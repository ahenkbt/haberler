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zzz\zzzz\Muş\"/>
    </mc:Choice>
  </mc:AlternateContent>
  <bookViews>
    <workbookView xWindow="0" yWindow="0" windowWidth="21600" windowHeight="9135" activeTab="2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definedNames>
    <definedName name="_xlnm._FilterDatabase" localSheetId="0" hidden="1">'Servis Saglayici Pasifler Tablo'!$A$2:$A$34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4" i="2" l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<sst xmlns="http://schemas.openxmlformats.org/spreadsheetml/2006/main" count="108438" uniqueCount="1854">
  <si>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</si>
  <si>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</si>
  <si>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</si>
  <si>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</si>
  <si>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</si>
  <si>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</si>
  <si>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</si>
  <si>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</si>
  <si>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</si>
  <si>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</si>
  <si>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</si>
  <si>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</si>
  <si>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</si>
  <si>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</si>
  <si>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</si>
  <si>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</si>
  <si>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</si>
  <si>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</si>
  <si>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</si>
  <si>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</si>
  <si>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</si>
  <si>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</si>
  <si>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</si>
  <si>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</si>
  <si>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</si>
  <si>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</si>
  <si>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</si>
  <si>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</si>
  <si>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</si>
  <si>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</si>
  <si>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</si>
  <si>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</si>
  <si>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</si>
  <si>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</si>
  <si>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</si>
  <si>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</si>
  <si>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</si>
  <si>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</si>
  <si>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</si>
  <si>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</si>
  <si>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</si>
  <si>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</si>
  <si>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</si>
  <si>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</si>
  <si>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</si>
  <si>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</si>
  <si>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</si>
  <si>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</si>
  <si>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</si>
  <si>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</si>
  <si>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</si>
  <si>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</si>
  <si>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</si>
  <si>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</si>
  <si>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</si>
  <si>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</si>
  <si>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</si>
  <si>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</si>
  <si>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</si>
  <si>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</si>
  <si>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</si>
  <si>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</si>
  <si>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</si>
  <si>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</si>
  <si>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</si>
  <si>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</si>
  <si>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</si>
  <si>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</si>
  <si>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</si>
  <si>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</si>
  <si>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</si>
  <si>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</si>
  <si>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</si>
  <si>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</si>
  <si>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</si>
  <si>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</si>
  <si>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</si>
  <si>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</si>
  <si>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</si>
  <si>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</si>
  <si>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ANKARA</t>
  </si>
  <si>
    <t>20-30 dk.</t>
  </si>
  <si>
    <t>Etimesgut</t>
  </si>
  <si>
    <t>Bağlıca Mah. - Bağlıca Blv.</t>
  </si>
  <si>
    <t>%100 Burger</t>
  </si>
  <si>
    <t>***=HYPERLINK("file:///C:/rest_photo/%100 Burger, Etimesgut (Bağlıca Mah. - Bağlıca Blv.).jpg","%100 Burger, Etimesgut (Bağlıca Mah. - Bağlıca Blv.)")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</si>
  <si>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</si>
  <si>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Adışanlı Çiğ Köfte, Merkez (Hürriyet Mah.)</t>
  </si>
  <si>
    <t>Çiğ Köfte</t>
  </si>
  <si>
    <t xml:space="preserve"> </t>
  </si>
  <si>
    <t>MUŞ</t>
  </si>
  <si>
    <t>Merkez</t>
  </si>
  <si>
    <t>Hürriyet Mah.</t>
  </si>
  <si>
    <t>MUŞ++</t>
  </si>
  <si>
    <t>Adıyaman Kardeşler Çiğ Köfte, Merkez (Yeni Mah.)</t>
  </si>
  <si>
    <t>Yeni Mah.</t>
  </si>
  <si>
    <t>Ceylan Döner, Merkez (Kültür Mah.)</t>
  </si>
  <si>
    <t>Döner</t>
  </si>
  <si>
    <t>Kültür Mah.</t>
  </si>
  <si>
    <t>Çınar Döner &amp; Sulu Yemek, Merkez (Sunay Mah.)</t>
  </si>
  <si>
    <t>Sunay Mah.</t>
  </si>
  <si>
    <t>Damak Tadı, Merkez (Yeşilyurt Mah.)</t>
  </si>
  <si>
    <t>Kebap &amp; Türk Mutfağı</t>
  </si>
  <si>
    <t>Yeşilyurt Mah.</t>
  </si>
  <si>
    <t>Divan Restaurant, Merkez (Hürriyet Mah.)</t>
  </si>
  <si>
    <t>Diyar Künefe, Merkez (Sunay Mah.)</t>
  </si>
  <si>
    <t>Tatlı</t>
  </si>
  <si>
    <t>Doruk Köfte &amp; Döner &amp; Sandwich, Merkez (Kültür Mah.)</t>
  </si>
  <si>
    <t>Efendy Cafe &amp; Restaurant, Merkez (Kültür Mah.)</t>
  </si>
  <si>
    <t>Dünya Mutfağı &amp; Cafe</t>
  </si>
  <si>
    <t>Enfes Döner &amp; Çiğ Köfte, Merkez (Yeşilyurt Mah.)</t>
  </si>
  <si>
    <t>En Künefe &amp; Katmer, Merkez (Sunay Mah.)</t>
  </si>
  <si>
    <t>Hancı Restaurant, Merkez (Sunay Mah.)</t>
  </si>
  <si>
    <t>Irmak Kafe &amp; Restaurant, Merkez (Hürriyet Mah.)</t>
  </si>
  <si>
    <t>İsot King Çiğ Köfte, Merkez (Muratpaşa Mah.)</t>
  </si>
  <si>
    <t>Muratpaşa Mah.</t>
  </si>
  <si>
    <t>Kahve Kuşağı, Merkez (Sunay Mah.)</t>
  </si>
  <si>
    <t>Kimyon Kokoreç &amp; Dürüm, Merkez (Hürriyet Mah.)</t>
  </si>
  <si>
    <t>Kokoreç</t>
  </si>
  <si>
    <t>Köşk Pide &amp; Lahmacun &amp; Kebap, Merkez (Kültür Mah.)</t>
  </si>
  <si>
    <t>Pide &amp; Lahmacun</t>
  </si>
  <si>
    <t>Kral Dönerci, Merkez (Hürriyet Mah.)</t>
  </si>
  <si>
    <t>Lale Börek, Merkez (Hürriyet Mah.)</t>
  </si>
  <si>
    <t>Kahvaltı &amp; Börek</t>
  </si>
  <si>
    <t>Levent Börek, Merkez (Yeşilyurt Mah.)</t>
  </si>
  <si>
    <t>Meşhur Adıyaman Çiğ Köftecisi Ömer Aybak, Merkez (Hürriyet Mah.)</t>
  </si>
  <si>
    <t>Meşhur Adıyaman Çiğ Köftecisi Ömer Aybak, Merkez (Kültür Mah.)</t>
  </si>
  <si>
    <t>Mir Pide &amp; Lahmacun, Merkez (Hürriyet Mah.)</t>
  </si>
  <si>
    <t>Ofis Ocakbaşı Pide &amp; Lahmacun, Merkez (Kültür Mah.)</t>
  </si>
  <si>
    <t>Oses Çiğ Köfte, Merkez (Kültür Mah.)</t>
  </si>
  <si>
    <t>Öz Hacıbekiroğlu, Merkez (Sunay Mah.)</t>
  </si>
  <si>
    <t>Park Lokantası, Merkez (Minare Mah.)</t>
  </si>
  <si>
    <t>Minare Mah.</t>
  </si>
  <si>
    <t>Pasaport Pizza, Merkez (Sunay Mah.)</t>
  </si>
  <si>
    <t>Pasaport Pizza</t>
  </si>
  <si>
    <t>Simit Konağı, Merkez (Kültür Mah.)</t>
  </si>
  <si>
    <t>SR Döner, Merkez (Hürriyet Mah.)</t>
  </si>
  <si>
    <t>Taht-ı Muş Otantik, Merkez (Sunay Mah.)</t>
  </si>
  <si>
    <t>Yaprak Döner, Merkez (Kale Mah.)</t>
  </si>
  <si>
    <t>Kale Mah.</t>
  </si>
  <si>
    <t>Yaprak Pastanesi, Merkez (Hürriyet Mah.)</t>
  </si>
  <si>
    <t>Adışanlı Çiğ Köfte</t>
  </si>
  <si>
    <t>30-40 dk.</t>
  </si>
  <si>
    <t>Adıyaman Kardeşler Çiğ Köfte</t>
  </si>
  <si>
    <t>35-45 dk.</t>
  </si>
  <si>
    <t>Ceylan Döner</t>
  </si>
  <si>
    <t>Çınar Döner &amp; Sulu Yemek</t>
  </si>
  <si>
    <t>Damak Tadı</t>
  </si>
  <si>
    <t>Divan Restaurant</t>
  </si>
  <si>
    <t>Diyar Künefe</t>
  </si>
  <si>
    <t>Doruk Köfte &amp; Döner &amp; Sandwich</t>
  </si>
  <si>
    <t>Efendy Cafe &amp; Restaurant</t>
  </si>
  <si>
    <t>Enfes Döner &amp; Çiğ Köfte</t>
  </si>
  <si>
    <t>En Künefe &amp; Katmer</t>
  </si>
  <si>
    <t>Hancı Restaurant</t>
  </si>
  <si>
    <t>50-60 dk.</t>
  </si>
  <si>
    <t>Irmak Kafe &amp; Restaurant</t>
  </si>
  <si>
    <t>65-75 dk.</t>
  </si>
  <si>
    <t>İsot King Çiğ Köfte</t>
  </si>
  <si>
    <t>Kahve Kuşağı</t>
  </si>
  <si>
    <t>Kimyon Kokoreç &amp; Dürüm</t>
  </si>
  <si>
    <t>Köşk Pide &amp; Lahmacun &amp; Kebap</t>
  </si>
  <si>
    <t>Kral Dönerci</t>
  </si>
  <si>
    <t>Lale Börek</t>
  </si>
  <si>
    <t>Levent Börek</t>
  </si>
  <si>
    <t>Meşhur Adıyaman Çiğ Köftecisi Ömer Aybak</t>
  </si>
  <si>
    <t>Mir Pide &amp; Lahmacun</t>
  </si>
  <si>
    <t>Ofis Ocakbaşı Pide &amp; Lahmacun</t>
  </si>
  <si>
    <t>Oses Çiğ Köfte</t>
  </si>
  <si>
    <t>Öz Hacıbekiroğlu</t>
  </si>
  <si>
    <t>Park Lokantası</t>
  </si>
  <si>
    <t>Simit Konağı</t>
  </si>
  <si>
    <t>SR Döner</t>
  </si>
  <si>
    <t>Taht-ı Muş Otantik</t>
  </si>
  <si>
    <t>Yaprak Döner</t>
  </si>
  <si>
    <t>Yaprak Pastanesi</t>
  </si>
  <si>
    <t>Çiğ Köfte Dürüm</t>
  </si>
  <si>
    <t xml:space="preserve">100 gr. çiğ köfte, domates, marul, nar ekşisi, acı sos </t>
  </si>
  <si>
    <t>6,00 TL</t>
  </si>
  <si>
    <t>Çiğ Köfte (10 Sıkım)</t>
  </si>
  <si>
    <t xml:space="preserve">1/4 marul, 2 adet lavaş, nar ekşisi, acı sos, isteğe göre turşu, domates ile </t>
  </si>
  <si>
    <t>10,00 TL</t>
  </si>
  <si>
    <t>Çiğ Köfte (25 Sıkım)</t>
  </si>
  <si>
    <t xml:space="preserve">3 adet lavaş, göbek marul, 1/2 limon ile </t>
  </si>
  <si>
    <t>20,00 TL</t>
  </si>
  <si>
    <t>Çiğ Köfte (30 Sıkım)</t>
  </si>
  <si>
    <t xml:space="preserve">Göbek marul, 6 adet lavaş, limon, nar ekşisi, acı sos, isteğe göre turşu, domates ile </t>
  </si>
  <si>
    <t>30,00 TL</t>
  </si>
  <si>
    <t>Çiğ Köfte (1 kg.)</t>
  </si>
  <si>
    <t xml:space="preserve">Göbek marul, 5 adet lavaş, limon, nar ekşisi, domates, acı sos, turşu ile </t>
  </si>
  <si>
    <t>50,00 TL</t>
  </si>
  <si>
    <t>Coca-Cola (33 cl.)</t>
  </si>
  <si>
    <t>3,00 TL</t>
  </si>
  <si>
    <t>Şalgam Suyu (33 cl.)</t>
  </si>
  <si>
    <t>Ayran (30 cl.)</t>
  </si>
  <si>
    <t>Ayran (20 cl.)</t>
  </si>
  <si>
    <t>2,00 TL</t>
  </si>
  <si>
    <t>Su (50 cl.)</t>
  </si>
  <si>
    <t>1,00 TL</t>
  </si>
  <si>
    <t>Poşet</t>
  </si>
  <si>
    <t>0,25 TL</t>
  </si>
  <si>
    <t xml:space="preserve">Marul, limon, nar ekşisi, turşu, domates, maydanoz </t>
  </si>
  <si>
    <t>8,00 TL</t>
  </si>
  <si>
    <t>Çiğ Köfte (250 gr.)</t>
  </si>
  <si>
    <t xml:space="preserve">1 dilim göbek marul, 3 adet lavaş,1 adet nar ekşisi, 2 dilim limon, maydanoz, nane, turşu, domates ile </t>
  </si>
  <si>
    <t>17,00 TL</t>
  </si>
  <si>
    <t>Çiğ Köfte (500 gr.)</t>
  </si>
  <si>
    <t xml:space="preserve">3 adet çeyrek göbek marul, 7 adet lavaş, 5 dilim limon, 3 adet nar ekşisi, turşu, domates, nane, maydanoz ile </t>
  </si>
  <si>
    <t>32,00 TL</t>
  </si>
  <si>
    <t>Aile Boyu Çiğ Köfte (750 gr.)</t>
  </si>
  <si>
    <t xml:space="preserve">3 adet çeyrek göbek marul, 10 adet lavaş, 5 dilim limon, 3 adet nar ekşisi, turşu, domates, maydanoz, nane ile </t>
  </si>
  <si>
    <t>Çiğ Köfte (600 gr.)</t>
  </si>
  <si>
    <t xml:space="preserve">3 adet çeyrek göbek marul, 8 adet lavaş, 5 dilim limon, 4 adet nar ekşisi, turşu, domates, nane, maydanoz ile </t>
  </si>
  <si>
    <t>45,00 TL</t>
  </si>
  <si>
    <t xml:space="preserve">1 adet göbek marul, 12 adet lavaş, 8 dilim limon, 5 adet nar ekşisi, acı sos, turşu, domates, maydanoz, nane ile </t>
  </si>
  <si>
    <t>65,00 TL</t>
  </si>
  <si>
    <t>5,00 TL</t>
  </si>
  <si>
    <t>Meyveli Soda (20 cl.)</t>
  </si>
  <si>
    <t>3,50 TL</t>
  </si>
  <si>
    <t>Soda (20 cl.)</t>
  </si>
  <si>
    <t>1,50 TL</t>
  </si>
  <si>
    <t>Şalgam Suyu (1 L.)</t>
  </si>
  <si>
    <t>Yaprak Et Döner</t>
  </si>
  <si>
    <t xml:space="preserve">130 gr. et döner, salata, soğan, ezme ile </t>
  </si>
  <si>
    <t>27,00 TL</t>
  </si>
  <si>
    <t>Yaprak Et Döner Dürüm</t>
  </si>
  <si>
    <t xml:space="preserve">70 gr. et döner, yeşillik, isteğe göre soğan, ketçap, mayonez </t>
  </si>
  <si>
    <t>15,00 TL</t>
  </si>
  <si>
    <t>Tavuk Döner (160 gr.)</t>
  </si>
  <si>
    <t xml:space="preserve">Mevsim salata, süs biberi ile </t>
  </si>
  <si>
    <t>Mercimek Çorbası</t>
  </si>
  <si>
    <t xml:space="preserve">İlikli kemik suyu ile </t>
  </si>
  <si>
    <t>12,00 TL</t>
  </si>
  <si>
    <t>Pilav Üstü Tavuk Döner (160 gr.)</t>
  </si>
  <si>
    <t xml:space="preserve">160 gr. tavuk eti. Mevsim salata ile </t>
  </si>
  <si>
    <t>Pilav Üstü Et Döner (130 gr.)</t>
  </si>
  <si>
    <t xml:space="preserve">130 gr. et. Mevsim salata ile </t>
  </si>
  <si>
    <t>36,00 TL</t>
  </si>
  <si>
    <t>Tavuk Döner Dürüm (80 gr.)</t>
  </si>
  <si>
    <t xml:space="preserve">Yeşillik, soğan, ketçap, mayonez. Süs biberi ile </t>
  </si>
  <si>
    <t>11,00 TL</t>
  </si>
  <si>
    <t>7,00 TL</t>
  </si>
  <si>
    <t>Coca-Cola Light (33 cl.)</t>
  </si>
  <si>
    <t>Fanta (33 cl.)</t>
  </si>
  <si>
    <t>Sprite (33 cl.)</t>
  </si>
  <si>
    <t>Şalgam Suyu (30 cl.)</t>
  </si>
  <si>
    <t>4,00 TL</t>
  </si>
  <si>
    <t>Ayran (17,5 cl.)</t>
  </si>
  <si>
    <t>Menü 1</t>
  </si>
  <si>
    <t xml:space="preserve">3 Çeşit Günün Ana Yemeği + Ayran (20 cl.) </t>
  </si>
  <si>
    <t>Menü 2</t>
  </si>
  <si>
    <t xml:space="preserve">Et Döner + Ayran (20 cl.) </t>
  </si>
  <si>
    <t>Menü 3</t>
  </si>
  <si>
    <t xml:space="preserve">Et Döner Dürüm + Ayran (20 cl.) </t>
  </si>
  <si>
    <t>9,00 TL</t>
  </si>
  <si>
    <t>Menü 4</t>
  </si>
  <si>
    <t xml:space="preserve">Tavuk Döner + Ayran (20 cl.) </t>
  </si>
  <si>
    <t>Menü 5</t>
  </si>
  <si>
    <t xml:space="preserve">Tavuk Döner Dürüm + Ayran (20 cl.) </t>
  </si>
  <si>
    <t>Menü 6</t>
  </si>
  <si>
    <t xml:space="preserve">İskender (Et Dönerden) + Ayran (20 cl.) </t>
  </si>
  <si>
    <t>Ezogelin Çorbası</t>
  </si>
  <si>
    <t>Yayla Çorbası</t>
  </si>
  <si>
    <t>Şehriye Çorbası</t>
  </si>
  <si>
    <t>Et Döner</t>
  </si>
  <si>
    <t xml:space="preserve">Közlenmiş biber, közlenmiş domates ile </t>
  </si>
  <si>
    <t>Et Döner Dürüm</t>
  </si>
  <si>
    <t xml:space="preserve">Kıvırcık marul, domates </t>
  </si>
  <si>
    <t>Tavuk Döner</t>
  </si>
  <si>
    <t xml:space="preserve">Közlenmiş biber, közlenmiş domates, patates kızartması ile </t>
  </si>
  <si>
    <t>Tavuk Döner Dürüm</t>
  </si>
  <si>
    <t>Et Güveç</t>
  </si>
  <si>
    <t>Kuru Fasulye</t>
  </si>
  <si>
    <t>Tavuk Sote</t>
  </si>
  <si>
    <t>Antep Tava</t>
  </si>
  <si>
    <t>Patates Musakka</t>
  </si>
  <si>
    <t>Patlıcan Musakka</t>
  </si>
  <si>
    <t>Arap Tava</t>
  </si>
  <si>
    <t>Nohut</t>
  </si>
  <si>
    <t>Et Sote</t>
  </si>
  <si>
    <t>Yeşil Fasulye</t>
  </si>
  <si>
    <t>Biber Dolması</t>
  </si>
  <si>
    <t>Pirinç Pilavı</t>
  </si>
  <si>
    <t xml:space="preserve">Günün tatlısı ile </t>
  </si>
  <si>
    <t>Cacık</t>
  </si>
  <si>
    <t>Sütlaç</t>
  </si>
  <si>
    <t>Aşure</t>
  </si>
  <si>
    <t>Kemalpaşa Tatlısı</t>
  </si>
  <si>
    <t>Şekerpare</t>
  </si>
  <si>
    <t>Şam Tatlısı</t>
  </si>
  <si>
    <t>Revani</t>
  </si>
  <si>
    <t>Seçilmiş Menü (Tavuk Kanat)</t>
  </si>
  <si>
    <t xml:space="preserve">Tavuk Kanat + Coca-Cola (33 cl.) </t>
  </si>
  <si>
    <t>22,50 TL</t>
  </si>
  <si>
    <t>Kaşarlı Tost</t>
  </si>
  <si>
    <t xml:space="preserve">Domates söğüş, kornişon turşu, acı biber ile </t>
  </si>
  <si>
    <t>Yumurtalı Kaşarlı Tost</t>
  </si>
  <si>
    <t>Full Karışık Tost</t>
  </si>
  <si>
    <t xml:space="preserve">Yumurta, kaşar peyniri, sucuk. Domates söğüş, kornişon turşu, acı biber ile </t>
  </si>
  <si>
    <t>Yumurtalı Sucuklu Tost</t>
  </si>
  <si>
    <t>Sucuklu Tost</t>
  </si>
  <si>
    <t>Kaşarlı Sucuklu Tost</t>
  </si>
  <si>
    <t>Sade Menemen</t>
  </si>
  <si>
    <t xml:space="preserve">Yumurtalı </t>
  </si>
  <si>
    <t>Sucuklu Menemen</t>
  </si>
  <si>
    <t>Kaşarlı Menemen</t>
  </si>
  <si>
    <t>Karışık Menemen</t>
  </si>
  <si>
    <t xml:space="preserve">Sucuk, dana kıyma, kaşar peyniri </t>
  </si>
  <si>
    <t>16,00 TL</t>
  </si>
  <si>
    <t>Kıymalı Menemen</t>
  </si>
  <si>
    <t>Urfa Kebap</t>
  </si>
  <si>
    <t xml:space="preserve">Mevsim salata, acı biber, kornişon turşu ile </t>
  </si>
  <si>
    <t>22,00 TL</t>
  </si>
  <si>
    <t>Adana Kebap</t>
  </si>
  <si>
    <t>Tavuk İncik</t>
  </si>
  <si>
    <t>Tavuk Şiş</t>
  </si>
  <si>
    <t>18,00 TL</t>
  </si>
  <si>
    <t>Tavuk Kanat</t>
  </si>
  <si>
    <t xml:space="preserve">180 gr. tavuk döner. Mevsim salata, acı biber, kornişon turşu, közlenmiş biber ile </t>
  </si>
  <si>
    <t xml:space="preserve">80 gr. tavuk döner, mevsim yeşillikleri, acı biber, kornişon turşu, ketçap, mayonez, soğan </t>
  </si>
  <si>
    <t>Zurna Tavuk Döner Dürüm</t>
  </si>
  <si>
    <t xml:space="preserve">140 gr. tavuk döner, mevsim yeşillikleri, acı biber, kornişon turşu, ketçap, mayonez, soğan </t>
  </si>
  <si>
    <t>13,00 TL</t>
  </si>
  <si>
    <t>Adana Dürüm (80 gr.)</t>
  </si>
  <si>
    <t xml:space="preserve">Mevsim yeşillikleri, acı biber, kornişon turşu, ketçap, mayonez, soğan </t>
  </si>
  <si>
    <t>Urfa Dürüm (80 gr.)</t>
  </si>
  <si>
    <t>Tavuk Şiş Dürüm (80 gr.)</t>
  </si>
  <si>
    <t xml:space="preserve">Mevsim salata, acı ber, kornişon turşu ile </t>
  </si>
  <si>
    <t>Cappy (33 cl.)</t>
  </si>
  <si>
    <t>Fuse Tea (33 cl.)</t>
  </si>
  <si>
    <t>Lipton Ice Tea (33 cl.)</t>
  </si>
  <si>
    <t xml:space="preserve">Mevsim salata, soğan, ezme, makarna salatası ile </t>
  </si>
  <si>
    <t>25,00 TL</t>
  </si>
  <si>
    <t>Ciğer Şiş</t>
  </si>
  <si>
    <t>26,00 TL</t>
  </si>
  <si>
    <t>Izgara Tavuk Kanat</t>
  </si>
  <si>
    <t>Izgara Tavuk But</t>
  </si>
  <si>
    <t>Izgara Tavuk Pirzola</t>
  </si>
  <si>
    <t>Alinazik Kebap (Kıymadan)</t>
  </si>
  <si>
    <t>37,00 TL</t>
  </si>
  <si>
    <t>Sarma Beyti Kebap</t>
  </si>
  <si>
    <t xml:space="preserve">Lavaşa sarılı, yoğurtlu, soslu. Mevsim salata, soğan, ezme, makarna salatası ile </t>
  </si>
  <si>
    <t>34,00 TL</t>
  </si>
  <si>
    <t>Kuzu Küşleme</t>
  </si>
  <si>
    <t>42,00 TL</t>
  </si>
  <si>
    <t>Lokma Kebap</t>
  </si>
  <si>
    <t>Tavuk Külbastı</t>
  </si>
  <si>
    <t>38,00 TL</t>
  </si>
  <si>
    <t>Yoğurtlu Kebap</t>
  </si>
  <si>
    <t>33,00 TL</t>
  </si>
  <si>
    <t>Altı Ezmeli Kebap</t>
  </si>
  <si>
    <t>Zırh Kebap</t>
  </si>
  <si>
    <t>Izgara Köfte</t>
  </si>
  <si>
    <t>Fırın Beyti Kebap</t>
  </si>
  <si>
    <t>35,00 TL</t>
  </si>
  <si>
    <t>Divan Beyti (Açık)</t>
  </si>
  <si>
    <t>Üstad Kebabı</t>
  </si>
  <si>
    <t xml:space="preserve">Kuzu eti, dilimlenmiş biftek, kuyruk yağı. Mevsim salata, soğan, ezme, makarna salatası ile </t>
  </si>
  <si>
    <t>75,00 TL</t>
  </si>
  <si>
    <t>Çöp Şiş</t>
  </si>
  <si>
    <t>Domatesli Kebap</t>
  </si>
  <si>
    <t>Patlıcanlı Kebap</t>
  </si>
  <si>
    <t>Vali Kebabı</t>
  </si>
  <si>
    <t xml:space="preserve">Kuşbaşı dana eti, patlıcan. Mevsim salata, soğan, ezme, makarna salatası ile </t>
  </si>
  <si>
    <t>73,00 TL</t>
  </si>
  <si>
    <t>Et Pirzola</t>
  </si>
  <si>
    <t>Lahmacun (3 Adet)</t>
  </si>
  <si>
    <t>Kuşbaşı Kaşarlı Pide</t>
  </si>
  <si>
    <t>Kaşarlı Lahmacun</t>
  </si>
  <si>
    <t>Kıymalı Pide</t>
  </si>
  <si>
    <t>Kaşarlı Pide</t>
  </si>
  <si>
    <t>28,00 TL</t>
  </si>
  <si>
    <t>Kıymalı Yumurtalı Pide</t>
  </si>
  <si>
    <t>Kıymalı Kaşarlı Pide</t>
  </si>
  <si>
    <t>Kaşarlı Sebzeli Pide</t>
  </si>
  <si>
    <t>29,00 TL</t>
  </si>
  <si>
    <t>Kuşbaşılı Pide</t>
  </si>
  <si>
    <t>Sucuklu Kaşarlı Pide</t>
  </si>
  <si>
    <t>Kaşarlı Yumurtalı Pide</t>
  </si>
  <si>
    <t xml:space="preserve">Mevsim salata, ezme, makarna salatası, soğan ile </t>
  </si>
  <si>
    <t>İskender (Et Dönerden)</t>
  </si>
  <si>
    <t xml:space="preserve">Domates, yeşillik, soğan </t>
  </si>
  <si>
    <t>Limonlu Soda (20 cl.)</t>
  </si>
  <si>
    <t>Klasik Künefe (1 Kişilik)</t>
  </si>
  <si>
    <t>Kaymaklı Künefe (1 Kişilik)</t>
  </si>
  <si>
    <t>Sütlü Künefe (1 Kişilik)</t>
  </si>
  <si>
    <t>24,00 TL</t>
  </si>
  <si>
    <t>Fıstıklı Künefe (1 Kişilik)</t>
  </si>
  <si>
    <t>Hasır Künefe (1 Kişilik)</t>
  </si>
  <si>
    <t>Bohça Künefe (1 Kişilik)</t>
  </si>
  <si>
    <t>Fıstıkzade Künefe (1 Kişilik)</t>
  </si>
  <si>
    <t>Atom Künefe (1 Kişilik)</t>
  </si>
  <si>
    <t xml:space="preserve">Fıstık, ceviz </t>
  </si>
  <si>
    <t>Karışık Künefe (1 Kişilik)</t>
  </si>
  <si>
    <t xml:space="preserve">Ceviz, fıstık, fındık </t>
  </si>
  <si>
    <t>40,00 TL</t>
  </si>
  <si>
    <t>Cevizli Künefe (1 Kişilik)</t>
  </si>
  <si>
    <t>Hasır &amp; Fıstıkzade Künefe (1 Kişilik)</t>
  </si>
  <si>
    <t>Katmer (1 Kişilik)</t>
  </si>
  <si>
    <t>Simit Katmer (1 Kişilik)</t>
  </si>
  <si>
    <t>Vişne Suyu</t>
  </si>
  <si>
    <t>Şeftali Suyu</t>
  </si>
  <si>
    <t>Sade Soda (20 cl.)</t>
  </si>
  <si>
    <t>Special Baklava (1 kg.)</t>
  </si>
  <si>
    <t>80,00 TL</t>
  </si>
  <si>
    <t>Sarma (1 kg.)</t>
  </si>
  <si>
    <t>120,00 TL</t>
  </si>
  <si>
    <t>Sütlü Nuriye (1 kg.)</t>
  </si>
  <si>
    <t>Midye Baklava (1 kg.)</t>
  </si>
  <si>
    <t>95,00 TL</t>
  </si>
  <si>
    <t>Kuru Baklava (1 kg.)</t>
  </si>
  <si>
    <t>Fıstıklı Burma Baklava (1 kg.)</t>
  </si>
  <si>
    <t>Dürüm Kadayıf (1 kg.)</t>
  </si>
  <si>
    <t>90,00 TL</t>
  </si>
  <si>
    <t>Fıstıklı Kadayıf (1 kg.)</t>
  </si>
  <si>
    <t>Kaymaklı Fıstıklı Kadayıf (1 kg.)</t>
  </si>
  <si>
    <t>Sütlü Fıstıklı Kadayıf (1 kg.)</t>
  </si>
  <si>
    <t>Özel Şöbiyet (1 kg.)</t>
  </si>
  <si>
    <t>Fıstıklı Ev Baklavası (1 kg.)</t>
  </si>
  <si>
    <t>Dilber Dudağı (1 kg.)</t>
  </si>
  <si>
    <t>Cimcik Baklava (1 kg.)</t>
  </si>
  <si>
    <t>Cevizli Kadayıf (1 kg.)</t>
  </si>
  <si>
    <t>Ankara Özel Baklava (1 kg.)</t>
  </si>
  <si>
    <t>Fıstıklı Özel Baklava (1 kg.)</t>
  </si>
  <si>
    <t>Cevizli Baklava (1 kg.)</t>
  </si>
  <si>
    <t>60,00 TL</t>
  </si>
  <si>
    <t>Cevizli Ev Baklavası (1 kg.)</t>
  </si>
  <si>
    <t>Mendil Baklava (1 kg.)</t>
  </si>
  <si>
    <t>70,00 TL</t>
  </si>
  <si>
    <t>Fıstıklı Baklava (1 kg.)</t>
  </si>
  <si>
    <t>Hoşverdi (1 kg.)</t>
  </si>
  <si>
    <t xml:space="preserve">Soğuk baklava </t>
  </si>
  <si>
    <t>Havuç Dilim Baklava (1 kg.)</t>
  </si>
  <si>
    <t>Cevizli Özel Baklava (1 kg.)</t>
  </si>
  <si>
    <t>Maraş Dondurma (1 kg.)</t>
  </si>
  <si>
    <t>Yaprak Sarma (1 kg.)</t>
  </si>
  <si>
    <t>Büyük Boy Menü</t>
  </si>
  <si>
    <t xml:space="preserve">Tavuk Döner Dürüm (120 gr.) + Patates Kızartması (Büyük) + Coca-Cola (20 cl.) </t>
  </si>
  <si>
    <t>21,99 TL</t>
  </si>
  <si>
    <t>Hamburger Menü</t>
  </si>
  <si>
    <t xml:space="preserve">Hamburger (Ketçap, mayonez, domates, turşu) + Patates Kızartması + Coca-Cola (20 cl.) </t>
  </si>
  <si>
    <t>24,99 TL</t>
  </si>
  <si>
    <t>Köfte Menü</t>
  </si>
  <si>
    <t xml:space="preserve">Ekmek Arası Köfte (Marul, domates, turşu soğan) + Patates Kızartması + Coca-Cola (20 cl.) </t>
  </si>
  <si>
    <t>Orta Boy Menü</t>
  </si>
  <si>
    <t xml:space="preserve">Tavuk Döner Dürüm (100 gr.) + Patates Kızartması (Büyük) + Coca-Cola (20 cl.) </t>
  </si>
  <si>
    <t>19,99 TL</t>
  </si>
  <si>
    <t>Sandwich Menü</t>
  </si>
  <si>
    <t xml:space="preserve">Tavuk Döner Sandwich (100 gr.) + Patates Kızartması (Büyük) + Coca-Cola (20 cl.) </t>
  </si>
  <si>
    <t>Gobit Ekmek Arası Tavuk Döner Menü</t>
  </si>
  <si>
    <t xml:space="preserve">Gobit Ekmek Arası Tavuk Döner (100 gr.) + Patates Kızartması (Büyük) + Coca-Cola (20 cl.) </t>
  </si>
  <si>
    <t>Kaşarlı Tost Menü</t>
  </si>
  <si>
    <t xml:space="preserve">Kaşarlı Tost (50 gr. kaşar peyniri) + Patates Kızartması (Büyük) + Coca-Cola (20 cl.) </t>
  </si>
  <si>
    <t>17,99 TL</t>
  </si>
  <si>
    <t>Karışık Tost Menü</t>
  </si>
  <si>
    <t xml:space="preserve">Karışık Tost (50 gr. kaşar peyniri, 50 gr. sucuk) + Patates Kızartması (Büyük) + Coca-Cola (20 cl.) </t>
  </si>
  <si>
    <t>14,99 TL</t>
  </si>
  <si>
    <t>Kremalı Tavuk Çorbası</t>
  </si>
  <si>
    <t xml:space="preserve">150 gr. ızgara köfte. Soğan, mevsim salatası ile </t>
  </si>
  <si>
    <t>29,99 TL</t>
  </si>
  <si>
    <t>Ekmek Arası Izgara köfte</t>
  </si>
  <si>
    <t xml:space="preserve">150 gr. ızgara köfte, yeşillik, turşu, domates, soğan </t>
  </si>
  <si>
    <t>Pilav Üstü Izgara Köfte</t>
  </si>
  <si>
    <t>34,99 TL</t>
  </si>
  <si>
    <t xml:space="preserve">150 gr. tavuk döner </t>
  </si>
  <si>
    <t>Pilav Üstü Tavuk Döner</t>
  </si>
  <si>
    <t>27,99 TL</t>
  </si>
  <si>
    <t>Kaşarlı Tavuk Döner Dürüm</t>
  </si>
  <si>
    <t xml:space="preserve">100 gr. tavuk döner, 50 gr. kaşar peyniri </t>
  </si>
  <si>
    <t>Patates Kızartması</t>
  </si>
  <si>
    <t>7,99 TL</t>
  </si>
  <si>
    <t>Soğan Halkası (10 Adet)</t>
  </si>
  <si>
    <t>9,99 TL</t>
  </si>
  <si>
    <t>3,99 TL</t>
  </si>
  <si>
    <t>Ayran (20 cl.) - Şu anda mevcut değil.</t>
  </si>
  <si>
    <t>2,99 TL</t>
  </si>
  <si>
    <t>Günün Pastası &amp; Kahve Menü</t>
  </si>
  <si>
    <t xml:space="preserve">Günün Pastası + Filtre Kahve </t>
  </si>
  <si>
    <t>Sade Omlet</t>
  </si>
  <si>
    <t>Kaşarlı Omlet</t>
  </si>
  <si>
    <t>Mantarlı Omlet</t>
  </si>
  <si>
    <t>Sucuklu Omlet</t>
  </si>
  <si>
    <t>Kavurmalı Omlet</t>
  </si>
  <si>
    <t>Sahanda Yumurta</t>
  </si>
  <si>
    <t>Sahanda Sucuklu Yumurta</t>
  </si>
  <si>
    <t>Menemen</t>
  </si>
  <si>
    <t>Sucuklu Kaşarlı Menemen</t>
  </si>
  <si>
    <t>Karışık Tost</t>
  </si>
  <si>
    <t xml:space="preserve">Sucuk, kaşar peyniri </t>
  </si>
  <si>
    <t>Kremalı Mantarlı Tavuk Kavurma</t>
  </si>
  <si>
    <t xml:space="preserve">Kuşbaşı tavuk parçaları, mantar, günün pilavı, patates kızartması, krema sos </t>
  </si>
  <si>
    <t>Kayseri Ev Mantısı</t>
  </si>
  <si>
    <t>Şnitzel</t>
  </si>
  <si>
    <t xml:space="preserve">Günün pilavı, patates kızartması ile </t>
  </si>
  <si>
    <t>Tavuk Kavurma</t>
  </si>
  <si>
    <t xml:space="preserve">Kuşbaşı tavuk bonfile, renkli biberler, soğan, mantar, domates. Günün pilavı ile </t>
  </si>
  <si>
    <t>28,50 TL</t>
  </si>
  <si>
    <t>Köri Soslu Tavuk</t>
  </si>
  <si>
    <t xml:space="preserve">Kuşbaşı tavuk parçaları, mantar, krema, köri baharatı, günün pilavı, baharatlı patates kızartması. Özel cips sos ile </t>
  </si>
  <si>
    <t>Tavuk Fajita</t>
  </si>
  <si>
    <t xml:space="preserve">Jülyen tavuk parçaları, renkli biberler, soğan, fajita baharatı. Özel sos ile </t>
  </si>
  <si>
    <t>Tikka Masala Soslu Tavuk</t>
  </si>
  <si>
    <t xml:space="preserve">Kuşbaşı tavuk parçaları, günün pilavı, baharatlı patates kızartması. Tikka masala sos ile </t>
  </si>
  <si>
    <t>Sweet Chili Soslu Tavuk</t>
  </si>
  <si>
    <t xml:space="preserve">Kuşbaşı tavuk parçaları, günün pilavı, baharatlı patates kızartması. Acı &amp; tatlı sos ile </t>
  </si>
  <si>
    <t>Combo Fajita</t>
  </si>
  <si>
    <t xml:space="preserve">Jülyen dana bonfile, tavuk parçaları, renkli biberler, soğan, fajita baharatı. Özel sos ile </t>
  </si>
  <si>
    <t>Et Fajita</t>
  </si>
  <si>
    <t xml:space="preserve">Jülyen dana bonfile parçaları, renkli biberler, soğan, fajita baharatı. Özel sos ile </t>
  </si>
  <si>
    <t>Çoban Kavurma</t>
  </si>
  <si>
    <t xml:space="preserve">Kuşbaşı dana bonfile, renkli biberler, soğan, mantar, domates. Günün pilavı ile </t>
  </si>
  <si>
    <t>Kremalı Mantarlı Et Kavurma</t>
  </si>
  <si>
    <t xml:space="preserve">Kuşbaşı dana parçaları, mantar, günün pilavı, patates kızartması, krema sos </t>
  </si>
  <si>
    <t>Sac Kavurma</t>
  </si>
  <si>
    <t xml:space="preserve">Küp şeklinde doğranmış dana bonfile, soğan, yeşilbiber. Günün pilavı ile </t>
  </si>
  <si>
    <t>Domates Soslu Mantarlı Et Kavurma</t>
  </si>
  <si>
    <t xml:space="preserve">Kuşbaşı dana parçaları, mantar, günün pilavı, patates kızartması, domates sos </t>
  </si>
  <si>
    <t>Şehzade Korkut Tava</t>
  </si>
  <si>
    <t xml:space="preserve">Kuşbaşı dana bonfile, mantar, renkli biberler, cherry domates, günün pilavı, az kremalı sos </t>
  </si>
  <si>
    <t>Keyf-i Ala</t>
  </si>
  <si>
    <t xml:space="preserve">Yaprak dana bonfile parçaları, renkli biberler, soğan, cherry domates, havuç, ceviz, fındık, susam yağı, üzerinde susam </t>
  </si>
  <si>
    <t>Efendy Special</t>
  </si>
  <si>
    <t xml:space="preserve">Izgara steak, biber, cherry domates, steak üzerine sarılmış közlenmiş patlıcan, özel sos </t>
  </si>
  <si>
    <t>Hürrem Sultan</t>
  </si>
  <si>
    <t xml:space="preserve">Kuşbaşı dana bonfile, renkli biberler, havuç, ceviz, cherry domates, günün pilavı </t>
  </si>
  <si>
    <t>48,00 TL</t>
  </si>
  <si>
    <t>Hünkarbeğendi</t>
  </si>
  <si>
    <t xml:space="preserve">Kuşbaşı dana bonfile, renkli biberler, soğan, közlenmiş patlıcan, kaşar peyniri, beşamel sos </t>
  </si>
  <si>
    <t>Yaprak Bonfile</t>
  </si>
  <si>
    <t xml:space="preserve">Yaprak bonfile parçaları, toz biber, günün pilavı, patates kızartması, saf tereyağı </t>
  </si>
  <si>
    <t>Çocuk Pizzası</t>
  </si>
  <si>
    <t xml:space="preserve">Domates sos, mozzarella peyniri, sosis </t>
  </si>
  <si>
    <t>Sosisli Spaghetti</t>
  </si>
  <si>
    <t>Çocuk Köfte</t>
  </si>
  <si>
    <t xml:space="preserve">Izgara köfte. Patates kızartması ile </t>
  </si>
  <si>
    <t>Mantar Soslu Bonfile</t>
  </si>
  <si>
    <t xml:space="preserve">200 gr. marine edilmiş dana bonfile, mantar, garnitür, günün pilavı, patates kızartması, özel demi glace sos </t>
  </si>
  <si>
    <t>53,00 TL</t>
  </si>
  <si>
    <t>Plank Steak</t>
  </si>
  <si>
    <t xml:space="preserve">200 gr. marine edilmiş dana bonfile, patates püresi, garnitür, günün pilavı, özel sos </t>
  </si>
  <si>
    <t>54,00 TL</t>
  </si>
  <si>
    <t>Thai Soslu Antrikot</t>
  </si>
  <si>
    <t xml:space="preserve">200 gr. marine edilmiş dana bonfile, jülyen sebzeler, soya filizi, garnitür, günün pilavı, patates kızartması, özel demi glace sos </t>
  </si>
  <si>
    <t>55,00 TL</t>
  </si>
  <si>
    <t>Dallas Steak</t>
  </si>
  <si>
    <t xml:space="preserve">400 gr. marine edilmiş 2 parça dana bonfile, garnitür, günün pilavı, patates kızartması </t>
  </si>
  <si>
    <t>Şatobiryan (2 Kişilik)</t>
  </si>
  <si>
    <t xml:space="preserve">Marine edilmiş bütün bonfile etinin mühürlenerek dilimlenmiş hali, mantar, renkli biberler, demi glace sos </t>
  </si>
  <si>
    <t>175,00 TL</t>
  </si>
  <si>
    <t>Steak Diana</t>
  </si>
  <si>
    <t xml:space="preserve">200 gr. marine edilmiş dana bonfile, patates püresi, garnitür, özel hazırlanmış kremalı mantarlı sos </t>
  </si>
  <si>
    <t>59,00 TL</t>
  </si>
  <si>
    <t>Café de Paris Soslu Bonfile</t>
  </si>
  <si>
    <t xml:space="preserve">200 gr. marine edilmiş dana bonfile, garnitür, günün pilavı, patates kızartması, cafe de Paris sos </t>
  </si>
  <si>
    <t>57,00 TL</t>
  </si>
  <si>
    <t>Beef Stroganoff</t>
  </si>
  <si>
    <t xml:space="preserve">Dilimlenmiş bonfile mantar, renkli biberler, kibrit patates kızartması, jülyen kornişon turşusu, beef sos </t>
  </si>
  <si>
    <t>Meksika Steak</t>
  </si>
  <si>
    <t xml:space="preserve">200 gr. marine edilmiş dana bonfile, Meksika fasulyesi, jülyen sebzeler, garnitür, günün pilavı, patates kızartması, özel Meksika acı sos </t>
  </si>
  <si>
    <t>Pepper Steak</t>
  </si>
  <si>
    <t xml:space="preserve">200 gr. marine edilmiş dana bonfile, tane karabiber, mantar, garnitür, günün pilavı, patates kızartması, özel kremalı sos </t>
  </si>
  <si>
    <t>Tavuk Pirzola</t>
  </si>
  <si>
    <t>Beyti Kebap (Açık)</t>
  </si>
  <si>
    <t>Kuzu Şiş</t>
  </si>
  <si>
    <t>İskender (Adana Kebaptan)</t>
  </si>
  <si>
    <t xml:space="preserve">Lavaşa sarılı, yoğurtlu, soslu. </t>
  </si>
  <si>
    <t>Alinazik Kebap</t>
  </si>
  <si>
    <t>Karışık Izgara</t>
  </si>
  <si>
    <t xml:space="preserve">Tavuk şiş, ızgara köfte, çöp şiş </t>
  </si>
  <si>
    <t>Fındık Lahmacun</t>
  </si>
  <si>
    <t>Lahmacun</t>
  </si>
  <si>
    <t>Kuşbaşılı Yumurtalı Pide</t>
  </si>
  <si>
    <t>31,00 TL</t>
  </si>
  <si>
    <t>Kuşbaşılı Kaşarlı Pide</t>
  </si>
  <si>
    <t>Karışık Pide</t>
  </si>
  <si>
    <t xml:space="preserve">Kıyma, kuşbaşı et, kaşar peyniri, sucuk </t>
  </si>
  <si>
    <t>Efendy Special Pizza (1-2 Kişilik)</t>
  </si>
  <si>
    <t xml:space="preserve">Özel pizza sosu, özel pizza peyniri, dana eti, tavuk </t>
  </si>
  <si>
    <t>Chicken Wrap Pizza (1-2 Kişilik)</t>
  </si>
  <si>
    <t xml:space="preserve">Napolitan sos, tavuk, jalapeno biberi, siyah zeytin, acı sos </t>
  </si>
  <si>
    <t>Anatolia Pizza (1-2 Kişilik)</t>
  </si>
  <si>
    <t xml:space="preserve">Özel pizza sosu, özel pizza peyniri, sucuk </t>
  </si>
  <si>
    <t>Margherita Pizza (1-2 Kişilik)</t>
  </si>
  <si>
    <t xml:space="preserve">Özel pizza sosu, özel pizza peyniri </t>
  </si>
  <si>
    <t>Tono Pizza (1-2 Kişilik)</t>
  </si>
  <si>
    <t xml:space="preserve">Özel pizza sosu, özel pizza peyniri, ton balığı, mısır </t>
  </si>
  <si>
    <t>Funghi Pizza (1-2 Kişilik)</t>
  </si>
  <si>
    <t xml:space="preserve">Özel pizza sosu, özel pizza peyniri, mantar, zeytin, jalapeno biberi, mısır </t>
  </si>
  <si>
    <t>Bolognese Pizza (1-2 Kişilik)</t>
  </si>
  <si>
    <t xml:space="preserve">Özel pizza sosu, özel pizza peyniri, bolognese sos </t>
  </si>
  <si>
    <t>Kavurmalı Pizza (1-2 Kişilik)</t>
  </si>
  <si>
    <t xml:space="preserve">Özel pizza sosu, özel pizza peyniri, kavurma </t>
  </si>
  <si>
    <t>Quatro Formagi (1-2 Kişilik)</t>
  </si>
  <si>
    <t xml:space="preserve">Özel pizza sosu, özel pizza peyniri, parmesan peyniri, mozzarella peyniri </t>
  </si>
  <si>
    <t>Karışık Pizza (1-2 Kişilik)</t>
  </si>
  <si>
    <t xml:space="preserve">Özel pizza sosu, özel pizza peyniri, sucuk, salam, mantar, mısır </t>
  </si>
  <si>
    <t>Anatolia Pizza (4 Kişilik)</t>
  </si>
  <si>
    <t>Tono Pizza (4 Kişilik)</t>
  </si>
  <si>
    <t>88,00 TL</t>
  </si>
  <si>
    <t>Karışık Pizza (4 Kişilik)</t>
  </si>
  <si>
    <t>Kavurmalı Pizza (4 Kişilik)</t>
  </si>
  <si>
    <t>100,00 TL</t>
  </si>
  <si>
    <t>Margherita Pizza (4 Kişilik)</t>
  </si>
  <si>
    <t>68,00 TL</t>
  </si>
  <si>
    <t>Efendy Special Pizza (4 Kişilik)</t>
  </si>
  <si>
    <t>Cheeseburger</t>
  </si>
  <si>
    <t xml:space="preserve">Hamburger köftesi, cheddar peyniri, kıvırcık marul, domates </t>
  </si>
  <si>
    <t>23,00 TL</t>
  </si>
  <si>
    <t>Hamburger</t>
  </si>
  <si>
    <t xml:space="preserve">Hamburger köftesi, kıvırcık marul, domates </t>
  </si>
  <si>
    <t>Sezar Salata</t>
  </si>
  <si>
    <t xml:space="preserve">Iceberg marul, kruton ekmek, cherry domates, kornişon turşu, ızgara tavuk parçaları, Sezar sos </t>
  </si>
  <si>
    <t>Çıtır Tavuklu Salata</t>
  </si>
  <si>
    <t xml:space="preserve">Iceberg marul, kırmızı soğan, maydanoz, roka, cherry domates, özel harcında harmanlanmış çıtır tavuk, özel sos </t>
  </si>
  <si>
    <t>Rozbif Et Salatası</t>
  </si>
  <si>
    <t xml:space="preserve">Mevsim yeşillikleri, pesto soslu dilimli bonfile parçaları </t>
  </si>
  <si>
    <t>Ton Balıklı Salata</t>
  </si>
  <si>
    <t xml:space="preserve">Iceberg marul, kıvırcık marul, kornişon turşu, kırmızı soğan, cherry domates, ton balığı </t>
  </si>
  <si>
    <t>Hellim Peynirli Salata</t>
  </si>
  <si>
    <t xml:space="preserve">Kıvırcık marul, lolorosso, maydanoz, roka, mısır, ızgara hellim peyniri, özel sos </t>
  </si>
  <si>
    <t>Akdeniz Salata</t>
  </si>
  <si>
    <t xml:space="preserve">Akdeniz yeşillikleri, cherry domates, beyaz peynir, özel sos </t>
  </si>
  <si>
    <t>Bolonez Soslu Penne</t>
  </si>
  <si>
    <t xml:space="preserve">Napolitan sos, dana kıyma, parmesan peyniri </t>
  </si>
  <si>
    <t>Arrabbiata Soslu Penne</t>
  </si>
  <si>
    <t xml:space="preserve">Jalapeno biberi, siyah zeytin, acı sos, Napolitan sos </t>
  </si>
  <si>
    <t>Carbonara Soslu Tagliatelli</t>
  </si>
  <si>
    <t xml:space="preserve">Dana jambon, krema, parmesan peyniri </t>
  </si>
  <si>
    <t>Alfredo Soslu Spaghetti</t>
  </si>
  <si>
    <t xml:space="preserve">Mantar, krema, pesto sos, parmesan peyniri </t>
  </si>
  <si>
    <t>Şef Special</t>
  </si>
  <si>
    <t xml:space="preserve">Jülyen dana bonfile, tavuk parçacıkları, napolitan sos, parmesan peyniri </t>
  </si>
  <si>
    <t>Pesto Soslu Fettuccine</t>
  </si>
  <si>
    <t xml:space="preserve">Krema, pesto sos, parmesan peyniri </t>
  </si>
  <si>
    <t>Çıtır Tavuk</t>
  </si>
  <si>
    <t>Peynirli Sigara Böreği</t>
  </si>
  <si>
    <t>Sufle</t>
  </si>
  <si>
    <t>Waffle</t>
  </si>
  <si>
    <t xml:space="preserve">Mevsim meyveleri </t>
  </si>
  <si>
    <t>Fondü</t>
  </si>
  <si>
    <t>Meyve Tabağı</t>
  </si>
  <si>
    <t>Künefe</t>
  </si>
  <si>
    <t>Fıstık Rüyası</t>
  </si>
  <si>
    <t>Marlenka</t>
  </si>
  <si>
    <t>Limonlu Cheesecake</t>
  </si>
  <si>
    <t>Frambuazlı Cheesecake</t>
  </si>
  <si>
    <t>Tiramisu</t>
  </si>
  <si>
    <t>Çikolatalı Pasta</t>
  </si>
  <si>
    <t>Kara Orman Meyveli Pasta</t>
  </si>
  <si>
    <t>Çikolatalı Çilekli Frappe</t>
  </si>
  <si>
    <t>Orman Meyveli Frappe</t>
  </si>
  <si>
    <t>Muzlu Frappe</t>
  </si>
  <si>
    <t>Karamelli Frappe</t>
  </si>
  <si>
    <t>Kivili Frappe</t>
  </si>
  <si>
    <t>Karamelli Milkshake</t>
  </si>
  <si>
    <t>Çilekli Milkshake</t>
  </si>
  <si>
    <t>Kivili Milkshake</t>
  </si>
  <si>
    <t>Tropikal Milkshake</t>
  </si>
  <si>
    <t xml:space="preserve">Ananas, kırmızı meyveler </t>
  </si>
  <si>
    <t>Muzlu Milkshake</t>
  </si>
  <si>
    <t>Elmalı Milshake</t>
  </si>
  <si>
    <t>Çikolatalı Milkshake</t>
  </si>
  <si>
    <t>Elmalı Smoothie</t>
  </si>
  <si>
    <t>Tropikal Smoothie</t>
  </si>
  <si>
    <t>Karamelli Smoothie</t>
  </si>
  <si>
    <t>Vanilyalı Smoothie</t>
  </si>
  <si>
    <t>Çilekli Smoothie</t>
  </si>
  <si>
    <t>Çikolatalı Smoothie</t>
  </si>
  <si>
    <t>Muzlu Smoothie</t>
  </si>
  <si>
    <t>Limonlu Frozen</t>
  </si>
  <si>
    <t>Karpuzlu Frozen</t>
  </si>
  <si>
    <t>Muzlu Frozen</t>
  </si>
  <si>
    <t>Çilekli Frozen</t>
  </si>
  <si>
    <t>Tropikal Frozen</t>
  </si>
  <si>
    <t>Elmalı Frozen</t>
  </si>
  <si>
    <t>Kivili Frozen</t>
  </si>
  <si>
    <t>Bodrum Mandalinalı Frozen</t>
  </si>
  <si>
    <t>Şeftalili Frozen</t>
  </si>
  <si>
    <t>Kavunlu Frozen</t>
  </si>
  <si>
    <t>Mangolu Frozen</t>
  </si>
  <si>
    <t>Churchill</t>
  </si>
  <si>
    <t>Su (1 L.)</t>
  </si>
  <si>
    <t>Taze Sıkma Nar Suyu</t>
  </si>
  <si>
    <t>Taze Sıkma Portakal Suyu</t>
  </si>
  <si>
    <t>Taze Sıkma Karışık Meyve Suyu</t>
  </si>
  <si>
    <t xml:space="preserve">Portakal, nar </t>
  </si>
  <si>
    <t>Limonata</t>
  </si>
  <si>
    <t>Tavuk Döner Dürüm Menü</t>
  </si>
  <si>
    <t>Tavuk Döner Menü</t>
  </si>
  <si>
    <t xml:space="preserve">Tavuk Döner + İçecek (1 L.) </t>
  </si>
  <si>
    <t>Çiğ Köfte Dürüm Menü</t>
  </si>
  <si>
    <t xml:space="preserve">Çiğ Köfte Dürüm + Ayran (20 cl.) </t>
  </si>
  <si>
    <t>Çiğ Köfte (250 gr.) Menü</t>
  </si>
  <si>
    <t xml:space="preserve">Çiğ Köfte (250 gr.) + İçecek (1 L.) </t>
  </si>
  <si>
    <t>Çiğ Köfte (500 gr.) Menü</t>
  </si>
  <si>
    <t xml:space="preserve">Çiğ Köfte (500 gr.) + İçecek (1 L.) </t>
  </si>
  <si>
    <t>Çiğ Köfte (750 gr.) Menü</t>
  </si>
  <si>
    <t xml:space="preserve">Çiğ Köfte (750 gr.) + İçecek (1 L.) </t>
  </si>
  <si>
    <t>Çiğ Köfte (1 kg.) Menü</t>
  </si>
  <si>
    <t xml:space="preserve">Çiğ Köfte (1 kg.) + İçecek (1 L.) </t>
  </si>
  <si>
    <t xml:space="preserve">150 gr. tavuk döner. Mevsim salata, salatalık turşusu, biber turşusu ile </t>
  </si>
  <si>
    <t xml:space="preserve">80 gr. tavuk döner, mevsim salata, ketçap, mayonez </t>
  </si>
  <si>
    <t>Somun Ekmek Arası Tavuk Döner</t>
  </si>
  <si>
    <t xml:space="preserve">80 gr. tavuk döner. Salata ile </t>
  </si>
  <si>
    <t xml:space="preserve">Göbek marul, domates, limon, nar ekşisi, 6 adet lavaş, isteğe göre acı sos ile </t>
  </si>
  <si>
    <t xml:space="preserve">90 gr. çiğ köfte, marul, domates, nar ekşisi, isteğe göre acı sos </t>
  </si>
  <si>
    <t>Çiğ Köfte (1 kg.) (Garnitürsüz)</t>
  </si>
  <si>
    <t xml:space="preserve">Göbek marul, domates, limon, nar ekşisi, 3 adet lavaş, isteğe göre acı sos ile </t>
  </si>
  <si>
    <t xml:space="preserve">Göbek marul, domates, limon, nar ekşisi, 10 adet lavaş, isteğe göre acı sos ile </t>
  </si>
  <si>
    <t>Çiğ Köfte (750 gr.)</t>
  </si>
  <si>
    <t xml:space="preserve">Göbek marul, domates, limon, nar ekşisi, 8 adet lavaş, isteğe göre acı sos ile </t>
  </si>
  <si>
    <t>Çiğ Köfte (500 gr.) (Garnitürsüz)</t>
  </si>
  <si>
    <t>12,50 TL</t>
  </si>
  <si>
    <t>Lavaş (Adet)</t>
  </si>
  <si>
    <t>0,50 TL</t>
  </si>
  <si>
    <t>Göbek Marul (Çeyrek)</t>
  </si>
  <si>
    <t>2,50 TL</t>
  </si>
  <si>
    <t>Göbek Marul (Yarım)</t>
  </si>
  <si>
    <t>Nar Ekşisi</t>
  </si>
  <si>
    <t>Acı Sos</t>
  </si>
  <si>
    <t>Acılı Şalgam Suyu (1 L.)</t>
  </si>
  <si>
    <t xml:space="preserve">Acılı </t>
  </si>
  <si>
    <t>Coca-Cola (1 L.)</t>
  </si>
  <si>
    <t>Fanta (20 cl.)</t>
  </si>
  <si>
    <t>Cappy Şeftali (1 L.)</t>
  </si>
  <si>
    <t>Uludağ Şekersiz Limonata (1 L.)</t>
  </si>
  <si>
    <t>Fanta (2,5 L.)</t>
  </si>
  <si>
    <t>9,50 TL</t>
  </si>
  <si>
    <t>Fanta (1 L.)</t>
  </si>
  <si>
    <t>Coca-Cola (2,5 L.)</t>
  </si>
  <si>
    <t>Coca-Cola (20 cl.)</t>
  </si>
  <si>
    <t>Hoşverdi (500 gr.)</t>
  </si>
  <si>
    <t>Fıstıklı Kaymaklı Kadayıf (500 gr.)</t>
  </si>
  <si>
    <t>Peynirli Künefe (2 Kişilik)</t>
  </si>
  <si>
    <t>Midye Baklava (500 gr.)</t>
  </si>
  <si>
    <t>Peynirli Künefe (1 Kişilik)</t>
  </si>
  <si>
    <t>Peynirli Hasır (1 Kişilik)</t>
  </si>
  <si>
    <t>Cevizli Paşa (1 Kişilik)</t>
  </si>
  <si>
    <t>En Fıstık Özel (1 Kişilik)</t>
  </si>
  <si>
    <t>Antep Katmer (1 Kişilik)</t>
  </si>
  <si>
    <t>Kaymaklı Paşa (1 Kişilik)</t>
  </si>
  <si>
    <t>Cennet Çamuru (1 Kişilik)</t>
  </si>
  <si>
    <t>Yeşil Sultan (1 Kişilik)</t>
  </si>
  <si>
    <t>Peynirli Paşa (1 Kişilik)</t>
  </si>
  <si>
    <t>Special Hasır Künefe (1 Kişilik)</t>
  </si>
  <si>
    <t>Billuriye (1 Kişilik)</t>
  </si>
  <si>
    <t>Special Hasır Künefe (2 Kişilik)</t>
  </si>
  <si>
    <t>Cennet Çamuru (2 Kişilik)</t>
  </si>
  <si>
    <t>Peynirli Hasır (2 Kişilik)</t>
  </si>
  <si>
    <t>Billuriye (2 Kişilik)</t>
  </si>
  <si>
    <t>En Fıstık Özel (2 Kişilik)</t>
  </si>
  <si>
    <t>Kaymaklı Paşa (2 Kişilik)</t>
  </si>
  <si>
    <t>Enburger (2 Kişilik)</t>
  </si>
  <si>
    <t>85,00 TL</t>
  </si>
  <si>
    <t>Cevizli Paşa (2 Kişilik)</t>
  </si>
  <si>
    <t>Peynirli Paşa (2 Kişilik)</t>
  </si>
  <si>
    <t>Yarı Yarıya (2 Kişilik)</t>
  </si>
  <si>
    <t>Karışık Künefe (2 Kişilik)</t>
  </si>
  <si>
    <t>Yeşil Sultan (2 Kişilik)</t>
  </si>
  <si>
    <t>En Fıstık Özel Ekstra (2 Kişilik)</t>
  </si>
  <si>
    <t>Kaymaklı Paşa (3 Kişilik)</t>
  </si>
  <si>
    <t>77,00 TL</t>
  </si>
  <si>
    <t>Special Hasır Künefe (3 Kişilik)</t>
  </si>
  <si>
    <t>83,00 TL</t>
  </si>
  <si>
    <t>Yarı Yarıya (3 Kişilik)</t>
  </si>
  <si>
    <t>81,00 TL</t>
  </si>
  <si>
    <t>Cennet Çamuru (3 Kişilik)</t>
  </si>
  <si>
    <t>92,00 TL</t>
  </si>
  <si>
    <t>Cevizli Paşa (3 Kişilik)</t>
  </si>
  <si>
    <t>Peynirli Künefe (3 Kişilik)</t>
  </si>
  <si>
    <t>71,00 TL</t>
  </si>
  <si>
    <t>Peynirli Hasır (3 Kişilik)</t>
  </si>
  <si>
    <t>En Fıstık Özel (3 Kişilik)</t>
  </si>
  <si>
    <t>98,00 TL</t>
  </si>
  <si>
    <t>Enburger (3 Kişilik)</t>
  </si>
  <si>
    <t>110,00 TL</t>
  </si>
  <si>
    <t>Karışık Künefe (3 Kişilik)</t>
  </si>
  <si>
    <t>86,00 TL</t>
  </si>
  <si>
    <t>Yeşil Sultan (3 Kişilik)</t>
  </si>
  <si>
    <t>En Fıstık Özel Ekstra (3 Kişilik)</t>
  </si>
  <si>
    <t>Billuriye (3 Kişilik)</t>
  </si>
  <si>
    <t>Peynirli Paşa (3 Kişilik)</t>
  </si>
  <si>
    <t>En Fıstık Özel (4 Kişilik)</t>
  </si>
  <si>
    <t>130,00 TL</t>
  </si>
  <si>
    <t>Yarı Yarıya (4 Kişilik)</t>
  </si>
  <si>
    <t>108,00 TL</t>
  </si>
  <si>
    <t>Yeşil Sultan (4 Kişilik)</t>
  </si>
  <si>
    <t>122,00 TL</t>
  </si>
  <si>
    <t>Peynirli Künefe (4 Kişilik)</t>
  </si>
  <si>
    <t>94,00 TL</t>
  </si>
  <si>
    <t>Enburger (4 Kişilik)</t>
  </si>
  <si>
    <t>145,00 TL</t>
  </si>
  <si>
    <t>Peynirli Hasır (4 Kişilik)</t>
  </si>
  <si>
    <t>102,00 TL</t>
  </si>
  <si>
    <t>Cennet Çamuru (4 Kişilik)</t>
  </si>
  <si>
    <t>Special Hasır Künefe (4 Kişilik)</t>
  </si>
  <si>
    <t>Kaymaklı Paşa (4 Kişilik)</t>
  </si>
  <si>
    <t>En Fıstık Özel Ekstra (4 Kişilik)</t>
  </si>
  <si>
    <t>121,00 TL</t>
  </si>
  <si>
    <t>Karışık Künefe (4 Kişilik)</t>
  </si>
  <si>
    <t>114,00 TL</t>
  </si>
  <si>
    <t>Billuriye (4 Kişilik)</t>
  </si>
  <si>
    <t>Cevizli Paşa (4 Kişilik)</t>
  </si>
  <si>
    <t>Peynirli Paşa (4 Kişilik)</t>
  </si>
  <si>
    <t>Cevizli Paşa (6 Kişilik)</t>
  </si>
  <si>
    <t>152,00 TL</t>
  </si>
  <si>
    <t>Yarı Yarıya (6 Kişilik)</t>
  </si>
  <si>
    <t>160,00 TL</t>
  </si>
  <si>
    <t>Cennet Çamuru (6 Kişilik)</t>
  </si>
  <si>
    <t>182,00 TL</t>
  </si>
  <si>
    <t>Peynirli Hasır (6 Kişilik)</t>
  </si>
  <si>
    <t>Peynirli Künefe (6 Kişilik)</t>
  </si>
  <si>
    <t>140,00 TL</t>
  </si>
  <si>
    <t>Yeşil Sultan (6 Kişilik)</t>
  </si>
  <si>
    <t>Kaymaklı Paşa (6 Kişilik)</t>
  </si>
  <si>
    <t>En Fıstık Özel (6 Kişilik)</t>
  </si>
  <si>
    <t>194,00 TL</t>
  </si>
  <si>
    <t>Karışık Künefe (6 Kişilik)</t>
  </si>
  <si>
    <t>170,00 TL</t>
  </si>
  <si>
    <t>Peynirli Paşa (6 Kişilik)</t>
  </si>
  <si>
    <t>Special Hasır Künefe (6 Kişilik)</t>
  </si>
  <si>
    <t>164,00 TL</t>
  </si>
  <si>
    <t>Billuriye (6 Kişilik)</t>
  </si>
  <si>
    <t>En Fıstık Özel Ekstra (6 Kişilik)</t>
  </si>
  <si>
    <t>188,00 TL</t>
  </si>
  <si>
    <t>Fıstıklı Baklava (500 gr.)</t>
  </si>
  <si>
    <t>Şöbiyet (500 gr.)</t>
  </si>
  <si>
    <t>Fıstıklı Kadayıf (500 gr.)</t>
  </si>
  <si>
    <t>Kuru Baklava (500 gr.)</t>
  </si>
  <si>
    <t>Cevizli Baklava (500 gr.)</t>
  </si>
  <si>
    <t>Sade Kesme Dondurma (500 gr.)</t>
  </si>
  <si>
    <t>Özel Kesim Baklava (500 gr.)</t>
  </si>
  <si>
    <t>Yeşil Sarma (500 gr.)</t>
  </si>
  <si>
    <t>Fıstıklı Burma Kadayıf (500 gr.)</t>
  </si>
  <si>
    <t>Sade Kesme Dondurma (1 kg.)</t>
  </si>
  <si>
    <t>Fıstıklı Kaymaklı Kadayıf (1 kg.)</t>
  </si>
  <si>
    <t>Özel Kesim Baklava (1 kg.)</t>
  </si>
  <si>
    <t>Fıstıklı Burma Kadayıf (1 kg.)</t>
  </si>
  <si>
    <t>Şöbiyet (1 kg.)</t>
  </si>
  <si>
    <t>Yeşil Sarma (1 kg.)</t>
  </si>
  <si>
    <t xml:space="preserve">Mevsim salata, soğan, ezme ile </t>
  </si>
  <si>
    <t>25,99 TL</t>
  </si>
  <si>
    <t xml:space="preserve">Mevsim salata, soğan, ezme, kırmızılahana ile </t>
  </si>
  <si>
    <t>39,99 TL</t>
  </si>
  <si>
    <t>Lahmacun Menü</t>
  </si>
  <si>
    <t xml:space="preserve">9 Adet Lahmacun + Coca Cola (1 L.) </t>
  </si>
  <si>
    <t>89,99 TL</t>
  </si>
  <si>
    <t>Külbastı</t>
  </si>
  <si>
    <t>54,99 TL</t>
  </si>
  <si>
    <t>Küşleme</t>
  </si>
  <si>
    <t>Pirzola - Şu anda mevcut değil.</t>
  </si>
  <si>
    <t>Zırh Kebabı</t>
  </si>
  <si>
    <t>Hancı Special</t>
  </si>
  <si>
    <t xml:space="preserve">Pirzola, külbastı, çöp şiş, ciğer, fındık lahmacun. Mevsim salata, ezme, soğan ile </t>
  </si>
  <si>
    <t xml:space="preserve">Domatesli kebap, tavuk kanat, tavuk şiş, et şiş, çöp şiş, fındık lahmacun </t>
  </si>
  <si>
    <t>74,99 TL</t>
  </si>
  <si>
    <t xml:space="preserve">Pirzola, domatesli kebap, tavuk kanat, tavuk şiş, et şiş, çöp şiş, Adana kebap, fındık lahmacun </t>
  </si>
  <si>
    <t>Kaşarlı Kıymalı Pide</t>
  </si>
  <si>
    <t xml:space="preserve">Kıyma, kaşar peyniri, kuşbaşı. Mevsim salata, soğan, ezme, kırmızılahana ile </t>
  </si>
  <si>
    <t>37,99 TL</t>
  </si>
  <si>
    <t>Sucuklu Pizza (Orta)</t>
  </si>
  <si>
    <t xml:space="preserve">Kaşar peyniri, sucuk, zeytin. Mevsim salata, soğan, ezme, kırmızılahana ile </t>
  </si>
  <si>
    <t>Coca Cola Zero Sugar (33 cl.)</t>
  </si>
  <si>
    <t>Coca Cola Şekersiz (33 cl.)</t>
  </si>
  <si>
    <t>Coca Cola (20 cl.)</t>
  </si>
  <si>
    <t>Sac Tava</t>
  </si>
  <si>
    <t xml:space="preserve">Domates, biber, salata, yoğurt ile </t>
  </si>
  <si>
    <t xml:space="preserve">Dana sucuk, kaşar peyniri, yumurta </t>
  </si>
  <si>
    <t>19,00 TL</t>
  </si>
  <si>
    <t xml:space="preserve">160 gr. burger köftesi, cheddar peyniri, karamelize soğan </t>
  </si>
  <si>
    <t>Dana Burger</t>
  </si>
  <si>
    <t xml:space="preserve">160 gr. burger köftesi, patates kızartması, salsa sos, salatalık, turşu, marul, domates, karamelize soğan </t>
  </si>
  <si>
    <t>Günün Çorbası</t>
  </si>
  <si>
    <t xml:space="preserve">130 gr. tavuk döner. Ezme, haydari, soğan ile </t>
  </si>
  <si>
    <t>Ekmek Arası Köfte</t>
  </si>
  <si>
    <t xml:space="preserve">Ketçap, mayonez, salata, patates kızartması </t>
  </si>
  <si>
    <t>Kokoreç - Şu anda mevcut değil.</t>
  </si>
  <si>
    <t xml:space="preserve">Soğan ile </t>
  </si>
  <si>
    <t>Spaghetti Bolognese</t>
  </si>
  <si>
    <t>Spaghetti Napolitan</t>
  </si>
  <si>
    <t>Fettuccine Alfredo</t>
  </si>
  <si>
    <t>Tavuk Dürüm</t>
  </si>
  <si>
    <t xml:space="preserve">8-10 sıkım çiğ köfte, limon, marul, nar ekşisi, 2 adet lavaş ile </t>
  </si>
  <si>
    <t>Fıstık Dalgası</t>
  </si>
  <si>
    <t>Cappy Karışık (33 cl.)</t>
  </si>
  <si>
    <t xml:space="preserve">Cam şişe </t>
  </si>
  <si>
    <t>Açık Ayran (20 cl.)</t>
  </si>
  <si>
    <t>Soda (20 cl)</t>
  </si>
  <si>
    <t xml:space="preserve">Tam göbek marul, 6 adet nar ekşisi, 6 adet acı sos, 12 adet lavaş ile </t>
  </si>
  <si>
    <t xml:space="preserve">100 gr. çiğ köfte, kıvırcık marul, acı sos, nar ekşisi </t>
  </si>
  <si>
    <t xml:space="preserve">3/4 göbek marul, 4 adet nar ekşisi, 4 adet acı sos, 8 adet lavaş ile </t>
  </si>
  <si>
    <t>Çiğ Köfte (400 gr.)</t>
  </si>
  <si>
    <t xml:space="preserve">Yarım göbek marul, 3 adet nar ekşisi, 3 adet acı sos, 6 adet lavaş ile </t>
  </si>
  <si>
    <t>Çiğ Köfte (300 gr.)</t>
  </si>
  <si>
    <t xml:space="preserve">Çeyrek göbek marul, 2 adet nar ekşisi, acı sos, 5 adet lavaş ile </t>
  </si>
  <si>
    <t>Çiğ Köfte (800 gr.)</t>
  </si>
  <si>
    <t xml:space="preserve">Yarım göbek marul, 6 adet nar ekşisi, 6 adet acı sos, 10 adet lavaş ile </t>
  </si>
  <si>
    <t>Mega Çiğ Köfte Dürüm</t>
  </si>
  <si>
    <t xml:space="preserve">150 gr. çiğ köfte, kıvırcık marul, acı sos, nar ekşisi </t>
  </si>
  <si>
    <t>Pepsi (33 cl.)</t>
  </si>
  <si>
    <t>Pepsi Light (33 cl.)</t>
  </si>
  <si>
    <t xml:space="preserve">Kaşar peyniri, dana sucuk. Patates kızartması, Akdeniz yeşillikleri ile </t>
  </si>
  <si>
    <t xml:space="preserve">Dana sucuk. Patates kızartması, Akdeniz yeşillikleri ile </t>
  </si>
  <si>
    <t xml:space="preserve">Kaşar peyniri, dana sucuk, dana salam. Patates kızartması, Akdeniz yeşillikleri ile </t>
  </si>
  <si>
    <t>Peynirli Gözleme</t>
  </si>
  <si>
    <t>Kaşarlı Gözleme</t>
  </si>
  <si>
    <t>Karışık Gözleme</t>
  </si>
  <si>
    <t xml:space="preserve">Patates, dana salam, kaşar peyniri </t>
  </si>
  <si>
    <t>Patatesli Gözleme</t>
  </si>
  <si>
    <t xml:space="preserve">Tavuk göğüs, renkli biberler, mantar, köri baharatı, krema. Elma dilim patates kızartması, küçük salata ile </t>
  </si>
  <si>
    <t xml:space="preserve">3 çeşit sos, tavuk bonfile, fajita baharatı, renkli biberler, soğan. Tortilla ekmeği ile </t>
  </si>
  <si>
    <t xml:space="preserve">Akdeniz yeşillikleri, patates kızartması ile </t>
  </si>
  <si>
    <t xml:space="preserve">3 çeşit sos, bonfile, fajita baharatı, renkli biberler, soğan. Tortilla ekmeği ile </t>
  </si>
  <si>
    <t>Margherita Pizza</t>
  </si>
  <si>
    <t xml:space="preserve">Pizza sos, kekikli mozzarella peyniri, domates </t>
  </si>
  <si>
    <t>Vegetable Pizza</t>
  </si>
  <si>
    <t xml:space="preserve">Pizza sos, kekikli mozzarella peyniri, kabak, mısır, kırmızıbiber, yeşilbiber, domates, mantar </t>
  </si>
  <si>
    <t>Mexican Pizza</t>
  </si>
  <si>
    <t xml:space="preserve">Pizza sos, kekikli mozzarella peyniri, acı sos, ızgara tavuk, kırmızıbiber, yeşilbiber </t>
  </si>
  <si>
    <t>Mix Pizza</t>
  </si>
  <si>
    <t xml:space="preserve">Pizza sos, dana sosis, dana sucuk, dana salam, mantar, kekikli mozzarella peyniri, mısır, domates, kırmızıbiber, yeşilbiber </t>
  </si>
  <si>
    <t>Kavurmalı Pizza</t>
  </si>
  <si>
    <t>Mantı</t>
  </si>
  <si>
    <t xml:space="preserve">Ev yapımı. İsteğe göre yoğurt, kırmızıbiber sos </t>
  </si>
  <si>
    <t xml:space="preserve">Bolonez sos, dana kıyma, parmesan peyniri </t>
  </si>
  <si>
    <t xml:space="preserve">Napolitan sos, parmesan peyniri </t>
  </si>
  <si>
    <t>Penne Arrabbiata</t>
  </si>
  <si>
    <t xml:space="preserve">Krema, fesleğen sos, parmesan peyniri </t>
  </si>
  <si>
    <t>Kremalı Mantarlı Tavuklu Penne</t>
  </si>
  <si>
    <t>Mantarlı Penne</t>
  </si>
  <si>
    <t>Tavuklu Penne</t>
  </si>
  <si>
    <t>Tavuklu Wrap</t>
  </si>
  <si>
    <t xml:space="preserve">Tortilla ekmeğine ızgara tavuk, kaşar peyniri, renkli biberler, soğan. Elma dilim patates kızartması, Akdeniz yeşillikleri, kokteyl sos ile </t>
  </si>
  <si>
    <t>Etli Wrap</t>
  </si>
  <si>
    <t xml:space="preserve">Tortilla ekmeğine ızgara bonfile, kaşar peyniri, renkli biber, soğan. Elma dilim patates kızartması, Akdeniz yeşillikleri, kokteyl sos ile </t>
  </si>
  <si>
    <t>Köfteli Wrap</t>
  </si>
  <si>
    <t xml:space="preserve">Tortilla ekmeğine ızgara köfte, kaşar peyniri, renkli biber, soğan. Elma dilim patates kızartması, Akdeniz yeşillikleri, kokteyl sos ile </t>
  </si>
  <si>
    <t xml:space="preserve">Çikolata, 1 adet mevsim meyvesi </t>
  </si>
  <si>
    <t>Mix Waffle</t>
  </si>
  <si>
    <t xml:space="preserve">Çikolata, mevsim meyveleri, dondurma </t>
  </si>
  <si>
    <t>Double Waffle</t>
  </si>
  <si>
    <t>Red Bull (25 cl.)</t>
  </si>
  <si>
    <t>Su (33 cl.)</t>
  </si>
  <si>
    <t>İzmir Midye Dolma (Adet)</t>
  </si>
  <si>
    <t xml:space="preserve">100 gr. kasap köfte </t>
  </si>
  <si>
    <t>Yarım Ekmek İzmir Kokoreç (Sade)</t>
  </si>
  <si>
    <t xml:space="preserve">Turşu biber ile </t>
  </si>
  <si>
    <t>İzmir Midye Dolma (15 Adet)</t>
  </si>
  <si>
    <t>3/4 Ekmek Arası İzmir Usulü (Sade)</t>
  </si>
  <si>
    <t>3/4 Ekmek Arası İstanbul Usulü (Sebzeli)</t>
  </si>
  <si>
    <t>Çeyrek Ekmek Arası İstanbul Usulü (Sebzeli)</t>
  </si>
  <si>
    <t>Yarım Ekmek İstanbul Usulü Kokoreç (Sebzeli)</t>
  </si>
  <si>
    <t>Çeyrek Ekmek Arası İzmir Usulü Kokoreç (Sade)</t>
  </si>
  <si>
    <t>İzmir Midye Dolma (1 kg.)</t>
  </si>
  <si>
    <t>İzmir Midye Dolma (500 gr.)</t>
  </si>
  <si>
    <t>Şırdan</t>
  </si>
  <si>
    <t>Mumbar Dolması</t>
  </si>
  <si>
    <t xml:space="preserve">Biber turşusu ile </t>
  </si>
  <si>
    <t>Tavuklu Pilav</t>
  </si>
  <si>
    <t xml:space="preserve">Turşu, domates ile </t>
  </si>
  <si>
    <t>14,00 TL</t>
  </si>
  <si>
    <t>Ayran (17 cl.)</t>
  </si>
  <si>
    <t xml:space="preserve">Acılı ezme, mevsim salata, soğan, domates söğüş ile </t>
  </si>
  <si>
    <t>Adana Dürüm</t>
  </si>
  <si>
    <t xml:space="preserve">Mevsim salata ile </t>
  </si>
  <si>
    <t>15,99 TL</t>
  </si>
  <si>
    <t>Tavuk Şiş Dürüm</t>
  </si>
  <si>
    <t xml:space="preserve">Bulgur pilavı, pişmiş biber ile </t>
  </si>
  <si>
    <t>26,99 TL</t>
  </si>
  <si>
    <t xml:space="preserve">Acılı ezme, mevsim salata, domates, söğüş, soğan, az bulgur pilavı, pişmiş biber ile </t>
  </si>
  <si>
    <t>44,99 TL</t>
  </si>
  <si>
    <t>Et Şiş</t>
  </si>
  <si>
    <t>36,99 TL</t>
  </si>
  <si>
    <t xml:space="preserve">Et şiş, tavuk şiş, tavuk kanat, Adana kebap, fındık lahmacun, domatesli kebap. Acılı ezme, mevsim salata, soğan, domates söğüş ile </t>
  </si>
  <si>
    <t>57,99 TL</t>
  </si>
  <si>
    <t xml:space="preserve">Domatesli kebap, tavuk kanat, tavuk şiş, Adana kebap, et şiş, fındık lahmacun, az kuşbaşılı pide, az kaşarlı pide. Acılı ezme, mevsim salata, soğan, domates söğüş ile </t>
  </si>
  <si>
    <t>79,99 TL</t>
  </si>
  <si>
    <t>Et Şiş Dürüm</t>
  </si>
  <si>
    <t>18,99 TL</t>
  </si>
  <si>
    <t xml:space="preserve">Kaşar peyniri, kuşbaşı eti, kıyma. Acılı ezme, mevsim salata, soğan, domates söğüş ile </t>
  </si>
  <si>
    <t>Karışık Pizza (Büyük)</t>
  </si>
  <si>
    <t xml:space="preserve">Kıyma, kaşar peyniri, yumurta, domates, biber. Acılı ezme, mevsim salata, soğan, domates söğüş ile </t>
  </si>
  <si>
    <t>38,99 TL</t>
  </si>
  <si>
    <t>4,50 TL</t>
  </si>
  <si>
    <t>Yedigün (33 cl.)</t>
  </si>
  <si>
    <t>Kral Tavuk Döner Dürüm</t>
  </si>
  <si>
    <t xml:space="preserve">Patates kızartması, mayonez, sos, turşu </t>
  </si>
  <si>
    <t>Kral Zurna Tavuk Döner Dürüm</t>
  </si>
  <si>
    <t>Kral Tekli Menü</t>
  </si>
  <si>
    <t xml:space="preserve">Tavuk Döner Dürüm + Patates Kızartması + Ayran (30 cl.) </t>
  </si>
  <si>
    <t>21,00 TL</t>
  </si>
  <si>
    <t>Kral Zurna Tavuk Döner Menü</t>
  </si>
  <si>
    <t xml:space="preserve">Kral Zurna Tavuk Döner + Patates Kızartması + Coca-Cola (20 cl.) </t>
  </si>
  <si>
    <t>Kral Çıtır Menü</t>
  </si>
  <si>
    <t xml:space="preserve">Tavuk Döner Dürüm + Patates Kızartması + Soğan Halkası + Ayran (30 cl.) </t>
  </si>
  <si>
    <t>Kral Double Menü</t>
  </si>
  <si>
    <t xml:space="preserve">2 Adet Tavuk Döner Dürüm + Patates Kızartması + 2 Adet Ayran (30 cl.) </t>
  </si>
  <si>
    <t>Kral Jumbo Menü</t>
  </si>
  <si>
    <t xml:space="preserve">Tavuk Döner Dürüm + Patates Kızartması + Coca-Cola (20 cl.) </t>
  </si>
  <si>
    <t>Kral Jumbo Zurna Menü</t>
  </si>
  <si>
    <t xml:space="preserve">Zurna Tavuk Döner Dürüm + Patates Kızartması + Coca-Cola (20 cl.) </t>
  </si>
  <si>
    <t>Kral Zurna Çıtır Menü</t>
  </si>
  <si>
    <t xml:space="preserve">Zurna Tavuk Döner Dürüm + Patates Kızartması + Soğan Halkası + Ayran (30 cl.) </t>
  </si>
  <si>
    <t>Kral Mercimek Çorbası</t>
  </si>
  <si>
    <t>Kaşarlı Zurna Tavuk Döner</t>
  </si>
  <si>
    <t xml:space="preserve">Patates kızartması, mayonez, sos, turşu, kaşar peyniri </t>
  </si>
  <si>
    <t>Kral Sumaklı Soğanlı Tavuk Döner Dürüm</t>
  </si>
  <si>
    <t xml:space="preserve">Domates, sumaklı soğan, Hatay sos, mayonez, turşu </t>
  </si>
  <si>
    <t>Kral Small Tavuk Döner Dürüm</t>
  </si>
  <si>
    <t xml:space="preserve">60 gr. tavuk döner, patates kızartması, Hatay sos, turşu, mayonez </t>
  </si>
  <si>
    <t>Kral Veggie Dürüm</t>
  </si>
  <si>
    <t xml:space="preserve">Patates kızartması, Hatay sos, mayonez, turşu </t>
  </si>
  <si>
    <t>Kral Tavuk Döner</t>
  </si>
  <si>
    <t xml:space="preserve">140 gr. tavuk döner, pilav </t>
  </si>
  <si>
    <t>Kral Tavuk Döner Sandviç</t>
  </si>
  <si>
    <t>Kral Psikopat Tavuk Döner Dürüm</t>
  </si>
  <si>
    <t xml:space="preserve">Patates kızartması, mayonez, sos, turşu, acı </t>
  </si>
  <si>
    <t>Kaşarlı Kral Tavuk Döner Dürüm</t>
  </si>
  <si>
    <t>Psikopat Zurna Tavuk Döner Dürüm</t>
  </si>
  <si>
    <t>Zurna Kaşarlı Tavuk Döner Dürüm</t>
  </si>
  <si>
    <t>Kral Kaşarlı Tavuk Döner Dürüm</t>
  </si>
  <si>
    <t>Soğan Halkası (5 Adet)</t>
  </si>
  <si>
    <t>Soğan Halkası (8 Adet)</t>
  </si>
  <si>
    <t>Soğan Halkası (12 Adet)</t>
  </si>
  <si>
    <t>Pirinç Pilavı (Kase)</t>
  </si>
  <si>
    <t>Acılı Şalgam Suyu (33 cl.)</t>
  </si>
  <si>
    <t>Acısız Şalgam Suyu (33 cl.)</t>
  </si>
  <si>
    <t>Pepsi (1 L.)</t>
  </si>
  <si>
    <t>Yedigün (1 L.)</t>
  </si>
  <si>
    <t>Pepsi (2,5 L.)</t>
  </si>
  <si>
    <t>Yedigün (2,5 L.)</t>
  </si>
  <si>
    <t>Su Böreği</t>
  </si>
  <si>
    <t xml:space="preserve">Beyaz peynir, maydanoz </t>
  </si>
  <si>
    <t>Kol Böreği</t>
  </si>
  <si>
    <t xml:space="preserve">80 gr. kıyma </t>
  </si>
  <si>
    <t>Kürt Böreği</t>
  </si>
  <si>
    <t>Patatesli Kol Böreği</t>
  </si>
  <si>
    <t>Peynirli Kol Böreği</t>
  </si>
  <si>
    <t>Simit</t>
  </si>
  <si>
    <t>Patatesli Poğaça</t>
  </si>
  <si>
    <t xml:space="preserve">100 gr. dana kıyma </t>
  </si>
  <si>
    <t>Peynirli Poğaça</t>
  </si>
  <si>
    <t>Sade Açma</t>
  </si>
  <si>
    <t>Zeytinli Poğaça</t>
  </si>
  <si>
    <t>Patatesli Kır Pidesi</t>
  </si>
  <si>
    <t>Kıymalı Kır Pidesi</t>
  </si>
  <si>
    <t>Kıymalı Kol Böreği (1 kg.)</t>
  </si>
  <si>
    <t>Patatesli Kol Böreği (1 kg.)</t>
  </si>
  <si>
    <t>Su Böreği (1 kg.)</t>
  </si>
  <si>
    <t>Kürt Böreği (1 kg.)</t>
  </si>
  <si>
    <t>Peynirli Kol Böreği (1 kg.)</t>
  </si>
  <si>
    <t>Çikolatalı Boyoz</t>
  </si>
  <si>
    <t>Peynirli Börek</t>
  </si>
  <si>
    <t>Sade Boyoz</t>
  </si>
  <si>
    <t>Peynirli Boyoz</t>
  </si>
  <si>
    <t>Kıymalı Börek</t>
  </si>
  <si>
    <t>Seçilmiş Menü (Peynirli Börek (1 kg.)) - Şu anda mevcut değil.</t>
  </si>
  <si>
    <t xml:space="preserve">Peynirli Börek (1 kg.) + Coca-Cola (1 L.) </t>
  </si>
  <si>
    <t>62,02 TL</t>
  </si>
  <si>
    <t>Pizza Menü 1</t>
  </si>
  <si>
    <t xml:space="preserve">Büyük Boy Pizza + Patates Kızartması + Coca-Cola (2,5 L.) </t>
  </si>
  <si>
    <t>82,50 TL</t>
  </si>
  <si>
    <t>Pizza Menü 2</t>
  </si>
  <si>
    <t xml:space="preserve">Büyük Boy Pizza + Çıtır Kova (Patates kızartması, paçanga böreği, vegan böreği, puf böreği, sigara böreği, patates kroket, karnabahar kroket) + Coca-Cola (2,5 L.) </t>
  </si>
  <si>
    <t>93,50 TL</t>
  </si>
  <si>
    <t>Pizza Menü 5</t>
  </si>
  <si>
    <t xml:space="preserve">Büyük Boy Pizza + Patates Kızartması + Ayran (1 L.) </t>
  </si>
  <si>
    <t>Pizza Menü 6</t>
  </si>
  <si>
    <t xml:space="preserve">Büyük Boy Pizza + Çıtır Kova (Patates kızartması, paçanga böreği, vegan böreği, puf böreği, sigara böreği, patates kroket, karnabahar kroket) + Ayran (1 L.) </t>
  </si>
  <si>
    <t>92,50 TL</t>
  </si>
  <si>
    <t>Ispanaklı Börek</t>
  </si>
  <si>
    <t>Kavurmalı Börek - Şu anda mevcut değil.</t>
  </si>
  <si>
    <t>Patatesli Börek</t>
  </si>
  <si>
    <t>Karışık Pizza (Büyük Boy)</t>
  </si>
  <si>
    <t xml:space="preserve">Sucuk, mısır, zeytin, kaşar peyniri, domates, kırmızıbiber, yeşil biber </t>
  </si>
  <si>
    <t>Ispanaklı Boyoz</t>
  </si>
  <si>
    <t>5,50 TL</t>
  </si>
  <si>
    <t>Eker Ayran (29,3 cl.)</t>
  </si>
  <si>
    <t>Cappy (1 L.)</t>
  </si>
  <si>
    <t>Cappy Pulpy (1 L.)</t>
  </si>
  <si>
    <t>Ispanaklı Börek (1 kg.)</t>
  </si>
  <si>
    <t>Patatesli Börek (1 kg.)</t>
  </si>
  <si>
    <t>Kavurmalı Börek (1 kg.) - Şu anda mevcut değil.</t>
  </si>
  <si>
    <t>Kıymalı Börek (1 kg.)</t>
  </si>
  <si>
    <t>Peynirli Börek (1 kg.)</t>
  </si>
  <si>
    <t>Peynirli Adana Böreği (500 gr.) - Şu anda mevcut değil.</t>
  </si>
  <si>
    <t>32,50 TL</t>
  </si>
  <si>
    <t>Ispanaklı Adana Su Böreği (500 gr.)</t>
  </si>
  <si>
    <t>Patatesli Adana böreği (500 gr.)</t>
  </si>
  <si>
    <t>Kavurmalı Adana Böreği (500 gr.) - Şu anda mevcut değil.</t>
  </si>
  <si>
    <t>Kıymalı Adana Böreği (500 gr.)</t>
  </si>
  <si>
    <t>42,50 TL</t>
  </si>
  <si>
    <t xml:space="preserve">120 gr. çiğ köfte, göbek marul, nane, maydanoz, acı sos, nar ekşisi, limon, turşu </t>
  </si>
  <si>
    <t xml:space="preserve">5 adet lavaş, marul, nar ekşisi, acı sos, turşu ile </t>
  </si>
  <si>
    <t xml:space="preserve">95 gr. çiğ köfte, göbek marul, nane, maydanoz, roka, acı sos, nar ekşisi, limon, turşu </t>
  </si>
  <si>
    <t xml:space="preserve">7 adet lavaş, marul, nar ekşisi, acı sos, turşu ile </t>
  </si>
  <si>
    <t xml:space="preserve">3 adet lavaş, marul, nar ekşisi, acı sos, turşu ile </t>
  </si>
  <si>
    <t xml:space="preserve">10 adet lavaş, marul, nar ekşisi, acı sos, turşu ile </t>
  </si>
  <si>
    <t>58,00 TL</t>
  </si>
  <si>
    <t>Coca-Cola Şekersiz (33 cl.)</t>
  </si>
  <si>
    <t xml:space="preserve">6 adet lavaş, marul, nar ekşisi, acı sos, turşu ile </t>
  </si>
  <si>
    <t xml:space="preserve">9 adet lavaş, marul, nar ekşisi, acı sos, turşu ile </t>
  </si>
  <si>
    <t xml:space="preserve">12 adet lavaş, marul, nar ekşisi, acı sos, turşu ile </t>
  </si>
  <si>
    <t>Karışık Meyveli Dondurma (500 gr.)</t>
  </si>
  <si>
    <t xml:space="preserve">Seçeceğiniz çeşitler ile </t>
  </si>
  <si>
    <t>Çikolatalı &amp; Sade Dondurma (500 gr.)</t>
  </si>
  <si>
    <t>Sade Maraş Dondurma (1 kg.)</t>
  </si>
  <si>
    <t>Sade Maraş Dondurması (500 gr.)</t>
  </si>
  <si>
    <t>Karışık Meyveli Dondurma (1 kg.)</t>
  </si>
  <si>
    <t xml:space="preserve">70 gr. dana kıyma. Mevsim salata, soğan söğüş, isteğe göre acılı ezme ile </t>
  </si>
  <si>
    <t>Lahmacun Dürüm</t>
  </si>
  <si>
    <t xml:space="preserve">100 gr. dana kıyma. Mevsim salata, soğan söğüş, isteğe göre acılı ezme ile </t>
  </si>
  <si>
    <t xml:space="preserve">100 gr. kuşbaşı, 100 gr. kaşar peyniri. Mevsim salata, soğan söğüş, isteğe göre acılı ezme ile </t>
  </si>
  <si>
    <t>Kuşbaşı Pide</t>
  </si>
  <si>
    <t xml:space="preserve">200 gr. kuşbaşı. Mevsim salata, soğan söğüş, isteğe göre acılı ezme ile </t>
  </si>
  <si>
    <t>33,99 TL</t>
  </si>
  <si>
    <t xml:space="preserve">70 gr. kıyma, 70 gr. kaşar peyniri. Mevsim salata, soğan söğüş, isteğe göre acılı ezme ile </t>
  </si>
  <si>
    <t>Sade Lahmacun</t>
  </si>
  <si>
    <t xml:space="preserve">50 gr. dana kıyma. Mevsim salata, soğan söğüş, isteğe göre acılı ezme ile </t>
  </si>
  <si>
    <t>28,99 TL</t>
  </si>
  <si>
    <t>Acılı Lahmacun</t>
  </si>
  <si>
    <t xml:space="preserve">50 gr. kaşar peyniri, dana kıyma. Mevsim salata, soğan söğüş, isteğe göre acılı ezme ile </t>
  </si>
  <si>
    <t xml:space="preserve">180 gr. dana kıyma. Mevsim salata, soğan söğüş, isteğe göre acılı ezme ile </t>
  </si>
  <si>
    <t>Sade Kaşarlı Pide</t>
  </si>
  <si>
    <t xml:space="preserve">70 gr. kaşar peyniri. Mevsim salata, soğan söğüş, isteğe göre acılı ezme ile </t>
  </si>
  <si>
    <t>Kıymalı Yumurtalı</t>
  </si>
  <si>
    <t xml:space="preserve">100 gr. dana kıyma, 2 adet yumurta. Mevsim salata, soğan söğüş, isteğe göre acılı ezme ile </t>
  </si>
  <si>
    <t>32,99 TL</t>
  </si>
  <si>
    <t>Kaşarlı Sebzeli</t>
  </si>
  <si>
    <t xml:space="preserve">80 gr. kaşar peyniri, az domates, biber. Mevsim salata, soğan söğüş, isteğe göre acılı ezme ile </t>
  </si>
  <si>
    <t>Kaşarlı Sucuklu Pide</t>
  </si>
  <si>
    <t xml:space="preserve">100 gr. kaşar peyniri, 40 gr. sucuk. Mevsim salata, soğan söğüş, isteğe göre acılı ezme ile </t>
  </si>
  <si>
    <t xml:space="preserve">50 gr. kaşar peyniri, 2 adet yumurta. Mevsim salata, soğan söğüş, isteğe göre acılı ezme ile </t>
  </si>
  <si>
    <t xml:space="preserve">50 gr. kaşar peyniri, 50 gr. kıyma, 50 gr. kuşbaşı. Mevsim salata, soğan söğüş, isteğe göre acılı ezme ile </t>
  </si>
  <si>
    <t>43,99 TL</t>
  </si>
  <si>
    <t>Kaşarlı Yumurtalı Sucuklu Pide</t>
  </si>
  <si>
    <t xml:space="preserve">50 gr. kaşar peyniri, 2 adet yumurta, 40 gr. sucuk. Mevsim salata, soğan söğüş, isteğe göre acılı ezme ile </t>
  </si>
  <si>
    <t>Kuşbaşı Yumurtalı Pide</t>
  </si>
  <si>
    <t xml:space="preserve">100 gr. kuşbaşı, 2 adet yumurta. Mevsim salata, soğan söğüş, isteğe göre acılı ezme ile </t>
  </si>
  <si>
    <t>Kuşbaşı Kaşarlı Yumurtalı Pide</t>
  </si>
  <si>
    <t xml:space="preserve">80 gr. kuşbaşı, 80 gr. kaşar peyniri, 2 adet yumurta. Mevsim salata, soğan söğüş, isteğe göre acılı ezme ile </t>
  </si>
  <si>
    <t>40,99 TL</t>
  </si>
  <si>
    <t xml:space="preserve">Ekmek ile </t>
  </si>
  <si>
    <t>Altı Ezmeli Kebap (Şişten)</t>
  </si>
  <si>
    <t>Antep Kebabı</t>
  </si>
  <si>
    <t>İskender (Kebaptan)</t>
  </si>
  <si>
    <t>Izgara Kasap Köfte</t>
  </si>
  <si>
    <t>Izgara Tavuk İncik</t>
  </si>
  <si>
    <t>Kuşbaşı Şiş</t>
  </si>
  <si>
    <t>Ofis Special</t>
  </si>
  <si>
    <t xml:space="preserve">1/2 domatesli kebap, 1/2 Adana kebap, 1/2 tavuk şiş, 1/2 kuşbaşı et, ızgara köfte, 1/2 ızgara tavuk kanat, ciğer şiş. Mevsim salata ile </t>
  </si>
  <si>
    <t>150,00 TL</t>
  </si>
  <si>
    <t xml:space="preserve">Lavaşa sarılı, soslu, yoğurtlu. Mevsim salata ile </t>
  </si>
  <si>
    <t>Soğanlı Kebap</t>
  </si>
  <si>
    <t>Vali Kebabı (1 Kişilik)</t>
  </si>
  <si>
    <t xml:space="preserve">1/2 domatesli kebap, 1/2 Adana kebap, 1/2 tavuk şiş, 1/2 kuşbaşı et, 1/2 pirzola. Mevsim salata ile </t>
  </si>
  <si>
    <t>Yoğurtlu Adana Kebap</t>
  </si>
  <si>
    <t>Yürek Şiş</t>
  </si>
  <si>
    <t xml:space="preserve">Kuşbaşı, kaşar peyniri, sucuk, yumurta, domates, biber. Mevsim salata, acılı ezme ile </t>
  </si>
  <si>
    <t xml:space="preserve">Mevsim salata, acılı ezme, soğan, limon ile </t>
  </si>
  <si>
    <t xml:space="preserve">Mevsim salata, acılı ezme ile </t>
  </si>
  <si>
    <t>Sucuklu Yumurtalı Pide</t>
  </si>
  <si>
    <t>Klasik Pizza (1 Kişilik)</t>
  </si>
  <si>
    <t xml:space="preserve">Kaşar peyniri, biber, mantar, siyah zeytin </t>
  </si>
  <si>
    <t>Kuşbaşılı Sucuklu Pide</t>
  </si>
  <si>
    <t>Pilav Üstü Et Döner</t>
  </si>
  <si>
    <t xml:space="preserve">Pirinç pilavı, et döner. Mevsim salata ile </t>
  </si>
  <si>
    <t>Çömlek Et Kavurma</t>
  </si>
  <si>
    <t xml:space="preserve">Yeşilbiber, kırmızıbiber, soğan. Mevsim salata ile </t>
  </si>
  <si>
    <t>Et Sac Tava</t>
  </si>
  <si>
    <t>Katmer Tatlısı</t>
  </si>
  <si>
    <t>2’li Dürüm Menü Olsa da Yesek</t>
  </si>
  <si>
    <t xml:space="preserve">2 Adet Çiğ Köfte Dürüm (100 gr.) + 2 Adet Ayran (17 cl.) </t>
  </si>
  <si>
    <t>Çiğ Köfte Dürüm (100 gr.)</t>
  </si>
  <si>
    <t xml:space="preserve">Lütfen, dürüm içerisine malzeme seçiminizi malzeme seçimi bölümünden yapınız. </t>
  </si>
  <si>
    <t>Vodafone Menüsü (Çiğ Köfte 500 gr.)</t>
  </si>
  <si>
    <t xml:space="preserve">Çiğ Köfte (500 gr.) + Ayran (1 L.) (Kampanya koşulları için restoranın Promosyonlar bölümüne göz atınız. İndirimli fiyat ürün sepete eklendikten sonra uygulanır.) </t>
  </si>
  <si>
    <t>37,60 TL</t>
  </si>
  <si>
    <t xml:space="preserve">6 adet lavaş, yeşillik, 3 adet acı sos, 3 adet nar ekşisi </t>
  </si>
  <si>
    <t xml:space="preserve">4 adet lavaş, yeşillik, 2 adet acı sos, 2 adet nar ekşisi </t>
  </si>
  <si>
    <t>Seçilmiş Menü (2 Mega Çiğ Köfte Dürüm)</t>
  </si>
  <si>
    <t xml:space="preserve">2 Adet Mega Çiğ Köfte Dürüm + 2 Adet Coca-Cola (33 cl.) </t>
  </si>
  <si>
    <t>39,60 TL</t>
  </si>
  <si>
    <t>Seçilmiş Menü (Çiğ Köfte 750 gr.)</t>
  </si>
  <si>
    <t xml:space="preserve">Çiğ Köfte (750 gr.) + Coca-Cola (1 L.) </t>
  </si>
  <si>
    <t>53,10 TL</t>
  </si>
  <si>
    <t>Vodafone Menüsü (Çiğ Köfte 300 gr.)</t>
  </si>
  <si>
    <t xml:space="preserve">Çiğ Köfte (300 gr.) + 2 Adet Ayran (17 cl.) (Kampanya koşulları için restoranın Promosyonlar bölümüne göz atınız. İndirimli fiyat ürün sepete eklendikten sonra uygulanır.) </t>
  </si>
  <si>
    <t>47,00 TL</t>
  </si>
  <si>
    <t>Mega Çiğ Köfte Dürüm (150 gr.)</t>
  </si>
  <si>
    <t xml:space="preserve">2 adet lavaş, yeşillik, acı sos, nar ekşisi </t>
  </si>
  <si>
    <t xml:space="preserve">8 adet lavaş, yeşillik, 3 adet acı sos, 3 adet nar ekşisi </t>
  </si>
  <si>
    <t>Ekstra Limon (Adet)</t>
  </si>
  <si>
    <t>Lavaş (2 Adet)</t>
  </si>
  <si>
    <t>Ekstra Maydanoz (Demet)</t>
  </si>
  <si>
    <t>Ekstra Roka (Demet)</t>
  </si>
  <si>
    <t>Yeşillik Tabağı (Küçük)</t>
  </si>
  <si>
    <t xml:space="preserve">Iceberg marul, maydanoz, limon </t>
  </si>
  <si>
    <t>Ekstra Iceberg Marul (Adet)</t>
  </si>
  <si>
    <t>Yeşillik Tabağı (Büyük)</t>
  </si>
  <si>
    <t>Limonata (1 L.)</t>
  </si>
  <si>
    <t>Ekstra Stick Acı Sos</t>
  </si>
  <si>
    <t>Ekstra Stick Nar Ekşisi</t>
  </si>
  <si>
    <t>Acı Sos (540 gr.)</t>
  </si>
  <si>
    <t>Nar Ekşisi (1 L.)</t>
  </si>
  <si>
    <t>Peynirli Su Böreği</t>
  </si>
  <si>
    <t>Çikolatalı Pasta (Adet)</t>
  </si>
  <si>
    <t>Karamelli Pasta (Adet)</t>
  </si>
  <si>
    <t>Frambuazlı Pasta (Adet)</t>
  </si>
  <si>
    <t>Karışık Kurabiye</t>
  </si>
  <si>
    <t xml:space="preserve">Tatlı kurabiye, tuzlu kurabiye </t>
  </si>
  <si>
    <t>Maraş Dondurması (500 gr.)</t>
  </si>
  <si>
    <t>17,50 TL</t>
  </si>
  <si>
    <t>Maraş Dondurması (1 kg.)</t>
  </si>
  <si>
    <t>6,50 TL</t>
  </si>
  <si>
    <t>Cevizli Hasır Kadayıf (1 kg.)</t>
  </si>
  <si>
    <t xml:space="preserve">Kaymaklı </t>
  </si>
  <si>
    <t>Fıstıklı Hasır Kadayıf (1 kg.)</t>
  </si>
  <si>
    <t>Soğuk Baklava (1 kg.)</t>
  </si>
  <si>
    <t>Cevizli Burma Kadayıf (1 kg.)</t>
  </si>
  <si>
    <t>Seçilmiş Menü (Lahmacun (3 Adet))</t>
  </si>
  <si>
    <t xml:space="preserve">Lahmacun (3 Adet) + Coca-Cola (33 cl.) </t>
  </si>
  <si>
    <t>Seçilmiş Menü (Adana Kebap)</t>
  </si>
  <si>
    <t xml:space="preserve">Adana Kebap + Coca-Cola (33 cl.) </t>
  </si>
  <si>
    <t>Seçilmiş Menü (Sarma Beyti Kebap)</t>
  </si>
  <si>
    <t xml:space="preserve">Sarma Beyti Kebap + Coca-Cola (33 cl.) </t>
  </si>
  <si>
    <t>29,50 TL</t>
  </si>
  <si>
    <t>Kuşbaşı Et</t>
  </si>
  <si>
    <t xml:space="preserve">Kuşbaşı kuzu eti. Mevsim salata, soğan, ezme, kırmızılahana ile </t>
  </si>
  <si>
    <t xml:space="preserve">Lavaşa sarılı, soslu, yoğurtlu. Mevsim salata, soğan, ezme, kırmızılahana ile </t>
  </si>
  <si>
    <t>Kuzu Kaburga</t>
  </si>
  <si>
    <t xml:space="preserve">Adana kebap, tavuk kanat, tavuk şiş, domates kebap. Mevsim salata, soğan, ezme, kırmızılahana ile </t>
  </si>
  <si>
    <t xml:space="preserve">Adana kebap, tavuk kanat, tavuk şiş, domates kebap, ızgara köfte. Mevsim salata, soğan, ezme, kırmızılahana ile </t>
  </si>
  <si>
    <t>Maraş Tava</t>
  </si>
  <si>
    <t>Aşçı Tabağı</t>
  </si>
  <si>
    <t xml:space="preserve">Güveç, tencere kebap, Maraş tava, fırın tava. Mevsim salata, soğan, ezme, kırmızılahana ile </t>
  </si>
  <si>
    <t>Çiftlik Kebabı</t>
  </si>
  <si>
    <t>Çömlek Güveç</t>
  </si>
  <si>
    <t>Et Haşlama</t>
  </si>
  <si>
    <t>Et Kavurma</t>
  </si>
  <si>
    <t>Fırında Et Kapama</t>
  </si>
  <si>
    <t>Fırında Et Tava</t>
  </si>
  <si>
    <t>Günün Yemeği (Az)</t>
  </si>
  <si>
    <t>İzmir Köfte</t>
  </si>
  <si>
    <t>Kavurma (Az)</t>
  </si>
  <si>
    <t>Kuzu Kaburga Dolması</t>
  </si>
  <si>
    <t>Misket Köfte</t>
  </si>
  <si>
    <t>Sultan Kebap</t>
  </si>
  <si>
    <t>Tas Kebabı</t>
  </si>
  <si>
    <t>Tavuk But</t>
  </si>
  <si>
    <t>Taze Fasulye</t>
  </si>
  <si>
    <t>Tencere Et Kebap</t>
  </si>
  <si>
    <t>Tepsi Güveç</t>
  </si>
  <si>
    <t>Et Döner (Az)</t>
  </si>
  <si>
    <t>Et Döner Dürüm (50 gr.)</t>
  </si>
  <si>
    <t xml:space="preserve">Mevsim yeşillikleri </t>
  </si>
  <si>
    <t>Bulgur Pilavı (Az)</t>
  </si>
  <si>
    <t>Pirinç Pilavı (Az)</t>
  </si>
  <si>
    <t>Bulgur Pilavı</t>
  </si>
  <si>
    <t>Coca-Cola (25 cl.)</t>
  </si>
  <si>
    <t>Fanta (25 cl.)</t>
  </si>
  <si>
    <t>Açık Ayran (30 cl.)</t>
  </si>
  <si>
    <t>Seçilmiş Menü (Küp Tavuk)</t>
  </si>
  <si>
    <t xml:space="preserve">Tam Parça Pizza + Küp Tavuk (6 Adet) + Çıtır Patates + Coca-Cola (33 cl.) </t>
  </si>
  <si>
    <t>36,75 TL</t>
  </si>
  <si>
    <t>Seçilmiş Menü (Şampiyon)</t>
  </si>
  <si>
    <t xml:space="preserve">Tam Parça Pizza + Küp Tavuk (6 Adet) + Nugget (3 Adet) + Soğan Halkası (3 Adet) + Çıtır Patates + Coca-Cola (33 cl.) </t>
  </si>
  <si>
    <t>40,25 TL</t>
  </si>
  <si>
    <t>Seçilmiş Menü (İzmir Karışık)</t>
  </si>
  <si>
    <t xml:space="preserve">İzmir Karışık (Orta) + Coca-Cola (33 cl.) </t>
  </si>
  <si>
    <t>41,50 TL</t>
  </si>
  <si>
    <t>Seçilmiş Menü (Küçük Boy Pizza)</t>
  </si>
  <si>
    <t xml:space="preserve">Seçeceğiniz Küçük Boy Pizza + Coca-Cola (33 cl.) </t>
  </si>
  <si>
    <t>28,72 TL</t>
  </si>
  <si>
    <t>Vodafone Menüsü (İzmir Karışık)</t>
  </si>
  <si>
    <t xml:space="preserve">İzmir Karışık (Büyük) + İçecek (1 L.) </t>
  </si>
  <si>
    <t>73,40 TL</t>
  </si>
  <si>
    <t>Vodafone Menüsü (Orta Boy Pizza)</t>
  </si>
  <si>
    <t xml:space="preserve">Seçeceğiniz Orta Boy Pizza + Çıtır Patates + İçecek (1 L.) </t>
  </si>
  <si>
    <t>61,50 TL</t>
  </si>
  <si>
    <t>Algida Menüsü (Küçük Boy Pizza)</t>
  </si>
  <si>
    <t xml:space="preserve">Seçeceğiniz Küçük Boy Pizza + Çıtır Patates + Algida Maraş Usulü Cup Dondurma (100 ml.) + Kutu İçecek </t>
  </si>
  <si>
    <t>38,50 TL</t>
  </si>
  <si>
    <t>Çıtır Lezzet Kovası</t>
  </si>
  <si>
    <t xml:space="preserve">(2 - 3 Kişilik) 4 Adet Çıtır Tavuk + 8 Adet Küp Tavuk + 8 Adet Soğan Halkası + 8 Adet Nugget + Elma Dilim Patates + İçecek (1 L.) </t>
  </si>
  <si>
    <t>74,90 TL</t>
  </si>
  <si>
    <t>2'li Büyük Boy Pizza Fırsatı 2</t>
  </si>
  <si>
    <t xml:space="preserve">Seçeceğiniz 2 Adet Büyük Boy Pizza + Soğan Halkası (6 Adet) + Nugget (6 Adet) + Çıtır Patates + İçecek (1 L.) (Gurme pizzalar için 9,9 TL fark uygulanmaktadır.) </t>
  </si>
  <si>
    <t>109,90 TL</t>
  </si>
  <si>
    <t>2'li Hamburger Menü</t>
  </si>
  <si>
    <t xml:space="preserve">2 Adet Hamburger + Çıtır Patates + Litrelik İçecek </t>
  </si>
  <si>
    <t>64,90 TL</t>
  </si>
  <si>
    <t>2'li Küçük Boy Pizza Menü</t>
  </si>
  <si>
    <t xml:space="preserve">Seçeceğiniz 2 Adet Küçük Boy Pizza + Litrelik İçecek (Gurme pizzalar için 9,9 TL fark uygulanmaktadır.) </t>
  </si>
  <si>
    <t>54,90 TL</t>
  </si>
  <si>
    <t>2'li Orta Boy Fırsat</t>
  </si>
  <si>
    <t xml:space="preserve">Seçeceğiniz 2 Adet Orta Boy Pizza (Gurme pizzalar için 9,9 TL fark uygulanmaktadır.) </t>
  </si>
  <si>
    <t>2'li Orta Boy Fırsat 1</t>
  </si>
  <si>
    <t xml:space="preserve">Seçeceğiniz 2 Adet Orta Boy Pizza + Soğan Halkası (10 Adet) + Nugget (6 Adet) + Çıtır Patates + İçecek (1 L.) (Gurme pizzalar için 9,9 TL fark uygulanmaktadır.) </t>
  </si>
  <si>
    <t>99,90 TL</t>
  </si>
  <si>
    <t>2'li Orta Boy Pizza Fırsatı 2</t>
  </si>
  <si>
    <t xml:space="preserve">Seçeceğiniz 2 Adet Orta Boy Pizza + Soğan Halkası (4 Adet) + Nugget (4 Adet) + Çıtır Patates + İçecek (1 L.) (Gurme pizzalar için 9,9 TL fark uygulanmaktadır.) </t>
  </si>
  <si>
    <t>84,90 TL</t>
  </si>
  <si>
    <t>2'li Orta Boy Pizza Fırsatı 3</t>
  </si>
  <si>
    <t xml:space="preserve">Seçeceğiniz 2 Adet Orta Boy Pizza + İçecek (1 L.) (Gurme pizzalar için 9,9 TL fark uygulanmaktadır.) </t>
  </si>
  <si>
    <t>59,90 TL</t>
  </si>
  <si>
    <t>2'li Tavuk Burger Menü</t>
  </si>
  <si>
    <t xml:space="preserve">2 Adet Tavuk Burger + Çıtır Patates + Litrelik İçecek </t>
  </si>
  <si>
    <t>49,90 TL</t>
  </si>
  <si>
    <t>3'lü Burger Menü</t>
  </si>
  <si>
    <t xml:space="preserve">3 Adet Hamburger + İçecek (1 L.) </t>
  </si>
  <si>
    <t>3'lü Büyük Boy Pizza Menü Fırsatı</t>
  </si>
  <si>
    <t xml:space="preserve">3 Adet Büyük Boy Pizza + İçecek (1 L.) (Gurme pizzalar için 9,9 TL fark uygulanmaktadır.) </t>
  </si>
  <si>
    <t>3'lü Orta Boy Pizza Fırsatı</t>
  </si>
  <si>
    <t xml:space="preserve">Seçeceğiniz 3 Adet Orta Boy Pizza (Gurme pizzalar için 9,9 TL fark uygulanmaktadır.) </t>
  </si>
  <si>
    <t>3'lü Tavuk Burger Menü</t>
  </si>
  <si>
    <t xml:space="preserve">3 Adet Tavuk Burger + İçecek (1 L.) </t>
  </si>
  <si>
    <t>4'lü Orta Boy Pizza Menü Fırsatı</t>
  </si>
  <si>
    <t xml:space="preserve">Seçeceğiniz 4 Adet Orta Boy Pizza + 2 Adet Çıtır Patates + 2 Adet İçecek (1 L.) (Gurme pizzalar için 9,9 TL fark uygulanmaktadır.) </t>
  </si>
  <si>
    <t>139,90 TL</t>
  </si>
  <si>
    <t>Aile Menü</t>
  </si>
  <si>
    <t xml:space="preserve">Seçeceğiniz En Büyük Boy Pizza + Çıtır Patates + Soğan Halkası (10 Adet) + Küp Tavuk (10 Adet) + İçecek (1 L.) (Gurme pizzalar için 9,9 TL fark uygulanmaktadır.) </t>
  </si>
  <si>
    <t>119,90 TL</t>
  </si>
  <si>
    <t>Burger Menü</t>
  </si>
  <si>
    <t xml:space="preserve">Hamburger + Tavuk Burger + Çıtır Patates + İçecek (1 L.) </t>
  </si>
  <si>
    <t>Büyük Boy Pizza Fırsatı</t>
  </si>
  <si>
    <t xml:space="preserve">Seçeceğiniz Büyük Boy Pizza (Gurme pizzalar için 9,9 TL fark uygulanmaktadır.) </t>
  </si>
  <si>
    <t>39,90 TL</t>
  </si>
  <si>
    <t>Büyük Evde Kal Kampanyası</t>
  </si>
  <si>
    <t xml:space="preserve">Seçeceğiniz Büyük Boy Pizza + İçecek (1 L.) (Gurme pizzalar için 9,9 TL fark uygulanmaktadır.) </t>
  </si>
  <si>
    <t>Gamer Menü</t>
  </si>
  <si>
    <t xml:space="preserve">Seçeceğiniz Orta Boy Pizza + Çıtır Patates + 3 Adet Soğan Halkası + 3 Adet Nugget + 3 Adet Küp Tavuk + İçecek (1 L.) (Gurme pizzalar için 9,9 TL fark uygulanmaktadır.) </t>
  </si>
  <si>
    <t>Gurme Günleri</t>
  </si>
  <si>
    <t xml:space="preserve">Seçeceğiniz Orta Boy Pizza + Çıtır Patates + Kutu İçecek (Gurme pizzalar için geçerlidir.) </t>
  </si>
  <si>
    <t>Küçük Boy Pizza Menü (1 Kişilik)</t>
  </si>
  <si>
    <t xml:space="preserve">Seçeceğiniz Küçük Boy Pizza + Kutu İçecek (Gurme pizzalar için 9,9 TL fark uygulanmaktadır.) </t>
  </si>
  <si>
    <t>34,90 TL</t>
  </si>
  <si>
    <t>Orta Boy Pizza &amp; Patates Menü</t>
  </si>
  <si>
    <t xml:space="preserve">Seçeceğiniz Orta Boy Pizza + Çıtır Patates + Kutu İçecek (Gurme pizzalar için 9,9 TL fark uygulanmaktadır.) </t>
  </si>
  <si>
    <t>Ortaya Karışık</t>
  </si>
  <si>
    <t xml:space="preserve">Seçeceğiniz 2 Adet Orta Boy Pizza + Çıtır Patates + İçecek (1 L.) (Gurme pizzalar için 9,9 TL fark uygulanmaktadır.) </t>
  </si>
  <si>
    <t>69,90 TL</t>
  </si>
  <si>
    <t>2'li Büyük Boy Pizza Fırsatı 1</t>
  </si>
  <si>
    <t xml:space="preserve">Seçeceğiniz 2 Adet Büyük Boy Pizza (Gurme pizzalar için 9,9 TL fark uygulanmaktadır.) </t>
  </si>
  <si>
    <t>79,90 TL</t>
  </si>
  <si>
    <t>2'li Büyük Menü</t>
  </si>
  <si>
    <t xml:space="preserve">Seçeceğiniz 2 Adet Büyük Boy Pizza + İçecek (1 L.) (Gurme pizzalar için 9,9 TL fark uygulanmaktadır.) </t>
  </si>
  <si>
    <t>Avantajlı Menü</t>
  </si>
  <si>
    <t xml:space="preserve">Seçeceğiniz 2 Adet Orta Boy Pizza + Çıtır Patates + Küp Tavuk (6 Adet) + Soğan Halkası (6 Adet) + İçecek (1 L.) (Gurme pizzalar için 9,9 TL fark uygulanmaktadır.) </t>
  </si>
  <si>
    <t>89,90 TL</t>
  </si>
  <si>
    <t>Çılgın Ortalar Menü</t>
  </si>
  <si>
    <t xml:space="preserve">Seçeceğiniz 3 Adet Orta Boy Pizza + İçecek (1 L.) (Gurme pizzalar için 9,9 TL fark uygulanmaktadır.) </t>
  </si>
  <si>
    <t>Kanka Menü (2 Kişilik)</t>
  </si>
  <si>
    <t xml:space="preserve">Seçeceğiniz 2 Adet Küçük Boy Pizza + Çıtır Patates + İçecek (1 L.) (Gurme pizzalar için 9,9 TL fark uygulanmaktadır.) </t>
  </si>
  <si>
    <t>Taraftar Menü (Orta) (1 Kişilik)</t>
  </si>
  <si>
    <t>44,90 TL</t>
  </si>
  <si>
    <t>Cheeseburger Menü</t>
  </si>
  <si>
    <t xml:space="preserve">Cheeseburger (90 gr.) + Çıtır Patates + Kutu İçecek </t>
  </si>
  <si>
    <t>36,90 TL</t>
  </si>
  <si>
    <t>Çıtır Tavuk Menü</t>
  </si>
  <si>
    <t xml:space="preserve">Çıtır Tavuk (5 Adet) + Çıtır Patates + Kutu İçecek </t>
  </si>
  <si>
    <t>40,90 TL</t>
  </si>
  <si>
    <t>Çocuk Menü</t>
  </si>
  <si>
    <t xml:space="preserve">Parça Pizza + Küp Tavuk (2 Adet) + Çıtır Patates + Kutu İçecek + Sürpriz Oyuncak </t>
  </si>
  <si>
    <t>29,90 TL</t>
  </si>
  <si>
    <t>Combo Menü</t>
  </si>
  <si>
    <t xml:space="preserve">Tam Parça Pizza + Çıtır Patates + Kutu İçecek </t>
  </si>
  <si>
    <t>28,90 TL</t>
  </si>
  <si>
    <t>Doy Doy Menü</t>
  </si>
  <si>
    <t xml:space="preserve">Tam Parça Pizza + Soğan Halkası (2 Adet) + Küp Tavuk (3 Adet) + Çıtır Patates + Kutu İçecek </t>
  </si>
  <si>
    <t xml:space="preserve">Hamburger (90 gr.) + Çıtır Patates + Kutu İçecek </t>
  </si>
  <si>
    <t>Küp Tavuk Menü</t>
  </si>
  <si>
    <t xml:space="preserve">Tam Parça Pizza + Küp Tavuk (6 Adet) + Çıtır Patates + Kutu İçecek </t>
  </si>
  <si>
    <t>Süper Menü</t>
  </si>
  <si>
    <t xml:space="preserve">Tam Parça Pizza + Çıtır Tavuk (3 Adet) + Çıtır Patates + Kutu İçecek </t>
  </si>
  <si>
    <t>42,90 TL</t>
  </si>
  <si>
    <t>Tavuk Burger Menü</t>
  </si>
  <si>
    <t xml:space="preserve">Tavuk Burger (90 gr.) + Çıtır Patates + Kutu İçecek </t>
  </si>
  <si>
    <t>Akdeniz (Küçük)</t>
  </si>
  <si>
    <t xml:space="preserve">Özel pizza sosu, pizza peyniri, beyaz peynir, siyah zeytin, küp domates, maydanoz </t>
  </si>
  <si>
    <t>Dream (Küçük)</t>
  </si>
  <si>
    <t xml:space="preserve">Özel pizza sosu, çift kat pizza peyniri, salam, sosis, mantar </t>
  </si>
  <si>
    <t>37,50 TL</t>
  </si>
  <si>
    <t>Ege (Küçük)</t>
  </si>
  <si>
    <t xml:space="preserve">Özel pizza sosu, pizza peyniri, tulum peyniri, kırmızı şerit biber, yeşilzeytin, siyah zeytin, kekik </t>
  </si>
  <si>
    <t>Füme Kaburga (Küçük)</t>
  </si>
  <si>
    <t xml:space="preserve">Özel pizza sosu, pizza peyniri, füme kaburga, cheddar peyniri </t>
  </si>
  <si>
    <t>Kapadokya (Küçük)</t>
  </si>
  <si>
    <t xml:space="preserve">Özel pizza sosu, pizza peyniri, pastırma, sucuk, mantar, yeşilbiber </t>
  </si>
  <si>
    <t>Kavurmalım (Küçük)</t>
  </si>
  <si>
    <t xml:space="preserve">Özel pizza sosu, pizza peyniri, kavurma eti, küp domates, yeşilbiber </t>
  </si>
  <si>
    <t>Luna (Küçük)</t>
  </si>
  <si>
    <t xml:space="preserve">Özel pizza sosu, pizza peyniri, sucuk </t>
  </si>
  <si>
    <t>Mantarlı &amp; Sosisli (Küçük)</t>
  </si>
  <si>
    <t xml:space="preserve">Özel pizza sosu, pizza peyniri, sosis, mantar </t>
  </si>
  <si>
    <t>Margarita (Küçük)</t>
  </si>
  <si>
    <t xml:space="preserve">Özel pizza sosu, pizza peyniri, domates </t>
  </si>
  <si>
    <t>Ton Balıklı (Küçük)</t>
  </si>
  <si>
    <t xml:space="preserve">Özel pizza sosu, pizza peyniri, soğan, ton balığı, mantar, mısır </t>
  </si>
  <si>
    <t>Mexican (Küçük)</t>
  </si>
  <si>
    <t xml:space="preserve">Özel pizza sosu, pizza peyniri, sucuk, mantar, kırmızı şerit biber, jalapeno biberi </t>
  </si>
  <si>
    <t>Mix (Küçük)</t>
  </si>
  <si>
    <t xml:space="preserve">Özel pizza sosu, pizza peyniri, sucuk, salam, sosis, yeşilbiber, mantar </t>
  </si>
  <si>
    <t>Somon Füme (Küçük)</t>
  </si>
  <si>
    <t xml:space="preserve">Özel pizza sosu, pizza peyniri, somon füme, kırmızı soğan, dereotu </t>
  </si>
  <si>
    <t>Special (Küçük)</t>
  </si>
  <si>
    <t xml:space="preserve">Özel pizza sosu, pizza peyniri, sucuk, salam, sosis, mantar, mısır, siyah zeytin </t>
  </si>
  <si>
    <t>Vegetarian (Küçük)</t>
  </si>
  <si>
    <t xml:space="preserve">Özel pizza sosu, pizza peyniri, yeşilzeytin, siyah zeytin, mantar, mısır, soğan, domates, yeşilbiber </t>
  </si>
  <si>
    <t>4 Peynirli (Küçük)</t>
  </si>
  <si>
    <t xml:space="preserve">Özel pizza sosu, mozzarella peyniri, beyaz peynir, tulum peyniri, cheddar peyniri </t>
  </si>
  <si>
    <t>İzmir Karışık (Küçük)</t>
  </si>
  <si>
    <t xml:space="preserve">Özel pizza sosu, şerit sosis, küp sucuk, cheddar peyniri </t>
  </si>
  <si>
    <t>Akdeniz (Orta)</t>
  </si>
  <si>
    <t>Dream (Orta)</t>
  </si>
  <si>
    <t>Ege (Orta)</t>
  </si>
  <si>
    <t>Füme Kaburga (Orta)</t>
  </si>
  <si>
    <t>49,50 TL</t>
  </si>
  <si>
    <t>Kapadokya (Orta)</t>
  </si>
  <si>
    <t>Kavurmalım (Orta)</t>
  </si>
  <si>
    <t>Luna (Orta)</t>
  </si>
  <si>
    <t>Mantarlı &amp; Sosisli (Orta)</t>
  </si>
  <si>
    <t>Margarita (Orta)</t>
  </si>
  <si>
    <t>Ton Balıklı (Orta)</t>
  </si>
  <si>
    <t>Mexican (Orta)</t>
  </si>
  <si>
    <t>Mix (Orta)</t>
  </si>
  <si>
    <t>Somon Füme (Orta)</t>
  </si>
  <si>
    <t>Special (Orta)</t>
  </si>
  <si>
    <t>Vegetarian (Orta)</t>
  </si>
  <si>
    <t>4 Peynirli (Orta)</t>
  </si>
  <si>
    <t>İzmir Karışık (Orta)</t>
  </si>
  <si>
    <t>Akdeniz (Büyük)</t>
  </si>
  <si>
    <t>48,50 TL</t>
  </si>
  <si>
    <t>İzmir Karışık (Büyük)</t>
  </si>
  <si>
    <t>64,50 TL</t>
  </si>
  <si>
    <t>Dream (Büyük)</t>
  </si>
  <si>
    <t>52,50 TL</t>
  </si>
  <si>
    <t>Ege (Büyük)</t>
  </si>
  <si>
    <t>Füme Kaburga (Büyük)</t>
  </si>
  <si>
    <t>Kapadokya (Büyük)</t>
  </si>
  <si>
    <t>Kavurmalım (Büyük)</t>
  </si>
  <si>
    <t>Luna (Büyük)</t>
  </si>
  <si>
    <t>Mantarlı &amp; Sosisli (Büyük)</t>
  </si>
  <si>
    <t>Margarita (Büyük)</t>
  </si>
  <si>
    <t>Ton Balıklı (Büyük)</t>
  </si>
  <si>
    <t>Mexican (Büyük)</t>
  </si>
  <si>
    <t>Mix (Büyük)</t>
  </si>
  <si>
    <t>Somon Füme (Büyük)</t>
  </si>
  <si>
    <t>Special (Büyük)</t>
  </si>
  <si>
    <t>Vegetarian (Büyük)</t>
  </si>
  <si>
    <t>4 Peynirli (Büyük)</t>
  </si>
  <si>
    <t>Akdeniz (En Büyük)</t>
  </si>
  <si>
    <t>62,50 TL</t>
  </si>
  <si>
    <t>Dream (En Büyük)</t>
  </si>
  <si>
    <t>72,50 TL</t>
  </si>
  <si>
    <t>Ege (En Büyük)</t>
  </si>
  <si>
    <t>Füme Kaburga (En Büyük)</t>
  </si>
  <si>
    <t>84,50 TL</t>
  </si>
  <si>
    <t>Kapadokya (En Büyük)</t>
  </si>
  <si>
    <t>Kavurmalım (En Büyük)</t>
  </si>
  <si>
    <t>Luna (En Büyük)</t>
  </si>
  <si>
    <t>Mantarlı &amp; Sosisli (En Büyük)</t>
  </si>
  <si>
    <t>Margarita (En Büyük)</t>
  </si>
  <si>
    <t>Ton Balıklı (En Büyük)</t>
  </si>
  <si>
    <t>Mexican (En Büyük)</t>
  </si>
  <si>
    <t>Mix (En Büyük)</t>
  </si>
  <si>
    <t>Somon Füme (En Büyük)</t>
  </si>
  <si>
    <t>Special (En Büyük)</t>
  </si>
  <si>
    <t>Vegetarian (En Büyük)</t>
  </si>
  <si>
    <t>4 Peynirli (En Büyük)</t>
  </si>
  <si>
    <t>İzmir Karışık (En Büyük)</t>
  </si>
  <si>
    <t>Çıtır Tavuk (3 Adet)</t>
  </si>
  <si>
    <t>Çıtır Tavuk (6 Adet)</t>
  </si>
  <si>
    <t>27,50 TL</t>
  </si>
  <si>
    <t xml:space="preserve">90 gr. </t>
  </si>
  <si>
    <t>26,90 TL</t>
  </si>
  <si>
    <t>Küp Tavuk (12 Adet)</t>
  </si>
  <si>
    <t>Küp Tavuk (6 Adet)</t>
  </si>
  <si>
    <t>Küp Tavuk (9 Adet)</t>
  </si>
  <si>
    <t>Nugget (12 Adet)</t>
  </si>
  <si>
    <t>Nugget (6 Adet)</t>
  </si>
  <si>
    <t>18,50 TL</t>
  </si>
  <si>
    <t>Parmak Çıtır Patates</t>
  </si>
  <si>
    <t>10,50 TL</t>
  </si>
  <si>
    <t>Soğan Halkası (6 Adet)</t>
  </si>
  <si>
    <t>Tam Parça Pizza</t>
  </si>
  <si>
    <t xml:space="preserve">(21 cm.) Mantar, sosis </t>
  </si>
  <si>
    <t>9,90 TL</t>
  </si>
  <si>
    <t>Tavuk Burger</t>
  </si>
  <si>
    <t>24,90 TL</t>
  </si>
  <si>
    <t xml:space="preserve">Çıtır tavuk, domates, mısır, iceberg marul, salatalık </t>
  </si>
  <si>
    <t>Mevsim Salata</t>
  </si>
  <si>
    <t xml:space="preserve">Beyaz peynir, domates, salatalık, iceberg marul, siyah zeytin </t>
  </si>
  <si>
    <t>21,90 TL</t>
  </si>
  <si>
    <t>Somon Füme Salata</t>
  </si>
  <si>
    <t xml:space="preserve">Roka, dereotu, somon füme, mozzarella peyniri </t>
  </si>
  <si>
    <t xml:space="preserve">Ton balığı, domates, mısır, iceberg marul, salatalık </t>
  </si>
  <si>
    <t>7,90 TL</t>
  </si>
  <si>
    <t>Ayran</t>
  </si>
  <si>
    <t>Soda</t>
  </si>
  <si>
    <t>Su (0,5 L.)</t>
  </si>
  <si>
    <t>8,90 TL</t>
  </si>
  <si>
    <t>Coca-Cola Şekersiz (1 L.)</t>
  </si>
  <si>
    <t>Sprite (1 L.)</t>
  </si>
  <si>
    <t>Fuse Tea (1 L.)</t>
  </si>
  <si>
    <t>Ketçap</t>
  </si>
  <si>
    <t>Mayonez</t>
  </si>
  <si>
    <t>Sarımsaklı Mayonez</t>
  </si>
  <si>
    <t>Ranch Sos</t>
  </si>
  <si>
    <t>Barbekü Sos</t>
  </si>
  <si>
    <t>Tavuk Tantuni Dürüm</t>
  </si>
  <si>
    <t xml:space="preserve">Biber turşusu, lahana turşusu, limon ile </t>
  </si>
  <si>
    <t xml:space="preserve">Marul, domates. Biber turşusu ile </t>
  </si>
  <si>
    <t>Et Tantuni Dürüm</t>
  </si>
  <si>
    <t>Karışık Pizza (Orta Boy)</t>
  </si>
  <si>
    <t xml:space="preserve">Dana sucuk, dana salam, dana sosis, biber, domates, mantar, mısır, zeytin </t>
  </si>
  <si>
    <t>Zeytinli Simit</t>
  </si>
  <si>
    <t>Kaşarlı Simit</t>
  </si>
  <si>
    <t>Çikolatalı Simit</t>
  </si>
  <si>
    <t>Sucuklu Kaşarlı Simit</t>
  </si>
  <si>
    <t>Açma</t>
  </si>
  <si>
    <t>Sade Poğaça</t>
  </si>
  <si>
    <t>Sigara Böreği</t>
  </si>
  <si>
    <t>Gül Böreği</t>
  </si>
  <si>
    <t>Sucuklu Kaşarlı Tost</t>
  </si>
  <si>
    <t>Kavurmalı Pizza (Orta Boy)</t>
  </si>
  <si>
    <t xml:space="preserve">Kavurma, biber, domates, mantar, mısır, zeytin </t>
  </si>
  <si>
    <t>Kıymalı Quesadilla</t>
  </si>
  <si>
    <t xml:space="preserve">Dana kıyma, soğan, biber, domates, havuç, kaşar peyniri </t>
  </si>
  <si>
    <t>Tavuklu Quesadilla</t>
  </si>
  <si>
    <t xml:space="preserve">Tavuk, soğan, biber, domates, havuç, kaşar peyniri </t>
  </si>
  <si>
    <t>Kavurmalı Quesadilla</t>
  </si>
  <si>
    <t xml:space="preserve">Kavurma eti, soğan, biber, domates, havuç, kaşar peyniri, biber turşusu </t>
  </si>
  <si>
    <t>Somun Ekmek Arası Et Tantuni</t>
  </si>
  <si>
    <t>Somun Ekmek Arası Tavuk Tantuni</t>
  </si>
  <si>
    <t>Spaghetti Bolonez</t>
  </si>
  <si>
    <t xml:space="preserve">Kırmızı et, mantar, maydanoz, beyaz sos, kaşar peyniri </t>
  </si>
  <si>
    <t>Köri Soslu Penne</t>
  </si>
  <si>
    <t xml:space="preserve">Tavuk, mantar, biber, beyaz sos, kaşar peyniri </t>
  </si>
  <si>
    <t xml:space="preserve">Acılı domates sos, kaşar peyniri </t>
  </si>
  <si>
    <t xml:space="preserve">Tavuk, mantar, biber, köri sos, kaşar peyniri </t>
  </si>
  <si>
    <t xml:space="preserve">Marul, domates, turşu, ketçap, mayonez </t>
  </si>
  <si>
    <t>Brownie</t>
  </si>
  <si>
    <t>Tulumba Tatlısı</t>
  </si>
  <si>
    <t>Fıstıklı Sarma</t>
  </si>
  <si>
    <t>Kadayıf</t>
  </si>
  <si>
    <t>Supangle</t>
  </si>
  <si>
    <t>Karamelli Trileçe</t>
  </si>
  <si>
    <t>Profiterol</t>
  </si>
  <si>
    <t>Kazandibi</t>
  </si>
  <si>
    <t>Adet Pasta</t>
  </si>
  <si>
    <t>Keşkül</t>
  </si>
  <si>
    <t>Cevizli Baklava</t>
  </si>
  <si>
    <t>Sade Dondurma</t>
  </si>
  <si>
    <t>Çikolatalı Baton Pasta</t>
  </si>
  <si>
    <t>Meyveli Baton Pasta</t>
  </si>
  <si>
    <t>Frambuazlı Baton Pasta</t>
  </si>
  <si>
    <t>Meyveli Pasta (No.0) (4 Kişilik)</t>
  </si>
  <si>
    <t>Çikolatalı Pasta (No.0) (4 Kişilik)</t>
  </si>
  <si>
    <t>Frambuazlı Pasta (No.0) (4 Kişilik)</t>
  </si>
  <si>
    <t>Frambuazlı Pasta (No.1) (6 Kişilik)</t>
  </si>
  <si>
    <t>Çikolatalı Pasta (No.1) (6 Kişilik)</t>
  </si>
  <si>
    <t>Meyveli Pasta (No.1) (6 Kişilik)</t>
  </si>
  <si>
    <t>Frambuazlı Pasta (No.2) (8 Kişilik)</t>
  </si>
  <si>
    <t>Meyveli Pasta (No.2) (8 Kişilik)</t>
  </si>
  <si>
    <t>Çikolatalı Pasta (No.2) (8 Kişilik)</t>
  </si>
  <si>
    <t>Coca-Cola Zero Sugar (33 cl.)</t>
  </si>
  <si>
    <t>Macchiato</t>
  </si>
  <si>
    <t>Caramel Mocha</t>
  </si>
  <si>
    <t>Very Vanilla</t>
  </si>
  <si>
    <t>White Mocha</t>
  </si>
  <si>
    <t>Mocha</t>
  </si>
  <si>
    <t>Crème Brûlée</t>
  </si>
  <si>
    <t>Salep</t>
  </si>
  <si>
    <t>Hot Chocolate</t>
  </si>
  <si>
    <t>White Chocolate</t>
  </si>
  <si>
    <t>Ihlamur Çayı</t>
  </si>
  <si>
    <t>Nane Çayı</t>
  </si>
  <si>
    <t>Kış Çayı</t>
  </si>
  <si>
    <t>Çıtır Sever Menü</t>
  </si>
  <si>
    <t xml:space="preserve">Crispy Roll + Nugget (2 Adet) + Soğan Halkası (2 Adet) + Tavuk Topları (4 Adet) + Kutu İçecek </t>
  </si>
  <si>
    <t>23,18 TL</t>
  </si>
  <si>
    <t>Eko Menü</t>
  </si>
  <si>
    <t xml:space="preserve">2 Adet SR Medium Tavuk Döner Dürüm + Patates Kızartması (Büyük) + İçecek (1 L.) </t>
  </si>
  <si>
    <t>41,18 TL</t>
  </si>
  <si>
    <t>Et Obur Menü</t>
  </si>
  <si>
    <t xml:space="preserve">2 Adet SR Et Döner Dürüm + Patates Kızartması (Büyük) + Soğan Halkası (8 Adet) + İçecek (1 L.) </t>
  </si>
  <si>
    <t>57,68 TL</t>
  </si>
  <si>
    <t>Köftehor Menü</t>
  </si>
  <si>
    <t xml:space="preserve">2 Adet SR Köfte Dürüm + Patates Kızartması (Büyük) + İçecek (1 L.) </t>
  </si>
  <si>
    <t>51,68 TL</t>
  </si>
  <si>
    <t>Mutlu Aile Menüsü</t>
  </si>
  <si>
    <t xml:space="preserve">2 Adet SR Large Tavuk Döner Dürüm + SR Medium Tavuk Döner Dürüm + SR Tavuk Döner Sandviç + İçecek (1 L.) </t>
  </si>
  <si>
    <t>64,43 TL</t>
  </si>
  <si>
    <t>Süper Twin Menü</t>
  </si>
  <si>
    <t xml:space="preserve">Verde + Crispy Roll + Patates Kızartması (Küçük) + Çıtır Toplar (12 Adet) + İçecek (1 L.) </t>
  </si>
  <si>
    <t>44,18 TL</t>
  </si>
  <si>
    <t>XL Lezzet Menü</t>
  </si>
  <si>
    <t xml:space="preserve">2 Adet SR Large Tavuk Döner Dürüm + Patates Kızartması (Küçük) + Çıtır Topları (12 Adet) + İçecek (1 L.) </t>
  </si>
  <si>
    <t>48,68 TL</t>
  </si>
  <si>
    <t>Crispy Roll Menü</t>
  </si>
  <si>
    <t xml:space="preserve">Crispy Roll + Patates Kızartması (Küçük) + İçecek </t>
  </si>
  <si>
    <t>23,93 TL</t>
  </si>
  <si>
    <t>Roll Star Menü</t>
  </si>
  <si>
    <t xml:space="preserve">Roll Star + Patates Kızartması (Küçük) + İçecek </t>
  </si>
  <si>
    <t>SR Large Menü</t>
  </si>
  <si>
    <t xml:space="preserve">SR Large Tavuk Döner Dürüm + Patates Kızartması (Küçük) + İçecek </t>
  </si>
  <si>
    <t>24,68 TL</t>
  </si>
  <si>
    <t>SR XXLarge Menü</t>
  </si>
  <si>
    <t xml:space="preserve">SR XXLarge Tavuk Döner Dürüm + Patates Kızartması (Küçük) + İçecek </t>
  </si>
  <si>
    <t>29,18 TL</t>
  </si>
  <si>
    <t>SR Medium Menü</t>
  </si>
  <si>
    <t xml:space="preserve">SR Medium Tavuk Döner Dürüm + Patates Kızartması (Küçük) + İçecek </t>
  </si>
  <si>
    <t>22,43 TL</t>
  </si>
  <si>
    <t>SR Tavuk Döner Sandviç Menü</t>
  </si>
  <si>
    <t xml:space="preserve">SR Tavuk Döner Sandviç + Patates Kızartması (Küçük) + İçecek </t>
  </si>
  <si>
    <t>20,93 TL</t>
  </si>
  <si>
    <t>Verde Menü</t>
  </si>
  <si>
    <t xml:space="preserve">Verde + Patates Kızartması (Küçük) + İçecek </t>
  </si>
  <si>
    <t>SR Ankara Et Dürüm Menü</t>
  </si>
  <si>
    <t xml:space="preserve">SR Ankara Et Dürüm + Patates Kızartması (Küçük) + İçecek </t>
  </si>
  <si>
    <t>29,93 TL</t>
  </si>
  <si>
    <t>SR XXLarge Et Dürüm Menü</t>
  </si>
  <si>
    <t xml:space="preserve">SR XXLarge Et Dürüm + Patates Kızartması (Küçük) + İçecek </t>
  </si>
  <si>
    <t>36,68 TL</t>
  </si>
  <si>
    <t>SR Medium Et Dürüm Menü</t>
  </si>
  <si>
    <t xml:space="preserve">SR Medium Et Dürüm + Patates Kızartması (Küçük) + İçecek </t>
  </si>
  <si>
    <t>SR Large Et Dürüm Menü</t>
  </si>
  <si>
    <t xml:space="preserve">SR Large Et Dürüm + Patates Kızartması (Küçük) + İçecek </t>
  </si>
  <si>
    <t>32,18 TL</t>
  </si>
  <si>
    <t>SR Rollstar Et Dürüm Menü</t>
  </si>
  <si>
    <t xml:space="preserve">SR Rollstar Et Dürüm + Patates Kızartması (Küçük) + İçecek </t>
  </si>
  <si>
    <t>30,68 TL</t>
  </si>
  <si>
    <t>SR Et Sandviç Menü</t>
  </si>
  <si>
    <t xml:space="preserve">SR Et Döner Sandviç + Patates Kızartması (Küçük) + İçecek </t>
  </si>
  <si>
    <t>SR Köfte Dürüm Menü</t>
  </si>
  <si>
    <t xml:space="preserve">SR Köfte Dürüm + Patates Kızartması (Küçük) + İçecek </t>
  </si>
  <si>
    <t>28,43 TL</t>
  </si>
  <si>
    <t>SR Köfte Sandviç Menü</t>
  </si>
  <si>
    <t xml:space="preserve">SR Köfte Sandviç + Patates Kızartması (Küçük) + İçecek </t>
  </si>
  <si>
    <t>26,18 TL</t>
  </si>
  <si>
    <t>Köfte Roll Menü</t>
  </si>
  <si>
    <t xml:space="preserve">Köfte Roll + Patates Kızartması (Küçük) + İçecek </t>
  </si>
  <si>
    <t>SR Cheeseburger Menü</t>
  </si>
  <si>
    <t xml:space="preserve">SR Cheeseburger + Patates Kızartması (Küçük) + İçecek </t>
  </si>
  <si>
    <t>SR Hamburger Menü</t>
  </si>
  <si>
    <t xml:space="preserve">SR Hamburger + Patates Kızartması (Küçük) + İçecek </t>
  </si>
  <si>
    <t>27,68 TL</t>
  </si>
  <si>
    <t>Köfte Roll</t>
  </si>
  <si>
    <t xml:space="preserve">Köfte, roll lavaş, Akdeniz yeşillikleri, turşu, patates kızartması, roll sos, roll mayonez </t>
  </si>
  <si>
    <t>SR Köfte Dürüm</t>
  </si>
  <si>
    <t xml:space="preserve">Soslu lavaş, Akdeniz yeşillikleri, domates, soğan, turşu, patates kızartması, roll mayonez </t>
  </si>
  <si>
    <t>SR Köfte Sandviç</t>
  </si>
  <si>
    <t xml:space="preserve">Iceberg marul, domates, soğan </t>
  </si>
  <si>
    <t>18,68 TL</t>
  </si>
  <si>
    <t>SR XXLarge</t>
  </si>
  <si>
    <t xml:space="preserve">Soslu lavaş, turşu, patates kızartması, SR sos, SR mayonez </t>
  </si>
  <si>
    <t>21,68 TL</t>
  </si>
  <si>
    <t>Crispy Roll</t>
  </si>
  <si>
    <t xml:space="preserve">Tavuk schnitzel, roll lavaş, Akdeniz yeşillikleri, patates kızartması, özel sos, mayonez </t>
  </si>
  <si>
    <t>16,43 TL</t>
  </si>
  <si>
    <t>Roll Star</t>
  </si>
  <si>
    <t xml:space="preserve">Roll lavaş, turşu, patates kızartması, roll sos, roll mayonez </t>
  </si>
  <si>
    <t>SR Large</t>
  </si>
  <si>
    <t>17,18 TL</t>
  </si>
  <si>
    <t>SR Medium</t>
  </si>
  <si>
    <t>14,93 TL</t>
  </si>
  <si>
    <t>SR Tavuk Döner Sandviç</t>
  </si>
  <si>
    <t xml:space="preserve">Iceberg marul, domates </t>
  </si>
  <si>
    <t>13,43 TL</t>
  </si>
  <si>
    <t>Verde</t>
  </si>
  <si>
    <t xml:space="preserve">Roll lavaş, Akdeniz yeşillikleri, turşu, mayonez </t>
  </si>
  <si>
    <t>SR Ankara Et Dürüm</t>
  </si>
  <si>
    <t xml:space="preserve">Roll lavaş, domates, soğan </t>
  </si>
  <si>
    <t>SR XXLarge Et Dürüm</t>
  </si>
  <si>
    <t xml:space="preserve">Soslu lavaş, patates kızartması, turşu, mayonez, SR sos </t>
  </si>
  <si>
    <t>SR Et Döner Sandviç</t>
  </si>
  <si>
    <t xml:space="preserve">Domates, soğan </t>
  </si>
  <si>
    <t>SR Large Et Dürüm</t>
  </si>
  <si>
    <t>SR Medium Et Dürüm</t>
  </si>
  <si>
    <t>SR Rollstar Et Dürüm</t>
  </si>
  <si>
    <t xml:space="preserve">Roll lavaş, patates kızartması, turşu, mayonez, SR sos </t>
  </si>
  <si>
    <t>SR Cheeseburger</t>
  </si>
  <si>
    <t xml:space="preserve">Susamlı burger ekmeği, SR burger köftesi, cheddar peyniri, iceberg marul, domates, soğan, özel SR sos, ketçap </t>
  </si>
  <si>
    <t>SR Hamburger</t>
  </si>
  <si>
    <t xml:space="preserve">Susamlı burger ekmeği, SR burger köftesi, iceberg marul, domates, soğan, özel SR sos, ketçap </t>
  </si>
  <si>
    <t>20,18 TL</t>
  </si>
  <si>
    <t>Çıtır Topları (12 Adet)</t>
  </si>
  <si>
    <t>6,68 TL</t>
  </si>
  <si>
    <t>Nugget (4 Adet)</t>
  </si>
  <si>
    <t>Patates Kızartması (Büyük)</t>
  </si>
  <si>
    <t>6,75 TL</t>
  </si>
  <si>
    <t>Patates Kızartması (Küçük)</t>
  </si>
  <si>
    <t>5,25 TL</t>
  </si>
  <si>
    <t>5,63 TL</t>
  </si>
  <si>
    <t>3,75 TL</t>
  </si>
  <si>
    <t>Ayran (27 cl.)</t>
  </si>
  <si>
    <t>3,38 TL</t>
  </si>
  <si>
    <t>2,63 TL</t>
  </si>
  <si>
    <t>1,88 TL</t>
  </si>
  <si>
    <t>Coca-Cola Zero Sugar (1 L.)</t>
  </si>
  <si>
    <t>Karışık Pizza</t>
  </si>
  <si>
    <t xml:space="preserve">Sucuk, salam, sosis, biber, mantar, zeytin, mısır. Patates kızartması ile </t>
  </si>
  <si>
    <t xml:space="preserve">Kaşar peyniri, sucuk, patates </t>
  </si>
  <si>
    <t>19,50 TL</t>
  </si>
  <si>
    <t>Krema Mantar Soslu Tavuk Bonfile</t>
  </si>
  <si>
    <t xml:space="preserve">Patates kızartması, salata ile </t>
  </si>
  <si>
    <t xml:space="preserve">Biber, kavurma, domates. Patates kızartması ile </t>
  </si>
  <si>
    <t xml:space="preserve">Hamburger + İçecek </t>
  </si>
  <si>
    <t xml:space="preserve">Cheeseburger + İçecek </t>
  </si>
  <si>
    <t>Günün Menüsü</t>
  </si>
  <si>
    <t xml:space="preserve">Günün Çorbası + Günün Yemeği + Pilav veya Makarna + Salata </t>
  </si>
  <si>
    <t>Mercimek Çorbası - Şu anda mevcut değil.</t>
  </si>
  <si>
    <t>Yüksük Çorbası</t>
  </si>
  <si>
    <t>Beyaz Peynirli Tost</t>
  </si>
  <si>
    <t>13,50 TL</t>
  </si>
  <si>
    <t>Ayvalık Tostu</t>
  </si>
  <si>
    <t xml:space="preserve">Sucuk, kaşar peyniri, salam </t>
  </si>
  <si>
    <t>Et Çökertme</t>
  </si>
  <si>
    <t xml:space="preserve">Patates kızartması, yoğurt, soslu et. Salata ile </t>
  </si>
  <si>
    <t xml:space="preserve">Arpacık soğan, yeşilbiber, kırmızıbiber, domates </t>
  </si>
  <si>
    <t xml:space="preserve">Soğan, yeşilbiber, kırmızıbiber, domates, mantar </t>
  </si>
  <si>
    <t>Soslu Et Bonfile</t>
  </si>
  <si>
    <t xml:space="preserve">Kremalı mantarlı sos </t>
  </si>
  <si>
    <t>45,50 TL</t>
  </si>
  <si>
    <t>Chili Soslu Tavuk</t>
  </si>
  <si>
    <t>Barbekü Soslu Tavuk</t>
  </si>
  <si>
    <t>Tavuk Şinitzel</t>
  </si>
  <si>
    <t xml:space="preserve">Krema, köri sosu, mantar, kırmızıbiber, yeşilbiber </t>
  </si>
  <si>
    <t>Otantik Tavuk Göğüs</t>
  </si>
  <si>
    <t>Tavuk Çökertme</t>
  </si>
  <si>
    <t xml:space="preserve">Patates kızartması, yoğurt, soslu tavuk. Salata ile </t>
  </si>
  <si>
    <t xml:space="preserve">Tavuk, biber. Patates kızartması ile </t>
  </si>
  <si>
    <t>Mantarlı Pizza</t>
  </si>
  <si>
    <t xml:space="preserve">Mantar, kaşar peyniri. Patates kızartması ile </t>
  </si>
  <si>
    <t>Margarita Pizza</t>
  </si>
  <si>
    <t xml:space="preserve">Domates, fesleğen. Patates kızartması ile </t>
  </si>
  <si>
    <t>Vejetaryen Pizza</t>
  </si>
  <si>
    <t xml:space="preserve">Biber, mantar, siyah zeytin, mısır, domates. Patates kızartması ile </t>
  </si>
  <si>
    <t>Ton Balıklı Pizza</t>
  </si>
  <si>
    <t xml:space="preserve">Ton balığı, biber, mısır. Patates kızartması ile </t>
  </si>
  <si>
    <t>Köri Soslu Kremalı Penne</t>
  </si>
  <si>
    <t>23,50 TL</t>
  </si>
  <si>
    <t>Tavuklu Mantarlı Kremalı Penne</t>
  </si>
  <si>
    <t>26,50 TL</t>
  </si>
  <si>
    <t>Kremalı Mantarlı Fettuccine</t>
  </si>
  <si>
    <t>Spaghettii Bolognese</t>
  </si>
  <si>
    <t>24,50 TL</t>
  </si>
  <si>
    <t>Kayseri Mantısı</t>
  </si>
  <si>
    <t>Sinop Cevizli Mantı</t>
  </si>
  <si>
    <t>30,50 TL</t>
  </si>
  <si>
    <t xml:space="preserve">Yeşilbiber, kırmızıbiber, soğan </t>
  </si>
  <si>
    <t>25,50 TL</t>
  </si>
  <si>
    <t>Izgara Bonfile Salata</t>
  </si>
  <si>
    <t xml:space="preserve">Izagara et, Akdeniz yeşillikleri, mısır, karalahana turşusu </t>
  </si>
  <si>
    <t xml:space="preserve">Çıtır tavuk, Akdeniz yeşillikleri, kıtır ekmek </t>
  </si>
  <si>
    <t>Köri Soslu Salata</t>
  </si>
  <si>
    <t xml:space="preserve">Akdeniz yeşillikleri, kremalı köri sos </t>
  </si>
  <si>
    <t>Akdeniz Salatası</t>
  </si>
  <si>
    <t xml:space="preserve">Akdeniz yeşillikleri </t>
  </si>
  <si>
    <t>Çoban Salata</t>
  </si>
  <si>
    <t xml:space="preserve">Çıtır tavuk, Akdeniz yeşillikleri </t>
  </si>
  <si>
    <t>Mevsim Salatası</t>
  </si>
  <si>
    <t>Parmak Patates Kızartması</t>
  </si>
  <si>
    <t>Kızarmış Adana İçli Köfte (5 Adet)</t>
  </si>
  <si>
    <t>Börek Sepeti</t>
  </si>
  <si>
    <t xml:space="preserve">Sigara böreği, paçanga böreği, tavuklu börek, sosis, patates kızartması </t>
  </si>
  <si>
    <t xml:space="preserve">Sütlü çikolata, mevsim meyveleri </t>
  </si>
  <si>
    <t>Niğde Gazozu (20 cl.)</t>
  </si>
  <si>
    <t>Taze Sıkma Portakal Suyu (45 cl.) - Şu anda mevcut değil.</t>
  </si>
  <si>
    <t>Taze Sıkma Nar Suyu (45 cl.)</t>
  </si>
  <si>
    <t>Antakya XXL Tavuk Döner Dürüm Menü</t>
  </si>
  <si>
    <t xml:space="preserve">Antakya XXL Tavuk Döner Dürüm + Patates Kızartması + Ayran (33 cl.) </t>
  </si>
  <si>
    <t>Antakya Bazuka Tavuk Döner Dürüm Menü</t>
  </si>
  <si>
    <t xml:space="preserve">Antakya Bazuka Tavuk Döner Dürüm + Patates Kızartması + Ayran (33 cl.) </t>
  </si>
  <si>
    <t>Gobit Ekmek Arası Tavuk Döner</t>
  </si>
  <si>
    <t xml:space="preserve">Tavuk döner, patates kızartması, turşu, mayonez, sos </t>
  </si>
  <si>
    <t>13,99 TL</t>
  </si>
  <si>
    <t>Hatay Tavuk Döner Dürüm Menü</t>
  </si>
  <si>
    <t xml:space="preserve">Hatay Tavuk Döner Dürüm + Patates Kızartması + Ayran (33 cl.) </t>
  </si>
  <si>
    <t>Antakya XXL Tavuk Döner Dürüm</t>
  </si>
  <si>
    <t>Antakya Tavuk Döner Dürüm Menü</t>
  </si>
  <si>
    <t xml:space="preserve">Antakya Tavuk Döner Dürüm + Patates Kızartması + Ayran (33 cl.) </t>
  </si>
  <si>
    <t>Hatay Bazuka Tavuk Döner Dürüm Menü</t>
  </si>
  <si>
    <t xml:space="preserve">Hatay Bazuka Tavuk Döner Dürüm + Patates Kızartması + Ayran (33 cl.) </t>
  </si>
  <si>
    <t>Hatay XXL Tavuk Döner Dürüm Menü</t>
  </si>
  <si>
    <t xml:space="preserve">Hatay XXL Tavuk Döner Dürüm + Patates Kızartması + Ayran (33 cl.) </t>
  </si>
  <si>
    <t xml:space="preserve">Gobit Ekmek Arası Tavuk Döner + Patates Kızartması + Ayran (33 cl.) </t>
  </si>
  <si>
    <t>Tavuk Sandviç Menü</t>
  </si>
  <si>
    <t xml:space="preserve">Tavuk Sandviç + Patates Kızartması + Ayran (33 cl.) </t>
  </si>
  <si>
    <t>Köfte Dürüm Menü</t>
  </si>
  <si>
    <t xml:space="preserve">Köfte Dürüm + Patates Kızartması + Ayran (33 cl.) </t>
  </si>
  <si>
    <t>Köfte Sandviç Menü</t>
  </si>
  <si>
    <t xml:space="preserve">Köfte Sandviç + Patates Kızartması + Ayran (33 cl.) </t>
  </si>
  <si>
    <t xml:space="preserve">Hamburger + Patates Kızartması + Ayran (33 cl.) </t>
  </si>
  <si>
    <t xml:space="preserve">Cheeseburger + Patates Kızartması + Ayran (33 cl.) </t>
  </si>
  <si>
    <t>31,99 TL</t>
  </si>
  <si>
    <t>Double Hamburger Menü</t>
  </si>
  <si>
    <t xml:space="preserve">Double Hamburger + Patates Kızartması + Ayran (33 cl.) </t>
  </si>
  <si>
    <t xml:space="preserve">Tavuk Burger + Patates Kızartması + Ayran (33 cl.) </t>
  </si>
  <si>
    <t>22,99 TL</t>
  </si>
  <si>
    <t>All Star Menü</t>
  </si>
  <si>
    <t xml:space="preserve">2 Adet Hamburger + 2 Adet Patates Kızartması + Coca Cola (1 L.) </t>
  </si>
  <si>
    <t>Pizza Menü</t>
  </si>
  <si>
    <t xml:space="preserve">Seçeceğiniz 2 Adet Orta Boy Pizza + Büyük Boy Patates Kızartması + Coca Cola (1 L.) </t>
  </si>
  <si>
    <t xml:space="preserve">Kaşar peyniri, sucuk </t>
  </si>
  <si>
    <t>Tavuk Sandviç</t>
  </si>
  <si>
    <t xml:space="preserve">Tavuk, patates kızartması, turşu, mayonez, sos </t>
  </si>
  <si>
    <t>Sosis Sandviç</t>
  </si>
  <si>
    <t xml:space="preserve">Sosis, patates kızartması, ketçap, mayonez </t>
  </si>
  <si>
    <t>Köfte Sandviç</t>
  </si>
  <si>
    <t xml:space="preserve">Köfte, yeşillik, soğan, domates </t>
  </si>
  <si>
    <t>İskender (Tavuk Dönerden)</t>
  </si>
  <si>
    <t>Tavuk Beyti</t>
  </si>
  <si>
    <t>Antakya Tavuk Döner Dürüm</t>
  </si>
  <si>
    <t>Antakya Bazuka Tavuk Döner Dürüm</t>
  </si>
  <si>
    <t>16,99 TL</t>
  </si>
  <si>
    <t>Hatay Tavuk Döner Dürüm</t>
  </si>
  <si>
    <t xml:space="preserve">Tavuk döner, patates kızartması, turşu, mayonez, sos, yeşillik </t>
  </si>
  <si>
    <t>Hatay Bazuka Tavuk Döner Dürüm</t>
  </si>
  <si>
    <t>Hatay XXL Tavuk Döner Dürüm</t>
  </si>
  <si>
    <t xml:space="preserve">Tavuk döner, patates kızartması, turşu, mayonez, sos, yeşilik </t>
  </si>
  <si>
    <t>İskender (Köfteden)</t>
  </si>
  <si>
    <t>Köfte Dürüm</t>
  </si>
  <si>
    <t xml:space="preserve">Burger köftesi, yeşillik, domates, mayonez, ketçap </t>
  </si>
  <si>
    <t xml:space="preserve">Burger köftesi, yeşillik, domates, mayonez, ketçap, cheddar peyniri </t>
  </si>
  <si>
    <t>23,99 TL</t>
  </si>
  <si>
    <t>Double Hamburger</t>
  </si>
  <si>
    <t xml:space="preserve">Double burger köftesi, yeşillik, domates, mayonez, ketçap </t>
  </si>
  <si>
    <t xml:space="preserve">Tavuk, yeşillik, domates, mayonez, ketçap </t>
  </si>
  <si>
    <t>Islak Hamburger</t>
  </si>
  <si>
    <t>Tavuklu Pizza (Orta)</t>
  </si>
  <si>
    <t xml:space="preserve">Mozzarella peyniri, tavuk, kırmızıbiber, yeşilbiber </t>
  </si>
  <si>
    <t>Karışık Pizza (Orta)</t>
  </si>
  <si>
    <t xml:space="preserve">Mozzarella peyniri, sucuk, salam, sosis, siyah zeytin, mantar, kırmızıbiber, yeşilbiber </t>
  </si>
  <si>
    <t>Ton Balıklı Pizza (Orta)</t>
  </si>
  <si>
    <t xml:space="preserve">Mozzarella peyniri, ton balığı, soğan, mısır </t>
  </si>
  <si>
    <t>Kavurmalı Pizza (Orta)</t>
  </si>
  <si>
    <t xml:space="preserve">Mozzarella peyniri, kavurma, kırmızıbiber, yeşilbiber </t>
  </si>
  <si>
    <t xml:space="preserve">Mozzarella peyniri, sucuk </t>
  </si>
  <si>
    <t>Çıtır Tavuk (12 Adet)</t>
  </si>
  <si>
    <t>Çıtır Peynir Topu (15 Adet)</t>
  </si>
  <si>
    <t>Pepsi Max (33 cl.)</t>
  </si>
  <si>
    <t>Fruko (33 cl.)</t>
  </si>
  <si>
    <t>7UP (33 cl.)</t>
  </si>
  <si>
    <t>Tamek (33 cl.)</t>
  </si>
  <si>
    <t>Tropicana (33 cl.)</t>
  </si>
  <si>
    <t>Peynirli Su Böreği (1 kg.)</t>
  </si>
  <si>
    <t>Kuru Pasta</t>
  </si>
  <si>
    <t xml:space="preserve">Tatlı, tuzlu </t>
  </si>
  <si>
    <t>7,50 TL</t>
  </si>
  <si>
    <t>Cevizli Burma (1 kg.)</t>
  </si>
  <si>
    <t>Fıstıklı Kaymaklı (1 kg.)</t>
  </si>
  <si>
    <t>Tulumba Tatlısı (1 kg.)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</si>
</sst>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34"/>
  <sheetViews>
    <sheetView topLeftCell="G1" workbookViewId="0">
      <selection activeCell="A2" sqref="A2:XFD2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18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18" x14ac:dyDescent="0.25">
      <c r="B2" t="s">
        <v>87</v>
      </c>
      <c r="C2" t="s">
        <v>88</v>
      </c>
      <c r="D2" t="s">
        <v>89</v>
      </c>
      <c r="E2" t="s">
        <v>89</v>
      </c>
      <c r="F2" t="s">
        <v>89</v>
      </c>
      <c r="G2" t="s">
        <v>90</v>
      </c>
      <c r="H2" t="s">
        <v>91</v>
      </c>
      <c r="I2" t="s">
        <v>92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>
        <v>1</v>
      </c>
      <c r="P2" t="s">
        <v>89</v>
      </c>
      <c r="Q2" t="s">
        <v>89</v>
      </c>
      <c r="R2" t="s">
        <v>93</v>
      </c>
    </row>
    <row r="3" spans="1:18" x14ac:dyDescent="0.25">
      <c r="B3" t="s">
        <v>94</v>
      </c>
      <c r="C3" t="s">
        <v>88</v>
      </c>
      <c r="D3" t="s">
        <v>89</v>
      </c>
      <c r="E3" t="s">
        <v>89</v>
      </c>
      <c r="F3" t="s">
        <v>89</v>
      </c>
      <c r="G3" t="s">
        <v>90</v>
      </c>
      <c r="H3" t="s">
        <v>91</v>
      </c>
      <c r="I3" t="s">
        <v>95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>
        <v>2</v>
      </c>
      <c r="P3" t="s">
        <v>89</v>
      </c>
      <c r="Q3" t="s">
        <v>89</v>
      </c>
      <c r="R3" t="s">
        <v>93</v>
      </c>
    </row>
    <row r="4" spans="1:18" x14ac:dyDescent="0.25">
      <c r="B4" t="s">
        <v>96</v>
      </c>
      <c r="C4" t="s">
        <v>97</v>
      </c>
      <c r="D4" t="s">
        <v>89</v>
      </c>
      <c r="E4" t="s">
        <v>89</v>
      </c>
      <c r="F4" t="s">
        <v>89</v>
      </c>
      <c r="G4" t="s">
        <v>90</v>
      </c>
      <c r="H4" t="s">
        <v>91</v>
      </c>
      <c r="I4" t="s">
        <v>98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>
        <v>3</v>
      </c>
      <c r="P4" t="s">
        <v>89</v>
      </c>
      <c r="Q4" t="s">
        <v>89</v>
      </c>
      <c r="R4" t="s">
        <v>93</v>
      </c>
    </row>
    <row r="5" spans="1:18" x14ac:dyDescent="0.25">
      <c r="B5" t="s">
        <v>99</v>
      </c>
      <c r="C5" t="s">
        <v>97</v>
      </c>
      <c r="D5" t="s">
        <v>89</v>
      </c>
      <c r="E5" t="s">
        <v>89</v>
      </c>
      <c r="F5" t="s">
        <v>89</v>
      </c>
      <c r="G5" t="s">
        <v>90</v>
      </c>
      <c r="H5" t="s">
        <v>91</v>
      </c>
      <c r="I5" t="s">
        <v>100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>
        <v>4</v>
      </c>
      <c r="P5" t="s">
        <v>89</v>
      </c>
      <c r="Q5" t="s">
        <v>89</v>
      </c>
      <c r="R5" t="s">
        <v>93</v>
      </c>
    </row>
    <row r="6" spans="1:18" x14ac:dyDescent="0.25">
      <c r="B6" t="s">
        <v>101</v>
      </c>
      <c r="C6" t="s">
        <v>102</v>
      </c>
      <c r="D6" t="s">
        <v>89</v>
      </c>
      <c r="E6" t="s">
        <v>89</v>
      </c>
      <c r="F6" t="s">
        <v>89</v>
      </c>
      <c r="G6" t="s">
        <v>90</v>
      </c>
      <c r="H6" t="s">
        <v>91</v>
      </c>
      <c r="I6" t="s">
        <v>103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>
        <v>5</v>
      </c>
      <c r="P6" t="s">
        <v>89</v>
      </c>
      <c r="Q6" t="s">
        <v>89</v>
      </c>
      <c r="R6" t="s">
        <v>93</v>
      </c>
    </row>
    <row r="7" spans="1:18" x14ac:dyDescent="0.25">
      <c r="B7" t="s">
        <v>104</v>
      </c>
      <c r="C7" t="s">
        <v>102</v>
      </c>
      <c r="D7" t="s">
        <v>89</v>
      </c>
      <c r="E7" t="s">
        <v>89</v>
      </c>
      <c r="F7" t="s">
        <v>89</v>
      </c>
      <c r="G7" t="s">
        <v>90</v>
      </c>
      <c r="H7" t="s">
        <v>91</v>
      </c>
      <c r="I7" t="s">
        <v>92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>
        <v>6</v>
      </c>
      <c r="P7" t="s">
        <v>89</v>
      </c>
      <c r="Q7" t="s">
        <v>89</v>
      </c>
      <c r="R7" t="s">
        <v>93</v>
      </c>
    </row>
    <row r="8" spans="1:18" x14ac:dyDescent="0.25">
      <c r="B8" t="s">
        <v>105</v>
      </c>
      <c r="C8" t="s">
        <v>106</v>
      </c>
      <c r="D8" t="s">
        <v>89</v>
      </c>
      <c r="E8" t="s">
        <v>89</v>
      </c>
      <c r="F8" t="s">
        <v>89</v>
      </c>
      <c r="G8" t="s">
        <v>90</v>
      </c>
      <c r="H8" t="s">
        <v>91</v>
      </c>
      <c r="I8" t="s">
        <v>100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>
        <v>7</v>
      </c>
      <c r="P8" t="s">
        <v>89</v>
      </c>
      <c r="Q8" t="s">
        <v>89</v>
      </c>
      <c r="R8" t="s">
        <v>93</v>
      </c>
    </row>
    <row r="9" spans="1:18" x14ac:dyDescent="0.25">
      <c r="B9" t="s">
        <v>107</v>
      </c>
      <c r="C9" t="s">
        <v>97</v>
      </c>
      <c r="D9" t="s">
        <v>89</v>
      </c>
      <c r="E9" t="s">
        <v>89</v>
      </c>
      <c r="F9" t="s">
        <v>89</v>
      </c>
      <c r="G9" t="s">
        <v>90</v>
      </c>
      <c r="H9" t="s">
        <v>91</v>
      </c>
      <c r="I9" t="s">
        <v>98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>
        <v>8</v>
      </c>
      <c r="P9" t="s">
        <v>89</v>
      </c>
      <c r="Q9" t="s">
        <v>89</v>
      </c>
      <c r="R9" t="s">
        <v>93</v>
      </c>
    </row>
    <row r="10" spans="1:18" x14ac:dyDescent="0.25">
      <c r="B10" t="s">
        <v>108</v>
      </c>
      <c r="C10" t="s">
        <v>109</v>
      </c>
      <c r="D10" t="s">
        <v>89</v>
      </c>
      <c r="E10" t="s">
        <v>89</v>
      </c>
      <c r="F10" t="s">
        <v>89</v>
      </c>
      <c r="G10" t="s">
        <v>90</v>
      </c>
      <c r="H10" t="s">
        <v>91</v>
      </c>
      <c r="I10" t="s">
        <v>98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>
        <v>9</v>
      </c>
      <c r="P10" t="s">
        <v>89</v>
      </c>
      <c r="Q10" t="s">
        <v>89</v>
      </c>
      <c r="R10" t="s">
        <v>93</v>
      </c>
    </row>
    <row r="11" spans="1:18" x14ac:dyDescent="0.25">
      <c r="B11" t="s">
        <v>110</v>
      </c>
      <c r="C11" t="s">
        <v>97</v>
      </c>
      <c r="D11" t="s">
        <v>89</v>
      </c>
      <c r="E11" t="s">
        <v>89</v>
      </c>
      <c r="F11" t="s">
        <v>89</v>
      </c>
      <c r="G11" t="s">
        <v>90</v>
      </c>
      <c r="H11" t="s">
        <v>91</v>
      </c>
      <c r="I11" t="s">
        <v>103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>
        <v>10</v>
      </c>
      <c r="P11" t="s">
        <v>89</v>
      </c>
      <c r="Q11" t="s">
        <v>89</v>
      </c>
      <c r="R11" t="s">
        <v>93</v>
      </c>
    </row>
    <row r="12" spans="1:18" x14ac:dyDescent="0.25">
      <c r="B12" t="s">
        <v>111</v>
      </c>
      <c r="C12" t="s">
        <v>106</v>
      </c>
      <c r="D12" t="s">
        <v>89</v>
      </c>
      <c r="E12" t="s">
        <v>89</v>
      </c>
      <c r="F12" t="s">
        <v>89</v>
      </c>
      <c r="G12" t="s">
        <v>90</v>
      </c>
      <c r="H12" t="s">
        <v>91</v>
      </c>
      <c r="I12" t="s">
        <v>100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>
        <v>11</v>
      </c>
      <c r="P12" t="s">
        <v>89</v>
      </c>
      <c r="Q12" t="s">
        <v>89</v>
      </c>
      <c r="R12" t="s">
        <v>93</v>
      </c>
    </row>
    <row r="13" spans="1:18" x14ac:dyDescent="0.25">
      <c r="B13" t="s">
        <v>112</v>
      </c>
      <c r="C13" t="s">
        <v>102</v>
      </c>
      <c r="D13" t="s">
        <v>89</v>
      </c>
      <c r="E13" t="s">
        <v>89</v>
      </c>
      <c r="F13" t="s">
        <v>89</v>
      </c>
      <c r="G13" t="s">
        <v>90</v>
      </c>
      <c r="H13" t="s">
        <v>91</v>
      </c>
      <c r="I13" t="s">
        <v>100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>
        <v>12</v>
      </c>
      <c r="P13" t="s">
        <v>89</v>
      </c>
      <c r="Q13" t="s">
        <v>89</v>
      </c>
      <c r="R13" t="s">
        <v>93</v>
      </c>
    </row>
    <row r="14" spans="1:18" x14ac:dyDescent="0.25">
      <c r="B14" t="s">
        <v>113</v>
      </c>
      <c r="C14" t="s">
        <v>109</v>
      </c>
      <c r="D14" t="s">
        <v>89</v>
      </c>
      <c r="E14" t="s">
        <v>89</v>
      </c>
      <c r="F14" t="s">
        <v>89</v>
      </c>
      <c r="G14" t="s">
        <v>90</v>
      </c>
      <c r="H14" t="s">
        <v>91</v>
      </c>
      <c r="I14" t="s">
        <v>92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>
        <v>13</v>
      </c>
      <c r="P14" t="s">
        <v>89</v>
      </c>
      <c r="Q14" t="s">
        <v>89</v>
      </c>
      <c r="R14" t="s">
        <v>93</v>
      </c>
    </row>
    <row r="15" spans="1:18" x14ac:dyDescent="0.25">
      <c r="B15" t="s">
        <v>114</v>
      </c>
      <c r="C15" t="s">
        <v>88</v>
      </c>
      <c r="D15" t="s">
        <v>89</v>
      </c>
      <c r="E15" t="s">
        <v>89</v>
      </c>
      <c r="F15" t="s">
        <v>89</v>
      </c>
      <c r="G15" t="s">
        <v>90</v>
      </c>
      <c r="H15" t="s">
        <v>91</v>
      </c>
      <c r="I15" t="s">
        <v>115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>
        <v>14</v>
      </c>
      <c r="P15" t="s">
        <v>89</v>
      </c>
      <c r="Q15" t="s">
        <v>89</v>
      </c>
      <c r="R15" t="s">
        <v>93</v>
      </c>
    </row>
    <row r="16" spans="1:18" x14ac:dyDescent="0.25">
      <c r="B16" t="s">
        <v>116</v>
      </c>
      <c r="C16" t="s">
        <v>102</v>
      </c>
      <c r="D16" t="s">
        <v>89</v>
      </c>
      <c r="E16" t="s">
        <v>89</v>
      </c>
      <c r="F16" t="s">
        <v>89</v>
      </c>
      <c r="G16" t="s">
        <v>90</v>
      </c>
      <c r="H16" t="s">
        <v>91</v>
      </c>
      <c r="I16" t="s">
        <v>100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>
        <v>15</v>
      </c>
      <c r="P16" t="s">
        <v>89</v>
      </c>
      <c r="Q16" t="s">
        <v>89</v>
      </c>
      <c r="R16" t="s">
        <v>93</v>
      </c>
    </row>
    <row r="17" spans="2:18" x14ac:dyDescent="0.25">
      <c r="B17" t="s">
        <v>117</v>
      </c>
      <c r="C17" t="s">
        <v>118</v>
      </c>
      <c r="D17" t="s">
        <v>89</v>
      </c>
      <c r="E17" t="s">
        <v>89</v>
      </c>
      <c r="F17" t="s">
        <v>89</v>
      </c>
      <c r="G17" t="s">
        <v>90</v>
      </c>
      <c r="H17" t="s">
        <v>91</v>
      </c>
      <c r="I17" t="s">
        <v>92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>
        <v>16</v>
      </c>
      <c r="P17" t="s">
        <v>89</v>
      </c>
      <c r="Q17" t="s">
        <v>89</v>
      </c>
      <c r="R17" t="s">
        <v>93</v>
      </c>
    </row>
    <row r="18" spans="2:18" x14ac:dyDescent="0.25">
      <c r="B18" t="s">
        <v>119</v>
      </c>
      <c r="C18" t="s">
        <v>120</v>
      </c>
      <c r="D18" t="s">
        <v>89</v>
      </c>
      <c r="E18" t="s">
        <v>89</v>
      </c>
      <c r="F18" t="s">
        <v>89</v>
      </c>
      <c r="G18" t="s">
        <v>90</v>
      </c>
      <c r="H18" t="s">
        <v>91</v>
      </c>
      <c r="I18" t="s">
        <v>98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>
        <v>17</v>
      </c>
      <c r="P18" t="s">
        <v>89</v>
      </c>
      <c r="Q18" t="s">
        <v>89</v>
      </c>
      <c r="R18" t="s">
        <v>93</v>
      </c>
    </row>
    <row r="19" spans="2:18" x14ac:dyDescent="0.25">
      <c r="B19" t="s">
        <v>121</v>
      </c>
      <c r="C19" t="s">
        <v>97</v>
      </c>
      <c r="D19" t="s">
        <v>89</v>
      </c>
      <c r="E19" t="s">
        <v>89</v>
      </c>
      <c r="F19" t="s">
        <v>89</v>
      </c>
      <c r="G19" t="s">
        <v>90</v>
      </c>
      <c r="H19" t="s">
        <v>91</v>
      </c>
      <c r="I19" t="s">
        <v>92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>
        <v>18</v>
      </c>
      <c r="P19" t="s">
        <v>89</v>
      </c>
      <c r="Q19" t="s">
        <v>89</v>
      </c>
      <c r="R19" t="s">
        <v>93</v>
      </c>
    </row>
    <row r="20" spans="2:18" x14ac:dyDescent="0.25">
      <c r="B20" t="s">
        <v>122</v>
      </c>
      <c r="C20" t="s">
        <v>123</v>
      </c>
      <c r="D20" t="s">
        <v>89</v>
      </c>
      <c r="E20" t="s">
        <v>89</v>
      </c>
      <c r="F20" t="s">
        <v>89</v>
      </c>
      <c r="G20" t="s">
        <v>90</v>
      </c>
      <c r="H20" t="s">
        <v>91</v>
      </c>
      <c r="I20" t="s">
        <v>92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  <c r="O20">
        <v>19</v>
      </c>
      <c r="P20" t="s">
        <v>89</v>
      </c>
      <c r="Q20" t="s">
        <v>89</v>
      </c>
      <c r="R20" t="s">
        <v>93</v>
      </c>
    </row>
    <row r="21" spans="2:18" x14ac:dyDescent="0.25">
      <c r="B21" t="s">
        <v>124</v>
      </c>
      <c r="C21" t="s">
        <v>123</v>
      </c>
      <c r="D21" t="s">
        <v>89</v>
      </c>
      <c r="E21" t="s">
        <v>89</v>
      </c>
      <c r="F21" t="s">
        <v>89</v>
      </c>
      <c r="G21" t="s">
        <v>90</v>
      </c>
      <c r="H21" t="s">
        <v>91</v>
      </c>
      <c r="I21" t="s">
        <v>103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  <c r="O21">
        <v>20</v>
      </c>
      <c r="P21" t="s">
        <v>89</v>
      </c>
      <c r="Q21" t="s">
        <v>89</v>
      </c>
      <c r="R21" t="s">
        <v>93</v>
      </c>
    </row>
    <row r="22" spans="2:18" x14ac:dyDescent="0.25">
      <c r="B22" t="s">
        <v>125</v>
      </c>
      <c r="C22" t="s">
        <v>88</v>
      </c>
      <c r="D22" t="s">
        <v>89</v>
      </c>
      <c r="E22" t="s">
        <v>89</v>
      </c>
      <c r="F22" t="s">
        <v>89</v>
      </c>
      <c r="G22" t="s">
        <v>90</v>
      </c>
      <c r="H22" t="s">
        <v>91</v>
      </c>
      <c r="I22" t="s">
        <v>92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  <c r="O22">
        <v>21</v>
      </c>
      <c r="P22" t="s">
        <v>89</v>
      </c>
      <c r="Q22" t="s">
        <v>89</v>
      </c>
      <c r="R22" t="s">
        <v>93</v>
      </c>
    </row>
    <row r="23" spans="2:18" x14ac:dyDescent="0.25">
      <c r="B23" t="s">
        <v>126</v>
      </c>
      <c r="C23" t="s">
        <v>88</v>
      </c>
      <c r="D23" t="s">
        <v>89</v>
      </c>
      <c r="E23" t="s">
        <v>89</v>
      </c>
      <c r="F23" t="s">
        <v>89</v>
      </c>
      <c r="G23" t="s">
        <v>90</v>
      </c>
      <c r="H23" t="s">
        <v>91</v>
      </c>
      <c r="I23" t="s">
        <v>98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>
        <v>23</v>
      </c>
      <c r="P23" t="s">
        <v>89</v>
      </c>
      <c r="Q23" t="s">
        <v>89</v>
      </c>
      <c r="R23" t="s">
        <v>93</v>
      </c>
    </row>
    <row r="24" spans="2:18" x14ac:dyDescent="0.25">
      <c r="B24" t="s">
        <v>127</v>
      </c>
      <c r="C24" t="s">
        <v>120</v>
      </c>
      <c r="D24" t="s">
        <v>89</v>
      </c>
      <c r="E24" t="s">
        <v>89</v>
      </c>
      <c r="F24" t="s">
        <v>89</v>
      </c>
      <c r="G24" t="s">
        <v>90</v>
      </c>
      <c r="H24" t="s">
        <v>91</v>
      </c>
      <c r="I24" t="s">
        <v>92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  <c r="O24">
        <v>24</v>
      </c>
      <c r="P24" t="s">
        <v>89</v>
      </c>
      <c r="Q24" t="s">
        <v>89</v>
      </c>
      <c r="R24" t="s">
        <v>93</v>
      </c>
    </row>
    <row r="25" spans="2:18" x14ac:dyDescent="0.25">
      <c r="B25" t="s">
        <v>128</v>
      </c>
      <c r="C25" t="s">
        <v>120</v>
      </c>
      <c r="D25" t="s">
        <v>89</v>
      </c>
      <c r="E25" t="s">
        <v>89</v>
      </c>
      <c r="F25" t="s">
        <v>89</v>
      </c>
      <c r="G25" t="s">
        <v>90</v>
      </c>
      <c r="H25" t="s">
        <v>91</v>
      </c>
      <c r="I25" t="s">
        <v>98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  <c r="O25">
        <v>25</v>
      </c>
      <c r="P25" t="s">
        <v>89</v>
      </c>
      <c r="Q25" t="s">
        <v>89</v>
      </c>
      <c r="R25" t="s">
        <v>93</v>
      </c>
    </row>
    <row r="26" spans="2:18" x14ac:dyDescent="0.25">
      <c r="B26" t="s">
        <v>129</v>
      </c>
      <c r="C26" t="s">
        <v>88</v>
      </c>
      <c r="D26" t="s">
        <v>89</v>
      </c>
      <c r="E26" t="s">
        <v>89</v>
      </c>
      <c r="F26" t="s">
        <v>89</v>
      </c>
      <c r="G26" t="s">
        <v>90</v>
      </c>
      <c r="H26" t="s">
        <v>91</v>
      </c>
      <c r="I26" t="s">
        <v>98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>
        <v>26</v>
      </c>
      <c r="P26" t="s">
        <v>89</v>
      </c>
      <c r="Q26" t="s">
        <v>89</v>
      </c>
      <c r="R26" t="s">
        <v>93</v>
      </c>
    </row>
    <row r="27" spans="2:18" x14ac:dyDescent="0.25">
      <c r="B27" t="s">
        <v>130</v>
      </c>
      <c r="C27" t="s">
        <v>106</v>
      </c>
      <c r="D27" t="s">
        <v>89</v>
      </c>
      <c r="E27" t="s">
        <v>89</v>
      </c>
      <c r="F27" t="s">
        <v>89</v>
      </c>
      <c r="G27" t="s">
        <v>90</v>
      </c>
      <c r="H27" t="s">
        <v>91</v>
      </c>
      <c r="I27" t="s">
        <v>100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  <c r="O27">
        <v>27</v>
      </c>
      <c r="P27" t="s">
        <v>89</v>
      </c>
      <c r="Q27" t="s">
        <v>89</v>
      </c>
      <c r="R27" t="s">
        <v>93</v>
      </c>
    </row>
    <row r="28" spans="2:18" x14ac:dyDescent="0.25">
      <c r="B28" t="s">
        <v>131</v>
      </c>
      <c r="C28" t="s">
        <v>102</v>
      </c>
      <c r="D28" t="s">
        <v>89</v>
      </c>
      <c r="E28" t="s">
        <v>89</v>
      </c>
      <c r="F28" t="s">
        <v>89</v>
      </c>
      <c r="G28" t="s">
        <v>90</v>
      </c>
      <c r="H28" t="s">
        <v>91</v>
      </c>
      <c r="I28" t="s">
        <v>132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  <c r="O28">
        <v>28</v>
      </c>
      <c r="P28" t="s">
        <v>89</v>
      </c>
      <c r="Q28" t="s">
        <v>89</v>
      </c>
      <c r="R28" t="s">
        <v>93</v>
      </c>
    </row>
    <row r="29" spans="2:18" x14ac:dyDescent="0.25">
      <c r="B29" t="s">
        <v>133</v>
      </c>
      <c r="C29" t="s">
        <v>134</v>
      </c>
      <c r="D29" t="s">
        <v>89</v>
      </c>
      <c r="E29" t="s">
        <v>89</v>
      </c>
      <c r="F29" t="s">
        <v>89</v>
      </c>
      <c r="G29" t="s">
        <v>90</v>
      </c>
      <c r="H29" t="s">
        <v>91</v>
      </c>
      <c r="I29" t="s">
        <v>100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>
        <v>29</v>
      </c>
      <c r="P29" t="s">
        <v>89</v>
      </c>
      <c r="Q29" t="s">
        <v>89</v>
      </c>
      <c r="R29" t="s">
        <v>93</v>
      </c>
    </row>
    <row r="30" spans="2:18" x14ac:dyDescent="0.25">
      <c r="B30" t="s">
        <v>135</v>
      </c>
      <c r="C30" t="s">
        <v>123</v>
      </c>
      <c r="D30" t="s">
        <v>89</v>
      </c>
      <c r="E30" t="s">
        <v>89</v>
      </c>
      <c r="F30" t="s">
        <v>89</v>
      </c>
      <c r="G30" t="s">
        <v>90</v>
      </c>
      <c r="H30" t="s">
        <v>91</v>
      </c>
      <c r="I30" t="s">
        <v>98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  <c r="O30">
        <v>30</v>
      </c>
      <c r="P30" t="s">
        <v>89</v>
      </c>
      <c r="Q30" t="s">
        <v>89</v>
      </c>
      <c r="R30" t="s">
        <v>93</v>
      </c>
    </row>
    <row r="31" spans="2:18" x14ac:dyDescent="0.25">
      <c r="B31" t="s">
        <v>136</v>
      </c>
      <c r="C31" t="s">
        <v>97</v>
      </c>
      <c r="D31" t="s">
        <v>89</v>
      </c>
      <c r="E31" t="s">
        <v>89</v>
      </c>
      <c r="F31" t="s">
        <v>89</v>
      </c>
      <c r="G31" t="s">
        <v>90</v>
      </c>
      <c r="H31" t="s">
        <v>91</v>
      </c>
      <c r="I31" t="s">
        <v>92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  <c r="O31">
        <v>31</v>
      </c>
      <c r="P31" t="s">
        <v>89</v>
      </c>
      <c r="Q31" t="s">
        <v>89</v>
      </c>
      <c r="R31" t="s">
        <v>93</v>
      </c>
    </row>
    <row r="32" spans="2:18" x14ac:dyDescent="0.25">
      <c r="B32" t="s">
        <v>137</v>
      </c>
      <c r="C32" t="s">
        <v>109</v>
      </c>
      <c r="D32" t="s">
        <v>89</v>
      </c>
      <c r="E32" t="s">
        <v>89</v>
      </c>
      <c r="F32" t="s">
        <v>89</v>
      </c>
      <c r="G32" t="s">
        <v>90</v>
      </c>
      <c r="H32" t="s">
        <v>91</v>
      </c>
      <c r="I32" t="s">
        <v>100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  <c r="O32">
        <v>32</v>
      </c>
      <c r="P32" t="s">
        <v>89</v>
      </c>
      <c r="Q32" t="s">
        <v>89</v>
      </c>
      <c r="R32" t="s">
        <v>93</v>
      </c>
    </row>
    <row r="33" spans="2:18" x14ac:dyDescent="0.25">
      <c r="B33" t="s">
        <v>138</v>
      </c>
      <c r="C33" t="s">
        <v>97</v>
      </c>
      <c r="D33" t="s">
        <v>89</v>
      </c>
      <c r="E33" t="s">
        <v>89</v>
      </c>
      <c r="F33" t="s">
        <v>89</v>
      </c>
      <c r="G33" t="s">
        <v>90</v>
      </c>
      <c r="H33" t="s">
        <v>91</v>
      </c>
      <c r="I33" t="s">
        <v>139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  <c r="O33">
        <v>33</v>
      </c>
      <c r="P33" t="s">
        <v>89</v>
      </c>
      <c r="Q33" t="s">
        <v>89</v>
      </c>
      <c r="R33" t="s">
        <v>93</v>
      </c>
    </row>
    <row r="34" spans="2:18" x14ac:dyDescent="0.25">
      <c r="B34" t="s">
        <v>140</v>
      </c>
      <c r="C34" t="s">
        <v>106</v>
      </c>
      <c r="D34" t="s">
        <v>89</v>
      </c>
      <c r="E34" t="s">
        <v>89</v>
      </c>
      <c r="F34" t="s">
        <v>89</v>
      </c>
      <c r="G34" t="s">
        <v>90</v>
      </c>
      <c r="H34" t="s">
        <v>91</v>
      </c>
      <c r="I34" t="s">
        <v>92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  <c r="O34">
        <v>34</v>
      </c>
      <c r="P34" t="s">
        <v>89</v>
      </c>
      <c r="Q34" t="s">
        <v>89</v>
      </c>
      <c r="R34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4"/>
  <sheetViews>
    <sheetView workbookViewId="0">
      <selection activeCell="A4" sqref="A4:XFD4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x14ac:dyDescent="0.25">
      <c r="A4" s="2"/>
      <c r="B4" s="2" t="s">
        <v>89</v>
      </c>
      <c r="C4" s="2" t="s">
        <v>89</v>
      </c>
      <c r="D4" s="2" t="s">
        <v>89</v>
      </c>
      <c r="E4" s="2" t="s">
        <v>89</v>
      </c>
      <c r="F4" s="2" t="s">
        <v>89</v>
      </c>
      <c r="G4" s="2" t="s">
        <v>89</v>
      </c>
      <c r="H4" s="2" t="s">
        <v>89</v>
      </c>
      <c r="I4" s="2" t="s">
        <v>89</v>
      </c>
      <c r="J4" s="2" t="s">
        <v>89</v>
      </c>
      <c r="K4" s="2" t="s">
        <v>89</v>
      </c>
      <c r="L4" s="2" t="s">
        <v>141</v>
      </c>
      <c r="M4" s="2" t="s">
        <v>89</v>
      </c>
      <c r="N4" s="2" t="s">
        <v>89</v>
      </c>
      <c r="O4" s="2" t="s">
        <v>89</v>
      </c>
      <c r="P4" s="2" t="s">
        <v>89</v>
      </c>
      <c r="Q4" s="2" t="s">
        <v>89</v>
      </c>
      <c r="R4" s="2" t="s">
        <v>89</v>
      </c>
      <c r="S4" s="2" t="s">
        <v>89</v>
      </c>
      <c r="T4" s="2" t="s">
        <v>89</v>
      </c>
      <c r="U4" s="2" t="s">
        <v>89</v>
      </c>
      <c r="V4" s="2" t="s">
        <v>89</v>
      </c>
      <c r="W4" s="2" t="s">
        <v>90</v>
      </c>
      <c r="X4" s="2" t="s">
        <v>89</v>
      </c>
      <c r="Y4" s="2" t="s">
        <v>91</v>
      </c>
      <c r="Z4" s="2" t="s">
        <v>92</v>
      </c>
      <c r="AA4" s="2" t="s">
        <v>89</v>
      </c>
      <c r="AB4" s="2" t="s">
        <v>89</v>
      </c>
      <c r="AC4" s="2" t="s">
        <v>89</v>
      </c>
      <c r="AD4" s="2" t="s">
        <v>89</v>
      </c>
      <c r="AE4" s="2" t="str">
        <f>HYPERLINK("file:///C:/rest_photo/Adışanlı Çiğ Köfte, Merkez (Hürriyet Mah.).jpg","Adışanlı Çiğ Köfte, Merkez (Hürriyet Mah.)")</f>
        <v>Adışanlı Çiğ Köfte, Merkez (Hürriyet Mah.)</v>
      </c>
      <c r="AF4" s="2" t="s">
        <v>142</v>
      </c>
      <c r="AG4" s="2" t="s">
        <v>88</v>
      </c>
      <c r="AH4" s="2" t="s">
        <v>89</v>
      </c>
      <c r="AI4" s="2" t="s">
        <v>89</v>
      </c>
      <c r="AJ4" s="2" t="s">
        <v>93</v>
      </c>
      <c r="AK4" s="2"/>
      <c r="AL4" s="2"/>
    </row>
    <row r="5" spans="1:38" x14ac:dyDescent="0.25">
      <c r="A5" s="2"/>
      <c r="B5" s="2" t="s">
        <v>89</v>
      </c>
      <c r="C5" s="2" t="s">
        <v>89</v>
      </c>
      <c r="D5" s="2" t="s">
        <v>89</v>
      </c>
      <c r="E5" s="2" t="s">
        <v>89</v>
      </c>
      <c r="F5" s="2" t="s">
        <v>89</v>
      </c>
      <c r="G5" s="2" t="s">
        <v>89</v>
      </c>
      <c r="H5" s="2" t="s">
        <v>89</v>
      </c>
      <c r="I5" s="2" t="s">
        <v>89</v>
      </c>
      <c r="J5" s="2" t="s">
        <v>89</v>
      </c>
      <c r="K5" s="2" t="s">
        <v>89</v>
      </c>
      <c r="L5" s="2" t="s">
        <v>143</v>
      </c>
      <c r="M5" s="2" t="s">
        <v>89</v>
      </c>
      <c r="N5" s="2" t="s">
        <v>89</v>
      </c>
      <c r="O5" s="2" t="s">
        <v>89</v>
      </c>
      <c r="P5" s="2" t="s">
        <v>89</v>
      </c>
      <c r="Q5" s="2" t="s">
        <v>89</v>
      </c>
      <c r="R5" s="2" t="s">
        <v>89</v>
      </c>
      <c r="S5" s="2" t="s">
        <v>89</v>
      </c>
      <c r="T5" s="2" t="s">
        <v>89</v>
      </c>
      <c r="U5" s="2" t="s">
        <v>89</v>
      </c>
      <c r="V5" s="2" t="s">
        <v>89</v>
      </c>
      <c r="W5" s="2" t="s">
        <v>90</v>
      </c>
      <c r="X5" s="2" t="s">
        <v>89</v>
      </c>
      <c r="Y5" s="2" t="s">
        <v>91</v>
      </c>
      <c r="Z5" s="2" t="s">
        <v>95</v>
      </c>
      <c r="AA5" s="2" t="s">
        <v>89</v>
      </c>
      <c r="AB5" s="2" t="s">
        <v>89</v>
      </c>
      <c r="AC5" s="2" t="s">
        <v>89</v>
      </c>
      <c r="AD5" s="2" t="s">
        <v>89</v>
      </c>
      <c r="AE5" s="2" t="str">
        <f>HYPERLINK("file:///C:/rest_photo/Adıyaman Kardeşler Çiğ Köfte, Merkez (Yeni Mah.).jpg","Adıyaman Kardeşler Çiğ Köfte, Merkez (Yeni Mah.)")</f>
        <v>Adıyaman Kardeşler Çiğ Köfte, Merkez (Yeni Mah.)</v>
      </c>
      <c r="AF5" s="2" t="s">
        <v>144</v>
      </c>
      <c r="AG5" s="2" t="s">
        <v>88</v>
      </c>
      <c r="AH5" s="2" t="s">
        <v>89</v>
      </c>
      <c r="AI5" s="2" t="s">
        <v>89</v>
      </c>
      <c r="AJ5" s="2" t="s">
        <v>93</v>
      </c>
      <c r="AK5" s="2"/>
      <c r="AL5" s="2"/>
    </row>
    <row r="6" spans="1:38" x14ac:dyDescent="0.25">
      <c r="B6" t="s">
        <v>89</v>
      </c>
      <c r="C6" t="s">
        <v>89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145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90</v>
      </c>
      <c r="X6" t="s">
        <v>89</v>
      </c>
      <c r="Y6" t="s">
        <v>91</v>
      </c>
      <c r="Z6" t="s">
        <v>98</v>
      </c>
      <c r="AA6" t="s">
        <v>89</v>
      </c>
      <c r="AB6" t="s">
        <v>89</v>
      </c>
      <c r="AC6" t="s">
        <v>89</v>
      </c>
      <c r="AD6" t="s">
        <v>89</v>
      </c>
      <c r="AE6" t="str">
        <f>HYPERLINK("file:///C:/rest_photo/Ceylan Döner, Merkez (Kültür Mah.).jpg","Ceylan Döner, Merkez (Kültür Mah.)")</f>
        <v>Ceylan Döner, Merkez (Kültür Mah.)</v>
      </c>
      <c r="AF6" t="s">
        <v>142</v>
      </c>
      <c r="AG6" t="s">
        <v>97</v>
      </c>
      <c r="AH6" t="s">
        <v>89</v>
      </c>
      <c r="AI6" t="s">
        <v>89</v>
      </c>
      <c r="AJ6" t="s">
        <v>93</v>
      </c>
    </row>
    <row r="7" spans="1:38" x14ac:dyDescent="0.25"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146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90</v>
      </c>
      <c r="X7" t="s">
        <v>89</v>
      </c>
      <c r="Y7" t="s">
        <v>91</v>
      </c>
      <c r="Z7" t="s">
        <v>100</v>
      </c>
      <c r="AA7" t="s">
        <v>89</v>
      </c>
      <c r="AB7" t="s">
        <v>89</v>
      </c>
      <c r="AC7" t="s">
        <v>89</v>
      </c>
      <c r="AD7" t="s">
        <v>89</v>
      </c>
      <c r="AE7" t="str">
        <f>HYPERLINK("file:///C:/rest_photo/Çınar Döner &amp; Sulu Yemek, Merkez (Sunay Mah.).jpg","Çınar Döner &amp; Sulu Yemek, Merkez (Sunay Mah.)")</f>
        <v>Çınar Döner &amp; Sulu Yemek, Merkez (Sunay Mah.)</v>
      </c>
      <c r="AF7" t="s">
        <v>142</v>
      </c>
      <c r="AG7" t="s">
        <v>97</v>
      </c>
      <c r="AH7" t="s">
        <v>89</v>
      </c>
      <c r="AI7" t="s">
        <v>89</v>
      </c>
      <c r="AJ7" t="s">
        <v>93</v>
      </c>
    </row>
    <row r="8" spans="1:38" x14ac:dyDescent="0.25"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147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90</v>
      </c>
      <c r="X8" t="s">
        <v>89</v>
      </c>
      <c r="Y8" t="s">
        <v>91</v>
      </c>
      <c r="Z8" t="s">
        <v>103</v>
      </c>
      <c r="AA8" t="s">
        <v>89</v>
      </c>
      <c r="AB8" t="s">
        <v>89</v>
      </c>
      <c r="AC8" t="s">
        <v>89</v>
      </c>
      <c r="AD8" t="s">
        <v>89</v>
      </c>
      <c r="AE8" t="str">
        <f>HYPERLINK("file:///C:/rest_photo/Damak Tadı, Merkez (Yeşilyurt Mah.).jpg","Damak Tadı, Merkez (Yeşilyurt Mah.)")</f>
        <v>Damak Tadı, Merkez (Yeşilyurt Mah.)</v>
      </c>
      <c r="AF8" t="s">
        <v>142</v>
      </c>
      <c r="AG8" t="s">
        <v>102</v>
      </c>
      <c r="AH8" t="s">
        <v>89</v>
      </c>
      <c r="AI8" t="s">
        <v>89</v>
      </c>
      <c r="AJ8" t="s">
        <v>93</v>
      </c>
    </row>
    <row r="9" spans="1:38" x14ac:dyDescent="0.25"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148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90</v>
      </c>
      <c r="X9" t="s">
        <v>89</v>
      </c>
      <c r="Y9" t="s">
        <v>91</v>
      </c>
      <c r="Z9" t="s">
        <v>92</v>
      </c>
      <c r="AA9" t="s">
        <v>89</v>
      </c>
      <c r="AB9" t="s">
        <v>89</v>
      </c>
      <c r="AC9" t="s">
        <v>89</v>
      </c>
      <c r="AD9" t="s">
        <v>89</v>
      </c>
      <c r="AE9" t="str">
        <f>HYPERLINK("file:///C:/rest_photo/Divan Restaurant, Merkez (Hürriyet Mah.).jpg","Divan Restaurant, Merkez (Hürriyet Mah.)")</f>
        <v>Divan Restaurant, Merkez (Hürriyet Mah.)</v>
      </c>
      <c r="AF9" t="s">
        <v>142</v>
      </c>
      <c r="AG9" t="s">
        <v>102</v>
      </c>
      <c r="AH9" t="s">
        <v>89</v>
      </c>
      <c r="AI9" t="s">
        <v>89</v>
      </c>
      <c r="AJ9" t="s">
        <v>93</v>
      </c>
    </row>
    <row r="10" spans="1:38" x14ac:dyDescent="0.25"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149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90</v>
      </c>
      <c r="X10" t="s">
        <v>89</v>
      </c>
      <c r="Y10" t="s">
        <v>91</v>
      </c>
      <c r="Z10" t="s">
        <v>100</v>
      </c>
      <c r="AA10" t="s">
        <v>89</v>
      </c>
      <c r="AB10" t="s">
        <v>89</v>
      </c>
      <c r="AC10" t="s">
        <v>89</v>
      </c>
      <c r="AD10" t="s">
        <v>89</v>
      </c>
      <c r="AE10" t="str">
        <f>HYPERLINK("file:///C:/rest_photo/Diyar Künefe, Merkez (Sunay Mah.).jpg","Diyar Künefe, Merkez (Sunay Mah.)")</f>
        <v>Diyar Künefe, Merkez (Sunay Mah.)</v>
      </c>
      <c r="AF10" t="s">
        <v>81</v>
      </c>
      <c r="AG10" t="s">
        <v>106</v>
      </c>
      <c r="AH10" t="s">
        <v>89</v>
      </c>
      <c r="AI10" t="s">
        <v>89</v>
      </c>
      <c r="AJ10" t="s">
        <v>93</v>
      </c>
    </row>
    <row r="11" spans="1:38" x14ac:dyDescent="0.25">
      <c r="B11" t="s">
        <v>89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150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90</v>
      </c>
      <c r="X11" t="s">
        <v>89</v>
      </c>
      <c r="Y11" t="s">
        <v>91</v>
      </c>
      <c r="Z11" t="s">
        <v>98</v>
      </c>
      <c r="AA11" t="s">
        <v>89</v>
      </c>
      <c r="AB11" t="s">
        <v>89</v>
      </c>
      <c r="AC11" t="s">
        <v>89</v>
      </c>
      <c r="AD11" t="s">
        <v>89</v>
      </c>
      <c r="AE11" t="str">
        <f>HYPERLINK("file:///C:/rest_photo/Doruk Köfte &amp; Döner &amp; Sandwich, Merkez (Kültür Mah.).jpg","Doruk Köfte &amp; Döner &amp; Sandwich, Merkez (Kültür Mah.)")</f>
        <v>Doruk Köfte &amp; Döner &amp; Sandwich, Merkez (Kültür Mah.)</v>
      </c>
      <c r="AF11" t="s">
        <v>144</v>
      </c>
      <c r="AG11" t="s">
        <v>97</v>
      </c>
      <c r="AH11" t="s">
        <v>89</v>
      </c>
      <c r="AI11" t="s">
        <v>89</v>
      </c>
      <c r="AJ11" t="s">
        <v>93</v>
      </c>
    </row>
    <row r="12" spans="1:38" x14ac:dyDescent="0.25">
      <c r="B12" t="s">
        <v>89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89</v>
      </c>
      <c r="L12" t="s">
        <v>151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90</v>
      </c>
      <c r="X12" t="s">
        <v>89</v>
      </c>
      <c r="Y12" t="s">
        <v>91</v>
      </c>
      <c r="Z12" t="s">
        <v>98</v>
      </c>
      <c r="AA12" t="s">
        <v>89</v>
      </c>
      <c r="AB12" t="s">
        <v>89</v>
      </c>
      <c r="AC12" t="s">
        <v>89</v>
      </c>
      <c r="AD12" t="s">
        <v>89</v>
      </c>
      <c r="AE12" t="str">
        <f>HYPERLINK("file:///C:/rest_photo/Efendy Cafe &amp; Restaurant, Merkez (Kültür Mah.).jpg","Efendy Cafe &amp; Restaurant, Merkez (Kültür Mah.)")</f>
        <v>Efendy Cafe &amp; Restaurant, Merkez (Kültür Mah.)</v>
      </c>
      <c r="AF12" t="s">
        <v>144</v>
      </c>
      <c r="AG12" t="s">
        <v>109</v>
      </c>
      <c r="AH12" t="s">
        <v>89</v>
      </c>
      <c r="AI12" t="s">
        <v>89</v>
      </c>
      <c r="AJ12" t="s">
        <v>93</v>
      </c>
    </row>
    <row r="13" spans="1:38" x14ac:dyDescent="0.25">
      <c r="B13" t="s">
        <v>89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152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90</v>
      </c>
      <c r="X13" t="s">
        <v>89</v>
      </c>
      <c r="Y13" t="s">
        <v>91</v>
      </c>
      <c r="Z13" t="s">
        <v>103</v>
      </c>
      <c r="AA13" t="s">
        <v>89</v>
      </c>
      <c r="AB13" t="s">
        <v>89</v>
      </c>
      <c r="AC13" t="s">
        <v>89</v>
      </c>
      <c r="AD13" t="s">
        <v>89</v>
      </c>
      <c r="AE13" t="str">
        <f>HYPERLINK("file:///C:/rest_photo/Enfes Döner &amp; Çiğ Köfte, Merkez (Yeşilyurt Mah.).jpg","Enfes Döner &amp; Çiğ Köfte, Merkez (Yeşilyurt Mah.)")</f>
        <v>Enfes Döner &amp; Çiğ Köfte, Merkez (Yeşilyurt Mah.)</v>
      </c>
      <c r="AF13" t="s">
        <v>144</v>
      </c>
      <c r="AG13" t="s">
        <v>97</v>
      </c>
      <c r="AH13" t="s">
        <v>89</v>
      </c>
      <c r="AI13" t="s">
        <v>89</v>
      </c>
      <c r="AJ13" t="s">
        <v>93</v>
      </c>
    </row>
    <row r="14" spans="1:38" x14ac:dyDescent="0.25">
      <c r="B14" t="s">
        <v>89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153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90</v>
      </c>
      <c r="X14" t="s">
        <v>89</v>
      </c>
      <c r="Y14" t="s">
        <v>91</v>
      </c>
      <c r="Z14" t="s">
        <v>100</v>
      </c>
      <c r="AA14" t="s">
        <v>89</v>
      </c>
      <c r="AB14" t="s">
        <v>89</v>
      </c>
      <c r="AC14" t="s">
        <v>89</v>
      </c>
      <c r="AD14" t="s">
        <v>89</v>
      </c>
      <c r="AE14" t="str">
        <f>HYPERLINK("file:///C:/rest_photo/En Künefe &amp; Katmer, Merkez (Sunay Mah.).jpg","En Künefe &amp; Katmer, Merkez (Sunay Mah.)")</f>
        <v>En Künefe &amp; Katmer, Merkez (Sunay Mah.)</v>
      </c>
      <c r="AF14" t="s">
        <v>142</v>
      </c>
      <c r="AG14" t="s">
        <v>106</v>
      </c>
      <c r="AH14" t="s">
        <v>89</v>
      </c>
      <c r="AI14" t="s">
        <v>89</v>
      </c>
      <c r="AJ14" t="s">
        <v>93</v>
      </c>
    </row>
    <row r="15" spans="1:38" x14ac:dyDescent="0.25"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  <c r="K15" t="s">
        <v>89</v>
      </c>
      <c r="L15" t="s">
        <v>154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90</v>
      </c>
      <c r="X15" t="s">
        <v>89</v>
      </c>
      <c r="Y15" t="s">
        <v>91</v>
      </c>
      <c r="Z15" t="s">
        <v>100</v>
      </c>
      <c r="AA15" t="s">
        <v>89</v>
      </c>
      <c r="AB15" t="s">
        <v>89</v>
      </c>
      <c r="AC15" t="s">
        <v>89</v>
      </c>
      <c r="AD15" t="s">
        <v>89</v>
      </c>
      <c r="AE15" t="str">
        <f>HYPERLINK("file:///C:/rest_photo/Hancı Restaurant, Merkez (Sunay Mah.).jpg","Hancı Restaurant, Merkez (Sunay Mah.)")</f>
        <v>Hancı Restaurant, Merkez (Sunay Mah.)</v>
      </c>
      <c r="AF15" t="s">
        <v>155</v>
      </c>
      <c r="AG15" t="s">
        <v>102</v>
      </c>
      <c r="AH15" t="s">
        <v>89</v>
      </c>
      <c r="AI15" t="s">
        <v>89</v>
      </c>
      <c r="AJ15" t="s">
        <v>93</v>
      </c>
    </row>
    <row r="16" spans="1:38" x14ac:dyDescent="0.25"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156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90</v>
      </c>
      <c r="X16" t="s">
        <v>89</v>
      </c>
      <c r="Y16" t="s">
        <v>91</v>
      </c>
      <c r="Z16" t="s">
        <v>92</v>
      </c>
      <c r="AA16" t="s">
        <v>89</v>
      </c>
      <c r="AB16" t="s">
        <v>89</v>
      </c>
      <c r="AC16" t="s">
        <v>89</v>
      </c>
      <c r="AD16" t="s">
        <v>89</v>
      </c>
      <c r="AE16" t="str">
        <f>HYPERLINK("file:///C:/rest_photo/Irmak Kafe &amp; Restaurant, Merkez (Hürriyet Mah.).jpg","Irmak Kafe &amp; Restaurant, Merkez (Hürriyet Mah.)")</f>
        <v>Irmak Kafe &amp; Restaurant, Merkez (Hürriyet Mah.)</v>
      </c>
      <c r="AF16" t="s">
        <v>157</v>
      </c>
      <c r="AG16" t="s">
        <v>109</v>
      </c>
      <c r="AH16" t="s">
        <v>89</v>
      </c>
      <c r="AI16" t="s">
        <v>89</v>
      </c>
      <c r="AJ16" t="s">
        <v>93</v>
      </c>
    </row>
    <row r="17" spans="2:36" x14ac:dyDescent="0.25">
      <c r="B17" t="s">
        <v>89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158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90</v>
      </c>
      <c r="X17" t="s">
        <v>89</v>
      </c>
      <c r="Y17" t="s">
        <v>91</v>
      </c>
      <c r="Z17" t="s">
        <v>115</v>
      </c>
      <c r="AA17" t="s">
        <v>89</v>
      </c>
      <c r="AB17" t="s">
        <v>89</v>
      </c>
      <c r="AC17" t="s">
        <v>89</v>
      </c>
      <c r="AD17" t="s">
        <v>89</v>
      </c>
      <c r="AE17" t="str">
        <f>HYPERLINK("file:///C:/rest_photo/İsot King Çiğ Köfte, Merkez (Muratpaşa Mah.).jpg","İsot King Çiğ Köfte, Merkez (Muratpaşa Mah.)")</f>
        <v>İsot King Çiğ Köfte, Merkez (Muratpaşa Mah.)</v>
      </c>
      <c r="AF17" t="s">
        <v>81</v>
      </c>
      <c r="AG17" t="s">
        <v>88</v>
      </c>
      <c r="AH17" t="s">
        <v>89</v>
      </c>
      <c r="AI17" t="s">
        <v>89</v>
      </c>
      <c r="AJ17" t="s">
        <v>93</v>
      </c>
    </row>
    <row r="18" spans="2:36" x14ac:dyDescent="0.25"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159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90</v>
      </c>
      <c r="X18" t="s">
        <v>89</v>
      </c>
      <c r="Y18" t="s">
        <v>91</v>
      </c>
      <c r="Z18" t="s">
        <v>100</v>
      </c>
      <c r="AA18" t="s">
        <v>89</v>
      </c>
      <c r="AB18" t="s">
        <v>89</v>
      </c>
      <c r="AC18" t="s">
        <v>89</v>
      </c>
      <c r="AD18" t="s">
        <v>89</v>
      </c>
      <c r="AE18" t="str">
        <f>HYPERLINK("file:///C:/rest_photo/Kahve Kuşağı, Merkez (Sunay Mah.).jpg","Kahve Kuşağı, Merkez (Sunay Mah.)")</f>
        <v>Kahve Kuşağı, Merkez (Sunay Mah.)</v>
      </c>
      <c r="AF18" t="s">
        <v>142</v>
      </c>
      <c r="AG18" t="s">
        <v>102</v>
      </c>
      <c r="AH18" t="s">
        <v>89</v>
      </c>
      <c r="AI18" t="s">
        <v>89</v>
      </c>
      <c r="AJ18" t="s">
        <v>93</v>
      </c>
    </row>
    <row r="19" spans="2:36" x14ac:dyDescent="0.25"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160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90</v>
      </c>
      <c r="X19" t="s">
        <v>89</v>
      </c>
      <c r="Y19" t="s">
        <v>91</v>
      </c>
      <c r="Z19" t="s">
        <v>92</v>
      </c>
      <c r="AA19" t="s">
        <v>89</v>
      </c>
      <c r="AB19" t="s">
        <v>89</v>
      </c>
      <c r="AC19" t="s">
        <v>89</v>
      </c>
      <c r="AD19" t="s">
        <v>89</v>
      </c>
      <c r="AE19" t="str">
        <f>HYPERLINK("file:///C:/rest_photo/Kimyon Kokoreç &amp; Dürüm, Merkez (Hürriyet Mah.).jpg","Kimyon Kokoreç &amp; Dürüm, Merkez (Hürriyet Mah.)")</f>
        <v>Kimyon Kokoreç &amp; Dürüm, Merkez (Hürriyet Mah.)</v>
      </c>
      <c r="AF19" t="s">
        <v>142</v>
      </c>
      <c r="AG19" t="s">
        <v>118</v>
      </c>
      <c r="AH19" t="s">
        <v>89</v>
      </c>
      <c r="AI19" t="s">
        <v>89</v>
      </c>
      <c r="AJ19" t="s">
        <v>93</v>
      </c>
    </row>
    <row r="20" spans="2:36" x14ac:dyDescent="0.25"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161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  <c r="S20" t="s">
        <v>89</v>
      </c>
      <c r="T20" t="s">
        <v>89</v>
      </c>
      <c r="U20" t="s">
        <v>89</v>
      </c>
      <c r="V20" t="s">
        <v>89</v>
      </c>
      <c r="W20" t="s">
        <v>90</v>
      </c>
      <c r="X20" t="s">
        <v>89</v>
      </c>
      <c r="Y20" t="s">
        <v>91</v>
      </c>
      <c r="Z20" t="s">
        <v>98</v>
      </c>
      <c r="AA20" t="s">
        <v>89</v>
      </c>
      <c r="AB20" t="s">
        <v>89</v>
      </c>
      <c r="AC20" t="s">
        <v>89</v>
      </c>
      <c r="AD20" t="s">
        <v>89</v>
      </c>
      <c r="AE20" t="str">
        <f>HYPERLINK("file:///C:/rest_photo/Köşk Pide &amp; Lahmacun &amp; Kebap, Merkez (Kültür Mah.).jpg","Köşk Pide &amp; Lahmacun &amp; Kebap, Merkez (Kültür Mah.)")</f>
        <v>Köşk Pide &amp; Lahmacun &amp; Kebap, Merkez (Kültür Mah.)</v>
      </c>
      <c r="AF20" t="s">
        <v>142</v>
      </c>
      <c r="AG20" t="s">
        <v>120</v>
      </c>
      <c r="AH20" t="s">
        <v>89</v>
      </c>
      <c r="AI20" t="s">
        <v>89</v>
      </c>
      <c r="AJ20" t="s">
        <v>93</v>
      </c>
    </row>
    <row r="21" spans="2:36" x14ac:dyDescent="0.25">
      <c r="B21" t="s">
        <v>89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162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  <c r="S21" t="s">
        <v>89</v>
      </c>
      <c r="T21" t="s">
        <v>89</v>
      </c>
      <c r="U21" t="s">
        <v>89</v>
      </c>
      <c r="V21" t="s">
        <v>89</v>
      </c>
      <c r="W21" t="s">
        <v>90</v>
      </c>
      <c r="X21" t="s">
        <v>89</v>
      </c>
      <c r="Y21" t="s">
        <v>91</v>
      </c>
      <c r="Z21" t="s">
        <v>92</v>
      </c>
      <c r="AA21" t="s">
        <v>89</v>
      </c>
      <c r="AB21" t="s">
        <v>89</v>
      </c>
      <c r="AC21" t="s">
        <v>89</v>
      </c>
      <c r="AD21" t="s">
        <v>89</v>
      </c>
      <c r="AE21" t="str">
        <f>HYPERLINK("file:///C:/rest_photo/Kral Dönerci, Merkez (Hürriyet Mah.).jpg","Kral Dönerci, Merkez (Hürriyet Mah.)")</f>
        <v>Kral Dönerci, Merkez (Hürriyet Mah.)</v>
      </c>
      <c r="AF21" t="s">
        <v>142</v>
      </c>
      <c r="AG21" t="s">
        <v>97</v>
      </c>
      <c r="AH21" t="s">
        <v>89</v>
      </c>
      <c r="AI21" t="s">
        <v>89</v>
      </c>
      <c r="AJ21" t="s">
        <v>93</v>
      </c>
    </row>
    <row r="22" spans="2:36" x14ac:dyDescent="0.25"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163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  <c r="S22" t="s">
        <v>89</v>
      </c>
      <c r="T22" t="s">
        <v>89</v>
      </c>
      <c r="U22" t="s">
        <v>89</v>
      </c>
      <c r="V22" t="s">
        <v>89</v>
      </c>
      <c r="W22" t="s">
        <v>90</v>
      </c>
      <c r="X22" t="s">
        <v>89</v>
      </c>
      <c r="Y22" t="s">
        <v>91</v>
      </c>
      <c r="Z22" t="s">
        <v>92</v>
      </c>
      <c r="AA22" t="s">
        <v>89</v>
      </c>
      <c r="AB22" t="s">
        <v>89</v>
      </c>
      <c r="AC22" t="s">
        <v>89</v>
      </c>
      <c r="AD22" t="s">
        <v>89</v>
      </c>
      <c r="AE22" t="str">
        <f>HYPERLINK("file:///C:/rest_photo/Lale Börek, Merkez (Hürriyet Mah.).jpg","Lale Börek, Merkez (Hürriyet Mah.)")</f>
        <v>Lale Börek, Merkez (Hürriyet Mah.)</v>
      </c>
      <c r="AF22" t="s">
        <v>142</v>
      </c>
      <c r="AG22" t="s">
        <v>123</v>
      </c>
      <c r="AH22" t="s">
        <v>89</v>
      </c>
      <c r="AI22" t="s">
        <v>89</v>
      </c>
      <c r="AJ22" t="s">
        <v>93</v>
      </c>
    </row>
    <row r="23" spans="2:36" x14ac:dyDescent="0.25"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164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 t="s">
        <v>90</v>
      </c>
      <c r="X23" t="s">
        <v>89</v>
      </c>
      <c r="Y23" t="s">
        <v>91</v>
      </c>
      <c r="Z23" t="s">
        <v>103</v>
      </c>
      <c r="AA23" t="s">
        <v>89</v>
      </c>
      <c r="AB23" t="s">
        <v>89</v>
      </c>
      <c r="AC23" t="s">
        <v>89</v>
      </c>
      <c r="AD23" t="s">
        <v>89</v>
      </c>
      <c r="AE23" t="str">
        <f>HYPERLINK("file:///C:/rest_photo/Levent Börek, Merkez (Yeşilyurt Mah.).jpg","Levent Börek, Merkez (Yeşilyurt Mah.)")</f>
        <v>Levent Börek, Merkez (Yeşilyurt Mah.)</v>
      </c>
      <c r="AF23" t="s">
        <v>81</v>
      </c>
      <c r="AG23" t="s">
        <v>123</v>
      </c>
      <c r="AH23" t="s">
        <v>89</v>
      </c>
      <c r="AI23" t="s">
        <v>89</v>
      </c>
      <c r="AJ23" t="s">
        <v>93</v>
      </c>
    </row>
    <row r="24" spans="2:36" x14ac:dyDescent="0.25"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165</v>
      </c>
      <c r="M24" t="s">
        <v>89</v>
      </c>
      <c r="N24" t="s">
        <v>89</v>
      </c>
      <c r="O24" t="s">
        <v>89</v>
      </c>
      <c r="P24" t="s">
        <v>89</v>
      </c>
      <c r="Q24" t="s">
        <v>89</v>
      </c>
      <c r="R24" t="s">
        <v>89</v>
      </c>
      <c r="S24" t="s">
        <v>89</v>
      </c>
      <c r="T24" t="s">
        <v>89</v>
      </c>
      <c r="U24" t="s">
        <v>89</v>
      </c>
      <c r="V24" t="s">
        <v>89</v>
      </c>
      <c r="W24" t="s">
        <v>90</v>
      </c>
      <c r="X24" t="s">
        <v>89</v>
      </c>
      <c r="Y24" t="s">
        <v>91</v>
      </c>
      <c r="Z24" t="s">
        <v>92</v>
      </c>
      <c r="AA24" t="s">
        <v>89</v>
      </c>
      <c r="AB24" t="s">
        <v>89</v>
      </c>
      <c r="AC24" t="s">
        <v>89</v>
      </c>
      <c r="AD24" t="s">
        <v>89</v>
      </c>
      <c r="AE24" t="str">
        <f>HYPERLINK("file:///C:/rest_photo/Meşhur Adıyaman Çiğ Köftecisi Ömer Aybak, Merkez (Hürriyet Mah.).jpg","Meşhur Adıyaman Çiğ Köftecisi Ömer Aybak, Merkez (Hürriyet Mah.)")</f>
        <v>Meşhur Adıyaman Çiğ Köftecisi Ömer Aybak, Merkez (Hürriyet Mah.)</v>
      </c>
      <c r="AF24" t="s">
        <v>81</v>
      </c>
      <c r="AG24" t="s">
        <v>88</v>
      </c>
      <c r="AH24" t="s">
        <v>89</v>
      </c>
      <c r="AI24" t="s">
        <v>89</v>
      </c>
      <c r="AJ24" t="s">
        <v>93</v>
      </c>
    </row>
    <row r="25" spans="2:36" x14ac:dyDescent="0.25"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165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  <c r="R25" t="s">
        <v>89</v>
      </c>
      <c r="S25" t="s">
        <v>89</v>
      </c>
      <c r="T25" t="s">
        <v>89</v>
      </c>
      <c r="U25" t="s">
        <v>89</v>
      </c>
      <c r="V25" t="s">
        <v>89</v>
      </c>
      <c r="W25" t="s">
        <v>90</v>
      </c>
      <c r="X25" t="s">
        <v>89</v>
      </c>
      <c r="Y25" t="s">
        <v>91</v>
      </c>
      <c r="Z25" t="s">
        <v>98</v>
      </c>
      <c r="AA25" t="s">
        <v>89</v>
      </c>
      <c r="AB25" t="s">
        <v>89</v>
      </c>
      <c r="AC25" t="s">
        <v>89</v>
      </c>
      <c r="AD25" t="s">
        <v>89</v>
      </c>
      <c r="AE25" t="str">
        <f>HYPERLINK("file:///C:/rest_photo/Meşhur Adıyaman Çiğ Köftecisi Ömer Aybak, Merkez (Kültür Mah.).jpg","Meşhur Adıyaman Çiğ Köftecisi Ömer Aybak, Merkez (Kültür Mah.)")</f>
        <v>Meşhur Adıyaman Çiğ Köftecisi Ömer Aybak, Merkez (Kültür Mah.)</v>
      </c>
      <c r="AF25" t="s">
        <v>81</v>
      </c>
      <c r="AG25" t="s">
        <v>88</v>
      </c>
      <c r="AH25" t="s">
        <v>89</v>
      </c>
      <c r="AI25" t="s">
        <v>89</v>
      </c>
      <c r="AJ25" t="s">
        <v>93</v>
      </c>
    </row>
    <row r="26" spans="2:36" x14ac:dyDescent="0.25"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166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  <c r="R26" t="s">
        <v>89</v>
      </c>
      <c r="S26" t="s">
        <v>89</v>
      </c>
      <c r="T26" t="s">
        <v>89</v>
      </c>
      <c r="U26" t="s">
        <v>89</v>
      </c>
      <c r="V26" t="s">
        <v>89</v>
      </c>
      <c r="W26" t="s">
        <v>90</v>
      </c>
      <c r="X26" t="s">
        <v>89</v>
      </c>
      <c r="Y26" t="s">
        <v>91</v>
      </c>
      <c r="Z26" t="s">
        <v>92</v>
      </c>
      <c r="AA26" t="s">
        <v>89</v>
      </c>
      <c r="AB26" t="s">
        <v>89</v>
      </c>
      <c r="AC26" t="s">
        <v>89</v>
      </c>
      <c r="AD26" t="s">
        <v>89</v>
      </c>
      <c r="AE26" t="str">
        <f>HYPERLINK("file:///C:/rest_photo/Mir Pide &amp; Lahmacun, Merkez (Hürriyet Mah.).jpg","Mir Pide &amp; Lahmacun, Merkez (Hürriyet Mah.)")</f>
        <v>Mir Pide &amp; Lahmacun, Merkez (Hürriyet Mah.)</v>
      </c>
      <c r="AF26" t="s">
        <v>142</v>
      </c>
      <c r="AG26" t="s">
        <v>120</v>
      </c>
      <c r="AH26" t="s">
        <v>89</v>
      </c>
      <c r="AI26" t="s">
        <v>89</v>
      </c>
      <c r="AJ26" t="s">
        <v>93</v>
      </c>
    </row>
    <row r="27" spans="2:36" x14ac:dyDescent="0.25">
      <c r="B27" t="s">
        <v>89</v>
      </c>
      <c r="C27" t="s">
        <v>89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167</v>
      </c>
      <c r="M27" t="s">
        <v>89</v>
      </c>
      <c r="N27" t="s">
        <v>89</v>
      </c>
      <c r="O27" t="s">
        <v>89</v>
      </c>
      <c r="P27" t="s">
        <v>89</v>
      </c>
      <c r="Q27" t="s">
        <v>89</v>
      </c>
      <c r="R27" t="s">
        <v>89</v>
      </c>
      <c r="S27" t="s">
        <v>89</v>
      </c>
      <c r="T27" t="s">
        <v>89</v>
      </c>
      <c r="U27" t="s">
        <v>89</v>
      </c>
      <c r="V27" t="s">
        <v>89</v>
      </c>
      <c r="W27" t="s">
        <v>90</v>
      </c>
      <c r="X27" t="s">
        <v>89</v>
      </c>
      <c r="Y27" t="s">
        <v>91</v>
      </c>
      <c r="Z27" t="s">
        <v>98</v>
      </c>
      <c r="AA27" t="s">
        <v>89</v>
      </c>
      <c r="AB27" t="s">
        <v>89</v>
      </c>
      <c r="AC27" t="s">
        <v>89</v>
      </c>
      <c r="AD27" t="s">
        <v>89</v>
      </c>
      <c r="AE27" t="str">
        <f>HYPERLINK("file:///C:/rest_photo/Ofis Ocakbaşı Pide &amp; Lahmacun, Merkez (Kültür Mah.).jpg","Ofis Ocakbaşı Pide &amp; Lahmacun, Merkez (Kültür Mah.)")</f>
        <v>Ofis Ocakbaşı Pide &amp; Lahmacun, Merkez (Kültür Mah.)</v>
      </c>
      <c r="AF27" t="s">
        <v>81</v>
      </c>
      <c r="AG27" t="s">
        <v>120</v>
      </c>
      <c r="AH27" t="s">
        <v>89</v>
      </c>
      <c r="AI27" t="s">
        <v>89</v>
      </c>
      <c r="AJ27" t="s">
        <v>93</v>
      </c>
    </row>
    <row r="28" spans="2:36" x14ac:dyDescent="0.25"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168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  <c r="R28" t="s">
        <v>89</v>
      </c>
      <c r="S28" t="s">
        <v>89</v>
      </c>
      <c r="T28" t="s">
        <v>89</v>
      </c>
      <c r="U28" t="s">
        <v>89</v>
      </c>
      <c r="V28" t="s">
        <v>89</v>
      </c>
      <c r="W28" t="s">
        <v>90</v>
      </c>
      <c r="X28" t="s">
        <v>89</v>
      </c>
      <c r="Y28" t="s">
        <v>91</v>
      </c>
      <c r="Z28" t="s">
        <v>98</v>
      </c>
      <c r="AA28" t="s">
        <v>89</v>
      </c>
      <c r="AB28" t="s">
        <v>89</v>
      </c>
      <c r="AC28" t="s">
        <v>89</v>
      </c>
      <c r="AD28" t="s">
        <v>89</v>
      </c>
      <c r="AE28" t="str">
        <f>HYPERLINK("file:///C:/rest_photo/Oses Çiğ Köfte, Merkez (Kültür Mah.).jpg","Oses Çiğ Köfte, Merkez (Kültür Mah.)")</f>
        <v>Oses Çiğ Köfte, Merkez (Kültür Mah.)</v>
      </c>
      <c r="AF28" t="s">
        <v>155</v>
      </c>
      <c r="AG28" t="s">
        <v>88</v>
      </c>
      <c r="AH28" t="s">
        <v>89</v>
      </c>
      <c r="AI28" t="s">
        <v>89</v>
      </c>
      <c r="AJ28" t="s">
        <v>93</v>
      </c>
    </row>
    <row r="29" spans="2:36" x14ac:dyDescent="0.25"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169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U29" t="s">
        <v>89</v>
      </c>
      <c r="V29" t="s">
        <v>89</v>
      </c>
      <c r="W29" t="s">
        <v>90</v>
      </c>
      <c r="X29" t="s">
        <v>89</v>
      </c>
      <c r="Y29" t="s">
        <v>91</v>
      </c>
      <c r="Z29" t="s">
        <v>100</v>
      </c>
      <c r="AA29" t="s">
        <v>89</v>
      </c>
      <c r="AB29" t="s">
        <v>89</v>
      </c>
      <c r="AC29" t="s">
        <v>89</v>
      </c>
      <c r="AD29" t="s">
        <v>89</v>
      </c>
      <c r="AE29" t="str">
        <f>HYPERLINK("file:///C:/rest_photo/Öz Hacıbekiroğlu, Merkez (Sunay Mah.).jpg","Öz Hacıbekiroğlu, Merkez (Sunay Mah.)")</f>
        <v>Öz Hacıbekiroğlu, Merkez (Sunay Mah.)</v>
      </c>
      <c r="AF29" t="s">
        <v>142</v>
      </c>
      <c r="AG29" t="s">
        <v>106</v>
      </c>
      <c r="AH29" t="s">
        <v>89</v>
      </c>
      <c r="AI29" t="s">
        <v>89</v>
      </c>
      <c r="AJ29" t="s">
        <v>93</v>
      </c>
    </row>
    <row r="30" spans="2:36" x14ac:dyDescent="0.25"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170</v>
      </c>
      <c r="M30" t="s">
        <v>89</v>
      </c>
      <c r="N30" t="s">
        <v>89</v>
      </c>
      <c r="O30" t="s">
        <v>89</v>
      </c>
      <c r="P30" t="s">
        <v>89</v>
      </c>
      <c r="Q30" t="s">
        <v>89</v>
      </c>
      <c r="R30" t="s">
        <v>89</v>
      </c>
      <c r="S30" t="s">
        <v>89</v>
      </c>
      <c r="T30" t="s">
        <v>89</v>
      </c>
      <c r="U30" t="s">
        <v>89</v>
      </c>
      <c r="V30" t="s">
        <v>89</v>
      </c>
      <c r="W30" t="s">
        <v>90</v>
      </c>
      <c r="X30" t="s">
        <v>89</v>
      </c>
      <c r="Y30" t="s">
        <v>91</v>
      </c>
      <c r="Z30" t="s">
        <v>132</v>
      </c>
      <c r="AA30" t="s">
        <v>89</v>
      </c>
      <c r="AB30" t="s">
        <v>89</v>
      </c>
      <c r="AC30" t="s">
        <v>89</v>
      </c>
      <c r="AD30" t="s">
        <v>89</v>
      </c>
      <c r="AE30" t="str">
        <f>HYPERLINK("file:///C:/rest_photo/Park Lokantası, Merkez (Minare Mah.).jpg","Park Lokantası, Merkez (Minare Mah.)")</f>
        <v>Park Lokantası, Merkez (Minare Mah.)</v>
      </c>
      <c r="AF30" t="s">
        <v>144</v>
      </c>
      <c r="AG30" t="s">
        <v>102</v>
      </c>
      <c r="AH30" t="s">
        <v>89</v>
      </c>
      <c r="AI30" t="s">
        <v>89</v>
      </c>
      <c r="AJ30" t="s">
        <v>93</v>
      </c>
    </row>
    <row r="31" spans="2:36" x14ac:dyDescent="0.25"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134</v>
      </c>
      <c r="M31" t="s">
        <v>89</v>
      </c>
      <c r="N31" t="s">
        <v>89</v>
      </c>
      <c r="O31" t="s">
        <v>89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U31" t="s">
        <v>89</v>
      </c>
      <c r="V31" t="s">
        <v>89</v>
      </c>
      <c r="W31" t="s">
        <v>90</v>
      </c>
      <c r="X31" t="s">
        <v>89</v>
      </c>
      <c r="Y31" t="s">
        <v>91</v>
      </c>
      <c r="Z31" t="s">
        <v>100</v>
      </c>
      <c r="AA31" t="s">
        <v>89</v>
      </c>
      <c r="AB31" t="s">
        <v>89</v>
      </c>
      <c r="AC31" t="s">
        <v>89</v>
      </c>
      <c r="AD31" t="s">
        <v>89</v>
      </c>
      <c r="AE31" t="str">
        <f>HYPERLINK("file:///C:/rest_photo/Pasaport Pizza, Merkez (Sunay Mah.).jpg","Pasaport Pizza, Merkez (Sunay Mah.)")</f>
        <v>Pasaport Pizza, Merkez (Sunay Mah.)</v>
      </c>
      <c r="AF31" t="s">
        <v>155</v>
      </c>
      <c r="AG31" t="s">
        <v>134</v>
      </c>
      <c r="AH31" t="s">
        <v>89</v>
      </c>
      <c r="AI31" t="s">
        <v>89</v>
      </c>
      <c r="AJ31" t="s">
        <v>93</v>
      </c>
    </row>
    <row r="32" spans="2:36" x14ac:dyDescent="0.25"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171</v>
      </c>
      <c r="M32" t="s">
        <v>89</v>
      </c>
      <c r="N32" t="s">
        <v>89</v>
      </c>
      <c r="O32" t="s">
        <v>89</v>
      </c>
      <c r="P32" t="s">
        <v>89</v>
      </c>
      <c r="Q32" t="s">
        <v>89</v>
      </c>
      <c r="R32" t="s">
        <v>89</v>
      </c>
      <c r="S32" t="s">
        <v>89</v>
      </c>
      <c r="T32" t="s">
        <v>89</v>
      </c>
      <c r="U32" t="s">
        <v>89</v>
      </c>
      <c r="V32" t="s">
        <v>89</v>
      </c>
      <c r="W32" t="s">
        <v>90</v>
      </c>
      <c r="X32" t="s">
        <v>89</v>
      </c>
      <c r="Y32" t="s">
        <v>91</v>
      </c>
      <c r="Z32" t="s">
        <v>98</v>
      </c>
      <c r="AA32" t="s">
        <v>89</v>
      </c>
      <c r="AB32" t="s">
        <v>89</v>
      </c>
      <c r="AC32" t="s">
        <v>89</v>
      </c>
      <c r="AD32" t="s">
        <v>89</v>
      </c>
      <c r="AE32" t="str">
        <f>HYPERLINK("file:///C:/rest_photo/Simit Konağı, Merkez (Kültür Mah.).jpg","Simit Konağı, Merkez (Kültür Mah.)")</f>
        <v>Simit Konağı, Merkez (Kültür Mah.)</v>
      </c>
      <c r="AF32" t="s">
        <v>144</v>
      </c>
      <c r="AG32" t="s">
        <v>123</v>
      </c>
      <c r="AH32" t="s">
        <v>89</v>
      </c>
      <c r="AI32" t="s">
        <v>89</v>
      </c>
      <c r="AJ32" t="s">
        <v>93</v>
      </c>
    </row>
    <row r="33" spans="2:36" x14ac:dyDescent="0.25"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172</v>
      </c>
      <c r="M33" t="s">
        <v>89</v>
      </c>
      <c r="N33" t="s">
        <v>89</v>
      </c>
      <c r="O33" t="s">
        <v>89</v>
      </c>
      <c r="P33" t="s">
        <v>89</v>
      </c>
      <c r="Q33" t="s">
        <v>89</v>
      </c>
      <c r="R33" t="s">
        <v>89</v>
      </c>
      <c r="S33" t="s">
        <v>89</v>
      </c>
      <c r="T33" t="s">
        <v>89</v>
      </c>
      <c r="U33" t="s">
        <v>89</v>
      </c>
      <c r="V33" t="s">
        <v>89</v>
      </c>
      <c r="W33" t="s">
        <v>90</v>
      </c>
      <c r="X33" t="s">
        <v>89</v>
      </c>
      <c r="Y33" t="s">
        <v>91</v>
      </c>
      <c r="Z33" t="s">
        <v>92</v>
      </c>
      <c r="AA33" t="s">
        <v>89</v>
      </c>
      <c r="AB33" t="s">
        <v>89</v>
      </c>
      <c r="AC33" t="s">
        <v>89</v>
      </c>
      <c r="AD33" t="s">
        <v>89</v>
      </c>
      <c r="AE33" t="str">
        <f>HYPERLINK("file:///C:/rest_photo/SR Döner, Merkez (Hürriyet Mah.).jpg","SR Döner, Merkez (Hürriyet Mah.)")</f>
        <v>SR Döner, Merkez (Hürriyet Mah.)</v>
      </c>
      <c r="AF33" t="s">
        <v>155</v>
      </c>
      <c r="AG33" t="s">
        <v>97</v>
      </c>
      <c r="AH33" t="s">
        <v>89</v>
      </c>
      <c r="AI33" t="s">
        <v>89</v>
      </c>
      <c r="AJ33" t="s">
        <v>93</v>
      </c>
    </row>
    <row r="34" spans="2:36" x14ac:dyDescent="0.25"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173</v>
      </c>
      <c r="M34" t="s">
        <v>89</v>
      </c>
      <c r="N34" t="s">
        <v>89</v>
      </c>
      <c r="O34" t="s">
        <v>89</v>
      </c>
      <c r="P34" t="s">
        <v>89</v>
      </c>
      <c r="Q34" t="s">
        <v>89</v>
      </c>
      <c r="R34" t="s">
        <v>89</v>
      </c>
      <c r="S34" t="s">
        <v>89</v>
      </c>
      <c r="T34" t="s">
        <v>89</v>
      </c>
      <c r="U34" t="s">
        <v>89</v>
      </c>
      <c r="V34" t="s">
        <v>89</v>
      </c>
      <c r="W34" t="s">
        <v>90</v>
      </c>
      <c r="X34" t="s">
        <v>89</v>
      </c>
      <c r="Y34" t="s">
        <v>91</v>
      </c>
      <c r="Z34" t="s">
        <v>100</v>
      </c>
      <c r="AA34" t="s">
        <v>89</v>
      </c>
      <c r="AB34" t="s">
        <v>89</v>
      </c>
      <c r="AC34" t="s">
        <v>89</v>
      </c>
      <c r="AD34" t="s">
        <v>89</v>
      </c>
      <c r="AE34" t="str">
        <f>HYPERLINK("file:///C:/rest_photo/Taht-ı Muş Otantik, Merkez (Sunay Mah.).jpg","Taht-ı Muş Otantik, Merkez (Sunay Mah.)")</f>
        <v>Taht-ı Muş Otantik, Merkez (Sunay Mah.)</v>
      </c>
      <c r="AF34" t="s">
        <v>157</v>
      </c>
      <c r="AG34" t="s">
        <v>109</v>
      </c>
      <c r="AH34" t="s">
        <v>89</v>
      </c>
      <c r="AI34" t="s">
        <v>89</v>
      </c>
      <c r="AJ34" t="s">
        <v>93</v>
      </c>
    </row>
    <row r="35" spans="2:36" x14ac:dyDescent="0.25"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174</v>
      </c>
      <c r="M35" t="s">
        <v>89</v>
      </c>
      <c r="N35" t="s">
        <v>89</v>
      </c>
      <c r="O35" t="s">
        <v>89</v>
      </c>
      <c r="P35" t="s">
        <v>89</v>
      </c>
      <c r="Q35" t="s">
        <v>89</v>
      </c>
      <c r="R35" t="s">
        <v>89</v>
      </c>
      <c r="S35" t="s">
        <v>89</v>
      </c>
      <c r="T35" t="s">
        <v>89</v>
      </c>
      <c r="U35" t="s">
        <v>89</v>
      </c>
      <c r="V35" t="s">
        <v>89</v>
      </c>
      <c r="W35" t="s">
        <v>90</v>
      </c>
      <c r="X35" t="s">
        <v>89</v>
      </c>
      <c r="Y35" t="s">
        <v>91</v>
      </c>
      <c r="Z35" t="s">
        <v>139</v>
      </c>
      <c r="AA35" t="s">
        <v>89</v>
      </c>
      <c r="AB35" t="s">
        <v>89</v>
      </c>
      <c r="AC35" t="s">
        <v>89</v>
      </c>
      <c r="AD35" t="s">
        <v>89</v>
      </c>
      <c r="AE35" t="str">
        <f>HYPERLINK("file:///C:/rest_photo/Yaprak Döner, Merkez (Kale Mah.).jpg","Yaprak Döner, Merkez (Kale Mah.)")</f>
        <v>Yaprak Döner, Merkez (Kale Mah.)</v>
      </c>
      <c r="AF35" t="s">
        <v>157</v>
      </c>
      <c r="AG35" t="s">
        <v>97</v>
      </c>
      <c r="AH35" t="s">
        <v>89</v>
      </c>
      <c r="AI35" t="s">
        <v>89</v>
      </c>
      <c r="AJ35" t="s">
        <v>93</v>
      </c>
    </row>
    <row r="36" spans="2:36" x14ac:dyDescent="0.25">
      <c r="B36" t="s">
        <v>89</v>
      </c>
      <c r="C36" t="s">
        <v>89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 t="s">
        <v>89</v>
      </c>
      <c r="J36" t="s">
        <v>89</v>
      </c>
      <c r="K36" t="s">
        <v>89</v>
      </c>
      <c r="L36" t="s">
        <v>175</v>
      </c>
      <c r="M36" t="s">
        <v>89</v>
      </c>
      <c r="N36" t="s">
        <v>89</v>
      </c>
      <c r="O36" t="s">
        <v>89</v>
      </c>
      <c r="P36" t="s">
        <v>89</v>
      </c>
      <c r="Q36" t="s">
        <v>89</v>
      </c>
      <c r="R36" t="s">
        <v>89</v>
      </c>
      <c r="S36" t="s">
        <v>89</v>
      </c>
      <c r="T36" t="s">
        <v>89</v>
      </c>
      <c r="U36" t="s">
        <v>89</v>
      </c>
      <c r="V36" t="s">
        <v>89</v>
      </c>
      <c r="W36" t="s">
        <v>90</v>
      </c>
      <c r="X36" t="s">
        <v>89</v>
      </c>
      <c r="Y36" t="s">
        <v>91</v>
      </c>
      <c r="Z36" t="s">
        <v>92</v>
      </c>
      <c r="AA36" t="s">
        <v>89</v>
      </c>
      <c r="AB36" t="s">
        <v>89</v>
      </c>
      <c r="AC36" t="s">
        <v>89</v>
      </c>
      <c r="AD36" t="s">
        <v>89</v>
      </c>
      <c r="AE36" t="str">
        <f>HYPERLINK("file:///C:/rest_photo/Yaprak Pastanesi, Merkez (Hürriyet Mah.).jpg","Yaprak Pastanesi, Merkez (Hürriyet Mah.)")</f>
        <v>Yaprak Pastanesi, Merkez (Hürriyet Mah.)</v>
      </c>
      <c r="AF36" t="s">
        <v>142</v>
      </c>
      <c r="AG36" t="s">
        <v>106</v>
      </c>
      <c r="AH36" t="s">
        <v>89</v>
      </c>
      <c r="AI36" t="s">
        <v>89</v>
      </c>
      <c r="AJ36" t="s">
        <v>93</v>
      </c>
    </row>
    <row r="54" ht="15.75" customHeight="1" x14ac:dyDescent="0.25"/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3563"/>
  <sheetViews>
    <sheetView tabSelected="1" workbookViewId="0">
      <selection activeCell="A3" sqref="A3:XFD3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x14ac:dyDescent="0.25">
      <c r="A3" t="s">
        <v>87</v>
      </c>
      <c r="B3" t="s">
        <v>176</v>
      </c>
      <c r="C3" t="s">
        <v>89</v>
      </c>
      <c r="D3" t="s">
        <v>177</v>
      </c>
      <c r="E3" t="s">
        <v>178</v>
      </c>
      <c r="F3" t="s">
        <v>89</v>
      </c>
      <c r="G3" t="s">
        <v>89</v>
      </c>
      <c r="H3" t="s">
        <v>93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87</v>
      </c>
      <c r="B4" t="s">
        <v>179</v>
      </c>
      <c r="C4" t="s">
        <v>89</v>
      </c>
      <c r="D4" t="s">
        <v>180</v>
      </c>
      <c r="E4" t="s">
        <v>181</v>
      </c>
      <c r="F4" t="s">
        <v>89</v>
      </c>
      <c r="G4" t="s">
        <v>89</v>
      </c>
      <c r="H4" t="s">
        <v>93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87</v>
      </c>
      <c r="B5" t="s">
        <v>182</v>
      </c>
      <c r="C5" t="s">
        <v>89</v>
      </c>
      <c r="D5" t="s">
        <v>183</v>
      </c>
      <c r="E5" t="s">
        <v>184</v>
      </c>
      <c r="F5" t="s">
        <v>89</v>
      </c>
      <c r="G5" t="s">
        <v>89</v>
      </c>
      <c r="H5" t="s">
        <v>93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87</v>
      </c>
      <c r="B6" t="s">
        <v>185</v>
      </c>
      <c r="C6" t="s">
        <v>89</v>
      </c>
      <c r="D6" t="s">
        <v>186</v>
      </c>
      <c r="E6" t="s">
        <v>187</v>
      </c>
      <c r="F6" t="s">
        <v>89</v>
      </c>
      <c r="G6" t="s">
        <v>89</v>
      </c>
      <c r="H6" t="s">
        <v>93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87</v>
      </c>
      <c r="B7" t="s">
        <v>188</v>
      </c>
      <c r="C7" t="s">
        <v>89</v>
      </c>
      <c r="D7" t="s">
        <v>189</v>
      </c>
      <c r="E7" t="s">
        <v>190</v>
      </c>
      <c r="F7" t="s">
        <v>89</v>
      </c>
      <c r="G7" t="s">
        <v>89</v>
      </c>
      <c r="H7" t="s">
        <v>93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87</v>
      </c>
      <c r="B8" t="s">
        <v>191</v>
      </c>
      <c r="C8" t="s">
        <v>89</v>
      </c>
      <c r="D8" t="s">
        <v>89</v>
      </c>
      <c r="E8" t="s">
        <v>192</v>
      </c>
      <c r="F8" t="s">
        <v>89</v>
      </c>
      <c r="G8" t="s">
        <v>89</v>
      </c>
      <c r="H8" t="s">
        <v>93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87</v>
      </c>
      <c r="B9" t="s">
        <v>193</v>
      </c>
      <c r="C9" t="s">
        <v>89</v>
      </c>
      <c r="D9" t="s">
        <v>89</v>
      </c>
      <c r="E9" t="s">
        <v>192</v>
      </c>
      <c r="F9" t="s">
        <v>89</v>
      </c>
      <c r="G9" t="s">
        <v>89</v>
      </c>
      <c r="H9" t="s">
        <v>93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87</v>
      </c>
      <c r="B10" t="s">
        <v>194</v>
      </c>
      <c r="C10" t="s">
        <v>89</v>
      </c>
      <c r="D10" t="s">
        <v>89</v>
      </c>
      <c r="E10" t="s">
        <v>192</v>
      </c>
      <c r="F10" t="s">
        <v>89</v>
      </c>
      <c r="G10" t="s">
        <v>89</v>
      </c>
      <c r="H10" t="s">
        <v>93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87</v>
      </c>
      <c r="B11" t="s">
        <v>195</v>
      </c>
      <c r="C11" t="s">
        <v>89</v>
      </c>
      <c r="D11" t="s">
        <v>89</v>
      </c>
      <c r="E11" t="s">
        <v>196</v>
      </c>
      <c r="F11" t="s">
        <v>89</v>
      </c>
      <c r="G11" t="s">
        <v>89</v>
      </c>
      <c r="H11" t="s">
        <v>93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87</v>
      </c>
      <c r="B12" t="s">
        <v>197</v>
      </c>
      <c r="C12" t="s">
        <v>89</v>
      </c>
      <c r="D12" t="s">
        <v>89</v>
      </c>
      <c r="E12" t="s">
        <v>198</v>
      </c>
      <c r="F12" t="s">
        <v>89</v>
      </c>
      <c r="G12" t="s">
        <v>89</v>
      </c>
      <c r="H12" t="s">
        <v>93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87</v>
      </c>
      <c r="B13" t="s">
        <v>199</v>
      </c>
      <c r="C13" t="s">
        <v>89</v>
      </c>
      <c r="D13" t="s">
        <v>89</v>
      </c>
      <c r="E13" t="s">
        <v>200</v>
      </c>
      <c r="F13" t="s">
        <v>89</v>
      </c>
      <c r="G13" t="s">
        <v>89</v>
      </c>
      <c r="H13" t="s">
        <v>93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94</v>
      </c>
      <c r="B14" t="s">
        <v>176</v>
      </c>
      <c r="C14" t="s">
        <v>89</v>
      </c>
      <c r="D14" t="s">
        <v>201</v>
      </c>
      <c r="E14" t="s">
        <v>202</v>
      </c>
      <c r="F14" t="s">
        <v>89</v>
      </c>
      <c r="G14" t="s">
        <v>89</v>
      </c>
      <c r="H14" t="s">
        <v>93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94</v>
      </c>
      <c r="B15" t="s">
        <v>203</v>
      </c>
      <c r="C15" t="s">
        <v>89</v>
      </c>
      <c r="D15" t="s">
        <v>204</v>
      </c>
      <c r="E15" t="s">
        <v>205</v>
      </c>
      <c r="F15" t="s">
        <v>89</v>
      </c>
      <c r="G15" t="s">
        <v>89</v>
      </c>
      <c r="H15" t="s">
        <v>93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94</v>
      </c>
      <c r="B16" t="s">
        <v>206</v>
      </c>
      <c r="C16" t="s">
        <v>89</v>
      </c>
      <c r="D16" t="s">
        <v>207</v>
      </c>
      <c r="E16" t="s">
        <v>208</v>
      </c>
      <c r="F16" t="s">
        <v>89</v>
      </c>
      <c r="G16" t="s">
        <v>89</v>
      </c>
      <c r="H16" t="s">
        <v>93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94</v>
      </c>
      <c r="B17" t="s">
        <v>209</v>
      </c>
      <c r="C17" t="s">
        <v>89</v>
      </c>
      <c r="D17" t="s">
        <v>210</v>
      </c>
      <c r="E17" t="s">
        <v>190</v>
      </c>
      <c r="F17" t="s">
        <v>89</v>
      </c>
      <c r="G17" t="s">
        <v>89</v>
      </c>
      <c r="H17" t="s">
        <v>93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94</v>
      </c>
      <c r="B18" t="s">
        <v>176</v>
      </c>
      <c r="C18" t="s">
        <v>89</v>
      </c>
      <c r="D18" t="s">
        <v>201</v>
      </c>
      <c r="E18" t="s">
        <v>202</v>
      </c>
      <c r="F18" t="s">
        <v>89</v>
      </c>
      <c r="G18" t="s">
        <v>89</v>
      </c>
      <c r="H18" t="s">
        <v>93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94</v>
      </c>
      <c r="B19" t="s">
        <v>203</v>
      </c>
      <c r="C19" t="s">
        <v>89</v>
      </c>
      <c r="D19" t="s">
        <v>204</v>
      </c>
      <c r="E19" t="s">
        <v>205</v>
      </c>
      <c r="F19" t="s">
        <v>89</v>
      </c>
      <c r="G19" t="s">
        <v>89</v>
      </c>
      <c r="H19" t="s">
        <v>93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94</v>
      </c>
      <c r="B20" t="s">
        <v>206</v>
      </c>
      <c r="C20" t="s">
        <v>89</v>
      </c>
      <c r="D20" t="s">
        <v>207</v>
      </c>
      <c r="E20" t="s">
        <v>208</v>
      </c>
      <c r="F20" t="s">
        <v>89</v>
      </c>
      <c r="G20" t="s">
        <v>89</v>
      </c>
      <c r="H20" t="s">
        <v>93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94</v>
      </c>
      <c r="B21" t="s">
        <v>211</v>
      </c>
      <c r="C21" t="s">
        <v>89</v>
      </c>
      <c r="D21" t="s">
        <v>212</v>
      </c>
      <c r="E21" t="s">
        <v>213</v>
      </c>
      <c r="F21" t="s">
        <v>89</v>
      </c>
      <c r="G21" t="s">
        <v>89</v>
      </c>
      <c r="H21" t="s">
        <v>93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94</v>
      </c>
      <c r="B22" t="s">
        <v>209</v>
      </c>
      <c r="C22" t="s">
        <v>89</v>
      </c>
      <c r="D22" t="s">
        <v>210</v>
      </c>
      <c r="E22" t="s">
        <v>190</v>
      </c>
      <c r="F22" t="s">
        <v>89</v>
      </c>
      <c r="G22" t="s">
        <v>89</v>
      </c>
      <c r="H22" t="s">
        <v>93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94</v>
      </c>
      <c r="B23" t="s">
        <v>188</v>
      </c>
      <c r="C23" t="s">
        <v>89</v>
      </c>
      <c r="D23" t="s">
        <v>214</v>
      </c>
      <c r="E23" t="s">
        <v>215</v>
      </c>
      <c r="F23" t="s">
        <v>89</v>
      </c>
      <c r="G23" t="s">
        <v>89</v>
      </c>
      <c r="H23" t="s">
        <v>93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94</v>
      </c>
      <c r="B24" t="s">
        <v>191</v>
      </c>
      <c r="C24" t="s">
        <v>89</v>
      </c>
      <c r="D24" t="s">
        <v>89</v>
      </c>
      <c r="E24" t="s">
        <v>178</v>
      </c>
      <c r="F24" t="s">
        <v>89</v>
      </c>
      <c r="G24" t="s">
        <v>89</v>
      </c>
      <c r="H24" t="s">
        <v>93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94</v>
      </c>
      <c r="B25" t="s">
        <v>193</v>
      </c>
      <c r="C25" t="s">
        <v>89</v>
      </c>
      <c r="D25" t="s">
        <v>89</v>
      </c>
      <c r="E25" t="s">
        <v>216</v>
      </c>
      <c r="F25" t="s">
        <v>89</v>
      </c>
      <c r="G25" t="s">
        <v>89</v>
      </c>
      <c r="H25" t="s">
        <v>93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94</v>
      </c>
      <c r="B26" t="s">
        <v>194</v>
      </c>
      <c r="C26" t="s">
        <v>89</v>
      </c>
      <c r="D26" t="s">
        <v>89</v>
      </c>
      <c r="E26" t="s">
        <v>192</v>
      </c>
      <c r="F26" t="s">
        <v>89</v>
      </c>
      <c r="G26" t="s">
        <v>89</v>
      </c>
      <c r="H26" t="s">
        <v>93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94</v>
      </c>
      <c r="B27" t="s">
        <v>195</v>
      </c>
      <c r="C27" t="s">
        <v>89</v>
      </c>
      <c r="D27" t="s">
        <v>89</v>
      </c>
      <c r="E27" t="s">
        <v>192</v>
      </c>
      <c r="F27" t="s">
        <v>89</v>
      </c>
      <c r="G27" t="s">
        <v>89</v>
      </c>
      <c r="H27" t="s">
        <v>93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94</v>
      </c>
      <c r="B28" t="s">
        <v>217</v>
      </c>
      <c r="C28" t="s">
        <v>89</v>
      </c>
      <c r="D28" t="s">
        <v>89</v>
      </c>
      <c r="E28" t="s">
        <v>218</v>
      </c>
      <c r="F28" t="s">
        <v>89</v>
      </c>
      <c r="G28" t="s">
        <v>89</v>
      </c>
      <c r="H28" t="s">
        <v>93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94</v>
      </c>
      <c r="B29" t="s">
        <v>219</v>
      </c>
      <c r="C29" t="s">
        <v>89</v>
      </c>
      <c r="D29" t="s">
        <v>89</v>
      </c>
      <c r="E29" t="s">
        <v>218</v>
      </c>
      <c r="F29" t="s">
        <v>89</v>
      </c>
      <c r="G29" t="s">
        <v>89</v>
      </c>
      <c r="H29" t="s">
        <v>93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94</v>
      </c>
      <c r="B30" t="s">
        <v>197</v>
      </c>
      <c r="C30" t="s">
        <v>89</v>
      </c>
      <c r="D30" t="s">
        <v>89</v>
      </c>
      <c r="E30" t="s">
        <v>220</v>
      </c>
      <c r="F30" t="s">
        <v>89</v>
      </c>
      <c r="G30" t="s">
        <v>89</v>
      </c>
      <c r="H30" t="s">
        <v>93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94</v>
      </c>
      <c r="B31" t="s">
        <v>221</v>
      </c>
      <c r="C31" t="s">
        <v>89</v>
      </c>
      <c r="D31" t="s">
        <v>89</v>
      </c>
      <c r="E31" t="s">
        <v>181</v>
      </c>
      <c r="F31" t="s">
        <v>89</v>
      </c>
      <c r="G31" t="s">
        <v>89</v>
      </c>
      <c r="H31" t="s">
        <v>93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94</v>
      </c>
      <c r="B32" t="s">
        <v>199</v>
      </c>
      <c r="C32" t="s">
        <v>89</v>
      </c>
      <c r="D32" t="s">
        <v>89</v>
      </c>
      <c r="E32" t="s">
        <v>200</v>
      </c>
      <c r="F32" t="s">
        <v>89</v>
      </c>
      <c r="G32" t="s">
        <v>89</v>
      </c>
      <c r="H32" t="s">
        <v>93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96</v>
      </c>
      <c r="B33" t="s">
        <v>222</v>
      </c>
      <c r="C33" t="s">
        <v>89</v>
      </c>
      <c r="D33" t="s">
        <v>223</v>
      </c>
      <c r="E33" t="s">
        <v>224</v>
      </c>
      <c r="F33" t="s">
        <v>89</v>
      </c>
      <c r="G33" t="s">
        <v>89</v>
      </c>
      <c r="H33" t="s">
        <v>93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96</v>
      </c>
      <c r="B34" t="s">
        <v>225</v>
      </c>
      <c r="C34" t="s">
        <v>89</v>
      </c>
      <c r="D34" t="s">
        <v>226</v>
      </c>
      <c r="E34" t="s">
        <v>227</v>
      </c>
      <c r="F34" t="s">
        <v>89</v>
      </c>
      <c r="G34" t="s">
        <v>89</v>
      </c>
      <c r="H34" t="s">
        <v>93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96</v>
      </c>
      <c r="B35" t="s">
        <v>228</v>
      </c>
      <c r="C35" t="s">
        <v>89</v>
      </c>
      <c r="D35" t="s">
        <v>229</v>
      </c>
      <c r="E35" t="s">
        <v>184</v>
      </c>
      <c r="F35" t="s">
        <v>89</v>
      </c>
      <c r="G35" t="s">
        <v>89</v>
      </c>
      <c r="H35" t="s">
        <v>93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96</v>
      </c>
      <c r="B36" t="s">
        <v>230</v>
      </c>
      <c r="C36" t="s">
        <v>89</v>
      </c>
      <c r="D36" t="s">
        <v>231</v>
      </c>
      <c r="E36" t="s">
        <v>232</v>
      </c>
      <c r="F36" t="s">
        <v>89</v>
      </c>
      <c r="G36" t="s">
        <v>89</v>
      </c>
      <c r="H36" t="s">
        <v>93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96</v>
      </c>
      <c r="B37" t="s">
        <v>233</v>
      </c>
      <c r="C37" t="s">
        <v>89</v>
      </c>
      <c r="D37" t="s">
        <v>234</v>
      </c>
      <c r="E37" t="s">
        <v>224</v>
      </c>
      <c r="F37" t="s">
        <v>89</v>
      </c>
      <c r="G37" t="s">
        <v>89</v>
      </c>
      <c r="H37" t="s">
        <v>93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96</v>
      </c>
      <c r="B38" t="s">
        <v>230</v>
      </c>
      <c r="C38" t="s">
        <v>89</v>
      </c>
      <c r="D38" t="s">
        <v>231</v>
      </c>
      <c r="E38" t="s">
        <v>232</v>
      </c>
      <c r="F38" t="s">
        <v>89</v>
      </c>
      <c r="G38" t="s">
        <v>89</v>
      </c>
      <c r="H38" t="s">
        <v>93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96</v>
      </c>
      <c r="B39" t="s">
        <v>225</v>
      </c>
      <c r="C39" t="s">
        <v>89</v>
      </c>
      <c r="D39" t="s">
        <v>226</v>
      </c>
      <c r="E39" t="s">
        <v>227</v>
      </c>
      <c r="F39" t="s">
        <v>89</v>
      </c>
      <c r="G39" t="s">
        <v>89</v>
      </c>
      <c r="H39" t="s">
        <v>93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96</v>
      </c>
      <c r="B40" t="s">
        <v>222</v>
      </c>
      <c r="C40" t="s">
        <v>89</v>
      </c>
      <c r="D40" t="s">
        <v>223</v>
      </c>
      <c r="E40" t="s">
        <v>224</v>
      </c>
      <c r="F40" t="s">
        <v>89</v>
      </c>
      <c r="G40" t="s">
        <v>89</v>
      </c>
      <c r="H40" t="s">
        <v>93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96</v>
      </c>
      <c r="B41" t="s">
        <v>235</v>
      </c>
      <c r="C41" t="s">
        <v>89</v>
      </c>
      <c r="D41" t="s">
        <v>236</v>
      </c>
      <c r="E41" t="s">
        <v>237</v>
      </c>
      <c r="F41" t="s">
        <v>89</v>
      </c>
      <c r="G41" t="s">
        <v>89</v>
      </c>
      <c r="H41" t="s">
        <v>93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96</v>
      </c>
      <c r="B42" t="s">
        <v>238</v>
      </c>
      <c r="C42" t="s">
        <v>89</v>
      </c>
      <c r="D42" t="s">
        <v>239</v>
      </c>
      <c r="E42" t="s">
        <v>240</v>
      </c>
      <c r="F42" t="s">
        <v>89</v>
      </c>
      <c r="G42" t="s">
        <v>89</v>
      </c>
      <c r="H42" t="s">
        <v>93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96</v>
      </c>
      <c r="B43" t="s">
        <v>228</v>
      </c>
      <c r="C43" t="s">
        <v>89</v>
      </c>
      <c r="D43" t="s">
        <v>229</v>
      </c>
      <c r="E43" t="s">
        <v>184</v>
      </c>
      <c r="F43" t="s">
        <v>89</v>
      </c>
      <c r="G43" t="s">
        <v>89</v>
      </c>
      <c r="H43" t="s">
        <v>93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96</v>
      </c>
      <c r="B44" t="s">
        <v>233</v>
      </c>
      <c r="C44" t="s">
        <v>89</v>
      </c>
      <c r="D44" t="s">
        <v>234</v>
      </c>
      <c r="E44" t="s">
        <v>224</v>
      </c>
      <c r="F44" t="s">
        <v>89</v>
      </c>
      <c r="G44" t="s">
        <v>89</v>
      </c>
      <c r="H44" t="s">
        <v>93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96</v>
      </c>
      <c r="B45" t="s">
        <v>191</v>
      </c>
      <c r="C45" t="s">
        <v>89</v>
      </c>
      <c r="D45" t="s">
        <v>89</v>
      </c>
      <c r="E45" t="s">
        <v>241</v>
      </c>
      <c r="F45" t="s">
        <v>89</v>
      </c>
      <c r="G45" t="s">
        <v>89</v>
      </c>
      <c r="H45" t="s">
        <v>93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96</v>
      </c>
      <c r="B46" t="s">
        <v>242</v>
      </c>
      <c r="C46" t="s">
        <v>89</v>
      </c>
      <c r="D46" t="s">
        <v>89</v>
      </c>
      <c r="E46" t="s">
        <v>241</v>
      </c>
      <c r="F46" t="s">
        <v>89</v>
      </c>
      <c r="G46" t="s">
        <v>89</v>
      </c>
      <c r="H46" t="s">
        <v>93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96</v>
      </c>
      <c r="B47" t="s">
        <v>243</v>
      </c>
      <c r="C47" t="s">
        <v>89</v>
      </c>
      <c r="D47" t="s">
        <v>89</v>
      </c>
      <c r="E47" t="s">
        <v>241</v>
      </c>
      <c r="F47" t="s">
        <v>89</v>
      </c>
      <c r="G47" t="s">
        <v>89</v>
      </c>
      <c r="H47" t="s">
        <v>93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96</v>
      </c>
      <c r="B48" t="s">
        <v>244</v>
      </c>
      <c r="C48" t="s">
        <v>89</v>
      </c>
      <c r="D48" t="s">
        <v>89</v>
      </c>
      <c r="E48" t="s">
        <v>241</v>
      </c>
      <c r="F48" t="s">
        <v>89</v>
      </c>
      <c r="G48" t="s">
        <v>89</v>
      </c>
      <c r="H48" t="s">
        <v>93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96</v>
      </c>
      <c r="B49" t="s">
        <v>245</v>
      </c>
      <c r="C49" t="s">
        <v>89</v>
      </c>
      <c r="D49" t="s">
        <v>89</v>
      </c>
      <c r="E49" t="s">
        <v>178</v>
      </c>
      <c r="F49" t="s">
        <v>89</v>
      </c>
      <c r="G49" t="s">
        <v>89</v>
      </c>
      <c r="H49" t="s">
        <v>93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96</v>
      </c>
      <c r="B50" t="s">
        <v>194</v>
      </c>
      <c r="C50" t="s">
        <v>89</v>
      </c>
      <c r="D50" t="s">
        <v>89</v>
      </c>
      <c r="E50" t="s">
        <v>246</v>
      </c>
      <c r="F50" t="s">
        <v>89</v>
      </c>
      <c r="G50" t="s">
        <v>89</v>
      </c>
      <c r="H50" t="s">
        <v>93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96</v>
      </c>
      <c r="B51" t="s">
        <v>247</v>
      </c>
      <c r="C51" t="s">
        <v>89</v>
      </c>
      <c r="D51" t="s">
        <v>89</v>
      </c>
      <c r="E51" t="s">
        <v>192</v>
      </c>
      <c r="F51" t="s">
        <v>89</v>
      </c>
      <c r="G51" t="s">
        <v>89</v>
      </c>
      <c r="H51" t="s">
        <v>93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96</v>
      </c>
      <c r="B52" t="s">
        <v>217</v>
      </c>
      <c r="C52" t="s">
        <v>89</v>
      </c>
      <c r="D52" t="s">
        <v>89</v>
      </c>
      <c r="E52" t="s">
        <v>246</v>
      </c>
      <c r="F52" t="s">
        <v>89</v>
      </c>
      <c r="G52" t="s">
        <v>89</v>
      </c>
      <c r="H52" t="s">
        <v>93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96</v>
      </c>
      <c r="B53" t="s">
        <v>219</v>
      </c>
      <c r="C53" t="s">
        <v>89</v>
      </c>
      <c r="D53" t="s">
        <v>89</v>
      </c>
      <c r="E53" t="s">
        <v>192</v>
      </c>
      <c r="F53" t="s">
        <v>89</v>
      </c>
      <c r="G53" t="s">
        <v>89</v>
      </c>
      <c r="H53" t="s">
        <v>93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96</v>
      </c>
      <c r="B54" t="s">
        <v>197</v>
      </c>
      <c r="C54" t="s">
        <v>89</v>
      </c>
      <c r="D54" t="s">
        <v>89</v>
      </c>
      <c r="E54" t="s">
        <v>196</v>
      </c>
      <c r="F54" t="s">
        <v>89</v>
      </c>
      <c r="G54" t="s">
        <v>89</v>
      </c>
      <c r="H54" t="s">
        <v>93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96</v>
      </c>
      <c r="B55" t="s">
        <v>199</v>
      </c>
      <c r="C55" t="s">
        <v>89</v>
      </c>
      <c r="D55" t="s">
        <v>89</v>
      </c>
      <c r="E55" t="s">
        <v>200</v>
      </c>
      <c r="F55" t="s">
        <v>89</v>
      </c>
      <c r="G55" t="s">
        <v>89</v>
      </c>
      <c r="H55" t="s">
        <v>93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99</v>
      </c>
      <c r="B56" t="s">
        <v>248</v>
      </c>
      <c r="C56" t="s">
        <v>89</v>
      </c>
      <c r="D56" t="s">
        <v>249</v>
      </c>
      <c r="E56" t="s">
        <v>227</v>
      </c>
      <c r="F56" t="s">
        <v>89</v>
      </c>
      <c r="G56" t="s">
        <v>89</v>
      </c>
      <c r="H56" t="s">
        <v>93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99</v>
      </c>
      <c r="B57" t="s">
        <v>250</v>
      </c>
      <c r="C57" t="s">
        <v>89</v>
      </c>
      <c r="D57" t="s">
        <v>251</v>
      </c>
      <c r="E57" t="s">
        <v>205</v>
      </c>
      <c r="F57" t="s">
        <v>89</v>
      </c>
      <c r="G57" t="s">
        <v>89</v>
      </c>
      <c r="H57" t="s">
        <v>93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99</v>
      </c>
      <c r="B58" t="s">
        <v>252</v>
      </c>
      <c r="C58" t="s">
        <v>89</v>
      </c>
      <c r="D58" t="s">
        <v>253</v>
      </c>
      <c r="E58" t="s">
        <v>254</v>
      </c>
      <c r="F58" t="s">
        <v>89</v>
      </c>
      <c r="G58" t="s">
        <v>89</v>
      </c>
      <c r="H58" t="s">
        <v>93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99</v>
      </c>
      <c r="B59" t="s">
        <v>255</v>
      </c>
      <c r="C59" t="s">
        <v>89</v>
      </c>
      <c r="D59" t="s">
        <v>256</v>
      </c>
      <c r="E59" t="s">
        <v>232</v>
      </c>
      <c r="F59" t="s">
        <v>89</v>
      </c>
      <c r="G59" t="s">
        <v>89</v>
      </c>
      <c r="H59" t="s">
        <v>93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99</v>
      </c>
      <c r="B60" t="s">
        <v>257</v>
      </c>
      <c r="C60" t="s">
        <v>89</v>
      </c>
      <c r="D60" t="s">
        <v>258</v>
      </c>
      <c r="E60" t="s">
        <v>216</v>
      </c>
      <c r="F60" t="s">
        <v>89</v>
      </c>
      <c r="G60" t="s">
        <v>89</v>
      </c>
      <c r="H60" t="s">
        <v>93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99</v>
      </c>
      <c r="B61" t="s">
        <v>259</v>
      </c>
      <c r="C61" t="s">
        <v>89</v>
      </c>
      <c r="D61" t="s">
        <v>260</v>
      </c>
      <c r="E61" t="s">
        <v>224</v>
      </c>
      <c r="F61" t="s">
        <v>89</v>
      </c>
      <c r="G61" t="s">
        <v>89</v>
      </c>
      <c r="H61" t="s">
        <v>93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99</v>
      </c>
      <c r="B62" t="s">
        <v>261</v>
      </c>
      <c r="C62" t="s">
        <v>89</v>
      </c>
      <c r="D62" t="s">
        <v>89</v>
      </c>
      <c r="E62" t="s">
        <v>202</v>
      </c>
      <c r="F62" t="s">
        <v>89</v>
      </c>
      <c r="G62" t="s">
        <v>89</v>
      </c>
      <c r="H62" t="s">
        <v>93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99</v>
      </c>
      <c r="B63" t="s">
        <v>230</v>
      </c>
      <c r="C63" t="s">
        <v>89</v>
      </c>
      <c r="D63" t="s">
        <v>89</v>
      </c>
      <c r="E63" t="s">
        <v>202</v>
      </c>
      <c r="F63" t="s">
        <v>89</v>
      </c>
      <c r="G63" t="s">
        <v>89</v>
      </c>
      <c r="H63" t="s">
        <v>93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99</v>
      </c>
      <c r="B64" t="s">
        <v>262</v>
      </c>
      <c r="C64" t="s">
        <v>89</v>
      </c>
      <c r="D64" t="s">
        <v>89</v>
      </c>
      <c r="E64" t="s">
        <v>202</v>
      </c>
      <c r="F64" t="s">
        <v>89</v>
      </c>
      <c r="G64" t="s">
        <v>89</v>
      </c>
      <c r="H64" t="s">
        <v>93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99</v>
      </c>
      <c r="B65" t="s">
        <v>263</v>
      </c>
      <c r="C65" t="s">
        <v>89</v>
      </c>
      <c r="D65" t="s">
        <v>89</v>
      </c>
      <c r="E65" t="s">
        <v>202</v>
      </c>
      <c r="F65" t="s">
        <v>89</v>
      </c>
      <c r="G65" t="s">
        <v>89</v>
      </c>
      <c r="H65" t="s">
        <v>93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99</v>
      </c>
      <c r="B66" t="s">
        <v>264</v>
      </c>
      <c r="C66" t="s">
        <v>89</v>
      </c>
      <c r="D66" t="s">
        <v>265</v>
      </c>
      <c r="E66" t="s">
        <v>184</v>
      </c>
      <c r="F66" t="s">
        <v>89</v>
      </c>
      <c r="G66" t="s">
        <v>89</v>
      </c>
      <c r="H66" t="s">
        <v>93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99</v>
      </c>
      <c r="B67" t="s">
        <v>266</v>
      </c>
      <c r="C67" t="s">
        <v>89</v>
      </c>
      <c r="D67" t="s">
        <v>267</v>
      </c>
      <c r="E67" t="s">
        <v>181</v>
      </c>
      <c r="F67" t="s">
        <v>89</v>
      </c>
      <c r="G67" t="s">
        <v>89</v>
      </c>
      <c r="H67" t="s">
        <v>93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99</v>
      </c>
      <c r="B68" t="s">
        <v>268</v>
      </c>
      <c r="C68" t="s">
        <v>89</v>
      </c>
      <c r="D68" t="s">
        <v>269</v>
      </c>
      <c r="E68" t="s">
        <v>227</v>
      </c>
      <c r="F68" t="s">
        <v>89</v>
      </c>
      <c r="G68" t="s">
        <v>89</v>
      </c>
      <c r="H68" t="s">
        <v>93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99</v>
      </c>
      <c r="B69" t="s">
        <v>270</v>
      </c>
      <c r="C69" t="s">
        <v>89</v>
      </c>
      <c r="D69" t="s">
        <v>267</v>
      </c>
      <c r="E69" t="s">
        <v>178</v>
      </c>
      <c r="F69" t="s">
        <v>89</v>
      </c>
      <c r="G69" t="s">
        <v>89</v>
      </c>
      <c r="H69" t="s">
        <v>93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99</v>
      </c>
      <c r="B70" t="s">
        <v>271</v>
      </c>
      <c r="C70" t="s">
        <v>89</v>
      </c>
      <c r="D70" t="s">
        <v>89</v>
      </c>
      <c r="E70" t="s">
        <v>232</v>
      </c>
      <c r="F70" t="s">
        <v>89</v>
      </c>
      <c r="G70" t="s">
        <v>89</v>
      </c>
      <c r="H70" t="s">
        <v>93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99</v>
      </c>
      <c r="B71" t="s">
        <v>272</v>
      </c>
      <c r="C71" t="s">
        <v>89</v>
      </c>
      <c r="D71" t="s">
        <v>89</v>
      </c>
      <c r="E71" t="s">
        <v>232</v>
      </c>
      <c r="F71" t="s">
        <v>89</v>
      </c>
      <c r="G71" t="s">
        <v>89</v>
      </c>
      <c r="H71" t="s">
        <v>93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99</v>
      </c>
      <c r="B72" t="s">
        <v>273</v>
      </c>
      <c r="C72" t="s">
        <v>89</v>
      </c>
      <c r="D72" t="s">
        <v>89</v>
      </c>
      <c r="E72" t="s">
        <v>232</v>
      </c>
      <c r="F72" t="s">
        <v>89</v>
      </c>
      <c r="G72" t="s">
        <v>89</v>
      </c>
      <c r="H72" t="s">
        <v>93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99</v>
      </c>
      <c r="B73" t="s">
        <v>274</v>
      </c>
      <c r="C73" t="s">
        <v>89</v>
      </c>
      <c r="D73" t="s">
        <v>89</v>
      </c>
      <c r="E73" t="s">
        <v>232</v>
      </c>
      <c r="F73" t="s">
        <v>89</v>
      </c>
      <c r="G73" t="s">
        <v>89</v>
      </c>
      <c r="H73" t="s">
        <v>93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99</v>
      </c>
      <c r="B74" t="s">
        <v>275</v>
      </c>
      <c r="C74" t="s">
        <v>89</v>
      </c>
      <c r="D74" t="s">
        <v>89</v>
      </c>
      <c r="E74" t="s">
        <v>232</v>
      </c>
      <c r="F74" t="s">
        <v>89</v>
      </c>
      <c r="G74" t="s">
        <v>89</v>
      </c>
      <c r="H74" t="s">
        <v>93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99</v>
      </c>
      <c r="B75" t="s">
        <v>276</v>
      </c>
      <c r="C75" t="s">
        <v>89</v>
      </c>
      <c r="D75" t="s">
        <v>89</v>
      </c>
      <c r="E75" t="s">
        <v>232</v>
      </c>
      <c r="F75" t="s">
        <v>89</v>
      </c>
      <c r="G75" t="s">
        <v>89</v>
      </c>
      <c r="H75" t="s">
        <v>93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99</v>
      </c>
      <c r="B76" t="s">
        <v>277</v>
      </c>
      <c r="C76" t="s">
        <v>89</v>
      </c>
      <c r="D76" t="s">
        <v>89</v>
      </c>
      <c r="E76" t="s">
        <v>232</v>
      </c>
      <c r="F76" t="s">
        <v>89</v>
      </c>
      <c r="G76" t="s">
        <v>89</v>
      </c>
      <c r="H76" t="s">
        <v>93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99</v>
      </c>
      <c r="B77" t="s">
        <v>278</v>
      </c>
      <c r="C77" t="s">
        <v>89</v>
      </c>
      <c r="D77" t="s">
        <v>89</v>
      </c>
      <c r="E77" t="s">
        <v>232</v>
      </c>
      <c r="F77" t="s">
        <v>89</v>
      </c>
      <c r="G77" t="s">
        <v>89</v>
      </c>
      <c r="H77" t="s">
        <v>93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99</v>
      </c>
      <c r="B78" t="s">
        <v>279</v>
      </c>
      <c r="C78" t="s">
        <v>89</v>
      </c>
      <c r="D78" t="s">
        <v>89</v>
      </c>
      <c r="E78" t="s">
        <v>232</v>
      </c>
      <c r="F78" t="s">
        <v>89</v>
      </c>
      <c r="G78" t="s">
        <v>89</v>
      </c>
      <c r="H78" t="s">
        <v>93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99</v>
      </c>
      <c r="B79" t="s">
        <v>280</v>
      </c>
      <c r="C79" t="s">
        <v>89</v>
      </c>
      <c r="D79" t="s">
        <v>89</v>
      </c>
      <c r="E79" t="s">
        <v>232</v>
      </c>
      <c r="F79" t="s">
        <v>89</v>
      </c>
      <c r="G79" t="s">
        <v>89</v>
      </c>
      <c r="H79" t="s">
        <v>93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99</v>
      </c>
      <c r="B80" t="s">
        <v>281</v>
      </c>
      <c r="C80" t="s">
        <v>89</v>
      </c>
      <c r="D80" t="s">
        <v>89</v>
      </c>
      <c r="E80" t="s">
        <v>232</v>
      </c>
      <c r="F80" t="s">
        <v>89</v>
      </c>
      <c r="G80" t="s">
        <v>89</v>
      </c>
      <c r="H80" t="s">
        <v>93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99</v>
      </c>
      <c r="B81" t="s">
        <v>282</v>
      </c>
      <c r="C81" t="s">
        <v>89</v>
      </c>
      <c r="D81" t="s">
        <v>283</v>
      </c>
      <c r="E81" t="s">
        <v>216</v>
      </c>
      <c r="F81" t="s">
        <v>89</v>
      </c>
      <c r="G81" t="s">
        <v>89</v>
      </c>
      <c r="H81" t="s">
        <v>93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99</v>
      </c>
      <c r="B82" t="s">
        <v>284</v>
      </c>
      <c r="C82" t="s">
        <v>89</v>
      </c>
      <c r="D82" t="s">
        <v>89</v>
      </c>
      <c r="E82" t="s">
        <v>246</v>
      </c>
      <c r="F82" t="s">
        <v>89</v>
      </c>
      <c r="G82" t="s">
        <v>89</v>
      </c>
      <c r="H82" t="s">
        <v>93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99</v>
      </c>
      <c r="B83" t="s">
        <v>285</v>
      </c>
      <c r="C83" t="s">
        <v>89</v>
      </c>
      <c r="D83" t="s">
        <v>89</v>
      </c>
      <c r="E83" t="s">
        <v>178</v>
      </c>
      <c r="F83" t="s">
        <v>89</v>
      </c>
      <c r="G83" t="s">
        <v>89</v>
      </c>
      <c r="H83" t="s">
        <v>93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99</v>
      </c>
      <c r="B84" t="s">
        <v>286</v>
      </c>
      <c r="C84" t="s">
        <v>89</v>
      </c>
      <c r="D84" t="s">
        <v>89</v>
      </c>
      <c r="E84" t="s">
        <v>178</v>
      </c>
      <c r="F84" t="s">
        <v>89</v>
      </c>
      <c r="G84" t="s">
        <v>89</v>
      </c>
      <c r="H84" t="s">
        <v>93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99</v>
      </c>
      <c r="B85" t="s">
        <v>287</v>
      </c>
      <c r="C85" t="s">
        <v>89</v>
      </c>
      <c r="D85" t="s">
        <v>89</v>
      </c>
      <c r="E85" t="s">
        <v>178</v>
      </c>
      <c r="F85" t="s">
        <v>89</v>
      </c>
      <c r="G85" t="s">
        <v>89</v>
      </c>
      <c r="H85" t="s">
        <v>93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99</v>
      </c>
      <c r="B86" t="s">
        <v>288</v>
      </c>
      <c r="C86" t="s">
        <v>89</v>
      </c>
      <c r="D86" t="s">
        <v>89</v>
      </c>
      <c r="E86" t="s">
        <v>178</v>
      </c>
      <c r="F86" t="s">
        <v>89</v>
      </c>
      <c r="G86" t="s">
        <v>89</v>
      </c>
      <c r="H86" t="s">
        <v>93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99</v>
      </c>
      <c r="B87" t="s">
        <v>289</v>
      </c>
      <c r="C87" t="s">
        <v>89</v>
      </c>
      <c r="D87" t="s">
        <v>89</v>
      </c>
      <c r="E87" t="s">
        <v>178</v>
      </c>
      <c r="F87" t="s">
        <v>89</v>
      </c>
      <c r="G87" t="s">
        <v>89</v>
      </c>
      <c r="H87" t="s">
        <v>93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99</v>
      </c>
      <c r="B88" t="s">
        <v>290</v>
      </c>
      <c r="C88" t="s">
        <v>89</v>
      </c>
      <c r="D88" t="s">
        <v>89</v>
      </c>
      <c r="E88" t="s">
        <v>178</v>
      </c>
      <c r="F88" t="s">
        <v>89</v>
      </c>
      <c r="G88" t="s">
        <v>89</v>
      </c>
      <c r="H88" t="s">
        <v>93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99</v>
      </c>
      <c r="B89" t="s">
        <v>191</v>
      </c>
      <c r="C89" t="s">
        <v>89</v>
      </c>
      <c r="D89" t="s">
        <v>89</v>
      </c>
      <c r="E89" t="s">
        <v>216</v>
      </c>
      <c r="F89" t="s">
        <v>89</v>
      </c>
      <c r="G89" t="s">
        <v>89</v>
      </c>
      <c r="H89" t="s">
        <v>93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99</v>
      </c>
      <c r="B90" t="s">
        <v>243</v>
      </c>
      <c r="C90" t="s">
        <v>89</v>
      </c>
      <c r="D90" t="s">
        <v>89</v>
      </c>
      <c r="E90" t="s">
        <v>216</v>
      </c>
      <c r="F90" t="s">
        <v>89</v>
      </c>
      <c r="G90" t="s">
        <v>89</v>
      </c>
      <c r="H90" t="s">
        <v>93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99</v>
      </c>
      <c r="B91" t="s">
        <v>244</v>
      </c>
      <c r="C91" t="s">
        <v>89</v>
      </c>
      <c r="D91" t="s">
        <v>89</v>
      </c>
      <c r="E91" t="s">
        <v>216</v>
      </c>
      <c r="F91" t="s">
        <v>89</v>
      </c>
      <c r="G91" t="s">
        <v>89</v>
      </c>
      <c r="H91" t="s">
        <v>93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99</v>
      </c>
      <c r="B92" t="s">
        <v>193</v>
      </c>
      <c r="C92" t="s">
        <v>89</v>
      </c>
      <c r="D92" t="s">
        <v>89</v>
      </c>
      <c r="E92" t="s">
        <v>216</v>
      </c>
      <c r="F92" t="s">
        <v>89</v>
      </c>
      <c r="G92" t="s">
        <v>89</v>
      </c>
      <c r="H92" t="s">
        <v>93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99</v>
      </c>
      <c r="B93" t="s">
        <v>195</v>
      </c>
      <c r="C93" t="s">
        <v>89</v>
      </c>
      <c r="D93" t="s">
        <v>89</v>
      </c>
      <c r="E93" t="s">
        <v>196</v>
      </c>
      <c r="F93" t="s">
        <v>89</v>
      </c>
      <c r="G93" t="s">
        <v>89</v>
      </c>
      <c r="H93" t="s">
        <v>93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99</v>
      </c>
      <c r="B94" t="s">
        <v>217</v>
      </c>
      <c r="C94" t="s">
        <v>89</v>
      </c>
      <c r="D94" t="s">
        <v>89</v>
      </c>
      <c r="E94" t="s">
        <v>192</v>
      </c>
      <c r="F94" t="s">
        <v>89</v>
      </c>
      <c r="G94" t="s">
        <v>89</v>
      </c>
      <c r="H94" t="s">
        <v>93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99</v>
      </c>
      <c r="B95" t="s">
        <v>197</v>
      </c>
      <c r="C95" t="s">
        <v>89</v>
      </c>
      <c r="D95" t="s">
        <v>89</v>
      </c>
      <c r="E95" t="s">
        <v>198</v>
      </c>
      <c r="F95" t="s">
        <v>89</v>
      </c>
      <c r="G95" t="s">
        <v>89</v>
      </c>
      <c r="H95" t="s">
        <v>93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99</v>
      </c>
      <c r="B96" t="s">
        <v>199</v>
      </c>
      <c r="C96" t="s">
        <v>89</v>
      </c>
      <c r="D96" t="s">
        <v>89</v>
      </c>
      <c r="E96" t="s">
        <v>200</v>
      </c>
      <c r="F96" t="s">
        <v>89</v>
      </c>
      <c r="G96" t="s">
        <v>89</v>
      </c>
      <c r="H96" t="s">
        <v>93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101</v>
      </c>
      <c r="B97" t="s">
        <v>291</v>
      </c>
      <c r="C97" t="s">
        <v>89</v>
      </c>
      <c r="D97" t="s">
        <v>292</v>
      </c>
      <c r="E97" t="s">
        <v>293</v>
      </c>
      <c r="F97" t="s">
        <v>89</v>
      </c>
      <c r="G97" t="s">
        <v>89</v>
      </c>
      <c r="H97" t="s">
        <v>93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101</v>
      </c>
      <c r="B98" t="s">
        <v>294</v>
      </c>
      <c r="C98" t="s">
        <v>89</v>
      </c>
      <c r="D98" t="s">
        <v>295</v>
      </c>
      <c r="E98" t="s">
        <v>254</v>
      </c>
      <c r="F98" t="s">
        <v>89</v>
      </c>
      <c r="G98" t="s">
        <v>89</v>
      </c>
      <c r="H98" t="s">
        <v>93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101</v>
      </c>
      <c r="B99" t="s">
        <v>296</v>
      </c>
      <c r="C99" t="s">
        <v>89</v>
      </c>
      <c r="D99" t="s">
        <v>295</v>
      </c>
      <c r="E99" t="s">
        <v>254</v>
      </c>
      <c r="F99" t="s">
        <v>89</v>
      </c>
      <c r="G99" t="s">
        <v>89</v>
      </c>
      <c r="H99" t="s">
        <v>93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101</v>
      </c>
      <c r="B100" t="s">
        <v>297</v>
      </c>
      <c r="C100" t="s">
        <v>89</v>
      </c>
      <c r="D100" t="s">
        <v>298</v>
      </c>
      <c r="E100" t="s">
        <v>181</v>
      </c>
      <c r="F100" t="s">
        <v>89</v>
      </c>
      <c r="G100" t="s">
        <v>89</v>
      </c>
      <c r="H100" t="s">
        <v>93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101</v>
      </c>
      <c r="B101" t="s">
        <v>299</v>
      </c>
      <c r="C101" t="s">
        <v>89</v>
      </c>
      <c r="D101" t="s">
        <v>295</v>
      </c>
      <c r="E101" t="s">
        <v>254</v>
      </c>
      <c r="F101" t="s">
        <v>89</v>
      </c>
      <c r="G101" t="s">
        <v>89</v>
      </c>
      <c r="H101" t="s">
        <v>93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101</v>
      </c>
      <c r="B102" t="s">
        <v>300</v>
      </c>
      <c r="C102" t="s">
        <v>89</v>
      </c>
      <c r="D102" t="s">
        <v>295</v>
      </c>
      <c r="E102" t="s">
        <v>254</v>
      </c>
      <c r="F102" t="s">
        <v>89</v>
      </c>
      <c r="G102" t="s">
        <v>89</v>
      </c>
      <c r="H102" t="s">
        <v>93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101</v>
      </c>
      <c r="B103" t="s">
        <v>301</v>
      </c>
      <c r="C103" t="s">
        <v>89</v>
      </c>
      <c r="D103" t="s">
        <v>295</v>
      </c>
      <c r="E103" t="s">
        <v>254</v>
      </c>
      <c r="F103" t="s">
        <v>89</v>
      </c>
      <c r="G103" t="s">
        <v>89</v>
      </c>
      <c r="H103" t="s">
        <v>93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101</v>
      </c>
      <c r="B104" t="s">
        <v>302</v>
      </c>
      <c r="C104" t="s">
        <v>89</v>
      </c>
      <c r="D104" t="s">
        <v>303</v>
      </c>
      <c r="E104" t="s">
        <v>227</v>
      </c>
      <c r="F104" t="s">
        <v>89</v>
      </c>
      <c r="G104" t="s">
        <v>89</v>
      </c>
      <c r="H104" t="s">
        <v>93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101</v>
      </c>
      <c r="B105" t="s">
        <v>304</v>
      </c>
      <c r="C105" t="s">
        <v>89</v>
      </c>
      <c r="D105" t="s">
        <v>89</v>
      </c>
      <c r="E105" t="s">
        <v>227</v>
      </c>
      <c r="F105" t="s">
        <v>89</v>
      </c>
      <c r="G105" t="s">
        <v>89</v>
      </c>
      <c r="H105" t="s">
        <v>93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101</v>
      </c>
      <c r="B106" t="s">
        <v>305</v>
      </c>
      <c r="C106" t="s">
        <v>89</v>
      </c>
      <c r="D106" t="s">
        <v>89</v>
      </c>
      <c r="E106" t="s">
        <v>227</v>
      </c>
      <c r="F106" t="s">
        <v>89</v>
      </c>
      <c r="G106" t="s">
        <v>89</v>
      </c>
      <c r="H106" t="s">
        <v>93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101</v>
      </c>
      <c r="B107" t="s">
        <v>306</v>
      </c>
      <c r="C107" t="s">
        <v>89</v>
      </c>
      <c r="D107" t="s">
        <v>307</v>
      </c>
      <c r="E107" t="s">
        <v>308</v>
      </c>
      <c r="F107" t="s">
        <v>89</v>
      </c>
      <c r="G107" t="s">
        <v>89</v>
      </c>
      <c r="H107" t="s">
        <v>93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101</v>
      </c>
      <c r="B108" t="s">
        <v>309</v>
      </c>
      <c r="C108" t="s">
        <v>89</v>
      </c>
      <c r="D108" t="s">
        <v>89</v>
      </c>
      <c r="E108" t="s">
        <v>227</v>
      </c>
      <c r="F108" t="s">
        <v>89</v>
      </c>
      <c r="G108" t="s">
        <v>89</v>
      </c>
      <c r="H108" t="s">
        <v>93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101</v>
      </c>
      <c r="B109" t="s">
        <v>310</v>
      </c>
      <c r="C109" t="s">
        <v>89</v>
      </c>
      <c r="D109" t="s">
        <v>311</v>
      </c>
      <c r="E109" t="s">
        <v>312</v>
      </c>
      <c r="F109" t="s">
        <v>89</v>
      </c>
      <c r="G109" t="s">
        <v>89</v>
      </c>
      <c r="H109" t="s">
        <v>93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101</v>
      </c>
      <c r="B110" t="s">
        <v>313</v>
      </c>
      <c r="C110" t="s">
        <v>89</v>
      </c>
      <c r="D110" t="s">
        <v>311</v>
      </c>
      <c r="E110" t="s">
        <v>312</v>
      </c>
      <c r="F110" t="s">
        <v>89</v>
      </c>
      <c r="G110" t="s">
        <v>89</v>
      </c>
      <c r="H110" t="s">
        <v>93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101</v>
      </c>
      <c r="B111" t="s">
        <v>314</v>
      </c>
      <c r="C111" t="s">
        <v>89</v>
      </c>
      <c r="D111" t="s">
        <v>311</v>
      </c>
      <c r="E111" t="s">
        <v>184</v>
      </c>
      <c r="F111" t="s">
        <v>89</v>
      </c>
      <c r="G111" t="s">
        <v>89</v>
      </c>
      <c r="H111" t="s">
        <v>93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101</v>
      </c>
      <c r="B112" t="s">
        <v>315</v>
      </c>
      <c r="C112" t="s">
        <v>89</v>
      </c>
      <c r="D112" t="s">
        <v>311</v>
      </c>
      <c r="E112" t="s">
        <v>316</v>
      </c>
      <c r="F112" t="s">
        <v>89</v>
      </c>
      <c r="G112" t="s">
        <v>89</v>
      </c>
      <c r="H112" t="s">
        <v>93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101</v>
      </c>
      <c r="B113" t="s">
        <v>317</v>
      </c>
      <c r="C113" t="s">
        <v>89</v>
      </c>
      <c r="D113" t="s">
        <v>311</v>
      </c>
      <c r="E113" t="s">
        <v>184</v>
      </c>
      <c r="F113" t="s">
        <v>89</v>
      </c>
      <c r="G113" t="s">
        <v>89</v>
      </c>
      <c r="H113" t="s">
        <v>93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101</v>
      </c>
      <c r="B114" t="s">
        <v>268</v>
      </c>
      <c r="C114" t="s">
        <v>89</v>
      </c>
      <c r="D114" t="s">
        <v>318</v>
      </c>
      <c r="E114" t="s">
        <v>308</v>
      </c>
      <c r="F114" t="s">
        <v>89</v>
      </c>
      <c r="G114" t="s">
        <v>89</v>
      </c>
      <c r="H114" t="s">
        <v>93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101</v>
      </c>
      <c r="B115" t="s">
        <v>270</v>
      </c>
      <c r="C115" t="s">
        <v>89</v>
      </c>
      <c r="D115" t="s">
        <v>319</v>
      </c>
      <c r="E115" t="s">
        <v>202</v>
      </c>
      <c r="F115" t="s">
        <v>89</v>
      </c>
      <c r="G115" t="s">
        <v>89</v>
      </c>
      <c r="H115" t="s">
        <v>93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101</v>
      </c>
      <c r="B116" t="s">
        <v>320</v>
      </c>
      <c r="C116" t="s">
        <v>89</v>
      </c>
      <c r="D116" t="s">
        <v>321</v>
      </c>
      <c r="E116" t="s">
        <v>322</v>
      </c>
      <c r="F116" t="s">
        <v>89</v>
      </c>
      <c r="G116" t="s">
        <v>89</v>
      </c>
      <c r="H116" t="s">
        <v>93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101</v>
      </c>
      <c r="B117" t="s">
        <v>323</v>
      </c>
      <c r="C117" t="s">
        <v>89</v>
      </c>
      <c r="D117" t="s">
        <v>324</v>
      </c>
      <c r="E117" t="s">
        <v>240</v>
      </c>
      <c r="F117" t="s">
        <v>89</v>
      </c>
      <c r="G117" t="s">
        <v>89</v>
      </c>
      <c r="H117" t="s">
        <v>93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101</v>
      </c>
      <c r="B118" t="s">
        <v>325</v>
      </c>
      <c r="C118" t="s">
        <v>89</v>
      </c>
      <c r="D118" t="s">
        <v>324</v>
      </c>
      <c r="E118" t="s">
        <v>240</v>
      </c>
      <c r="F118" t="s">
        <v>89</v>
      </c>
      <c r="G118" t="s">
        <v>89</v>
      </c>
      <c r="H118" t="s">
        <v>93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101</v>
      </c>
      <c r="B119" t="s">
        <v>326</v>
      </c>
      <c r="C119" t="s">
        <v>89</v>
      </c>
      <c r="D119" t="s">
        <v>324</v>
      </c>
      <c r="E119" t="s">
        <v>254</v>
      </c>
      <c r="F119" t="s">
        <v>89</v>
      </c>
      <c r="G119" t="s">
        <v>89</v>
      </c>
      <c r="H119" t="s">
        <v>93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101</v>
      </c>
      <c r="B120" t="s">
        <v>273</v>
      </c>
      <c r="C120" t="s">
        <v>89</v>
      </c>
      <c r="D120" t="s">
        <v>327</v>
      </c>
      <c r="E120" t="s">
        <v>184</v>
      </c>
      <c r="F120" t="s">
        <v>89</v>
      </c>
      <c r="G120" t="s">
        <v>89</v>
      </c>
      <c r="H120" t="s">
        <v>93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101</v>
      </c>
      <c r="B121" t="s">
        <v>191</v>
      </c>
      <c r="C121" t="s">
        <v>89</v>
      </c>
      <c r="D121" t="s">
        <v>89</v>
      </c>
      <c r="E121" t="s">
        <v>216</v>
      </c>
      <c r="F121" t="s">
        <v>89</v>
      </c>
      <c r="G121" t="s">
        <v>89</v>
      </c>
      <c r="H121" t="s">
        <v>93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101</v>
      </c>
      <c r="B122" t="s">
        <v>243</v>
      </c>
      <c r="C122" t="s">
        <v>89</v>
      </c>
      <c r="D122" t="s">
        <v>89</v>
      </c>
      <c r="E122" t="s">
        <v>216</v>
      </c>
      <c r="F122" t="s">
        <v>89</v>
      </c>
      <c r="G122" t="s">
        <v>89</v>
      </c>
      <c r="H122" t="s">
        <v>93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101</v>
      </c>
      <c r="B123" t="s">
        <v>328</v>
      </c>
      <c r="C123" t="s">
        <v>89</v>
      </c>
      <c r="D123" t="s">
        <v>89</v>
      </c>
      <c r="E123" t="s">
        <v>216</v>
      </c>
      <c r="F123" t="s">
        <v>89</v>
      </c>
      <c r="G123" t="s">
        <v>89</v>
      </c>
      <c r="H123" t="s">
        <v>93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101</v>
      </c>
      <c r="B124" t="s">
        <v>329</v>
      </c>
      <c r="C124" t="s">
        <v>89</v>
      </c>
      <c r="D124" t="s">
        <v>89</v>
      </c>
      <c r="E124" t="s">
        <v>216</v>
      </c>
      <c r="F124" t="s">
        <v>89</v>
      </c>
      <c r="G124" t="s">
        <v>89</v>
      </c>
      <c r="H124" t="s">
        <v>93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101</v>
      </c>
      <c r="B125" t="s">
        <v>330</v>
      </c>
      <c r="C125" t="s">
        <v>89</v>
      </c>
      <c r="D125" t="s">
        <v>89</v>
      </c>
      <c r="E125" t="s">
        <v>216</v>
      </c>
      <c r="F125" t="s">
        <v>89</v>
      </c>
      <c r="G125" t="s">
        <v>89</v>
      </c>
      <c r="H125" t="s">
        <v>93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101</v>
      </c>
      <c r="B126" t="s">
        <v>193</v>
      </c>
      <c r="C126" t="s">
        <v>89</v>
      </c>
      <c r="D126" t="s">
        <v>89</v>
      </c>
      <c r="E126" t="s">
        <v>246</v>
      </c>
      <c r="F126" t="s">
        <v>89</v>
      </c>
      <c r="G126" t="s">
        <v>89</v>
      </c>
      <c r="H126" t="s">
        <v>93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101</v>
      </c>
      <c r="B127" t="s">
        <v>195</v>
      </c>
      <c r="C127" t="s">
        <v>89</v>
      </c>
      <c r="D127" t="s">
        <v>89</v>
      </c>
      <c r="E127" t="s">
        <v>196</v>
      </c>
      <c r="F127" t="s">
        <v>89</v>
      </c>
      <c r="G127" t="s">
        <v>89</v>
      </c>
      <c r="H127" t="s">
        <v>93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101</v>
      </c>
      <c r="B128" t="s">
        <v>199</v>
      </c>
      <c r="C128" t="s">
        <v>89</v>
      </c>
      <c r="D128" t="s">
        <v>89</v>
      </c>
      <c r="E128" t="s">
        <v>200</v>
      </c>
      <c r="F128" t="s">
        <v>89</v>
      </c>
      <c r="G128" t="s">
        <v>89</v>
      </c>
      <c r="H128" t="s">
        <v>93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104</v>
      </c>
      <c r="B129" t="s">
        <v>313</v>
      </c>
      <c r="C129" t="s">
        <v>89</v>
      </c>
      <c r="D129" t="s">
        <v>331</v>
      </c>
      <c r="E129" t="s">
        <v>224</v>
      </c>
      <c r="F129" t="s">
        <v>89</v>
      </c>
      <c r="G129" t="s">
        <v>89</v>
      </c>
      <c r="H129" t="s">
        <v>93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104</v>
      </c>
      <c r="B130" t="s">
        <v>310</v>
      </c>
      <c r="C130" t="s">
        <v>89</v>
      </c>
      <c r="D130" t="s">
        <v>331</v>
      </c>
      <c r="E130" t="s">
        <v>224</v>
      </c>
      <c r="F130" t="s">
        <v>89</v>
      </c>
      <c r="G130" t="s">
        <v>89</v>
      </c>
      <c r="H130" t="s">
        <v>93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104</v>
      </c>
      <c r="B131" t="s">
        <v>315</v>
      </c>
      <c r="C131" t="s">
        <v>89</v>
      </c>
      <c r="D131" t="s">
        <v>331</v>
      </c>
      <c r="E131" t="s">
        <v>332</v>
      </c>
      <c r="F131" t="s">
        <v>89</v>
      </c>
      <c r="G131" t="s">
        <v>89</v>
      </c>
      <c r="H131" t="s">
        <v>93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104</v>
      </c>
      <c r="B132" t="s">
        <v>333</v>
      </c>
      <c r="C132" t="s">
        <v>89</v>
      </c>
      <c r="D132" t="s">
        <v>331</v>
      </c>
      <c r="E132" t="s">
        <v>334</v>
      </c>
      <c r="F132" t="s">
        <v>89</v>
      </c>
      <c r="G132" t="s">
        <v>89</v>
      </c>
      <c r="H132" t="s">
        <v>93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104</v>
      </c>
      <c r="B133" t="s">
        <v>335</v>
      </c>
      <c r="C133" t="s">
        <v>89</v>
      </c>
      <c r="D133" t="s">
        <v>331</v>
      </c>
      <c r="E133" t="s">
        <v>334</v>
      </c>
      <c r="F133" t="s">
        <v>89</v>
      </c>
      <c r="G133" t="s">
        <v>89</v>
      </c>
      <c r="H133" t="s">
        <v>93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104</v>
      </c>
      <c r="B134" t="s">
        <v>336</v>
      </c>
      <c r="C134" t="s">
        <v>89</v>
      </c>
      <c r="D134" t="s">
        <v>331</v>
      </c>
      <c r="E134" t="s">
        <v>334</v>
      </c>
      <c r="F134" t="s">
        <v>89</v>
      </c>
      <c r="G134" t="s">
        <v>89</v>
      </c>
      <c r="H134" t="s">
        <v>93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104</v>
      </c>
      <c r="B135" t="s">
        <v>337</v>
      </c>
      <c r="C135" t="s">
        <v>89</v>
      </c>
      <c r="D135" t="s">
        <v>331</v>
      </c>
      <c r="E135" t="s">
        <v>208</v>
      </c>
      <c r="F135" t="s">
        <v>89</v>
      </c>
      <c r="G135" t="s">
        <v>89</v>
      </c>
      <c r="H135" t="s">
        <v>93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104</v>
      </c>
      <c r="B136" t="s">
        <v>338</v>
      </c>
      <c r="C136" t="s">
        <v>89</v>
      </c>
      <c r="D136" t="s">
        <v>331</v>
      </c>
      <c r="E136" t="s">
        <v>339</v>
      </c>
      <c r="F136" t="s">
        <v>89</v>
      </c>
      <c r="G136" t="s">
        <v>89</v>
      </c>
      <c r="H136" t="s">
        <v>93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104</v>
      </c>
      <c r="B137" t="s">
        <v>340</v>
      </c>
      <c r="C137" t="s">
        <v>89</v>
      </c>
      <c r="D137" t="s">
        <v>341</v>
      </c>
      <c r="E137" t="s">
        <v>342</v>
      </c>
      <c r="F137" t="s">
        <v>89</v>
      </c>
      <c r="G137" t="s">
        <v>89</v>
      </c>
      <c r="H137" t="s">
        <v>93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104</v>
      </c>
      <c r="B138" t="s">
        <v>343</v>
      </c>
      <c r="C138" t="s">
        <v>89</v>
      </c>
      <c r="D138" t="s">
        <v>331</v>
      </c>
      <c r="E138" t="s">
        <v>344</v>
      </c>
      <c r="F138" t="s">
        <v>89</v>
      </c>
      <c r="G138" t="s">
        <v>89</v>
      </c>
      <c r="H138" t="s">
        <v>93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104</v>
      </c>
      <c r="B139" t="s">
        <v>345</v>
      </c>
      <c r="C139" t="s">
        <v>89</v>
      </c>
      <c r="D139" t="s">
        <v>331</v>
      </c>
      <c r="E139" t="s">
        <v>342</v>
      </c>
      <c r="F139" t="s">
        <v>89</v>
      </c>
      <c r="G139" t="s">
        <v>89</v>
      </c>
      <c r="H139" t="s">
        <v>93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104</v>
      </c>
      <c r="B140" t="s">
        <v>346</v>
      </c>
      <c r="C140" t="s">
        <v>89</v>
      </c>
      <c r="D140" t="s">
        <v>331</v>
      </c>
      <c r="E140" t="s">
        <v>347</v>
      </c>
      <c r="F140" t="s">
        <v>89</v>
      </c>
      <c r="G140" t="s">
        <v>89</v>
      </c>
      <c r="H140" t="s">
        <v>93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104</v>
      </c>
      <c r="B141" t="s">
        <v>348</v>
      </c>
      <c r="C141" t="s">
        <v>89</v>
      </c>
      <c r="D141" t="s">
        <v>331</v>
      </c>
      <c r="E141" t="s">
        <v>349</v>
      </c>
      <c r="F141" t="s">
        <v>89</v>
      </c>
      <c r="G141" t="s">
        <v>89</v>
      </c>
      <c r="H141" t="s">
        <v>93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104</v>
      </c>
      <c r="B142" t="s">
        <v>350</v>
      </c>
      <c r="C142" t="s">
        <v>89</v>
      </c>
      <c r="D142" t="s">
        <v>331</v>
      </c>
      <c r="E142" t="s">
        <v>342</v>
      </c>
      <c r="F142" t="s">
        <v>89</v>
      </c>
      <c r="G142" t="s">
        <v>89</v>
      </c>
      <c r="H142" t="s">
        <v>93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104</v>
      </c>
      <c r="B143" t="s">
        <v>351</v>
      </c>
      <c r="C143" t="s">
        <v>89</v>
      </c>
      <c r="D143" t="s">
        <v>331</v>
      </c>
      <c r="E143" t="s">
        <v>349</v>
      </c>
      <c r="F143" t="s">
        <v>89</v>
      </c>
      <c r="G143" t="s">
        <v>89</v>
      </c>
      <c r="H143" t="s">
        <v>93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104</v>
      </c>
      <c r="B144" t="s">
        <v>352</v>
      </c>
      <c r="C144" t="s">
        <v>89</v>
      </c>
      <c r="D144" t="s">
        <v>331</v>
      </c>
      <c r="E144" t="s">
        <v>208</v>
      </c>
      <c r="F144" t="s">
        <v>89</v>
      </c>
      <c r="G144" t="s">
        <v>89</v>
      </c>
      <c r="H144" t="s">
        <v>93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104</v>
      </c>
      <c r="B145" t="s">
        <v>353</v>
      </c>
      <c r="C145" t="s">
        <v>89</v>
      </c>
      <c r="D145" t="s">
        <v>331</v>
      </c>
      <c r="E145" t="s">
        <v>354</v>
      </c>
      <c r="F145" t="s">
        <v>89</v>
      </c>
      <c r="G145" t="s">
        <v>89</v>
      </c>
      <c r="H145" t="s">
        <v>93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104</v>
      </c>
      <c r="B146" t="s">
        <v>355</v>
      </c>
      <c r="C146" t="s">
        <v>89</v>
      </c>
      <c r="D146" t="s">
        <v>331</v>
      </c>
      <c r="E146" t="s">
        <v>349</v>
      </c>
      <c r="F146" t="s">
        <v>89</v>
      </c>
      <c r="G146" t="s">
        <v>89</v>
      </c>
      <c r="H146" t="s">
        <v>93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104</v>
      </c>
      <c r="B147" t="s">
        <v>356</v>
      </c>
      <c r="C147" t="s">
        <v>89</v>
      </c>
      <c r="D147" t="s">
        <v>357</v>
      </c>
      <c r="E147" t="s">
        <v>358</v>
      </c>
      <c r="F147" t="s">
        <v>89</v>
      </c>
      <c r="G147" t="s">
        <v>89</v>
      </c>
      <c r="H147" t="s">
        <v>93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104</v>
      </c>
      <c r="B148" t="s">
        <v>359</v>
      </c>
      <c r="C148" t="s">
        <v>89</v>
      </c>
      <c r="D148" t="s">
        <v>331</v>
      </c>
      <c r="E148" t="s">
        <v>339</v>
      </c>
      <c r="F148" t="s">
        <v>89</v>
      </c>
      <c r="G148" t="s">
        <v>89</v>
      </c>
      <c r="H148" t="s">
        <v>93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104</v>
      </c>
      <c r="B149" t="s">
        <v>360</v>
      </c>
      <c r="C149" t="s">
        <v>89</v>
      </c>
      <c r="D149" t="s">
        <v>331</v>
      </c>
      <c r="E149" t="s">
        <v>208</v>
      </c>
      <c r="F149" t="s">
        <v>89</v>
      </c>
      <c r="G149" t="s">
        <v>89</v>
      </c>
      <c r="H149" t="s">
        <v>93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104</v>
      </c>
      <c r="B150" t="s">
        <v>361</v>
      </c>
      <c r="C150" t="s">
        <v>89</v>
      </c>
      <c r="D150" t="s">
        <v>331</v>
      </c>
      <c r="E150" t="s">
        <v>237</v>
      </c>
      <c r="F150" t="s">
        <v>89</v>
      </c>
      <c r="G150" t="s">
        <v>89</v>
      </c>
      <c r="H150" t="s">
        <v>93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104</v>
      </c>
      <c r="B151" t="s">
        <v>362</v>
      </c>
      <c r="C151" t="s">
        <v>89</v>
      </c>
      <c r="D151" t="s">
        <v>363</v>
      </c>
      <c r="E151" t="s">
        <v>364</v>
      </c>
      <c r="F151" t="s">
        <v>89</v>
      </c>
      <c r="G151" t="s">
        <v>89</v>
      </c>
      <c r="H151" t="s">
        <v>93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104</v>
      </c>
      <c r="B152" t="s">
        <v>365</v>
      </c>
      <c r="C152" t="s">
        <v>89</v>
      </c>
      <c r="D152" t="s">
        <v>331</v>
      </c>
      <c r="E152" t="s">
        <v>344</v>
      </c>
      <c r="F152" t="s">
        <v>89</v>
      </c>
      <c r="G152" t="s">
        <v>89</v>
      </c>
      <c r="H152" t="s">
        <v>93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104</v>
      </c>
      <c r="B153" t="s">
        <v>366</v>
      </c>
      <c r="C153" t="s">
        <v>89</v>
      </c>
      <c r="D153" t="s">
        <v>331</v>
      </c>
      <c r="E153" t="s">
        <v>334</v>
      </c>
      <c r="F153" t="s">
        <v>89</v>
      </c>
      <c r="G153" t="s">
        <v>89</v>
      </c>
      <c r="H153" t="s">
        <v>93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104</v>
      </c>
      <c r="B154" t="s">
        <v>367</v>
      </c>
      <c r="C154" t="s">
        <v>89</v>
      </c>
      <c r="D154" t="s">
        <v>89</v>
      </c>
      <c r="E154" t="s">
        <v>347</v>
      </c>
      <c r="F154" t="s">
        <v>89</v>
      </c>
      <c r="G154" t="s">
        <v>89</v>
      </c>
      <c r="H154" t="s">
        <v>93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104</v>
      </c>
      <c r="B155" t="s">
        <v>368</v>
      </c>
      <c r="C155" t="s">
        <v>89</v>
      </c>
      <c r="D155" t="s">
        <v>331</v>
      </c>
      <c r="E155" t="s">
        <v>224</v>
      </c>
      <c r="F155" t="s">
        <v>89</v>
      </c>
      <c r="G155" t="s">
        <v>89</v>
      </c>
      <c r="H155" t="s">
        <v>93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104</v>
      </c>
      <c r="B156" t="s">
        <v>369</v>
      </c>
      <c r="C156" t="s">
        <v>89</v>
      </c>
      <c r="D156" t="s">
        <v>331</v>
      </c>
      <c r="E156" t="s">
        <v>224</v>
      </c>
      <c r="F156" t="s">
        <v>89</v>
      </c>
      <c r="G156" t="s">
        <v>89</v>
      </c>
      <c r="H156" t="s">
        <v>93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104</v>
      </c>
      <c r="B157" t="s">
        <v>370</v>
      </c>
      <c r="C157" t="s">
        <v>89</v>
      </c>
      <c r="D157" t="s">
        <v>331</v>
      </c>
      <c r="E157" t="s">
        <v>371</v>
      </c>
      <c r="F157" t="s">
        <v>89</v>
      </c>
      <c r="G157" t="s">
        <v>89</v>
      </c>
      <c r="H157" t="s">
        <v>93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104</v>
      </c>
      <c r="B158" t="s">
        <v>372</v>
      </c>
      <c r="C158" t="s">
        <v>89</v>
      </c>
      <c r="D158" t="s">
        <v>331</v>
      </c>
      <c r="E158" t="s">
        <v>187</v>
      </c>
      <c r="F158" t="s">
        <v>89</v>
      </c>
      <c r="G158" t="s">
        <v>89</v>
      </c>
      <c r="H158" t="s">
        <v>93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104</v>
      </c>
      <c r="B159" t="s">
        <v>373</v>
      </c>
      <c r="C159" t="s">
        <v>89</v>
      </c>
      <c r="D159" t="s">
        <v>331</v>
      </c>
      <c r="E159" t="s">
        <v>187</v>
      </c>
      <c r="F159" t="s">
        <v>89</v>
      </c>
      <c r="G159" t="s">
        <v>89</v>
      </c>
      <c r="H159" t="s">
        <v>93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104</v>
      </c>
      <c r="B160" t="s">
        <v>374</v>
      </c>
      <c r="C160" t="s">
        <v>89</v>
      </c>
      <c r="D160" t="s">
        <v>331</v>
      </c>
      <c r="E160" t="s">
        <v>375</v>
      </c>
      <c r="F160" t="s">
        <v>89</v>
      </c>
      <c r="G160" t="s">
        <v>89</v>
      </c>
      <c r="H160" t="s">
        <v>93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104</v>
      </c>
      <c r="B161" t="s">
        <v>376</v>
      </c>
      <c r="C161" t="s">
        <v>89</v>
      </c>
      <c r="D161" t="s">
        <v>331</v>
      </c>
      <c r="E161" t="s">
        <v>354</v>
      </c>
      <c r="F161" t="s">
        <v>89</v>
      </c>
      <c r="G161" t="s">
        <v>89</v>
      </c>
      <c r="H161" t="s">
        <v>93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104</v>
      </c>
      <c r="B162" t="s">
        <v>377</v>
      </c>
      <c r="C162" t="s">
        <v>89</v>
      </c>
      <c r="D162" t="s">
        <v>331</v>
      </c>
      <c r="E162" t="s">
        <v>187</v>
      </c>
      <c r="F162" t="s">
        <v>89</v>
      </c>
      <c r="G162" t="s">
        <v>89</v>
      </c>
      <c r="H162" t="s">
        <v>93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104</v>
      </c>
      <c r="B163" t="s">
        <v>378</v>
      </c>
      <c r="C163" t="s">
        <v>89</v>
      </c>
      <c r="D163" t="s">
        <v>331</v>
      </c>
      <c r="E163" t="s">
        <v>224</v>
      </c>
      <c r="F163" t="s">
        <v>89</v>
      </c>
      <c r="G163" t="s">
        <v>89</v>
      </c>
      <c r="H163" t="s">
        <v>93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104</v>
      </c>
      <c r="B164" t="s">
        <v>264</v>
      </c>
      <c r="C164" t="s">
        <v>89</v>
      </c>
      <c r="D164" t="s">
        <v>379</v>
      </c>
      <c r="E164" t="s">
        <v>334</v>
      </c>
      <c r="F164" t="s">
        <v>89</v>
      </c>
      <c r="G164" t="s">
        <v>89</v>
      </c>
      <c r="H164" t="s">
        <v>93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104</v>
      </c>
      <c r="B165" t="s">
        <v>380</v>
      </c>
      <c r="C165" t="s">
        <v>89</v>
      </c>
      <c r="D165" t="s">
        <v>379</v>
      </c>
      <c r="E165" t="s">
        <v>237</v>
      </c>
      <c r="F165" t="s">
        <v>89</v>
      </c>
      <c r="G165" t="s">
        <v>89</v>
      </c>
      <c r="H165" t="s">
        <v>93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104</v>
      </c>
      <c r="B166" t="s">
        <v>266</v>
      </c>
      <c r="C166" t="s">
        <v>89</v>
      </c>
      <c r="D166" t="s">
        <v>381</v>
      </c>
      <c r="E166" t="s">
        <v>322</v>
      </c>
      <c r="F166" t="s">
        <v>89</v>
      </c>
      <c r="G166" t="s">
        <v>89</v>
      </c>
      <c r="H166" t="s">
        <v>93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104</v>
      </c>
      <c r="B167" t="s">
        <v>191</v>
      </c>
      <c r="C167" t="s">
        <v>89</v>
      </c>
      <c r="D167" t="s">
        <v>89</v>
      </c>
      <c r="E167" t="s">
        <v>216</v>
      </c>
      <c r="F167" t="s">
        <v>89</v>
      </c>
      <c r="G167" t="s">
        <v>89</v>
      </c>
      <c r="H167" t="s">
        <v>93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104</v>
      </c>
      <c r="B168" t="s">
        <v>243</v>
      </c>
      <c r="C168" t="s">
        <v>89</v>
      </c>
      <c r="D168" t="s">
        <v>89</v>
      </c>
      <c r="E168" t="s">
        <v>216</v>
      </c>
      <c r="F168" t="s">
        <v>89</v>
      </c>
      <c r="G168" t="s">
        <v>89</v>
      </c>
      <c r="H168" t="s">
        <v>93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104</v>
      </c>
      <c r="B169" t="s">
        <v>328</v>
      </c>
      <c r="C169" t="s">
        <v>89</v>
      </c>
      <c r="D169" t="s">
        <v>89</v>
      </c>
      <c r="E169" t="s">
        <v>216</v>
      </c>
      <c r="F169" t="s">
        <v>89</v>
      </c>
      <c r="G169" t="s">
        <v>89</v>
      </c>
      <c r="H169" t="s">
        <v>93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104</v>
      </c>
      <c r="B170" t="s">
        <v>329</v>
      </c>
      <c r="C170" t="s">
        <v>89</v>
      </c>
      <c r="D170" t="s">
        <v>89</v>
      </c>
      <c r="E170" t="s">
        <v>216</v>
      </c>
      <c r="F170" t="s">
        <v>89</v>
      </c>
      <c r="G170" t="s">
        <v>89</v>
      </c>
      <c r="H170" t="s">
        <v>93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104</v>
      </c>
      <c r="B171" t="s">
        <v>193</v>
      </c>
      <c r="C171" t="s">
        <v>89</v>
      </c>
      <c r="D171" t="s">
        <v>89</v>
      </c>
      <c r="E171" t="s">
        <v>216</v>
      </c>
      <c r="F171" t="s">
        <v>89</v>
      </c>
      <c r="G171" t="s">
        <v>89</v>
      </c>
      <c r="H171" t="s">
        <v>93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104</v>
      </c>
      <c r="B172" t="s">
        <v>194</v>
      </c>
      <c r="C172" t="s">
        <v>89</v>
      </c>
      <c r="D172" t="s">
        <v>89</v>
      </c>
      <c r="E172" t="s">
        <v>192</v>
      </c>
      <c r="F172" t="s">
        <v>89</v>
      </c>
      <c r="G172" t="s">
        <v>89</v>
      </c>
      <c r="H172" t="s">
        <v>93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104</v>
      </c>
      <c r="B173" t="s">
        <v>382</v>
      </c>
      <c r="C173" t="s">
        <v>89</v>
      </c>
      <c r="D173" t="s">
        <v>89</v>
      </c>
      <c r="E173" t="s">
        <v>246</v>
      </c>
      <c r="F173" t="s">
        <v>89</v>
      </c>
      <c r="G173" t="s">
        <v>89</v>
      </c>
      <c r="H173" t="s">
        <v>93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104</v>
      </c>
      <c r="B174" t="s">
        <v>197</v>
      </c>
      <c r="C174" t="s">
        <v>89</v>
      </c>
      <c r="D174" t="s">
        <v>89</v>
      </c>
      <c r="E174" t="s">
        <v>196</v>
      </c>
      <c r="F174" t="s">
        <v>89</v>
      </c>
      <c r="G174" t="s">
        <v>89</v>
      </c>
      <c r="H174" t="s">
        <v>93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104</v>
      </c>
      <c r="B175" t="s">
        <v>199</v>
      </c>
      <c r="C175" t="s">
        <v>89</v>
      </c>
      <c r="D175" t="s">
        <v>89</v>
      </c>
      <c r="E175" t="s">
        <v>200</v>
      </c>
      <c r="F175" t="s">
        <v>89</v>
      </c>
      <c r="G175" t="s">
        <v>89</v>
      </c>
      <c r="H175" t="s">
        <v>93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105</v>
      </c>
      <c r="B176" t="s">
        <v>383</v>
      </c>
      <c r="C176" t="s">
        <v>89</v>
      </c>
      <c r="D176" t="s">
        <v>89</v>
      </c>
      <c r="E176" t="s">
        <v>312</v>
      </c>
      <c r="F176" t="s">
        <v>89</v>
      </c>
      <c r="G176" t="s">
        <v>89</v>
      </c>
      <c r="H176" t="s">
        <v>93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105</v>
      </c>
      <c r="B177" t="s">
        <v>384</v>
      </c>
      <c r="C177" t="s">
        <v>89</v>
      </c>
      <c r="D177" t="s">
        <v>89</v>
      </c>
      <c r="E177" t="s">
        <v>312</v>
      </c>
      <c r="F177" t="s">
        <v>89</v>
      </c>
      <c r="G177" t="s">
        <v>89</v>
      </c>
      <c r="H177" t="s">
        <v>93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105</v>
      </c>
      <c r="B178" t="s">
        <v>385</v>
      </c>
      <c r="C178" t="s">
        <v>89</v>
      </c>
      <c r="D178" t="s">
        <v>89</v>
      </c>
      <c r="E178" t="s">
        <v>386</v>
      </c>
      <c r="F178" t="s">
        <v>89</v>
      </c>
      <c r="G178" t="s">
        <v>89</v>
      </c>
      <c r="H178" t="s">
        <v>93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105</v>
      </c>
      <c r="B179" t="s">
        <v>387</v>
      </c>
      <c r="C179" t="s">
        <v>89</v>
      </c>
      <c r="D179" t="s">
        <v>89</v>
      </c>
      <c r="E179" t="s">
        <v>386</v>
      </c>
      <c r="F179" t="s">
        <v>89</v>
      </c>
      <c r="G179" t="s">
        <v>89</v>
      </c>
      <c r="H179" t="s">
        <v>93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105</v>
      </c>
      <c r="B180" t="s">
        <v>388</v>
      </c>
      <c r="C180" t="s">
        <v>89</v>
      </c>
      <c r="D180" t="s">
        <v>89</v>
      </c>
      <c r="E180" t="s">
        <v>187</v>
      </c>
      <c r="F180" t="s">
        <v>89</v>
      </c>
      <c r="G180" t="s">
        <v>89</v>
      </c>
      <c r="H180" t="s">
        <v>93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105</v>
      </c>
      <c r="B181" t="s">
        <v>389</v>
      </c>
      <c r="C181" t="s">
        <v>89</v>
      </c>
      <c r="D181" t="s">
        <v>89</v>
      </c>
      <c r="E181" t="s">
        <v>187</v>
      </c>
      <c r="F181" t="s">
        <v>89</v>
      </c>
      <c r="G181" t="s">
        <v>89</v>
      </c>
      <c r="H181" t="s">
        <v>93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105</v>
      </c>
      <c r="B182" t="s">
        <v>390</v>
      </c>
      <c r="C182" t="s">
        <v>89</v>
      </c>
      <c r="D182" t="s">
        <v>89</v>
      </c>
      <c r="E182" t="s">
        <v>354</v>
      </c>
      <c r="F182" t="s">
        <v>89</v>
      </c>
      <c r="G182" t="s">
        <v>89</v>
      </c>
      <c r="H182" t="s">
        <v>93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105</v>
      </c>
      <c r="B183" t="s">
        <v>391</v>
      </c>
      <c r="C183" t="s">
        <v>89</v>
      </c>
      <c r="D183" t="s">
        <v>392</v>
      </c>
      <c r="E183" t="s">
        <v>187</v>
      </c>
      <c r="F183" t="s">
        <v>89</v>
      </c>
      <c r="G183" t="s">
        <v>89</v>
      </c>
      <c r="H183" t="s">
        <v>93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105</v>
      </c>
      <c r="B184" t="s">
        <v>393</v>
      </c>
      <c r="C184" t="s">
        <v>89</v>
      </c>
      <c r="D184" t="s">
        <v>394</v>
      </c>
      <c r="E184" t="s">
        <v>395</v>
      </c>
      <c r="F184" t="s">
        <v>89</v>
      </c>
      <c r="G184" t="s">
        <v>89</v>
      </c>
      <c r="H184" t="s">
        <v>93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105</v>
      </c>
      <c r="B185" t="s">
        <v>396</v>
      </c>
      <c r="C185" t="s">
        <v>89</v>
      </c>
      <c r="D185" t="s">
        <v>89</v>
      </c>
      <c r="E185" t="s">
        <v>332</v>
      </c>
      <c r="F185" t="s">
        <v>89</v>
      </c>
      <c r="G185" t="s">
        <v>89</v>
      </c>
      <c r="H185" t="s">
        <v>93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105</v>
      </c>
      <c r="B186" t="s">
        <v>397</v>
      </c>
      <c r="C186" t="s">
        <v>89</v>
      </c>
      <c r="D186" t="s">
        <v>89</v>
      </c>
      <c r="E186" t="s">
        <v>187</v>
      </c>
      <c r="F186" t="s">
        <v>89</v>
      </c>
      <c r="G186" t="s">
        <v>89</v>
      </c>
      <c r="H186" t="s">
        <v>93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105</v>
      </c>
      <c r="B187" t="s">
        <v>398</v>
      </c>
      <c r="C187" t="s">
        <v>89</v>
      </c>
      <c r="D187" t="s">
        <v>89</v>
      </c>
      <c r="E187" t="s">
        <v>187</v>
      </c>
      <c r="F187" t="s">
        <v>89</v>
      </c>
      <c r="G187" t="s">
        <v>89</v>
      </c>
      <c r="H187" t="s">
        <v>93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105</v>
      </c>
      <c r="B188" t="s">
        <v>399</v>
      </c>
      <c r="C188" t="s">
        <v>89</v>
      </c>
      <c r="D188" t="s">
        <v>89</v>
      </c>
      <c r="E188" t="s">
        <v>354</v>
      </c>
      <c r="F188" t="s">
        <v>89</v>
      </c>
      <c r="G188" t="s">
        <v>89</v>
      </c>
      <c r="H188" t="s">
        <v>93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105</v>
      </c>
      <c r="B189" t="s">
        <v>191</v>
      </c>
      <c r="C189" t="s">
        <v>89</v>
      </c>
      <c r="D189" t="s">
        <v>89</v>
      </c>
      <c r="E189" t="s">
        <v>178</v>
      </c>
      <c r="F189" t="s">
        <v>89</v>
      </c>
      <c r="G189" t="s">
        <v>89</v>
      </c>
      <c r="H189" t="s">
        <v>93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105</v>
      </c>
      <c r="B190" t="s">
        <v>243</v>
      </c>
      <c r="C190" t="s">
        <v>89</v>
      </c>
      <c r="D190" t="s">
        <v>89</v>
      </c>
      <c r="E190" t="s">
        <v>216</v>
      </c>
      <c r="F190" t="s">
        <v>89</v>
      </c>
      <c r="G190" t="s">
        <v>89</v>
      </c>
      <c r="H190" t="s">
        <v>93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105</v>
      </c>
      <c r="B191" t="s">
        <v>328</v>
      </c>
      <c r="C191" t="s">
        <v>89</v>
      </c>
      <c r="D191" t="s">
        <v>89</v>
      </c>
      <c r="E191" t="s">
        <v>178</v>
      </c>
      <c r="F191" t="s">
        <v>89</v>
      </c>
      <c r="G191" t="s">
        <v>89</v>
      </c>
      <c r="H191" t="s">
        <v>93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105</v>
      </c>
      <c r="B192" t="s">
        <v>400</v>
      </c>
      <c r="C192" t="s">
        <v>89</v>
      </c>
      <c r="D192" t="s">
        <v>89</v>
      </c>
      <c r="E192" t="s">
        <v>178</v>
      </c>
      <c r="F192" t="s">
        <v>89</v>
      </c>
      <c r="G192" t="s">
        <v>89</v>
      </c>
      <c r="H192" t="s">
        <v>93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105</v>
      </c>
      <c r="B193" t="s">
        <v>401</v>
      </c>
      <c r="C193" t="s">
        <v>89</v>
      </c>
      <c r="D193" t="s">
        <v>89</v>
      </c>
      <c r="E193" t="s">
        <v>178</v>
      </c>
      <c r="F193" t="s">
        <v>89</v>
      </c>
      <c r="G193" t="s">
        <v>89</v>
      </c>
      <c r="H193" t="s">
        <v>93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105</v>
      </c>
      <c r="B194" t="s">
        <v>382</v>
      </c>
      <c r="C194" t="s">
        <v>89</v>
      </c>
      <c r="D194" t="s">
        <v>89</v>
      </c>
      <c r="E194" t="s">
        <v>246</v>
      </c>
      <c r="F194" t="s">
        <v>89</v>
      </c>
      <c r="G194" t="s">
        <v>89</v>
      </c>
      <c r="H194" t="s">
        <v>93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105</v>
      </c>
      <c r="B195" t="s">
        <v>402</v>
      </c>
      <c r="C195" t="s">
        <v>89</v>
      </c>
      <c r="D195" t="s">
        <v>89</v>
      </c>
      <c r="E195" t="s">
        <v>192</v>
      </c>
      <c r="F195" t="s">
        <v>89</v>
      </c>
      <c r="G195" t="s">
        <v>89</v>
      </c>
      <c r="H195" t="s">
        <v>93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105</v>
      </c>
      <c r="B196" t="s">
        <v>197</v>
      </c>
      <c r="C196" t="s">
        <v>89</v>
      </c>
      <c r="D196" t="s">
        <v>89</v>
      </c>
      <c r="E196" t="s">
        <v>198</v>
      </c>
      <c r="F196" t="s">
        <v>89</v>
      </c>
      <c r="G196" t="s">
        <v>89</v>
      </c>
      <c r="H196" t="s">
        <v>93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105</v>
      </c>
      <c r="B197" t="s">
        <v>403</v>
      </c>
      <c r="C197" t="s">
        <v>89</v>
      </c>
      <c r="D197" t="s">
        <v>89</v>
      </c>
      <c r="E197" t="s">
        <v>404</v>
      </c>
      <c r="F197" t="s">
        <v>89</v>
      </c>
      <c r="G197" t="s">
        <v>89</v>
      </c>
      <c r="H197" t="s">
        <v>93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105</v>
      </c>
      <c r="B198" t="s">
        <v>405</v>
      </c>
      <c r="C198" t="s">
        <v>89</v>
      </c>
      <c r="D198" t="s">
        <v>89</v>
      </c>
      <c r="E198" t="s">
        <v>406</v>
      </c>
      <c r="F198" t="s">
        <v>89</v>
      </c>
      <c r="G198" t="s">
        <v>89</v>
      </c>
      <c r="H198" t="s">
        <v>93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105</v>
      </c>
      <c r="B199" t="s">
        <v>407</v>
      </c>
      <c r="C199" t="s">
        <v>89</v>
      </c>
      <c r="D199" t="s">
        <v>89</v>
      </c>
      <c r="E199" t="s">
        <v>215</v>
      </c>
      <c r="F199" t="s">
        <v>89</v>
      </c>
      <c r="G199" t="s">
        <v>89</v>
      </c>
      <c r="H199" t="s">
        <v>93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105</v>
      </c>
      <c r="B200" t="s">
        <v>408</v>
      </c>
      <c r="C200" t="s">
        <v>89</v>
      </c>
      <c r="D200" t="s">
        <v>89</v>
      </c>
      <c r="E200" t="s">
        <v>409</v>
      </c>
      <c r="F200" t="s">
        <v>89</v>
      </c>
      <c r="G200" t="s">
        <v>89</v>
      </c>
      <c r="H200" t="s">
        <v>93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105</v>
      </c>
      <c r="B201" t="s">
        <v>410</v>
      </c>
      <c r="C201" t="s">
        <v>89</v>
      </c>
      <c r="D201" t="s">
        <v>89</v>
      </c>
      <c r="E201" t="s">
        <v>409</v>
      </c>
      <c r="F201" t="s">
        <v>89</v>
      </c>
      <c r="G201" t="s">
        <v>89</v>
      </c>
      <c r="H201" t="s">
        <v>93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105</v>
      </c>
      <c r="B202" t="s">
        <v>411</v>
      </c>
      <c r="C202" t="s">
        <v>89</v>
      </c>
      <c r="D202" t="s">
        <v>89</v>
      </c>
      <c r="E202" t="s">
        <v>409</v>
      </c>
      <c r="F202" t="s">
        <v>89</v>
      </c>
      <c r="G202" t="s">
        <v>89</v>
      </c>
      <c r="H202" t="s">
        <v>93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105</v>
      </c>
      <c r="B203" t="s">
        <v>412</v>
      </c>
      <c r="C203" t="s">
        <v>89</v>
      </c>
      <c r="D203" t="s">
        <v>89</v>
      </c>
      <c r="E203" t="s">
        <v>413</v>
      </c>
      <c r="F203" t="s">
        <v>89</v>
      </c>
      <c r="G203" t="s">
        <v>89</v>
      </c>
      <c r="H203" t="s">
        <v>93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105</v>
      </c>
      <c r="B204" t="s">
        <v>414</v>
      </c>
      <c r="C204" t="s">
        <v>89</v>
      </c>
      <c r="D204" t="s">
        <v>89</v>
      </c>
      <c r="E204" t="s">
        <v>404</v>
      </c>
      <c r="F204" t="s">
        <v>89</v>
      </c>
      <c r="G204" t="s">
        <v>89</v>
      </c>
      <c r="H204" t="s">
        <v>93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105</v>
      </c>
      <c r="B205" t="s">
        <v>415</v>
      </c>
      <c r="C205" t="s">
        <v>89</v>
      </c>
      <c r="D205" t="s">
        <v>89</v>
      </c>
      <c r="E205" t="s">
        <v>404</v>
      </c>
      <c r="F205" t="s">
        <v>89</v>
      </c>
      <c r="G205" t="s">
        <v>89</v>
      </c>
      <c r="H205" t="s">
        <v>93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105</v>
      </c>
      <c r="B206" t="s">
        <v>416</v>
      </c>
      <c r="C206" t="s">
        <v>89</v>
      </c>
      <c r="D206" t="s">
        <v>89</v>
      </c>
      <c r="E206" t="s">
        <v>404</v>
      </c>
      <c r="F206" t="s">
        <v>89</v>
      </c>
      <c r="G206" t="s">
        <v>89</v>
      </c>
      <c r="H206" t="s">
        <v>93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105</v>
      </c>
      <c r="B207" t="s">
        <v>417</v>
      </c>
      <c r="C207" t="s">
        <v>89</v>
      </c>
      <c r="D207" t="s">
        <v>89</v>
      </c>
      <c r="E207" t="s">
        <v>409</v>
      </c>
      <c r="F207" t="s">
        <v>89</v>
      </c>
      <c r="G207" t="s">
        <v>89</v>
      </c>
      <c r="H207" t="s">
        <v>93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105</v>
      </c>
      <c r="B208" t="s">
        <v>418</v>
      </c>
      <c r="C208" t="s">
        <v>89</v>
      </c>
      <c r="D208" t="s">
        <v>89</v>
      </c>
      <c r="E208" t="s">
        <v>404</v>
      </c>
      <c r="F208" t="s">
        <v>89</v>
      </c>
      <c r="G208" t="s">
        <v>89</v>
      </c>
      <c r="H208" t="s">
        <v>93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105</v>
      </c>
      <c r="B209" t="s">
        <v>419</v>
      </c>
      <c r="C209" t="s">
        <v>89</v>
      </c>
      <c r="D209" t="s">
        <v>89</v>
      </c>
      <c r="E209" t="s">
        <v>409</v>
      </c>
      <c r="F209" t="s">
        <v>89</v>
      </c>
      <c r="G209" t="s">
        <v>89</v>
      </c>
      <c r="H209" t="s">
        <v>93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105</v>
      </c>
      <c r="B210" t="s">
        <v>420</v>
      </c>
      <c r="C210" t="s">
        <v>89</v>
      </c>
      <c r="D210" t="s">
        <v>89</v>
      </c>
      <c r="E210" t="s">
        <v>409</v>
      </c>
      <c r="F210" t="s">
        <v>89</v>
      </c>
      <c r="G210" t="s">
        <v>89</v>
      </c>
      <c r="H210" t="s">
        <v>93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105</v>
      </c>
      <c r="B211" t="s">
        <v>421</v>
      </c>
      <c r="C211" t="s">
        <v>89</v>
      </c>
      <c r="D211" t="s">
        <v>89</v>
      </c>
      <c r="E211" t="s">
        <v>215</v>
      </c>
      <c r="F211" t="s">
        <v>89</v>
      </c>
      <c r="G211" t="s">
        <v>89</v>
      </c>
      <c r="H211" t="s">
        <v>93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105</v>
      </c>
      <c r="B212" t="s">
        <v>422</v>
      </c>
      <c r="C212" t="s">
        <v>89</v>
      </c>
      <c r="D212" t="s">
        <v>89</v>
      </c>
      <c r="E212" t="s">
        <v>404</v>
      </c>
      <c r="F212" t="s">
        <v>89</v>
      </c>
      <c r="G212" t="s">
        <v>89</v>
      </c>
      <c r="H212" t="s">
        <v>93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105</v>
      </c>
      <c r="B213" t="s">
        <v>423</v>
      </c>
      <c r="C213" t="s">
        <v>89</v>
      </c>
      <c r="D213" t="s">
        <v>89</v>
      </c>
      <c r="E213" t="s">
        <v>404</v>
      </c>
      <c r="F213" t="s">
        <v>89</v>
      </c>
      <c r="G213" t="s">
        <v>89</v>
      </c>
      <c r="H213" t="s">
        <v>93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105</v>
      </c>
      <c r="B214" t="s">
        <v>424</v>
      </c>
      <c r="C214" t="s">
        <v>89</v>
      </c>
      <c r="D214" t="s">
        <v>89</v>
      </c>
      <c r="E214" t="s">
        <v>425</v>
      </c>
      <c r="F214" t="s">
        <v>89</v>
      </c>
      <c r="G214" t="s">
        <v>89</v>
      </c>
      <c r="H214" t="s">
        <v>93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105</v>
      </c>
      <c r="B215" t="s">
        <v>426</v>
      </c>
      <c r="C215" t="s">
        <v>89</v>
      </c>
      <c r="D215" t="s">
        <v>89</v>
      </c>
      <c r="E215" t="s">
        <v>215</v>
      </c>
      <c r="F215" t="s">
        <v>89</v>
      </c>
      <c r="G215" t="s">
        <v>89</v>
      </c>
      <c r="H215" t="s">
        <v>93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105</v>
      </c>
      <c r="B216" t="s">
        <v>427</v>
      </c>
      <c r="C216" t="s">
        <v>89</v>
      </c>
      <c r="D216" t="s">
        <v>89</v>
      </c>
      <c r="E216" t="s">
        <v>428</v>
      </c>
      <c r="F216" t="s">
        <v>89</v>
      </c>
      <c r="G216" t="s">
        <v>89</v>
      </c>
      <c r="H216" t="s">
        <v>93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105</v>
      </c>
      <c r="B217" t="s">
        <v>429</v>
      </c>
      <c r="C217" t="s">
        <v>89</v>
      </c>
      <c r="D217" t="s">
        <v>89</v>
      </c>
      <c r="E217" t="s">
        <v>404</v>
      </c>
      <c r="F217" t="s">
        <v>89</v>
      </c>
      <c r="G217" t="s">
        <v>89</v>
      </c>
      <c r="H217" t="s">
        <v>93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105</v>
      </c>
      <c r="B218" t="s">
        <v>430</v>
      </c>
      <c r="C218" t="s">
        <v>89</v>
      </c>
      <c r="D218" t="s">
        <v>431</v>
      </c>
      <c r="E218" t="s">
        <v>404</v>
      </c>
      <c r="F218" t="s">
        <v>89</v>
      </c>
      <c r="G218" t="s">
        <v>89</v>
      </c>
      <c r="H218" t="s">
        <v>93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105</v>
      </c>
      <c r="B219" t="s">
        <v>432</v>
      </c>
      <c r="C219" t="s">
        <v>89</v>
      </c>
      <c r="D219" t="s">
        <v>89</v>
      </c>
      <c r="E219" t="s">
        <v>409</v>
      </c>
      <c r="F219" t="s">
        <v>89</v>
      </c>
      <c r="G219" t="s">
        <v>89</v>
      </c>
      <c r="H219" t="s">
        <v>93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105</v>
      </c>
      <c r="B220" t="s">
        <v>433</v>
      </c>
      <c r="C220" t="s">
        <v>89</v>
      </c>
      <c r="D220" t="s">
        <v>89</v>
      </c>
      <c r="E220" t="s">
        <v>428</v>
      </c>
      <c r="F220" t="s">
        <v>89</v>
      </c>
      <c r="G220" t="s">
        <v>89</v>
      </c>
      <c r="H220" t="s">
        <v>93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105</v>
      </c>
      <c r="B221" t="s">
        <v>434</v>
      </c>
      <c r="C221" t="s">
        <v>89</v>
      </c>
      <c r="D221" t="s">
        <v>89</v>
      </c>
      <c r="E221" t="s">
        <v>190</v>
      </c>
      <c r="F221" t="s">
        <v>89</v>
      </c>
      <c r="G221" t="s">
        <v>89</v>
      </c>
      <c r="H221" t="s">
        <v>93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105</v>
      </c>
      <c r="B222" t="s">
        <v>435</v>
      </c>
      <c r="C222" t="s">
        <v>89</v>
      </c>
      <c r="D222" t="s">
        <v>89</v>
      </c>
      <c r="E222" t="s">
        <v>409</v>
      </c>
      <c r="F222" t="s">
        <v>89</v>
      </c>
      <c r="G222" t="s">
        <v>89</v>
      </c>
      <c r="H222" t="s">
        <v>93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105</v>
      </c>
      <c r="B223" t="s">
        <v>199</v>
      </c>
      <c r="C223" t="s">
        <v>89</v>
      </c>
      <c r="D223" t="s">
        <v>89</v>
      </c>
      <c r="E223" t="s">
        <v>200</v>
      </c>
      <c r="F223" t="s">
        <v>89</v>
      </c>
      <c r="G223" t="s">
        <v>89</v>
      </c>
      <c r="H223" t="s">
        <v>93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107</v>
      </c>
      <c r="B224" t="s">
        <v>436</v>
      </c>
      <c r="C224" t="s">
        <v>89</v>
      </c>
      <c r="D224" t="s">
        <v>437</v>
      </c>
      <c r="E224" t="s">
        <v>438</v>
      </c>
      <c r="F224" t="s">
        <v>89</v>
      </c>
      <c r="G224" t="s">
        <v>89</v>
      </c>
      <c r="H224" t="s">
        <v>93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107</v>
      </c>
      <c r="B225" t="s">
        <v>439</v>
      </c>
      <c r="C225" t="s">
        <v>89</v>
      </c>
      <c r="D225" t="s">
        <v>440</v>
      </c>
      <c r="E225" t="s">
        <v>441</v>
      </c>
      <c r="F225" t="s">
        <v>89</v>
      </c>
      <c r="G225" t="s">
        <v>89</v>
      </c>
      <c r="H225" t="s">
        <v>93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107</v>
      </c>
      <c r="B226" t="s">
        <v>442</v>
      </c>
      <c r="C226" t="s">
        <v>89</v>
      </c>
      <c r="D226" t="s">
        <v>443</v>
      </c>
      <c r="E226" t="s">
        <v>441</v>
      </c>
      <c r="F226" t="s">
        <v>89</v>
      </c>
      <c r="G226" t="s">
        <v>89</v>
      </c>
      <c r="H226" t="s">
        <v>93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107</v>
      </c>
      <c r="B227" t="s">
        <v>444</v>
      </c>
      <c r="C227" t="s">
        <v>89</v>
      </c>
      <c r="D227" t="s">
        <v>445</v>
      </c>
      <c r="E227" t="s">
        <v>446</v>
      </c>
      <c r="F227" t="s">
        <v>89</v>
      </c>
      <c r="G227" t="s">
        <v>89</v>
      </c>
      <c r="H227" t="s">
        <v>93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107</v>
      </c>
      <c r="B228" t="s">
        <v>447</v>
      </c>
      <c r="C228" t="s">
        <v>89</v>
      </c>
      <c r="D228" t="s">
        <v>448</v>
      </c>
      <c r="E228" t="s">
        <v>446</v>
      </c>
      <c r="F228" t="s">
        <v>89</v>
      </c>
      <c r="G228" t="s">
        <v>89</v>
      </c>
      <c r="H228" t="s">
        <v>93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107</v>
      </c>
      <c r="B229" t="s">
        <v>449</v>
      </c>
      <c r="C229" t="s">
        <v>89</v>
      </c>
      <c r="D229" t="s">
        <v>450</v>
      </c>
      <c r="E229" t="s">
        <v>446</v>
      </c>
      <c r="F229" t="s">
        <v>89</v>
      </c>
      <c r="G229" t="s">
        <v>89</v>
      </c>
      <c r="H229" t="s">
        <v>93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107</v>
      </c>
      <c r="B230" t="s">
        <v>447</v>
      </c>
      <c r="C230" t="s">
        <v>89</v>
      </c>
      <c r="D230" t="s">
        <v>448</v>
      </c>
      <c r="E230" t="s">
        <v>446</v>
      </c>
      <c r="F230" t="s">
        <v>89</v>
      </c>
      <c r="G230" t="s">
        <v>89</v>
      </c>
      <c r="H230" t="s">
        <v>93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107</v>
      </c>
      <c r="B231" t="s">
        <v>444</v>
      </c>
      <c r="C231" t="s">
        <v>89</v>
      </c>
      <c r="D231" t="s">
        <v>445</v>
      </c>
      <c r="E231" t="s">
        <v>446</v>
      </c>
      <c r="F231" t="s">
        <v>89</v>
      </c>
      <c r="G231" t="s">
        <v>89</v>
      </c>
      <c r="H231" t="s">
        <v>93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107</v>
      </c>
      <c r="B232" t="s">
        <v>436</v>
      </c>
      <c r="C232" t="s">
        <v>89</v>
      </c>
      <c r="D232" t="s">
        <v>437</v>
      </c>
      <c r="E232" t="s">
        <v>438</v>
      </c>
      <c r="F232" t="s">
        <v>89</v>
      </c>
      <c r="G232" t="s">
        <v>89</v>
      </c>
      <c r="H232" t="s">
        <v>93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107</v>
      </c>
      <c r="B233" t="s">
        <v>451</v>
      </c>
      <c r="C233" t="s">
        <v>89</v>
      </c>
      <c r="D233" t="s">
        <v>452</v>
      </c>
      <c r="E233" t="s">
        <v>453</v>
      </c>
      <c r="F233" t="s">
        <v>89</v>
      </c>
      <c r="G233" t="s">
        <v>89</v>
      </c>
      <c r="H233" t="s">
        <v>93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107</v>
      </c>
      <c r="B234" t="s">
        <v>454</v>
      </c>
      <c r="C234" t="s">
        <v>89</v>
      </c>
      <c r="D234" t="s">
        <v>455</v>
      </c>
      <c r="E234" t="s">
        <v>446</v>
      </c>
      <c r="F234" t="s">
        <v>89</v>
      </c>
      <c r="G234" t="s">
        <v>89</v>
      </c>
      <c r="H234" t="s">
        <v>93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107</v>
      </c>
      <c r="B235" t="s">
        <v>439</v>
      </c>
      <c r="C235" t="s">
        <v>89</v>
      </c>
      <c r="D235" t="s">
        <v>440</v>
      </c>
      <c r="E235" t="s">
        <v>441</v>
      </c>
      <c r="F235" t="s">
        <v>89</v>
      </c>
      <c r="G235" t="s">
        <v>89</v>
      </c>
      <c r="H235" t="s">
        <v>93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107</v>
      </c>
      <c r="B236" t="s">
        <v>442</v>
      </c>
      <c r="C236" t="s">
        <v>89</v>
      </c>
      <c r="D236" t="s">
        <v>443</v>
      </c>
      <c r="E236" t="s">
        <v>441</v>
      </c>
      <c r="F236" t="s">
        <v>89</v>
      </c>
      <c r="G236" t="s">
        <v>89</v>
      </c>
      <c r="H236" t="s">
        <v>93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107</v>
      </c>
      <c r="B237" t="s">
        <v>230</v>
      </c>
      <c r="C237" t="s">
        <v>89</v>
      </c>
      <c r="D237" t="s">
        <v>89</v>
      </c>
      <c r="E237" t="s">
        <v>456</v>
      </c>
      <c r="F237" t="s">
        <v>89</v>
      </c>
      <c r="G237" t="s">
        <v>89</v>
      </c>
      <c r="H237" t="s">
        <v>93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107</v>
      </c>
      <c r="B238" t="s">
        <v>457</v>
      </c>
      <c r="C238" t="s">
        <v>89</v>
      </c>
      <c r="D238" t="s">
        <v>89</v>
      </c>
      <c r="E238" t="s">
        <v>456</v>
      </c>
      <c r="F238" t="s">
        <v>89</v>
      </c>
      <c r="G238" t="s">
        <v>89</v>
      </c>
      <c r="H238" t="s">
        <v>93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107</v>
      </c>
      <c r="B239" t="s">
        <v>352</v>
      </c>
      <c r="C239" t="s">
        <v>89</v>
      </c>
      <c r="D239" t="s">
        <v>458</v>
      </c>
      <c r="E239" t="s">
        <v>459</v>
      </c>
      <c r="F239" t="s">
        <v>89</v>
      </c>
      <c r="G239" t="s">
        <v>89</v>
      </c>
      <c r="H239" t="s">
        <v>93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107</v>
      </c>
      <c r="B240" t="s">
        <v>460</v>
      </c>
      <c r="C240" t="s">
        <v>89</v>
      </c>
      <c r="D240" t="s">
        <v>461</v>
      </c>
      <c r="E240" t="s">
        <v>453</v>
      </c>
      <c r="F240" t="s">
        <v>89</v>
      </c>
      <c r="G240" t="s">
        <v>89</v>
      </c>
      <c r="H240" t="s">
        <v>93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107</v>
      </c>
      <c r="B241" t="s">
        <v>462</v>
      </c>
      <c r="C241" t="s">
        <v>89</v>
      </c>
      <c r="D241" t="s">
        <v>458</v>
      </c>
      <c r="E241" t="s">
        <v>463</v>
      </c>
      <c r="F241" t="s">
        <v>89</v>
      </c>
      <c r="G241" t="s">
        <v>89</v>
      </c>
      <c r="H241" t="s">
        <v>93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107</v>
      </c>
      <c r="B242" t="s">
        <v>268</v>
      </c>
      <c r="C242" t="s">
        <v>89</v>
      </c>
      <c r="D242" t="s">
        <v>464</v>
      </c>
      <c r="E242" t="s">
        <v>441</v>
      </c>
      <c r="F242" t="s">
        <v>89</v>
      </c>
      <c r="G242" t="s">
        <v>89</v>
      </c>
      <c r="H242" t="s">
        <v>93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107</v>
      </c>
      <c r="B243" t="s">
        <v>465</v>
      </c>
      <c r="C243" t="s">
        <v>89</v>
      </c>
      <c r="D243" t="s">
        <v>464</v>
      </c>
      <c r="E243" t="s">
        <v>466</v>
      </c>
      <c r="F243" t="s">
        <v>89</v>
      </c>
      <c r="G243" t="s">
        <v>89</v>
      </c>
      <c r="H243" t="s">
        <v>93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107</v>
      </c>
      <c r="B244" t="s">
        <v>467</v>
      </c>
      <c r="C244" t="s">
        <v>89</v>
      </c>
      <c r="D244" t="s">
        <v>468</v>
      </c>
      <c r="E244" t="s">
        <v>456</v>
      </c>
      <c r="F244" t="s">
        <v>89</v>
      </c>
      <c r="G244" t="s">
        <v>89</v>
      </c>
      <c r="H244" t="s">
        <v>93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107</v>
      </c>
      <c r="B245" t="s">
        <v>469</v>
      </c>
      <c r="C245" t="s">
        <v>89</v>
      </c>
      <c r="D245" t="s">
        <v>89</v>
      </c>
      <c r="E245" t="s">
        <v>470</v>
      </c>
      <c r="F245" t="s">
        <v>89</v>
      </c>
      <c r="G245" t="s">
        <v>89</v>
      </c>
      <c r="H245" t="s">
        <v>93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107</v>
      </c>
      <c r="B246" t="s">
        <v>471</v>
      </c>
      <c r="C246" t="s">
        <v>89</v>
      </c>
      <c r="D246" t="s">
        <v>89</v>
      </c>
      <c r="E246" t="s">
        <v>472</v>
      </c>
      <c r="F246" t="s">
        <v>89</v>
      </c>
      <c r="G246" t="s">
        <v>89</v>
      </c>
      <c r="H246" t="s">
        <v>93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107</v>
      </c>
      <c r="B247" t="s">
        <v>191</v>
      </c>
      <c r="C247" t="s">
        <v>89</v>
      </c>
      <c r="D247" t="s">
        <v>89</v>
      </c>
      <c r="E247" t="s">
        <v>241</v>
      </c>
      <c r="F247" t="s">
        <v>89</v>
      </c>
      <c r="G247" t="s">
        <v>89</v>
      </c>
      <c r="H247" t="s">
        <v>93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107</v>
      </c>
      <c r="B248" t="s">
        <v>193</v>
      </c>
      <c r="C248" t="s">
        <v>89</v>
      </c>
      <c r="D248" t="s">
        <v>89</v>
      </c>
      <c r="E248" t="s">
        <v>216</v>
      </c>
      <c r="F248" t="s">
        <v>89</v>
      </c>
      <c r="G248" t="s">
        <v>89</v>
      </c>
      <c r="H248" t="s">
        <v>93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107</v>
      </c>
      <c r="B249" t="s">
        <v>194</v>
      </c>
      <c r="C249" t="s">
        <v>89</v>
      </c>
      <c r="D249" t="s">
        <v>89</v>
      </c>
      <c r="E249" t="s">
        <v>473</v>
      </c>
      <c r="F249" t="s">
        <v>89</v>
      </c>
      <c r="G249" t="s">
        <v>89</v>
      </c>
      <c r="H249" t="s">
        <v>93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107</v>
      </c>
      <c r="B250" t="s">
        <v>474</v>
      </c>
      <c r="C250" t="s">
        <v>89</v>
      </c>
      <c r="D250" t="s">
        <v>89</v>
      </c>
      <c r="E250" t="s">
        <v>475</v>
      </c>
      <c r="F250" t="s">
        <v>89</v>
      </c>
      <c r="G250" t="s">
        <v>89</v>
      </c>
      <c r="H250" t="s">
        <v>93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107</v>
      </c>
      <c r="B251" t="s">
        <v>217</v>
      </c>
      <c r="C251" t="s">
        <v>89</v>
      </c>
      <c r="D251" t="s">
        <v>89</v>
      </c>
      <c r="E251" t="s">
        <v>246</v>
      </c>
      <c r="F251" t="s">
        <v>89</v>
      </c>
      <c r="G251" t="s">
        <v>89</v>
      </c>
      <c r="H251" t="s">
        <v>93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107</v>
      </c>
      <c r="B252" t="s">
        <v>219</v>
      </c>
      <c r="C252" t="s">
        <v>89</v>
      </c>
      <c r="D252" t="s">
        <v>89</v>
      </c>
      <c r="E252" t="s">
        <v>218</v>
      </c>
      <c r="F252" t="s">
        <v>89</v>
      </c>
      <c r="G252" t="s">
        <v>89</v>
      </c>
      <c r="H252" t="s">
        <v>93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107</v>
      </c>
      <c r="B253" t="s">
        <v>197</v>
      </c>
      <c r="C253" t="s">
        <v>89</v>
      </c>
      <c r="D253" t="s">
        <v>89</v>
      </c>
      <c r="E253" t="s">
        <v>196</v>
      </c>
      <c r="F253" t="s">
        <v>89</v>
      </c>
      <c r="G253" t="s">
        <v>89</v>
      </c>
      <c r="H253" t="s">
        <v>93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107</v>
      </c>
      <c r="B254" t="s">
        <v>221</v>
      </c>
      <c r="C254" t="s">
        <v>89</v>
      </c>
      <c r="D254" t="s">
        <v>89</v>
      </c>
      <c r="E254" t="s">
        <v>181</v>
      </c>
      <c r="F254" t="s">
        <v>89</v>
      </c>
      <c r="G254" t="s">
        <v>89</v>
      </c>
      <c r="H254" t="s">
        <v>93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108</v>
      </c>
      <c r="B255" t="s">
        <v>476</v>
      </c>
      <c r="C255" t="s">
        <v>89</v>
      </c>
      <c r="D255" t="s">
        <v>477</v>
      </c>
      <c r="E255" t="s">
        <v>332</v>
      </c>
      <c r="F255" t="s">
        <v>89</v>
      </c>
      <c r="G255" t="s">
        <v>89</v>
      </c>
      <c r="H255" t="s">
        <v>93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108</v>
      </c>
      <c r="B256" t="s">
        <v>478</v>
      </c>
      <c r="C256" t="s">
        <v>89</v>
      </c>
      <c r="D256" t="s">
        <v>89</v>
      </c>
      <c r="E256" t="s">
        <v>181</v>
      </c>
      <c r="F256" t="s">
        <v>89</v>
      </c>
      <c r="G256" t="s">
        <v>89</v>
      </c>
      <c r="H256" t="s">
        <v>93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108</v>
      </c>
      <c r="B257" t="s">
        <v>479</v>
      </c>
      <c r="C257" t="s">
        <v>89</v>
      </c>
      <c r="D257" t="s">
        <v>89</v>
      </c>
      <c r="E257" t="s">
        <v>227</v>
      </c>
      <c r="F257" t="s">
        <v>89</v>
      </c>
      <c r="G257" t="s">
        <v>89</v>
      </c>
      <c r="H257" t="s">
        <v>93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108</v>
      </c>
      <c r="B258" t="s">
        <v>480</v>
      </c>
      <c r="C258" t="s">
        <v>89</v>
      </c>
      <c r="D258" t="s">
        <v>89</v>
      </c>
      <c r="E258" t="s">
        <v>227</v>
      </c>
      <c r="F258" t="s">
        <v>89</v>
      </c>
      <c r="G258" t="s">
        <v>89</v>
      </c>
      <c r="H258" t="s">
        <v>93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108</v>
      </c>
      <c r="B259" t="s">
        <v>481</v>
      </c>
      <c r="C259" t="s">
        <v>89</v>
      </c>
      <c r="D259" t="s">
        <v>89</v>
      </c>
      <c r="E259" t="s">
        <v>308</v>
      </c>
      <c r="F259" t="s">
        <v>89</v>
      </c>
      <c r="G259" t="s">
        <v>89</v>
      </c>
      <c r="H259" t="s">
        <v>93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108</v>
      </c>
      <c r="B260" t="s">
        <v>482</v>
      </c>
      <c r="C260" t="s">
        <v>89</v>
      </c>
      <c r="D260" t="s">
        <v>89</v>
      </c>
      <c r="E260" t="s">
        <v>184</v>
      </c>
      <c r="F260" t="s">
        <v>89</v>
      </c>
      <c r="G260" t="s">
        <v>89</v>
      </c>
      <c r="H260" t="s">
        <v>93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108</v>
      </c>
      <c r="B261" t="s">
        <v>483</v>
      </c>
      <c r="C261" t="s">
        <v>89</v>
      </c>
      <c r="D261" t="s">
        <v>89</v>
      </c>
      <c r="E261" t="s">
        <v>181</v>
      </c>
      <c r="F261" t="s">
        <v>89</v>
      </c>
      <c r="G261" t="s">
        <v>89</v>
      </c>
      <c r="H261" t="s">
        <v>93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108</v>
      </c>
      <c r="B262" t="s">
        <v>484</v>
      </c>
      <c r="C262" t="s">
        <v>89</v>
      </c>
      <c r="D262" t="s">
        <v>89</v>
      </c>
      <c r="E262" t="s">
        <v>227</v>
      </c>
      <c r="F262" t="s">
        <v>89</v>
      </c>
      <c r="G262" t="s">
        <v>89</v>
      </c>
      <c r="H262" t="s">
        <v>93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108</v>
      </c>
      <c r="B263" t="s">
        <v>485</v>
      </c>
      <c r="C263" t="s">
        <v>89</v>
      </c>
      <c r="D263" t="s">
        <v>89</v>
      </c>
      <c r="E263" t="s">
        <v>308</v>
      </c>
      <c r="F263" t="s">
        <v>89</v>
      </c>
      <c r="G263" t="s">
        <v>89</v>
      </c>
      <c r="H263" t="s">
        <v>93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108</v>
      </c>
      <c r="B264" t="s">
        <v>304</v>
      </c>
      <c r="C264" t="s">
        <v>89</v>
      </c>
      <c r="D264" t="s">
        <v>89</v>
      </c>
      <c r="E264" t="s">
        <v>308</v>
      </c>
      <c r="F264" t="s">
        <v>89</v>
      </c>
      <c r="G264" t="s">
        <v>89</v>
      </c>
      <c r="H264" t="s">
        <v>93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108</v>
      </c>
      <c r="B265" t="s">
        <v>486</v>
      </c>
      <c r="C265" t="s">
        <v>89</v>
      </c>
      <c r="D265" t="s">
        <v>89</v>
      </c>
      <c r="E265" t="s">
        <v>316</v>
      </c>
      <c r="F265" t="s">
        <v>89</v>
      </c>
      <c r="G265" t="s">
        <v>89</v>
      </c>
      <c r="H265" t="s">
        <v>93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108</v>
      </c>
      <c r="B266" t="s">
        <v>487</v>
      </c>
      <c r="C266" t="s">
        <v>89</v>
      </c>
      <c r="D266" t="s">
        <v>488</v>
      </c>
      <c r="E266" t="s">
        <v>316</v>
      </c>
      <c r="F266" t="s">
        <v>89</v>
      </c>
      <c r="G266" t="s">
        <v>89</v>
      </c>
      <c r="H266" t="s">
        <v>93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108</v>
      </c>
      <c r="B267" t="s">
        <v>300</v>
      </c>
      <c r="C267" t="s">
        <v>89</v>
      </c>
      <c r="D267" t="s">
        <v>89</v>
      </c>
      <c r="E267" t="s">
        <v>316</v>
      </c>
      <c r="F267" t="s">
        <v>89</v>
      </c>
      <c r="G267" t="s">
        <v>89</v>
      </c>
      <c r="H267" t="s">
        <v>93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108</v>
      </c>
      <c r="B268" t="s">
        <v>294</v>
      </c>
      <c r="C268" t="s">
        <v>89</v>
      </c>
      <c r="D268" t="s">
        <v>89</v>
      </c>
      <c r="E268" t="s">
        <v>316</v>
      </c>
      <c r="F268" t="s">
        <v>89</v>
      </c>
      <c r="G268" t="s">
        <v>89</v>
      </c>
      <c r="H268" t="s">
        <v>93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108</v>
      </c>
      <c r="B269" t="s">
        <v>489</v>
      </c>
      <c r="C269" t="s">
        <v>89</v>
      </c>
      <c r="D269" t="s">
        <v>490</v>
      </c>
      <c r="E269" t="s">
        <v>332</v>
      </c>
      <c r="F269" t="s">
        <v>89</v>
      </c>
      <c r="G269" t="s">
        <v>89</v>
      </c>
      <c r="H269" t="s">
        <v>93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108</v>
      </c>
      <c r="B270" t="s">
        <v>491</v>
      </c>
      <c r="C270" t="s">
        <v>89</v>
      </c>
      <c r="D270" t="s">
        <v>89</v>
      </c>
      <c r="E270" t="s">
        <v>332</v>
      </c>
      <c r="F270" t="s">
        <v>89</v>
      </c>
      <c r="G270" t="s">
        <v>89</v>
      </c>
      <c r="H270" t="s">
        <v>93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108</v>
      </c>
      <c r="B271" t="s">
        <v>492</v>
      </c>
      <c r="C271" t="s">
        <v>89</v>
      </c>
      <c r="D271" t="s">
        <v>493</v>
      </c>
      <c r="E271" t="s">
        <v>334</v>
      </c>
      <c r="F271" t="s">
        <v>89</v>
      </c>
      <c r="G271" t="s">
        <v>89</v>
      </c>
      <c r="H271" t="s">
        <v>93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108</v>
      </c>
      <c r="B272" t="s">
        <v>494</v>
      </c>
      <c r="C272" t="s">
        <v>89</v>
      </c>
      <c r="D272" t="s">
        <v>495</v>
      </c>
      <c r="E272" t="s">
        <v>496</v>
      </c>
      <c r="F272" t="s">
        <v>89</v>
      </c>
      <c r="G272" t="s">
        <v>89</v>
      </c>
      <c r="H272" t="s">
        <v>93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108</v>
      </c>
      <c r="B273" t="s">
        <v>497</v>
      </c>
      <c r="C273" t="s">
        <v>89</v>
      </c>
      <c r="D273" t="s">
        <v>498</v>
      </c>
      <c r="E273" t="s">
        <v>187</v>
      </c>
      <c r="F273" t="s">
        <v>89</v>
      </c>
      <c r="G273" t="s">
        <v>89</v>
      </c>
      <c r="H273" t="s">
        <v>93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108</v>
      </c>
      <c r="B274" t="s">
        <v>499</v>
      </c>
      <c r="C274" t="s">
        <v>89</v>
      </c>
      <c r="D274" t="s">
        <v>500</v>
      </c>
      <c r="E274" t="s">
        <v>187</v>
      </c>
      <c r="F274" t="s">
        <v>89</v>
      </c>
      <c r="G274" t="s">
        <v>89</v>
      </c>
      <c r="H274" t="s">
        <v>93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108</v>
      </c>
      <c r="B275" t="s">
        <v>501</v>
      </c>
      <c r="C275" t="s">
        <v>89</v>
      </c>
      <c r="D275" t="s">
        <v>502</v>
      </c>
      <c r="E275" t="s">
        <v>187</v>
      </c>
      <c r="F275" t="s">
        <v>89</v>
      </c>
      <c r="G275" t="s">
        <v>89</v>
      </c>
      <c r="H275" t="s">
        <v>93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108</v>
      </c>
      <c r="B276" t="s">
        <v>503</v>
      </c>
      <c r="C276" t="s">
        <v>89</v>
      </c>
      <c r="D276" t="s">
        <v>504</v>
      </c>
      <c r="E276" t="s">
        <v>187</v>
      </c>
      <c r="F276" t="s">
        <v>89</v>
      </c>
      <c r="G276" t="s">
        <v>89</v>
      </c>
      <c r="H276" t="s">
        <v>93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108</v>
      </c>
      <c r="B277" t="s">
        <v>505</v>
      </c>
      <c r="C277" t="s">
        <v>89</v>
      </c>
      <c r="D277" t="s">
        <v>506</v>
      </c>
      <c r="E277" t="s">
        <v>354</v>
      </c>
      <c r="F277" t="s">
        <v>89</v>
      </c>
      <c r="G277" t="s">
        <v>89</v>
      </c>
      <c r="H277" t="s">
        <v>93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108</v>
      </c>
      <c r="B278" t="s">
        <v>507</v>
      </c>
      <c r="C278" t="s">
        <v>89</v>
      </c>
      <c r="D278" t="s">
        <v>508</v>
      </c>
      <c r="E278" t="s">
        <v>354</v>
      </c>
      <c r="F278" t="s">
        <v>89</v>
      </c>
      <c r="G278" t="s">
        <v>89</v>
      </c>
      <c r="H278" t="s">
        <v>93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108</v>
      </c>
      <c r="B279" t="s">
        <v>509</v>
      </c>
      <c r="C279" t="s">
        <v>89</v>
      </c>
      <c r="D279" t="s">
        <v>510</v>
      </c>
      <c r="E279" t="s">
        <v>395</v>
      </c>
      <c r="F279" t="s">
        <v>89</v>
      </c>
      <c r="G279" t="s">
        <v>89</v>
      </c>
      <c r="H279" t="s">
        <v>93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108</v>
      </c>
      <c r="B280" t="s">
        <v>511</v>
      </c>
      <c r="C280" t="s">
        <v>89</v>
      </c>
      <c r="D280" t="s">
        <v>512</v>
      </c>
      <c r="E280" t="s">
        <v>395</v>
      </c>
      <c r="F280" t="s">
        <v>89</v>
      </c>
      <c r="G280" t="s">
        <v>89</v>
      </c>
      <c r="H280" t="s">
        <v>93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108</v>
      </c>
      <c r="B281" t="s">
        <v>513</v>
      </c>
      <c r="C281" t="s">
        <v>89</v>
      </c>
      <c r="D281" t="s">
        <v>514</v>
      </c>
      <c r="E281" t="s">
        <v>395</v>
      </c>
      <c r="F281" t="s">
        <v>89</v>
      </c>
      <c r="G281" t="s">
        <v>89</v>
      </c>
      <c r="H281" t="s">
        <v>93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108</v>
      </c>
      <c r="B282" t="s">
        <v>515</v>
      </c>
      <c r="C282" t="s">
        <v>89</v>
      </c>
      <c r="D282" t="s">
        <v>516</v>
      </c>
      <c r="E282" t="s">
        <v>395</v>
      </c>
      <c r="F282" t="s">
        <v>89</v>
      </c>
      <c r="G282" t="s">
        <v>89</v>
      </c>
      <c r="H282" t="s">
        <v>93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108</v>
      </c>
      <c r="B283" t="s">
        <v>517</v>
      </c>
      <c r="C283" t="s">
        <v>89</v>
      </c>
      <c r="D283" t="s">
        <v>518</v>
      </c>
      <c r="E283" t="s">
        <v>344</v>
      </c>
      <c r="F283" t="s">
        <v>89</v>
      </c>
      <c r="G283" t="s">
        <v>89</v>
      </c>
      <c r="H283" t="s">
        <v>93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108</v>
      </c>
      <c r="B284" t="s">
        <v>519</v>
      </c>
      <c r="C284" t="s">
        <v>89</v>
      </c>
      <c r="D284" t="s">
        <v>520</v>
      </c>
      <c r="E284" t="s">
        <v>213</v>
      </c>
      <c r="F284" t="s">
        <v>89</v>
      </c>
      <c r="G284" t="s">
        <v>89</v>
      </c>
      <c r="H284" t="s">
        <v>93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108</v>
      </c>
      <c r="B285" t="s">
        <v>521</v>
      </c>
      <c r="C285" t="s">
        <v>89</v>
      </c>
      <c r="D285" t="s">
        <v>522</v>
      </c>
      <c r="E285" t="s">
        <v>213</v>
      </c>
      <c r="F285" t="s">
        <v>89</v>
      </c>
      <c r="G285" t="s">
        <v>89</v>
      </c>
      <c r="H285" t="s">
        <v>93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108</v>
      </c>
      <c r="B286" t="s">
        <v>523</v>
      </c>
      <c r="C286" t="s">
        <v>89</v>
      </c>
      <c r="D286" t="s">
        <v>524</v>
      </c>
      <c r="E286" t="s">
        <v>525</v>
      </c>
      <c r="F286" t="s">
        <v>89</v>
      </c>
      <c r="G286" t="s">
        <v>89</v>
      </c>
      <c r="H286" t="s">
        <v>93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108</v>
      </c>
      <c r="B287" t="s">
        <v>526</v>
      </c>
      <c r="C287" t="s">
        <v>89</v>
      </c>
      <c r="D287" t="s">
        <v>527</v>
      </c>
      <c r="E287" t="s">
        <v>190</v>
      </c>
      <c r="F287" t="s">
        <v>89</v>
      </c>
      <c r="G287" t="s">
        <v>89</v>
      </c>
      <c r="H287" t="s">
        <v>93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108</v>
      </c>
      <c r="B288" t="s">
        <v>528</v>
      </c>
      <c r="C288" t="s">
        <v>89</v>
      </c>
      <c r="D288" t="s">
        <v>529</v>
      </c>
      <c r="E288" t="s">
        <v>190</v>
      </c>
      <c r="F288" t="s">
        <v>89</v>
      </c>
      <c r="G288" t="s">
        <v>89</v>
      </c>
      <c r="H288" t="s">
        <v>93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108</v>
      </c>
      <c r="B289" t="s">
        <v>530</v>
      </c>
      <c r="C289" t="s">
        <v>89</v>
      </c>
      <c r="D289" t="s">
        <v>531</v>
      </c>
      <c r="E289" t="s">
        <v>227</v>
      </c>
      <c r="F289" t="s">
        <v>89</v>
      </c>
      <c r="G289" t="s">
        <v>89</v>
      </c>
      <c r="H289" t="s">
        <v>93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108</v>
      </c>
      <c r="B290" t="s">
        <v>532</v>
      </c>
      <c r="C290" t="s">
        <v>89</v>
      </c>
      <c r="D290" t="s">
        <v>89</v>
      </c>
      <c r="E290" t="s">
        <v>205</v>
      </c>
      <c r="F290" t="s">
        <v>89</v>
      </c>
      <c r="G290" t="s">
        <v>89</v>
      </c>
      <c r="H290" t="s">
        <v>93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108</v>
      </c>
      <c r="B291" t="s">
        <v>533</v>
      </c>
      <c r="C291" t="s">
        <v>89</v>
      </c>
      <c r="D291" t="s">
        <v>534</v>
      </c>
      <c r="E291" t="s">
        <v>316</v>
      </c>
      <c r="F291" t="s">
        <v>89</v>
      </c>
      <c r="G291" t="s">
        <v>89</v>
      </c>
      <c r="H291" t="s">
        <v>93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108</v>
      </c>
      <c r="B292" t="s">
        <v>535</v>
      </c>
      <c r="C292" t="s">
        <v>89</v>
      </c>
      <c r="D292" t="s">
        <v>536</v>
      </c>
      <c r="E292" t="s">
        <v>537</v>
      </c>
      <c r="F292" t="s">
        <v>89</v>
      </c>
      <c r="G292" t="s">
        <v>89</v>
      </c>
      <c r="H292" t="s">
        <v>93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108</v>
      </c>
      <c r="B293" t="s">
        <v>538</v>
      </c>
      <c r="C293" t="s">
        <v>89</v>
      </c>
      <c r="D293" t="s">
        <v>539</v>
      </c>
      <c r="E293" t="s">
        <v>540</v>
      </c>
      <c r="F293" t="s">
        <v>89</v>
      </c>
      <c r="G293" t="s">
        <v>89</v>
      </c>
      <c r="H293" t="s">
        <v>93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108</v>
      </c>
      <c r="B294" t="s">
        <v>541</v>
      </c>
      <c r="C294" t="s">
        <v>89</v>
      </c>
      <c r="D294" t="s">
        <v>542</v>
      </c>
      <c r="E294" t="s">
        <v>543</v>
      </c>
      <c r="F294" t="s">
        <v>89</v>
      </c>
      <c r="G294" t="s">
        <v>89</v>
      </c>
      <c r="H294" t="s">
        <v>93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108</v>
      </c>
      <c r="B295" t="s">
        <v>544</v>
      </c>
      <c r="C295" t="s">
        <v>89</v>
      </c>
      <c r="D295" t="s">
        <v>545</v>
      </c>
      <c r="E295" t="s">
        <v>358</v>
      </c>
      <c r="F295" t="s">
        <v>89</v>
      </c>
      <c r="G295" t="s">
        <v>89</v>
      </c>
      <c r="H295" t="s">
        <v>93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108</v>
      </c>
      <c r="B296" t="s">
        <v>546</v>
      </c>
      <c r="C296" t="s">
        <v>89</v>
      </c>
      <c r="D296" t="s">
        <v>547</v>
      </c>
      <c r="E296" t="s">
        <v>548</v>
      </c>
      <c r="F296" t="s">
        <v>89</v>
      </c>
      <c r="G296" t="s">
        <v>89</v>
      </c>
      <c r="H296" t="s">
        <v>93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108</v>
      </c>
      <c r="B297" t="s">
        <v>549</v>
      </c>
      <c r="C297" t="s">
        <v>89</v>
      </c>
      <c r="D297" t="s">
        <v>550</v>
      </c>
      <c r="E297" t="s">
        <v>551</v>
      </c>
      <c r="F297" t="s">
        <v>89</v>
      </c>
      <c r="G297" t="s">
        <v>89</v>
      </c>
      <c r="H297" t="s">
        <v>93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108</v>
      </c>
      <c r="B298" t="s">
        <v>552</v>
      </c>
      <c r="C298" t="s">
        <v>89</v>
      </c>
      <c r="D298" t="s">
        <v>553</v>
      </c>
      <c r="E298" t="s">
        <v>554</v>
      </c>
      <c r="F298" t="s">
        <v>89</v>
      </c>
      <c r="G298" t="s">
        <v>89</v>
      </c>
      <c r="H298" t="s">
        <v>93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108</v>
      </c>
      <c r="B299" t="s">
        <v>555</v>
      </c>
      <c r="C299" t="s">
        <v>89</v>
      </c>
      <c r="D299" t="s">
        <v>556</v>
      </c>
      <c r="E299" t="s">
        <v>543</v>
      </c>
      <c r="F299" t="s">
        <v>89</v>
      </c>
      <c r="G299" t="s">
        <v>89</v>
      </c>
      <c r="H299" t="s">
        <v>93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108</v>
      </c>
      <c r="B300" t="s">
        <v>557</v>
      </c>
      <c r="C300" t="s">
        <v>89</v>
      </c>
      <c r="D300" t="s">
        <v>558</v>
      </c>
      <c r="E300" t="s">
        <v>543</v>
      </c>
      <c r="F300" t="s">
        <v>89</v>
      </c>
      <c r="G300" t="s">
        <v>89</v>
      </c>
      <c r="H300" t="s">
        <v>93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108</v>
      </c>
      <c r="B301" t="s">
        <v>559</v>
      </c>
      <c r="C301" t="s">
        <v>89</v>
      </c>
      <c r="D301" t="s">
        <v>560</v>
      </c>
      <c r="E301" t="s">
        <v>551</v>
      </c>
      <c r="F301" t="s">
        <v>89</v>
      </c>
      <c r="G301" t="s">
        <v>89</v>
      </c>
      <c r="H301" t="s">
        <v>93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108</v>
      </c>
      <c r="B302" t="s">
        <v>315</v>
      </c>
      <c r="C302" t="s">
        <v>89</v>
      </c>
      <c r="D302" t="s">
        <v>89</v>
      </c>
      <c r="E302" t="s">
        <v>312</v>
      </c>
      <c r="F302" t="s">
        <v>89</v>
      </c>
      <c r="G302" t="s">
        <v>89</v>
      </c>
      <c r="H302" t="s">
        <v>93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108</v>
      </c>
      <c r="B303" t="s">
        <v>313</v>
      </c>
      <c r="C303" t="s">
        <v>89</v>
      </c>
      <c r="D303" t="s">
        <v>89</v>
      </c>
      <c r="E303" t="s">
        <v>386</v>
      </c>
      <c r="F303" t="s">
        <v>89</v>
      </c>
      <c r="G303" t="s">
        <v>89</v>
      </c>
      <c r="H303" t="s">
        <v>93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108</v>
      </c>
      <c r="B304" t="s">
        <v>310</v>
      </c>
      <c r="C304" t="s">
        <v>89</v>
      </c>
      <c r="D304" t="s">
        <v>89</v>
      </c>
      <c r="E304" t="s">
        <v>386</v>
      </c>
      <c r="F304" t="s">
        <v>89</v>
      </c>
      <c r="G304" t="s">
        <v>89</v>
      </c>
      <c r="H304" t="s">
        <v>93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108</v>
      </c>
      <c r="B305" t="s">
        <v>352</v>
      </c>
      <c r="C305" t="s">
        <v>89</v>
      </c>
      <c r="D305" t="s">
        <v>89</v>
      </c>
      <c r="E305" t="s">
        <v>332</v>
      </c>
      <c r="F305" t="s">
        <v>89</v>
      </c>
      <c r="G305" t="s">
        <v>89</v>
      </c>
      <c r="H305" t="s">
        <v>93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108</v>
      </c>
      <c r="B306" t="s">
        <v>317</v>
      </c>
      <c r="C306" t="s">
        <v>89</v>
      </c>
      <c r="D306" t="s">
        <v>89</v>
      </c>
      <c r="E306" t="s">
        <v>332</v>
      </c>
      <c r="F306" t="s">
        <v>89</v>
      </c>
      <c r="G306" t="s">
        <v>89</v>
      </c>
      <c r="H306" t="s">
        <v>93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108</v>
      </c>
      <c r="B307" t="s">
        <v>561</v>
      </c>
      <c r="C307" t="s">
        <v>89</v>
      </c>
      <c r="D307" t="s">
        <v>89</v>
      </c>
      <c r="E307" t="s">
        <v>332</v>
      </c>
      <c r="F307" t="s">
        <v>89</v>
      </c>
      <c r="G307" t="s">
        <v>89</v>
      </c>
      <c r="H307" t="s">
        <v>93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108</v>
      </c>
      <c r="B308" t="s">
        <v>360</v>
      </c>
      <c r="C308" t="s">
        <v>89</v>
      </c>
      <c r="D308" t="s">
        <v>89</v>
      </c>
      <c r="E308" t="s">
        <v>334</v>
      </c>
      <c r="F308" t="s">
        <v>89</v>
      </c>
      <c r="G308" t="s">
        <v>89</v>
      </c>
      <c r="H308" t="s">
        <v>93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108</v>
      </c>
      <c r="B309" t="s">
        <v>562</v>
      </c>
      <c r="C309" t="s">
        <v>89</v>
      </c>
      <c r="D309" t="s">
        <v>89</v>
      </c>
      <c r="E309" t="s">
        <v>371</v>
      </c>
      <c r="F309" t="s">
        <v>89</v>
      </c>
      <c r="G309" t="s">
        <v>89</v>
      </c>
      <c r="H309" t="s">
        <v>93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108</v>
      </c>
      <c r="B310" t="s">
        <v>351</v>
      </c>
      <c r="C310" t="s">
        <v>89</v>
      </c>
      <c r="D310" t="s">
        <v>89</v>
      </c>
      <c r="E310" t="s">
        <v>187</v>
      </c>
      <c r="F310" t="s">
        <v>89</v>
      </c>
      <c r="G310" t="s">
        <v>89</v>
      </c>
      <c r="H310" t="s">
        <v>93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108</v>
      </c>
      <c r="B311" t="s">
        <v>359</v>
      </c>
      <c r="C311" t="s">
        <v>89</v>
      </c>
      <c r="D311" t="s">
        <v>89</v>
      </c>
      <c r="E311" t="s">
        <v>208</v>
      </c>
      <c r="F311" t="s">
        <v>89</v>
      </c>
      <c r="G311" t="s">
        <v>89</v>
      </c>
      <c r="H311" t="s">
        <v>93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108</v>
      </c>
      <c r="B312" t="s">
        <v>361</v>
      </c>
      <c r="C312" t="s">
        <v>89</v>
      </c>
      <c r="D312" t="s">
        <v>89</v>
      </c>
      <c r="E312" t="s">
        <v>349</v>
      </c>
      <c r="F312" t="s">
        <v>89</v>
      </c>
      <c r="G312" t="s">
        <v>89</v>
      </c>
      <c r="H312" t="s">
        <v>93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108</v>
      </c>
      <c r="B313" t="s">
        <v>563</v>
      </c>
      <c r="C313" t="s">
        <v>89</v>
      </c>
      <c r="D313" t="s">
        <v>89</v>
      </c>
      <c r="E313" t="s">
        <v>342</v>
      </c>
      <c r="F313" t="s">
        <v>89</v>
      </c>
      <c r="G313" t="s">
        <v>89</v>
      </c>
      <c r="H313" t="s">
        <v>93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108</v>
      </c>
      <c r="B314" t="s">
        <v>564</v>
      </c>
      <c r="C314" t="s">
        <v>89</v>
      </c>
      <c r="D314" t="s">
        <v>89</v>
      </c>
      <c r="E314" t="s">
        <v>354</v>
      </c>
      <c r="F314" t="s">
        <v>89</v>
      </c>
      <c r="G314" t="s">
        <v>89</v>
      </c>
      <c r="H314" t="s">
        <v>93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108</v>
      </c>
      <c r="B315" t="s">
        <v>340</v>
      </c>
      <c r="C315" t="s">
        <v>89</v>
      </c>
      <c r="D315" t="s">
        <v>565</v>
      </c>
      <c r="E315" t="s">
        <v>354</v>
      </c>
      <c r="F315" t="s">
        <v>89</v>
      </c>
      <c r="G315" t="s">
        <v>89</v>
      </c>
      <c r="H315" t="s">
        <v>93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108</v>
      </c>
      <c r="B316" t="s">
        <v>566</v>
      </c>
      <c r="C316" t="s">
        <v>89</v>
      </c>
      <c r="D316" t="s">
        <v>89</v>
      </c>
      <c r="E316" t="s">
        <v>354</v>
      </c>
      <c r="F316" t="s">
        <v>89</v>
      </c>
      <c r="G316" t="s">
        <v>89</v>
      </c>
      <c r="H316" t="s">
        <v>93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108</v>
      </c>
      <c r="B317" t="s">
        <v>365</v>
      </c>
      <c r="C317" t="s">
        <v>89</v>
      </c>
      <c r="D317" t="s">
        <v>89</v>
      </c>
      <c r="E317" t="s">
        <v>213</v>
      </c>
      <c r="F317" t="s">
        <v>89</v>
      </c>
      <c r="G317" t="s">
        <v>89</v>
      </c>
      <c r="H317" t="s">
        <v>93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108</v>
      </c>
      <c r="B318" t="s">
        <v>567</v>
      </c>
      <c r="C318" t="s">
        <v>89</v>
      </c>
      <c r="D318" t="s">
        <v>568</v>
      </c>
      <c r="E318" t="s">
        <v>413</v>
      </c>
      <c r="F318" t="s">
        <v>89</v>
      </c>
      <c r="G318" t="s">
        <v>89</v>
      </c>
      <c r="H318" t="s">
        <v>93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108</v>
      </c>
      <c r="B319" t="s">
        <v>569</v>
      </c>
      <c r="C319" t="s">
        <v>89</v>
      </c>
      <c r="D319" t="s">
        <v>89</v>
      </c>
      <c r="E319" t="s">
        <v>254</v>
      </c>
      <c r="F319" t="s">
        <v>89</v>
      </c>
      <c r="G319" t="s">
        <v>89</v>
      </c>
      <c r="H319" t="s">
        <v>93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108</v>
      </c>
      <c r="B320" t="s">
        <v>570</v>
      </c>
      <c r="C320" t="s">
        <v>89</v>
      </c>
      <c r="D320" t="s">
        <v>89</v>
      </c>
      <c r="E320" t="s">
        <v>332</v>
      </c>
      <c r="F320" t="s">
        <v>89</v>
      </c>
      <c r="G320" t="s">
        <v>89</v>
      </c>
      <c r="H320" t="s">
        <v>93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108</v>
      </c>
      <c r="B321" t="s">
        <v>368</v>
      </c>
      <c r="C321" t="s">
        <v>89</v>
      </c>
      <c r="D321" t="s">
        <v>89</v>
      </c>
      <c r="E321" t="s">
        <v>224</v>
      </c>
      <c r="F321" t="s">
        <v>89</v>
      </c>
      <c r="G321" t="s">
        <v>89</v>
      </c>
      <c r="H321" t="s">
        <v>93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108</v>
      </c>
      <c r="B322" t="s">
        <v>378</v>
      </c>
      <c r="C322" t="s">
        <v>89</v>
      </c>
      <c r="D322" t="s">
        <v>89</v>
      </c>
      <c r="E322" t="s">
        <v>386</v>
      </c>
      <c r="F322" t="s">
        <v>89</v>
      </c>
      <c r="G322" t="s">
        <v>89</v>
      </c>
      <c r="H322" t="s">
        <v>93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108</v>
      </c>
      <c r="B323" t="s">
        <v>369</v>
      </c>
      <c r="C323" t="s">
        <v>89</v>
      </c>
      <c r="D323" t="s">
        <v>89</v>
      </c>
      <c r="E323" t="s">
        <v>332</v>
      </c>
      <c r="F323" t="s">
        <v>89</v>
      </c>
      <c r="G323" t="s">
        <v>89</v>
      </c>
      <c r="H323" t="s">
        <v>93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108</v>
      </c>
      <c r="B324" t="s">
        <v>370</v>
      </c>
      <c r="C324" t="s">
        <v>89</v>
      </c>
      <c r="D324" t="s">
        <v>89</v>
      </c>
      <c r="E324" t="s">
        <v>334</v>
      </c>
      <c r="F324" t="s">
        <v>89</v>
      </c>
      <c r="G324" t="s">
        <v>89</v>
      </c>
      <c r="H324" t="s">
        <v>93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108</v>
      </c>
      <c r="B325" t="s">
        <v>373</v>
      </c>
      <c r="C325" t="s">
        <v>89</v>
      </c>
      <c r="D325" t="s">
        <v>89</v>
      </c>
      <c r="E325" t="s">
        <v>371</v>
      </c>
      <c r="F325" t="s">
        <v>89</v>
      </c>
      <c r="G325" t="s">
        <v>89</v>
      </c>
      <c r="H325" t="s">
        <v>93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108</v>
      </c>
      <c r="B326" t="s">
        <v>372</v>
      </c>
      <c r="C326" t="s">
        <v>89</v>
      </c>
      <c r="D326" t="s">
        <v>89</v>
      </c>
      <c r="E326" t="s">
        <v>371</v>
      </c>
      <c r="F326" t="s">
        <v>89</v>
      </c>
      <c r="G326" t="s">
        <v>89</v>
      </c>
      <c r="H326" t="s">
        <v>93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108</v>
      </c>
      <c r="B327" t="s">
        <v>571</v>
      </c>
      <c r="C327" t="s">
        <v>89</v>
      </c>
      <c r="D327" t="s">
        <v>89</v>
      </c>
      <c r="E327" t="s">
        <v>572</v>
      </c>
      <c r="F327" t="s">
        <v>89</v>
      </c>
      <c r="G327" t="s">
        <v>89</v>
      </c>
      <c r="H327" t="s">
        <v>93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108</v>
      </c>
      <c r="B328" t="s">
        <v>376</v>
      </c>
      <c r="C328" t="s">
        <v>89</v>
      </c>
      <c r="D328" t="s">
        <v>89</v>
      </c>
      <c r="E328" t="s">
        <v>208</v>
      </c>
      <c r="F328" t="s">
        <v>89</v>
      </c>
      <c r="G328" t="s">
        <v>89</v>
      </c>
      <c r="H328" t="s">
        <v>93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108</v>
      </c>
      <c r="B329" t="s">
        <v>573</v>
      </c>
      <c r="C329" t="s">
        <v>89</v>
      </c>
      <c r="D329" t="s">
        <v>89</v>
      </c>
      <c r="E329" t="s">
        <v>354</v>
      </c>
      <c r="F329" t="s">
        <v>89</v>
      </c>
      <c r="G329" t="s">
        <v>89</v>
      </c>
      <c r="H329" t="s">
        <v>93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108</v>
      </c>
      <c r="B330" t="s">
        <v>574</v>
      </c>
      <c r="C330" t="s">
        <v>89</v>
      </c>
      <c r="D330" t="s">
        <v>575</v>
      </c>
      <c r="E330" t="s">
        <v>354</v>
      </c>
      <c r="F330" t="s">
        <v>89</v>
      </c>
      <c r="G330" t="s">
        <v>89</v>
      </c>
      <c r="H330" t="s">
        <v>93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108</v>
      </c>
      <c r="B331" t="s">
        <v>576</v>
      </c>
      <c r="C331" t="s">
        <v>89</v>
      </c>
      <c r="D331" t="s">
        <v>577</v>
      </c>
      <c r="E331" t="s">
        <v>208</v>
      </c>
      <c r="F331" t="s">
        <v>89</v>
      </c>
      <c r="G331" t="s">
        <v>89</v>
      </c>
      <c r="H331" t="s">
        <v>93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108</v>
      </c>
      <c r="B332" t="s">
        <v>578</v>
      </c>
      <c r="C332" t="s">
        <v>89</v>
      </c>
      <c r="D332" t="s">
        <v>579</v>
      </c>
      <c r="E332" t="s">
        <v>332</v>
      </c>
      <c r="F332" t="s">
        <v>89</v>
      </c>
      <c r="G332" t="s">
        <v>89</v>
      </c>
      <c r="H332" t="s">
        <v>93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108</v>
      </c>
      <c r="B333" t="s">
        <v>580</v>
      </c>
      <c r="C333" t="s">
        <v>89</v>
      </c>
      <c r="D333" t="s">
        <v>581</v>
      </c>
      <c r="E333" t="s">
        <v>187</v>
      </c>
      <c r="F333" t="s">
        <v>89</v>
      </c>
      <c r="G333" t="s">
        <v>89</v>
      </c>
      <c r="H333" t="s">
        <v>93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108</v>
      </c>
      <c r="B334" t="s">
        <v>582</v>
      </c>
      <c r="C334" t="s">
        <v>89</v>
      </c>
      <c r="D334" t="s">
        <v>583</v>
      </c>
      <c r="E334" t="s">
        <v>386</v>
      </c>
      <c r="F334" t="s">
        <v>89</v>
      </c>
      <c r="G334" t="s">
        <v>89</v>
      </c>
      <c r="H334" t="s">
        <v>93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108</v>
      </c>
      <c r="B335" t="s">
        <v>584</v>
      </c>
      <c r="C335" t="s">
        <v>89</v>
      </c>
      <c r="D335" t="s">
        <v>585</v>
      </c>
      <c r="E335" t="s">
        <v>208</v>
      </c>
      <c r="F335" t="s">
        <v>89</v>
      </c>
      <c r="G335" t="s">
        <v>89</v>
      </c>
      <c r="H335" t="s">
        <v>93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108</v>
      </c>
      <c r="B336" t="s">
        <v>586</v>
      </c>
      <c r="C336" t="s">
        <v>89</v>
      </c>
      <c r="D336" t="s">
        <v>587</v>
      </c>
      <c r="E336" t="s">
        <v>371</v>
      </c>
      <c r="F336" t="s">
        <v>89</v>
      </c>
      <c r="G336" t="s">
        <v>89</v>
      </c>
      <c r="H336" t="s">
        <v>93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108</v>
      </c>
      <c r="B337" t="s">
        <v>588</v>
      </c>
      <c r="C337" t="s">
        <v>89</v>
      </c>
      <c r="D337" t="s">
        <v>589</v>
      </c>
      <c r="E337" t="s">
        <v>187</v>
      </c>
      <c r="F337" t="s">
        <v>89</v>
      </c>
      <c r="G337" t="s">
        <v>89</v>
      </c>
      <c r="H337" t="s">
        <v>93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108</v>
      </c>
      <c r="B338" t="s">
        <v>590</v>
      </c>
      <c r="C338" t="s">
        <v>89</v>
      </c>
      <c r="D338" t="s">
        <v>591</v>
      </c>
      <c r="E338" t="s">
        <v>208</v>
      </c>
      <c r="F338" t="s">
        <v>89</v>
      </c>
      <c r="G338" t="s">
        <v>89</v>
      </c>
      <c r="H338" t="s">
        <v>93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108</v>
      </c>
      <c r="B339" t="s">
        <v>592</v>
      </c>
      <c r="C339" t="s">
        <v>89</v>
      </c>
      <c r="D339" t="s">
        <v>593</v>
      </c>
      <c r="E339" t="s">
        <v>386</v>
      </c>
      <c r="F339" t="s">
        <v>89</v>
      </c>
      <c r="G339" t="s">
        <v>89</v>
      </c>
      <c r="H339" t="s">
        <v>93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108</v>
      </c>
      <c r="B340" t="s">
        <v>594</v>
      </c>
      <c r="C340" t="s">
        <v>89</v>
      </c>
      <c r="D340" t="s">
        <v>595</v>
      </c>
      <c r="E340" t="s">
        <v>187</v>
      </c>
      <c r="F340" t="s">
        <v>89</v>
      </c>
      <c r="G340" t="s">
        <v>89</v>
      </c>
      <c r="H340" t="s">
        <v>93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108</v>
      </c>
      <c r="B341" t="s">
        <v>596</v>
      </c>
      <c r="C341" t="s">
        <v>89</v>
      </c>
      <c r="D341" t="s">
        <v>581</v>
      </c>
      <c r="E341" t="s">
        <v>404</v>
      </c>
      <c r="F341" t="s">
        <v>89</v>
      </c>
      <c r="G341" t="s">
        <v>89</v>
      </c>
      <c r="H341" t="s">
        <v>93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108</v>
      </c>
      <c r="B342" t="s">
        <v>597</v>
      </c>
      <c r="C342" t="s">
        <v>89</v>
      </c>
      <c r="D342" t="s">
        <v>585</v>
      </c>
      <c r="E342" t="s">
        <v>598</v>
      </c>
      <c r="F342" t="s">
        <v>89</v>
      </c>
      <c r="G342" t="s">
        <v>89</v>
      </c>
      <c r="H342" t="s">
        <v>93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108</v>
      </c>
      <c r="B343" t="s">
        <v>599</v>
      </c>
      <c r="C343" t="s">
        <v>89</v>
      </c>
      <c r="D343" t="s">
        <v>595</v>
      </c>
      <c r="E343" t="s">
        <v>413</v>
      </c>
      <c r="F343" t="s">
        <v>89</v>
      </c>
      <c r="G343" t="s">
        <v>89</v>
      </c>
      <c r="H343" t="s">
        <v>93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108</v>
      </c>
      <c r="B344" t="s">
        <v>600</v>
      </c>
      <c r="C344" t="s">
        <v>89</v>
      </c>
      <c r="D344" t="s">
        <v>591</v>
      </c>
      <c r="E344" t="s">
        <v>601</v>
      </c>
      <c r="F344" t="s">
        <v>89</v>
      </c>
      <c r="G344" t="s">
        <v>89</v>
      </c>
      <c r="H344" t="s">
        <v>93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108</v>
      </c>
      <c r="B345" t="s">
        <v>602</v>
      </c>
      <c r="C345" t="s">
        <v>89</v>
      </c>
      <c r="D345" t="s">
        <v>583</v>
      </c>
      <c r="E345" t="s">
        <v>603</v>
      </c>
      <c r="F345" t="s">
        <v>89</v>
      </c>
      <c r="G345" t="s">
        <v>89</v>
      </c>
      <c r="H345" t="s">
        <v>93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108</v>
      </c>
      <c r="B346" t="s">
        <v>604</v>
      </c>
      <c r="C346" t="s">
        <v>89</v>
      </c>
      <c r="D346" t="s">
        <v>577</v>
      </c>
      <c r="E346" t="s">
        <v>413</v>
      </c>
      <c r="F346" t="s">
        <v>89</v>
      </c>
      <c r="G346" t="s">
        <v>89</v>
      </c>
      <c r="H346" t="s">
        <v>93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108</v>
      </c>
      <c r="B347" t="s">
        <v>605</v>
      </c>
      <c r="C347" t="s">
        <v>89</v>
      </c>
      <c r="D347" t="s">
        <v>606</v>
      </c>
      <c r="E347" t="s">
        <v>607</v>
      </c>
      <c r="F347" t="s">
        <v>89</v>
      </c>
      <c r="G347" t="s">
        <v>89</v>
      </c>
      <c r="H347" t="s">
        <v>93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108</v>
      </c>
      <c r="B348" t="s">
        <v>608</v>
      </c>
      <c r="C348" t="s">
        <v>89</v>
      </c>
      <c r="D348" t="s">
        <v>609</v>
      </c>
      <c r="E348" t="s">
        <v>312</v>
      </c>
      <c r="F348" t="s">
        <v>89</v>
      </c>
      <c r="G348" t="s">
        <v>89</v>
      </c>
      <c r="H348" t="s">
        <v>93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108</v>
      </c>
      <c r="B349" t="s">
        <v>610</v>
      </c>
      <c r="C349" t="s">
        <v>89</v>
      </c>
      <c r="D349" t="s">
        <v>611</v>
      </c>
      <c r="E349" t="s">
        <v>184</v>
      </c>
      <c r="F349" t="s">
        <v>89</v>
      </c>
      <c r="G349" t="s">
        <v>89</v>
      </c>
      <c r="H349" t="s">
        <v>93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108</v>
      </c>
      <c r="B350" t="s">
        <v>612</v>
      </c>
      <c r="C350" t="s">
        <v>89</v>
      </c>
      <c r="D350" t="s">
        <v>613</v>
      </c>
      <c r="E350" t="s">
        <v>332</v>
      </c>
      <c r="F350" t="s">
        <v>89</v>
      </c>
      <c r="G350" t="s">
        <v>89</v>
      </c>
      <c r="H350" t="s">
        <v>93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108</v>
      </c>
      <c r="B351" t="s">
        <v>614</v>
      </c>
      <c r="C351" t="s">
        <v>89</v>
      </c>
      <c r="D351" t="s">
        <v>615</v>
      </c>
      <c r="E351" t="s">
        <v>371</v>
      </c>
      <c r="F351" t="s">
        <v>89</v>
      </c>
      <c r="G351" t="s">
        <v>89</v>
      </c>
      <c r="H351" t="s">
        <v>93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108</v>
      </c>
      <c r="B352" t="s">
        <v>616</v>
      </c>
      <c r="C352" t="s">
        <v>89</v>
      </c>
      <c r="D352" t="s">
        <v>617</v>
      </c>
      <c r="E352" t="s">
        <v>386</v>
      </c>
      <c r="F352" t="s">
        <v>89</v>
      </c>
      <c r="G352" t="s">
        <v>89</v>
      </c>
      <c r="H352" t="s">
        <v>93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108</v>
      </c>
      <c r="B353" t="s">
        <v>618</v>
      </c>
      <c r="C353" t="s">
        <v>89</v>
      </c>
      <c r="D353" t="s">
        <v>619</v>
      </c>
      <c r="E353" t="s">
        <v>386</v>
      </c>
      <c r="F353" t="s">
        <v>89</v>
      </c>
      <c r="G353" t="s">
        <v>89</v>
      </c>
      <c r="H353" t="s">
        <v>93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108</v>
      </c>
      <c r="B354" t="s">
        <v>620</v>
      </c>
      <c r="C354" t="s">
        <v>89</v>
      </c>
      <c r="D354" t="s">
        <v>621</v>
      </c>
      <c r="E354" t="s">
        <v>308</v>
      </c>
      <c r="F354" t="s">
        <v>89</v>
      </c>
      <c r="G354" t="s">
        <v>89</v>
      </c>
      <c r="H354" t="s">
        <v>93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108</v>
      </c>
      <c r="B355" t="s">
        <v>622</v>
      </c>
      <c r="C355" t="s">
        <v>89</v>
      </c>
      <c r="D355" t="s">
        <v>623</v>
      </c>
      <c r="E355" t="s">
        <v>332</v>
      </c>
      <c r="F355" t="s">
        <v>89</v>
      </c>
      <c r="G355" t="s">
        <v>89</v>
      </c>
      <c r="H355" t="s">
        <v>93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108</v>
      </c>
      <c r="B356" t="s">
        <v>624</v>
      </c>
      <c r="C356" t="s">
        <v>89</v>
      </c>
      <c r="D356" t="s">
        <v>625</v>
      </c>
      <c r="E356" t="s">
        <v>386</v>
      </c>
      <c r="F356" t="s">
        <v>89</v>
      </c>
      <c r="G356" t="s">
        <v>89</v>
      </c>
      <c r="H356" t="s">
        <v>93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108</v>
      </c>
      <c r="B357" t="s">
        <v>626</v>
      </c>
      <c r="C357" t="s">
        <v>89</v>
      </c>
      <c r="D357" t="s">
        <v>627</v>
      </c>
      <c r="E357" t="s">
        <v>334</v>
      </c>
      <c r="F357" t="s">
        <v>89</v>
      </c>
      <c r="G357" t="s">
        <v>89</v>
      </c>
      <c r="H357" t="s">
        <v>93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108</v>
      </c>
      <c r="B358" t="s">
        <v>628</v>
      </c>
      <c r="C358" t="s">
        <v>89</v>
      </c>
      <c r="D358" t="s">
        <v>629</v>
      </c>
      <c r="E358" t="s">
        <v>332</v>
      </c>
      <c r="F358" t="s">
        <v>89</v>
      </c>
      <c r="G358" t="s">
        <v>89</v>
      </c>
      <c r="H358" t="s">
        <v>93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108</v>
      </c>
      <c r="B359" t="s">
        <v>630</v>
      </c>
      <c r="C359" t="s">
        <v>89</v>
      </c>
      <c r="D359" t="s">
        <v>631</v>
      </c>
      <c r="E359" t="s">
        <v>187</v>
      </c>
      <c r="F359" t="s">
        <v>89</v>
      </c>
      <c r="G359" t="s">
        <v>89</v>
      </c>
      <c r="H359" t="s">
        <v>93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108</v>
      </c>
      <c r="B360" t="s">
        <v>632</v>
      </c>
      <c r="C360" t="s">
        <v>89</v>
      </c>
      <c r="D360" t="s">
        <v>633</v>
      </c>
      <c r="E360" t="s">
        <v>332</v>
      </c>
      <c r="F360" t="s">
        <v>89</v>
      </c>
      <c r="G360" t="s">
        <v>89</v>
      </c>
      <c r="H360" t="s">
        <v>93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108</v>
      </c>
      <c r="B361" t="s">
        <v>634</v>
      </c>
      <c r="C361" t="s">
        <v>89</v>
      </c>
      <c r="D361" t="s">
        <v>89</v>
      </c>
      <c r="E361" t="s">
        <v>332</v>
      </c>
      <c r="F361" t="s">
        <v>89</v>
      </c>
      <c r="G361" t="s">
        <v>89</v>
      </c>
      <c r="H361" t="s">
        <v>93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108</v>
      </c>
      <c r="B362" t="s">
        <v>284</v>
      </c>
      <c r="C362" t="s">
        <v>89</v>
      </c>
      <c r="D362" t="s">
        <v>89</v>
      </c>
      <c r="E362" t="s">
        <v>181</v>
      </c>
      <c r="F362" t="s">
        <v>89</v>
      </c>
      <c r="G362" t="s">
        <v>89</v>
      </c>
      <c r="H362" t="s">
        <v>93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108</v>
      </c>
      <c r="B363" t="s">
        <v>635</v>
      </c>
      <c r="C363" t="s">
        <v>89</v>
      </c>
      <c r="D363" t="s">
        <v>89</v>
      </c>
      <c r="E363" t="s">
        <v>232</v>
      </c>
      <c r="F363" t="s">
        <v>89</v>
      </c>
      <c r="G363" t="s">
        <v>89</v>
      </c>
      <c r="H363" t="s">
        <v>93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108</v>
      </c>
      <c r="B364" t="s">
        <v>469</v>
      </c>
      <c r="C364" t="s">
        <v>89</v>
      </c>
      <c r="D364" t="s">
        <v>89</v>
      </c>
      <c r="E364" t="s">
        <v>227</v>
      </c>
      <c r="F364" t="s">
        <v>89</v>
      </c>
      <c r="G364" t="s">
        <v>89</v>
      </c>
      <c r="H364" t="s">
        <v>93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108</v>
      </c>
      <c r="B365" t="s">
        <v>285</v>
      </c>
      <c r="C365" t="s">
        <v>89</v>
      </c>
      <c r="D365" t="s">
        <v>89</v>
      </c>
      <c r="E365" t="s">
        <v>232</v>
      </c>
      <c r="F365" t="s">
        <v>89</v>
      </c>
      <c r="G365" t="s">
        <v>89</v>
      </c>
      <c r="H365" t="s">
        <v>93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108</v>
      </c>
      <c r="B366" t="s">
        <v>636</v>
      </c>
      <c r="C366" t="s">
        <v>89</v>
      </c>
      <c r="D366" t="s">
        <v>89</v>
      </c>
      <c r="E366" t="s">
        <v>227</v>
      </c>
      <c r="F366" t="s">
        <v>89</v>
      </c>
      <c r="G366" t="s">
        <v>89</v>
      </c>
      <c r="H366" t="s">
        <v>93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108</v>
      </c>
      <c r="B367" t="s">
        <v>637</v>
      </c>
      <c r="C367" t="s">
        <v>89</v>
      </c>
      <c r="D367" t="s">
        <v>638</v>
      </c>
      <c r="E367" t="s">
        <v>184</v>
      </c>
      <c r="F367" t="s">
        <v>89</v>
      </c>
      <c r="G367" t="s">
        <v>89</v>
      </c>
      <c r="H367" t="s">
        <v>93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108</v>
      </c>
      <c r="B368" t="s">
        <v>639</v>
      </c>
      <c r="C368" t="s">
        <v>89</v>
      </c>
      <c r="D368" t="s">
        <v>638</v>
      </c>
      <c r="E368" t="s">
        <v>316</v>
      </c>
      <c r="F368" t="s">
        <v>89</v>
      </c>
      <c r="G368" t="s">
        <v>89</v>
      </c>
      <c r="H368" t="s">
        <v>93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108</v>
      </c>
      <c r="B369" t="s">
        <v>640</v>
      </c>
      <c r="C369" t="s">
        <v>89</v>
      </c>
      <c r="D369" t="s">
        <v>638</v>
      </c>
      <c r="E369" t="s">
        <v>184</v>
      </c>
      <c r="F369" t="s">
        <v>89</v>
      </c>
      <c r="G369" t="s">
        <v>89</v>
      </c>
      <c r="H369" t="s">
        <v>93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108</v>
      </c>
      <c r="B370" t="s">
        <v>641</v>
      </c>
      <c r="C370" t="s">
        <v>89</v>
      </c>
      <c r="D370" t="s">
        <v>89</v>
      </c>
      <c r="E370" t="s">
        <v>227</v>
      </c>
      <c r="F370" t="s">
        <v>89</v>
      </c>
      <c r="G370" t="s">
        <v>89</v>
      </c>
      <c r="H370" t="s">
        <v>93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108</v>
      </c>
      <c r="B371" t="s">
        <v>642</v>
      </c>
      <c r="C371" t="s">
        <v>89</v>
      </c>
      <c r="D371" t="s">
        <v>89</v>
      </c>
      <c r="E371" t="s">
        <v>227</v>
      </c>
      <c r="F371" t="s">
        <v>89</v>
      </c>
      <c r="G371" t="s">
        <v>89</v>
      </c>
      <c r="H371" t="s">
        <v>93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108</v>
      </c>
      <c r="B372" t="s">
        <v>643</v>
      </c>
      <c r="C372" t="s">
        <v>89</v>
      </c>
      <c r="D372" t="s">
        <v>89</v>
      </c>
      <c r="E372" t="s">
        <v>316</v>
      </c>
      <c r="F372" t="s">
        <v>89</v>
      </c>
      <c r="G372" t="s">
        <v>89</v>
      </c>
      <c r="H372" t="s">
        <v>93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108</v>
      </c>
      <c r="B373" t="s">
        <v>644</v>
      </c>
      <c r="C373" t="s">
        <v>89</v>
      </c>
      <c r="D373" t="s">
        <v>89</v>
      </c>
      <c r="E373" t="s">
        <v>227</v>
      </c>
      <c r="F373" t="s">
        <v>89</v>
      </c>
      <c r="G373" t="s">
        <v>89</v>
      </c>
      <c r="H373" t="s">
        <v>93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108</v>
      </c>
      <c r="B374" t="s">
        <v>645</v>
      </c>
      <c r="C374" t="s">
        <v>89</v>
      </c>
      <c r="D374" t="s">
        <v>89</v>
      </c>
      <c r="E374" t="s">
        <v>227</v>
      </c>
      <c r="F374" t="s">
        <v>89</v>
      </c>
      <c r="G374" t="s">
        <v>89</v>
      </c>
      <c r="H374" t="s">
        <v>93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108</v>
      </c>
      <c r="B375" t="s">
        <v>646</v>
      </c>
      <c r="C375" t="s">
        <v>89</v>
      </c>
      <c r="D375" t="s">
        <v>89</v>
      </c>
      <c r="E375" t="s">
        <v>308</v>
      </c>
      <c r="F375" t="s">
        <v>89</v>
      </c>
      <c r="G375" t="s">
        <v>89</v>
      </c>
      <c r="H375" t="s">
        <v>93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108</v>
      </c>
      <c r="B376" t="s">
        <v>647</v>
      </c>
      <c r="C376" t="s">
        <v>89</v>
      </c>
      <c r="D376" t="s">
        <v>89</v>
      </c>
      <c r="E376" t="s">
        <v>227</v>
      </c>
      <c r="F376" t="s">
        <v>89</v>
      </c>
      <c r="G376" t="s">
        <v>89</v>
      </c>
      <c r="H376" t="s">
        <v>93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108</v>
      </c>
      <c r="B377" t="s">
        <v>648</v>
      </c>
      <c r="C377" t="s">
        <v>89</v>
      </c>
      <c r="D377" t="s">
        <v>89</v>
      </c>
      <c r="E377" t="s">
        <v>227</v>
      </c>
      <c r="F377" t="s">
        <v>89</v>
      </c>
      <c r="G377" t="s">
        <v>89</v>
      </c>
      <c r="H377" t="s">
        <v>93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108</v>
      </c>
      <c r="B378" t="s">
        <v>649</v>
      </c>
      <c r="C378" t="s">
        <v>89</v>
      </c>
      <c r="D378" t="s">
        <v>89</v>
      </c>
      <c r="E378" t="s">
        <v>227</v>
      </c>
      <c r="F378" t="s">
        <v>89</v>
      </c>
      <c r="G378" t="s">
        <v>89</v>
      </c>
      <c r="H378" t="s">
        <v>93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108</v>
      </c>
      <c r="B379" t="s">
        <v>650</v>
      </c>
      <c r="C379" t="s">
        <v>89</v>
      </c>
      <c r="D379" t="s">
        <v>89</v>
      </c>
      <c r="E379" t="s">
        <v>227</v>
      </c>
      <c r="F379" t="s">
        <v>89</v>
      </c>
      <c r="G379" t="s">
        <v>89</v>
      </c>
      <c r="H379" t="s">
        <v>93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108</v>
      </c>
      <c r="B380" t="s">
        <v>651</v>
      </c>
      <c r="C380" t="s">
        <v>89</v>
      </c>
      <c r="D380" t="s">
        <v>89</v>
      </c>
      <c r="E380" t="s">
        <v>227</v>
      </c>
      <c r="F380" t="s">
        <v>89</v>
      </c>
      <c r="G380" t="s">
        <v>89</v>
      </c>
      <c r="H380" t="s">
        <v>93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108</v>
      </c>
      <c r="B381" t="s">
        <v>652</v>
      </c>
      <c r="C381" t="s">
        <v>89</v>
      </c>
      <c r="D381" t="s">
        <v>89</v>
      </c>
      <c r="E381" t="s">
        <v>227</v>
      </c>
      <c r="F381" t="s">
        <v>89</v>
      </c>
      <c r="G381" t="s">
        <v>89</v>
      </c>
      <c r="H381" t="s">
        <v>93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108</v>
      </c>
      <c r="B382" t="s">
        <v>653</v>
      </c>
      <c r="C382" t="s">
        <v>89</v>
      </c>
      <c r="D382" t="s">
        <v>89</v>
      </c>
      <c r="E382" t="s">
        <v>227</v>
      </c>
      <c r="F382" t="s">
        <v>89</v>
      </c>
      <c r="G382" t="s">
        <v>89</v>
      </c>
      <c r="H382" t="s">
        <v>93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108</v>
      </c>
      <c r="B383" t="s">
        <v>654</v>
      </c>
      <c r="C383" t="s">
        <v>89</v>
      </c>
      <c r="D383" t="s">
        <v>89</v>
      </c>
      <c r="E383" t="s">
        <v>227</v>
      </c>
      <c r="F383" t="s">
        <v>89</v>
      </c>
      <c r="G383" t="s">
        <v>89</v>
      </c>
      <c r="H383" t="s">
        <v>93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108</v>
      </c>
      <c r="B384" t="s">
        <v>655</v>
      </c>
      <c r="C384" t="s">
        <v>89</v>
      </c>
      <c r="D384" t="s">
        <v>89</v>
      </c>
      <c r="E384" t="s">
        <v>227</v>
      </c>
      <c r="F384" t="s">
        <v>89</v>
      </c>
      <c r="G384" t="s">
        <v>89</v>
      </c>
      <c r="H384" t="s">
        <v>93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108</v>
      </c>
      <c r="B385" t="s">
        <v>656</v>
      </c>
      <c r="C385" t="s">
        <v>89</v>
      </c>
      <c r="D385" t="s">
        <v>89</v>
      </c>
      <c r="E385" t="s">
        <v>227</v>
      </c>
      <c r="F385" t="s">
        <v>89</v>
      </c>
      <c r="G385" t="s">
        <v>89</v>
      </c>
      <c r="H385" t="s">
        <v>93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108</v>
      </c>
      <c r="B386" t="s">
        <v>657</v>
      </c>
      <c r="C386" t="s">
        <v>89</v>
      </c>
      <c r="D386" t="s">
        <v>658</v>
      </c>
      <c r="E386" t="s">
        <v>227</v>
      </c>
      <c r="F386" t="s">
        <v>89</v>
      </c>
      <c r="G386" t="s">
        <v>89</v>
      </c>
      <c r="H386" t="s">
        <v>93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108</v>
      </c>
      <c r="B387" t="s">
        <v>659</v>
      </c>
      <c r="C387" t="s">
        <v>89</v>
      </c>
      <c r="D387" t="s">
        <v>89</v>
      </c>
      <c r="E387" t="s">
        <v>227</v>
      </c>
      <c r="F387" t="s">
        <v>89</v>
      </c>
      <c r="G387" t="s">
        <v>89</v>
      </c>
      <c r="H387" t="s">
        <v>93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108</v>
      </c>
      <c r="B388" t="s">
        <v>660</v>
      </c>
      <c r="C388" t="s">
        <v>89</v>
      </c>
      <c r="D388" t="s">
        <v>89</v>
      </c>
      <c r="E388" t="s">
        <v>227</v>
      </c>
      <c r="F388" t="s">
        <v>89</v>
      </c>
      <c r="G388" t="s">
        <v>89</v>
      </c>
      <c r="H388" t="s">
        <v>93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108</v>
      </c>
      <c r="B389" t="s">
        <v>661</v>
      </c>
      <c r="C389" t="s">
        <v>89</v>
      </c>
      <c r="D389" t="s">
        <v>89</v>
      </c>
      <c r="E389" t="s">
        <v>227</v>
      </c>
      <c r="F389" t="s">
        <v>89</v>
      </c>
      <c r="G389" t="s">
        <v>89</v>
      </c>
      <c r="H389" t="s">
        <v>93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108</v>
      </c>
      <c r="B390" t="s">
        <v>662</v>
      </c>
      <c r="C390" t="s">
        <v>89</v>
      </c>
      <c r="D390" t="s">
        <v>89</v>
      </c>
      <c r="E390" t="s">
        <v>227</v>
      </c>
      <c r="F390" t="s">
        <v>89</v>
      </c>
      <c r="G390" t="s">
        <v>89</v>
      </c>
      <c r="H390" t="s">
        <v>93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108</v>
      </c>
      <c r="B391" t="s">
        <v>663</v>
      </c>
      <c r="C391" t="s">
        <v>89</v>
      </c>
      <c r="D391" t="s">
        <v>658</v>
      </c>
      <c r="E391" t="s">
        <v>227</v>
      </c>
      <c r="F391" t="s">
        <v>89</v>
      </c>
      <c r="G391" t="s">
        <v>89</v>
      </c>
      <c r="H391" t="s">
        <v>93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108</v>
      </c>
      <c r="B392" t="s">
        <v>664</v>
      </c>
      <c r="C392" t="s">
        <v>89</v>
      </c>
      <c r="D392" t="s">
        <v>89</v>
      </c>
      <c r="E392" t="s">
        <v>227</v>
      </c>
      <c r="F392" t="s">
        <v>89</v>
      </c>
      <c r="G392" t="s">
        <v>89</v>
      </c>
      <c r="H392" t="s">
        <v>93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108</v>
      </c>
      <c r="B393" t="s">
        <v>665</v>
      </c>
      <c r="C393" t="s">
        <v>89</v>
      </c>
      <c r="D393" t="s">
        <v>89</v>
      </c>
      <c r="E393" t="s">
        <v>227</v>
      </c>
      <c r="F393" t="s">
        <v>89</v>
      </c>
      <c r="G393" t="s">
        <v>89</v>
      </c>
      <c r="H393" t="s">
        <v>93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108</v>
      </c>
      <c r="B394" t="s">
        <v>666</v>
      </c>
      <c r="C394" t="s">
        <v>89</v>
      </c>
      <c r="D394" t="s">
        <v>89</v>
      </c>
      <c r="E394" t="s">
        <v>227</v>
      </c>
      <c r="F394" t="s">
        <v>89</v>
      </c>
      <c r="G394" t="s">
        <v>89</v>
      </c>
      <c r="H394" t="s">
        <v>93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108</v>
      </c>
      <c r="B395" t="s">
        <v>667</v>
      </c>
      <c r="C395" t="s">
        <v>89</v>
      </c>
      <c r="D395" t="s">
        <v>89</v>
      </c>
      <c r="E395" t="s">
        <v>227</v>
      </c>
      <c r="F395" t="s">
        <v>89</v>
      </c>
      <c r="G395" t="s">
        <v>89</v>
      </c>
      <c r="H395" t="s">
        <v>93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108</v>
      </c>
      <c r="B396" t="s">
        <v>668</v>
      </c>
      <c r="C396" t="s">
        <v>89</v>
      </c>
      <c r="D396" t="s">
        <v>89</v>
      </c>
      <c r="E396" t="s">
        <v>227</v>
      </c>
      <c r="F396" t="s">
        <v>89</v>
      </c>
      <c r="G396" t="s">
        <v>89</v>
      </c>
      <c r="H396" t="s">
        <v>93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108</v>
      </c>
      <c r="B397" t="s">
        <v>669</v>
      </c>
      <c r="C397" t="s">
        <v>89</v>
      </c>
      <c r="D397" t="s">
        <v>89</v>
      </c>
      <c r="E397" t="s">
        <v>227</v>
      </c>
      <c r="F397" t="s">
        <v>89</v>
      </c>
      <c r="G397" t="s">
        <v>89</v>
      </c>
      <c r="H397" t="s">
        <v>93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108</v>
      </c>
      <c r="B398" t="s">
        <v>670</v>
      </c>
      <c r="C398" t="s">
        <v>89</v>
      </c>
      <c r="D398" t="s">
        <v>89</v>
      </c>
      <c r="E398" t="s">
        <v>227</v>
      </c>
      <c r="F398" t="s">
        <v>89</v>
      </c>
      <c r="G398" t="s">
        <v>89</v>
      </c>
      <c r="H398" t="s">
        <v>93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108</v>
      </c>
      <c r="B399" t="s">
        <v>671</v>
      </c>
      <c r="C399" t="s">
        <v>89</v>
      </c>
      <c r="D399" t="s">
        <v>89</v>
      </c>
      <c r="E399" t="s">
        <v>227</v>
      </c>
      <c r="F399" t="s">
        <v>89</v>
      </c>
      <c r="G399" t="s">
        <v>89</v>
      </c>
      <c r="H399" t="s">
        <v>93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108</v>
      </c>
      <c r="B400" t="s">
        <v>672</v>
      </c>
      <c r="C400" t="s">
        <v>89</v>
      </c>
      <c r="D400" t="s">
        <v>89</v>
      </c>
      <c r="E400" t="s">
        <v>227</v>
      </c>
      <c r="F400" t="s">
        <v>89</v>
      </c>
      <c r="G400" t="s">
        <v>89</v>
      </c>
      <c r="H400" t="s">
        <v>93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108</v>
      </c>
      <c r="B401" t="s">
        <v>673</v>
      </c>
      <c r="C401" t="s">
        <v>89</v>
      </c>
      <c r="D401" t="s">
        <v>658</v>
      </c>
      <c r="E401" t="s">
        <v>227</v>
      </c>
      <c r="F401" t="s">
        <v>89</v>
      </c>
      <c r="G401" t="s">
        <v>89</v>
      </c>
      <c r="H401" t="s">
        <v>93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108</v>
      </c>
      <c r="B402" t="s">
        <v>674</v>
      </c>
      <c r="C402" t="s">
        <v>89</v>
      </c>
      <c r="D402" t="s">
        <v>89</v>
      </c>
      <c r="E402" t="s">
        <v>227</v>
      </c>
      <c r="F402" t="s">
        <v>89</v>
      </c>
      <c r="G402" t="s">
        <v>89</v>
      </c>
      <c r="H402" t="s">
        <v>93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108</v>
      </c>
      <c r="B403" t="s">
        <v>675</v>
      </c>
      <c r="C403" t="s">
        <v>89</v>
      </c>
      <c r="D403" t="s">
        <v>89</v>
      </c>
      <c r="E403" t="s">
        <v>227</v>
      </c>
      <c r="F403" t="s">
        <v>89</v>
      </c>
      <c r="G403" t="s">
        <v>89</v>
      </c>
      <c r="H403" t="s">
        <v>93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108</v>
      </c>
      <c r="B404" t="s">
        <v>676</v>
      </c>
      <c r="C404" t="s">
        <v>89</v>
      </c>
      <c r="D404" t="s">
        <v>89</v>
      </c>
      <c r="E404" t="s">
        <v>227</v>
      </c>
      <c r="F404" t="s">
        <v>89</v>
      </c>
      <c r="G404" t="s">
        <v>89</v>
      </c>
      <c r="H404" t="s">
        <v>93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108</v>
      </c>
      <c r="B405" t="s">
        <v>677</v>
      </c>
      <c r="C405" t="s">
        <v>89</v>
      </c>
      <c r="D405" t="s">
        <v>89</v>
      </c>
      <c r="E405" t="s">
        <v>227</v>
      </c>
      <c r="F405" t="s">
        <v>89</v>
      </c>
      <c r="G405" t="s">
        <v>89</v>
      </c>
      <c r="H405" t="s">
        <v>93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108</v>
      </c>
      <c r="B406" t="s">
        <v>678</v>
      </c>
      <c r="C406" t="s">
        <v>89</v>
      </c>
      <c r="D406" t="s">
        <v>89</v>
      </c>
      <c r="E406" t="s">
        <v>227</v>
      </c>
      <c r="F406" t="s">
        <v>89</v>
      </c>
      <c r="G406" t="s">
        <v>89</v>
      </c>
      <c r="H406" t="s">
        <v>93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108</v>
      </c>
      <c r="B407" t="s">
        <v>679</v>
      </c>
      <c r="C407" t="s">
        <v>89</v>
      </c>
      <c r="D407" t="s">
        <v>89</v>
      </c>
      <c r="E407" t="s">
        <v>227</v>
      </c>
      <c r="F407" t="s">
        <v>89</v>
      </c>
      <c r="G407" t="s">
        <v>89</v>
      </c>
      <c r="H407" t="s">
        <v>93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108</v>
      </c>
      <c r="B408" t="s">
        <v>191</v>
      </c>
      <c r="C408" t="s">
        <v>89</v>
      </c>
      <c r="D408" t="s">
        <v>89</v>
      </c>
      <c r="E408" t="s">
        <v>241</v>
      </c>
      <c r="F408" t="s">
        <v>89</v>
      </c>
      <c r="G408" t="s">
        <v>89</v>
      </c>
      <c r="H408" t="s">
        <v>93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108</v>
      </c>
      <c r="B409" t="s">
        <v>243</v>
      </c>
      <c r="C409" t="s">
        <v>89</v>
      </c>
      <c r="D409" t="s">
        <v>89</v>
      </c>
      <c r="E409" t="s">
        <v>241</v>
      </c>
      <c r="F409" t="s">
        <v>89</v>
      </c>
      <c r="G409" t="s">
        <v>89</v>
      </c>
      <c r="H409" t="s">
        <v>93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108</v>
      </c>
      <c r="B410" t="s">
        <v>244</v>
      </c>
      <c r="C410" t="s">
        <v>89</v>
      </c>
      <c r="D410" t="s">
        <v>89</v>
      </c>
      <c r="E410" t="s">
        <v>241</v>
      </c>
      <c r="F410" t="s">
        <v>89</v>
      </c>
      <c r="G410" t="s">
        <v>89</v>
      </c>
      <c r="H410" t="s">
        <v>93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108</v>
      </c>
      <c r="B411" t="s">
        <v>328</v>
      </c>
      <c r="C411" t="s">
        <v>89</v>
      </c>
      <c r="D411" t="s">
        <v>89</v>
      </c>
      <c r="E411" t="s">
        <v>241</v>
      </c>
      <c r="F411" t="s">
        <v>89</v>
      </c>
      <c r="G411" t="s">
        <v>89</v>
      </c>
      <c r="H411" t="s">
        <v>93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108</v>
      </c>
      <c r="B412" t="s">
        <v>329</v>
      </c>
      <c r="C412" t="s">
        <v>89</v>
      </c>
      <c r="D412" t="s">
        <v>89</v>
      </c>
      <c r="E412" t="s">
        <v>241</v>
      </c>
      <c r="F412" t="s">
        <v>89</v>
      </c>
      <c r="G412" t="s">
        <v>89</v>
      </c>
      <c r="H412" t="s">
        <v>93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108</v>
      </c>
      <c r="B413" t="s">
        <v>194</v>
      </c>
      <c r="C413" t="s">
        <v>89</v>
      </c>
      <c r="D413" t="s">
        <v>89</v>
      </c>
      <c r="E413" t="s">
        <v>216</v>
      </c>
      <c r="F413" t="s">
        <v>89</v>
      </c>
      <c r="G413" t="s">
        <v>89</v>
      </c>
      <c r="H413" t="s">
        <v>93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108</v>
      </c>
      <c r="B414" t="s">
        <v>217</v>
      </c>
      <c r="C414" t="s">
        <v>89</v>
      </c>
      <c r="D414" t="s">
        <v>89</v>
      </c>
      <c r="E414" t="s">
        <v>178</v>
      </c>
      <c r="F414" t="s">
        <v>89</v>
      </c>
      <c r="G414" t="s">
        <v>89</v>
      </c>
      <c r="H414" t="s">
        <v>93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108</v>
      </c>
      <c r="B415" t="s">
        <v>680</v>
      </c>
      <c r="C415" t="s">
        <v>89</v>
      </c>
      <c r="D415" t="s">
        <v>89</v>
      </c>
      <c r="E415" t="s">
        <v>202</v>
      </c>
      <c r="F415" t="s">
        <v>89</v>
      </c>
      <c r="G415" t="s">
        <v>89</v>
      </c>
      <c r="H415" t="s">
        <v>93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108</v>
      </c>
      <c r="B416" t="s">
        <v>219</v>
      </c>
      <c r="C416" t="s">
        <v>89</v>
      </c>
      <c r="D416" t="s">
        <v>89</v>
      </c>
      <c r="E416" t="s">
        <v>216</v>
      </c>
      <c r="F416" t="s">
        <v>89</v>
      </c>
      <c r="G416" t="s">
        <v>89</v>
      </c>
      <c r="H416" t="s">
        <v>93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108</v>
      </c>
      <c r="B417" t="s">
        <v>197</v>
      </c>
      <c r="C417" t="s">
        <v>89</v>
      </c>
      <c r="D417" t="s">
        <v>89</v>
      </c>
      <c r="E417" t="s">
        <v>196</v>
      </c>
      <c r="F417" t="s">
        <v>89</v>
      </c>
      <c r="G417" t="s">
        <v>89</v>
      </c>
      <c r="H417" t="s">
        <v>93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108</v>
      </c>
      <c r="B418" t="s">
        <v>681</v>
      </c>
      <c r="C418" t="s">
        <v>89</v>
      </c>
      <c r="D418" t="s">
        <v>89</v>
      </c>
      <c r="E418" t="s">
        <v>178</v>
      </c>
      <c r="F418" t="s">
        <v>89</v>
      </c>
      <c r="G418" t="s">
        <v>89</v>
      </c>
      <c r="H418" t="s">
        <v>93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108</v>
      </c>
      <c r="B419" t="s">
        <v>682</v>
      </c>
      <c r="C419" t="s">
        <v>89</v>
      </c>
      <c r="D419" t="s">
        <v>89</v>
      </c>
      <c r="E419" t="s">
        <v>316</v>
      </c>
      <c r="F419" t="s">
        <v>89</v>
      </c>
      <c r="G419" t="s">
        <v>89</v>
      </c>
      <c r="H419" t="s">
        <v>93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108</v>
      </c>
      <c r="B420" t="s">
        <v>683</v>
      </c>
      <c r="C420" t="s">
        <v>89</v>
      </c>
      <c r="D420" t="s">
        <v>89</v>
      </c>
      <c r="E420" t="s">
        <v>227</v>
      </c>
      <c r="F420" t="s">
        <v>89</v>
      </c>
      <c r="G420" t="s">
        <v>89</v>
      </c>
      <c r="H420" t="s">
        <v>93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108</v>
      </c>
      <c r="B421" t="s">
        <v>684</v>
      </c>
      <c r="C421" t="s">
        <v>89</v>
      </c>
      <c r="D421" t="s">
        <v>685</v>
      </c>
      <c r="E421" t="s">
        <v>316</v>
      </c>
      <c r="F421" t="s">
        <v>89</v>
      </c>
      <c r="G421" t="s">
        <v>89</v>
      </c>
      <c r="H421" t="s">
        <v>93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108</v>
      </c>
      <c r="B422" t="s">
        <v>686</v>
      </c>
      <c r="C422" t="s">
        <v>89</v>
      </c>
      <c r="D422" t="s">
        <v>89</v>
      </c>
      <c r="E422" t="s">
        <v>322</v>
      </c>
      <c r="F422" t="s">
        <v>89</v>
      </c>
      <c r="G422" t="s">
        <v>89</v>
      </c>
      <c r="H422" t="s">
        <v>93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108</v>
      </c>
      <c r="B423" t="s">
        <v>199</v>
      </c>
      <c r="C423" t="s">
        <v>89</v>
      </c>
      <c r="D423" t="s">
        <v>89</v>
      </c>
      <c r="E423" t="s">
        <v>200</v>
      </c>
      <c r="F423" t="s">
        <v>89</v>
      </c>
      <c r="G423" t="s">
        <v>89</v>
      </c>
      <c r="H423" t="s">
        <v>93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110</v>
      </c>
      <c r="B424" t="s">
        <v>687</v>
      </c>
      <c r="C424" t="s">
        <v>89</v>
      </c>
      <c r="D424" t="s">
        <v>258</v>
      </c>
      <c r="E424" t="s">
        <v>181</v>
      </c>
      <c r="F424" t="s">
        <v>89</v>
      </c>
      <c r="G424" t="s">
        <v>89</v>
      </c>
      <c r="H424" t="s">
        <v>93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110</v>
      </c>
      <c r="B425" t="s">
        <v>688</v>
      </c>
      <c r="C425" t="s">
        <v>89</v>
      </c>
      <c r="D425" t="s">
        <v>689</v>
      </c>
      <c r="E425" t="s">
        <v>312</v>
      </c>
      <c r="F425" t="s">
        <v>89</v>
      </c>
      <c r="G425" t="s">
        <v>89</v>
      </c>
      <c r="H425" t="s">
        <v>93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110</v>
      </c>
      <c r="B426" t="s">
        <v>690</v>
      </c>
      <c r="C426" t="s">
        <v>89</v>
      </c>
      <c r="D426" t="s">
        <v>691</v>
      </c>
      <c r="E426" t="s">
        <v>202</v>
      </c>
      <c r="F426" t="s">
        <v>89</v>
      </c>
      <c r="G426" t="s">
        <v>89</v>
      </c>
      <c r="H426" t="s">
        <v>93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110</v>
      </c>
      <c r="B427" t="s">
        <v>692</v>
      </c>
      <c r="C427" t="s">
        <v>89</v>
      </c>
      <c r="D427" t="s">
        <v>693</v>
      </c>
      <c r="E427" t="s">
        <v>316</v>
      </c>
      <c r="F427" t="s">
        <v>89</v>
      </c>
      <c r="G427" t="s">
        <v>89</v>
      </c>
      <c r="H427" t="s">
        <v>93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110</v>
      </c>
      <c r="B428" t="s">
        <v>694</v>
      </c>
      <c r="C428" t="s">
        <v>89</v>
      </c>
      <c r="D428" t="s">
        <v>695</v>
      </c>
      <c r="E428" t="s">
        <v>187</v>
      </c>
      <c r="F428" t="s">
        <v>89</v>
      </c>
      <c r="G428" t="s">
        <v>89</v>
      </c>
      <c r="H428" t="s">
        <v>93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110</v>
      </c>
      <c r="B429" t="s">
        <v>696</v>
      </c>
      <c r="C429" t="s">
        <v>89</v>
      </c>
      <c r="D429" t="s">
        <v>697</v>
      </c>
      <c r="E429" t="s">
        <v>344</v>
      </c>
      <c r="F429" t="s">
        <v>89</v>
      </c>
      <c r="G429" t="s">
        <v>89</v>
      </c>
      <c r="H429" t="s">
        <v>93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110</v>
      </c>
      <c r="B430" t="s">
        <v>698</v>
      </c>
      <c r="C430" t="s">
        <v>89</v>
      </c>
      <c r="D430" t="s">
        <v>699</v>
      </c>
      <c r="E430" t="s">
        <v>190</v>
      </c>
      <c r="F430" t="s">
        <v>89</v>
      </c>
      <c r="G430" t="s">
        <v>89</v>
      </c>
      <c r="H430" t="s">
        <v>93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110</v>
      </c>
      <c r="B431" t="s">
        <v>268</v>
      </c>
      <c r="C431" t="s">
        <v>89</v>
      </c>
      <c r="D431" t="s">
        <v>700</v>
      </c>
      <c r="E431" t="s">
        <v>205</v>
      </c>
      <c r="F431" t="s">
        <v>89</v>
      </c>
      <c r="G431" t="s">
        <v>89</v>
      </c>
      <c r="H431" t="s">
        <v>93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110</v>
      </c>
      <c r="B432" t="s">
        <v>270</v>
      </c>
      <c r="C432" t="s">
        <v>89</v>
      </c>
      <c r="D432" t="s">
        <v>701</v>
      </c>
      <c r="E432" t="s">
        <v>202</v>
      </c>
      <c r="F432" t="s">
        <v>89</v>
      </c>
      <c r="G432" t="s">
        <v>89</v>
      </c>
      <c r="H432" t="s">
        <v>93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110</v>
      </c>
      <c r="B433" t="s">
        <v>702</v>
      </c>
      <c r="C433" t="s">
        <v>89</v>
      </c>
      <c r="D433" t="s">
        <v>703</v>
      </c>
      <c r="E433" t="s">
        <v>202</v>
      </c>
      <c r="F433" t="s">
        <v>89</v>
      </c>
      <c r="G433" t="s">
        <v>89</v>
      </c>
      <c r="H433" t="s">
        <v>93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110</v>
      </c>
      <c r="B434" t="s">
        <v>206</v>
      </c>
      <c r="C434" t="s">
        <v>89</v>
      </c>
      <c r="D434" t="s">
        <v>704</v>
      </c>
      <c r="E434" t="s">
        <v>386</v>
      </c>
      <c r="F434" t="s">
        <v>89</v>
      </c>
      <c r="G434" t="s">
        <v>89</v>
      </c>
      <c r="H434" t="s">
        <v>93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110</v>
      </c>
      <c r="B435" t="s">
        <v>176</v>
      </c>
      <c r="C435" t="s">
        <v>89</v>
      </c>
      <c r="D435" t="s">
        <v>705</v>
      </c>
      <c r="E435" t="s">
        <v>178</v>
      </c>
      <c r="F435" t="s">
        <v>89</v>
      </c>
      <c r="G435" t="s">
        <v>89</v>
      </c>
      <c r="H435" t="s">
        <v>93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110</v>
      </c>
      <c r="B436" t="s">
        <v>706</v>
      </c>
      <c r="C436" t="s">
        <v>89</v>
      </c>
      <c r="D436" t="s">
        <v>89</v>
      </c>
      <c r="E436" t="s">
        <v>332</v>
      </c>
      <c r="F436" t="s">
        <v>89</v>
      </c>
      <c r="G436" t="s">
        <v>89</v>
      </c>
      <c r="H436" t="s">
        <v>93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110</v>
      </c>
      <c r="B437" t="s">
        <v>203</v>
      </c>
      <c r="C437" t="s">
        <v>89</v>
      </c>
      <c r="D437" t="s">
        <v>707</v>
      </c>
      <c r="E437" t="s">
        <v>232</v>
      </c>
      <c r="F437" t="s">
        <v>89</v>
      </c>
      <c r="G437" t="s">
        <v>89</v>
      </c>
      <c r="H437" t="s">
        <v>93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110</v>
      </c>
      <c r="B438" t="s">
        <v>188</v>
      </c>
      <c r="C438" t="s">
        <v>89</v>
      </c>
      <c r="D438" t="s">
        <v>708</v>
      </c>
      <c r="E438" t="s">
        <v>525</v>
      </c>
      <c r="F438" t="s">
        <v>89</v>
      </c>
      <c r="G438" t="s">
        <v>89</v>
      </c>
      <c r="H438" t="s">
        <v>93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110</v>
      </c>
      <c r="B439" t="s">
        <v>709</v>
      </c>
      <c r="C439" t="s">
        <v>89</v>
      </c>
      <c r="D439" t="s">
        <v>710</v>
      </c>
      <c r="E439" t="s">
        <v>237</v>
      </c>
      <c r="F439" t="s">
        <v>89</v>
      </c>
      <c r="G439" t="s">
        <v>89</v>
      </c>
      <c r="H439" t="s">
        <v>93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110</v>
      </c>
      <c r="B440" t="s">
        <v>711</v>
      </c>
      <c r="C440" t="s">
        <v>89</v>
      </c>
      <c r="D440" t="s">
        <v>89</v>
      </c>
      <c r="E440" t="s">
        <v>712</v>
      </c>
      <c r="F440" t="s">
        <v>89</v>
      </c>
      <c r="G440" t="s">
        <v>89</v>
      </c>
      <c r="H440" t="s">
        <v>93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110</v>
      </c>
      <c r="B441" t="s">
        <v>713</v>
      </c>
      <c r="C441" t="s">
        <v>89</v>
      </c>
      <c r="D441" t="s">
        <v>89</v>
      </c>
      <c r="E441" t="s">
        <v>714</v>
      </c>
      <c r="F441" t="s">
        <v>89</v>
      </c>
      <c r="G441" t="s">
        <v>89</v>
      </c>
      <c r="H441" t="s">
        <v>93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110</v>
      </c>
      <c r="B442" t="s">
        <v>715</v>
      </c>
      <c r="C442" t="s">
        <v>89</v>
      </c>
      <c r="D442" t="s">
        <v>89</v>
      </c>
      <c r="E442" t="s">
        <v>716</v>
      </c>
      <c r="F442" t="s">
        <v>89</v>
      </c>
      <c r="G442" t="s">
        <v>89</v>
      </c>
      <c r="H442" t="s">
        <v>93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110</v>
      </c>
      <c r="B443" t="s">
        <v>717</v>
      </c>
      <c r="C443" t="s">
        <v>89</v>
      </c>
      <c r="D443" t="s">
        <v>89</v>
      </c>
      <c r="E443" t="s">
        <v>216</v>
      </c>
      <c r="F443" t="s">
        <v>89</v>
      </c>
      <c r="G443" t="s">
        <v>89</v>
      </c>
      <c r="H443" t="s">
        <v>93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110</v>
      </c>
      <c r="B444" t="s">
        <v>718</v>
      </c>
      <c r="C444" t="s">
        <v>89</v>
      </c>
      <c r="D444" t="s">
        <v>89</v>
      </c>
      <c r="E444" t="s">
        <v>714</v>
      </c>
      <c r="F444" t="s">
        <v>89</v>
      </c>
      <c r="G444" t="s">
        <v>89</v>
      </c>
      <c r="H444" t="s">
        <v>93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110</v>
      </c>
      <c r="B445" t="s">
        <v>719</v>
      </c>
      <c r="C445" t="s">
        <v>89</v>
      </c>
      <c r="D445" t="s">
        <v>89</v>
      </c>
      <c r="E445" t="s">
        <v>714</v>
      </c>
      <c r="F445" t="s">
        <v>89</v>
      </c>
      <c r="G445" t="s">
        <v>89</v>
      </c>
      <c r="H445" t="s">
        <v>93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110</v>
      </c>
      <c r="B446" t="s">
        <v>191</v>
      </c>
      <c r="C446" t="s">
        <v>89</v>
      </c>
      <c r="D446" t="s">
        <v>89</v>
      </c>
      <c r="E446" t="s">
        <v>246</v>
      </c>
      <c r="F446" t="s">
        <v>89</v>
      </c>
      <c r="G446" t="s">
        <v>89</v>
      </c>
      <c r="H446" t="s">
        <v>93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110</v>
      </c>
      <c r="B447" t="s">
        <v>720</v>
      </c>
      <c r="C447" t="s">
        <v>89</v>
      </c>
      <c r="D447" t="s">
        <v>721</v>
      </c>
      <c r="E447" t="s">
        <v>178</v>
      </c>
      <c r="F447" t="s">
        <v>89</v>
      </c>
      <c r="G447" t="s">
        <v>89</v>
      </c>
      <c r="H447" t="s">
        <v>93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110</v>
      </c>
      <c r="B448" t="s">
        <v>245</v>
      </c>
      <c r="C448" t="s">
        <v>89</v>
      </c>
      <c r="D448" t="s">
        <v>89</v>
      </c>
      <c r="E448" t="s">
        <v>218</v>
      </c>
      <c r="F448" t="s">
        <v>89</v>
      </c>
      <c r="G448" t="s">
        <v>89</v>
      </c>
      <c r="H448" t="s">
        <v>93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110</v>
      </c>
      <c r="B449" t="s">
        <v>328</v>
      </c>
      <c r="C449" t="s">
        <v>89</v>
      </c>
      <c r="D449" t="s">
        <v>89</v>
      </c>
      <c r="E449" t="s">
        <v>246</v>
      </c>
      <c r="F449" t="s">
        <v>89</v>
      </c>
      <c r="G449" t="s">
        <v>89</v>
      </c>
      <c r="H449" t="s">
        <v>93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110</v>
      </c>
      <c r="B450" t="s">
        <v>722</v>
      </c>
      <c r="C450" t="s">
        <v>89</v>
      </c>
      <c r="D450" t="s">
        <v>89</v>
      </c>
      <c r="E450" t="s">
        <v>178</v>
      </c>
      <c r="F450" t="s">
        <v>89</v>
      </c>
      <c r="G450" t="s">
        <v>89</v>
      </c>
      <c r="H450" t="s">
        <v>93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110</v>
      </c>
      <c r="B451" t="s">
        <v>329</v>
      </c>
      <c r="C451" t="s">
        <v>89</v>
      </c>
      <c r="D451" t="s">
        <v>89</v>
      </c>
      <c r="E451" t="s">
        <v>246</v>
      </c>
      <c r="F451" t="s">
        <v>89</v>
      </c>
      <c r="G451" t="s">
        <v>89</v>
      </c>
      <c r="H451" t="s">
        <v>93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110</v>
      </c>
      <c r="B452" t="s">
        <v>217</v>
      </c>
      <c r="C452" t="s">
        <v>89</v>
      </c>
      <c r="D452" t="s">
        <v>89</v>
      </c>
      <c r="E452" t="s">
        <v>196</v>
      </c>
      <c r="F452" t="s">
        <v>89</v>
      </c>
      <c r="G452" t="s">
        <v>89</v>
      </c>
      <c r="H452" t="s">
        <v>93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110</v>
      </c>
      <c r="B453" t="s">
        <v>723</v>
      </c>
      <c r="C453" t="s">
        <v>89</v>
      </c>
      <c r="D453" t="s">
        <v>89</v>
      </c>
      <c r="E453" t="s">
        <v>192</v>
      </c>
      <c r="F453" t="s">
        <v>89</v>
      </c>
      <c r="G453" t="s">
        <v>89</v>
      </c>
      <c r="H453" t="s">
        <v>93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110</v>
      </c>
      <c r="B454" t="s">
        <v>724</v>
      </c>
      <c r="C454" t="s">
        <v>89</v>
      </c>
      <c r="D454" t="s">
        <v>89</v>
      </c>
      <c r="E454" t="s">
        <v>241</v>
      </c>
      <c r="F454" t="s">
        <v>89</v>
      </c>
      <c r="G454" t="s">
        <v>89</v>
      </c>
      <c r="H454" t="s">
        <v>93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110</v>
      </c>
      <c r="B455" t="s">
        <v>725</v>
      </c>
      <c r="C455" t="s">
        <v>89</v>
      </c>
      <c r="D455" t="s">
        <v>89</v>
      </c>
      <c r="E455" t="s">
        <v>178</v>
      </c>
      <c r="F455" t="s">
        <v>89</v>
      </c>
      <c r="G455" t="s">
        <v>89</v>
      </c>
      <c r="H455" t="s">
        <v>93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110</v>
      </c>
      <c r="B456" t="s">
        <v>195</v>
      </c>
      <c r="C456" t="s">
        <v>89</v>
      </c>
      <c r="D456" t="s">
        <v>89</v>
      </c>
      <c r="E456" t="s">
        <v>196</v>
      </c>
      <c r="F456" t="s">
        <v>89</v>
      </c>
      <c r="G456" t="s">
        <v>89</v>
      </c>
      <c r="H456" t="s">
        <v>93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110</v>
      </c>
      <c r="B457" t="s">
        <v>726</v>
      </c>
      <c r="C457" t="s">
        <v>89</v>
      </c>
      <c r="D457" t="s">
        <v>89</v>
      </c>
      <c r="E457" t="s">
        <v>727</v>
      </c>
      <c r="F457" t="s">
        <v>89</v>
      </c>
      <c r="G457" t="s">
        <v>89</v>
      </c>
      <c r="H457" t="s">
        <v>93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110</v>
      </c>
      <c r="B458" t="s">
        <v>194</v>
      </c>
      <c r="C458" t="s">
        <v>89</v>
      </c>
      <c r="D458" t="s">
        <v>89</v>
      </c>
      <c r="E458" t="s">
        <v>218</v>
      </c>
      <c r="F458" t="s">
        <v>89</v>
      </c>
      <c r="G458" t="s">
        <v>89</v>
      </c>
      <c r="H458" t="s">
        <v>93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110</v>
      </c>
      <c r="B459" t="s">
        <v>728</v>
      </c>
      <c r="C459" t="s">
        <v>89</v>
      </c>
      <c r="D459" t="s">
        <v>89</v>
      </c>
      <c r="E459" t="s">
        <v>178</v>
      </c>
      <c r="F459" t="s">
        <v>89</v>
      </c>
      <c r="G459" t="s">
        <v>89</v>
      </c>
      <c r="H459" t="s">
        <v>93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110</v>
      </c>
      <c r="B460" t="s">
        <v>243</v>
      </c>
      <c r="C460" t="s">
        <v>89</v>
      </c>
      <c r="D460" t="s">
        <v>89</v>
      </c>
      <c r="E460" t="s">
        <v>246</v>
      </c>
      <c r="F460" t="s">
        <v>89</v>
      </c>
      <c r="G460" t="s">
        <v>89</v>
      </c>
      <c r="H460" t="s">
        <v>93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110</v>
      </c>
      <c r="B461" t="s">
        <v>729</v>
      </c>
      <c r="C461" t="s">
        <v>89</v>
      </c>
      <c r="D461" t="s">
        <v>89</v>
      </c>
      <c r="E461" t="s">
        <v>727</v>
      </c>
      <c r="F461" t="s">
        <v>89</v>
      </c>
      <c r="G461" t="s">
        <v>89</v>
      </c>
      <c r="H461" t="s">
        <v>93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110</v>
      </c>
      <c r="B462" t="s">
        <v>219</v>
      </c>
      <c r="C462" t="s">
        <v>89</v>
      </c>
      <c r="D462" t="s">
        <v>89</v>
      </c>
      <c r="E462" t="s">
        <v>196</v>
      </c>
      <c r="F462" t="s">
        <v>89</v>
      </c>
      <c r="G462" t="s">
        <v>89</v>
      </c>
      <c r="H462" t="s">
        <v>93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110</v>
      </c>
      <c r="B463" t="s">
        <v>197</v>
      </c>
      <c r="C463" t="s">
        <v>89</v>
      </c>
      <c r="D463" t="s">
        <v>89</v>
      </c>
      <c r="E463" t="s">
        <v>220</v>
      </c>
      <c r="F463" t="s">
        <v>89</v>
      </c>
      <c r="G463" t="s">
        <v>89</v>
      </c>
      <c r="H463" t="s">
        <v>93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110</v>
      </c>
      <c r="B464" t="s">
        <v>730</v>
      </c>
      <c r="C464" t="s">
        <v>89</v>
      </c>
      <c r="D464" t="s">
        <v>89</v>
      </c>
      <c r="E464" t="s">
        <v>192</v>
      </c>
      <c r="F464" t="s">
        <v>89</v>
      </c>
      <c r="G464" t="s">
        <v>89</v>
      </c>
      <c r="H464" t="s">
        <v>93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110</v>
      </c>
      <c r="B465" t="s">
        <v>199</v>
      </c>
      <c r="C465" t="s">
        <v>89</v>
      </c>
      <c r="D465" t="s">
        <v>89</v>
      </c>
      <c r="E465" t="s">
        <v>200</v>
      </c>
      <c r="F465" t="s">
        <v>89</v>
      </c>
      <c r="G465" t="s">
        <v>89</v>
      </c>
      <c r="H465" t="s">
        <v>93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111</v>
      </c>
      <c r="B466" t="s">
        <v>731</v>
      </c>
      <c r="C466" t="s">
        <v>89</v>
      </c>
      <c r="D466" t="s">
        <v>89</v>
      </c>
      <c r="E466" t="s">
        <v>213</v>
      </c>
      <c r="F466" t="s">
        <v>89</v>
      </c>
      <c r="G466" t="s">
        <v>89</v>
      </c>
      <c r="H466" t="s">
        <v>93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111</v>
      </c>
      <c r="B467" t="s">
        <v>732</v>
      </c>
      <c r="C467" t="s">
        <v>89</v>
      </c>
      <c r="D467" t="s">
        <v>89</v>
      </c>
      <c r="E467" t="s">
        <v>213</v>
      </c>
      <c r="F467" t="s">
        <v>89</v>
      </c>
      <c r="G467" t="s">
        <v>89</v>
      </c>
      <c r="H467" t="s">
        <v>93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111</v>
      </c>
      <c r="B468" t="s">
        <v>733</v>
      </c>
      <c r="C468" t="s">
        <v>89</v>
      </c>
      <c r="D468" t="s">
        <v>89</v>
      </c>
      <c r="E468" t="s">
        <v>543</v>
      </c>
      <c r="F468" t="s">
        <v>89</v>
      </c>
      <c r="G468" t="s">
        <v>89</v>
      </c>
      <c r="H468" t="s">
        <v>93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111</v>
      </c>
      <c r="B469" t="s">
        <v>734</v>
      </c>
      <c r="C469" t="s">
        <v>89</v>
      </c>
      <c r="D469" t="s">
        <v>89</v>
      </c>
      <c r="E469" t="s">
        <v>190</v>
      </c>
      <c r="F469" t="s">
        <v>89</v>
      </c>
      <c r="G469" t="s">
        <v>89</v>
      </c>
      <c r="H469" t="s">
        <v>93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111</v>
      </c>
      <c r="B470" t="s">
        <v>735</v>
      </c>
      <c r="C470" t="s">
        <v>89</v>
      </c>
      <c r="D470" t="s">
        <v>89</v>
      </c>
      <c r="E470" t="s">
        <v>187</v>
      </c>
      <c r="F470" t="s">
        <v>89</v>
      </c>
      <c r="G470" t="s">
        <v>89</v>
      </c>
      <c r="H470" t="s">
        <v>93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111</v>
      </c>
      <c r="B471" t="s">
        <v>736</v>
      </c>
      <c r="C471" t="s">
        <v>89</v>
      </c>
      <c r="D471" t="s">
        <v>89</v>
      </c>
      <c r="E471" t="s">
        <v>349</v>
      </c>
      <c r="F471" t="s">
        <v>89</v>
      </c>
      <c r="G471" t="s">
        <v>89</v>
      </c>
      <c r="H471" t="s">
        <v>93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111</v>
      </c>
      <c r="B472" t="s">
        <v>737</v>
      </c>
      <c r="C472" t="s">
        <v>89</v>
      </c>
      <c r="D472" t="s">
        <v>89</v>
      </c>
      <c r="E472" t="s">
        <v>187</v>
      </c>
      <c r="F472" t="s">
        <v>89</v>
      </c>
      <c r="G472" t="s">
        <v>89</v>
      </c>
      <c r="H472" t="s">
        <v>93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111</v>
      </c>
      <c r="B473" t="s">
        <v>738</v>
      </c>
      <c r="C473" t="s">
        <v>89</v>
      </c>
      <c r="D473" t="s">
        <v>89</v>
      </c>
      <c r="E473" t="s">
        <v>347</v>
      </c>
      <c r="F473" t="s">
        <v>89</v>
      </c>
      <c r="G473" t="s">
        <v>89</v>
      </c>
      <c r="H473" t="s">
        <v>93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111</v>
      </c>
      <c r="B474" t="s">
        <v>739</v>
      </c>
      <c r="C474" t="s">
        <v>89</v>
      </c>
      <c r="D474" t="s">
        <v>89</v>
      </c>
      <c r="E474" t="s">
        <v>395</v>
      </c>
      <c r="F474" t="s">
        <v>89</v>
      </c>
      <c r="G474" t="s">
        <v>89</v>
      </c>
      <c r="H474" t="s">
        <v>93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111</v>
      </c>
      <c r="B475" t="s">
        <v>740</v>
      </c>
      <c r="C475" t="s">
        <v>89</v>
      </c>
      <c r="D475" t="s">
        <v>89</v>
      </c>
      <c r="E475" t="s">
        <v>349</v>
      </c>
      <c r="F475" t="s">
        <v>89</v>
      </c>
      <c r="G475" t="s">
        <v>89</v>
      </c>
      <c r="H475" t="s">
        <v>93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111</v>
      </c>
      <c r="B476" t="s">
        <v>741</v>
      </c>
      <c r="C476" t="s">
        <v>89</v>
      </c>
      <c r="D476" t="s">
        <v>89</v>
      </c>
      <c r="E476" t="s">
        <v>354</v>
      </c>
      <c r="F476" t="s">
        <v>89</v>
      </c>
      <c r="G476" t="s">
        <v>89</v>
      </c>
      <c r="H476" t="s">
        <v>93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111</v>
      </c>
      <c r="B477" t="s">
        <v>742</v>
      </c>
      <c r="C477" t="s">
        <v>89</v>
      </c>
      <c r="D477" t="s">
        <v>89</v>
      </c>
      <c r="E477" t="s">
        <v>354</v>
      </c>
      <c r="F477" t="s">
        <v>89</v>
      </c>
      <c r="G477" t="s">
        <v>89</v>
      </c>
      <c r="H477" t="s">
        <v>93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111</v>
      </c>
      <c r="B478" t="s">
        <v>735</v>
      </c>
      <c r="C478" t="s">
        <v>89</v>
      </c>
      <c r="D478" t="s">
        <v>89</v>
      </c>
      <c r="E478" t="s">
        <v>187</v>
      </c>
      <c r="F478" t="s">
        <v>89</v>
      </c>
      <c r="G478" t="s">
        <v>89</v>
      </c>
      <c r="H478" t="s">
        <v>93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111</v>
      </c>
      <c r="B479" t="s">
        <v>743</v>
      </c>
      <c r="C479" t="s">
        <v>89</v>
      </c>
      <c r="D479" t="s">
        <v>89</v>
      </c>
      <c r="E479" t="s">
        <v>349</v>
      </c>
      <c r="F479" t="s">
        <v>89</v>
      </c>
      <c r="G479" t="s">
        <v>89</v>
      </c>
      <c r="H479" t="s">
        <v>93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111</v>
      </c>
      <c r="B480" t="s">
        <v>744</v>
      </c>
      <c r="C480" t="s">
        <v>89</v>
      </c>
      <c r="D480" t="s">
        <v>89</v>
      </c>
      <c r="E480" t="s">
        <v>354</v>
      </c>
      <c r="F480" t="s">
        <v>89</v>
      </c>
      <c r="G480" t="s">
        <v>89</v>
      </c>
      <c r="H480" t="s">
        <v>93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111</v>
      </c>
      <c r="B481" t="s">
        <v>399</v>
      </c>
      <c r="C481" t="s">
        <v>89</v>
      </c>
      <c r="D481" t="s">
        <v>89</v>
      </c>
      <c r="E481" t="s">
        <v>213</v>
      </c>
      <c r="F481" t="s">
        <v>89</v>
      </c>
      <c r="G481" t="s">
        <v>89</v>
      </c>
      <c r="H481" t="s">
        <v>93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111</v>
      </c>
      <c r="B482" t="s">
        <v>745</v>
      </c>
      <c r="C482" t="s">
        <v>89</v>
      </c>
      <c r="D482" t="s">
        <v>89</v>
      </c>
      <c r="E482" t="s">
        <v>354</v>
      </c>
      <c r="F482" t="s">
        <v>89</v>
      </c>
      <c r="G482" t="s">
        <v>89</v>
      </c>
      <c r="H482" t="s">
        <v>93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111</v>
      </c>
      <c r="B483" t="s">
        <v>746</v>
      </c>
      <c r="C483" t="s">
        <v>89</v>
      </c>
      <c r="D483" t="s">
        <v>89</v>
      </c>
      <c r="E483" t="s">
        <v>425</v>
      </c>
      <c r="F483" t="s">
        <v>89</v>
      </c>
      <c r="G483" t="s">
        <v>89</v>
      </c>
      <c r="H483" t="s">
        <v>93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111</v>
      </c>
      <c r="B484" t="s">
        <v>747</v>
      </c>
      <c r="C484" t="s">
        <v>89</v>
      </c>
      <c r="D484" t="s">
        <v>89</v>
      </c>
      <c r="E484" t="s">
        <v>215</v>
      </c>
      <c r="F484" t="s">
        <v>89</v>
      </c>
      <c r="G484" t="s">
        <v>89</v>
      </c>
      <c r="H484" t="s">
        <v>93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111</v>
      </c>
      <c r="B485" t="s">
        <v>748</v>
      </c>
      <c r="C485" t="s">
        <v>89</v>
      </c>
      <c r="D485" t="s">
        <v>89</v>
      </c>
      <c r="E485" t="s">
        <v>425</v>
      </c>
      <c r="F485" t="s">
        <v>89</v>
      </c>
      <c r="G485" t="s">
        <v>89</v>
      </c>
      <c r="H485" t="s">
        <v>93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111</v>
      </c>
      <c r="B486" t="s">
        <v>749</v>
      </c>
      <c r="C486" t="s">
        <v>89</v>
      </c>
      <c r="D486" t="s">
        <v>89</v>
      </c>
      <c r="E486" t="s">
        <v>215</v>
      </c>
      <c r="F486" t="s">
        <v>89</v>
      </c>
      <c r="G486" t="s">
        <v>89</v>
      </c>
      <c r="H486" t="s">
        <v>93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111</v>
      </c>
      <c r="B487" t="s">
        <v>750</v>
      </c>
      <c r="C487" t="s">
        <v>89</v>
      </c>
      <c r="D487" t="s">
        <v>89</v>
      </c>
      <c r="E487" t="s">
        <v>428</v>
      </c>
      <c r="F487" t="s">
        <v>89</v>
      </c>
      <c r="G487" t="s">
        <v>89</v>
      </c>
      <c r="H487" t="s">
        <v>93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111</v>
      </c>
      <c r="B488" t="s">
        <v>751</v>
      </c>
      <c r="C488" t="s">
        <v>89</v>
      </c>
      <c r="D488" t="s">
        <v>89</v>
      </c>
      <c r="E488" t="s">
        <v>425</v>
      </c>
      <c r="F488" t="s">
        <v>89</v>
      </c>
      <c r="G488" t="s">
        <v>89</v>
      </c>
      <c r="H488" t="s">
        <v>93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111</v>
      </c>
      <c r="B489" t="s">
        <v>752</v>
      </c>
      <c r="C489" t="s">
        <v>89</v>
      </c>
      <c r="D489" t="s">
        <v>89</v>
      </c>
      <c r="E489" t="s">
        <v>753</v>
      </c>
      <c r="F489" t="s">
        <v>89</v>
      </c>
      <c r="G489" t="s">
        <v>89</v>
      </c>
      <c r="H489" t="s">
        <v>93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111</v>
      </c>
      <c r="B490" t="s">
        <v>733</v>
      </c>
      <c r="C490" t="s">
        <v>89</v>
      </c>
      <c r="D490" t="s">
        <v>89</v>
      </c>
      <c r="E490" t="s">
        <v>543</v>
      </c>
      <c r="F490" t="s">
        <v>89</v>
      </c>
      <c r="G490" t="s">
        <v>89</v>
      </c>
      <c r="H490" t="s">
        <v>93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111</v>
      </c>
      <c r="B491" t="s">
        <v>754</v>
      </c>
      <c r="C491" t="s">
        <v>89</v>
      </c>
      <c r="D491" t="s">
        <v>89</v>
      </c>
      <c r="E491" t="s">
        <v>543</v>
      </c>
      <c r="F491" t="s">
        <v>89</v>
      </c>
      <c r="G491" t="s">
        <v>89</v>
      </c>
      <c r="H491" t="s">
        <v>93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111</v>
      </c>
      <c r="B492" t="s">
        <v>755</v>
      </c>
      <c r="C492" t="s">
        <v>89</v>
      </c>
      <c r="D492" t="s">
        <v>89</v>
      </c>
      <c r="E492" t="s">
        <v>425</v>
      </c>
      <c r="F492" t="s">
        <v>89</v>
      </c>
      <c r="G492" t="s">
        <v>89</v>
      </c>
      <c r="H492" t="s">
        <v>93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111</v>
      </c>
      <c r="B493" t="s">
        <v>756</v>
      </c>
      <c r="C493" t="s">
        <v>89</v>
      </c>
      <c r="D493" t="s">
        <v>89</v>
      </c>
      <c r="E493" t="s">
        <v>215</v>
      </c>
      <c r="F493" t="s">
        <v>89</v>
      </c>
      <c r="G493" t="s">
        <v>89</v>
      </c>
      <c r="H493" t="s">
        <v>93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111</v>
      </c>
      <c r="B494" t="s">
        <v>757</v>
      </c>
      <c r="C494" t="s">
        <v>89</v>
      </c>
      <c r="D494" t="s">
        <v>89</v>
      </c>
      <c r="E494" t="s">
        <v>215</v>
      </c>
      <c r="F494" t="s">
        <v>89</v>
      </c>
      <c r="G494" t="s">
        <v>89</v>
      </c>
      <c r="H494" t="s">
        <v>93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111</v>
      </c>
      <c r="B495" t="s">
        <v>758</v>
      </c>
      <c r="C495" t="s">
        <v>89</v>
      </c>
      <c r="D495" t="s">
        <v>89</v>
      </c>
      <c r="E495" t="s">
        <v>215</v>
      </c>
      <c r="F495" t="s">
        <v>89</v>
      </c>
      <c r="G495" t="s">
        <v>89</v>
      </c>
      <c r="H495" t="s">
        <v>93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111</v>
      </c>
      <c r="B496" t="s">
        <v>759</v>
      </c>
      <c r="C496" t="s">
        <v>89</v>
      </c>
      <c r="D496" t="s">
        <v>89</v>
      </c>
      <c r="E496" t="s">
        <v>428</v>
      </c>
      <c r="F496" t="s">
        <v>89</v>
      </c>
      <c r="G496" t="s">
        <v>89</v>
      </c>
      <c r="H496" t="s">
        <v>93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111</v>
      </c>
      <c r="B497" t="s">
        <v>760</v>
      </c>
      <c r="C497" t="s">
        <v>89</v>
      </c>
      <c r="D497" t="s">
        <v>89</v>
      </c>
      <c r="E497" t="s">
        <v>761</v>
      </c>
      <c r="F497" t="s">
        <v>89</v>
      </c>
      <c r="G497" t="s">
        <v>89</v>
      </c>
      <c r="H497" t="s">
        <v>93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111</v>
      </c>
      <c r="B498" t="s">
        <v>762</v>
      </c>
      <c r="C498" t="s">
        <v>89</v>
      </c>
      <c r="D498" t="s">
        <v>89</v>
      </c>
      <c r="E498" t="s">
        <v>763</v>
      </c>
      <c r="F498" t="s">
        <v>89</v>
      </c>
      <c r="G498" t="s">
        <v>89</v>
      </c>
      <c r="H498" t="s">
        <v>93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111</v>
      </c>
      <c r="B499" t="s">
        <v>764</v>
      </c>
      <c r="C499" t="s">
        <v>89</v>
      </c>
      <c r="D499" t="s">
        <v>89</v>
      </c>
      <c r="E499" t="s">
        <v>765</v>
      </c>
      <c r="F499" t="s">
        <v>89</v>
      </c>
      <c r="G499" t="s">
        <v>89</v>
      </c>
      <c r="H499" t="s">
        <v>93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111</v>
      </c>
      <c r="B500" t="s">
        <v>766</v>
      </c>
      <c r="C500" t="s">
        <v>89</v>
      </c>
      <c r="D500" t="s">
        <v>89</v>
      </c>
      <c r="E500" t="s">
        <v>767</v>
      </c>
      <c r="F500" t="s">
        <v>89</v>
      </c>
      <c r="G500" t="s">
        <v>89</v>
      </c>
      <c r="H500" t="s">
        <v>93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111</v>
      </c>
      <c r="B501" t="s">
        <v>768</v>
      </c>
      <c r="C501" t="s">
        <v>89</v>
      </c>
      <c r="D501" t="s">
        <v>89</v>
      </c>
      <c r="E501" t="s">
        <v>761</v>
      </c>
      <c r="F501" t="s">
        <v>89</v>
      </c>
      <c r="G501" t="s">
        <v>89</v>
      </c>
      <c r="H501" t="s">
        <v>93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111</v>
      </c>
      <c r="B502" t="s">
        <v>769</v>
      </c>
      <c r="C502" t="s">
        <v>89</v>
      </c>
      <c r="D502" t="s">
        <v>89</v>
      </c>
      <c r="E502" t="s">
        <v>770</v>
      </c>
      <c r="F502" t="s">
        <v>89</v>
      </c>
      <c r="G502" t="s">
        <v>89</v>
      </c>
      <c r="H502" t="s">
        <v>93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111</v>
      </c>
      <c r="B503" t="s">
        <v>771</v>
      </c>
      <c r="C503" t="s">
        <v>89</v>
      </c>
      <c r="D503" t="s">
        <v>89</v>
      </c>
      <c r="E503" t="s">
        <v>761</v>
      </c>
      <c r="F503" t="s">
        <v>89</v>
      </c>
      <c r="G503" t="s">
        <v>89</v>
      </c>
      <c r="H503" t="s">
        <v>93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111</v>
      </c>
      <c r="B504" t="s">
        <v>772</v>
      </c>
      <c r="C504" t="s">
        <v>89</v>
      </c>
      <c r="D504" t="s">
        <v>89</v>
      </c>
      <c r="E504" t="s">
        <v>773</v>
      </c>
      <c r="F504" t="s">
        <v>89</v>
      </c>
      <c r="G504" t="s">
        <v>89</v>
      </c>
      <c r="H504" t="s">
        <v>93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111</v>
      </c>
      <c r="B505" t="s">
        <v>774</v>
      </c>
      <c r="C505" t="s">
        <v>89</v>
      </c>
      <c r="D505" t="s">
        <v>89</v>
      </c>
      <c r="E505" t="s">
        <v>775</v>
      </c>
      <c r="F505" t="s">
        <v>89</v>
      </c>
      <c r="G505" t="s">
        <v>89</v>
      </c>
      <c r="H505" t="s">
        <v>93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111</v>
      </c>
      <c r="B506" t="s">
        <v>776</v>
      </c>
      <c r="C506" t="s">
        <v>89</v>
      </c>
      <c r="D506" t="s">
        <v>89</v>
      </c>
      <c r="E506" t="s">
        <v>777</v>
      </c>
      <c r="F506" t="s">
        <v>89</v>
      </c>
      <c r="G506" t="s">
        <v>89</v>
      </c>
      <c r="H506" t="s">
        <v>93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111</v>
      </c>
      <c r="B507" t="s">
        <v>778</v>
      </c>
      <c r="C507" t="s">
        <v>89</v>
      </c>
      <c r="D507" t="s">
        <v>89</v>
      </c>
      <c r="E507" t="s">
        <v>767</v>
      </c>
      <c r="F507" t="s">
        <v>89</v>
      </c>
      <c r="G507" t="s">
        <v>89</v>
      </c>
      <c r="H507" t="s">
        <v>93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111</v>
      </c>
      <c r="B508" t="s">
        <v>779</v>
      </c>
      <c r="C508" t="s">
        <v>89</v>
      </c>
      <c r="D508" t="s">
        <v>89</v>
      </c>
      <c r="E508" t="s">
        <v>409</v>
      </c>
      <c r="F508" t="s">
        <v>89</v>
      </c>
      <c r="G508" t="s">
        <v>89</v>
      </c>
      <c r="H508" t="s">
        <v>93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111</v>
      </c>
      <c r="B509" t="s">
        <v>780</v>
      </c>
      <c r="C509" t="s">
        <v>89</v>
      </c>
      <c r="D509" t="s">
        <v>89</v>
      </c>
      <c r="E509" t="s">
        <v>767</v>
      </c>
      <c r="F509" t="s">
        <v>89</v>
      </c>
      <c r="G509" t="s">
        <v>89</v>
      </c>
      <c r="H509" t="s">
        <v>93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111</v>
      </c>
      <c r="B510" t="s">
        <v>781</v>
      </c>
      <c r="C510" t="s">
        <v>89</v>
      </c>
      <c r="D510" t="s">
        <v>89</v>
      </c>
      <c r="E510" t="s">
        <v>761</v>
      </c>
      <c r="F510" t="s">
        <v>89</v>
      </c>
      <c r="G510" t="s">
        <v>89</v>
      </c>
      <c r="H510" t="s">
        <v>93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111</v>
      </c>
      <c r="B511" t="s">
        <v>782</v>
      </c>
      <c r="C511" t="s">
        <v>89</v>
      </c>
      <c r="D511" t="s">
        <v>89</v>
      </c>
      <c r="E511" t="s">
        <v>783</v>
      </c>
      <c r="F511" t="s">
        <v>89</v>
      </c>
      <c r="G511" t="s">
        <v>89</v>
      </c>
      <c r="H511" t="s">
        <v>93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111</v>
      </c>
      <c r="B512" t="s">
        <v>784</v>
      </c>
      <c r="C512" t="s">
        <v>89</v>
      </c>
      <c r="D512" t="s">
        <v>89</v>
      </c>
      <c r="E512" t="s">
        <v>785</v>
      </c>
      <c r="F512" t="s">
        <v>89</v>
      </c>
      <c r="G512" t="s">
        <v>89</v>
      </c>
      <c r="H512" t="s">
        <v>93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111</v>
      </c>
      <c r="B513" t="s">
        <v>786</v>
      </c>
      <c r="C513" t="s">
        <v>89</v>
      </c>
      <c r="D513" t="s">
        <v>89</v>
      </c>
      <c r="E513" t="s">
        <v>787</v>
      </c>
      <c r="F513" t="s">
        <v>89</v>
      </c>
      <c r="G513" t="s">
        <v>89</v>
      </c>
      <c r="H513" t="s">
        <v>93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111</v>
      </c>
      <c r="B514" t="s">
        <v>788</v>
      </c>
      <c r="C514" t="s">
        <v>89</v>
      </c>
      <c r="D514" t="s">
        <v>89</v>
      </c>
      <c r="E514" t="s">
        <v>789</v>
      </c>
      <c r="F514" t="s">
        <v>89</v>
      </c>
      <c r="G514" t="s">
        <v>89</v>
      </c>
      <c r="H514" t="s">
        <v>93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111</v>
      </c>
      <c r="B515" t="s">
        <v>790</v>
      </c>
      <c r="C515" t="s">
        <v>89</v>
      </c>
      <c r="D515" t="s">
        <v>89</v>
      </c>
      <c r="E515" t="s">
        <v>791</v>
      </c>
      <c r="F515" t="s">
        <v>89</v>
      </c>
      <c r="G515" t="s">
        <v>89</v>
      </c>
      <c r="H515" t="s">
        <v>93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111</v>
      </c>
      <c r="B516" t="s">
        <v>792</v>
      </c>
      <c r="C516" t="s">
        <v>89</v>
      </c>
      <c r="D516" t="s">
        <v>89</v>
      </c>
      <c r="E516" t="s">
        <v>793</v>
      </c>
      <c r="F516" t="s">
        <v>89</v>
      </c>
      <c r="G516" t="s">
        <v>89</v>
      </c>
      <c r="H516" t="s">
        <v>93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111</v>
      </c>
      <c r="B517" t="s">
        <v>794</v>
      </c>
      <c r="C517" t="s">
        <v>89</v>
      </c>
      <c r="D517" t="s">
        <v>89</v>
      </c>
      <c r="E517" t="s">
        <v>787</v>
      </c>
      <c r="F517" t="s">
        <v>89</v>
      </c>
      <c r="G517" t="s">
        <v>89</v>
      </c>
      <c r="H517" t="s">
        <v>93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111</v>
      </c>
      <c r="B518" t="s">
        <v>795</v>
      </c>
      <c r="C518" t="s">
        <v>89</v>
      </c>
      <c r="D518" t="s">
        <v>89</v>
      </c>
      <c r="E518" t="s">
        <v>775</v>
      </c>
      <c r="F518" t="s">
        <v>89</v>
      </c>
      <c r="G518" t="s">
        <v>89</v>
      </c>
      <c r="H518" t="s">
        <v>93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111</v>
      </c>
      <c r="B519" t="s">
        <v>796</v>
      </c>
      <c r="C519" t="s">
        <v>89</v>
      </c>
      <c r="D519" t="s">
        <v>89</v>
      </c>
      <c r="E519" t="s">
        <v>793</v>
      </c>
      <c r="F519" t="s">
        <v>89</v>
      </c>
      <c r="G519" t="s">
        <v>89</v>
      </c>
      <c r="H519" t="s">
        <v>93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111</v>
      </c>
      <c r="B520" t="s">
        <v>797</v>
      </c>
      <c r="C520" t="s">
        <v>89</v>
      </c>
      <c r="D520" t="s">
        <v>89</v>
      </c>
      <c r="E520" t="s">
        <v>798</v>
      </c>
      <c r="F520" t="s">
        <v>89</v>
      </c>
      <c r="G520" t="s">
        <v>89</v>
      </c>
      <c r="H520" t="s">
        <v>93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111</v>
      </c>
      <c r="B521" t="s">
        <v>799</v>
      </c>
      <c r="C521" t="s">
        <v>89</v>
      </c>
      <c r="D521" t="s">
        <v>89</v>
      </c>
      <c r="E521" t="s">
        <v>800</v>
      </c>
      <c r="F521" t="s">
        <v>89</v>
      </c>
      <c r="G521" t="s">
        <v>89</v>
      </c>
      <c r="H521" t="s">
        <v>93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111</v>
      </c>
      <c r="B522" t="s">
        <v>801</v>
      </c>
      <c r="C522" t="s">
        <v>89</v>
      </c>
      <c r="D522" t="s">
        <v>89</v>
      </c>
      <c r="E522" t="s">
        <v>787</v>
      </c>
      <c r="F522" t="s">
        <v>89</v>
      </c>
      <c r="G522" t="s">
        <v>89</v>
      </c>
      <c r="H522" t="s">
        <v>93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111</v>
      </c>
      <c r="B523" t="s">
        <v>802</v>
      </c>
      <c r="C523" t="s">
        <v>89</v>
      </c>
      <c r="D523" t="s">
        <v>89</v>
      </c>
      <c r="E523" t="s">
        <v>793</v>
      </c>
      <c r="F523" t="s">
        <v>89</v>
      </c>
      <c r="G523" t="s">
        <v>89</v>
      </c>
      <c r="H523" t="s">
        <v>93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111</v>
      </c>
      <c r="B524" t="s">
        <v>803</v>
      </c>
      <c r="C524" t="s">
        <v>89</v>
      </c>
      <c r="D524" t="s">
        <v>89</v>
      </c>
      <c r="E524" t="s">
        <v>793</v>
      </c>
      <c r="F524" t="s">
        <v>89</v>
      </c>
      <c r="G524" t="s">
        <v>89</v>
      </c>
      <c r="H524" t="s">
        <v>93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111</v>
      </c>
      <c r="B525" t="s">
        <v>804</v>
      </c>
      <c r="C525" t="s">
        <v>89</v>
      </c>
      <c r="D525" t="s">
        <v>89</v>
      </c>
      <c r="E525" t="s">
        <v>805</v>
      </c>
      <c r="F525" t="s">
        <v>89</v>
      </c>
      <c r="G525" t="s">
        <v>89</v>
      </c>
      <c r="H525" t="s">
        <v>93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111</v>
      </c>
      <c r="B526" t="s">
        <v>806</v>
      </c>
      <c r="C526" t="s">
        <v>89</v>
      </c>
      <c r="D526" t="s">
        <v>89</v>
      </c>
      <c r="E526" t="s">
        <v>807</v>
      </c>
      <c r="F526" t="s">
        <v>89</v>
      </c>
      <c r="G526" t="s">
        <v>89</v>
      </c>
      <c r="H526" t="s">
        <v>93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111</v>
      </c>
      <c r="B527" t="s">
        <v>808</v>
      </c>
      <c r="C527" t="s">
        <v>89</v>
      </c>
      <c r="D527" t="s">
        <v>89</v>
      </c>
      <c r="E527" t="s">
        <v>809</v>
      </c>
      <c r="F527" t="s">
        <v>89</v>
      </c>
      <c r="G527" t="s">
        <v>89</v>
      </c>
      <c r="H527" t="s">
        <v>93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111</v>
      </c>
      <c r="B528" t="s">
        <v>810</v>
      </c>
      <c r="C528" t="s">
        <v>89</v>
      </c>
      <c r="D528" t="s">
        <v>89</v>
      </c>
      <c r="E528" t="s">
        <v>805</v>
      </c>
      <c r="F528" t="s">
        <v>89</v>
      </c>
      <c r="G528" t="s">
        <v>89</v>
      </c>
      <c r="H528" t="s">
        <v>93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111</v>
      </c>
      <c r="B529" t="s">
        <v>811</v>
      </c>
      <c r="C529" t="s">
        <v>89</v>
      </c>
      <c r="D529" t="s">
        <v>89</v>
      </c>
      <c r="E529" t="s">
        <v>812</v>
      </c>
      <c r="F529" t="s">
        <v>89</v>
      </c>
      <c r="G529" t="s">
        <v>89</v>
      </c>
      <c r="H529" t="s">
        <v>93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111</v>
      </c>
      <c r="B530" t="s">
        <v>813</v>
      </c>
      <c r="C530" t="s">
        <v>89</v>
      </c>
      <c r="D530" t="s">
        <v>89</v>
      </c>
      <c r="E530" t="s">
        <v>809</v>
      </c>
      <c r="F530" t="s">
        <v>89</v>
      </c>
      <c r="G530" t="s">
        <v>89</v>
      </c>
      <c r="H530" t="s">
        <v>93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111</v>
      </c>
      <c r="B531" t="s">
        <v>814</v>
      </c>
      <c r="C531" t="s">
        <v>89</v>
      </c>
      <c r="D531" t="s">
        <v>89</v>
      </c>
      <c r="E531" t="s">
        <v>805</v>
      </c>
      <c r="F531" t="s">
        <v>89</v>
      </c>
      <c r="G531" t="s">
        <v>89</v>
      </c>
      <c r="H531" t="s">
        <v>93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111</v>
      </c>
      <c r="B532" t="s">
        <v>815</v>
      </c>
      <c r="C532" t="s">
        <v>89</v>
      </c>
      <c r="D532" t="s">
        <v>89</v>
      </c>
      <c r="E532" t="s">
        <v>816</v>
      </c>
      <c r="F532" t="s">
        <v>89</v>
      </c>
      <c r="G532" t="s">
        <v>89</v>
      </c>
      <c r="H532" t="s">
        <v>93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111</v>
      </c>
      <c r="B533" t="s">
        <v>817</v>
      </c>
      <c r="C533" t="s">
        <v>89</v>
      </c>
      <c r="D533" t="s">
        <v>89</v>
      </c>
      <c r="E533" t="s">
        <v>818</v>
      </c>
      <c r="F533" t="s">
        <v>89</v>
      </c>
      <c r="G533" t="s">
        <v>89</v>
      </c>
      <c r="H533" t="s">
        <v>93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111</v>
      </c>
      <c r="B534" t="s">
        <v>819</v>
      </c>
      <c r="C534" t="s">
        <v>89</v>
      </c>
      <c r="D534" t="s">
        <v>89</v>
      </c>
      <c r="E534" t="s">
        <v>805</v>
      </c>
      <c r="F534" t="s">
        <v>89</v>
      </c>
      <c r="G534" t="s">
        <v>89</v>
      </c>
      <c r="H534" t="s">
        <v>93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111</v>
      </c>
      <c r="B535" t="s">
        <v>820</v>
      </c>
      <c r="C535" t="s">
        <v>89</v>
      </c>
      <c r="D535" t="s">
        <v>89</v>
      </c>
      <c r="E535" t="s">
        <v>821</v>
      </c>
      <c r="F535" t="s">
        <v>89</v>
      </c>
      <c r="G535" t="s">
        <v>89</v>
      </c>
      <c r="H535" t="s">
        <v>93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111</v>
      </c>
      <c r="B536" t="s">
        <v>822</v>
      </c>
      <c r="C536" t="s">
        <v>89</v>
      </c>
      <c r="D536" t="s">
        <v>89</v>
      </c>
      <c r="E536" t="s">
        <v>809</v>
      </c>
      <c r="F536" t="s">
        <v>89</v>
      </c>
      <c r="G536" t="s">
        <v>89</v>
      </c>
      <c r="H536" t="s">
        <v>93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111</v>
      </c>
      <c r="B537" t="s">
        <v>823</v>
      </c>
      <c r="C537" t="s">
        <v>89</v>
      </c>
      <c r="D537" t="s">
        <v>89</v>
      </c>
      <c r="E537" t="s">
        <v>824</v>
      </c>
      <c r="F537" t="s">
        <v>89</v>
      </c>
      <c r="G537" t="s">
        <v>89</v>
      </c>
      <c r="H537" t="s">
        <v>93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111</v>
      </c>
      <c r="B538" t="s">
        <v>191</v>
      </c>
      <c r="C538" t="s">
        <v>89</v>
      </c>
      <c r="D538" t="s">
        <v>89</v>
      </c>
      <c r="E538" t="s">
        <v>241</v>
      </c>
      <c r="F538" t="s">
        <v>89</v>
      </c>
      <c r="G538" t="s">
        <v>89</v>
      </c>
      <c r="H538" t="s">
        <v>93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111</v>
      </c>
      <c r="B539" t="s">
        <v>243</v>
      </c>
      <c r="C539" t="s">
        <v>89</v>
      </c>
      <c r="D539" t="s">
        <v>89</v>
      </c>
      <c r="E539" t="s">
        <v>241</v>
      </c>
      <c r="F539" t="s">
        <v>89</v>
      </c>
      <c r="G539" t="s">
        <v>89</v>
      </c>
      <c r="H539" t="s">
        <v>93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111</v>
      </c>
      <c r="B540" t="s">
        <v>244</v>
      </c>
      <c r="C540" t="s">
        <v>89</v>
      </c>
      <c r="D540" t="s">
        <v>89</v>
      </c>
      <c r="E540" t="s">
        <v>241</v>
      </c>
      <c r="F540" t="s">
        <v>89</v>
      </c>
      <c r="G540" t="s">
        <v>89</v>
      </c>
      <c r="H540" t="s">
        <v>93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111</v>
      </c>
      <c r="B541" t="s">
        <v>328</v>
      </c>
      <c r="C541" t="s">
        <v>89</v>
      </c>
      <c r="D541" t="s">
        <v>89</v>
      </c>
      <c r="E541" t="s">
        <v>241</v>
      </c>
      <c r="F541" t="s">
        <v>89</v>
      </c>
      <c r="G541" t="s">
        <v>89</v>
      </c>
      <c r="H541" t="s">
        <v>93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111</v>
      </c>
      <c r="B542" t="s">
        <v>330</v>
      </c>
      <c r="C542" t="s">
        <v>89</v>
      </c>
      <c r="D542" t="s">
        <v>89</v>
      </c>
      <c r="E542" t="s">
        <v>241</v>
      </c>
      <c r="F542" t="s">
        <v>89</v>
      </c>
      <c r="G542" t="s">
        <v>89</v>
      </c>
      <c r="H542" t="s">
        <v>93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111</v>
      </c>
      <c r="B543" t="s">
        <v>217</v>
      </c>
      <c r="C543" t="s">
        <v>89</v>
      </c>
      <c r="D543" t="s">
        <v>89</v>
      </c>
      <c r="E543" t="s">
        <v>216</v>
      </c>
      <c r="F543" t="s">
        <v>89</v>
      </c>
      <c r="G543" t="s">
        <v>89</v>
      </c>
      <c r="H543" t="s">
        <v>93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111</v>
      </c>
      <c r="B544" t="s">
        <v>219</v>
      </c>
      <c r="C544" t="s">
        <v>89</v>
      </c>
      <c r="D544" t="s">
        <v>89</v>
      </c>
      <c r="E544" t="s">
        <v>246</v>
      </c>
      <c r="F544" t="s">
        <v>89</v>
      </c>
      <c r="G544" t="s">
        <v>89</v>
      </c>
      <c r="H544" t="s">
        <v>93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111</v>
      </c>
      <c r="B545" t="s">
        <v>197</v>
      </c>
      <c r="C545" t="s">
        <v>89</v>
      </c>
      <c r="D545" t="s">
        <v>89</v>
      </c>
      <c r="E545" t="s">
        <v>196</v>
      </c>
      <c r="F545" t="s">
        <v>89</v>
      </c>
      <c r="G545" t="s">
        <v>89</v>
      </c>
      <c r="H545" t="s">
        <v>93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111</v>
      </c>
      <c r="B546" t="s">
        <v>825</v>
      </c>
      <c r="C546" t="s">
        <v>89</v>
      </c>
      <c r="D546" t="s">
        <v>89</v>
      </c>
      <c r="E546" t="s">
        <v>213</v>
      </c>
      <c r="F546" t="s">
        <v>89</v>
      </c>
      <c r="G546" t="s">
        <v>89</v>
      </c>
      <c r="H546" t="s">
        <v>93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111</v>
      </c>
      <c r="B547" t="s">
        <v>826</v>
      </c>
      <c r="C547" t="s">
        <v>89</v>
      </c>
      <c r="D547" t="s">
        <v>89</v>
      </c>
      <c r="E547" t="s">
        <v>543</v>
      </c>
      <c r="F547" t="s">
        <v>89</v>
      </c>
      <c r="G547" t="s">
        <v>89</v>
      </c>
      <c r="H547" t="s">
        <v>93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111</v>
      </c>
      <c r="B548" t="s">
        <v>827</v>
      </c>
      <c r="C548" t="s">
        <v>89</v>
      </c>
      <c r="D548" t="s">
        <v>89</v>
      </c>
      <c r="E548" t="s">
        <v>213</v>
      </c>
      <c r="F548" t="s">
        <v>89</v>
      </c>
      <c r="G548" t="s">
        <v>89</v>
      </c>
      <c r="H548" t="s">
        <v>93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111</v>
      </c>
      <c r="B549" t="s">
        <v>828</v>
      </c>
      <c r="C549" t="s">
        <v>89</v>
      </c>
      <c r="D549" t="s">
        <v>89</v>
      </c>
      <c r="E549" t="s">
        <v>190</v>
      </c>
      <c r="F549" t="s">
        <v>89</v>
      </c>
      <c r="G549" t="s">
        <v>89</v>
      </c>
      <c r="H549" t="s">
        <v>93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111</v>
      </c>
      <c r="B550" t="s">
        <v>731</v>
      </c>
      <c r="C550" t="s">
        <v>89</v>
      </c>
      <c r="D550" t="s">
        <v>89</v>
      </c>
      <c r="E550" t="s">
        <v>213</v>
      </c>
      <c r="F550" t="s">
        <v>89</v>
      </c>
      <c r="G550" t="s">
        <v>89</v>
      </c>
      <c r="H550" t="s">
        <v>93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111</v>
      </c>
      <c r="B551" t="s">
        <v>829</v>
      </c>
      <c r="C551" t="s">
        <v>89</v>
      </c>
      <c r="D551" t="s">
        <v>89</v>
      </c>
      <c r="E551" t="s">
        <v>354</v>
      </c>
      <c r="F551" t="s">
        <v>89</v>
      </c>
      <c r="G551" t="s">
        <v>89</v>
      </c>
      <c r="H551" t="s">
        <v>93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111</v>
      </c>
      <c r="B552" t="s">
        <v>734</v>
      </c>
      <c r="C552" t="s">
        <v>89</v>
      </c>
      <c r="D552" t="s">
        <v>89</v>
      </c>
      <c r="E552" t="s">
        <v>190</v>
      </c>
      <c r="F552" t="s">
        <v>89</v>
      </c>
      <c r="G552" t="s">
        <v>89</v>
      </c>
      <c r="H552" t="s">
        <v>93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111</v>
      </c>
      <c r="B553" t="s">
        <v>830</v>
      </c>
      <c r="C553" t="s">
        <v>89</v>
      </c>
      <c r="D553" t="s">
        <v>89</v>
      </c>
      <c r="E553" t="s">
        <v>187</v>
      </c>
      <c r="F553" t="s">
        <v>89</v>
      </c>
      <c r="G553" t="s">
        <v>89</v>
      </c>
      <c r="H553" t="s">
        <v>93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111</v>
      </c>
      <c r="B554" t="s">
        <v>831</v>
      </c>
      <c r="C554" t="s">
        <v>89</v>
      </c>
      <c r="D554" t="s">
        <v>89</v>
      </c>
      <c r="E554" t="s">
        <v>190</v>
      </c>
      <c r="F554" t="s">
        <v>89</v>
      </c>
      <c r="G554" t="s">
        <v>89</v>
      </c>
      <c r="H554" t="s">
        <v>93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111</v>
      </c>
      <c r="B555" t="s">
        <v>832</v>
      </c>
      <c r="C555" t="s">
        <v>89</v>
      </c>
      <c r="D555" t="s">
        <v>89</v>
      </c>
      <c r="E555" t="s">
        <v>428</v>
      </c>
      <c r="F555" t="s">
        <v>89</v>
      </c>
      <c r="G555" t="s">
        <v>89</v>
      </c>
      <c r="H555" t="s">
        <v>93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111</v>
      </c>
      <c r="B556" t="s">
        <v>732</v>
      </c>
      <c r="C556" t="s">
        <v>89</v>
      </c>
      <c r="D556" t="s">
        <v>89</v>
      </c>
      <c r="E556" t="s">
        <v>213</v>
      </c>
      <c r="F556" t="s">
        <v>89</v>
      </c>
      <c r="G556" t="s">
        <v>89</v>
      </c>
      <c r="H556" t="s">
        <v>93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111</v>
      </c>
      <c r="B557" t="s">
        <v>833</v>
      </c>
      <c r="C557" t="s">
        <v>89</v>
      </c>
      <c r="D557" t="s">
        <v>89</v>
      </c>
      <c r="E557" t="s">
        <v>190</v>
      </c>
      <c r="F557" t="s">
        <v>89</v>
      </c>
      <c r="G557" t="s">
        <v>89</v>
      </c>
      <c r="H557" t="s">
        <v>93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111</v>
      </c>
      <c r="B558" t="s">
        <v>834</v>
      </c>
      <c r="C558" t="s">
        <v>89</v>
      </c>
      <c r="D558" t="s">
        <v>89</v>
      </c>
      <c r="E558" t="s">
        <v>425</v>
      </c>
      <c r="F558" t="s">
        <v>89</v>
      </c>
      <c r="G558" t="s">
        <v>89</v>
      </c>
      <c r="H558" t="s">
        <v>93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111</v>
      </c>
      <c r="B559" t="s">
        <v>424</v>
      </c>
      <c r="C559" t="s">
        <v>89</v>
      </c>
      <c r="D559" t="s">
        <v>89</v>
      </c>
      <c r="E559" t="s">
        <v>428</v>
      </c>
      <c r="F559" t="s">
        <v>89</v>
      </c>
      <c r="G559" t="s">
        <v>89</v>
      </c>
      <c r="H559" t="s">
        <v>93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111</v>
      </c>
      <c r="B560" t="s">
        <v>430</v>
      </c>
      <c r="C560" t="s">
        <v>89</v>
      </c>
      <c r="D560" t="s">
        <v>89</v>
      </c>
      <c r="E560" t="s">
        <v>753</v>
      </c>
      <c r="F560" t="s">
        <v>89</v>
      </c>
      <c r="G560" t="s">
        <v>89</v>
      </c>
      <c r="H560" t="s">
        <v>93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111</v>
      </c>
      <c r="B561" t="s">
        <v>835</v>
      </c>
      <c r="C561" t="s">
        <v>89</v>
      </c>
      <c r="D561" t="s">
        <v>89</v>
      </c>
      <c r="E561" t="s">
        <v>753</v>
      </c>
      <c r="F561" t="s">
        <v>89</v>
      </c>
      <c r="G561" t="s">
        <v>89</v>
      </c>
      <c r="H561" t="s">
        <v>93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111</v>
      </c>
      <c r="B562" t="s">
        <v>414</v>
      </c>
      <c r="C562" t="s">
        <v>89</v>
      </c>
      <c r="D562" t="s">
        <v>89</v>
      </c>
      <c r="E562" t="s">
        <v>753</v>
      </c>
      <c r="F562" t="s">
        <v>89</v>
      </c>
      <c r="G562" t="s">
        <v>89</v>
      </c>
      <c r="H562" t="s">
        <v>93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111</v>
      </c>
      <c r="B563" t="s">
        <v>429</v>
      </c>
      <c r="C563" t="s">
        <v>89</v>
      </c>
      <c r="D563" t="s">
        <v>89</v>
      </c>
      <c r="E563" t="s">
        <v>413</v>
      </c>
      <c r="F563" t="s">
        <v>89</v>
      </c>
      <c r="G563" t="s">
        <v>89</v>
      </c>
      <c r="H563" t="s">
        <v>93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111</v>
      </c>
      <c r="B564" t="s">
        <v>836</v>
      </c>
      <c r="C564" t="s">
        <v>89</v>
      </c>
      <c r="D564" t="s">
        <v>89</v>
      </c>
      <c r="E564" t="s">
        <v>409</v>
      </c>
      <c r="F564" t="s">
        <v>89</v>
      </c>
      <c r="G564" t="s">
        <v>89</v>
      </c>
      <c r="H564" t="s">
        <v>93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111</v>
      </c>
      <c r="B565" t="s">
        <v>408</v>
      </c>
      <c r="C565" t="s">
        <v>89</v>
      </c>
      <c r="D565" t="s">
        <v>89</v>
      </c>
      <c r="E565" t="s">
        <v>409</v>
      </c>
      <c r="F565" t="s">
        <v>89</v>
      </c>
      <c r="G565" t="s">
        <v>89</v>
      </c>
      <c r="H565" t="s">
        <v>93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111</v>
      </c>
      <c r="B566" t="s">
        <v>410</v>
      </c>
      <c r="C566" t="s">
        <v>89</v>
      </c>
      <c r="D566" t="s">
        <v>89</v>
      </c>
      <c r="E566" t="s">
        <v>409</v>
      </c>
      <c r="F566" t="s">
        <v>89</v>
      </c>
      <c r="G566" t="s">
        <v>89</v>
      </c>
      <c r="H566" t="s">
        <v>93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111</v>
      </c>
      <c r="B567" t="s">
        <v>837</v>
      </c>
      <c r="C567" t="s">
        <v>89</v>
      </c>
      <c r="D567" t="s">
        <v>89</v>
      </c>
      <c r="E567" t="s">
        <v>409</v>
      </c>
      <c r="F567" t="s">
        <v>89</v>
      </c>
      <c r="G567" t="s">
        <v>89</v>
      </c>
      <c r="H567" t="s">
        <v>93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111</v>
      </c>
      <c r="B568" t="s">
        <v>838</v>
      </c>
      <c r="C568" t="s">
        <v>89</v>
      </c>
      <c r="D568" t="s">
        <v>89</v>
      </c>
      <c r="E568" t="s">
        <v>601</v>
      </c>
      <c r="F568" t="s">
        <v>89</v>
      </c>
      <c r="G568" t="s">
        <v>89</v>
      </c>
      <c r="H568" t="s">
        <v>93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111</v>
      </c>
      <c r="B569" t="s">
        <v>839</v>
      </c>
      <c r="C569" t="s">
        <v>89</v>
      </c>
      <c r="D569" t="s">
        <v>89</v>
      </c>
      <c r="E569" t="s">
        <v>783</v>
      </c>
      <c r="F569" t="s">
        <v>89</v>
      </c>
      <c r="G569" t="s">
        <v>89</v>
      </c>
      <c r="H569" t="s">
        <v>93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111</v>
      </c>
      <c r="B570" t="s">
        <v>199</v>
      </c>
      <c r="C570" t="s">
        <v>89</v>
      </c>
      <c r="D570" t="s">
        <v>89</v>
      </c>
      <c r="E570" t="s">
        <v>200</v>
      </c>
      <c r="F570" t="s">
        <v>89</v>
      </c>
      <c r="G570" t="s">
        <v>89</v>
      </c>
      <c r="H570" t="s">
        <v>93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112</v>
      </c>
      <c r="B571" t="s">
        <v>570</v>
      </c>
      <c r="C571" t="s">
        <v>89</v>
      </c>
      <c r="D571" t="s">
        <v>840</v>
      </c>
      <c r="E571" t="s">
        <v>841</v>
      </c>
      <c r="F571" t="s">
        <v>89</v>
      </c>
      <c r="G571" t="s">
        <v>89</v>
      </c>
      <c r="H571" t="s">
        <v>93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112</v>
      </c>
      <c r="B572" t="s">
        <v>573</v>
      </c>
      <c r="C572" t="s">
        <v>89</v>
      </c>
      <c r="D572" t="s">
        <v>842</v>
      </c>
      <c r="E572" t="s">
        <v>843</v>
      </c>
      <c r="F572" t="s">
        <v>89</v>
      </c>
      <c r="G572" t="s">
        <v>89</v>
      </c>
      <c r="H572" t="s">
        <v>93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112</v>
      </c>
      <c r="B573" t="s">
        <v>313</v>
      </c>
      <c r="C573" t="s">
        <v>89</v>
      </c>
      <c r="D573" t="s">
        <v>842</v>
      </c>
      <c r="E573" t="s">
        <v>459</v>
      </c>
      <c r="F573" t="s">
        <v>89</v>
      </c>
      <c r="G573" t="s">
        <v>89</v>
      </c>
      <c r="H573" t="s">
        <v>93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112</v>
      </c>
      <c r="B574" t="s">
        <v>359</v>
      </c>
      <c r="C574" t="s">
        <v>89</v>
      </c>
      <c r="D574" t="s">
        <v>842</v>
      </c>
      <c r="E574" t="s">
        <v>843</v>
      </c>
      <c r="F574" t="s">
        <v>89</v>
      </c>
      <c r="G574" t="s">
        <v>89</v>
      </c>
      <c r="H574" t="s">
        <v>93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112</v>
      </c>
      <c r="B575" t="s">
        <v>333</v>
      </c>
      <c r="C575" t="s">
        <v>89</v>
      </c>
      <c r="D575" t="s">
        <v>842</v>
      </c>
      <c r="E575" t="s">
        <v>459</v>
      </c>
      <c r="F575" t="s">
        <v>89</v>
      </c>
      <c r="G575" t="s">
        <v>89</v>
      </c>
      <c r="H575" t="s">
        <v>93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112</v>
      </c>
      <c r="B576" t="s">
        <v>844</v>
      </c>
      <c r="C576" t="s">
        <v>89</v>
      </c>
      <c r="D576" t="s">
        <v>845</v>
      </c>
      <c r="E576" t="s">
        <v>846</v>
      </c>
      <c r="F576" t="s">
        <v>89</v>
      </c>
      <c r="G576" t="s">
        <v>89</v>
      </c>
      <c r="H576" t="s">
        <v>93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112</v>
      </c>
      <c r="B577" t="s">
        <v>313</v>
      </c>
      <c r="C577" t="s">
        <v>89</v>
      </c>
      <c r="D577" t="s">
        <v>842</v>
      </c>
      <c r="E577" t="s">
        <v>459</v>
      </c>
      <c r="F577" t="s">
        <v>89</v>
      </c>
      <c r="G577" t="s">
        <v>89</v>
      </c>
      <c r="H577" t="s">
        <v>93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112</v>
      </c>
      <c r="B578" t="s">
        <v>310</v>
      </c>
      <c r="C578" t="s">
        <v>89</v>
      </c>
      <c r="D578" t="s">
        <v>842</v>
      </c>
      <c r="E578" t="s">
        <v>459</v>
      </c>
      <c r="F578" t="s">
        <v>89</v>
      </c>
      <c r="G578" t="s">
        <v>89</v>
      </c>
      <c r="H578" t="s">
        <v>93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112</v>
      </c>
      <c r="B579" t="s">
        <v>333</v>
      </c>
      <c r="C579" t="s">
        <v>89</v>
      </c>
      <c r="D579" t="s">
        <v>842</v>
      </c>
      <c r="E579" t="s">
        <v>459</v>
      </c>
      <c r="F579" t="s">
        <v>89</v>
      </c>
      <c r="G579" t="s">
        <v>89</v>
      </c>
      <c r="H579" t="s">
        <v>93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112</v>
      </c>
      <c r="B580" t="s">
        <v>359</v>
      </c>
      <c r="C580" t="s">
        <v>89</v>
      </c>
      <c r="D580" t="s">
        <v>842</v>
      </c>
      <c r="E580" t="s">
        <v>843</v>
      </c>
      <c r="F580" t="s">
        <v>89</v>
      </c>
      <c r="G580" t="s">
        <v>89</v>
      </c>
      <c r="H580" t="s">
        <v>93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112</v>
      </c>
      <c r="B581" t="s">
        <v>360</v>
      </c>
      <c r="C581" t="s">
        <v>89</v>
      </c>
      <c r="D581" t="s">
        <v>842</v>
      </c>
      <c r="E581" t="s">
        <v>463</v>
      </c>
      <c r="F581" t="s">
        <v>89</v>
      </c>
      <c r="G581" t="s">
        <v>89</v>
      </c>
      <c r="H581" t="s">
        <v>93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112</v>
      </c>
      <c r="B582" t="s">
        <v>352</v>
      </c>
      <c r="C582" t="s">
        <v>89</v>
      </c>
      <c r="D582" t="s">
        <v>842</v>
      </c>
      <c r="E582" t="s">
        <v>459</v>
      </c>
      <c r="F582" t="s">
        <v>89</v>
      </c>
      <c r="G582" t="s">
        <v>89</v>
      </c>
      <c r="H582" t="s">
        <v>93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112</v>
      </c>
      <c r="B583" t="s">
        <v>847</v>
      </c>
      <c r="C583" t="s">
        <v>89</v>
      </c>
      <c r="D583" t="s">
        <v>842</v>
      </c>
      <c r="E583" t="s">
        <v>848</v>
      </c>
      <c r="F583" t="s">
        <v>89</v>
      </c>
      <c r="G583" t="s">
        <v>89</v>
      </c>
      <c r="H583" t="s">
        <v>93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112</v>
      </c>
      <c r="B584" t="s">
        <v>849</v>
      </c>
      <c r="C584" t="s">
        <v>89</v>
      </c>
      <c r="D584" t="s">
        <v>842</v>
      </c>
      <c r="E584" t="s">
        <v>848</v>
      </c>
      <c r="F584" t="s">
        <v>89</v>
      </c>
      <c r="G584" t="s">
        <v>89</v>
      </c>
      <c r="H584" t="s">
        <v>93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112</v>
      </c>
      <c r="B585" t="s">
        <v>850</v>
      </c>
      <c r="C585" t="s">
        <v>89</v>
      </c>
      <c r="D585" t="s">
        <v>842</v>
      </c>
      <c r="E585" t="s">
        <v>848</v>
      </c>
      <c r="F585" t="s">
        <v>89</v>
      </c>
      <c r="G585" t="s">
        <v>89</v>
      </c>
      <c r="H585" t="s">
        <v>93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112</v>
      </c>
      <c r="B586" t="s">
        <v>317</v>
      </c>
      <c r="C586" t="s">
        <v>89</v>
      </c>
      <c r="D586" t="s">
        <v>842</v>
      </c>
      <c r="E586" t="s">
        <v>459</v>
      </c>
      <c r="F586" t="s">
        <v>89</v>
      </c>
      <c r="G586" t="s">
        <v>89</v>
      </c>
      <c r="H586" t="s">
        <v>93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112</v>
      </c>
      <c r="B587" t="s">
        <v>315</v>
      </c>
      <c r="C587" t="s">
        <v>89</v>
      </c>
      <c r="D587" t="s">
        <v>842</v>
      </c>
      <c r="E587" t="s">
        <v>459</v>
      </c>
      <c r="F587" t="s">
        <v>89</v>
      </c>
      <c r="G587" t="s">
        <v>89</v>
      </c>
      <c r="H587" t="s">
        <v>93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112</v>
      </c>
      <c r="B588" t="s">
        <v>851</v>
      </c>
      <c r="C588" t="s">
        <v>89</v>
      </c>
      <c r="D588" t="s">
        <v>842</v>
      </c>
      <c r="E588" t="s">
        <v>843</v>
      </c>
      <c r="F588" t="s">
        <v>89</v>
      </c>
      <c r="G588" t="s">
        <v>89</v>
      </c>
      <c r="H588" t="s">
        <v>93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112</v>
      </c>
      <c r="B589" t="s">
        <v>852</v>
      </c>
      <c r="C589" t="s">
        <v>89</v>
      </c>
      <c r="D589" t="s">
        <v>853</v>
      </c>
      <c r="E589" t="s">
        <v>846</v>
      </c>
      <c r="F589" t="s">
        <v>89</v>
      </c>
      <c r="G589" t="s">
        <v>89</v>
      </c>
      <c r="H589" t="s">
        <v>93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112</v>
      </c>
      <c r="B590" t="s">
        <v>567</v>
      </c>
      <c r="C590" t="s">
        <v>89</v>
      </c>
      <c r="D590" t="s">
        <v>854</v>
      </c>
      <c r="E590" t="s">
        <v>855</v>
      </c>
      <c r="F590" t="s">
        <v>89</v>
      </c>
      <c r="G590" t="s">
        <v>89</v>
      </c>
      <c r="H590" t="s">
        <v>93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112</v>
      </c>
      <c r="B591" t="s">
        <v>362</v>
      </c>
      <c r="C591" t="s">
        <v>89</v>
      </c>
      <c r="D591" t="s">
        <v>856</v>
      </c>
      <c r="E591" t="s">
        <v>846</v>
      </c>
      <c r="F591" t="s">
        <v>89</v>
      </c>
      <c r="G591" t="s">
        <v>89</v>
      </c>
      <c r="H591" t="s">
        <v>93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112</v>
      </c>
      <c r="B592" t="s">
        <v>369</v>
      </c>
      <c r="C592" t="s">
        <v>89</v>
      </c>
      <c r="D592" t="s">
        <v>842</v>
      </c>
      <c r="E592" t="s">
        <v>459</v>
      </c>
      <c r="F592" t="s">
        <v>89</v>
      </c>
      <c r="G592" t="s">
        <v>89</v>
      </c>
      <c r="H592" t="s">
        <v>93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112</v>
      </c>
      <c r="B593" t="s">
        <v>857</v>
      </c>
      <c r="C593" t="s">
        <v>89</v>
      </c>
      <c r="D593" t="s">
        <v>842</v>
      </c>
      <c r="E593" t="s">
        <v>463</v>
      </c>
      <c r="F593" t="s">
        <v>89</v>
      </c>
      <c r="G593" t="s">
        <v>89</v>
      </c>
      <c r="H593" t="s">
        <v>93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112</v>
      </c>
      <c r="B594" t="s">
        <v>574</v>
      </c>
      <c r="C594" t="s">
        <v>89</v>
      </c>
      <c r="D594" t="s">
        <v>858</v>
      </c>
      <c r="E594" t="s">
        <v>843</v>
      </c>
      <c r="F594" t="s">
        <v>89</v>
      </c>
      <c r="G594" t="s">
        <v>89</v>
      </c>
      <c r="H594" t="s">
        <v>93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112</v>
      </c>
      <c r="B595" t="s">
        <v>573</v>
      </c>
      <c r="C595" t="s">
        <v>89</v>
      </c>
      <c r="D595" t="s">
        <v>842</v>
      </c>
      <c r="E595" t="s">
        <v>843</v>
      </c>
      <c r="F595" t="s">
        <v>89</v>
      </c>
      <c r="G595" t="s">
        <v>89</v>
      </c>
      <c r="H595" t="s">
        <v>93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112</v>
      </c>
      <c r="B596" t="s">
        <v>376</v>
      </c>
      <c r="C596" t="s">
        <v>89</v>
      </c>
      <c r="D596" t="s">
        <v>842</v>
      </c>
      <c r="E596" t="s">
        <v>859</v>
      </c>
      <c r="F596" t="s">
        <v>89</v>
      </c>
      <c r="G596" t="s">
        <v>89</v>
      </c>
      <c r="H596" t="s">
        <v>93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112</v>
      </c>
      <c r="B597" t="s">
        <v>570</v>
      </c>
      <c r="C597" t="s">
        <v>89</v>
      </c>
      <c r="D597" t="s">
        <v>840</v>
      </c>
      <c r="E597" t="s">
        <v>841</v>
      </c>
      <c r="F597" t="s">
        <v>89</v>
      </c>
      <c r="G597" t="s">
        <v>89</v>
      </c>
      <c r="H597" t="s">
        <v>93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112</v>
      </c>
      <c r="B598" t="s">
        <v>370</v>
      </c>
      <c r="C598" t="s">
        <v>89</v>
      </c>
      <c r="D598" t="s">
        <v>842</v>
      </c>
      <c r="E598" t="s">
        <v>459</v>
      </c>
      <c r="F598" t="s">
        <v>89</v>
      </c>
      <c r="G598" t="s">
        <v>89</v>
      </c>
      <c r="H598" t="s">
        <v>93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112</v>
      </c>
      <c r="B599" t="s">
        <v>373</v>
      </c>
      <c r="C599" t="s">
        <v>89</v>
      </c>
      <c r="D599" t="s">
        <v>842</v>
      </c>
      <c r="E599" t="s">
        <v>463</v>
      </c>
      <c r="F599" t="s">
        <v>89</v>
      </c>
      <c r="G599" t="s">
        <v>89</v>
      </c>
      <c r="H599" t="s">
        <v>93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112</v>
      </c>
      <c r="B600" t="s">
        <v>372</v>
      </c>
      <c r="C600" t="s">
        <v>89</v>
      </c>
      <c r="D600" t="s">
        <v>842</v>
      </c>
      <c r="E600" t="s">
        <v>463</v>
      </c>
      <c r="F600" t="s">
        <v>89</v>
      </c>
      <c r="G600" t="s">
        <v>89</v>
      </c>
      <c r="H600" t="s">
        <v>93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112</v>
      </c>
      <c r="B601" t="s">
        <v>860</v>
      </c>
      <c r="C601" t="s">
        <v>89</v>
      </c>
      <c r="D601" t="s">
        <v>861</v>
      </c>
      <c r="E601" t="s">
        <v>459</v>
      </c>
      <c r="F601" t="s">
        <v>89</v>
      </c>
      <c r="G601" t="s">
        <v>89</v>
      </c>
      <c r="H601" t="s">
        <v>93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112</v>
      </c>
      <c r="B602" t="s">
        <v>862</v>
      </c>
      <c r="C602" t="s">
        <v>89</v>
      </c>
      <c r="D602" t="s">
        <v>89</v>
      </c>
      <c r="E602" t="s">
        <v>241</v>
      </c>
      <c r="F602" t="s">
        <v>89</v>
      </c>
      <c r="G602" t="s">
        <v>89</v>
      </c>
      <c r="H602" t="s">
        <v>93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112</v>
      </c>
      <c r="B603" t="s">
        <v>863</v>
      </c>
      <c r="C603" t="s">
        <v>89</v>
      </c>
      <c r="D603" t="s">
        <v>89</v>
      </c>
      <c r="E603" t="s">
        <v>241</v>
      </c>
      <c r="F603" t="s">
        <v>89</v>
      </c>
      <c r="G603" t="s">
        <v>89</v>
      </c>
      <c r="H603" t="s">
        <v>93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112</v>
      </c>
      <c r="B604" t="s">
        <v>244</v>
      </c>
      <c r="C604" t="s">
        <v>89</v>
      </c>
      <c r="D604" t="s">
        <v>89</v>
      </c>
      <c r="E604" t="s">
        <v>241</v>
      </c>
      <c r="F604" t="s">
        <v>89</v>
      </c>
      <c r="G604" t="s">
        <v>89</v>
      </c>
      <c r="H604" t="s">
        <v>93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112</v>
      </c>
      <c r="B605" t="s">
        <v>328</v>
      </c>
      <c r="C605" t="s">
        <v>89</v>
      </c>
      <c r="D605" t="s">
        <v>89</v>
      </c>
      <c r="E605" t="s">
        <v>241</v>
      </c>
      <c r="F605" t="s">
        <v>89</v>
      </c>
      <c r="G605" t="s">
        <v>89</v>
      </c>
      <c r="H605" t="s">
        <v>93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112</v>
      </c>
      <c r="B606" t="s">
        <v>864</v>
      </c>
      <c r="C606" t="s">
        <v>89</v>
      </c>
      <c r="D606" t="s">
        <v>89</v>
      </c>
      <c r="E606" t="s">
        <v>216</v>
      </c>
      <c r="F606" t="s">
        <v>89</v>
      </c>
      <c r="G606" t="s">
        <v>89</v>
      </c>
      <c r="H606" t="s">
        <v>93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112</v>
      </c>
      <c r="B607" t="s">
        <v>723</v>
      </c>
      <c r="C607" t="s">
        <v>89</v>
      </c>
      <c r="D607" t="s">
        <v>89</v>
      </c>
      <c r="E607" t="s">
        <v>216</v>
      </c>
      <c r="F607" t="s">
        <v>89</v>
      </c>
      <c r="G607" t="s">
        <v>89</v>
      </c>
      <c r="H607" t="s">
        <v>93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112</v>
      </c>
      <c r="B608" t="s">
        <v>330</v>
      </c>
      <c r="C608" t="s">
        <v>89</v>
      </c>
      <c r="D608" t="s">
        <v>89</v>
      </c>
      <c r="E608" t="s">
        <v>241</v>
      </c>
      <c r="F608" t="s">
        <v>89</v>
      </c>
      <c r="G608" t="s">
        <v>89</v>
      </c>
      <c r="H608" t="s">
        <v>93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112</v>
      </c>
      <c r="B609" t="s">
        <v>193</v>
      </c>
      <c r="C609" t="s">
        <v>89</v>
      </c>
      <c r="D609" t="s">
        <v>89</v>
      </c>
      <c r="E609" t="s">
        <v>216</v>
      </c>
      <c r="F609" t="s">
        <v>89</v>
      </c>
      <c r="G609" t="s">
        <v>89</v>
      </c>
      <c r="H609" t="s">
        <v>93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112</v>
      </c>
      <c r="B610" t="s">
        <v>194</v>
      </c>
      <c r="C610" t="s">
        <v>89</v>
      </c>
      <c r="D610" t="s">
        <v>89</v>
      </c>
      <c r="E610" t="s">
        <v>246</v>
      </c>
      <c r="F610" t="s">
        <v>89</v>
      </c>
      <c r="G610" t="s">
        <v>89</v>
      </c>
      <c r="H610" t="s">
        <v>93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112</v>
      </c>
      <c r="B611" t="s">
        <v>195</v>
      </c>
      <c r="C611" t="s">
        <v>89</v>
      </c>
      <c r="D611" t="s">
        <v>89</v>
      </c>
      <c r="E611" t="s">
        <v>192</v>
      </c>
      <c r="F611" t="s">
        <v>89</v>
      </c>
      <c r="G611" t="s">
        <v>89</v>
      </c>
      <c r="H611" t="s">
        <v>93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112</v>
      </c>
      <c r="B612" t="s">
        <v>199</v>
      </c>
      <c r="C612" t="s">
        <v>89</v>
      </c>
      <c r="D612" t="s">
        <v>89</v>
      </c>
      <c r="E612" t="s">
        <v>200</v>
      </c>
      <c r="F612" t="s">
        <v>89</v>
      </c>
      <c r="G612" t="s">
        <v>89</v>
      </c>
      <c r="H612" t="s">
        <v>93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113</v>
      </c>
      <c r="B613" t="s">
        <v>865</v>
      </c>
      <c r="C613" t="s">
        <v>89</v>
      </c>
      <c r="D613" t="s">
        <v>866</v>
      </c>
      <c r="E613" t="s">
        <v>354</v>
      </c>
      <c r="F613" t="s">
        <v>89</v>
      </c>
      <c r="G613" t="s">
        <v>89</v>
      </c>
      <c r="H613" t="s">
        <v>93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113</v>
      </c>
      <c r="B614" t="s">
        <v>487</v>
      </c>
      <c r="C614" t="s">
        <v>89</v>
      </c>
      <c r="D614" t="s">
        <v>867</v>
      </c>
      <c r="E614" t="s">
        <v>868</v>
      </c>
      <c r="F614" t="s">
        <v>89</v>
      </c>
      <c r="G614" t="s">
        <v>89</v>
      </c>
      <c r="H614" t="s">
        <v>93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113</v>
      </c>
      <c r="B615" t="s">
        <v>605</v>
      </c>
      <c r="C615" t="s">
        <v>89</v>
      </c>
      <c r="D615" t="s">
        <v>869</v>
      </c>
      <c r="E615" t="s">
        <v>187</v>
      </c>
      <c r="F615" t="s">
        <v>89</v>
      </c>
      <c r="G615" t="s">
        <v>89</v>
      </c>
      <c r="H615" t="s">
        <v>93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113</v>
      </c>
      <c r="B616" t="s">
        <v>870</v>
      </c>
      <c r="C616" t="s">
        <v>89</v>
      </c>
      <c r="D616" t="s">
        <v>871</v>
      </c>
      <c r="E616" t="s">
        <v>354</v>
      </c>
      <c r="F616" t="s">
        <v>89</v>
      </c>
      <c r="G616" t="s">
        <v>89</v>
      </c>
      <c r="H616" t="s">
        <v>93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113</v>
      </c>
      <c r="B617" t="s">
        <v>872</v>
      </c>
      <c r="C617" t="s">
        <v>89</v>
      </c>
      <c r="D617" t="s">
        <v>89</v>
      </c>
      <c r="E617" t="s">
        <v>181</v>
      </c>
      <c r="F617" t="s">
        <v>89</v>
      </c>
      <c r="G617" t="s">
        <v>89</v>
      </c>
      <c r="H617" t="s">
        <v>93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113</v>
      </c>
      <c r="B618" t="s">
        <v>865</v>
      </c>
      <c r="C618" t="s">
        <v>89</v>
      </c>
      <c r="D618" t="s">
        <v>866</v>
      </c>
      <c r="E618" t="s">
        <v>354</v>
      </c>
      <c r="F618" t="s">
        <v>89</v>
      </c>
      <c r="G618" t="s">
        <v>89</v>
      </c>
      <c r="H618" t="s">
        <v>93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113</v>
      </c>
      <c r="B619" t="s">
        <v>497</v>
      </c>
      <c r="C619" t="s">
        <v>89</v>
      </c>
      <c r="D619" t="s">
        <v>866</v>
      </c>
      <c r="E619" t="s">
        <v>354</v>
      </c>
      <c r="F619" t="s">
        <v>89</v>
      </c>
      <c r="G619" t="s">
        <v>89</v>
      </c>
      <c r="H619" t="s">
        <v>93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113</v>
      </c>
      <c r="B620" t="s">
        <v>279</v>
      </c>
      <c r="C620" t="s">
        <v>89</v>
      </c>
      <c r="D620" t="s">
        <v>866</v>
      </c>
      <c r="E620" t="s">
        <v>187</v>
      </c>
      <c r="F620" t="s">
        <v>89</v>
      </c>
      <c r="G620" t="s">
        <v>89</v>
      </c>
      <c r="H620" t="s">
        <v>93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113</v>
      </c>
      <c r="B621" t="s">
        <v>513</v>
      </c>
      <c r="C621" t="s">
        <v>89</v>
      </c>
      <c r="D621" t="s">
        <v>866</v>
      </c>
      <c r="E621" t="s">
        <v>354</v>
      </c>
      <c r="F621" t="s">
        <v>89</v>
      </c>
      <c r="G621" t="s">
        <v>89</v>
      </c>
      <c r="H621" t="s">
        <v>93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113</v>
      </c>
      <c r="B622" t="s">
        <v>268</v>
      </c>
      <c r="C622" t="s">
        <v>89</v>
      </c>
      <c r="D622" t="s">
        <v>873</v>
      </c>
      <c r="E622" t="s">
        <v>868</v>
      </c>
      <c r="F622" t="s">
        <v>89</v>
      </c>
      <c r="G622" t="s">
        <v>89</v>
      </c>
      <c r="H622" t="s">
        <v>93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113</v>
      </c>
      <c r="B623" t="s">
        <v>874</v>
      </c>
      <c r="C623" t="s">
        <v>89</v>
      </c>
      <c r="D623" t="s">
        <v>875</v>
      </c>
      <c r="E623" t="s">
        <v>332</v>
      </c>
      <c r="F623" t="s">
        <v>89</v>
      </c>
      <c r="G623" t="s">
        <v>89</v>
      </c>
      <c r="H623" t="s">
        <v>93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113</v>
      </c>
      <c r="B624" t="s">
        <v>876</v>
      </c>
      <c r="C624" t="s">
        <v>89</v>
      </c>
      <c r="D624" t="s">
        <v>877</v>
      </c>
      <c r="E624" t="s">
        <v>332</v>
      </c>
      <c r="F624" t="s">
        <v>89</v>
      </c>
      <c r="G624" t="s">
        <v>89</v>
      </c>
      <c r="H624" t="s">
        <v>93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113</v>
      </c>
      <c r="B625" t="s">
        <v>878</v>
      </c>
      <c r="C625" t="s">
        <v>89</v>
      </c>
      <c r="D625" t="s">
        <v>89</v>
      </c>
      <c r="E625" t="s">
        <v>187</v>
      </c>
      <c r="F625" t="s">
        <v>89</v>
      </c>
      <c r="G625" t="s">
        <v>89</v>
      </c>
      <c r="H625" t="s">
        <v>93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113</v>
      </c>
      <c r="B626" t="s">
        <v>879</v>
      </c>
      <c r="C626" t="s">
        <v>89</v>
      </c>
      <c r="D626" t="s">
        <v>89</v>
      </c>
      <c r="E626" t="s">
        <v>187</v>
      </c>
      <c r="F626" t="s">
        <v>89</v>
      </c>
      <c r="G626" t="s">
        <v>89</v>
      </c>
      <c r="H626" t="s">
        <v>93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113</v>
      </c>
      <c r="B627" t="s">
        <v>880</v>
      </c>
      <c r="C627" t="s">
        <v>89</v>
      </c>
      <c r="D627" t="s">
        <v>89</v>
      </c>
      <c r="E627" t="s">
        <v>354</v>
      </c>
      <c r="F627" t="s">
        <v>89</v>
      </c>
      <c r="G627" t="s">
        <v>89</v>
      </c>
      <c r="H627" t="s">
        <v>93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113</v>
      </c>
      <c r="B628" t="s">
        <v>881</v>
      </c>
      <c r="C628" t="s">
        <v>89</v>
      </c>
      <c r="D628" t="s">
        <v>875</v>
      </c>
      <c r="E628" t="s">
        <v>232</v>
      </c>
      <c r="F628" t="s">
        <v>89</v>
      </c>
      <c r="G628" t="s">
        <v>89</v>
      </c>
      <c r="H628" t="s">
        <v>93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113</v>
      </c>
      <c r="B629" t="s">
        <v>88</v>
      </c>
      <c r="C629" t="s">
        <v>89</v>
      </c>
      <c r="D629" t="s">
        <v>882</v>
      </c>
      <c r="E629" t="s">
        <v>332</v>
      </c>
      <c r="F629" t="s">
        <v>89</v>
      </c>
      <c r="G629" t="s">
        <v>89</v>
      </c>
      <c r="H629" t="s">
        <v>93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113</v>
      </c>
      <c r="B630" t="s">
        <v>883</v>
      </c>
      <c r="C630" t="s">
        <v>89</v>
      </c>
      <c r="D630" t="s">
        <v>89</v>
      </c>
      <c r="E630" t="s">
        <v>332</v>
      </c>
      <c r="F630" t="s">
        <v>89</v>
      </c>
      <c r="G630" t="s">
        <v>89</v>
      </c>
      <c r="H630" t="s">
        <v>93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113</v>
      </c>
      <c r="B631" t="s">
        <v>191</v>
      </c>
      <c r="C631" t="s">
        <v>89</v>
      </c>
      <c r="D631" t="s">
        <v>89</v>
      </c>
      <c r="E631" t="s">
        <v>178</v>
      </c>
      <c r="F631" t="s">
        <v>89</v>
      </c>
      <c r="G631" t="s">
        <v>89</v>
      </c>
      <c r="H631" t="s">
        <v>93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113</v>
      </c>
      <c r="B632" t="s">
        <v>243</v>
      </c>
      <c r="C632" t="s">
        <v>89</v>
      </c>
      <c r="D632" t="s">
        <v>89</v>
      </c>
      <c r="E632" t="s">
        <v>178</v>
      </c>
      <c r="F632" t="s">
        <v>89</v>
      </c>
      <c r="G632" t="s">
        <v>89</v>
      </c>
      <c r="H632" t="s">
        <v>93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113</v>
      </c>
      <c r="B633" t="s">
        <v>244</v>
      </c>
      <c r="C633" t="s">
        <v>89</v>
      </c>
      <c r="D633" t="s">
        <v>89</v>
      </c>
      <c r="E633" t="s">
        <v>178</v>
      </c>
      <c r="F633" t="s">
        <v>89</v>
      </c>
      <c r="G633" t="s">
        <v>89</v>
      </c>
      <c r="H633" t="s">
        <v>93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113</v>
      </c>
      <c r="B634" t="s">
        <v>884</v>
      </c>
      <c r="C634" t="s">
        <v>89</v>
      </c>
      <c r="D634" t="s">
        <v>89</v>
      </c>
      <c r="E634" t="s">
        <v>178</v>
      </c>
      <c r="F634" t="s">
        <v>89</v>
      </c>
      <c r="G634" t="s">
        <v>89</v>
      </c>
      <c r="H634" t="s">
        <v>93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113</v>
      </c>
      <c r="B635" t="s">
        <v>329</v>
      </c>
      <c r="C635" t="s">
        <v>89</v>
      </c>
      <c r="D635" t="s">
        <v>89</v>
      </c>
      <c r="E635" t="s">
        <v>178</v>
      </c>
      <c r="F635" t="s">
        <v>89</v>
      </c>
      <c r="G635" t="s">
        <v>89</v>
      </c>
      <c r="H635" t="s">
        <v>93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113</v>
      </c>
      <c r="B636" t="s">
        <v>730</v>
      </c>
      <c r="C636" t="s">
        <v>89</v>
      </c>
      <c r="D636" t="s">
        <v>885</v>
      </c>
      <c r="E636" t="s">
        <v>178</v>
      </c>
      <c r="F636" t="s">
        <v>89</v>
      </c>
      <c r="G636" t="s">
        <v>89</v>
      </c>
      <c r="H636" t="s">
        <v>93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113</v>
      </c>
      <c r="B637" t="s">
        <v>723</v>
      </c>
      <c r="C637" t="s">
        <v>89</v>
      </c>
      <c r="D637" t="s">
        <v>885</v>
      </c>
      <c r="E637" t="s">
        <v>216</v>
      </c>
      <c r="F637" t="s">
        <v>89</v>
      </c>
      <c r="G637" t="s">
        <v>89</v>
      </c>
      <c r="H637" t="s">
        <v>93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113</v>
      </c>
      <c r="B638" t="s">
        <v>886</v>
      </c>
      <c r="C638" t="s">
        <v>89</v>
      </c>
      <c r="D638" t="s">
        <v>89</v>
      </c>
      <c r="E638" t="s">
        <v>716</v>
      </c>
      <c r="F638" t="s">
        <v>89</v>
      </c>
      <c r="G638" t="s">
        <v>89</v>
      </c>
      <c r="H638" t="s">
        <v>93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113</v>
      </c>
      <c r="B639" t="s">
        <v>195</v>
      </c>
      <c r="C639" t="s">
        <v>89</v>
      </c>
      <c r="D639" t="s">
        <v>89</v>
      </c>
      <c r="E639" t="s">
        <v>192</v>
      </c>
      <c r="F639" t="s">
        <v>89</v>
      </c>
      <c r="G639" t="s">
        <v>89</v>
      </c>
      <c r="H639" t="s">
        <v>93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113</v>
      </c>
      <c r="B640" t="s">
        <v>217</v>
      </c>
      <c r="C640" t="s">
        <v>89</v>
      </c>
      <c r="D640" t="s">
        <v>89</v>
      </c>
      <c r="E640" t="s">
        <v>216</v>
      </c>
      <c r="F640" t="s">
        <v>89</v>
      </c>
      <c r="G640" t="s">
        <v>89</v>
      </c>
      <c r="H640" t="s">
        <v>93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113</v>
      </c>
      <c r="B641" t="s">
        <v>887</v>
      </c>
      <c r="C641" t="s">
        <v>89</v>
      </c>
      <c r="D641" t="s">
        <v>89</v>
      </c>
      <c r="E641" t="s">
        <v>216</v>
      </c>
      <c r="F641" t="s">
        <v>89</v>
      </c>
      <c r="G641" t="s">
        <v>89</v>
      </c>
      <c r="H641" t="s">
        <v>93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113</v>
      </c>
      <c r="B642" t="s">
        <v>197</v>
      </c>
      <c r="C642" t="s">
        <v>89</v>
      </c>
      <c r="D642" t="s">
        <v>89</v>
      </c>
      <c r="E642" t="s">
        <v>716</v>
      </c>
      <c r="F642" t="s">
        <v>89</v>
      </c>
      <c r="G642" t="s">
        <v>89</v>
      </c>
      <c r="H642" t="s">
        <v>93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114</v>
      </c>
      <c r="B643" t="s">
        <v>188</v>
      </c>
      <c r="C643" t="s">
        <v>89</v>
      </c>
      <c r="D643" t="s">
        <v>888</v>
      </c>
      <c r="E643" t="s">
        <v>428</v>
      </c>
      <c r="F643" t="s">
        <v>89</v>
      </c>
      <c r="G643" t="s">
        <v>89</v>
      </c>
      <c r="H643" t="s">
        <v>93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114</v>
      </c>
      <c r="B644" t="s">
        <v>176</v>
      </c>
      <c r="C644" t="s">
        <v>89</v>
      </c>
      <c r="D644" t="s">
        <v>889</v>
      </c>
      <c r="E644" t="s">
        <v>181</v>
      </c>
      <c r="F644" t="s">
        <v>89</v>
      </c>
      <c r="G644" t="s">
        <v>89</v>
      </c>
      <c r="H644" t="s">
        <v>93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114</v>
      </c>
      <c r="B645" t="s">
        <v>206</v>
      </c>
      <c r="C645" t="s">
        <v>89</v>
      </c>
      <c r="D645" t="s">
        <v>890</v>
      </c>
      <c r="E645" t="s">
        <v>395</v>
      </c>
      <c r="F645" t="s">
        <v>89</v>
      </c>
      <c r="G645" t="s">
        <v>89</v>
      </c>
      <c r="H645" t="s">
        <v>93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114</v>
      </c>
      <c r="B646" t="s">
        <v>891</v>
      </c>
      <c r="C646" t="s">
        <v>89</v>
      </c>
      <c r="D646" t="s">
        <v>892</v>
      </c>
      <c r="E646" t="s">
        <v>354</v>
      </c>
      <c r="F646" t="s">
        <v>89</v>
      </c>
      <c r="G646" t="s">
        <v>89</v>
      </c>
      <c r="H646" t="s">
        <v>93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114</v>
      </c>
      <c r="B647" t="s">
        <v>893</v>
      </c>
      <c r="C647" t="s">
        <v>89</v>
      </c>
      <c r="D647" t="s">
        <v>894</v>
      </c>
      <c r="E647" t="s">
        <v>187</v>
      </c>
      <c r="F647" t="s">
        <v>89</v>
      </c>
      <c r="G647" t="s">
        <v>89</v>
      </c>
      <c r="H647" t="s">
        <v>93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114</v>
      </c>
      <c r="B648" t="s">
        <v>176</v>
      </c>
      <c r="C648" t="s">
        <v>89</v>
      </c>
      <c r="D648" t="s">
        <v>889</v>
      </c>
      <c r="E648" t="s">
        <v>181</v>
      </c>
      <c r="F648" t="s">
        <v>89</v>
      </c>
      <c r="G648" t="s">
        <v>89</v>
      </c>
      <c r="H648" t="s">
        <v>93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114</v>
      </c>
      <c r="B649" t="s">
        <v>893</v>
      </c>
      <c r="C649" t="s">
        <v>89</v>
      </c>
      <c r="D649" t="s">
        <v>894</v>
      </c>
      <c r="E649" t="s">
        <v>187</v>
      </c>
      <c r="F649" t="s">
        <v>89</v>
      </c>
      <c r="G649" t="s">
        <v>89</v>
      </c>
      <c r="H649" t="s">
        <v>93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114</v>
      </c>
      <c r="B650" t="s">
        <v>891</v>
      </c>
      <c r="C650" t="s">
        <v>89</v>
      </c>
      <c r="D650" t="s">
        <v>892</v>
      </c>
      <c r="E650" t="s">
        <v>354</v>
      </c>
      <c r="F650" t="s">
        <v>89</v>
      </c>
      <c r="G650" t="s">
        <v>89</v>
      </c>
      <c r="H650" t="s">
        <v>93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114</v>
      </c>
      <c r="B651" t="s">
        <v>895</v>
      </c>
      <c r="C651" t="s">
        <v>89</v>
      </c>
      <c r="D651" t="s">
        <v>896</v>
      </c>
      <c r="E651" t="s">
        <v>543</v>
      </c>
      <c r="F651" t="s">
        <v>89</v>
      </c>
      <c r="G651" t="s">
        <v>89</v>
      </c>
      <c r="H651" t="s">
        <v>93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114</v>
      </c>
      <c r="B652" t="s">
        <v>206</v>
      </c>
      <c r="C652" t="s">
        <v>89</v>
      </c>
      <c r="D652" t="s">
        <v>890</v>
      </c>
      <c r="E652" t="s">
        <v>395</v>
      </c>
      <c r="F652" t="s">
        <v>89</v>
      </c>
      <c r="G652" t="s">
        <v>89</v>
      </c>
      <c r="H652" t="s">
        <v>93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114</v>
      </c>
      <c r="B653" t="s">
        <v>897</v>
      </c>
      <c r="C653" t="s">
        <v>89</v>
      </c>
      <c r="D653" t="s">
        <v>898</v>
      </c>
      <c r="E653" t="s">
        <v>308</v>
      </c>
      <c r="F653" t="s">
        <v>89</v>
      </c>
      <c r="G653" t="s">
        <v>89</v>
      </c>
      <c r="H653" t="s">
        <v>93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114</v>
      </c>
      <c r="B654" t="s">
        <v>188</v>
      </c>
      <c r="C654" t="s">
        <v>89</v>
      </c>
      <c r="D654" t="s">
        <v>888</v>
      </c>
      <c r="E654" t="s">
        <v>428</v>
      </c>
      <c r="F654" t="s">
        <v>89</v>
      </c>
      <c r="G654" t="s">
        <v>89</v>
      </c>
      <c r="H654" t="s">
        <v>93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114</v>
      </c>
      <c r="B655" t="s">
        <v>194</v>
      </c>
      <c r="C655" t="s">
        <v>89</v>
      </c>
      <c r="D655" t="s">
        <v>89</v>
      </c>
      <c r="E655" t="s">
        <v>246</v>
      </c>
      <c r="F655" t="s">
        <v>89</v>
      </c>
      <c r="G655" t="s">
        <v>89</v>
      </c>
      <c r="H655" t="s">
        <v>93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114</v>
      </c>
      <c r="B656" t="s">
        <v>243</v>
      </c>
      <c r="C656" t="s">
        <v>89</v>
      </c>
      <c r="D656" t="s">
        <v>89</v>
      </c>
      <c r="E656" t="s">
        <v>254</v>
      </c>
      <c r="F656" t="s">
        <v>89</v>
      </c>
      <c r="G656" t="s">
        <v>89</v>
      </c>
      <c r="H656" t="s">
        <v>93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114</v>
      </c>
      <c r="B657" t="s">
        <v>244</v>
      </c>
      <c r="C657" t="s">
        <v>89</v>
      </c>
      <c r="D657" t="s">
        <v>89</v>
      </c>
      <c r="E657" t="s">
        <v>254</v>
      </c>
      <c r="F657" t="s">
        <v>89</v>
      </c>
      <c r="G657" t="s">
        <v>89</v>
      </c>
      <c r="H657" t="s">
        <v>93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114</v>
      </c>
      <c r="B658" t="s">
        <v>197</v>
      </c>
      <c r="C658" t="s">
        <v>89</v>
      </c>
      <c r="D658" t="s">
        <v>89</v>
      </c>
      <c r="E658" t="s">
        <v>196</v>
      </c>
      <c r="F658" t="s">
        <v>89</v>
      </c>
      <c r="G658" t="s">
        <v>89</v>
      </c>
      <c r="H658" t="s">
        <v>93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114</v>
      </c>
      <c r="B659" t="s">
        <v>899</v>
      </c>
      <c r="C659" t="s">
        <v>89</v>
      </c>
      <c r="D659" t="s">
        <v>89</v>
      </c>
      <c r="E659" t="s">
        <v>254</v>
      </c>
      <c r="F659" t="s">
        <v>89</v>
      </c>
      <c r="G659" t="s">
        <v>89</v>
      </c>
      <c r="H659" t="s">
        <v>93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114</v>
      </c>
      <c r="B660" t="s">
        <v>900</v>
      </c>
      <c r="C660" t="s">
        <v>89</v>
      </c>
      <c r="D660" t="s">
        <v>89</v>
      </c>
      <c r="E660" t="s">
        <v>254</v>
      </c>
      <c r="F660" t="s">
        <v>89</v>
      </c>
      <c r="G660" t="s">
        <v>89</v>
      </c>
      <c r="H660" t="s">
        <v>93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114</v>
      </c>
      <c r="B661" t="s">
        <v>245</v>
      </c>
      <c r="C661" t="s">
        <v>89</v>
      </c>
      <c r="D661" t="s">
        <v>89</v>
      </c>
      <c r="E661" t="s">
        <v>216</v>
      </c>
      <c r="F661" t="s">
        <v>89</v>
      </c>
      <c r="G661" t="s">
        <v>89</v>
      </c>
      <c r="H661" t="s">
        <v>93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114</v>
      </c>
      <c r="B662" t="s">
        <v>217</v>
      </c>
      <c r="C662" t="s">
        <v>89</v>
      </c>
      <c r="D662" t="s">
        <v>89</v>
      </c>
      <c r="E662" t="s">
        <v>216</v>
      </c>
      <c r="F662" t="s">
        <v>89</v>
      </c>
      <c r="G662" t="s">
        <v>89</v>
      </c>
      <c r="H662" t="s">
        <v>93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114</v>
      </c>
      <c r="B663" t="s">
        <v>199</v>
      </c>
      <c r="C663" t="s">
        <v>89</v>
      </c>
      <c r="D663" t="s">
        <v>89</v>
      </c>
      <c r="E663" t="s">
        <v>200</v>
      </c>
      <c r="F663" t="s">
        <v>89</v>
      </c>
      <c r="G663" t="s">
        <v>89</v>
      </c>
      <c r="H663" t="s">
        <v>93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116</v>
      </c>
      <c r="B664" t="s">
        <v>487</v>
      </c>
      <c r="C664" t="s">
        <v>89</v>
      </c>
      <c r="D664" t="s">
        <v>901</v>
      </c>
      <c r="E664" t="s">
        <v>316</v>
      </c>
      <c r="F664" t="s">
        <v>89</v>
      </c>
      <c r="G664" t="s">
        <v>89</v>
      </c>
      <c r="H664" t="s">
        <v>93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116</v>
      </c>
      <c r="B665" t="s">
        <v>300</v>
      </c>
      <c r="C665" t="s">
        <v>89</v>
      </c>
      <c r="D665" t="s">
        <v>902</v>
      </c>
      <c r="E665" t="s">
        <v>308</v>
      </c>
      <c r="F665" t="s">
        <v>89</v>
      </c>
      <c r="G665" t="s">
        <v>89</v>
      </c>
      <c r="H665" t="s">
        <v>93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116</v>
      </c>
      <c r="B666" t="s">
        <v>294</v>
      </c>
      <c r="C666" t="s">
        <v>89</v>
      </c>
      <c r="D666" t="s">
        <v>903</v>
      </c>
      <c r="E666" t="s">
        <v>227</v>
      </c>
      <c r="F666" t="s">
        <v>89</v>
      </c>
      <c r="G666" t="s">
        <v>89</v>
      </c>
      <c r="H666" t="s">
        <v>93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116</v>
      </c>
      <c r="B667" t="s">
        <v>904</v>
      </c>
      <c r="C667" t="s">
        <v>89</v>
      </c>
      <c r="D667" t="s">
        <v>89</v>
      </c>
      <c r="E667" t="s">
        <v>227</v>
      </c>
      <c r="F667" t="s">
        <v>89</v>
      </c>
      <c r="G667" t="s">
        <v>89</v>
      </c>
      <c r="H667" t="s">
        <v>93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116</v>
      </c>
      <c r="B668" t="s">
        <v>905</v>
      </c>
      <c r="C668" t="s">
        <v>89</v>
      </c>
      <c r="D668" t="s">
        <v>89</v>
      </c>
      <c r="E668" t="s">
        <v>308</v>
      </c>
      <c r="F668" t="s">
        <v>89</v>
      </c>
      <c r="G668" t="s">
        <v>89</v>
      </c>
      <c r="H668" t="s">
        <v>93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116</v>
      </c>
      <c r="B669" t="s">
        <v>906</v>
      </c>
      <c r="C669" t="s">
        <v>89</v>
      </c>
      <c r="D669" t="s">
        <v>907</v>
      </c>
      <c r="E669" t="s">
        <v>316</v>
      </c>
      <c r="F669" t="s">
        <v>89</v>
      </c>
      <c r="G669" t="s">
        <v>89</v>
      </c>
      <c r="H669" t="s">
        <v>93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116</v>
      </c>
      <c r="B670" t="s">
        <v>908</v>
      </c>
      <c r="C670" t="s">
        <v>89</v>
      </c>
      <c r="D670" t="s">
        <v>89</v>
      </c>
      <c r="E670" t="s">
        <v>322</v>
      </c>
      <c r="F670" t="s">
        <v>89</v>
      </c>
      <c r="G670" t="s">
        <v>89</v>
      </c>
      <c r="H670" t="s">
        <v>93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116</v>
      </c>
      <c r="B671" t="s">
        <v>497</v>
      </c>
      <c r="C671" t="s">
        <v>89</v>
      </c>
      <c r="D671" t="s">
        <v>909</v>
      </c>
      <c r="E671" t="s">
        <v>208</v>
      </c>
      <c r="F671" t="s">
        <v>89</v>
      </c>
      <c r="G671" t="s">
        <v>89</v>
      </c>
      <c r="H671" t="s">
        <v>93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116</v>
      </c>
      <c r="B672" t="s">
        <v>499</v>
      </c>
      <c r="C672" t="s">
        <v>89</v>
      </c>
      <c r="D672" t="s">
        <v>910</v>
      </c>
      <c r="E672" t="s">
        <v>208</v>
      </c>
      <c r="F672" t="s">
        <v>89</v>
      </c>
      <c r="G672" t="s">
        <v>89</v>
      </c>
      <c r="H672" t="s">
        <v>93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116</v>
      </c>
      <c r="B673" t="s">
        <v>352</v>
      </c>
      <c r="C673" t="s">
        <v>89</v>
      </c>
      <c r="D673" t="s">
        <v>911</v>
      </c>
      <c r="E673" t="s">
        <v>187</v>
      </c>
      <c r="F673" t="s">
        <v>89</v>
      </c>
      <c r="G673" t="s">
        <v>89</v>
      </c>
      <c r="H673" t="s">
        <v>93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116</v>
      </c>
      <c r="B674" t="s">
        <v>507</v>
      </c>
      <c r="C674" t="s">
        <v>89</v>
      </c>
      <c r="D674" t="s">
        <v>912</v>
      </c>
      <c r="E674" t="s">
        <v>354</v>
      </c>
      <c r="F674" t="s">
        <v>89</v>
      </c>
      <c r="G674" t="s">
        <v>89</v>
      </c>
      <c r="H674" t="s">
        <v>93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116</v>
      </c>
      <c r="B675" t="s">
        <v>913</v>
      </c>
      <c r="C675" t="s">
        <v>89</v>
      </c>
      <c r="D675" t="s">
        <v>914</v>
      </c>
      <c r="E675" t="s">
        <v>332</v>
      </c>
      <c r="F675" t="s">
        <v>89</v>
      </c>
      <c r="G675" t="s">
        <v>89</v>
      </c>
      <c r="H675" t="s">
        <v>93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116</v>
      </c>
      <c r="B676" t="s">
        <v>915</v>
      </c>
      <c r="C676" t="s">
        <v>89</v>
      </c>
      <c r="D676" t="s">
        <v>916</v>
      </c>
      <c r="E676" t="s">
        <v>187</v>
      </c>
      <c r="F676" t="s">
        <v>89</v>
      </c>
      <c r="G676" t="s">
        <v>89</v>
      </c>
      <c r="H676" t="s">
        <v>93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116</v>
      </c>
      <c r="B677" t="s">
        <v>917</v>
      </c>
      <c r="C677" t="s">
        <v>89</v>
      </c>
      <c r="D677" t="s">
        <v>918</v>
      </c>
      <c r="E677" t="s">
        <v>332</v>
      </c>
      <c r="F677" t="s">
        <v>89</v>
      </c>
      <c r="G677" t="s">
        <v>89</v>
      </c>
      <c r="H677" t="s">
        <v>93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116</v>
      </c>
      <c r="B678" t="s">
        <v>919</v>
      </c>
      <c r="C678" t="s">
        <v>89</v>
      </c>
      <c r="D678" t="s">
        <v>920</v>
      </c>
      <c r="E678" t="s">
        <v>332</v>
      </c>
      <c r="F678" t="s">
        <v>89</v>
      </c>
      <c r="G678" t="s">
        <v>89</v>
      </c>
      <c r="H678" t="s">
        <v>93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116</v>
      </c>
      <c r="B679" t="s">
        <v>921</v>
      </c>
      <c r="C679" t="s">
        <v>89</v>
      </c>
      <c r="D679" t="s">
        <v>89</v>
      </c>
      <c r="E679" t="s">
        <v>187</v>
      </c>
      <c r="F679" t="s">
        <v>89</v>
      </c>
      <c r="G679" t="s">
        <v>89</v>
      </c>
      <c r="H679" t="s">
        <v>93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116</v>
      </c>
      <c r="B680" t="s">
        <v>922</v>
      </c>
      <c r="C680" t="s">
        <v>89</v>
      </c>
      <c r="D680" t="s">
        <v>923</v>
      </c>
      <c r="E680" t="s">
        <v>184</v>
      </c>
      <c r="F680" t="s">
        <v>89</v>
      </c>
      <c r="G680" t="s">
        <v>89</v>
      </c>
      <c r="H680" t="s">
        <v>93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116</v>
      </c>
      <c r="B681" t="s">
        <v>878</v>
      </c>
      <c r="C681" t="s">
        <v>89</v>
      </c>
      <c r="D681" t="s">
        <v>924</v>
      </c>
      <c r="E681" t="s">
        <v>184</v>
      </c>
      <c r="F681" t="s">
        <v>89</v>
      </c>
      <c r="G681" t="s">
        <v>89</v>
      </c>
      <c r="H681" t="s">
        <v>93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116</v>
      </c>
      <c r="B682" t="s">
        <v>879</v>
      </c>
      <c r="C682" t="s">
        <v>89</v>
      </c>
      <c r="D682" t="s">
        <v>925</v>
      </c>
      <c r="E682" t="s">
        <v>184</v>
      </c>
      <c r="F682" t="s">
        <v>89</v>
      </c>
      <c r="G682" t="s">
        <v>89</v>
      </c>
      <c r="H682" t="s">
        <v>93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116</v>
      </c>
      <c r="B683" t="s">
        <v>926</v>
      </c>
      <c r="C683" t="s">
        <v>89</v>
      </c>
      <c r="D683" t="s">
        <v>927</v>
      </c>
      <c r="E683" t="s">
        <v>184</v>
      </c>
      <c r="F683" t="s">
        <v>89</v>
      </c>
      <c r="G683" t="s">
        <v>89</v>
      </c>
      <c r="H683" t="s">
        <v>93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116</v>
      </c>
      <c r="B684" t="s">
        <v>928</v>
      </c>
      <c r="C684" t="s">
        <v>89</v>
      </c>
      <c r="D684" t="s">
        <v>89</v>
      </c>
      <c r="E684" t="s">
        <v>184</v>
      </c>
      <c r="F684" t="s">
        <v>89</v>
      </c>
      <c r="G684" t="s">
        <v>89</v>
      </c>
      <c r="H684" t="s">
        <v>93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116</v>
      </c>
      <c r="B685" t="s">
        <v>929</v>
      </c>
      <c r="C685" t="s">
        <v>89</v>
      </c>
      <c r="D685" t="s">
        <v>89</v>
      </c>
      <c r="E685" t="s">
        <v>184</v>
      </c>
      <c r="F685" t="s">
        <v>89</v>
      </c>
      <c r="G685" t="s">
        <v>89</v>
      </c>
      <c r="H685" t="s">
        <v>93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116</v>
      </c>
      <c r="B686" t="s">
        <v>930</v>
      </c>
      <c r="C686" t="s">
        <v>89</v>
      </c>
      <c r="D686" t="s">
        <v>89</v>
      </c>
      <c r="E686" t="s">
        <v>184</v>
      </c>
      <c r="F686" t="s">
        <v>89</v>
      </c>
      <c r="G686" t="s">
        <v>89</v>
      </c>
      <c r="H686" t="s">
        <v>93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116</v>
      </c>
      <c r="B687" t="s">
        <v>931</v>
      </c>
      <c r="C687" t="s">
        <v>89</v>
      </c>
      <c r="D687" t="s">
        <v>932</v>
      </c>
      <c r="E687" t="s">
        <v>184</v>
      </c>
      <c r="F687" t="s">
        <v>89</v>
      </c>
      <c r="G687" t="s">
        <v>89</v>
      </c>
      <c r="H687" t="s">
        <v>93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116</v>
      </c>
      <c r="B688" t="s">
        <v>933</v>
      </c>
      <c r="C688" t="s">
        <v>89</v>
      </c>
      <c r="D688" t="s">
        <v>934</v>
      </c>
      <c r="E688" t="s">
        <v>332</v>
      </c>
      <c r="F688" t="s">
        <v>89</v>
      </c>
      <c r="G688" t="s">
        <v>89</v>
      </c>
      <c r="H688" t="s">
        <v>93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116</v>
      </c>
      <c r="B689" t="s">
        <v>935</v>
      </c>
      <c r="C689" t="s">
        <v>89</v>
      </c>
      <c r="D689" t="s">
        <v>936</v>
      </c>
      <c r="E689" t="s">
        <v>607</v>
      </c>
      <c r="F689" t="s">
        <v>89</v>
      </c>
      <c r="G689" t="s">
        <v>89</v>
      </c>
      <c r="H689" t="s">
        <v>93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116</v>
      </c>
      <c r="B690" t="s">
        <v>637</v>
      </c>
      <c r="C690" t="s">
        <v>89</v>
      </c>
      <c r="D690" t="s">
        <v>937</v>
      </c>
      <c r="E690" t="s">
        <v>332</v>
      </c>
      <c r="F690" t="s">
        <v>89</v>
      </c>
      <c r="G690" t="s">
        <v>89</v>
      </c>
      <c r="H690" t="s">
        <v>93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116</v>
      </c>
      <c r="B691" t="s">
        <v>938</v>
      </c>
      <c r="C691" t="s">
        <v>89</v>
      </c>
      <c r="D691" t="s">
        <v>939</v>
      </c>
      <c r="E691" t="s">
        <v>332</v>
      </c>
      <c r="F691" t="s">
        <v>89</v>
      </c>
      <c r="G691" t="s">
        <v>89</v>
      </c>
      <c r="H691" t="s">
        <v>93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116</v>
      </c>
      <c r="B692" t="s">
        <v>940</v>
      </c>
      <c r="C692" t="s">
        <v>89</v>
      </c>
      <c r="D692" t="s">
        <v>939</v>
      </c>
      <c r="E692" t="s">
        <v>354</v>
      </c>
      <c r="F692" t="s">
        <v>89</v>
      </c>
      <c r="G692" t="s">
        <v>89</v>
      </c>
      <c r="H692" t="s">
        <v>93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116</v>
      </c>
      <c r="B693" t="s">
        <v>191</v>
      </c>
      <c r="C693" t="s">
        <v>89</v>
      </c>
      <c r="D693" t="s">
        <v>89</v>
      </c>
      <c r="E693" t="s">
        <v>178</v>
      </c>
      <c r="F693" t="s">
        <v>89</v>
      </c>
      <c r="G693" t="s">
        <v>89</v>
      </c>
      <c r="H693" t="s">
        <v>93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116</v>
      </c>
      <c r="B694" t="s">
        <v>730</v>
      </c>
      <c r="C694" t="s">
        <v>89</v>
      </c>
      <c r="D694" t="s">
        <v>89</v>
      </c>
      <c r="E694" t="s">
        <v>216</v>
      </c>
      <c r="F694" t="s">
        <v>89</v>
      </c>
      <c r="G694" t="s">
        <v>89</v>
      </c>
      <c r="H694" t="s">
        <v>93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116</v>
      </c>
      <c r="B695" t="s">
        <v>243</v>
      </c>
      <c r="C695" t="s">
        <v>89</v>
      </c>
      <c r="D695" t="s">
        <v>89</v>
      </c>
      <c r="E695" t="s">
        <v>178</v>
      </c>
      <c r="F695" t="s">
        <v>89</v>
      </c>
      <c r="G695" t="s">
        <v>89</v>
      </c>
      <c r="H695" t="s">
        <v>93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116</v>
      </c>
      <c r="B696" t="s">
        <v>244</v>
      </c>
      <c r="C696" t="s">
        <v>89</v>
      </c>
      <c r="D696" t="s">
        <v>89</v>
      </c>
      <c r="E696" t="s">
        <v>202</v>
      </c>
      <c r="F696" t="s">
        <v>89</v>
      </c>
      <c r="G696" t="s">
        <v>89</v>
      </c>
      <c r="H696" t="s">
        <v>93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116</v>
      </c>
      <c r="B697" t="s">
        <v>330</v>
      </c>
      <c r="C697" t="s">
        <v>89</v>
      </c>
      <c r="D697" t="s">
        <v>89</v>
      </c>
      <c r="E697" t="s">
        <v>202</v>
      </c>
      <c r="F697" t="s">
        <v>89</v>
      </c>
      <c r="G697" t="s">
        <v>89</v>
      </c>
      <c r="H697" t="s">
        <v>93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116</v>
      </c>
      <c r="B698" t="s">
        <v>941</v>
      </c>
      <c r="C698" t="s">
        <v>89</v>
      </c>
      <c r="D698" t="s">
        <v>89</v>
      </c>
      <c r="E698" t="s">
        <v>308</v>
      </c>
      <c r="F698" t="s">
        <v>89</v>
      </c>
      <c r="G698" t="s">
        <v>89</v>
      </c>
      <c r="H698" t="s">
        <v>93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116</v>
      </c>
      <c r="B699" t="s">
        <v>680</v>
      </c>
      <c r="C699" t="s">
        <v>89</v>
      </c>
      <c r="D699" t="s">
        <v>89</v>
      </c>
      <c r="E699" t="s">
        <v>241</v>
      </c>
      <c r="F699" t="s">
        <v>89</v>
      </c>
      <c r="G699" t="s">
        <v>89</v>
      </c>
      <c r="H699" t="s">
        <v>93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116</v>
      </c>
      <c r="B700" t="s">
        <v>195</v>
      </c>
      <c r="C700" t="s">
        <v>89</v>
      </c>
      <c r="D700" t="s">
        <v>89</v>
      </c>
      <c r="E700" t="s">
        <v>246</v>
      </c>
      <c r="F700" t="s">
        <v>89</v>
      </c>
      <c r="G700" t="s">
        <v>89</v>
      </c>
      <c r="H700" t="s">
        <v>93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116</v>
      </c>
      <c r="B701" t="s">
        <v>217</v>
      </c>
      <c r="C701" t="s">
        <v>89</v>
      </c>
      <c r="D701" t="s">
        <v>89</v>
      </c>
      <c r="E701" t="s">
        <v>178</v>
      </c>
      <c r="F701" t="s">
        <v>89</v>
      </c>
      <c r="G701" t="s">
        <v>89</v>
      </c>
      <c r="H701" t="s">
        <v>93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116</v>
      </c>
      <c r="B702" t="s">
        <v>219</v>
      </c>
      <c r="C702" t="s">
        <v>89</v>
      </c>
      <c r="D702" t="s">
        <v>89</v>
      </c>
      <c r="E702" t="s">
        <v>216</v>
      </c>
      <c r="F702" t="s">
        <v>89</v>
      </c>
      <c r="G702" t="s">
        <v>89</v>
      </c>
      <c r="H702" t="s">
        <v>93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116</v>
      </c>
      <c r="B703" t="s">
        <v>197</v>
      </c>
      <c r="C703" t="s">
        <v>89</v>
      </c>
      <c r="D703" t="s">
        <v>89</v>
      </c>
      <c r="E703" t="s">
        <v>196</v>
      </c>
      <c r="F703" t="s">
        <v>89</v>
      </c>
      <c r="G703" t="s">
        <v>89</v>
      </c>
      <c r="H703" t="s">
        <v>93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116</v>
      </c>
      <c r="B704" t="s">
        <v>942</v>
      </c>
      <c r="C704" t="s">
        <v>89</v>
      </c>
      <c r="D704" t="s">
        <v>885</v>
      </c>
      <c r="E704" t="s">
        <v>246</v>
      </c>
      <c r="F704" t="s">
        <v>89</v>
      </c>
      <c r="G704" t="s">
        <v>89</v>
      </c>
      <c r="H704" t="s">
        <v>93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116</v>
      </c>
      <c r="B705" t="s">
        <v>199</v>
      </c>
      <c r="C705" t="s">
        <v>89</v>
      </c>
      <c r="D705" t="s">
        <v>89</v>
      </c>
      <c r="E705" t="s">
        <v>200</v>
      </c>
      <c r="F705" t="s">
        <v>89</v>
      </c>
      <c r="G705" t="s">
        <v>89</v>
      </c>
      <c r="H705" t="s">
        <v>93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117</v>
      </c>
      <c r="B706" t="s">
        <v>943</v>
      </c>
      <c r="C706" t="s">
        <v>89</v>
      </c>
      <c r="D706" t="s">
        <v>89</v>
      </c>
      <c r="E706" t="s">
        <v>220</v>
      </c>
      <c r="F706" t="s">
        <v>89</v>
      </c>
      <c r="G706" t="s">
        <v>89</v>
      </c>
      <c r="H706" t="s">
        <v>93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117</v>
      </c>
      <c r="B707" t="s">
        <v>874</v>
      </c>
      <c r="C707" t="s">
        <v>89</v>
      </c>
      <c r="D707" t="s">
        <v>944</v>
      </c>
      <c r="E707" t="s">
        <v>316</v>
      </c>
      <c r="F707" t="s">
        <v>89</v>
      </c>
      <c r="G707" t="s">
        <v>89</v>
      </c>
      <c r="H707" t="s">
        <v>93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117</v>
      </c>
      <c r="B708" t="s">
        <v>945</v>
      </c>
      <c r="C708" t="s">
        <v>89</v>
      </c>
      <c r="D708" t="s">
        <v>946</v>
      </c>
      <c r="E708" t="s">
        <v>386</v>
      </c>
      <c r="F708" t="s">
        <v>89</v>
      </c>
      <c r="G708" t="s">
        <v>89</v>
      </c>
      <c r="H708" t="s">
        <v>93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117</v>
      </c>
      <c r="B709" t="s">
        <v>947</v>
      </c>
      <c r="C709" t="s">
        <v>89</v>
      </c>
      <c r="D709" t="s">
        <v>89</v>
      </c>
      <c r="E709" t="s">
        <v>184</v>
      </c>
      <c r="F709" t="s">
        <v>89</v>
      </c>
      <c r="G709" t="s">
        <v>89</v>
      </c>
      <c r="H709" t="s">
        <v>93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117</v>
      </c>
      <c r="B710" t="s">
        <v>948</v>
      </c>
      <c r="C710" t="s">
        <v>89</v>
      </c>
      <c r="D710" t="s">
        <v>946</v>
      </c>
      <c r="E710" t="s">
        <v>354</v>
      </c>
      <c r="F710" t="s">
        <v>89</v>
      </c>
      <c r="G710" t="s">
        <v>89</v>
      </c>
      <c r="H710" t="s">
        <v>93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117</v>
      </c>
      <c r="B711" t="s">
        <v>949</v>
      </c>
      <c r="C711" t="s">
        <v>89</v>
      </c>
      <c r="D711" t="s">
        <v>946</v>
      </c>
      <c r="E711" t="s">
        <v>354</v>
      </c>
      <c r="F711" t="s">
        <v>89</v>
      </c>
      <c r="G711" t="s">
        <v>89</v>
      </c>
      <c r="H711" t="s">
        <v>93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117</v>
      </c>
      <c r="B712" t="s">
        <v>948</v>
      </c>
      <c r="C712" t="s">
        <v>89</v>
      </c>
      <c r="D712" t="s">
        <v>946</v>
      </c>
      <c r="E712" t="s">
        <v>354</v>
      </c>
      <c r="F712" t="s">
        <v>89</v>
      </c>
      <c r="G712" t="s">
        <v>89</v>
      </c>
      <c r="H712" t="s">
        <v>93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117</v>
      </c>
      <c r="B713" t="s">
        <v>945</v>
      </c>
      <c r="C713" t="s">
        <v>89</v>
      </c>
      <c r="D713" t="s">
        <v>946</v>
      </c>
      <c r="E713" t="s">
        <v>386</v>
      </c>
      <c r="F713" t="s">
        <v>89</v>
      </c>
      <c r="G713" t="s">
        <v>89</v>
      </c>
      <c r="H713" t="s">
        <v>93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117</v>
      </c>
      <c r="B714" t="s">
        <v>950</v>
      </c>
      <c r="C714" t="s">
        <v>89</v>
      </c>
      <c r="D714" t="s">
        <v>946</v>
      </c>
      <c r="E714" t="s">
        <v>227</v>
      </c>
      <c r="F714" t="s">
        <v>89</v>
      </c>
      <c r="G714" t="s">
        <v>89</v>
      </c>
      <c r="H714" t="s">
        <v>93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117</v>
      </c>
      <c r="B715" t="s">
        <v>951</v>
      </c>
      <c r="C715" t="s">
        <v>89</v>
      </c>
      <c r="D715" t="s">
        <v>946</v>
      </c>
      <c r="E715" t="s">
        <v>386</v>
      </c>
      <c r="F715" t="s">
        <v>89</v>
      </c>
      <c r="G715" t="s">
        <v>89</v>
      </c>
      <c r="H715" t="s">
        <v>93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117</v>
      </c>
      <c r="B716" t="s">
        <v>952</v>
      </c>
      <c r="C716" t="s">
        <v>89</v>
      </c>
      <c r="D716" t="s">
        <v>946</v>
      </c>
      <c r="E716" t="s">
        <v>227</v>
      </c>
      <c r="F716" t="s">
        <v>89</v>
      </c>
      <c r="G716" t="s">
        <v>89</v>
      </c>
      <c r="H716" t="s">
        <v>93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117</v>
      </c>
      <c r="B717" t="s">
        <v>947</v>
      </c>
      <c r="C717" t="s">
        <v>89</v>
      </c>
      <c r="D717" t="s">
        <v>89</v>
      </c>
      <c r="E717" t="s">
        <v>184</v>
      </c>
      <c r="F717" t="s">
        <v>89</v>
      </c>
      <c r="G717" t="s">
        <v>89</v>
      </c>
      <c r="H717" t="s">
        <v>93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117</v>
      </c>
      <c r="B718" t="s">
        <v>943</v>
      </c>
      <c r="C718" t="s">
        <v>89</v>
      </c>
      <c r="D718" t="s">
        <v>89</v>
      </c>
      <c r="E718" t="s">
        <v>220</v>
      </c>
      <c r="F718" t="s">
        <v>89</v>
      </c>
      <c r="G718" t="s">
        <v>89</v>
      </c>
      <c r="H718" t="s">
        <v>93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117</v>
      </c>
      <c r="B719" t="s">
        <v>953</v>
      </c>
      <c r="C719" t="s">
        <v>89</v>
      </c>
      <c r="D719" t="s">
        <v>89</v>
      </c>
      <c r="E719" t="s">
        <v>425</v>
      </c>
      <c r="F719" t="s">
        <v>89</v>
      </c>
      <c r="G719" t="s">
        <v>89</v>
      </c>
      <c r="H719" t="s">
        <v>93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117</v>
      </c>
      <c r="B720" t="s">
        <v>954</v>
      </c>
      <c r="C720" t="s">
        <v>89</v>
      </c>
      <c r="D720" t="s">
        <v>89</v>
      </c>
      <c r="E720" t="s">
        <v>354</v>
      </c>
      <c r="F720" t="s">
        <v>89</v>
      </c>
      <c r="G720" t="s">
        <v>89</v>
      </c>
      <c r="H720" t="s">
        <v>93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117</v>
      </c>
      <c r="B721" t="s">
        <v>874</v>
      </c>
      <c r="C721" t="s">
        <v>89</v>
      </c>
      <c r="D721" t="s">
        <v>944</v>
      </c>
      <c r="E721" t="s">
        <v>316</v>
      </c>
      <c r="F721" t="s">
        <v>89</v>
      </c>
      <c r="G721" t="s">
        <v>89</v>
      </c>
      <c r="H721" t="s">
        <v>93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117</v>
      </c>
      <c r="B722" t="s">
        <v>955</v>
      </c>
      <c r="C722" t="s">
        <v>89</v>
      </c>
      <c r="D722" t="s">
        <v>89</v>
      </c>
      <c r="E722" t="s">
        <v>332</v>
      </c>
      <c r="F722" t="s">
        <v>89</v>
      </c>
      <c r="G722" t="s">
        <v>89</v>
      </c>
      <c r="H722" t="s">
        <v>93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117</v>
      </c>
      <c r="B723" t="s">
        <v>956</v>
      </c>
      <c r="C723" t="s">
        <v>89</v>
      </c>
      <c r="D723" t="s">
        <v>957</v>
      </c>
      <c r="E723" t="s">
        <v>354</v>
      </c>
      <c r="F723" t="s">
        <v>89</v>
      </c>
      <c r="G723" t="s">
        <v>89</v>
      </c>
      <c r="H723" t="s">
        <v>93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117</v>
      </c>
      <c r="B724" t="s">
        <v>958</v>
      </c>
      <c r="C724" t="s">
        <v>89</v>
      </c>
      <c r="D724" t="s">
        <v>959</v>
      </c>
      <c r="E724" t="s">
        <v>960</v>
      </c>
      <c r="F724" t="s">
        <v>89</v>
      </c>
      <c r="G724" t="s">
        <v>89</v>
      </c>
      <c r="H724" t="s">
        <v>93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117</v>
      </c>
      <c r="B725" t="s">
        <v>191</v>
      </c>
      <c r="C725" t="s">
        <v>89</v>
      </c>
      <c r="D725" t="s">
        <v>89</v>
      </c>
      <c r="E725" t="s">
        <v>241</v>
      </c>
      <c r="F725" t="s">
        <v>89</v>
      </c>
      <c r="G725" t="s">
        <v>89</v>
      </c>
      <c r="H725" t="s">
        <v>93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117</v>
      </c>
      <c r="B726" t="s">
        <v>197</v>
      </c>
      <c r="C726" t="s">
        <v>89</v>
      </c>
      <c r="D726" t="s">
        <v>89</v>
      </c>
      <c r="E726" t="s">
        <v>716</v>
      </c>
      <c r="F726" t="s">
        <v>89</v>
      </c>
      <c r="G726" t="s">
        <v>89</v>
      </c>
      <c r="H726" t="s">
        <v>93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117</v>
      </c>
      <c r="B727" t="s">
        <v>730</v>
      </c>
      <c r="C727" t="s">
        <v>89</v>
      </c>
      <c r="D727" t="s">
        <v>89</v>
      </c>
      <c r="E727" t="s">
        <v>216</v>
      </c>
      <c r="F727" t="s">
        <v>89</v>
      </c>
      <c r="G727" t="s">
        <v>89</v>
      </c>
      <c r="H727" t="s">
        <v>93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117</v>
      </c>
      <c r="B728" t="s">
        <v>723</v>
      </c>
      <c r="C728" t="s">
        <v>89</v>
      </c>
      <c r="D728" t="s">
        <v>89</v>
      </c>
      <c r="E728" t="s">
        <v>216</v>
      </c>
      <c r="F728" t="s">
        <v>89</v>
      </c>
      <c r="G728" t="s">
        <v>89</v>
      </c>
      <c r="H728" t="s">
        <v>93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117</v>
      </c>
      <c r="B729" t="s">
        <v>961</v>
      </c>
      <c r="C729" t="s">
        <v>89</v>
      </c>
      <c r="D729" t="s">
        <v>89</v>
      </c>
      <c r="E729" t="s">
        <v>716</v>
      </c>
      <c r="F729" t="s">
        <v>89</v>
      </c>
      <c r="G729" t="s">
        <v>89</v>
      </c>
      <c r="H729" t="s">
        <v>93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117</v>
      </c>
      <c r="B730" t="s">
        <v>245</v>
      </c>
      <c r="C730" t="s">
        <v>89</v>
      </c>
      <c r="D730" t="s">
        <v>89</v>
      </c>
      <c r="E730" t="s">
        <v>178</v>
      </c>
      <c r="F730" t="s">
        <v>89</v>
      </c>
      <c r="G730" t="s">
        <v>89</v>
      </c>
      <c r="H730" t="s">
        <v>93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117</v>
      </c>
      <c r="B731" t="s">
        <v>243</v>
      </c>
      <c r="C731" t="s">
        <v>89</v>
      </c>
      <c r="D731" t="s">
        <v>89</v>
      </c>
      <c r="E731" t="s">
        <v>241</v>
      </c>
      <c r="F731" t="s">
        <v>89</v>
      </c>
      <c r="G731" t="s">
        <v>89</v>
      </c>
      <c r="H731" t="s">
        <v>93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117</v>
      </c>
      <c r="B732" t="s">
        <v>199</v>
      </c>
      <c r="C732" t="s">
        <v>89</v>
      </c>
      <c r="D732" t="s">
        <v>89</v>
      </c>
      <c r="E732" t="s">
        <v>200</v>
      </c>
      <c r="F732" t="s">
        <v>89</v>
      </c>
      <c r="G732" t="s">
        <v>89</v>
      </c>
      <c r="H732" t="s">
        <v>93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119</v>
      </c>
      <c r="B733" t="s">
        <v>366</v>
      </c>
      <c r="C733" t="s">
        <v>89</v>
      </c>
      <c r="D733" t="s">
        <v>962</v>
      </c>
      <c r="E733" t="s">
        <v>441</v>
      </c>
      <c r="F733" t="s">
        <v>89</v>
      </c>
      <c r="G733" t="s">
        <v>89</v>
      </c>
      <c r="H733" t="s">
        <v>93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119</v>
      </c>
      <c r="B734" t="s">
        <v>963</v>
      </c>
      <c r="C734" t="s">
        <v>89</v>
      </c>
      <c r="D734" t="s">
        <v>964</v>
      </c>
      <c r="E734" t="s">
        <v>965</v>
      </c>
      <c r="F734" t="s">
        <v>89</v>
      </c>
      <c r="G734" t="s">
        <v>89</v>
      </c>
      <c r="H734" t="s">
        <v>93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119</v>
      </c>
      <c r="B735" t="s">
        <v>966</v>
      </c>
      <c r="C735" t="s">
        <v>89</v>
      </c>
      <c r="D735" t="s">
        <v>964</v>
      </c>
      <c r="E735" t="s">
        <v>456</v>
      </c>
      <c r="F735" t="s">
        <v>89</v>
      </c>
      <c r="G735" t="s">
        <v>89</v>
      </c>
      <c r="H735" t="s">
        <v>93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119</v>
      </c>
      <c r="B736" t="s">
        <v>313</v>
      </c>
      <c r="C736" t="s">
        <v>89</v>
      </c>
      <c r="D736" t="s">
        <v>967</v>
      </c>
      <c r="E736" t="s">
        <v>968</v>
      </c>
      <c r="F736" t="s">
        <v>89</v>
      </c>
      <c r="G736" t="s">
        <v>89</v>
      </c>
      <c r="H736" t="s">
        <v>93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119</v>
      </c>
      <c r="B737" t="s">
        <v>373</v>
      </c>
      <c r="C737" t="s">
        <v>89</v>
      </c>
      <c r="D737" t="s">
        <v>962</v>
      </c>
      <c r="E737" t="s">
        <v>459</v>
      </c>
      <c r="F737" t="s">
        <v>89</v>
      </c>
      <c r="G737" t="s">
        <v>89</v>
      </c>
      <c r="H737" t="s">
        <v>93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119</v>
      </c>
      <c r="B738" t="s">
        <v>313</v>
      </c>
      <c r="C738" t="s">
        <v>89</v>
      </c>
      <c r="D738" t="s">
        <v>967</v>
      </c>
      <c r="E738" t="s">
        <v>968</v>
      </c>
      <c r="F738" t="s">
        <v>89</v>
      </c>
      <c r="G738" t="s">
        <v>89</v>
      </c>
      <c r="H738" t="s">
        <v>93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119</v>
      </c>
      <c r="B739" t="s">
        <v>351</v>
      </c>
      <c r="C739" t="s">
        <v>89</v>
      </c>
      <c r="D739" t="s">
        <v>969</v>
      </c>
      <c r="E739" t="s">
        <v>970</v>
      </c>
      <c r="F739" t="s">
        <v>89</v>
      </c>
      <c r="G739" t="s">
        <v>89</v>
      </c>
      <c r="H739" t="s">
        <v>93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119</v>
      </c>
      <c r="B740" t="s">
        <v>315</v>
      </c>
      <c r="C740" t="s">
        <v>89</v>
      </c>
      <c r="D740" t="s">
        <v>962</v>
      </c>
      <c r="E740" t="s">
        <v>968</v>
      </c>
      <c r="F740" t="s">
        <v>89</v>
      </c>
      <c r="G740" t="s">
        <v>89</v>
      </c>
      <c r="H740" t="s">
        <v>93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119</v>
      </c>
      <c r="B741" t="s">
        <v>317</v>
      </c>
      <c r="C741" t="s">
        <v>89</v>
      </c>
      <c r="D741" t="s">
        <v>962</v>
      </c>
      <c r="E741" t="s">
        <v>968</v>
      </c>
      <c r="F741" t="s">
        <v>89</v>
      </c>
      <c r="G741" t="s">
        <v>89</v>
      </c>
      <c r="H741" t="s">
        <v>93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119</v>
      </c>
      <c r="B742" t="s">
        <v>971</v>
      </c>
      <c r="C742" t="s">
        <v>89</v>
      </c>
      <c r="D742" t="s">
        <v>962</v>
      </c>
      <c r="E742" t="s">
        <v>463</v>
      </c>
      <c r="F742" t="s">
        <v>89</v>
      </c>
      <c r="G742" t="s">
        <v>89</v>
      </c>
      <c r="H742" t="s">
        <v>93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119</v>
      </c>
      <c r="B743" t="s">
        <v>361</v>
      </c>
      <c r="C743" t="s">
        <v>89</v>
      </c>
      <c r="D743" t="s">
        <v>962</v>
      </c>
      <c r="E743" t="s">
        <v>972</v>
      </c>
      <c r="F743" t="s">
        <v>89</v>
      </c>
      <c r="G743" t="s">
        <v>89</v>
      </c>
      <c r="H743" t="s">
        <v>93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119</v>
      </c>
      <c r="B744" t="s">
        <v>360</v>
      </c>
      <c r="C744" t="s">
        <v>89</v>
      </c>
      <c r="D744" t="s">
        <v>962</v>
      </c>
      <c r="E744" t="s">
        <v>459</v>
      </c>
      <c r="F744" t="s">
        <v>89</v>
      </c>
      <c r="G744" t="s">
        <v>89</v>
      </c>
      <c r="H744" t="s">
        <v>93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119</v>
      </c>
      <c r="B745" t="s">
        <v>567</v>
      </c>
      <c r="C745" t="s">
        <v>89</v>
      </c>
      <c r="D745" t="s">
        <v>973</v>
      </c>
      <c r="E745" t="s">
        <v>974</v>
      </c>
      <c r="F745" t="s">
        <v>89</v>
      </c>
      <c r="G745" t="s">
        <v>89</v>
      </c>
      <c r="H745" t="s">
        <v>93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119</v>
      </c>
      <c r="B746" t="s">
        <v>362</v>
      </c>
      <c r="C746" t="s">
        <v>89</v>
      </c>
      <c r="D746" t="s">
        <v>975</v>
      </c>
      <c r="E746" t="s">
        <v>976</v>
      </c>
      <c r="F746" t="s">
        <v>89</v>
      </c>
      <c r="G746" t="s">
        <v>89</v>
      </c>
      <c r="H746" t="s">
        <v>93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119</v>
      </c>
      <c r="B747" t="s">
        <v>977</v>
      </c>
      <c r="C747" t="s">
        <v>89</v>
      </c>
      <c r="D747" t="s">
        <v>964</v>
      </c>
      <c r="E747" t="s">
        <v>978</v>
      </c>
      <c r="F747" t="s">
        <v>89</v>
      </c>
      <c r="G747" t="s">
        <v>89</v>
      </c>
      <c r="H747" t="s">
        <v>93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119</v>
      </c>
      <c r="B748" t="s">
        <v>966</v>
      </c>
      <c r="C748" t="s">
        <v>89</v>
      </c>
      <c r="D748" t="s">
        <v>964</v>
      </c>
      <c r="E748" t="s">
        <v>456</v>
      </c>
      <c r="F748" t="s">
        <v>89</v>
      </c>
      <c r="G748" t="s">
        <v>89</v>
      </c>
      <c r="H748" t="s">
        <v>93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119</v>
      </c>
      <c r="B749" t="s">
        <v>963</v>
      </c>
      <c r="C749" t="s">
        <v>89</v>
      </c>
      <c r="D749" t="s">
        <v>964</v>
      </c>
      <c r="E749" t="s">
        <v>965</v>
      </c>
      <c r="F749" t="s">
        <v>89</v>
      </c>
      <c r="G749" t="s">
        <v>89</v>
      </c>
      <c r="H749" t="s">
        <v>93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119</v>
      </c>
      <c r="B750" t="s">
        <v>373</v>
      </c>
      <c r="C750" t="s">
        <v>89</v>
      </c>
      <c r="D750" t="s">
        <v>962</v>
      </c>
      <c r="E750" t="s">
        <v>459</v>
      </c>
      <c r="F750" t="s">
        <v>89</v>
      </c>
      <c r="G750" t="s">
        <v>89</v>
      </c>
      <c r="H750" t="s">
        <v>93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119</v>
      </c>
      <c r="B751" t="s">
        <v>366</v>
      </c>
      <c r="C751" t="s">
        <v>89</v>
      </c>
      <c r="D751" t="s">
        <v>962</v>
      </c>
      <c r="E751" t="s">
        <v>441</v>
      </c>
      <c r="F751" t="s">
        <v>89</v>
      </c>
      <c r="G751" t="s">
        <v>89</v>
      </c>
      <c r="H751" t="s">
        <v>93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119</v>
      </c>
      <c r="B752" t="s">
        <v>574</v>
      </c>
      <c r="C752" t="s">
        <v>89</v>
      </c>
      <c r="D752" t="s">
        <v>979</v>
      </c>
      <c r="E752" t="s">
        <v>859</v>
      </c>
      <c r="F752" t="s">
        <v>89</v>
      </c>
      <c r="G752" t="s">
        <v>89</v>
      </c>
      <c r="H752" t="s">
        <v>93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119</v>
      </c>
      <c r="B753" t="s">
        <v>369</v>
      </c>
      <c r="C753" t="s">
        <v>89</v>
      </c>
      <c r="D753" t="s">
        <v>962</v>
      </c>
      <c r="E753" t="s">
        <v>968</v>
      </c>
      <c r="F753" t="s">
        <v>89</v>
      </c>
      <c r="G753" t="s">
        <v>89</v>
      </c>
      <c r="H753" t="s">
        <v>93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119</v>
      </c>
      <c r="B754" t="s">
        <v>376</v>
      </c>
      <c r="C754" t="s">
        <v>89</v>
      </c>
      <c r="D754" t="s">
        <v>962</v>
      </c>
      <c r="E754" t="s">
        <v>463</v>
      </c>
      <c r="F754" t="s">
        <v>89</v>
      </c>
      <c r="G754" t="s">
        <v>89</v>
      </c>
      <c r="H754" t="s">
        <v>93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119</v>
      </c>
      <c r="B755" t="s">
        <v>370</v>
      </c>
      <c r="C755" t="s">
        <v>89</v>
      </c>
      <c r="D755" t="s">
        <v>962</v>
      </c>
      <c r="E755" t="s">
        <v>466</v>
      </c>
      <c r="F755" t="s">
        <v>89</v>
      </c>
      <c r="G755" t="s">
        <v>89</v>
      </c>
      <c r="H755" t="s">
        <v>93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119</v>
      </c>
      <c r="B756" t="s">
        <v>980</v>
      </c>
      <c r="C756" t="s">
        <v>89</v>
      </c>
      <c r="D756" t="s">
        <v>981</v>
      </c>
      <c r="E756" t="s">
        <v>982</v>
      </c>
      <c r="F756" t="s">
        <v>89</v>
      </c>
      <c r="G756" t="s">
        <v>89</v>
      </c>
      <c r="H756" t="s">
        <v>93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119</v>
      </c>
      <c r="B757" t="s">
        <v>899</v>
      </c>
      <c r="C757" t="s">
        <v>89</v>
      </c>
      <c r="D757" t="s">
        <v>89</v>
      </c>
      <c r="E757" t="s">
        <v>178</v>
      </c>
      <c r="F757" t="s">
        <v>89</v>
      </c>
      <c r="G757" t="s">
        <v>89</v>
      </c>
      <c r="H757" t="s">
        <v>93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119</v>
      </c>
      <c r="B758" t="s">
        <v>194</v>
      </c>
      <c r="C758" t="s">
        <v>89</v>
      </c>
      <c r="D758" t="s">
        <v>89</v>
      </c>
      <c r="E758" t="s">
        <v>983</v>
      </c>
      <c r="F758" t="s">
        <v>89</v>
      </c>
      <c r="G758" t="s">
        <v>89</v>
      </c>
      <c r="H758" t="s">
        <v>93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119</v>
      </c>
      <c r="B759" t="s">
        <v>197</v>
      </c>
      <c r="C759" t="s">
        <v>89</v>
      </c>
      <c r="D759" t="s">
        <v>89</v>
      </c>
      <c r="E759" t="s">
        <v>196</v>
      </c>
      <c r="F759" t="s">
        <v>89</v>
      </c>
      <c r="G759" t="s">
        <v>89</v>
      </c>
      <c r="H759" t="s">
        <v>93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119</v>
      </c>
      <c r="B760" t="s">
        <v>984</v>
      </c>
      <c r="C760" t="s">
        <v>89</v>
      </c>
      <c r="D760" t="s">
        <v>89</v>
      </c>
      <c r="E760" t="s">
        <v>178</v>
      </c>
      <c r="F760" t="s">
        <v>89</v>
      </c>
      <c r="G760" t="s">
        <v>89</v>
      </c>
      <c r="H760" t="s">
        <v>93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119</v>
      </c>
      <c r="B761" t="s">
        <v>199</v>
      </c>
      <c r="C761" t="s">
        <v>89</v>
      </c>
      <c r="D761" t="s">
        <v>89</v>
      </c>
      <c r="E761" t="s">
        <v>200</v>
      </c>
      <c r="F761" t="s">
        <v>89</v>
      </c>
      <c r="G761" t="s">
        <v>89</v>
      </c>
      <c r="H761" t="s">
        <v>93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121</v>
      </c>
      <c r="B762" t="s">
        <v>985</v>
      </c>
      <c r="C762" t="s">
        <v>89</v>
      </c>
      <c r="D762" t="s">
        <v>986</v>
      </c>
      <c r="E762" t="s">
        <v>322</v>
      </c>
      <c r="F762" t="s">
        <v>89</v>
      </c>
      <c r="G762" t="s">
        <v>89</v>
      </c>
      <c r="H762" t="s">
        <v>93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121</v>
      </c>
      <c r="B763" t="s">
        <v>987</v>
      </c>
      <c r="C763" t="s">
        <v>89</v>
      </c>
      <c r="D763" t="s">
        <v>986</v>
      </c>
      <c r="E763" t="s">
        <v>308</v>
      </c>
      <c r="F763" t="s">
        <v>89</v>
      </c>
      <c r="G763" t="s">
        <v>89</v>
      </c>
      <c r="H763" t="s">
        <v>93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121</v>
      </c>
      <c r="B764" t="s">
        <v>988</v>
      </c>
      <c r="C764" t="s">
        <v>89</v>
      </c>
      <c r="D764" t="s">
        <v>989</v>
      </c>
      <c r="E764" t="s">
        <v>990</v>
      </c>
      <c r="F764" t="s">
        <v>89</v>
      </c>
      <c r="G764" t="s">
        <v>89</v>
      </c>
      <c r="H764" t="s">
        <v>93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121</v>
      </c>
      <c r="B765" t="s">
        <v>991</v>
      </c>
      <c r="C765" t="s">
        <v>89</v>
      </c>
      <c r="D765" t="s">
        <v>992</v>
      </c>
      <c r="E765" t="s">
        <v>334</v>
      </c>
      <c r="F765" t="s">
        <v>89</v>
      </c>
      <c r="G765" t="s">
        <v>89</v>
      </c>
      <c r="H765" t="s">
        <v>93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121</v>
      </c>
      <c r="B766" t="s">
        <v>993</v>
      </c>
      <c r="C766" t="s">
        <v>89</v>
      </c>
      <c r="D766" t="s">
        <v>994</v>
      </c>
      <c r="E766" t="s">
        <v>334</v>
      </c>
      <c r="F766" t="s">
        <v>89</v>
      </c>
      <c r="G766" t="s">
        <v>89</v>
      </c>
      <c r="H766" t="s">
        <v>93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121</v>
      </c>
      <c r="B767" t="s">
        <v>995</v>
      </c>
      <c r="C767" t="s">
        <v>89</v>
      </c>
      <c r="D767" t="s">
        <v>996</v>
      </c>
      <c r="E767" t="s">
        <v>237</v>
      </c>
      <c r="F767" t="s">
        <v>89</v>
      </c>
      <c r="G767" t="s">
        <v>89</v>
      </c>
      <c r="H767" t="s">
        <v>93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121</v>
      </c>
      <c r="B768" t="s">
        <v>988</v>
      </c>
      <c r="C768" t="s">
        <v>89</v>
      </c>
      <c r="D768" t="s">
        <v>989</v>
      </c>
      <c r="E768" t="s">
        <v>990</v>
      </c>
      <c r="F768" t="s">
        <v>89</v>
      </c>
      <c r="G768" t="s">
        <v>89</v>
      </c>
      <c r="H768" t="s">
        <v>93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121</v>
      </c>
      <c r="B769" t="s">
        <v>993</v>
      </c>
      <c r="C769" t="s">
        <v>89</v>
      </c>
      <c r="D769" t="s">
        <v>994</v>
      </c>
      <c r="E769" t="s">
        <v>334</v>
      </c>
      <c r="F769" t="s">
        <v>89</v>
      </c>
      <c r="G769" t="s">
        <v>89</v>
      </c>
      <c r="H769" t="s">
        <v>93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121</v>
      </c>
      <c r="B770" t="s">
        <v>997</v>
      </c>
      <c r="C770" t="s">
        <v>89</v>
      </c>
      <c r="D770" t="s">
        <v>998</v>
      </c>
      <c r="E770" t="s">
        <v>607</v>
      </c>
      <c r="F770" t="s">
        <v>89</v>
      </c>
      <c r="G770" t="s">
        <v>89</v>
      </c>
      <c r="H770" t="s">
        <v>93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121</v>
      </c>
      <c r="B771" t="s">
        <v>999</v>
      </c>
      <c r="C771" t="s">
        <v>89</v>
      </c>
      <c r="D771" t="s">
        <v>1000</v>
      </c>
      <c r="E771" t="s">
        <v>334</v>
      </c>
      <c r="F771" t="s">
        <v>89</v>
      </c>
      <c r="G771" t="s">
        <v>89</v>
      </c>
      <c r="H771" t="s">
        <v>93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121</v>
      </c>
      <c r="B772" t="s">
        <v>1001</v>
      </c>
      <c r="C772" t="s">
        <v>89</v>
      </c>
      <c r="D772" t="s">
        <v>1002</v>
      </c>
      <c r="E772" t="s">
        <v>375</v>
      </c>
      <c r="F772" t="s">
        <v>89</v>
      </c>
      <c r="G772" t="s">
        <v>89</v>
      </c>
      <c r="H772" t="s">
        <v>93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121</v>
      </c>
      <c r="B773" t="s">
        <v>991</v>
      </c>
      <c r="C773" t="s">
        <v>89</v>
      </c>
      <c r="D773" t="s">
        <v>992</v>
      </c>
      <c r="E773" t="s">
        <v>334</v>
      </c>
      <c r="F773" t="s">
        <v>89</v>
      </c>
      <c r="G773" t="s">
        <v>89</v>
      </c>
      <c r="H773" t="s">
        <v>93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121</v>
      </c>
      <c r="B774" t="s">
        <v>1003</v>
      </c>
      <c r="C774" t="s">
        <v>89</v>
      </c>
      <c r="D774" t="s">
        <v>721</v>
      </c>
      <c r="E774" t="s">
        <v>181</v>
      </c>
      <c r="F774" t="s">
        <v>89</v>
      </c>
      <c r="G774" t="s">
        <v>89</v>
      </c>
      <c r="H774" t="s">
        <v>93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121</v>
      </c>
      <c r="B775" t="s">
        <v>985</v>
      </c>
      <c r="C775" t="s">
        <v>89</v>
      </c>
      <c r="D775" t="s">
        <v>986</v>
      </c>
      <c r="E775" t="s">
        <v>322</v>
      </c>
      <c r="F775" t="s">
        <v>89</v>
      </c>
      <c r="G775" t="s">
        <v>89</v>
      </c>
      <c r="H775" t="s">
        <v>93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121</v>
      </c>
      <c r="B776" t="s">
        <v>1004</v>
      </c>
      <c r="C776" t="s">
        <v>89</v>
      </c>
      <c r="D776" t="s">
        <v>1005</v>
      </c>
      <c r="E776" t="s">
        <v>868</v>
      </c>
      <c r="F776" t="s">
        <v>89</v>
      </c>
      <c r="G776" t="s">
        <v>89</v>
      </c>
      <c r="H776" t="s">
        <v>93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121</v>
      </c>
      <c r="B777" t="s">
        <v>1006</v>
      </c>
      <c r="C777" t="s">
        <v>89</v>
      </c>
      <c r="D777" t="s">
        <v>1007</v>
      </c>
      <c r="E777" t="s">
        <v>322</v>
      </c>
      <c r="F777" t="s">
        <v>89</v>
      </c>
      <c r="G777" t="s">
        <v>89</v>
      </c>
      <c r="H777" t="s">
        <v>93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121</v>
      </c>
      <c r="B778" t="s">
        <v>1008</v>
      </c>
      <c r="C778" t="s">
        <v>89</v>
      </c>
      <c r="D778" t="s">
        <v>1009</v>
      </c>
      <c r="E778" t="s">
        <v>181</v>
      </c>
      <c r="F778" t="s">
        <v>89</v>
      </c>
      <c r="G778" t="s">
        <v>89</v>
      </c>
      <c r="H778" t="s">
        <v>93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121</v>
      </c>
      <c r="B779" t="s">
        <v>1010</v>
      </c>
      <c r="C779" t="s">
        <v>89</v>
      </c>
      <c r="D779" t="s">
        <v>1011</v>
      </c>
      <c r="E779" t="s">
        <v>232</v>
      </c>
      <c r="F779" t="s">
        <v>89</v>
      </c>
      <c r="G779" t="s">
        <v>89</v>
      </c>
      <c r="H779" t="s">
        <v>93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121</v>
      </c>
      <c r="B780" t="s">
        <v>1012</v>
      </c>
      <c r="C780" t="s">
        <v>89</v>
      </c>
      <c r="D780" t="s">
        <v>1013</v>
      </c>
      <c r="E780" t="s">
        <v>184</v>
      </c>
      <c r="F780" t="s">
        <v>89</v>
      </c>
      <c r="G780" t="s">
        <v>89</v>
      </c>
      <c r="H780" t="s">
        <v>93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121</v>
      </c>
      <c r="B781" t="s">
        <v>1014</v>
      </c>
      <c r="C781" t="s">
        <v>89</v>
      </c>
      <c r="D781" t="s">
        <v>986</v>
      </c>
      <c r="E781" t="s">
        <v>240</v>
      </c>
      <c r="F781" t="s">
        <v>89</v>
      </c>
      <c r="G781" t="s">
        <v>89</v>
      </c>
      <c r="H781" t="s">
        <v>93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121</v>
      </c>
      <c r="B782" t="s">
        <v>987</v>
      </c>
      <c r="C782" t="s">
        <v>89</v>
      </c>
      <c r="D782" t="s">
        <v>986</v>
      </c>
      <c r="E782" t="s">
        <v>308</v>
      </c>
      <c r="F782" t="s">
        <v>89</v>
      </c>
      <c r="G782" t="s">
        <v>89</v>
      </c>
      <c r="H782" t="s">
        <v>93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121</v>
      </c>
      <c r="B783" t="s">
        <v>1015</v>
      </c>
      <c r="C783" t="s">
        <v>89</v>
      </c>
      <c r="D783" t="s">
        <v>1016</v>
      </c>
      <c r="E783" t="s">
        <v>227</v>
      </c>
      <c r="F783" t="s">
        <v>89</v>
      </c>
      <c r="G783" t="s">
        <v>89</v>
      </c>
      <c r="H783" t="s">
        <v>93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121</v>
      </c>
      <c r="B784" t="s">
        <v>320</v>
      </c>
      <c r="C784" t="s">
        <v>89</v>
      </c>
      <c r="D784" t="s">
        <v>986</v>
      </c>
      <c r="E784" t="s">
        <v>308</v>
      </c>
      <c r="F784" t="s">
        <v>89</v>
      </c>
      <c r="G784" t="s">
        <v>89</v>
      </c>
      <c r="H784" t="s">
        <v>93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121</v>
      </c>
      <c r="B785" t="s">
        <v>1017</v>
      </c>
      <c r="C785" t="s">
        <v>89</v>
      </c>
      <c r="D785" t="s">
        <v>986</v>
      </c>
      <c r="E785" t="s">
        <v>308</v>
      </c>
      <c r="F785" t="s">
        <v>89</v>
      </c>
      <c r="G785" t="s">
        <v>89</v>
      </c>
      <c r="H785" t="s">
        <v>93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121</v>
      </c>
      <c r="B786" t="s">
        <v>1018</v>
      </c>
      <c r="C786" t="s">
        <v>89</v>
      </c>
      <c r="D786" t="s">
        <v>1016</v>
      </c>
      <c r="E786" t="s">
        <v>316</v>
      </c>
      <c r="F786" t="s">
        <v>89</v>
      </c>
      <c r="G786" t="s">
        <v>89</v>
      </c>
      <c r="H786" t="s">
        <v>93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121</v>
      </c>
      <c r="B787" t="s">
        <v>1019</v>
      </c>
      <c r="C787" t="s">
        <v>89</v>
      </c>
      <c r="D787" t="s">
        <v>986</v>
      </c>
      <c r="E787" t="s">
        <v>868</v>
      </c>
      <c r="F787" t="s">
        <v>89</v>
      </c>
      <c r="G787" t="s">
        <v>89</v>
      </c>
      <c r="H787" t="s">
        <v>93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121</v>
      </c>
      <c r="B788" t="s">
        <v>1020</v>
      </c>
      <c r="C788" t="s">
        <v>89</v>
      </c>
      <c r="D788" t="s">
        <v>1005</v>
      </c>
      <c r="E788" t="s">
        <v>308</v>
      </c>
      <c r="F788" t="s">
        <v>89</v>
      </c>
      <c r="G788" t="s">
        <v>89</v>
      </c>
      <c r="H788" t="s">
        <v>93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121</v>
      </c>
      <c r="B789" t="s">
        <v>469</v>
      </c>
      <c r="C789" t="s">
        <v>89</v>
      </c>
      <c r="D789" t="s">
        <v>89</v>
      </c>
      <c r="E789" t="s">
        <v>178</v>
      </c>
      <c r="F789" t="s">
        <v>89</v>
      </c>
      <c r="G789" t="s">
        <v>89</v>
      </c>
      <c r="H789" t="s">
        <v>93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121</v>
      </c>
      <c r="B790" t="s">
        <v>1021</v>
      </c>
      <c r="C790" t="s">
        <v>89</v>
      </c>
      <c r="D790" t="s">
        <v>89</v>
      </c>
      <c r="E790" t="s">
        <v>178</v>
      </c>
      <c r="F790" t="s">
        <v>89</v>
      </c>
      <c r="G790" t="s">
        <v>89</v>
      </c>
      <c r="H790" t="s">
        <v>93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121</v>
      </c>
      <c r="B791" t="s">
        <v>1022</v>
      </c>
      <c r="C791" t="s">
        <v>89</v>
      </c>
      <c r="D791" t="s">
        <v>89</v>
      </c>
      <c r="E791" t="s">
        <v>254</v>
      </c>
      <c r="F791" t="s">
        <v>89</v>
      </c>
      <c r="G791" t="s">
        <v>89</v>
      </c>
      <c r="H791" t="s">
        <v>93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121</v>
      </c>
      <c r="B792" t="s">
        <v>1023</v>
      </c>
      <c r="C792" t="s">
        <v>89</v>
      </c>
      <c r="D792" t="s">
        <v>89</v>
      </c>
      <c r="E792" t="s">
        <v>232</v>
      </c>
      <c r="F792" t="s">
        <v>89</v>
      </c>
      <c r="G792" t="s">
        <v>89</v>
      </c>
      <c r="H792" t="s">
        <v>93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121</v>
      </c>
      <c r="B793" t="s">
        <v>1024</v>
      </c>
      <c r="C793" t="s">
        <v>89</v>
      </c>
      <c r="D793" t="s">
        <v>89</v>
      </c>
      <c r="E793" t="s">
        <v>181</v>
      </c>
      <c r="F793" t="s">
        <v>89</v>
      </c>
      <c r="G793" t="s">
        <v>89</v>
      </c>
      <c r="H793" t="s">
        <v>93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121</v>
      </c>
      <c r="B794" t="s">
        <v>899</v>
      </c>
      <c r="C794" t="s">
        <v>89</v>
      </c>
      <c r="D794" t="s">
        <v>89</v>
      </c>
      <c r="E794" t="s">
        <v>178</v>
      </c>
      <c r="F794" t="s">
        <v>89</v>
      </c>
      <c r="G794" t="s">
        <v>89</v>
      </c>
      <c r="H794" t="s">
        <v>93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121</v>
      </c>
      <c r="B795" t="s">
        <v>984</v>
      </c>
      <c r="C795" t="s">
        <v>89</v>
      </c>
      <c r="D795" t="s">
        <v>89</v>
      </c>
      <c r="E795" t="s">
        <v>178</v>
      </c>
      <c r="F795" t="s">
        <v>89</v>
      </c>
      <c r="G795" t="s">
        <v>89</v>
      </c>
      <c r="H795" t="s">
        <v>93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121</v>
      </c>
      <c r="B796" t="s">
        <v>330</v>
      </c>
      <c r="C796" t="s">
        <v>89</v>
      </c>
      <c r="D796" t="s">
        <v>89</v>
      </c>
      <c r="E796" t="s">
        <v>178</v>
      </c>
      <c r="F796" t="s">
        <v>89</v>
      </c>
      <c r="G796" t="s">
        <v>89</v>
      </c>
      <c r="H796" t="s">
        <v>93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121</v>
      </c>
      <c r="B797" t="s">
        <v>1025</v>
      </c>
      <c r="C797" t="s">
        <v>89</v>
      </c>
      <c r="D797" t="s">
        <v>89</v>
      </c>
      <c r="E797" t="s">
        <v>216</v>
      </c>
      <c r="F797" t="s">
        <v>89</v>
      </c>
      <c r="G797" t="s">
        <v>89</v>
      </c>
      <c r="H797" t="s">
        <v>93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121</v>
      </c>
      <c r="B798" t="s">
        <v>1026</v>
      </c>
      <c r="C798" t="s">
        <v>89</v>
      </c>
      <c r="D798" t="s">
        <v>89</v>
      </c>
      <c r="E798" t="s">
        <v>216</v>
      </c>
      <c r="F798" t="s">
        <v>89</v>
      </c>
      <c r="G798" t="s">
        <v>89</v>
      </c>
      <c r="H798" t="s">
        <v>93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121</v>
      </c>
      <c r="B799" t="s">
        <v>194</v>
      </c>
      <c r="C799" t="s">
        <v>89</v>
      </c>
      <c r="D799" t="s">
        <v>89</v>
      </c>
      <c r="E799" t="s">
        <v>246</v>
      </c>
      <c r="F799" t="s">
        <v>89</v>
      </c>
      <c r="G799" t="s">
        <v>89</v>
      </c>
      <c r="H799" t="s">
        <v>93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121</v>
      </c>
      <c r="B800" t="s">
        <v>195</v>
      </c>
      <c r="C800" t="s">
        <v>89</v>
      </c>
      <c r="D800" t="s">
        <v>89</v>
      </c>
      <c r="E800" t="s">
        <v>192</v>
      </c>
      <c r="F800" t="s">
        <v>89</v>
      </c>
      <c r="G800" t="s">
        <v>89</v>
      </c>
      <c r="H800" t="s">
        <v>93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121</v>
      </c>
      <c r="B801" t="s">
        <v>197</v>
      </c>
      <c r="C801" t="s">
        <v>89</v>
      </c>
      <c r="D801" t="s">
        <v>89</v>
      </c>
      <c r="E801" t="s">
        <v>220</v>
      </c>
      <c r="F801" t="s">
        <v>89</v>
      </c>
      <c r="G801" t="s">
        <v>89</v>
      </c>
      <c r="H801" t="s">
        <v>93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121</v>
      </c>
      <c r="B802" t="s">
        <v>1027</v>
      </c>
      <c r="C802" t="s">
        <v>89</v>
      </c>
      <c r="D802" t="s">
        <v>89</v>
      </c>
      <c r="E802" t="s">
        <v>202</v>
      </c>
      <c r="F802" t="s">
        <v>89</v>
      </c>
      <c r="G802" t="s">
        <v>89</v>
      </c>
      <c r="H802" t="s">
        <v>93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121</v>
      </c>
      <c r="B803" t="s">
        <v>1028</v>
      </c>
      <c r="C803" t="s">
        <v>89</v>
      </c>
      <c r="D803" t="s">
        <v>89</v>
      </c>
      <c r="E803" t="s">
        <v>202</v>
      </c>
      <c r="F803" t="s">
        <v>89</v>
      </c>
      <c r="G803" t="s">
        <v>89</v>
      </c>
      <c r="H803" t="s">
        <v>93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121</v>
      </c>
      <c r="B804" t="s">
        <v>1029</v>
      </c>
      <c r="C804" t="s">
        <v>89</v>
      </c>
      <c r="D804" t="s">
        <v>89</v>
      </c>
      <c r="E804" t="s">
        <v>712</v>
      </c>
      <c r="F804" t="s">
        <v>89</v>
      </c>
      <c r="G804" t="s">
        <v>89</v>
      </c>
      <c r="H804" t="s">
        <v>93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121</v>
      </c>
      <c r="B805" t="s">
        <v>1030</v>
      </c>
      <c r="C805" t="s">
        <v>89</v>
      </c>
      <c r="D805" t="s">
        <v>89</v>
      </c>
      <c r="E805" t="s">
        <v>712</v>
      </c>
      <c r="F805" t="s">
        <v>89</v>
      </c>
      <c r="G805" t="s">
        <v>89</v>
      </c>
      <c r="H805" t="s">
        <v>93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121</v>
      </c>
      <c r="B806" t="s">
        <v>199</v>
      </c>
      <c r="C806" t="s">
        <v>89</v>
      </c>
      <c r="D806" t="s">
        <v>89</v>
      </c>
      <c r="E806" t="s">
        <v>200</v>
      </c>
      <c r="F806" t="s">
        <v>89</v>
      </c>
      <c r="G806" t="s">
        <v>89</v>
      </c>
      <c r="H806" t="s">
        <v>93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122</v>
      </c>
      <c r="B807" t="s">
        <v>1031</v>
      </c>
      <c r="C807" t="s">
        <v>89</v>
      </c>
      <c r="D807" t="s">
        <v>1032</v>
      </c>
      <c r="E807" t="s">
        <v>181</v>
      </c>
      <c r="F807" t="s">
        <v>89</v>
      </c>
      <c r="G807" t="s">
        <v>89</v>
      </c>
      <c r="H807" t="s">
        <v>93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122</v>
      </c>
      <c r="B808" t="s">
        <v>1033</v>
      </c>
      <c r="C808" t="s">
        <v>89</v>
      </c>
      <c r="D808" t="s">
        <v>1034</v>
      </c>
      <c r="E808" t="s">
        <v>181</v>
      </c>
      <c r="F808" t="s">
        <v>89</v>
      </c>
      <c r="G808" t="s">
        <v>89</v>
      </c>
      <c r="H808" t="s">
        <v>93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122</v>
      </c>
      <c r="B809" t="s">
        <v>1035</v>
      </c>
      <c r="C809" t="s">
        <v>89</v>
      </c>
      <c r="D809" t="s">
        <v>89</v>
      </c>
      <c r="E809" t="s">
        <v>202</v>
      </c>
      <c r="F809" t="s">
        <v>89</v>
      </c>
      <c r="G809" t="s">
        <v>89</v>
      </c>
      <c r="H809" t="s">
        <v>93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122</v>
      </c>
      <c r="B810" t="s">
        <v>1036</v>
      </c>
      <c r="C810" t="s">
        <v>89</v>
      </c>
      <c r="D810" t="s">
        <v>89</v>
      </c>
      <c r="E810" t="s">
        <v>181</v>
      </c>
      <c r="F810" t="s">
        <v>89</v>
      </c>
      <c r="G810" t="s">
        <v>89</v>
      </c>
      <c r="H810" t="s">
        <v>93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122</v>
      </c>
      <c r="B811" t="s">
        <v>1037</v>
      </c>
      <c r="C811" t="s">
        <v>89</v>
      </c>
      <c r="D811" t="s">
        <v>89</v>
      </c>
      <c r="E811" t="s">
        <v>181</v>
      </c>
      <c r="F811" t="s">
        <v>89</v>
      </c>
      <c r="G811" t="s">
        <v>89</v>
      </c>
      <c r="H811" t="s">
        <v>93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122</v>
      </c>
      <c r="B812" t="s">
        <v>1038</v>
      </c>
      <c r="C812" t="s">
        <v>89</v>
      </c>
      <c r="D812" t="s">
        <v>89</v>
      </c>
      <c r="E812" t="s">
        <v>196</v>
      </c>
      <c r="F812" t="s">
        <v>89</v>
      </c>
      <c r="G812" t="s">
        <v>89</v>
      </c>
      <c r="H812" t="s">
        <v>93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122</v>
      </c>
      <c r="B813" t="s">
        <v>1039</v>
      </c>
      <c r="C813" t="s">
        <v>89</v>
      </c>
      <c r="D813" t="s">
        <v>89</v>
      </c>
      <c r="E813" t="s">
        <v>196</v>
      </c>
      <c r="F813" t="s">
        <v>89</v>
      </c>
      <c r="G813" t="s">
        <v>89</v>
      </c>
      <c r="H813" t="s">
        <v>93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122</v>
      </c>
      <c r="B814" t="s">
        <v>369</v>
      </c>
      <c r="C814" t="s">
        <v>89</v>
      </c>
      <c r="D814" t="s">
        <v>1040</v>
      </c>
      <c r="E814" t="s">
        <v>178</v>
      </c>
      <c r="F814" t="s">
        <v>89</v>
      </c>
      <c r="G814" t="s">
        <v>89</v>
      </c>
      <c r="H814" t="s">
        <v>93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122</v>
      </c>
      <c r="B815" t="s">
        <v>1041</v>
      </c>
      <c r="C815" t="s">
        <v>89</v>
      </c>
      <c r="D815" t="s">
        <v>89</v>
      </c>
      <c r="E815" t="s">
        <v>196</v>
      </c>
      <c r="F815" t="s">
        <v>89</v>
      </c>
      <c r="G815" t="s">
        <v>89</v>
      </c>
      <c r="H815" t="s">
        <v>93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122</v>
      </c>
      <c r="B816" t="s">
        <v>1042</v>
      </c>
      <c r="C816" t="s">
        <v>89</v>
      </c>
      <c r="D816" t="s">
        <v>89</v>
      </c>
      <c r="E816" t="s">
        <v>196</v>
      </c>
      <c r="F816" t="s">
        <v>89</v>
      </c>
      <c r="G816" t="s">
        <v>89</v>
      </c>
      <c r="H816" t="s">
        <v>93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122</v>
      </c>
      <c r="B817" t="s">
        <v>1043</v>
      </c>
      <c r="C817" t="s">
        <v>89</v>
      </c>
      <c r="D817" t="s">
        <v>89</v>
      </c>
      <c r="E817" t="s">
        <v>196</v>
      </c>
      <c r="F817" t="s">
        <v>89</v>
      </c>
      <c r="G817" t="s">
        <v>89</v>
      </c>
      <c r="H817" t="s">
        <v>93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122</v>
      </c>
      <c r="B818" t="s">
        <v>1044</v>
      </c>
      <c r="C818" t="s">
        <v>89</v>
      </c>
      <c r="D818" t="s">
        <v>89</v>
      </c>
      <c r="E818" t="s">
        <v>246</v>
      </c>
      <c r="F818" t="s">
        <v>89</v>
      </c>
      <c r="G818" t="s">
        <v>89</v>
      </c>
      <c r="H818" t="s">
        <v>93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122</v>
      </c>
      <c r="B819" t="s">
        <v>1045</v>
      </c>
      <c r="C819" t="s">
        <v>89</v>
      </c>
      <c r="D819" t="s">
        <v>89</v>
      </c>
      <c r="E819" t="s">
        <v>246</v>
      </c>
      <c r="F819" t="s">
        <v>89</v>
      </c>
      <c r="G819" t="s">
        <v>89</v>
      </c>
      <c r="H819" t="s">
        <v>93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122</v>
      </c>
      <c r="B820" t="s">
        <v>191</v>
      </c>
      <c r="C820" t="s">
        <v>89</v>
      </c>
      <c r="D820" t="s">
        <v>89</v>
      </c>
      <c r="E820" t="s">
        <v>246</v>
      </c>
      <c r="F820" t="s">
        <v>89</v>
      </c>
      <c r="G820" t="s">
        <v>89</v>
      </c>
      <c r="H820" t="s">
        <v>93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122</v>
      </c>
      <c r="B821" t="s">
        <v>242</v>
      </c>
      <c r="C821" t="s">
        <v>89</v>
      </c>
      <c r="D821" t="s">
        <v>89</v>
      </c>
      <c r="E821" t="s">
        <v>246</v>
      </c>
      <c r="F821" t="s">
        <v>89</v>
      </c>
      <c r="G821" t="s">
        <v>89</v>
      </c>
      <c r="H821" t="s">
        <v>93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122</v>
      </c>
      <c r="B822" t="s">
        <v>730</v>
      </c>
      <c r="C822" t="s">
        <v>89</v>
      </c>
      <c r="D822" t="s">
        <v>885</v>
      </c>
      <c r="E822" t="s">
        <v>192</v>
      </c>
      <c r="F822" t="s">
        <v>89</v>
      </c>
      <c r="G822" t="s">
        <v>89</v>
      </c>
      <c r="H822" t="s">
        <v>93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122</v>
      </c>
      <c r="B823" t="s">
        <v>723</v>
      </c>
      <c r="C823" t="s">
        <v>89</v>
      </c>
      <c r="D823" t="s">
        <v>89</v>
      </c>
      <c r="E823" t="s">
        <v>192</v>
      </c>
      <c r="F823" t="s">
        <v>89</v>
      </c>
      <c r="G823" t="s">
        <v>89</v>
      </c>
      <c r="H823" t="s">
        <v>93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122</v>
      </c>
      <c r="B824" t="s">
        <v>328</v>
      </c>
      <c r="C824" t="s">
        <v>89</v>
      </c>
      <c r="D824" t="s">
        <v>89</v>
      </c>
      <c r="E824" t="s">
        <v>246</v>
      </c>
      <c r="F824" t="s">
        <v>89</v>
      </c>
      <c r="G824" t="s">
        <v>89</v>
      </c>
      <c r="H824" t="s">
        <v>93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122</v>
      </c>
      <c r="B825" t="s">
        <v>329</v>
      </c>
      <c r="C825" t="s">
        <v>89</v>
      </c>
      <c r="D825" t="s">
        <v>89</v>
      </c>
      <c r="E825" t="s">
        <v>246</v>
      </c>
      <c r="F825" t="s">
        <v>89</v>
      </c>
      <c r="G825" t="s">
        <v>89</v>
      </c>
      <c r="H825" t="s">
        <v>93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122</v>
      </c>
      <c r="B826" t="s">
        <v>194</v>
      </c>
      <c r="C826" t="s">
        <v>89</v>
      </c>
      <c r="D826" t="s">
        <v>89</v>
      </c>
      <c r="E826" t="s">
        <v>220</v>
      </c>
      <c r="F826" t="s">
        <v>89</v>
      </c>
      <c r="G826" t="s">
        <v>89</v>
      </c>
      <c r="H826" t="s">
        <v>93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122</v>
      </c>
      <c r="B827" t="s">
        <v>382</v>
      </c>
      <c r="C827" t="s">
        <v>89</v>
      </c>
      <c r="D827" t="s">
        <v>89</v>
      </c>
      <c r="E827" t="s">
        <v>716</v>
      </c>
      <c r="F827" t="s">
        <v>89</v>
      </c>
      <c r="G827" t="s">
        <v>89</v>
      </c>
      <c r="H827" t="s">
        <v>93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122</v>
      </c>
      <c r="B828" t="s">
        <v>219</v>
      </c>
      <c r="C828" t="s">
        <v>89</v>
      </c>
      <c r="D828" t="s">
        <v>89</v>
      </c>
      <c r="E828" t="s">
        <v>716</v>
      </c>
      <c r="F828" t="s">
        <v>89</v>
      </c>
      <c r="G828" t="s">
        <v>89</v>
      </c>
      <c r="H828" t="s">
        <v>93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122</v>
      </c>
      <c r="B829" t="s">
        <v>197</v>
      </c>
      <c r="C829" t="s">
        <v>89</v>
      </c>
      <c r="D829" t="s">
        <v>89</v>
      </c>
      <c r="E829" t="s">
        <v>220</v>
      </c>
      <c r="F829" t="s">
        <v>89</v>
      </c>
      <c r="G829" t="s">
        <v>89</v>
      </c>
      <c r="H829" t="s">
        <v>93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122</v>
      </c>
      <c r="B830" t="s">
        <v>1046</v>
      </c>
      <c r="C830" t="s">
        <v>89</v>
      </c>
      <c r="D830" t="s">
        <v>89</v>
      </c>
      <c r="E830" t="s">
        <v>395</v>
      </c>
      <c r="F830" t="s">
        <v>89</v>
      </c>
      <c r="G830" t="s">
        <v>89</v>
      </c>
      <c r="H830" t="s">
        <v>93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122</v>
      </c>
      <c r="B831" t="s">
        <v>1047</v>
      </c>
      <c r="C831" t="s">
        <v>89</v>
      </c>
      <c r="D831" t="s">
        <v>89</v>
      </c>
      <c r="E831" t="s">
        <v>395</v>
      </c>
      <c r="F831" t="s">
        <v>89</v>
      </c>
      <c r="G831" t="s">
        <v>89</v>
      </c>
      <c r="H831" t="s">
        <v>93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122</v>
      </c>
      <c r="B832" t="s">
        <v>1048</v>
      </c>
      <c r="C832" t="s">
        <v>89</v>
      </c>
      <c r="D832" t="s">
        <v>1032</v>
      </c>
      <c r="E832" t="s">
        <v>395</v>
      </c>
      <c r="F832" t="s">
        <v>89</v>
      </c>
      <c r="G832" t="s">
        <v>89</v>
      </c>
      <c r="H832" t="s">
        <v>93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122</v>
      </c>
      <c r="B833" t="s">
        <v>1049</v>
      </c>
      <c r="C833" t="s">
        <v>89</v>
      </c>
      <c r="D833" t="s">
        <v>89</v>
      </c>
      <c r="E833" t="s">
        <v>187</v>
      </c>
      <c r="F833" t="s">
        <v>89</v>
      </c>
      <c r="G833" t="s">
        <v>89</v>
      </c>
      <c r="H833" t="s">
        <v>93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122</v>
      </c>
      <c r="B834" t="s">
        <v>1050</v>
      </c>
      <c r="C834" t="s">
        <v>89</v>
      </c>
      <c r="D834" t="s">
        <v>89</v>
      </c>
      <c r="E834" t="s">
        <v>395</v>
      </c>
      <c r="F834" t="s">
        <v>89</v>
      </c>
      <c r="G834" t="s">
        <v>89</v>
      </c>
      <c r="H834" t="s">
        <v>93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122</v>
      </c>
      <c r="B835" t="s">
        <v>199</v>
      </c>
      <c r="C835" t="s">
        <v>89</v>
      </c>
      <c r="D835" t="s">
        <v>89</v>
      </c>
      <c r="E835" t="s">
        <v>200</v>
      </c>
      <c r="F835" t="s">
        <v>89</v>
      </c>
      <c r="G835" t="s">
        <v>89</v>
      </c>
      <c r="H835" t="s">
        <v>93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124</v>
      </c>
      <c r="B836" t="s">
        <v>1051</v>
      </c>
      <c r="C836" t="s">
        <v>89</v>
      </c>
      <c r="D836" t="s">
        <v>89</v>
      </c>
      <c r="E836" t="s">
        <v>216</v>
      </c>
      <c r="F836" t="s">
        <v>89</v>
      </c>
      <c r="G836" t="s">
        <v>89</v>
      </c>
      <c r="H836" t="s">
        <v>93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124</v>
      </c>
      <c r="B837" t="s">
        <v>1052</v>
      </c>
      <c r="C837" t="s">
        <v>89</v>
      </c>
      <c r="D837" t="s">
        <v>89</v>
      </c>
      <c r="E837" t="s">
        <v>184</v>
      </c>
      <c r="F837" t="s">
        <v>89</v>
      </c>
      <c r="G837" t="s">
        <v>89</v>
      </c>
      <c r="H837" t="s">
        <v>93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124</v>
      </c>
      <c r="B838" t="s">
        <v>1053</v>
      </c>
      <c r="C838" t="s">
        <v>89</v>
      </c>
      <c r="D838" t="s">
        <v>89</v>
      </c>
      <c r="E838" t="s">
        <v>192</v>
      </c>
      <c r="F838" t="s">
        <v>89</v>
      </c>
      <c r="G838" t="s">
        <v>89</v>
      </c>
      <c r="H838" t="s">
        <v>93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124</v>
      </c>
      <c r="B839" t="s">
        <v>1054</v>
      </c>
      <c r="C839" t="s">
        <v>89</v>
      </c>
      <c r="D839" t="s">
        <v>89</v>
      </c>
      <c r="E839" t="s">
        <v>216</v>
      </c>
      <c r="F839" t="s">
        <v>89</v>
      </c>
      <c r="G839" t="s">
        <v>89</v>
      </c>
      <c r="H839" t="s">
        <v>93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124</v>
      </c>
      <c r="B840" t="s">
        <v>1055</v>
      </c>
      <c r="C840" t="s">
        <v>89</v>
      </c>
      <c r="D840" t="s">
        <v>89</v>
      </c>
      <c r="E840" t="s">
        <v>607</v>
      </c>
      <c r="F840" t="s">
        <v>89</v>
      </c>
      <c r="G840" t="s">
        <v>89</v>
      </c>
      <c r="H840" t="s">
        <v>93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124</v>
      </c>
      <c r="B841" t="s">
        <v>1056</v>
      </c>
      <c r="C841" t="s">
        <v>89</v>
      </c>
      <c r="D841" t="s">
        <v>1057</v>
      </c>
      <c r="E841" t="s">
        <v>1058</v>
      </c>
      <c r="F841" t="s">
        <v>89</v>
      </c>
      <c r="G841" t="s">
        <v>89</v>
      </c>
      <c r="H841" t="s">
        <v>93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124</v>
      </c>
      <c r="B842" t="s">
        <v>1059</v>
      </c>
      <c r="C842" t="s">
        <v>89</v>
      </c>
      <c r="D842" t="s">
        <v>1060</v>
      </c>
      <c r="E842" t="s">
        <v>1061</v>
      </c>
      <c r="F842" t="s">
        <v>89</v>
      </c>
      <c r="G842" t="s">
        <v>89</v>
      </c>
      <c r="H842" t="s">
        <v>93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124</v>
      </c>
      <c r="B843" t="s">
        <v>1062</v>
      </c>
      <c r="C843" t="s">
        <v>89</v>
      </c>
      <c r="D843" t="s">
        <v>1063</v>
      </c>
      <c r="E843" t="s">
        <v>1064</v>
      </c>
      <c r="F843" t="s">
        <v>89</v>
      </c>
      <c r="G843" t="s">
        <v>89</v>
      </c>
      <c r="H843" t="s">
        <v>93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124</v>
      </c>
      <c r="B844" t="s">
        <v>1065</v>
      </c>
      <c r="C844" t="s">
        <v>89</v>
      </c>
      <c r="D844" t="s">
        <v>1066</v>
      </c>
      <c r="E844" t="s">
        <v>404</v>
      </c>
      <c r="F844" t="s">
        <v>89</v>
      </c>
      <c r="G844" t="s">
        <v>89</v>
      </c>
      <c r="H844" t="s">
        <v>93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124</v>
      </c>
      <c r="B845" t="s">
        <v>1067</v>
      </c>
      <c r="C845" t="s">
        <v>89</v>
      </c>
      <c r="D845" t="s">
        <v>1068</v>
      </c>
      <c r="E845" t="s">
        <v>1069</v>
      </c>
      <c r="F845" t="s">
        <v>89</v>
      </c>
      <c r="G845" t="s">
        <v>89</v>
      </c>
      <c r="H845" t="s">
        <v>93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124</v>
      </c>
      <c r="B846" t="s">
        <v>1070</v>
      </c>
      <c r="C846" t="s">
        <v>89</v>
      </c>
      <c r="D846" t="s">
        <v>89</v>
      </c>
      <c r="E846" t="s">
        <v>990</v>
      </c>
      <c r="F846" t="s">
        <v>89</v>
      </c>
      <c r="G846" t="s">
        <v>89</v>
      </c>
      <c r="H846" t="s">
        <v>93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124</v>
      </c>
      <c r="B847" t="s">
        <v>1071</v>
      </c>
      <c r="C847" t="s">
        <v>89</v>
      </c>
      <c r="D847" t="s">
        <v>89</v>
      </c>
      <c r="E847" t="s">
        <v>224</v>
      </c>
      <c r="F847" t="s">
        <v>89</v>
      </c>
      <c r="G847" t="s">
        <v>89</v>
      </c>
      <c r="H847" t="s">
        <v>93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124</v>
      </c>
      <c r="B848" t="s">
        <v>1055</v>
      </c>
      <c r="C848" t="s">
        <v>89</v>
      </c>
      <c r="D848" t="s">
        <v>89</v>
      </c>
      <c r="E848" t="s">
        <v>607</v>
      </c>
      <c r="F848" t="s">
        <v>89</v>
      </c>
      <c r="G848" t="s">
        <v>89</v>
      </c>
      <c r="H848" t="s">
        <v>93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124</v>
      </c>
      <c r="B849" t="s">
        <v>1072</v>
      </c>
      <c r="C849" t="s">
        <v>89</v>
      </c>
      <c r="D849" t="s">
        <v>89</v>
      </c>
      <c r="E849" t="s">
        <v>184</v>
      </c>
      <c r="F849" t="s">
        <v>89</v>
      </c>
      <c r="G849" t="s">
        <v>89</v>
      </c>
      <c r="H849" t="s">
        <v>93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124</v>
      </c>
      <c r="B850" t="s">
        <v>1052</v>
      </c>
      <c r="C850" t="s">
        <v>89</v>
      </c>
      <c r="D850" t="s">
        <v>89</v>
      </c>
      <c r="E850" t="s">
        <v>184</v>
      </c>
      <c r="F850" t="s">
        <v>89</v>
      </c>
      <c r="G850" t="s">
        <v>89</v>
      </c>
      <c r="H850" t="s">
        <v>93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124</v>
      </c>
      <c r="B851" t="s">
        <v>1073</v>
      </c>
      <c r="C851" t="s">
        <v>89</v>
      </c>
      <c r="D851" t="s">
        <v>1074</v>
      </c>
      <c r="E851" t="s">
        <v>215</v>
      </c>
      <c r="F851" t="s">
        <v>89</v>
      </c>
      <c r="G851" t="s">
        <v>89</v>
      </c>
      <c r="H851" t="s">
        <v>93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124</v>
      </c>
      <c r="B852" t="s">
        <v>1054</v>
      </c>
      <c r="C852" t="s">
        <v>89</v>
      </c>
      <c r="D852" t="s">
        <v>89</v>
      </c>
      <c r="E852" t="s">
        <v>216</v>
      </c>
      <c r="F852" t="s">
        <v>89</v>
      </c>
      <c r="G852" t="s">
        <v>89</v>
      </c>
      <c r="H852" t="s">
        <v>93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124</v>
      </c>
      <c r="B853" t="s">
        <v>1053</v>
      </c>
      <c r="C853" t="s">
        <v>89</v>
      </c>
      <c r="D853" t="s">
        <v>89</v>
      </c>
      <c r="E853" t="s">
        <v>192</v>
      </c>
      <c r="F853" t="s">
        <v>89</v>
      </c>
      <c r="G853" t="s">
        <v>89</v>
      </c>
      <c r="H853" t="s">
        <v>93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124</v>
      </c>
      <c r="B854" t="s">
        <v>1051</v>
      </c>
      <c r="C854" t="s">
        <v>89</v>
      </c>
      <c r="D854" t="s">
        <v>89</v>
      </c>
      <c r="E854" t="s">
        <v>216</v>
      </c>
      <c r="F854" t="s">
        <v>89</v>
      </c>
      <c r="G854" t="s">
        <v>89</v>
      </c>
      <c r="H854" t="s">
        <v>93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124</v>
      </c>
      <c r="B855" t="s">
        <v>1075</v>
      </c>
      <c r="C855" t="s">
        <v>89</v>
      </c>
      <c r="D855" t="s">
        <v>89</v>
      </c>
      <c r="E855" t="s">
        <v>216</v>
      </c>
      <c r="F855" t="s">
        <v>89</v>
      </c>
      <c r="G855" t="s">
        <v>89</v>
      </c>
      <c r="H855" t="s">
        <v>93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124</v>
      </c>
      <c r="B856" t="s">
        <v>1038</v>
      </c>
      <c r="C856" t="s">
        <v>89</v>
      </c>
      <c r="D856" t="s">
        <v>89</v>
      </c>
      <c r="E856" t="s">
        <v>218</v>
      </c>
      <c r="F856" t="s">
        <v>89</v>
      </c>
      <c r="G856" t="s">
        <v>89</v>
      </c>
      <c r="H856" t="s">
        <v>93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124</v>
      </c>
      <c r="B857" t="s">
        <v>469</v>
      </c>
      <c r="C857" t="s">
        <v>89</v>
      </c>
      <c r="D857" t="s">
        <v>89</v>
      </c>
      <c r="E857" t="s">
        <v>232</v>
      </c>
      <c r="F857" t="s">
        <v>89</v>
      </c>
      <c r="G857" t="s">
        <v>89</v>
      </c>
      <c r="H857" t="s">
        <v>93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124</v>
      </c>
      <c r="B858" t="s">
        <v>191</v>
      </c>
      <c r="C858" t="s">
        <v>89</v>
      </c>
      <c r="D858" t="s">
        <v>89</v>
      </c>
      <c r="E858" t="s">
        <v>1076</v>
      </c>
      <c r="F858" t="s">
        <v>89</v>
      </c>
      <c r="G858" t="s">
        <v>89</v>
      </c>
      <c r="H858" t="s">
        <v>93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124</v>
      </c>
      <c r="B859" t="s">
        <v>243</v>
      </c>
      <c r="C859" t="s">
        <v>89</v>
      </c>
      <c r="D859" t="s">
        <v>89</v>
      </c>
      <c r="E859" t="s">
        <v>1076</v>
      </c>
      <c r="F859" t="s">
        <v>89</v>
      </c>
      <c r="G859" t="s">
        <v>89</v>
      </c>
      <c r="H859" t="s">
        <v>93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124</v>
      </c>
      <c r="B860" t="s">
        <v>730</v>
      </c>
      <c r="C860" t="s">
        <v>89</v>
      </c>
      <c r="D860" t="s">
        <v>89</v>
      </c>
      <c r="E860" t="s">
        <v>218</v>
      </c>
      <c r="F860" t="s">
        <v>89</v>
      </c>
      <c r="G860" t="s">
        <v>89</v>
      </c>
      <c r="H860" t="s">
        <v>93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124</v>
      </c>
      <c r="B861" t="s">
        <v>723</v>
      </c>
      <c r="C861" t="s">
        <v>89</v>
      </c>
      <c r="D861" t="s">
        <v>89</v>
      </c>
      <c r="E861" t="s">
        <v>246</v>
      </c>
      <c r="F861" t="s">
        <v>89</v>
      </c>
      <c r="G861" t="s">
        <v>89</v>
      </c>
      <c r="H861" t="s">
        <v>93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124</v>
      </c>
      <c r="B862" t="s">
        <v>328</v>
      </c>
      <c r="C862" t="s">
        <v>89</v>
      </c>
      <c r="D862" t="s">
        <v>89</v>
      </c>
      <c r="E862" t="s">
        <v>1076</v>
      </c>
      <c r="F862" t="s">
        <v>89</v>
      </c>
      <c r="G862" t="s">
        <v>89</v>
      </c>
      <c r="H862" t="s">
        <v>93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124</v>
      </c>
      <c r="B863" t="s">
        <v>329</v>
      </c>
      <c r="C863" t="s">
        <v>89</v>
      </c>
      <c r="D863" t="s">
        <v>89</v>
      </c>
      <c r="E863" t="s">
        <v>1076</v>
      </c>
      <c r="F863" t="s">
        <v>89</v>
      </c>
      <c r="G863" t="s">
        <v>89</v>
      </c>
      <c r="H863" t="s">
        <v>93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124</v>
      </c>
      <c r="B864" t="s">
        <v>1077</v>
      </c>
      <c r="C864" t="s">
        <v>89</v>
      </c>
      <c r="D864" t="s">
        <v>89</v>
      </c>
      <c r="E864" t="s">
        <v>216</v>
      </c>
      <c r="F864" t="s">
        <v>89</v>
      </c>
      <c r="G864" t="s">
        <v>89</v>
      </c>
      <c r="H864" t="s">
        <v>93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124</v>
      </c>
      <c r="B865" t="s">
        <v>217</v>
      </c>
      <c r="C865" t="s">
        <v>89</v>
      </c>
      <c r="D865" t="s">
        <v>89</v>
      </c>
      <c r="E865" t="s">
        <v>983</v>
      </c>
      <c r="F865" t="s">
        <v>89</v>
      </c>
      <c r="G865" t="s">
        <v>89</v>
      </c>
      <c r="H865" t="s">
        <v>93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124</v>
      </c>
      <c r="B866" t="s">
        <v>219</v>
      </c>
      <c r="C866" t="s">
        <v>89</v>
      </c>
      <c r="D866" t="s">
        <v>89</v>
      </c>
      <c r="E866" t="s">
        <v>192</v>
      </c>
      <c r="F866" t="s">
        <v>89</v>
      </c>
      <c r="G866" t="s">
        <v>89</v>
      </c>
      <c r="H866" t="s">
        <v>93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124</v>
      </c>
      <c r="B867" t="s">
        <v>942</v>
      </c>
      <c r="C867" t="s">
        <v>89</v>
      </c>
      <c r="D867" t="s">
        <v>89</v>
      </c>
      <c r="E867" t="s">
        <v>196</v>
      </c>
      <c r="F867" t="s">
        <v>89</v>
      </c>
      <c r="G867" t="s">
        <v>89</v>
      </c>
      <c r="H867" t="s">
        <v>93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124</v>
      </c>
      <c r="B868" t="s">
        <v>722</v>
      </c>
      <c r="C868" t="s">
        <v>89</v>
      </c>
      <c r="D868" t="s">
        <v>89</v>
      </c>
      <c r="E868" t="s">
        <v>202</v>
      </c>
      <c r="F868" t="s">
        <v>89</v>
      </c>
      <c r="G868" t="s">
        <v>89</v>
      </c>
      <c r="H868" t="s">
        <v>93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124</v>
      </c>
      <c r="B869" t="s">
        <v>728</v>
      </c>
      <c r="C869" t="s">
        <v>89</v>
      </c>
      <c r="D869" t="s">
        <v>89</v>
      </c>
      <c r="E869" t="s">
        <v>202</v>
      </c>
      <c r="F869" t="s">
        <v>89</v>
      </c>
      <c r="G869" t="s">
        <v>89</v>
      </c>
      <c r="H869" t="s">
        <v>93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124</v>
      </c>
      <c r="B870" t="s">
        <v>1078</v>
      </c>
      <c r="C870" t="s">
        <v>89</v>
      </c>
      <c r="D870" t="s">
        <v>89</v>
      </c>
      <c r="E870" t="s">
        <v>202</v>
      </c>
      <c r="F870" t="s">
        <v>89</v>
      </c>
      <c r="G870" t="s">
        <v>89</v>
      </c>
      <c r="H870" t="s">
        <v>93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124</v>
      </c>
      <c r="B871" t="s">
        <v>1079</v>
      </c>
      <c r="C871" t="s">
        <v>89</v>
      </c>
      <c r="D871" t="s">
        <v>89</v>
      </c>
      <c r="E871" t="s">
        <v>202</v>
      </c>
      <c r="F871" t="s">
        <v>89</v>
      </c>
      <c r="G871" t="s">
        <v>89</v>
      </c>
      <c r="H871" t="s">
        <v>93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124</v>
      </c>
      <c r="B872" t="s">
        <v>729</v>
      </c>
      <c r="C872" t="s">
        <v>89</v>
      </c>
      <c r="D872" t="s">
        <v>89</v>
      </c>
      <c r="E872" t="s">
        <v>181</v>
      </c>
      <c r="F872" t="s">
        <v>89</v>
      </c>
      <c r="G872" t="s">
        <v>89</v>
      </c>
      <c r="H872" t="s">
        <v>93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124</v>
      </c>
      <c r="B873" t="s">
        <v>726</v>
      </c>
      <c r="C873" t="s">
        <v>89</v>
      </c>
      <c r="D873" t="s">
        <v>89</v>
      </c>
      <c r="E873" t="s">
        <v>181</v>
      </c>
      <c r="F873" t="s">
        <v>89</v>
      </c>
      <c r="G873" t="s">
        <v>89</v>
      </c>
      <c r="H873" t="s">
        <v>93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124</v>
      </c>
      <c r="B874" t="s">
        <v>1080</v>
      </c>
      <c r="C874" t="s">
        <v>89</v>
      </c>
      <c r="D874" t="s">
        <v>89</v>
      </c>
      <c r="E874" t="s">
        <v>215</v>
      </c>
      <c r="F874" t="s">
        <v>89</v>
      </c>
      <c r="G874" t="s">
        <v>89</v>
      </c>
      <c r="H874" t="s">
        <v>93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124</v>
      </c>
      <c r="B875" t="s">
        <v>1081</v>
      </c>
      <c r="C875" t="s">
        <v>89</v>
      </c>
      <c r="D875" t="s">
        <v>89</v>
      </c>
      <c r="E875" t="s">
        <v>215</v>
      </c>
      <c r="F875" t="s">
        <v>89</v>
      </c>
      <c r="G875" t="s">
        <v>89</v>
      </c>
      <c r="H875" t="s">
        <v>93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124</v>
      </c>
      <c r="B876" t="s">
        <v>1082</v>
      </c>
      <c r="C876" t="s">
        <v>89</v>
      </c>
      <c r="D876" t="s">
        <v>89</v>
      </c>
      <c r="E876" t="s">
        <v>601</v>
      </c>
      <c r="F876" t="s">
        <v>89</v>
      </c>
      <c r="G876" t="s">
        <v>89</v>
      </c>
      <c r="H876" t="s">
        <v>93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124</v>
      </c>
      <c r="B877" t="s">
        <v>1083</v>
      </c>
      <c r="C877" t="s">
        <v>89</v>
      </c>
      <c r="D877" t="s">
        <v>89</v>
      </c>
      <c r="E877" t="s">
        <v>753</v>
      </c>
      <c r="F877" t="s">
        <v>89</v>
      </c>
      <c r="G877" t="s">
        <v>89</v>
      </c>
      <c r="H877" t="s">
        <v>93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124</v>
      </c>
      <c r="B878" t="s">
        <v>1084</v>
      </c>
      <c r="C878" t="s">
        <v>89</v>
      </c>
      <c r="D878" t="s">
        <v>89</v>
      </c>
      <c r="E878" t="s">
        <v>215</v>
      </c>
      <c r="F878" t="s">
        <v>89</v>
      </c>
      <c r="G878" t="s">
        <v>89</v>
      </c>
      <c r="H878" t="s">
        <v>93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124</v>
      </c>
      <c r="B879" t="s">
        <v>1085</v>
      </c>
      <c r="C879" t="s">
        <v>89</v>
      </c>
      <c r="D879" t="s">
        <v>89</v>
      </c>
      <c r="E879" t="s">
        <v>1086</v>
      </c>
      <c r="F879" t="s">
        <v>89</v>
      </c>
      <c r="G879" t="s">
        <v>89</v>
      </c>
      <c r="H879" t="s">
        <v>93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124</v>
      </c>
      <c r="B880" t="s">
        <v>1087</v>
      </c>
      <c r="C880" t="s">
        <v>89</v>
      </c>
      <c r="D880" t="s">
        <v>89</v>
      </c>
      <c r="E880" t="s">
        <v>1086</v>
      </c>
      <c r="F880" t="s">
        <v>89</v>
      </c>
      <c r="G880" t="s">
        <v>89</v>
      </c>
      <c r="H880" t="s">
        <v>93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124</v>
      </c>
      <c r="B881" t="s">
        <v>1088</v>
      </c>
      <c r="C881" t="s">
        <v>89</v>
      </c>
      <c r="D881" t="s">
        <v>89</v>
      </c>
      <c r="E881" t="s">
        <v>1086</v>
      </c>
      <c r="F881" t="s">
        <v>89</v>
      </c>
      <c r="G881" t="s">
        <v>89</v>
      </c>
      <c r="H881" t="s">
        <v>93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124</v>
      </c>
      <c r="B882" t="s">
        <v>1089</v>
      </c>
      <c r="C882" t="s">
        <v>89</v>
      </c>
      <c r="D882" t="s">
        <v>89</v>
      </c>
      <c r="E882" t="s">
        <v>190</v>
      </c>
      <c r="F882" t="s">
        <v>89</v>
      </c>
      <c r="G882" t="s">
        <v>89</v>
      </c>
      <c r="H882" t="s">
        <v>93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124</v>
      </c>
      <c r="B883" t="s">
        <v>1090</v>
      </c>
      <c r="C883" t="s">
        <v>89</v>
      </c>
      <c r="D883" t="s">
        <v>89</v>
      </c>
      <c r="E883" t="s">
        <v>1091</v>
      </c>
      <c r="F883" t="s">
        <v>89</v>
      </c>
      <c r="G883" t="s">
        <v>89</v>
      </c>
      <c r="H883" t="s">
        <v>93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124</v>
      </c>
      <c r="B884" t="s">
        <v>199</v>
      </c>
      <c r="C884" t="s">
        <v>89</v>
      </c>
      <c r="D884" t="s">
        <v>89</v>
      </c>
      <c r="E884" t="s">
        <v>200</v>
      </c>
      <c r="F884" t="s">
        <v>89</v>
      </c>
      <c r="G884" t="s">
        <v>89</v>
      </c>
      <c r="H884" t="s">
        <v>93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125</v>
      </c>
      <c r="B885" t="s">
        <v>897</v>
      </c>
      <c r="C885" t="s">
        <v>89</v>
      </c>
      <c r="D885" t="s">
        <v>1092</v>
      </c>
      <c r="E885" t="s">
        <v>254</v>
      </c>
      <c r="F885" t="s">
        <v>89</v>
      </c>
      <c r="G885" t="s">
        <v>89</v>
      </c>
      <c r="H885" t="s">
        <v>93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125</v>
      </c>
      <c r="B886" t="s">
        <v>206</v>
      </c>
      <c r="C886" t="s">
        <v>89</v>
      </c>
      <c r="D886" t="s">
        <v>1093</v>
      </c>
      <c r="E886" t="s">
        <v>375</v>
      </c>
      <c r="F886" t="s">
        <v>89</v>
      </c>
      <c r="G886" t="s">
        <v>89</v>
      </c>
      <c r="H886" t="s">
        <v>93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125</v>
      </c>
      <c r="B887" t="s">
        <v>176</v>
      </c>
      <c r="C887" t="s">
        <v>89</v>
      </c>
      <c r="D887" t="s">
        <v>1094</v>
      </c>
      <c r="E887" t="s">
        <v>241</v>
      </c>
      <c r="F887" t="s">
        <v>89</v>
      </c>
      <c r="G887" t="s">
        <v>89</v>
      </c>
      <c r="H887" t="s">
        <v>93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125</v>
      </c>
      <c r="B888" t="s">
        <v>709</v>
      </c>
      <c r="C888" t="s">
        <v>89</v>
      </c>
      <c r="D888" t="s">
        <v>1095</v>
      </c>
      <c r="E888" t="s">
        <v>395</v>
      </c>
      <c r="F888" t="s">
        <v>89</v>
      </c>
      <c r="G888" t="s">
        <v>89</v>
      </c>
      <c r="H888" t="s">
        <v>93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125</v>
      </c>
      <c r="B889" t="s">
        <v>203</v>
      </c>
      <c r="C889" t="s">
        <v>89</v>
      </c>
      <c r="D889" t="s">
        <v>1096</v>
      </c>
      <c r="E889" t="s">
        <v>960</v>
      </c>
      <c r="F889" t="s">
        <v>89</v>
      </c>
      <c r="G889" t="s">
        <v>89</v>
      </c>
      <c r="H889" t="s">
        <v>93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125</v>
      </c>
      <c r="B890" t="s">
        <v>176</v>
      </c>
      <c r="C890" t="s">
        <v>89</v>
      </c>
      <c r="D890" t="s">
        <v>1094</v>
      </c>
      <c r="E890" t="s">
        <v>241</v>
      </c>
      <c r="F890" t="s">
        <v>89</v>
      </c>
      <c r="G890" t="s">
        <v>89</v>
      </c>
      <c r="H890" t="s">
        <v>93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125</v>
      </c>
      <c r="B891" t="s">
        <v>897</v>
      </c>
      <c r="C891" t="s">
        <v>89</v>
      </c>
      <c r="D891" t="s">
        <v>1092</v>
      </c>
      <c r="E891" t="s">
        <v>254</v>
      </c>
      <c r="F891" t="s">
        <v>89</v>
      </c>
      <c r="G891" t="s">
        <v>89</v>
      </c>
      <c r="H891" t="s">
        <v>93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125</v>
      </c>
      <c r="B892" t="s">
        <v>203</v>
      </c>
      <c r="C892" t="s">
        <v>89</v>
      </c>
      <c r="D892" t="s">
        <v>1096</v>
      </c>
      <c r="E892" t="s">
        <v>960</v>
      </c>
      <c r="F892" t="s">
        <v>89</v>
      </c>
      <c r="G892" t="s">
        <v>89</v>
      </c>
      <c r="H892" t="s">
        <v>93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125</v>
      </c>
      <c r="B893" t="s">
        <v>206</v>
      </c>
      <c r="C893" t="s">
        <v>89</v>
      </c>
      <c r="D893" t="s">
        <v>1093</v>
      </c>
      <c r="E893" t="s">
        <v>375</v>
      </c>
      <c r="F893" t="s">
        <v>89</v>
      </c>
      <c r="G893" t="s">
        <v>89</v>
      </c>
      <c r="H893" t="s">
        <v>93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125</v>
      </c>
      <c r="B894" t="s">
        <v>709</v>
      </c>
      <c r="C894" t="s">
        <v>89</v>
      </c>
      <c r="D894" t="s">
        <v>1095</v>
      </c>
      <c r="E894" t="s">
        <v>395</v>
      </c>
      <c r="F894" t="s">
        <v>89</v>
      </c>
      <c r="G894" t="s">
        <v>89</v>
      </c>
      <c r="H894" t="s">
        <v>93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125</v>
      </c>
      <c r="B895" t="s">
        <v>188</v>
      </c>
      <c r="C895" t="s">
        <v>89</v>
      </c>
      <c r="D895" t="s">
        <v>1097</v>
      </c>
      <c r="E895" t="s">
        <v>1098</v>
      </c>
      <c r="F895" t="s">
        <v>89</v>
      </c>
      <c r="G895" t="s">
        <v>89</v>
      </c>
      <c r="H895" t="s">
        <v>93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125</v>
      </c>
      <c r="B896" t="s">
        <v>191</v>
      </c>
      <c r="C896" t="s">
        <v>89</v>
      </c>
      <c r="D896" t="s">
        <v>89</v>
      </c>
      <c r="E896" t="s">
        <v>216</v>
      </c>
      <c r="F896" t="s">
        <v>89</v>
      </c>
      <c r="G896" t="s">
        <v>89</v>
      </c>
      <c r="H896" t="s">
        <v>93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125</v>
      </c>
      <c r="B897" t="s">
        <v>242</v>
      </c>
      <c r="C897" t="s">
        <v>89</v>
      </c>
      <c r="D897" t="s">
        <v>89</v>
      </c>
      <c r="E897" t="s">
        <v>216</v>
      </c>
      <c r="F897" t="s">
        <v>89</v>
      </c>
      <c r="G897" t="s">
        <v>89</v>
      </c>
      <c r="H897" t="s">
        <v>93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125</v>
      </c>
      <c r="B898" t="s">
        <v>1099</v>
      </c>
      <c r="C898" t="s">
        <v>89</v>
      </c>
      <c r="D898" t="s">
        <v>89</v>
      </c>
      <c r="E898" t="s">
        <v>216</v>
      </c>
      <c r="F898" t="s">
        <v>89</v>
      </c>
      <c r="G898" t="s">
        <v>89</v>
      </c>
      <c r="H898" t="s">
        <v>93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125</v>
      </c>
      <c r="B899" t="s">
        <v>243</v>
      </c>
      <c r="C899" t="s">
        <v>89</v>
      </c>
      <c r="D899" t="s">
        <v>89</v>
      </c>
      <c r="E899" t="s">
        <v>216</v>
      </c>
      <c r="F899" t="s">
        <v>89</v>
      </c>
      <c r="G899" t="s">
        <v>89</v>
      </c>
      <c r="H899" t="s">
        <v>93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125</v>
      </c>
      <c r="B900" t="s">
        <v>244</v>
      </c>
      <c r="C900" t="s">
        <v>89</v>
      </c>
      <c r="D900" t="s">
        <v>89</v>
      </c>
      <c r="E900" t="s">
        <v>216</v>
      </c>
      <c r="F900" t="s">
        <v>89</v>
      </c>
      <c r="G900" t="s">
        <v>89</v>
      </c>
      <c r="H900" t="s">
        <v>93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125</v>
      </c>
      <c r="B901" t="s">
        <v>194</v>
      </c>
      <c r="C901" t="s">
        <v>89</v>
      </c>
      <c r="D901" t="s">
        <v>89</v>
      </c>
      <c r="E901" t="s">
        <v>246</v>
      </c>
      <c r="F901" t="s">
        <v>89</v>
      </c>
      <c r="G901" t="s">
        <v>89</v>
      </c>
      <c r="H901" t="s">
        <v>93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125</v>
      </c>
      <c r="B902" t="s">
        <v>195</v>
      </c>
      <c r="C902" t="s">
        <v>89</v>
      </c>
      <c r="D902" t="s">
        <v>89</v>
      </c>
      <c r="E902" t="s">
        <v>192</v>
      </c>
      <c r="F902" t="s">
        <v>89</v>
      </c>
      <c r="G902" t="s">
        <v>89</v>
      </c>
      <c r="H902" t="s">
        <v>93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125</v>
      </c>
      <c r="B903" t="s">
        <v>193</v>
      </c>
      <c r="C903" t="s">
        <v>89</v>
      </c>
      <c r="D903" t="s">
        <v>89</v>
      </c>
      <c r="E903" t="s">
        <v>246</v>
      </c>
      <c r="F903" t="s">
        <v>89</v>
      </c>
      <c r="G903" t="s">
        <v>89</v>
      </c>
      <c r="H903" t="s">
        <v>93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125</v>
      </c>
      <c r="B904" t="s">
        <v>382</v>
      </c>
      <c r="C904" t="s">
        <v>89</v>
      </c>
      <c r="D904" t="s">
        <v>89</v>
      </c>
      <c r="E904" t="s">
        <v>192</v>
      </c>
      <c r="F904" t="s">
        <v>89</v>
      </c>
      <c r="G904" t="s">
        <v>89</v>
      </c>
      <c r="H904" t="s">
        <v>93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125</v>
      </c>
      <c r="B905" t="s">
        <v>219</v>
      </c>
      <c r="C905" t="s">
        <v>89</v>
      </c>
      <c r="D905" t="s">
        <v>89</v>
      </c>
      <c r="E905" t="s">
        <v>192</v>
      </c>
      <c r="F905" t="s">
        <v>89</v>
      </c>
      <c r="G905" t="s">
        <v>89</v>
      </c>
      <c r="H905" t="s">
        <v>93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125</v>
      </c>
      <c r="B906" t="s">
        <v>197</v>
      </c>
      <c r="C906" t="s">
        <v>89</v>
      </c>
      <c r="D906" t="s">
        <v>89</v>
      </c>
      <c r="E906" t="s">
        <v>220</v>
      </c>
      <c r="F906" t="s">
        <v>89</v>
      </c>
      <c r="G906" t="s">
        <v>89</v>
      </c>
      <c r="H906" t="s">
        <v>93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125</v>
      </c>
      <c r="B907" t="s">
        <v>199</v>
      </c>
      <c r="C907" t="s">
        <v>89</v>
      </c>
      <c r="D907" t="s">
        <v>89</v>
      </c>
      <c r="E907" t="s">
        <v>200</v>
      </c>
      <c r="F907" t="s">
        <v>89</v>
      </c>
      <c r="G907" t="s">
        <v>89</v>
      </c>
      <c r="H907" t="s">
        <v>93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126</v>
      </c>
      <c r="B908" t="s">
        <v>897</v>
      </c>
      <c r="C908" t="s">
        <v>89</v>
      </c>
      <c r="D908" t="s">
        <v>1092</v>
      </c>
      <c r="E908" t="s">
        <v>254</v>
      </c>
      <c r="F908" t="s">
        <v>89</v>
      </c>
      <c r="G908" t="s">
        <v>89</v>
      </c>
      <c r="H908" t="s">
        <v>93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126</v>
      </c>
      <c r="B909" t="s">
        <v>176</v>
      </c>
      <c r="C909" t="s">
        <v>89</v>
      </c>
      <c r="D909" t="s">
        <v>1094</v>
      </c>
      <c r="E909" t="s">
        <v>241</v>
      </c>
      <c r="F909" t="s">
        <v>89</v>
      </c>
      <c r="G909" t="s">
        <v>89</v>
      </c>
      <c r="H909" t="s">
        <v>93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126</v>
      </c>
      <c r="B910" t="s">
        <v>206</v>
      </c>
      <c r="C910" t="s">
        <v>89</v>
      </c>
      <c r="D910" t="s">
        <v>1100</v>
      </c>
      <c r="E910" t="s">
        <v>375</v>
      </c>
      <c r="F910" t="s">
        <v>89</v>
      </c>
      <c r="G910" t="s">
        <v>89</v>
      </c>
      <c r="H910" t="s">
        <v>93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126</v>
      </c>
      <c r="B911" t="s">
        <v>709</v>
      </c>
      <c r="C911" t="s">
        <v>89</v>
      </c>
      <c r="D911" t="s">
        <v>1101</v>
      </c>
      <c r="E911" t="s">
        <v>395</v>
      </c>
      <c r="F911" t="s">
        <v>89</v>
      </c>
      <c r="G911" t="s">
        <v>89</v>
      </c>
      <c r="H911" t="s">
        <v>93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126</v>
      </c>
      <c r="B912" t="s">
        <v>203</v>
      </c>
      <c r="C912" t="s">
        <v>89</v>
      </c>
      <c r="D912" t="s">
        <v>1096</v>
      </c>
      <c r="E912" t="s">
        <v>960</v>
      </c>
      <c r="F912" t="s">
        <v>89</v>
      </c>
      <c r="G912" t="s">
        <v>89</v>
      </c>
      <c r="H912" t="s">
        <v>93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126</v>
      </c>
      <c r="B913" t="s">
        <v>176</v>
      </c>
      <c r="C913" t="s">
        <v>89</v>
      </c>
      <c r="D913" t="s">
        <v>1094</v>
      </c>
      <c r="E913" t="s">
        <v>241</v>
      </c>
      <c r="F913" t="s">
        <v>89</v>
      </c>
      <c r="G913" t="s">
        <v>89</v>
      </c>
      <c r="H913" t="s">
        <v>93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126</v>
      </c>
      <c r="B914" t="s">
        <v>897</v>
      </c>
      <c r="C914" t="s">
        <v>89</v>
      </c>
      <c r="D914" t="s">
        <v>1092</v>
      </c>
      <c r="E914" t="s">
        <v>254</v>
      </c>
      <c r="F914" t="s">
        <v>89</v>
      </c>
      <c r="G914" t="s">
        <v>89</v>
      </c>
      <c r="H914" t="s">
        <v>93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126</v>
      </c>
      <c r="B915" t="s">
        <v>203</v>
      </c>
      <c r="C915" t="s">
        <v>89</v>
      </c>
      <c r="D915" t="s">
        <v>1096</v>
      </c>
      <c r="E915" t="s">
        <v>960</v>
      </c>
      <c r="F915" t="s">
        <v>89</v>
      </c>
      <c r="G915" t="s">
        <v>89</v>
      </c>
      <c r="H915" t="s">
        <v>93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126</v>
      </c>
      <c r="B916" t="s">
        <v>206</v>
      </c>
      <c r="C916" t="s">
        <v>89</v>
      </c>
      <c r="D916" t="s">
        <v>1100</v>
      </c>
      <c r="E916" t="s">
        <v>375</v>
      </c>
      <c r="F916" t="s">
        <v>89</v>
      </c>
      <c r="G916" t="s">
        <v>89</v>
      </c>
      <c r="H916" t="s">
        <v>93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126</v>
      </c>
      <c r="B917" t="s">
        <v>709</v>
      </c>
      <c r="C917" t="s">
        <v>89</v>
      </c>
      <c r="D917" t="s">
        <v>1101</v>
      </c>
      <c r="E917" t="s">
        <v>395</v>
      </c>
      <c r="F917" t="s">
        <v>89</v>
      </c>
      <c r="G917" t="s">
        <v>89</v>
      </c>
      <c r="H917" t="s">
        <v>93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126</v>
      </c>
      <c r="B918" t="s">
        <v>188</v>
      </c>
      <c r="C918" t="s">
        <v>89</v>
      </c>
      <c r="D918" t="s">
        <v>1102</v>
      </c>
      <c r="E918" t="s">
        <v>1098</v>
      </c>
      <c r="F918" t="s">
        <v>89</v>
      </c>
      <c r="G918" t="s">
        <v>89</v>
      </c>
      <c r="H918" t="s">
        <v>93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126</v>
      </c>
      <c r="B919" t="s">
        <v>191</v>
      </c>
      <c r="C919" t="s">
        <v>89</v>
      </c>
      <c r="D919" t="s">
        <v>89</v>
      </c>
      <c r="E919" t="s">
        <v>216</v>
      </c>
      <c r="F919" t="s">
        <v>89</v>
      </c>
      <c r="G919" t="s">
        <v>89</v>
      </c>
      <c r="H919" t="s">
        <v>93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126</v>
      </c>
      <c r="B920" t="s">
        <v>242</v>
      </c>
      <c r="C920" t="s">
        <v>89</v>
      </c>
      <c r="D920" t="s">
        <v>89</v>
      </c>
      <c r="E920" t="s">
        <v>216</v>
      </c>
      <c r="F920" t="s">
        <v>89</v>
      </c>
      <c r="G920" t="s">
        <v>89</v>
      </c>
      <c r="H920" t="s">
        <v>93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126</v>
      </c>
      <c r="B921" t="s">
        <v>1099</v>
      </c>
      <c r="C921" t="s">
        <v>89</v>
      </c>
      <c r="D921" t="s">
        <v>89</v>
      </c>
      <c r="E921" t="s">
        <v>216</v>
      </c>
      <c r="F921" t="s">
        <v>89</v>
      </c>
      <c r="G921" t="s">
        <v>89</v>
      </c>
      <c r="H921" t="s">
        <v>93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126</v>
      </c>
      <c r="B922" t="s">
        <v>243</v>
      </c>
      <c r="C922" t="s">
        <v>89</v>
      </c>
      <c r="D922" t="s">
        <v>89</v>
      </c>
      <c r="E922" t="s">
        <v>216</v>
      </c>
      <c r="F922" t="s">
        <v>89</v>
      </c>
      <c r="G922" t="s">
        <v>89</v>
      </c>
      <c r="H922" t="s">
        <v>93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126</v>
      </c>
      <c r="B923" t="s">
        <v>244</v>
      </c>
      <c r="C923" t="s">
        <v>89</v>
      </c>
      <c r="D923" t="s">
        <v>89</v>
      </c>
      <c r="E923" t="s">
        <v>216</v>
      </c>
      <c r="F923" t="s">
        <v>89</v>
      </c>
      <c r="G923" t="s">
        <v>89</v>
      </c>
      <c r="H923" t="s">
        <v>93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126</v>
      </c>
      <c r="B924" t="s">
        <v>193</v>
      </c>
      <c r="C924" t="s">
        <v>89</v>
      </c>
      <c r="D924" t="s">
        <v>89</v>
      </c>
      <c r="E924" t="s">
        <v>246</v>
      </c>
      <c r="F924" t="s">
        <v>89</v>
      </c>
      <c r="G924" t="s">
        <v>89</v>
      </c>
      <c r="H924" t="s">
        <v>93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126</v>
      </c>
      <c r="B925" t="s">
        <v>194</v>
      </c>
      <c r="C925" t="s">
        <v>89</v>
      </c>
      <c r="D925" t="s">
        <v>89</v>
      </c>
      <c r="E925" t="s">
        <v>246</v>
      </c>
      <c r="F925" t="s">
        <v>89</v>
      </c>
      <c r="G925" t="s">
        <v>89</v>
      </c>
      <c r="H925" t="s">
        <v>93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126</v>
      </c>
      <c r="B926" t="s">
        <v>195</v>
      </c>
      <c r="C926" t="s">
        <v>89</v>
      </c>
      <c r="D926" t="s">
        <v>89</v>
      </c>
      <c r="E926" t="s">
        <v>192</v>
      </c>
      <c r="F926" t="s">
        <v>89</v>
      </c>
      <c r="G926" t="s">
        <v>89</v>
      </c>
      <c r="H926" t="s">
        <v>93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126</v>
      </c>
      <c r="B927" t="s">
        <v>382</v>
      </c>
      <c r="C927" t="s">
        <v>89</v>
      </c>
      <c r="D927" t="s">
        <v>89</v>
      </c>
      <c r="E927" t="s">
        <v>192</v>
      </c>
      <c r="F927" t="s">
        <v>89</v>
      </c>
      <c r="G927" t="s">
        <v>89</v>
      </c>
      <c r="H927" t="s">
        <v>93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126</v>
      </c>
      <c r="B928" t="s">
        <v>219</v>
      </c>
      <c r="C928" t="s">
        <v>89</v>
      </c>
      <c r="D928" t="s">
        <v>89</v>
      </c>
      <c r="E928" t="s">
        <v>192</v>
      </c>
      <c r="F928" t="s">
        <v>89</v>
      </c>
      <c r="G928" t="s">
        <v>89</v>
      </c>
      <c r="H928" t="s">
        <v>93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126</v>
      </c>
      <c r="B929" t="s">
        <v>197</v>
      </c>
      <c r="C929" t="s">
        <v>89</v>
      </c>
      <c r="D929" t="s">
        <v>89</v>
      </c>
      <c r="E929" t="s">
        <v>220</v>
      </c>
      <c r="F929" t="s">
        <v>89</v>
      </c>
      <c r="G929" t="s">
        <v>89</v>
      </c>
      <c r="H929" t="s">
        <v>93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126</v>
      </c>
      <c r="B930" t="s">
        <v>1103</v>
      </c>
      <c r="C930" t="s">
        <v>89</v>
      </c>
      <c r="D930" t="s">
        <v>1104</v>
      </c>
      <c r="E930" t="s">
        <v>293</v>
      </c>
      <c r="F930" t="s">
        <v>89</v>
      </c>
      <c r="G930" t="s">
        <v>89</v>
      </c>
      <c r="H930" t="s">
        <v>93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126</v>
      </c>
      <c r="B931" t="s">
        <v>1105</v>
      </c>
      <c r="C931" t="s">
        <v>89</v>
      </c>
      <c r="D931" t="s">
        <v>89</v>
      </c>
      <c r="E931" t="s">
        <v>293</v>
      </c>
      <c r="F931" t="s">
        <v>89</v>
      </c>
      <c r="G931" t="s">
        <v>89</v>
      </c>
      <c r="H931" t="s">
        <v>93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126</v>
      </c>
      <c r="B932" t="s">
        <v>1106</v>
      </c>
      <c r="C932" t="s">
        <v>89</v>
      </c>
      <c r="D932" t="s">
        <v>89</v>
      </c>
      <c r="E932" t="s">
        <v>213</v>
      </c>
      <c r="F932" t="s">
        <v>89</v>
      </c>
      <c r="G932" t="s">
        <v>89</v>
      </c>
      <c r="H932" t="s">
        <v>93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126</v>
      </c>
      <c r="B933" t="s">
        <v>1107</v>
      </c>
      <c r="C933" t="s">
        <v>89</v>
      </c>
      <c r="D933" t="s">
        <v>89</v>
      </c>
      <c r="E933" t="s">
        <v>293</v>
      </c>
      <c r="F933" t="s">
        <v>89</v>
      </c>
      <c r="G933" t="s">
        <v>89</v>
      </c>
      <c r="H933" t="s">
        <v>93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126</v>
      </c>
      <c r="B934" t="s">
        <v>1108</v>
      </c>
      <c r="C934" t="s">
        <v>89</v>
      </c>
      <c r="D934" t="s">
        <v>1104</v>
      </c>
      <c r="E934" t="s">
        <v>213</v>
      </c>
      <c r="F934" t="s">
        <v>89</v>
      </c>
      <c r="G934" t="s">
        <v>89</v>
      </c>
      <c r="H934" t="s">
        <v>93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126</v>
      </c>
      <c r="B935" t="s">
        <v>199</v>
      </c>
      <c r="C935" t="s">
        <v>89</v>
      </c>
      <c r="D935" t="s">
        <v>89</v>
      </c>
      <c r="E935" t="s">
        <v>200</v>
      </c>
      <c r="F935" t="s">
        <v>89</v>
      </c>
      <c r="G935" t="s">
        <v>89</v>
      </c>
      <c r="H935" t="s">
        <v>93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127</v>
      </c>
      <c r="B936" t="s">
        <v>366</v>
      </c>
      <c r="C936" t="s">
        <v>89</v>
      </c>
      <c r="D936" t="s">
        <v>1109</v>
      </c>
      <c r="E936" t="s">
        <v>841</v>
      </c>
      <c r="F936" t="s">
        <v>89</v>
      </c>
      <c r="G936" t="s">
        <v>89</v>
      </c>
      <c r="H936" t="s">
        <v>93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127</v>
      </c>
      <c r="B937" t="s">
        <v>1110</v>
      </c>
      <c r="C937" t="s">
        <v>89</v>
      </c>
      <c r="D937" t="s">
        <v>1111</v>
      </c>
      <c r="E937" t="s">
        <v>472</v>
      </c>
      <c r="F937" t="s">
        <v>89</v>
      </c>
      <c r="G937" t="s">
        <v>89</v>
      </c>
      <c r="H937" t="s">
        <v>93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127</v>
      </c>
      <c r="B938" t="s">
        <v>367</v>
      </c>
      <c r="C938" t="s">
        <v>89</v>
      </c>
      <c r="D938" t="s">
        <v>1112</v>
      </c>
      <c r="E938" t="s">
        <v>982</v>
      </c>
      <c r="F938" t="s">
        <v>89</v>
      </c>
      <c r="G938" t="s">
        <v>89</v>
      </c>
      <c r="H938" t="s">
        <v>93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127</v>
      </c>
      <c r="B939" t="s">
        <v>1113</v>
      </c>
      <c r="C939" t="s">
        <v>89</v>
      </c>
      <c r="D939" t="s">
        <v>1114</v>
      </c>
      <c r="E939" t="s">
        <v>1115</v>
      </c>
      <c r="F939" t="s">
        <v>89</v>
      </c>
      <c r="G939" t="s">
        <v>89</v>
      </c>
      <c r="H939" t="s">
        <v>93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127</v>
      </c>
      <c r="B940" t="s">
        <v>373</v>
      </c>
      <c r="C940" t="s">
        <v>89</v>
      </c>
      <c r="D940" t="s">
        <v>1116</v>
      </c>
      <c r="E940" t="s">
        <v>1115</v>
      </c>
      <c r="F940" t="s">
        <v>89</v>
      </c>
      <c r="G940" t="s">
        <v>89</v>
      </c>
      <c r="H940" t="s">
        <v>93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127</v>
      </c>
      <c r="B941" t="s">
        <v>1117</v>
      </c>
      <c r="C941" t="s">
        <v>89</v>
      </c>
      <c r="D941" t="s">
        <v>1118</v>
      </c>
      <c r="E941" t="s">
        <v>1119</v>
      </c>
      <c r="F941" t="s">
        <v>89</v>
      </c>
      <c r="G941" t="s">
        <v>89</v>
      </c>
      <c r="H941" t="s">
        <v>93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127</v>
      </c>
      <c r="B942" t="s">
        <v>1120</v>
      </c>
      <c r="C942" t="s">
        <v>89</v>
      </c>
      <c r="D942" t="s">
        <v>89</v>
      </c>
      <c r="E942" t="s">
        <v>841</v>
      </c>
      <c r="F942" t="s">
        <v>89</v>
      </c>
      <c r="G942" t="s">
        <v>89</v>
      </c>
      <c r="H942" t="s">
        <v>93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127</v>
      </c>
      <c r="B943" t="s">
        <v>366</v>
      </c>
      <c r="C943" t="s">
        <v>89</v>
      </c>
      <c r="D943" t="s">
        <v>1109</v>
      </c>
      <c r="E943" t="s">
        <v>841</v>
      </c>
      <c r="F943" t="s">
        <v>89</v>
      </c>
      <c r="G943" t="s">
        <v>89</v>
      </c>
      <c r="H943" t="s">
        <v>93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127</v>
      </c>
      <c r="B944" t="s">
        <v>368</v>
      </c>
      <c r="C944" t="s">
        <v>89</v>
      </c>
      <c r="D944" t="s">
        <v>1121</v>
      </c>
      <c r="E944" t="s">
        <v>1119</v>
      </c>
      <c r="F944" t="s">
        <v>89</v>
      </c>
      <c r="G944" t="s">
        <v>89</v>
      </c>
      <c r="H944" t="s">
        <v>93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127</v>
      </c>
      <c r="B945" t="s">
        <v>1110</v>
      </c>
      <c r="C945" t="s">
        <v>89</v>
      </c>
      <c r="D945" t="s">
        <v>1111</v>
      </c>
      <c r="E945" t="s">
        <v>472</v>
      </c>
      <c r="F945" t="s">
        <v>89</v>
      </c>
      <c r="G945" t="s">
        <v>89</v>
      </c>
      <c r="H945" t="s">
        <v>93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127</v>
      </c>
      <c r="B946" t="s">
        <v>369</v>
      </c>
      <c r="C946" t="s">
        <v>89</v>
      </c>
      <c r="D946" t="s">
        <v>1122</v>
      </c>
      <c r="E946" t="s">
        <v>1119</v>
      </c>
      <c r="F946" t="s">
        <v>89</v>
      </c>
      <c r="G946" t="s">
        <v>89</v>
      </c>
      <c r="H946" t="s">
        <v>93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127</v>
      </c>
      <c r="B947" t="s">
        <v>1123</v>
      </c>
      <c r="C947" t="s">
        <v>89</v>
      </c>
      <c r="D947" t="s">
        <v>1124</v>
      </c>
      <c r="E947" t="s">
        <v>1115</v>
      </c>
      <c r="F947" t="s">
        <v>89</v>
      </c>
      <c r="G947" t="s">
        <v>89</v>
      </c>
      <c r="H947" t="s">
        <v>93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127</v>
      </c>
      <c r="B948" t="s">
        <v>1125</v>
      </c>
      <c r="C948" t="s">
        <v>89</v>
      </c>
      <c r="D948" t="s">
        <v>1126</v>
      </c>
      <c r="E948" t="s">
        <v>1127</v>
      </c>
      <c r="F948" t="s">
        <v>89</v>
      </c>
      <c r="G948" t="s">
        <v>89</v>
      </c>
      <c r="H948" t="s">
        <v>93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127</v>
      </c>
      <c r="B949" t="s">
        <v>373</v>
      </c>
      <c r="C949" t="s">
        <v>89</v>
      </c>
      <c r="D949" t="s">
        <v>1116</v>
      </c>
      <c r="E949" t="s">
        <v>1115</v>
      </c>
      <c r="F949" t="s">
        <v>89</v>
      </c>
      <c r="G949" t="s">
        <v>89</v>
      </c>
      <c r="H949" t="s">
        <v>93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127</v>
      </c>
      <c r="B950" t="s">
        <v>1128</v>
      </c>
      <c r="C950" t="s">
        <v>89</v>
      </c>
      <c r="D950" t="s">
        <v>1129</v>
      </c>
      <c r="E950" t="s">
        <v>1115</v>
      </c>
      <c r="F950" t="s">
        <v>89</v>
      </c>
      <c r="G950" t="s">
        <v>89</v>
      </c>
      <c r="H950" t="s">
        <v>93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127</v>
      </c>
      <c r="B951" t="s">
        <v>1130</v>
      </c>
      <c r="C951" t="s">
        <v>89</v>
      </c>
      <c r="D951" t="s">
        <v>1131</v>
      </c>
      <c r="E951" t="s">
        <v>972</v>
      </c>
      <c r="F951" t="s">
        <v>89</v>
      </c>
      <c r="G951" t="s">
        <v>89</v>
      </c>
      <c r="H951" t="s">
        <v>93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127</v>
      </c>
      <c r="B952" t="s">
        <v>378</v>
      </c>
      <c r="C952" t="s">
        <v>89</v>
      </c>
      <c r="D952" t="s">
        <v>1132</v>
      </c>
      <c r="E952" t="s">
        <v>463</v>
      </c>
      <c r="F952" t="s">
        <v>89</v>
      </c>
      <c r="G952" t="s">
        <v>89</v>
      </c>
      <c r="H952" t="s">
        <v>93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127</v>
      </c>
      <c r="B953" t="s">
        <v>574</v>
      </c>
      <c r="C953" t="s">
        <v>89</v>
      </c>
      <c r="D953" t="s">
        <v>1133</v>
      </c>
      <c r="E953" t="s">
        <v>1134</v>
      </c>
      <c r="F953" t="s">
        <v>89</v>
      </c>
      <c r="G953" t="s">
        <v>89</v>
      </c>
      <c r="H953" t="s">
        <v>93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127</v>
      </c>
      <c r="B954" t="s">
        <v>1135</v>
      </c>
      <c r="C954" t="s">
        <v>89</v>
      </c>
      <c r="D954" t="s">
        <v>1136</v>
      </c>
      <c r="E954" t="s">
        <v>982</v>
      </c>
      <c r="F954" t="s">
        <v>89</v>
      </c>
      <c r="G954" t="s">
        <v>89</v>
      </c>
      <c r="H954" t="s">
        <v>93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127</v>
      </c>
      <c r="B955" t="s">
        <v>367</v>
      </c>
      <c r="C955" t="s">
        <v>89</v>
      </c>
      <c r="D955" t="s">
        <v>1112</v>
      </c>
      <c r="E955" t="s">
        <v>982</v>
      </c>
      <c r="F955" t="s">
        <v>89</v>
      </c>
      <c r="G955" t="s">
        <v>89</v>
      </c>
      <c r="H955" t="s">
        <v>93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127</v>
      </c>
      <c r="B956" t="s">
        <v>1137</v>
      </c>
      <c r="C956" t="s">
        <v>89</v>
      </c>
      <c r="D956" t="s">
        <v>1138</v>
      </c>
      <c r="E956" t="s">
        <v>972</v>
      </c>
      <c r="F956" t="s">
        <v>89</v>
      </c>
      <c r="G956" t="s">
        <v>89</v>
      </c>
      <c r="H956" t="s">
        <v>93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127</v>
      </c>
      <c r="B957" t="s">
        <v>1139</v>
      </c>
      <c r="C957" t="s">
        <v>89</v>
      </c>
      <c r="D957" t="s">
        <v>1140</v>
      </c>
      <c r="E957" t="s">
        <v>1141</v>
      </c>
      <c r="F957" t="s">
        <v>89</v>
      </c>
      <c r="G957" t="s">
        <v>89</v>
      </c>
      <c r="H957" t="s">
        <v>93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127</v>
      </c>
      <c r="B958" t="s">
        <v>1113</v>
      </c>
      <c r="C958" t="s">
        <v>89</v>
      </c>
      <c r="D958" t="s">
        <v>1114</v>
      </c>
      <c r="E958" t="s">
        <v>1115</v>
      </c>
      <c r="F958" t="s">
        <v>89</v>
      </c>
      <c r="G958" t="s">
        <v>89</v>
      </c>
      <c r="H958" t="s">
        <v>93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127</v>
      </c>
      <c r="B959" t="s">
        <v>191</v>
      </c>
      <c r="C959" t="s">
        <v>89</v>
      </c>
      <c r="D959" t="s">
        <v>89</v>
      </c>
      <c r="E959" t="s">
        <v>241</v>
      </c>
      <c r="F959" t="s">
        <v>89</v>
      </c>
      <c r="G959" t="s">
        <v>89</v>
      </c>
      <c r="H959" t="s">
        <v>93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127</v>
      </c>
      <c r="B960" t="s">
        <v>243</v>
      </c>
      <c r="C960" t="s">
        <v>89</v>
      </c>
      <c r="D960" t="s">
        <v>89</v>
      </c>
      <c r="E960" t="s">
        <v>241</v>
      </c>
      <c r="F960" t="s">
        <v>89</v>
      </c>
      <c r="G960" t="s">
        <v>89</v>
      </c>
      <c r="H960" t="s">
        <v>93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127</v>
      </c>
      <c r="B961" t="s">
        <v>245</v>
      </c>
      <c r="C961" t="s">
        <v>89</v>
      </c>
      <c r="D961" t="s">
        <v>89</v>
      </c>
      <c r="E961" t="s">
        <v>216</v>
      </c>
      <c r="F961" t="s">
        <v>89</v>
      </c>
      <c r="G961" t="s">
        <v>89</v>
      </c>
      <c r="H961" t="s">
        <v>93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127</v>
      </c>
      <c r="B962" t="s">
        <v>194</v>
      </c>
      <c r="C962" t="s">
        <v>89</v>
      </c>
      <c r="D962" t="s">
        <v>89</v>
      </c>
      <c r="E962" t="s">
        <v>178</v>
      </c>
      <c r="F962" t="s">
        <v>89</v>
      </c>
      <c r="G962" t="s">
        <v>89</v>
      </c>
      <c r="H962" t="s">
        <v>93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127</v>
      </c>
      <c r="B963" t="s">
        <v>217</v>
      </c>
      <c r="C963" t="s">
        <v>89</v>
      </c>
      <c r="D963" t="s">
        <v>89</v>
      </c>
      <c r="E963" t="s">
        <v>246</v>
      </c>
      <c r="F963" t="s">
        <v>89</v>
      </c>
      <c r="G963" t="s">
        <v>89</v>
      </c>
      <c r="H963" t="s">
        <v>93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127</v>
      </c>
      <c r="B964" t="s">
        <v>197</v>
      </c>
      <c r="C964" t="s">
        <v>89</v>
      </c>
      <c r="D964" t="s">
        <v>89</v>
      </c>
      <c r="E964" t="s">
        <v>196</v>
      </c>
      <c r="F964" t="s">
        <v>89</v>
      </c>
      <c r="G964" t="s">
        <v>89</v>
      </c>
      <c r="H964" t="s">
        <v>93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127</v>
      </c>
      <c r="B965" t="s">
        <v>199</v>
      </c>
      <c r="C965" t="s">
        <v>89</v>
      </c>
      <c r="D965" t="s">
        <v>89</v>
      </c>
      <c r="E965" t="s">
        <v>200</v>
      </c>
      <c r="F965" t="s">
        <v>89</v>
      </c>
      <c r="G965" t="s">
        <v>89</v>
      </c>
      <c r="H965" t="s">
        <v>93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128</v>
      </c>
      <c r="B966" t="s">
        <v>230</v>
      </c>
      <c r="C966" t="s">
        <v>89</v>
      </c>
      <c r="D966" t="s">
        <v>1142</v>
      </c>
      <c r="E966" t="s">
        <v>181</v>
      </c>
      <c r="F966" t="s">
        <v>89</v>
      </c>
      <c r="G966" t="s">
        <v>89</v>
      </c>
      <c r="H966" t="s">
        <v>93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128</v>
      </c>
      <c r="B967" t="s">
        <v>313</v>
      </c>
      <c r="C967" t="s">
        <v>89</v>
      </c>
      <c r="D967" t="s">
        <v>964</v>
      </c>
      <c r="E967" t="s">
        <v>187</v>
      </c>
      <c r="F967" t="s">
        <v>89</v>
      </c>
      <c r="G967" t="s">
        <v>89</v>
      </c>
      <c r="H967" t="s">
        <v>93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128</v>
      </c>
      <c r="B968" t="s">
        <v>1143</v>
      </c>
      <c r="C968" t="s">
        <v>89</v>
      </c>
      <c r="D968" t="s">
        <v>964</v>
      </c>
      <c r="E968" t="s">
        <v>354</v>
      </c>
      <c r="F968" t="s">
        <v>89</v>
      </c>
      <c r="G968" t="s">
        <v>89</v>
      </c>
      <c r="H968" t="s">
        <v>93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128</v>
      </c>
      <c r="B969" t="s">
        <v>1144</v>
      </c>
      <c r="C969" t="s">
        <v>89</v>
      </c>
      <c r="D969" t="s">
        <v>964</v>
      </c>
      <c r="E969" t="s">
        <v>187</v>
      </c>
      <c r="F969" t="s">
        <v>89</v>
      </c>
      <c r="G969" t="s">
        <v>89</v>
      </c>
      <c r="H969" t="s">
        <v>93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128</v>
      </c>
      <c r="B970" t="s">
        <v>562</v>
      </c>
      <c r="C970" t="s">
        <v>89</v>
      </c>
      <c r="D970" t="s">
        <v>964</v>
      </c>
      <c r="E970" t="s">
        <v>395</v>
      </c>
      <c r="F970" t="s">
        <v>89</v>
      </c>
      <c r="G970" t="s">
        <v>89</v>
      </c>
      <c r="H970" t="s">
        <v>93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128</v>
      </c>
      <c r="B971" t="s">
        <v>333</v>
      </c>
      <c r="C971" t="s">
        <v>89</v>
      </c>
      <c r="D971" t="s">
        <v>964</v>
      </c>
      <c r="E971" t="s">
        <v>187</v>
      </c>
      <c r="F971" t="s">
        <v>89</v>
      </c>
      <c r="G971" t="s">
        <v>89</v>
      </c>
      <c r="H971" t="s">
        <v>93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128</v>
      </c>
      <c r="B972" t="s">
        <v>359</v>
      </c>
      <c r="C972" t="s">
        <v>89</v>
      </c>
      <c r="D972" t="s">
        <v>964</v>
      </c>
      <c r="E972" t="s">
        <v>347</v>
      </c>
      <c r="F972" t="s">
        <v>89</v>
      </c>
      <c r="G972" t="s">
        <v>89</v>
      </c>
      <c r="H972" t="s">
        <v>93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128</v>
      </c>
      <c r="B973" t="s">
        <v>360</v>
      </c>
      <c r="C973" t="s">
        <v>89</v>
      </c>
      <c r="D973" t="s">
        <v>964</v>
      </c>
      <c r="E973" t="s">
        <v>354</v>
      </c>
      <c r="F973" t="s">
        <v>89</v>
      </c>
      <c r="G973" t="s">
        <v>89</v>
      </c>
      <c r="H973" t="s">
        <v>93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128</v>
      </c>
      <c r="B974" t="s">
        <v>1145</v>
      </c>
      <c r="C974" t="s">
        <v>89</v>
      </c>
      <c r="D974" t="s">
        <v>964</v>
      </c>
      <c r="E974" t="s">
        <v>395</v>
      </c>
      <c r="F974" t="s">
        <v>89</v>
      </c>
      <c r="G974" t="s">
        <v>89</v>
      </c>
      <c r="H974" t="s">
        <v>93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128</v>
      </c>
      <c r="B975" t="s">
        <v>1146</v>
      </c>
      <c r="C975" t="s">
        <v>89</v>
      </c>
      <c r="D975" t="s">
        <v>964</v>
      </c>
      <c r="E975" t="s">
        <v>347</v>
      </c>
      <c r="F975" t="s">
        <v>89</v>
      </c>
      <c r="G975" t="s">
        <v>89</v>
      </c>
      <c r="H975" t="s">
        <v>93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128</v>
      </c>
      <c r="B976" t="s">
        <v>1147</v>
      </c>
      <c r="C976" t="s">
        <v>89</v>
      </c>
      <c r="D976" t="s">
        <v>964</v>
      </c>
      <c r="E976" t="s">
        <v>187</v>
      </c>
      <c r="F976" t="s">
        <v>89</v>
      </c>
      <c r="G976" t="s">
        <v>89</v>
      </c>
      <c r="H976" t="s">
        <v>93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128</v>
      </c>
      <c r="B977" t="s">
        <v>335</v>
      </c>
      <c r="C977" t="s">
        <v>89</v>
      </c>
      <c r="D977" t="s">
        <v>964</v>
      </c>
      <c r="E977" t="s">
        <v>187</v>
      </c>
      <c r="F977" t="s">
        <v>89</v>
      </c>
      <c r="G977" t="s">
        <v>89</v>
      </c>
      <c r="H977" t="s">
        <v>93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128</v>
      </c>
      <c r="B978" t="s">
        <v>1148</v>
      </c>
      <c r="C978" t="s">
        <v>89</v>
      </c>
      <c r="D978" t="s">
        <v>964</v>
      </c>
      <c r="E978" t="s">
        <v>347</v>
      </c>
      <c r="F978" t="s">
        <v>89</v>
      </c>
      <c r="G978" t="s">
        <v>89</v>
      </c>
      <c r="H978" t="s">
        <v>93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128</v>
      </c>
      <c r="B979" t="s">
        <v>1149</v>
      </c>
      <c r="C979" t="s">
        <v>89</v>
      </c>
      <c r="D979" t="s">
        <v>1150</v>
      </c>
      <c r="E979" t="s">
        <v>1151</v>
      </c>
      <c r="F979" t="s">
        <v>89</v>
      </c>
      <c r="G979" t="s">
        <v>89</v>
      </c>
      <c r="H979" t="s">
        <v>93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128</v>
      </c>
      <c r="B980" t="s">
        <v>361</v>
      </c>
      <c r="C980" t="s">
        <v>89</v>
      </c>
      <c r="D980" t="s">
        <v>964</v>
      </c>
      <c r="E980" t="s">
        <v>395</v>
      </c>
      <c r="F980" t="s">
        <v>89</v>
      </c>
      <c r="G980" t="s">
        <v>89</v>
      </c>
      <c r="H980" t="s">
        <v>93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128</v>
      </c>
      <c r="B981" t="s">
        <v>340</v>
      </c>
      <c r="C981" t="s">
        <v>89</v>
      </c>
      <c r="D981" t="s">
        <v>1152</v>
      </c>
      <c r="E981" t="s">
        <v>395</v>
      </c>
      <c r="F981" t="s">
        <v>89</v>
      </c>
      <c r="G981" t="s">
        <v>89</v>
      </c>
      <c r="H981" t="s">
        <v>93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128</v>
      </c>
      <c r="B982" t="s">
        <v>1153</v>
      </c>
      <c r="C982" t="s">
        <v>89</v>
      </c>
      <c r="D982" t="s">
        <v>964</v>
      </c>
      <c r="E982" t="s">
        <v>354</v>
      </c>
      <c r="F982" t="s">
        <v>89</v>
      </c>
      <c r="G982" t="s">
        <v>89</v>
      </c>
      <c r="H982" t="s">
        <v>93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128</v>
      </c>
      <c r="B983" t="s">
        <v>315</v>
      </c>
      <c r="C983" t="s">
        <v>89</v>
      </c>
      <c r="D983" t="s">
        <v>964</v>
      </c>
      <c r="E983" t="s">
        <v>187</v>
      </c>
      <c r="F983" t="s">
        <v>89</v>
      </c>
      <c r="G983" t="s">
        <v>89</v>
      </c>
      <c r="H983" t="s">
        <v>93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128</v>
      </c>
      <c r="B984" t="s">
        <v>310</v>
      </c>
      <c r="C984" t="s">
        <v>89</v>
      </c>
      <c r="D984" t="s">
        <v>964</v>
      </c>
      <c r="E984" t="s">
        <v>187</v>
      </c>
      <c r="F984" t="s">
        <v>89</v>
      </c>
      <c r="G984" t="s">
        <v>89</v>
      </c>
      <c r="H984" t="s">
        <v>93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128</v>
      </c>
      <c r="B985" t="s">
        <v>1154</v>
      </c>
      <c r="C985" t="s">
        <v>89</v>
      </c>
      <c r="D985" t="s">
        <v>1155</v>
      </c>
      <c r="E985" t="s">
        <v>601</v>
      </c>
      <c r="F985" t="s">
        <v>89</v>
      </c>
      <c r="G985" t="s">
        <v>89</v>
      </c>
      <c r="H985" t="s">
        <v>93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128</v>
      </c>
      <c r="B986" t="s">
        <v>1156</v>
      </c>
      <c r="C986" t="s">
        <v>89</v>
      </c>
      <c r="D986" t="s">
        <v>964</v>
      </c>
      <c r="E986" t="s">
        <v>354</v>
      </c>
      <c r="F986" t="s">
        <v>89</v>
      </c>
      <c r="G986" t="s">
        <v>89</v>
      </c>
      <c r="H986" t="s">
        <v>93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128</v>
      </c>
      <c r="B987" t="s">
        <v>1157</v>
      </c>
      <c r="C987" t="s">
        <v>89</v>
      </c>
      <c r="D987" t="s">
        <v>964</v>
      </c>
      <c r="E987" t="s">
        <v>187</v>
      </c>
      <c r="F987" t="s">
        <v>89</v>
      </c>
      <c r="G987" t="s">
        <v>89</v>
      </c>
      <c r="H987" t="s">
        <v>93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128</v>
      </c>
      <c r="B988" t="s">
        <v>351</v>
      </c>
      <c r="C988" t="s">
        <v>89</v>
      </c>
      <c r="D988" t="s">
        <v>964</v>
      </c>
      <c r="E988" t="s">
        <v>395</v>
      </c>
      <c r="F988" t="s">
        <v>89</v>
      </c>
      <c r="G988" t="s">
        <v>89</v>
      </c>
      <c r="H988" t="s">
        <v>93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128</v>
      </c>
      <c r="B989" t="s">
        <v>574</v>
      </c>
      <c r="C989" t="s">
        <v>89</v>
      </c>
      <c r="D989" t="s">
        <v>1158</v>
      </c>
      <c r="E989" t="s">
        <v>344</v>
      </c>
      <c r="F989" t="s">
        <v>89</v>
      </c>
      <c r="G989" t="s">
        <v>89</v>
      </c>
      <c r="H989" t="s">
        <v>93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128</v>
      </c>
      <c r="B990" t="s">
        <v>569</v>
      </c>
      <c r="C990" t="s">
        <v>89</v>
      </c>
      <c r="D990" t="s">
        <v>1159</v>
      </c>
      <c r="E990" t="s">
        <v>349</v>
      </c>
      <c r="F990" t="s">
        <v>89</v>
      </c>
      <c r="G990" t="s">
        <v>89</v>
      </c>
      <c r="H990" t="s">
        <v>93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128</v>
      </c>
      <c r="B991" t="s">
        <v>573</v>
      </c>
      <c r="C991" t="s">
        <v>89</v>
      </c>
      <c r="D991" t="s">
        <v>1160</v>
      </c>
      <c r="E991" t="s">
        <v>395</v>
      </c>
      <c r="F991" t="s">
        <v>89</v>
      </c>
      <c r="G991" t="s">
        <v>89</v>
      </c>
      <c r="H991" t="s">
        <v>93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128</v>
      </c>
      <c r="B992" t="s">
        <v>1161</v>
      </c>
      <c r="C992" t="s">
        <v>89</v>
      </c>
      <c r="D992" t="s">
        <v>1160</v>
      </c>
      <c r="E992" t="s">
        <v>187</v>
      </c>
      <c r="F992" t="s">
        <v>89</v>
      </c>
      <c r="G992" t="s">
        <v>89</v>
      </c>
      <c r="H992" t="s">
        <v>93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128</v>
      </c>
      <c r="B993" t="s">
        <v>1162</v>
      </c>
      <c r="C993" t="s">
        <v>89</v>
      </c>
      <c r="D993" t="s">
        <v>1163</v>
      </c>
      <c r="E993" t="s">
        <v>395</v>
      </c>
      <c r="F993" t="s">
        <v>89</v>
      </c>
      <c r="G993" t="s">
        <v>89</v>
      </c>
      <c r="H993" t="s">
        <v>93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128</v>
      </c>
      <c r="B994" t="s">
        <v>368</v>
      </c>
      <c r="C994" t="s">
        <v>89</v>
      </c>
      <c r="D994" t="s">
        <v>1159</v>
      </c>
      <c r="E994" t="s">
        <v>187</v>
      </c>
      <c r="F994" t="s">
        <v>89</v>
      </c>
      <c r="G994" t="s">
        <v>89</v>
      </c>
      <c r="H994" t="s">
        <v>93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128</v>
      </c>
      <c r="B995" t="s">
        <v>370</v>
      </c>
      <c r="C995" t="s">
        <v>89</v>
      </c>
      <c r="D995" t="s">
        <v>1160</v>
      </c>
      <c r="E995" t="s">
        <v>187</v>
      </c>
      <c r="F995" t="s">
        <v>89</v>
      </c>
      <c r="G995" t="s">
        <v>89</v>
      </c>
      <c r="H995" t="s">
        <v>93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128</v>
      </c>
      <c r="B996" t="s">
        <v>373</v>
      </c>
      <c r="C996" t="s">
        <v>89</v>
      </c>
      <c r="D996" t="s">
        <v>1160</v>
      </c>
      <c r="E996" t="s">
        <v>349</v>
      </c>
      <c r="F996" t="s">
        <v>89</v>
      </c>
      <c r="G996" t="s">
        <v>89</v>
      </c>
      <c r="H996" t="s">
        <v>93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128</v>
      </c>
      <c r="B997" t="s">
        <v>570</v>
      </c>
      <c r="C997" t="s">
        <v>89</v>
      </c>
      <c r="D997" t="s">
        <v>1159</v>
      </c>
      <c r="E997" t="s">
        <v>187</v>
      </c>
      <c r="F997" t="s">
        <v>89</v>
      </c>
      <c r="G997" t="s">
        <v>89</v>
      </c>
      <c r="H997" t="s">
        <v>93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128</v>
      </c>
      <c r="B998" t="s">
        <v>1164</v>
      </c>
      <c r="C998" t="s">
        <v>89</v>
      </c>
      <c r="D998" t="s">
        <v>1160</v>
      </c>
      <c r="E998" t="s">
        <v>339</v>
      </c>
      <c r="F998" t="s">
        <v>89</v>
      </c>
      <c r="G998" t="s">
        <v>89</v>
      </c>
      <c r="H998" t="s">
        <v>93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128</v>
      </c>
      <c r="B999" t="s">
        <v>376</v>
      </c>
      <c r="C999" t="s">
        <v>89</v>
      </c>
      <c r="D999" t="s">
        <v>1160</v>
      </c>
      <c r="E999" t="s">
        <v>347</v>
      </c>
      <c r="F999" t="s">
        <v>89</v>
      </c>
      <c r="G999" t="s">
        <v>89</v>
      </c>
      <c r="H999" t="s">
        <v>93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128</v>
      </c>
      <c r="B1000" t="s">
        <v>369</v>
      </c>
      <c r="C1000" t="s">
        <v>89</v>
      </c>
      <c r="D1000" t="s">
        <v>1160</v>
      </c>
      <c r="E1000" t="s">
        <v>187</v>
      </c>
      <c r="F1000" t="s">
        <v>89</v>
      </c>
      <c r="G1000" t="s">
        <v>89</v>
      </c>
      <c r="H1000" t="s">
        <v>93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128</v>
      </c>
      <c r="B1001" t="s">
        <v>264</v>
      </c>
      <c r="C1001" t="s">
        <v>89</v>
      </c>
      <c r="D1001" t="s">
        <v>964</v>
      </c>
      <c r="E1001" t="s">
        <v>187</v>
      </c>
      <c r="F1001" t="s">
        <v>89</v>
      </c>
      <c r="G1001" t="s">
        <v>89</v>
      </c>
      <c r="H1001" t="s">
        <v>93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128</v>
      </c>
      <c r="B1002" t="s">
        <v>1165</v>
      </c>
      <c r="C1002" t="s">
        <v>89</v>
      </c>
      <c r="D1002" t="s">
        <v>1166</v>
      </c>
      <c r="E1002" t="s">
        <v>395</v>
      </c>
      <c r="F1002" t="s">
        <v>89</v>
      </c>
      <c r="G1002" t="s">
        <v>89</v>
      </c>
      <c r="H1002" t="s">
        <v>93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128</v>
      </c>
      <c r="B1003" t="s">
        <v>1167</v>
      </c>
      <c r="C1003" t="s">
        <v>89</v>
      </c>
      <c r="D1003" t="s">
        <v>1168</v>
      </c>
      <c r="E1003" t="s">
        <v>395</v>
      </c>
      <c r="F1003" t="s">
        <v>89</v>
      </c>
      <c r="G1003" t="s">
        <v>89</v>
      </c>
      <c r="H1003" t="s">
        <v>93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128</v>
      </c>
      <c r="B1004" t="s">
        <v>1169</v>
      </c>
      <c r="C1004" t="s">
        <v>89</v>
      </c>
      <c r="D1004" t="s">
        <v>964</v>
      </c>
      <c r="E1004" t="s">
        <v>395</v>
      </c>
      <c r="F1004" t="s">
        <v>89</v>
      </c>
      <c r="G1004" t="s">
        <v>89</v>
      </c>
      <c r="H1004" t="s">
        <v>93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128</v>
      </c>
      <c r="B1005" t="s">
        <v>271</v>
      </c>
      <c r="C1005" t="s">
        <v>89</v>
      </c>
      <c r="D1005" t="s">
        <v>1168</v>
      </c>
      <c r="E1005" t="s">
        <v>187</v>
      </c>
      <c r="F1005" t="s">
        <v>89</v>
      </c>
      <c r="G1005" t="s">
        <v>89</v>
      </c>
      <c r="H1005" t="s">
        <v>93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128</v>
      </c>
      <c r="B1006" t="s">
        <v>284</v>
      </c>
      <c r="C1006" t="s">
        <v>89</v>
      </c>
      <c r="D1006" t="s">
        <v>89</v>
      </c>
      <c r="E1006" t="s">
        <v>181</v>
      </c>
      <c r="F1006" t="s">
        <v>89</v>
      </c>
      <c r="G1006" t="s">
        <v>89</v>
      </c>
      <c r="H1006" t="s">
        <v>93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128</v>
      </c>
      <c r="B1007" t="s">
        <v>1170</v>
      </c>
      <c r="C1007" t="s">
        <v>89</v>
      </c>
      <c r="D1007" t="s">
        <v>89</v>
      </c>
      <c r="E1007" t="s">
        <v>184</v>
      </c>
      <c r="F1007" t="s">
        <v>89</v>
      </c>
      <c r="G1007" t="s">
        <v>89</v>
      </c>
      <c r="H1007" t="s">
        <v>93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128</v>
      </c>
      <c r="B1008" t="s">
        <v>641</v>
      </c>
      <c r="C1008" t="s">
        <v>89</v>
      </c>
      <c r="D1008" t="s">
        <v>89</v>
      </c>
      <c r="E1008" t="s">
        <v>184</v>
      </c>
      <c r="F1008" t="s">
        <v>89</v>
      </c>
      <c r="G1008" t="s">
        <v>89</v>
      </c>
      <c r="H1008" t="s">
        <v>93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128</v>
      </c>
      <c r="B1009" t="s">
        <v>899</v>
      </c>
      <c r="C1009" t="s">
        <v>89</v>
      </c>
      <c r="D1009" t="s">
        <v>89</v>
      </c>
      <c r="E1009" t="s">
        <v>178</v>
      </c>
      <c r="F1009" t="s">
        <v>89</v>
      </c>
      <c r="G1009" t="s">
        <v>89</v>
      </c>
      <c r="H1009" t="s">
        <v>93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128</v>
      </c>
      <c r="B1010" t="s">
        <v>984</v>
      </c>
      <c r="C1010" t="s">
        <v>89</v>
      </c>
      <c r="D1010" t="s">
        <v>89</v>
      </c>
      <c r="E1010" t="s">
        <v>178</v>
      </c>
      <c r="F1010" t="s">
        <v>89</v>
      </c>
      <c r="G1010" t="s">
        <v>89</v>
      </c>
      <c r="H1010" t="s">
        <v>93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128</v>
      </c>
      <c r="B1011" t="s">
        <v>193</v>
      </c>
      <c r="C1011" t="s">
        <v>89</v>
      </c>
      <c r="D1011" t="s">
        <v>89</v>
      </c>
      <c r="E1011" t="s">
        <v>216</v>
      </c>
      <c r="F1011" t="s">
        <v>89</v>
      </c>
      <c r="G1011" t="s">
        <v>89</v>
      </c>
      <c r="H1011" t="s">
        <v>93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128</v>
      </c>
      <c r="B1012" t="s">
        <v>886</v>
      </c>
      <c r="C1012" t="s">
        <v>89</v>
      </c>
      <c r="D1012" t="s">
        <v>89</v>
      </c>
      <c r="E1012" t="s">
        <v>196</v>
      </c>
      <c r="F1012" t="s">
        <v>89</v>
      </c>
      <c r="G1012" t="s">
        <v>89</v>
      </c>
      <c r="H1012" t="s">
        <v>93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128</v>
      </c>
      <c r="B1013" t="s">
        <v>217</v>
      </c>
      <c r="C1013" t="s">
        <v>89</v>
      </c>
      <c r="D1013" t="s">
        <v>89</v>
      </c>
      <c r="E1013" t="s">
        <v>192</v>
      </c>
      <c r="F1013" t="s">
        <v>89</v>
      </c>
      <c r="G1013" t="s">
        <v>89</v>
      </c>
      <c r="H1013" t="s">
        <v>93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128</v>
      </c>
      <c r="B1014" t="s">
        <v>219</v>
      </c>
      <c r="C1014" t="s">
        <v>89</v>
      </c>
      <c r="D1014" t="s">
        <v>89</v>
      </c>
      <c r="E1014" t="s">
        <v>192</v>
      </c>
      <c r="F1014" t="s">
        <v>89</v>
      </c>
      <c r="G1014" t="s">
        <v>89</v>
      </c>
      <c r="H1014" t="s">
        <v>93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128</v>
      </c>
      <c r="B1015" t="s">
        <v>199</v>
      </c>
      <c r="C1015" t="s">
        <v>89</v>
      </c>
      <c r="D1015" t="s">
        <v>89</v>
      </c>
      <c r="E1015" t="s">
        <v>200</v>
      </c>
      <c r="F1015" t="s">
        <v>89</v>
      </c>
      <c r="G1015" t="s">
        <v>89</v>
      </c>
      <c r="H1015" t="s">
        <v>93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129</v>
      </c>
      <c r="B1016" t="s">
        <v>1171</v>
      </c>
      <c r="C1016" t="s">
        <v>89</v>
      </c>
      <c r="D1016" t="s">
        <v>1172</v>
      </c>
      <c r="E1016" t="s">
        <v>438</v>
      </c>
      <c r="F1016" t="s">
        <v>89</v>
      </c>
      <c r="G1016" t="s">
        <v>89</v>
      </c>
      <c r="H1016" t="s">
        <v>93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129</v>
      </c>
      <c r="B1017" t="s">
        <v>1173</v>
      </c>
      <c r="C1017" t="s">
        <v>89</v>
      </c>
      <c r="D1017" t="s">
        <v>1174</v>
      </c>
      <c r="E1017" t="s">
        <v>181</v>
      </c>
      <c r="F1017" t="s">
        <v>89</v>
      </c>
      <c r="G1017" t="s">
        <v>89</v>
      </c>
      <c r="H1017" t="s">
        <v>93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129</v>
      </c>
      <c r="B1018" t="s">
        <v>1175</v>
      </c>
      <c r="C1018" t="s">
        <v>89</v>
      </c>
      <c r="D1018" t="s">
        <v>1176</v>
      </c>
      <c r="E1018" t="s">
        <v>1177</v>
      </c>
      <c r="F1018" t="s">
        <v>89</v>
      </c>
      <c r="G1018" t="s">
        <v>89</v>
      </c>
      <c r="H1018" t="s">
        <v>93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129</v>
      </c>
      <c r="B1019" t="s">
        <v>709</v>
      </c>
      <c r="C1019" t="s">
        <v>89</v>
      </c>
      <c r="D1019" t="s">
        <v>1178</v>
      </c>
      <c r="E1019" t="s">
        <v>525</v>
      </c>
      <c r="F1019" t="s">
        <v>89</v>
      </c>
      <c r="G1019" t="s">
        <v>89</v>
      </c>
      <c r="H1019" t="s">
        <v>93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129</v>
      </c>
      <c r="B1020" t="s">
        <v>206</v>
      </c>
      <c r="C1020" t="s">
        <v>89</v>
      </c>
      <c r="D1020" t="s">
        <v>1179</v>
      </c>
      <c r="E1020" t="s">
        <v>237</v>
      </c>
      <c r="F1020" t="s">
        <v>89</v>
      </c>
      <c r="G1020" t="s">
        <v>89</v>
      </c>
      <c r="H1020" t="s">
        <v>93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129</v>
      </c>
      <c r="B1021" t="s">
        <v>1171</v>
      </c>
      <c r="C1021" t="s">
        <v>89</v>
      </c>
      <c r="D1021" t="s">
        <v>1172</v>
      </c>
      <c r="E1021" t="s">
        <v>438</v>
      </c>
      <c r="F1021" t="s">
        <v>89</v>
      </c>
      <c r="G1021" t="s">
        <v>89</v>
      </c>
      <c r="H1021" t="s">
        <v>93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129</v>
      </c>
      <c r="B1022" t="s">
        <v>1180</v>
      </c>
      <c r="C1022" t="s">
        <v>89</v>
      </c>
      <c r="D1022" t="s">
        <v>1181</v>
      </c>
      <c r="E1022" t="s">
        <v>1182</v>
      </c>
      <c r="F1022" t="s">
        <v>89</v>
      </c>
      <c r="G1022" t="s">
        <v>89</v>
      </c>
      <c r="H1022" t="s">
        <v>93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129</v>
      </c>
      <c r="B1023" t="s">
        <v>1183</v>
      </c>
      <c r="C1023" t="s">
        <v>89</v>
      </c>
      <c r="D1023" t="s">
        <v>1184</v>
      </c>
      <c r="E1023" t="s">
        <v>1185</v>
      </c>
      <c r="F1023" t="s">
        <v>89</v>
      </c>
      <c r="G1023" t="s">
        <v>89</v>
      </c>
      <c r="H1023" t="s">
        <v>93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129</v>
      </c>
      <c r="B1024" t="s">
        <v>1186</v>
      </c>
      <c r="C1024" t="s">
        <v>89</v>
      </c>
      <c r="D1024" t="s">
        <v>1187</v>
      </c>
      <c r="E1024" t="s">
        <v>349</v>
      </c>
      <c r="F1024" t="s">
        <v>89</v>
      </c>
      <c r="G1024" t="s">
        <v>89</v>
      </c>
      <c r="H1024" t="s">
        <v>93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129</v>
      </c>
      <c r="B1025" t="s">
        <v>1175</v>
      </c>
      <c r="C1025" t="s">
        <v>89</v>
      </c>
      <c r="D1025" t="s">
        <v>1176</v>
      </c>
      <c r="E1025" t="s">
        <v>1188</v>
      </c>
      <c r="F1025" t="s">
        <v>89</v>
      </c>
      <c r="G1025" t="s">
        <v>89</v>
      </c>
      <c r="H1025" t="s">
        <v>93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129</v>
      </c>
      <c r="B1026" t="s">
        <v>1173</v>
      </c>
      <c r="C1026" t="s">
        <v>89</v>
      </c>
      <c r="D1026" t="s">
        <v>1174</v>
      </c>
      <c r="E1026" t="s">
        <v>181</v>
      </c>
      <c r="F1026" t="s">
        <v>89</v>
      </c>
      <c r="G1026" t="s">
        <v>89</v>
      </c>
      <c r="H1026" t="s">
        <v>93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129</v>
      </c>
      <c r="B1027" t="s">
        <v>1189</v>
      </c>
      <c r="C1027" t="s">
        <v>89</v>
      </c>
      <c r="D1027" t="s">
        <v>1174</v>
      </c>
      <c r="E1027" t="s">
        <v>227</v>
      </c>
      <c r="F1027" t="s">
        <v>89</v>
      </c>
      <c r="G1027" t="s">
        <v>89</v>
      </c>
      <c r="H1027" t="s">
        <v>93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129</v>
      </c>
      <c r="B1028" t="s">
        <v>893</v>
      </c>
      <c r="C1028" t="s">
        <v>89</v>
      </c>
      <c r="D1028" t="s">
        <v>1190</v>
      </c>
      <c r="E1028" t="s">
        <v>332</v>
      </c>
      <c r="F1028" t="s">
        <v>89</v>
      </c>
      <c r="G1028" t="s">
        <v>89</v>
      </c>
      <c r="H1028" t="s">
        <v>93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129</v>
      </c>
      <c r="B1029" t="s">
        <v>206</v>
      </c>
      <c r="C1029" t="s">
        <v>89</v>
      </c>
      <c r="D1029" t="s">
        <v>1179</v>
      </c>
      <c r="E1029" t="s">
        <v>237</v>
      </c>
      <c r="F1029" t="s">
        <v>89</v>
      </c>
      <c r="G1029" t="s">
        <v>89</v>
      </c>
      <c r="H1029" t="s">
        <v>93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129</v>
      </c>
      <c r="B1030" t="s">
        <v>709</v>
      </c>
      <c r="C1030" t="s">
        <v>89</v>
      </c>
      <c r="D1030" t="s">
        <v>1178</v>
      </c>
      <c r="E1030" t="s">
        <v>525</v>
      </c>
      <c r="F1030" t="s">
        <v>89</v>
      </c>
      <c r="G1030" t="s">
        <v>89</v>
      </c>
      <c r="H1030" t="s">
        <v>93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129</v>
      </c>
      <c r="B1031" t="s">
        <v>188</v>
      </c>
      <c r="C1031" t="s">
        <v>89</v>
      </c>
      <c r="D1031" t="s">
        <v>1191</v>
      </c>
      <c r="E1031" t="s">
        <v>215</v>
      </c>
      <c r="F1031" t="s">
        <v>89</v>
      </c>
      <c r="G1031" t="s">
        <v>89</v>
      </c>
      <c r="H1031" t="s">
        <v>93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129</v>
      </c>
      <c r="B1032" t="s">
        <v>1192</v>
      </c>
      <c r="C1032" t="s">
        <v>89</v>
      </c>
      <c r="D1032" t="s">
        <v>89</v>
      </c>
      <c r="E1032" t="s">
        <v>220</v>
      </c>
      <c r="F1032" t="s">
        <v>89</v>
      </c>
      <c r="G1032" t="s">
        <v>89</v>
      </c>
      <c r="H1032" t="s">
        <v>93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129</v>
      </c>
      <c r="B1033" t="s">
        <v>1193</v>
      </c>
      <c r="C1033" t="s">
        <v>89</v>
      </c>
      <c r="D1033" t="s">
        <v>89</v>
      </c>
      <c r="E1033" t="s">
        <v>196</v>
      </c>
      <c r="F1033" t="s">
        <v>89</v>
      </c>
      <c r="G1033" t="s">
        <v>89</v>
      </c>
      <c r="H1033" t="s">
        <v>93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129</v>
      </c>
      <c r="B1034" t="s">
        <v>1194</v>
      </c>
      <c r="C1034" t="s">
        <v>89</v>
      </c>
      <c r="D1034" t="s">
        <v>89</v>
      </c>
      <c r="E1034" t="s">
        <v>246</v>
      </c>
      <c r="F1034" t="s">
        <v>89</v>
      </c>
      <c r="G1034" t="s">
        <v>89</v>
      </c>
      <c r="H1034" t="s">
        <v>93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129</v>
      </c>
      <c r="B1035" t="s">
        <v>1195</v>
      </c>
      <c r="C1035" t="s">
        <v>89</v>
      </c>
      <c r="D1035" t="s">
        <v>89</v>
      </c>
      <c r="E1035" t="s">
        <v>246</v>
      </c>
      <c r="F1035" t="s">
        <v>89</v>
      </c>
      <c r="G1035" t="s">
        <v>89</v>
      </c>
      <c r="H1035" t="s">
        <v>93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129</v>
      </c>
      <c r="B1036" t="s">
        <v>1196</v>
      </c>
      <c r="C1036" t="s">
        <v>89</v>
      </c>
      <c r="D1036" t="s">
        <v>1197</v>
      </c>
      <c r="E1036" t="s">
        <v>202</v>
      </c>
      <c r="F1036" t="s">
        <v>89</v>
      </c>
      <c r="G1036" t="s">
        <v>89</v>
      </c>
      <c r="H1036" t="s">
        <v>93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129</v>
      </c>
      <c r="B1037" t="s">
        <v>1198</v>
      </c>
      <c r="C1037" t="s">
        <v>89</v>
      </c>
      <c r="D1037" t="s">
        <v>89</v>
      </c>
      <c r="E1037" t="s">
        <v>181</v>
      </c>
      <c r="F1037" t="s">
        <v>89</v>
      </c>
      <c r="G1037" t="s">
        <v>89</v>
      </c>
      <c r="H1037" t="s">
        <v>93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129</v>
      </c>
      <c r="B1038" t="s">
        <v>1199</v>
      </c>
      <c r="C1038" t="s">
        <v>89</v>
      </c>
      <c r="D1038" t="s">
        <v>1197</v>
      </c>
      <c r="E1038" t="s">
        <v>232</v>
      </c>
      <c r="F1038" t="s">
        <v>89</v>
      </c>
      <c r="G1038" t="s">
        <v>89</v>
      </c>
      <c r="H1038" t="s">
        <v>93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129</v>
      </c>
      <c r="B1039" t="s">
        <v>191</v>
      </c>
      <c r="C1039" t="s">
        <v>89</v>
      </c>
      <c r="D1039" t="s">
        <v>89</v>
      </c>
      <c r="E1039" t="s">
        <v>241</v>
      </c>
      <c r="F1039" t="s">
        <v>89</v>
      </c>
      <c r="G1039" t="s">
        <v>89</v>
      </c>
      <c r="H1039" t="s">
        <v>93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129</v>
      </c>
      <c r="B1040" t="s">
        <v>730</v>
      </c>
      <c r="C1040" t="s">
        <v>89</v>
      </c>
      <c r="D1040" t="s">
        <v>89</v>
      </c>
      <c r="E1040" t="s">
        <v>216</v>
      </c>
      <c r="F1040" t="s">
        <v>89</v>
      </c>
      <c r="G1040" t="s">
        <v>89</v>
      </c>
      <c r="H1040" t="s">
        <v>93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129</v>
      </c>
      <c r="B1041" t="s">
        <v>243</v>
      </c>
      <c r="C1041" t="s">
        <v>89</v>
      </c>
      <c r="D1041" t="s">
        <v>89</v>
      </c>
      <c r="E1041" t="s">
        <v>241</v>
      </c>
      <c r="F1041" t="s">
        <v>89</v>
      </c>
      <c r="G1041" t="s">
        <v>89</v>
      </c>
      <c r="H1041" t="s">
        <v>93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129</v>
      </c>
      <c r="B1042" t="s">
        <v>723</v>
      </c>
      <c r="C1042" t="s">
        <v>89</v>
      </c>
      <c r="D1042" t="s">
        <v>89</v>
      </c>
      <c r="E1042" t="s">
        <v>216</v>
      </c>
      <c r="F1042" t="s">
        <v>89</v>
      </c>
      <c r="G1042" t="s">
        <v>89</v>
      </c>
      <c r="H1042" t="s">
        <v>93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129</v>
      </c>
      <c r="B1043" t="s">
        <v>193</v>
      </c>
      <c r="C1043" t="s">
        <v>89</v>
      </c>
      <c r="D1043" t="s">
        <v>89</v>
      </c>
      <c r="E1043" t="s">
        <v>241</v>
      </c>
      <c r="F1043" t="s">
        <v>89</v>
      </c>
      <c r="G1043" t="s">
        <v>89</v>
      </c>
      <c r="H1043" t="s">
        <v>93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129</v>
      </c>
      <c r="B1044" t="s">
        <v>961</v>
      </c>
      <c r="C1044" t="s">
        <v>89</v>
      </c>
      <c r="D1044" t="s">
        <v>89</v>
      </c>
      <c r="E1044" t="s">
        <v>246</v>
      </c>
      <c r="F1044" t="s">
        <v>89</v>
      </c>
      <c r="G1044" t="s">
        <v>89</v>
      </c>
      <c r="H1044" t="s">
        <v>93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129</v>
      </c>
      <c r="B1045" t="s">
        <v>194</v>
      </c>
      <c r="C1045" t="s">
        <v>89</v>
      </c>
      <c r="D1045" t="s">
        <v>89</v>
      </c>
      <c r="E1045" t="s">
        <v>216</v>
      </c>
      <c r="F1045" t="s">
        <v>89</v>
      </c>
      <c r="G1045" t="s">
        <v>89</v>
      </c>
      <c r="H1045" t="s">
        <v>93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129</v>
      </c>
      <c r="B1046" t="s">
        <v>197</v>
      </c>
      <c r="C1046" t="s">
        <v>89</v>
      </c>
      <c r="D1046" t="s">
        <v>89</v>
      </c>
      <c r="E1046" t="s">
        <v>716</v>
      </c>
      <c r="F1046" t="s">
        <v>89</v>
      </c>
      <c r="G1046" t="s">
        <v>89</v>
      </c>
      <c r="H1046" t="s">
        <v>93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129</v>
      </c>
      <c r="B1047" t="s">
        <v>722</v>
      </c>
      <c r="C1047" t="s">
        <v>89</v>
      </c>
      <c r="D1047" t="s">
        <v>89</v>
      </c>
      <c r="E1047" t="s">
        <v>240</v>
      </c>
      <c r="F1047" t="s">
        <v>89</v>
      </c>
      <c r="G1047" t="s">
        <v>89</v>
      </c>
      <c r="H1047" t="s">
        <v>93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129</v>
      </c>
      <c r="B1048" t="s">
        <v>1200</v>
      </c>
      <c r="C1048" t="s">
        <v>89</v>
      </c>
      <c r="D1048" t="s">
        <v>89</v>
      </c>
      <c r="E1048" t="s">
        <v>240</v>
      </c>
      <c r="F1048" t="s">
        <v>89</v>
      </c>
      <c r="G1048" t="s">
        <v>89</v>
      </c>
      <c r="H1048" t="s">
        <v>93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129</v>
      </c>
      <c r="B1049" t="s">
        <v>1201</v>
      </c>
      <c r="C1049" t="s">
        <v>89</v>
      </c>
      <c r="D1049" t="s">
        <v>89</v>
      </c>
      <c r="E1049" t="s">
        <v>220</v>
      </c>
      <c r="F1049" t="s">
        <v>89</v>
      </c>
      <c r="G1049" t="s">
        <v>89</v>
      </c>
      <c r="H1049" t="s">
        <v>93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129</v>
      </c>
      <c r="B1050" t="s">
        <v>1202</v>
      </c>
      <c r="C1050" t="s">
        <v>89</v>
      </c>
      <c r="D1050" t="s">
        <v>89</v>
      </c>
      <c r="E1050" t="s">
        <v>220</v>
      </c>
      <c r="F1050" t="s">
        <v>89</v>
      </c>
      <c r="G1050" t="s">
        <v>89</v>
      </c>
      <c r="H1050" t="s">
        <v>93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129</v>
      </c>
      <c r="B1051" t="s">
        <v>1203</v>
      </c>
      <c r="C1051" t="s">
        <v>89</v>
      </c>
      <c r="D1051" t="s">
        <v>89</v>
      </c>
      <c r="E1051" t="s">
        <v>184</v>
      </c>
      <c r="F1051" t="s">
        <v>89</v>
      </c>
      <c r="G1051" t="s">
        <v>89</v>
      </c>
      <c r="H1051" t="s">
        <v>93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129</v>
      </c>
      <c r="B1052" t="s">
        <v>1204</v>
      </c>
      <c r="C1052" t="s">
        <v>89</v>
      </c>
      <c r="D1052" t="s">
        <v>89</v>
      </c>
      <c r="E1052" t="s">
        <v>332</v>
      </c>
      <c r="F1052" t="s">
        <v>89</v>
      </c>
      <c r="G1052" t="s">
        <v>89</v>
      </c>
      <c r="H1052" t="s">
        <v>93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129</v>
      </c>
      <c r="B1053" t="s">
        <v>199</v>
      </c>
      <c r="C1053" t="s">
        <v>89</v>
      </c>
      <c r="D1053" t="s">
        <v>89</v>
      </c>
      <c r="E1053" t="s">
        <v>200</v>
      </c>
      <c r="F1053" t="s">
        <v>89</v>
      </c>
      <c r="G1053" t="s">
        <v>89</v>
      </c>
      <c r="H1053" t="s">
        <v>93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130</v>
      </c>
      <c r="B1054" t="s">
        <v>1205</v>
      </c>
      <c r="C1054" t="s">
        <v>89</v>
      </c>
      <c r="D1054" t="s">
        <v>89</v>
      </c>
      <c r="E1054" t="s">
        <v>354</v>
      </c>
      <c r="F1054" t="s">
        <v>89</v>
      </c>
      <c r="G1054" t="s">
        <v>89</v>
      </c>
      <c r="H1054" t="s">
        <v>93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130</v>
      </c>
      <c r="B1055" t="s">
        <v>1206</v>
      </c>
      <c r="C1055" t="s">
        <v>89</v>
      </c>
      <c r="D1055" t="s">
        <v>89</v>
      </c>
      <c r="E1055" t="s">
        <v>227</v>
      </c>
      <c r="F1055" t="s">
        <v>89</v>
      </c>
      <c r="G1055" t="s">
        <v>89</v>
      </c>
      <c r="H1055" t="s">
        <v>93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130</v>
      </c>
      <c r="B1056" t="s">
        <v>1207</v>
      </c>
      <c r="C1056" t="s">
        <v>89</v>
      </c>
      <c r="D1056" t="s">
        <v>89</v>
      </c>
      <c r="E1056" t="s">
        <v>227</v>
      </c>
      <c r="F1056" t="s">
        <v>89</v>
      </c>
      <c r="G1056" t="s">
        <v>89</v>
      </c>
      <c r="H1056" t="s">
        <v>93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130</v>
      </c>
      <c r="B1057" t="s">
        <v>1208</v>
      </c>
      <c r="C1057" t="s">
        <v>89</v>
      </c>
      <c r="D1057" t="s">
        <v>89</v>
      </c>
      <c r="E1057" t="s">
        <v>227</v>
      </c>
      <c r="F1057" t="s">
        <v>89</v>
      </c>
      <c r="G1057" t="s">
        <v>89</v>
      </c>
      <c r="H1057" t="s">
        <v>93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130</v>
      </c>
      <c r="B1058" t="s">
        <v>1209</v>
      </c>
      <c r="C1058" t="s">
        <v>89</v>
      </c>
      <c r="D1058" t="s">
        <v>1210</v>
      </c>
      <c r="E1058" t="s">
        <v>187</v>
      </c>
      <c r="F1058" t="s">
        <v>89</v>
      </c>
      <c r="G1058" t="s">
        <v>89</v>
      </c>
      <c r="H1058" t="s">
        <v>93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130</v>
      </c>
      <c r="B1059" t="s">
        <v>1211</v>
      </c>
      <c r="C1059" t="s">
        <v>89</v>
      </c>
      <c r="D1059" t="s">
        <v>89</v>
      </c>
      <c r="E1059" t="s">
        <v>1212</v>
      </c>
      <c r="F1059" t="s">
        <v>89</v>
      </c>
      <c r="G1059" t="s">
        <v>89</v>
      </c>
      <c r="H1059" t="s">
        <v>93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130</v>
      </c>
      <c r="B1060" t="s">
        <v>1213</v>
      </c>
      <c r="C1060" t="s">
        <v>89</v>
      </c>
      <c r="D1060" t="s">
        <v>89</v>
      </c>
      <c r="E1060" t="s">
        <v>354</v>
      </c>
      <c r="F1060" t="s">
        <v>89</v>
      </c>
      <c r="G1060" t="s">
        <v>89</v>
      </c>
      <c r="H1060" t="s">
        <v>93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130</v>
      </c>
      <c r="B1061" t="s">
        <v>191</v>
      </c>
      <c r="C1061" t="s">
        <v>89</v>
      </c>
      <c r="D1061" t="s">
        <v>89</v>
      </c>
      <c r="E1061" t="s">
        <v>216</v>
      </c>
      <c r="F1061" t="s">
        <v>89</v>
      </c>
      <c r="G1061" t="s">
        <v>89</v>
      </c>
      <c r="H1061" t="s">
        <v>93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130</v>
      </c>
      <c r="B1062" t="s">
        <v>243</v>
      </c>
      <c r="C1062" t="s">
        <v>89</v>
      </c>
      <c r="D1062" t="s">
        <v>89</v>
      </c>
      <c r="E1062" t="s">
        <v>216</v>
      </c>
      <c r="F1062" t="s">
        <v>89</v>
      </c>
      <c r="G1062" t="s">
        <v>89</v>
      </c>
      <c r="H1062" t="s">
        <v>93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130</v>
      </c>
      <c r="B1063" t="s">
        <v>328</v>
      </c>
      <c r="C1063" t="s">
        <v>89</v>
      </c>
      <c r="D1063" t="s">
        <v>89</v>
      </c>
      <c r="E1063" t="s">
        <v>202</v>
      </c>
      <c r="F1063" t="s">
        <v>89</v>
      </c>
      <c r="G1063" t="s">
        <v>89</v>
      </c>
      <c r="H1063" t="s">
        <v>93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130</v>
      </c>
      <c r="B1064" t="s">
        <v>197</v>
      </c>
      <c r="C1064" t="s">
        <v>89</v>
      </c>
      <c r="D1064" t="s">
        <v>89</v>
      </c>
      <c r="E1064" t="s">
        <v>220</v>
      </c>
      <c r="F1064" t="s">
        <v>89</v>
      </c>
      <c r="G1064" t="s">
        <v>89</v>
      </c>
      <c r="H1064" t="s">
        <v>93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130</v>
      </c>
      <c r="B1065" t="s">
        <v>722</v>
      </c>
      <c r="C1065" t="s">
        <v>89</v>
      </c>
      <c r="D1065" t="s">
        <v>89</v>
      </c>
      <c r="E1065" t="s">
        <v>1214</v>
      </c>
      <c r="F1065" t="s">
        <v>89</v>
      </c>
      <c r="G1065" t="s">
        <v>89</v>
      </c>
      <c r="H1065" t="s">
        <v>93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130</v>
      </c>
      <c r="B1066" t="s">
        <v>728</v>
      </c>
      <c r="C1066" t="s">
        <v>89</v>
      </c>
      <c r="D1066" t="s">
        <v>89</v>
      </c>
      <c r="E1066" t="s">
        <v>1214</v>
      </c>
      <c r="F1066" t="s">
        <v>89</v>
      </c>
      <c r="G1066" t="s">
        <v>89</v>
      </c>
      <c r="H1066" t="s">
        <v>93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130</v>
      </c>
      <c r="B1067" t="s">
        <v>729</v>
      </c>
      <c r="C1067" t="s">
        <v>89</v>
      </c>
      <c r="D1067" t="s">
        <v>89</v>
      </c>
      <c r="E1067" t="s">
        <v>181</v>
      </c>
      <c r="F1067" t="s">
        <v>89</v>
      </c>
      <c r="G1067" t="s">
        <v>89</v>
      </c>
      <c r="H1067" t="s">
        <v>93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130</v>
      </c>
      <c r="B1068" t="s">
        <v>726</v>
      </c>
      <c r="C1068" t="s">
        <v>89</v>
      </c>
      <c r="D1068" t="s">
        <v>89</v>
      </c>
      <c r="E1068" t="s">
        <v>181</v>
      </c>
      <c r="F1068" t="s">
        <v>89</v>
      </c>
      <c r="G1068" t="s">
        <v>89</v>
      </c>
      <c r="H1068" t="s">
        <v>93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130</v>
      </c>
      <c r="B1069" t="s">
        <v>424</v>
      </c>
      <c r="C1069" t="s">
        <v>89</v>
      </c>
      <c r="D1069" t="s">
        <v>89</v>
      </c>
      <c r="E1069" t="s">
        <v>213</v>
      </c>
      <c r="F1069" t="s">
        <v>89</v>
      </c>
      <c r="G1069" t="s">
        <v>89</v>
      </c>
      <c r="H1069" t="s">
        <v>93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130</v>
      </c>
      <c r="B1070" t="s">
        <v>432</v>
      </c>
      <c r="C1070" t="s">
        <v>89</v>
      </c>
      <c r="D1070" t="s">
        <v>89</v>
      </c>
      <c r="E1070" t="s">
        <v>358</v>
      </c>
      <c r="F1070" t="s">
        <v>89</v>
      </c>
      <c r="G1070" t="s">
        <v>89</v>
      </c>
      <c r="H1070" t="s">
        <v>93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130</v>
      </c>
      <c r="B1071" t="s">
        <v>1215</v>
      </c>
      <c r="C1071" t="s">
        <v>89</v>
      </c>
      <c r="D1071" t="s">
        <v>1216</v>
      </c>
      <c r="E1071" t="s">
        <v>213</v>
      </c>
      <c r="F1071" t="s">
        <v>89</v>
      </c>
      <c r="G1071" t="s">
        <v>89</v>
      </c>
      <c r="H1071" t="s">
        <v>93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130</v>
      </c>
      <c r="B1072" t="s">
        <v>1217</v>
      </c>
      <c r="C1072" t="s">
        <v>89</v>
      </c>
      <c r="D1072" t="s">
        <v>1216</v>
      </c>
      <c r="E1072" t="s">
        <v>358</v>
      </c>
      <c r="F1072" t="s">
        <v>89</v>
      </c>
      <c r="G1072" t="s">
        <v>89</v>
      </c>
      <c r="H1072" t="s">
        <v>93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130</v>
      </c>
      <c r="B1073" t="s">
        <v>407</v>
      </c>
      <c r="C1073" t="s">
        <v>89</v>
      </c>
      <c r="D1073" t="s">
        <v>89</v>
      </c>
      <c r="E1073" t="s">
        <v>213</v>
      </c>
      <c r="F1073" t="s">
        <v>89</v>
      </c>
      <c r="G1073" t="s">
        <v>89</v>
      </c>
      <c r="H1073" t="s">
        <v>93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130</v>
      </c>
      <c r="B1074" t="s">
        <v>429</v>
      </c>
      <c r="C1074" t="s">
        <v>89</v>
      </c>
      <c r="D1074" t="s">
        <v>89</v>
      </c>
      <c r="E1074" t="s">
        <v>358</v>
      </c>
      <c r="F1074" t="s">
        <v>89</v>
      </c>
      <c r="G1074" t="s">
        <v>89</v>
      </c>
      <c r="H1074" t="s">
        <v>93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130</v>
      </c>
      <c r="B1075" t="s">
        <v>1218</v>
      </c>
      <c r="C1075" t="s">
        <v>89</v>
      </c>
      <c r="D1075" t="s">
        <v>89</v>
      </c>
      <c r="E1075" t="s">
        <v>358</v>
      </c>
      <c r="F1075" t="s">
        <v>89</v>
      </c>
      <c r="G1075" t="s">
        <v>89</v>
      </c>
      <c r="H1075" t="s">
        <v>93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130</v>
      </c>
      <c r="B1076" t="s">
        <v>408</v>
      </c>
      <c r="C1076" t="s">
        <v>89</v>
      </c>
      <c r="D1076" t="s">
        <v>89</v>
      </c>
      <c r="E1076" t="s">
        <v>358</v>
      </c>
      <c r="F1076" t="s">
        <v>89</v>
      </c>
      <c r="G1076" t="s">
        <v>89</v>
      </c>
      <c r="H1076" t="s">
        <v>93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130</v>
      </c>
      <c r="B1077" t="s">
        <v>838</v>
      </c>
      <c r="C1077" t="s">
        <v>89</v>
      </c>
      <c r="D1077" t="s">
        <v>89</v>
      </c>
      <c r="E1077" t="s">
        <v>358</v>
      </c>
      <c r="F1077" t="s">
        <v>89</v>
      </c>
      <c r="G1077" t="s">
        <v>89</v>
      </c>
      <c r="H1077" t="s">
        <v>93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130</v>
      </c>
      <c r="B1078" t="s">
        <v>1219</v>
      </c>
      <c r="C1078" t="s">
        <v>89</v>
      </c>
      <c r="D1078" t="s">
        <v>89</v>
      </c>
      <c r="E1078" t="s">
        <v>213</v>
      </c>
      <c r="F1078" t="s">
        <v>89</v>
      </c>
      <c r="G1078" t="s">
        <v>89</v>
      </c>
      <c r="H1078" t="s">
        <v>93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130</v>
      </c>
      <c r="B1079" t="s">
        <v>837</v>
      </c>
      <c r="C1079" t="s">
        <v>89</v>
      </c>
      <c r="D1079" t="s">
        <v>89</v>
      </c>
      <c r="E1079" t="s">
        <v>358</v>
      </c>
      <c r="F1079" t="s">
        <v>89</v>
      </c>
      <c r="G1079" t="s">
        <v>89</v>
      </c>
      <c r="H1079" t="s">
        <v>93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130</v>
      </c>
      <c r="B1080" t="s">
        <v>199</v>
      </c>
      <c r="C1080" t="s">
        <v>89</v>
      </c>
      <c r="D1080" t="s">
        <v>89</v>
      </c>
      <c r="E1080" t="s">
        <v>200</v>
      </c>
      <c r="F1080" t="s">
        <v>89</v>
      </c>
      <c r="G1080" t="s">
        <v>89</v>
      </c>
      <c r="H1080" t="s">
        <v>93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131</v>
      </c>
      <c r="B1081" t="s">
        <v>366</v>
      </c>
      <c r="C1081" t="s">
        <v>89</v>
      </c>
      <c r="D1081" t="s">
        <v>842</v>
      </c>
      <c r="E1081" t="s">
        <v>224</v>
      </c>
      <c r="F1081" t="s">
        <v>89</v>
      </c>
      <c r="G1081" t="s">
        <v>89</v>
      </c>
      <c r="H1081" t="s">
        <v>93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131</v>
      </c>
      <c r="B1082" t="s">
        <v>313</v>
      </c>
      <c r="C1082" t="s">
        <v>89</v>
      </c>
      <c r="D1082" t="s">
        <v>842</v>
      </c>
      <c r="E1082" t="s">
        <v>224</v>
      </c>
      <c r="F1082" t="s">
        <v>89</v>
      </c>
      <c r="G1082" t="s">
        <v>89</v>
      </c>
      <c r="H1082" t="s">
        <v>93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131</v>
      </c>
      <c r="B1083" t="s">
        <v>569</v>
      </c>
      <c r="C1083" t="s">
        <v>89</v>
      </c>
      <c r="D1083" t="s">
        <v>842</v>
      </c>
      <c r="E1083" t="s">
        <v>178</v>
      </c>
      <c r="F1083" t="s">
        <v>89</v>
      </c>
      <c r="G1083" t="s">
        <v>89</v>
      </c>
      <c r="H1083" t="s">
        <v>93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131</v>
      </c>
      <c r="B1084" t="s">
        <v>570</v>
      </c>
      <c r="C1084" t="s">
        <v>89</v>
      </c>
      <c r="D1084" t="s">
        <v>842</v>
      </c>
      <c r="E1084" t="s">
        <v>254</v>
      </c>
      <c r="F1084" t="s">
        <v>89</v>
      </c>
      <c r="G1084" t="s">
        <v>89</v>
      </c>
      <c r="H1084" t="s">
        <v>93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131</v>
      </c>
      <c r="B1085" t="s">
        <v>376</v>
      </c>
      <c r="C1085" t="s">
        <v>89</v>
      </c>
      <c r="D1085" t="s">
        <v>842</v>
      </c>
      <c r="E1085" t="s">
        <v>208</v>
      </c>
      <c r="F1085" t="s">
        <v>89</v>
      </c>
      <c r="G1085" t="s">
        <v>89</v>
      </c>
      <c r="H1085" t="s">
        <v>93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131</v>
      </c>
      <c r="B1086" t="s">
        <v>1220</v>
      </c>
      <c r="C1086" t="s">
        <v>89</v>
      </c>
      <c r="D1086" t="s">
        <v>1221</v>
      </c>
      <c r="E1086" t="s">
        <v>224</v>
      </c>
      <c r="F1086" t="s">
        <v>89</v>
      </c>
      <c r="G1086" t="s">
        <v>89</v>
      </c>
      <c r="H1086" t="s">
        <v>93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131</v>
      </c>
      <c r="B1087" t="s">
        <v>1222</v>
      </c>
      <c r="C1087" t="s">
        <v>89</v>
      </c>
      <c r="D1087" t="s">
        <v>1223</v>
      </c>
      <c r="E1087" t="s">
        <v>371</v>
      </c>
      <c r="F1087" t="s">
        <v>89</v>
      </c>
      <c r="G1087" t="s">
        <v>89</v>
      </c>
      <c r="H1087" t="s">
        <v>93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131</v>
      </c>
      <c r="B1088" t="s">
        <v>1224</v>
      </c>
      <c r="C1088" t="s">
        <v>89</v>
      </c>
      <c r="D1088" t="s">
        <v>1225</v>
      </c>
      <c r="E1088" t="s">
        <v>1226</v>
      </c>
      <c r="F1088" t="s">
        <v>89</v>
      </c>
      <c r="G1088" t="s">
        <v>89</v>
      </c>
      <c r="H1088" t="s">
        <v>93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131</v>
      </c>
      <c r="B1089" t="s">
        <v>313</v>
      </c>
      <c r="C1089" t="s">
        <v>89</v>
      </c>
      <c r="D1089" t="s">
        <v>842</v>
      </c>
      <c r="E1089" t="s">
        <v>224</v>
      </c>
      <c r="F1089" t="s">
        <v>89</v>
      </c>
      <c r="G1089" t="s">
        <v>89</v>
      </c>
      <c r="H1089" t="s">
        <v>93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131</v>
      </c>
      <c r="B1090" t="s">
        <v>310</v>
      </c>
      <c r="C1090" t="s">
        <v>89</v>
      </c>
      <c r="D1090" t="s">
        <v>842</v>
      </c>
      <c r="E1090" t="s">
        <v>224</v>
      </c>
      <c r="F1090" t="s">
        <v>89</v>
      </c>
      <c r="G1090" t="s">
        <v>89</v>
      </c>
      <c r="H1090" t="s">
        <v>93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131</v>
      </c>
      <c r="B1091" t="s">
        <v>359</v>
      </c>
      <c r="C1091" t="s">
        <v>89</v>
      </c>
      <c r="D1091" t="s">
        <v>842</v>
      </c>
      <c r="E1091" t="s">
        <v>208</v>
      </c>
      <c r="F1091" t="s">
        <v>89</v>
      </c>
      <c r="G1091" t="s">
        <v>89</v>
      </c>
      <c r="H1091" t="s">
        <v>93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131</v>
      </c>
      <c r="B1092" t="s">
        <v>1227</v>
      </c>
      <c r="C1092" t="s">
        <v>89</v>
      </c>
      <c r="D1092" t="s">
        <v>1228</v>
      </c>
      <c r="E1092" t="s">
        <v>354</v>
      </c>
      <c r="F1092" t="s">
        <v>89</v>
      </c>
      <c r="G1092" t="s">
        <v>89</v>
      </c>
      <c r="H1092" t="s">
        <v>93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131</v>
      </c>
      <c r="B1093" t="s">
        <v>315</v>
      </c>
      <c r="C1093" t="s">
        <v>89</v>
      </c>
      <c r="D1093" t="s">
        <v>842</v>
      </c>
      <c r="E1093" t="s">
        <v>224</v>
      </c>
      <c r="F1093" t="s">
        <v>89</v>
      </c>
      <c r="G1093" t="s">
        <v>89</v>
      </c>
      <c r="H1093" t="s">
        <v>93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131</v>
      </c>
      <c r="B1094" t="s">
        <v>317</v>
      </c>
      <c r="C1094" t="s">
        <v>89</v>
      </c>
      <c r="D1094" t="s">
        <v>842</v>
      </c>
      <c r="E1094" t="s">
        <v>224</v>
      </c>
      <c r="F1094" t="s">
        <v>89</v>
      </c>
      <c r="G1094" t="s">
        <v>89</v>
      </c>
      <c r="H1094" t="s">
        <v>93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131</v>
      </c>
      <c r="B1095" t="s">
        <v>340</v>
      </c>
      <c r="C1095" t="s">
        <v>89</v>
      </c>
      <c r="D1095" t="s">
        <v>1229</v>
      </c>
      <c r="E1095" t="s">
        <v>187</v>
      </c>
      <c r="F1095" t="s">
        <v>89</v>
      </c>
      <c r="G1095" t="s">
        <v>89</v>
      </c>
      <c r="H1095" t="s">
        <v>93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131</v>
      </c>
      <c r="B1096" t="s">
        <v>333</v>
      </c>
      <c r="C1096" t="s">
        <v>89</v>
      </c>
      <c r="D1096" t="s">
        <v>842</v>
      </c>
      <c r="E1096" t="s">
        <v>224</v>
      </c>
      <c r="F1096" t="s">
        <v>89</v>
      </c>
      <c r="G1096" t="s">
        <v>89</v>
      </c>
      <c r="H1096" t="s">
        <v>93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131</v>
      </c>
      <c r="B1097" t="s">
        <v>1230</v>
      </c>
      <c r="C1097" t="s">
        <v>89</v>
      </c>
      <c r="D1097" t="s">
        <v>842</v>
      </c>
      <c r="E1097" t="s">
        <v>208</v>
      </c>
      <c r="F1097" t="s">
        <v>89</v>
      </c>
      <c r="G1097" t="s">
        <v>89</v>
      </c>
      <c r="H1097" t="s">
        <v>93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131</v>
      </c>
      <c r="B1098" t="s">
        <v>338</v>
      </c>
      <c r="C1098" t="s">
        <v>89</v>
      </c>
      <c r="D1098" t="s">
        <v>842</v>
      </c>
      <c r="E1098" t="s">
        <v>332</v>
      </c>
      <c r="F1098" t="s">
        <v>89</v>
      </c>
      <c r="G1098" t="s">
        <v>89</v>
      </c>
      <c r="H1098" t="s">
        <v>93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131</v>
      </c>
      <c r="B1099" t="s">
        <v>361</v>
      </c>
      <c r="C1099" t="s">
        <v>89</v>
      </c>
      <c r="D1099" t="s">
        <v>842</v>
      </c>
      <c r="E1099" t="s">
        <v>208</v>
      </c>
      <c r="F1099" t="s">
        <v>89</v>
      </c>
      <c r="G1099" t="s">
        <v>89</v>
      </c>
      <c r="H1099" t="s">
        <v>93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131</v>
      </c>
      <c r="B1100" t="s">
        <v>567</v>
      </c>
      <c r="C1100" t="s">
        <v>89</v>
      </c>
      <c r="D1100" t="s">
        <v>1231</v>
      </c>
      <c r="E1100" t="s">
        <v>215</v>
      </c>
      <c r="F1100" t="s">
        <v>89</v>
      </c>
      <c r="G1100" t="s">
        <v>89</v>
      </c>
      <c r="H1100" t="s">
        <v>93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131</v>
      </c>
      <c r="B1101" t="s">
        <v>362</v>
      </c>
      <c r="C1101" t="s">
        <v>89</v>
      </c>
      <c r="D1101" t="s">
        <v>1232</v>
      </c>
      <c r="E1101" t="s">
        <v>358</v>
      </c>
      <c r="F1101" t="s">
        <v>89</v>
      </c>
      <c r="G1101" t="s">
        <v>89</v>
      </c>
      <c r="H1101" t="s">
        <v>93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131</v>
      </c>
      <c r="B1102" t="s">
        <v>314</v>
      </c>
      <c r="C1102" t="s">
        <v>89</v>
      </c>
      <c r="D1102" t="s">
        <v>89</v>
      </c>
      <c r="E1102" t="s">
        <v>332</v>
      </c>
      <c r="F1102" t="s">
        <v>89</v>
      </c>
      <c r="G1102" t="s">
        <v>89</v>
      </c>
      <c r="H1102" t="s">
        <v>93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131</v>
      </c>
      <c r="B1103" t="s">
        <v>1233</v>
      </c>
      <c r="C1103" t="s">
        <v>89</v>
      </c>
      <c r="D1103" t="s">
        <v>89</v>
      </c>
      <c r="E1103" t="s">
        <v>332</v>
      </c>
      <c r="F1103" t="s">
        <v>89</v>
      </c>
      <c r="G1103" t="s">
        <v>89</v>
      </c>
      <c r="H1103" t="s">
        <v>93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131</v>
      </c>
      <c r="B1104" t="s">
        <v>1234</v>
      </c>
      <c r="C1104" t="s">
        <v>89</v>
      </c>
      <c r="D1104" t="s">
        <v>1235</v>
      </c>
      <c r="E1104" t="s">
        <v>425</v>
      </c>
      <c r="F1104" t="s">
        <v>89</v>
      </c>
      <c r="G1104" t="s">
        <v>89</v>
      </c>
      <c r="H1104" t="s">
        <v>93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131</v>
      </c>
      <c r="B1105" t="s">
        <v>1236</v>
      </c>
      <c r="C1105" t="s">
        <v>89</v>
      </c>
      <c r="D1105" t="s">
        <v>842</v>
      </c>
      <c r="E1105" t="s">
        <v>332</v>
      </c>
      <c r="F1105" t="s">
        <v>89</v>
      </c>
      <c r="G1105" t="s">
        <v>89</v>
      </c>
      <c r="H1105" t="s">
        <v>93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131</v>
      </c>
      <c r="B1106" t="s">
        <v>1237</v>
      </c>
      <c r="C1106" t="s">
        <v>89</v>
      </c>
      <c r="D1106" t="s">
        <v>842</v>
      </c>
      <c r="E1106" t="s">
        <v>208</v>
      </c>
      <c r="F1106" t="s">
        <v>89</v>
      </c>
      <c r="G1106" t="s">
        <v>89</v>
      </c>
      <c r="H1106" t="s">
        <v>93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131</v>
      </c>
      <c r="B1107" t="s">
        <v>1238</v>
      </c>
      <c r="C1107" t="s">
        <v>89</v>
      </c>
      <c r="D1107" t="s">
        <v>842</v>
      </c>
      <c r="E1107" t="s">
        <v>208</v>
      </c>
      <c r="F1107" t="s">
        <v>89</v>
      </c>
      <c r="G1107" t="s">
        <v>89</v>
      </c>
      <c r="H1107" t="s">
        <v>93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131</v>
      </c>
      <c r="B1108" t="s">
        <v>1239</v>
      </c>
      <c r="C1108" t="s">
        <v>89</v>
      </c>
      <c r="D1108" t="s">
        <v>842</v>
      </c>
      <c r="E1108" t="s">
        <v>208</v>
      </c>
      <c r="F1108" t="s">
        <v>89</v>
      </c>
      <c r="G1108" t="s">
        <v>89</v>
      </c>
      <c r="H1108" t="s">
        <v>93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131</v>
      </c>
      <c r="B1109" t="s">
        <v>279</v>
      </c>
      <c r="C1109" t="s">
        <v>89</v>
      </c>
      <c r="D1109" t="s">
        <v>842</v>
      </c>
      <c r="E1109" t="s">
        <v>332</v>
      </c>
      <c r="F1109" t="s">
        <v>89</v>
      </c>
      <c r="G1109" t="s">
        <v>89</v>
      </c>
      <c r="H1109" t="s">
        <v>93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131</v>
      </c>
      <c r="B1110" t="s">
        <v>1240</v>
      </c>
      <c r="C1110" t="s">
        <v>89</v>
      </c>
      <c r="D1110" t="s">
        <v>842</v>
      </c>
      <c r="E1110" t="s">
        <v>332</v>
      </c>
      <c r="F1110" t="s">
        <v>89</v>
      </c>
      <c r="G1110" t="s">
        <v>89</v>
      </c>
      <c r="H1110" t="s">
        <v>93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131</v>
      </c>
      <c r="B1111" t="s">
        <v>1241</v>
      </c>
      <c r="C1111" t="s">
        <v>89</v>
      </c>
      <c r="D1111" t="s">
        <v>842</v>
      </c>
      <c r="E1111" t="s">
        <v>332</v>
      </c>
      <c r="F1111" t="s">
        <v>89</v>
      </c>
      <c r="G1111" t="s">
        <v>89</v>
      </c>
      <c r="H1111" t="s">
        <v>93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131</v>
      </c>
      <c r="B1112" t="s">
        <v>1242</v>
      </c>
      <c r="C1112" t="s">
        <v>89</v>
      </c>
      <c r="D1112" t="s">
        <v>842</v>
      </c>
      <c r="E1112" t="s">
        <v>227</v>
      </c>
      <c r="F1112" t="s">
        <v>89</v>
      </c>
      <c r="G1112" t="s">
        <v>89</v>
      </c>
      <c r="H1112" t="s">
        <v>93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131</v>
      </c>
      <c r="B1113" t="s">
        <v>526</v>
      </c>
      <c r="C1113" t="s">
        <v>89</v>
      </c>
      <c r="D1113" t="s">
        <v>842</v>
      </c>
      <c r="E1113" t="s">
        <v>334</v>
      </c>
      <c r="F1113" t="s">
        <v>89</v>
      </c>
      <c r="G1113" t="s">
        <v>89</v>
      </c>
      <c r="H1113" t="s">
        <v>93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131</v>
      </c>
      <c r="B1114" t="s">
        <v>1243</v>
      </c>
      <c r="C1114" t="s">
        <v>89</v>
      </c>
      <c r="D1114" t="s">
        <v>842</v>
      </c>
      <c r="E1114" t="s">
        <v>332</v>
      </c>
      <c r="F1114" t="s">
        <v>89</v>
      </c>
      <c r="G1114" t="s">
        <v>89</v>
      </c>
      <c r="H1114" t="s">
        <v>93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131</v>
      </c>
      <c r="B1115" t="s">
        <v>1244</v>
      </c>
      <c r="C1115" t="s">
        <v>89</v>
      </c>
      <c r="D1115" t="s">
        <v>842</v>
      </c>
      <c r="E1115" t="s">
        <v>184</v>
      </c>
      <c r="F1115" t="s">
        <v>89</v>
      </c>
      <c r="G1115" t="s">
        <v>89</v>
      </c>
      <c r="H1115" t="s">
        <v>93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131</v>
      </c>
      <c r="B1116" t="s">
        <v>272</v>
      </c>
      <c r="C1116" t="s">
        <v>89</v>
      </c>
      <c r="D1116" t="s">
        <v>842</v>
      </c>
      <c r="E1116" t="s">
        <v>184</v>
      </c>
      <c r="F1116" t="s">
        <v>89</v>
      </c>
      <c r="G1116" t="s">
        <v>89</v>
      </c>
      <c r="H1116" t="s">
        <v>93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131</v>
      </c>
      <c r="B1117" t="s">
        <v>1245</v>
      </c>
      <c r="C1117" t="s">
        <v>89</v>
      </c>
      <c r="D1117" t="s">
        <v>842</v>
      </c>
      <c r="E1117" t="s">
        <v>344</v>
      </c>
      <c r="F1117" t="s">
        <v>89</v>
      </c>
      <c r="G1117" t="s">
        <v>89</v>
      </c>
      <c r="H1117" t="s">
        <v>93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131</v>
      </c>
      <c r="B1118" t="s">
        <v>1246</v>
      </c>
      <c r="C1118" t="s">
        <v>89</v>
      </c>
      <c r="D1118" t="s">
        <v>842</v>
      </c>
      <c r="E1118" t="s">
        <v>332</v>
      </c>
      <c r="F1118" t="s">
        <v>89</v>
      </c>
      <c r="G1118" t="s">
        <v>89</v>
      </c>
      <c r="H1118" t="s">
        <v>93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131</v>
      </c>
      <c r="B1119" t="s">
        <v>276</v>
      </c>
      <c r="C1119" t="s">
        <v>89</v>
      </c>
      <c r="D1119" t="s">
        <v>842</v>
      </c>
      <c r="E1119" t="s">
        <v>332</v>
      </c>
      <c r="F1119" t="s">
        <v>89</v>
      </c>
      <c r="G1119" t="s">
        <v>89</v>
      </c>
      <c r="H1119" t="s">
        <v>93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131</v>
      </c>
      <c r="B1120" t="s">
        <v>1247</v>
      </c>
      <c r="C1120" t="s">
        <v>89</v>
      </c>
      <c r="D1120" t="s">
        <v>842</v>
      </c>
      <c r="E1120" t="s">
        <v>332</v>
      </c>
      <c r="F1120" t="s">
        <v>89</v>
      </c>
      <c r="G1120" t="s">
        <v>89</v>
      </c>
      <c r="H1120" t="s">
        <v>93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131</v>
      </c>
      <c r="B1121" t="s">
        <v>1248</v>
      </c>
      <c r="C1121" t="s">
        <v>89</v>
      </c>
      <c r="D1121" t="s">
        <v>842</v>
      </c>
      <c r="E1121" t="s">
        <v>332</v>
      </c>
      <c r="F1121" t="s">
        <v>89</v>
      </c>
      <c r="G1121" t="s">
        <v>89</v>
      </c>
      <c r="H1121" t="s">
        <v>93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131</v>
      </c>
      <c r="B1122" t="s">
        <v>1249</v>
      </c>
      <c r="C1122" t="s">
        <v>89</v>
      </c>
      <c r="D1122" t="s">
        <v>842</v>
      </c>
      <c r="E1122" t="s">
        <v>334</v>
      </c>
      <c r="F1122" t="s">
        <v>89</v>
      </c>
      <c r="G1122" t="s">
        <v>89</v>
      </c>
      <c r="H1122" t="s">
        <v>93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131</v>
      </c>
      <c r="B1123" t="s">
        <v>273</v>
      </c>
      <c r="C1123" t="s">
        <v>89</v>
      </c>
      <c r="D1123" t="s">
        <v>842</v>
      </c>
      <c r="E1123" t="s">
        <v>184</v>
      </c>
      <c r="F1123" t="s">
        <v>89</v>
      </c>
      <c r="G1123" t="s">
        <v>89</v>
      </c>
      <c r="H1123" t="s">
        <v>93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131</v>
      </c>
      <c r="B1124" t="s">
        <v>1250</v>
      </c>
      <c r="C1124" t="s">
        <v>89</v>
      </c>
      <c r="D1124" t="s">
        <v>842</v>
      </c>
      <c r="E1124" t="s">
        <v>184</v>
      </c>
      <c r="F1124" t="s">
        <v>89</v>
      </c>
      <c r="G1124" t="s">
        <v>89</v>
      </c>
      <c r="H1124" t="s">
        <v>93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131</v>
      </c>
      <c r="B1125" t="s">
        <v>1251</v>
      </c>
      <c r="C1125" t="s">
        <v>89</v>
      </c>
      <c r="D1125" t="s">
        <v>842</v>
      </c>
      <c r="E1125" t="s">
        <v>332</v>
      </c>
      <c r="F1125" t="s">
        <v>89</v>
      </c>
      <c r="G1125" t="s">
        <v>89</v>
      </c>
      <c r="H1125" t="s">
        <v>93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131</v>
      </c>
      <c r="B1126" t="s">
        <v>1252</v>
      </c>
      <c r="C1126" t="s">
        <v>89</v>
      </c>
      <c r="D1126" t="s">
        <v>842</v>
      </c>
      <c r="E1126" t="s">
        <v>332</v>
      </c>
      <c r="F1126" t="s">
        <v>89</v>
      </c>
      <c r="G1126" t="s">
        <v>89</v>
      </c>
      <c r="H1126" t="s">
        <v>93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131</v>
      </c>
      <c r="B1127" t="s">
        <v>569</v>
      </c>
      <c r="C1127" t="s">
        <v>89</v>
      </c>
      <c r="D1127" t="s">
        <v>842</v>
      </c>
      <c r="E1127" t="s">
        <v>178</v>
      </c>
      <c r="F1127" t="s">
        <v>89</v>
      </c>
      <c r="G1127" t="s">
        <v>89</v>
      </c>
      <c r="H1127" t="s">
        <v>93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131</v>
      </c>
      <c r="B1128" t="s">
        <v>366</v>
      </c>
      <c r="C1128" t="s">
        <v>89</v>
      </c>
      <c r="D1128" t="s">
        <v>842</v>
      </c>
      <c r="E1128" t="s">
        <v>224</v>
      </c>
      <c r="F1128" t="s">
        <v>89</v>
      </c>
      <c r="G1128" t="s">
        <v>89</v>
      </c>
      <c r="H1128" t="s">
        <v>93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131</v>
      </c>
      <c r="B1129" t="s">
        <v>570</v>
      </c>
      <c r="C1129" t="s">
        <v>89</v>
      </c>
      <c r="D1129" t="s">
        <v>842</v>
      </c>
      <c r="E1129" t="s">
        <v>254</v>
      </c>
      <c r="F1129" t="s">
        <v>89</v>
      </c>
      <c r="G1129" t="s">
        <v>89</v>
      </c>
      <c r="H1129" t="s">
        <v>93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131</v>
      </c>
      <c r="B1130" t="s">
        <v>373</v>
      </c>
      <c r="C1130" t="s">
        <v>89</v>
      </c>
      <c r="D1130" t="s">
        <v>842</v>
      </c>
      <c r="E1130" t="s">
        <v>224</v>
      </c>
      <c r="F1130" t="s">
        <v>89</v>
      </c>
      <c r="G1130" t="s">
        <v>89</v>
      </c>
      <c r="H1130" t="s">
        <v>93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131</v>
      </c>
      <c r="B1131" t="s">
        <v>369</v>
      </c>
      <c r="C1131" t="s">
        <v>89</v>
      </c>
      <c r="D1131" t="s">
        <v>842</v>
      </c>
      <c r="E1131" t="s">
        <v>224</v>
      </c>
      <c r="F1131" t="s">
        <v>89</v>
      </c>
      <c r="G1131" t="s">
        <v>89</v>
      </c>
      <c r="H1131" t="s">
        <v>93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131</v>
      </c>
      <c r="B1132" t="s">
        <v>376</v>
      </c>
      <c r="C1132" t="s">
        <v>89</v>
      </c>
      <c r="D1132" t="s">
        <v>842</v>
      </c>
      <c r="E1132" t="s">
        <v>208</v>
      </c>
      <c r="F1132" t="s">
        <v>89</v>
      </c>
      <c r="G1132" t="s">
        <v>89</v>
      </c>
      <c r="H1132" t="s">
        <v>93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131</v>
      </c>
      <c r="B1133" t="s">
        <v>264</v>
      </c>
      <c r="C1133" t="s">
        <v>89</v>
      </c>
      <c r="D1133" t="s">
        <v>842</v>
      </c>
      <c r="E1133" t="s">
        <v>224</v>
      </c>
      <c r="F1133" t="s">
        <v>89</v>
      </c>
      <c r="G1133" t="s">
        <v>89</v>
      </c>
      <c r="H1133" t="s">
        <v>93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131</v>
      </c>
      <c r="B1134" t="s">
        <v>1253</v>
      </c>
      <c r="C1134" t="s">
        <v>89</v>
      </c>
      <c r="D1134" t="s">
        <v>842</v>
      </c>
      <c r="E1134" t="s">
        <v>181</v>
      </c>
      <c r="F1134" t="s">
        <v>89</v>
      </c>
      <c r="G1134" t="s">
        <v>89</v>
      </c>
      <c r="H1134" t="s">
        <v>93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131</v>
      </c>
      <c r="B1135" t="s">
        <v>380</v>
      </c>
      <c r="C1135" t="s">
        <v>89</v>
      </c>
      <c r="D1135" t="s">
        <v>842</v>
      </c>
      <c r="E1135" t="s">
        <v>187</v>
      </c>
      <c r="F1135" t="s">
        <v>89</v>
      </c>
      <c r="G1135" t="s">
        <v>89</v>
      </c>
      <c r="H1135" t="s">
        <v>93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131</v>
      </c>
      <c r="B1136" t="s">
        <v>1254</v>
      </c>
      <c r="C1136" t="s">
        <v>89</v>
      </c>
      <c r="D1136" t="s">
        <v>1255</v>
      </c>
      <c r="E1136" t="s">
        <v>322</v>
      </c>
      <c r="F1136" t="s">
        <v>89</v>
      </c>
      <c r="G1136" t="s">
        <v>89</v>
      </c>
      <c r="H1136" t="s">
        <v>93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131</v>
      </c>
      <c r="B1137" t="s">
        <v>963</v>
      </c>
      <c r="C1137" t="s">
        <v>89</v>
      </c>
      <c r="D1137" t="s">
        <v>842</v>
      </c>
      <c r="E1137" t="s">
        <v>322</v>
      </c>
      <c r="F1137" t="s">
        <v>89</v>
      </c>
      <c r="G1137" t="s">
        <v>89</v>
      </c>
      <c r="H1137" t="s">
        <v>93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131</v>
      </c>
      <c r="B1138" t="s">
        <v>1256</v>
      </c>
      <c r="C1138" t="s">
        <v>89</v>
      </c>
      <c r="D1138" t="s">
        <v>89</v>
      </c>
      <c r="E1138" t="s">
        <v>216</v>
      </c>
      <c r="F1138" t="s">
        <v>89</v>
      </c>
      <c r="G1138" t="s">
        <v>89</v>
      </c>
      <c r="H1138" t="s">
        <v>93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131</v>
      </c>
      <c r="B1139" t="s">
        <v>282</v>
      </c>
      <c r="C1139" t="s">
        <v>89</v>
      </c>
      <c r="D1139" t="s">
        <v>89</v>
      </c>
      <c r="E1139" t="s">
        <v>202</v>
      </c>
      <c r="F1139" t="s">
        <v>89</v>
      </c>
      <c r="G1139" t="s">
        <v>89</v>
      </c>
      <c r="H1139" t="s">
        <v>93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131</v>
      </c>
      <c r="B1140" t="s">
        <v>1257</v>
      </c>
      <c r="C1140" t="s">
        <v>89</v>
      </c>
      <c r="D1140" t="s">
        <v>89</v>
      </c>
      <c r="E1140" t="s">
        <v>216</v>
      </c>
      <c r="F1140" t="s">
        <v>89</v>
      </c>
      <c r="G1140" t="s">
        <v>89</v>
      </c>
      <c r="H1140" t="s">
        <v>93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131</v>
      </c>
      <c r="B1141" t="s">
        <v>1258</v>
      </c>
      <c r="C1141" t="s">
        <v>89</v>
      </c>
      <c r="D1141" t="s">
        <v>89</v>
      </c>
      <c r="E1141" t="s">
        <v>202</v>
      </c>
      <c r="F1141" t="s">
        <v>89</v>
      </c>
      <c r="G1141" t="s">
        <v>89</v>
      </c>
      <c r="H1141" t="s">
        <v>93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131</v>
      </c>
      <c r="B1142" t="s">
        <v>641</v>
      </c>
      <c r="C1142" t="s">
        <v>89</v>
      </c>
      <c r="D1142" t="s">
        <v>89</v>
      </c>
      <c r="E1142" t="s">
        <v>322</v>
      </c>
      <c r="F1142" t="s">
        <v>89</v>
      </c>
      <c r="G1142" t="s">
        <v>89</v>
      </c>
      <c r="H1142" t="s">
        <v>93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131</v>
      </c>
      <c r="B1143" t="s">
        <v>285</v>
      </c>
      <c r="C1143" t="s">
        <v>89</v>
      </c>
      <c r="D1143" t="s">
        <v>89</v>
      </c>
      <c r="E1143" t="s">
        <v>322</v>
      </c>
      <c r="F1143" t="s">
        <v>89</v>
      </c>
      <c r="G1143" t="s">
        <v>89</v>
      </c>
      <c r="H1143" t="s">
        <v>93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131</v>
      </c>
      <c r="B1144" t="s">
        <v>191</v>
      </c>
      <c r="C1144" t="s">
        <v>89</v>
      </c>
      <c r="D1144" t="s">
        <v>89</v>
      </c>
      <c r="E1144" t="s">
        <v>216</v>
      </c>
      <c r="F1144" t="s">
        <v>89</v>
      </c>
      <c r="G1144" t="s">
        <v>89</v>
      </c>
      <c r="H1144" t="s">
        <v>93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131</v>
      </c>
      <c r="B1145" t="s">
        <v>243</v>
      </c>
      <c r="C1145" t="s">
        <v>89</v>
      </c>
      <c r="D1145" t="s">
        <v>89</v>
      </c>
      <c r="E1145" t="s">
        <v>216</v>
      </c>
      <c r="F1145" t="s">
        <v>89</v>
      </c>
      <c r="G1145" t="s">
        <v>89</v>
      </c>
      <c r="H1145" t="s">
        <v>93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131</v>
      </c>
      <c r="B1146" t="s">
        <v>1259</v>
      </c>
      <c r="C1146" t="s">
        <v>89</v>
      </c>
      <c r="D1146" t="s">
        <v>89</v>
      </c>
      <c r="E1146" t="s">
        <v>246</v>
      </c>
      <c r="F1146" t="s">
        <v>89</v>
      </c>
      <c r="G1146" t="s">
        <v>89</v>
      </c>
      <c r="H1146" t="s">
        <v>93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131</v>
      </c>
      <c r="B1147" t="s">
        <v>1260</v>
      </c>
      <c r="C1147" t="s">
        <v>89</v>
      </c>
      <c r="D1147" t="s">
        <v>89</v>
      </c>
      <c r="E1147" t="s">
        <v>246</v>
      </c>
      <c r="F1147" t="s">
        <v>89</v>
      </c>
      <c r="G1147" t="s">
        <v>89</v>
      </c>
      <c r="H1147" t="s">
        <v>93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131</v>
      </c>
      <c r="B1148" t="s">
        <v>193</v>
      </c>
      <c r="C1148" t="s">
        <v>89</v>
      </c>
      <c r="D1148" t="s">
        <v>89</v>
      </c>
      <c r="E1148" t="s">
        <v>216</v>
      </c>
      <c r="F1148" t="s">
        <v>89</v>
      </c>
      <c r="G1148" t="s">
        <v>89</v>
      </c>
      <c r="H1148" t="s">
        <v>93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131</v>
      </c>
      <c r="B1149" t="s">
        <v>1261</v>
      </c>
      <c r="C1149" t="s">
        <v>89</v>
      </c>
      <c r="D1149" t="s">
        <v>89</v>
      </c>
      <c r="E1149" t="s">
        <v>192</v>
      </c>
      <c r="F1149" t="s">
        <v>89</v>
      </c>
      <c r="G1149" t="s">
        <v>89</v>
      </c>
      <c r="H1149" t="s">
        <v>93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131</v>
      </c>
      <c r="B1150" t="s">
        <v>194</v>
      </c>
      <c r="C1150" t="s">
        <v>89</v>
      </c>
      <c r="D1150" t="s">
        <v>89</v>
      </c>
      <c r="E1150" t="s">
        <v>246</v>
      </c>
      <c r="F1150" t="s">
        <v>89</v>
      </c>
      <c r="G1150" t="s">
        <v>89</v>
      </c>
      <c r="H1150" t="s">
        <v>93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131</v>
      </c>
      <c r="B1151" t="s">
        <v>195</v>
      </c>
      <c r="C1151" t="s">
        <v>89</v>
      </c>
      <c r="D1151" t="s">
        <v>89</v>
      </c>
      <c r="E1151" t="s">
        <v>192</v>
      </c>
      <c r="F1151" t="s">
        <v>89</v>
      </c>
      <c r="G1151" t="s">
        <v>89</v>
      </c>
      <c r="H1151" t="s">
        <v>93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131</v>
      </c>
      <c r="B1152" t="s">
        <v>942</v>
      </c>
      <c r="C1152" t="s">
        <v>89</v>
      </c>
      <c r="D1152" t="s">
        <v>89</v>
      </c>
      <c r="E1152" t="s">
        <v>196</v>
      </c>
      <c r="F1152" t="s">
        <v>89</v>
      </c>
      <c r="G1152" t="s">
        <v>89</v>
      </c>
      <c r="H1152" t="s">
        <v>93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133</v>
      </c>
      <c r="B1153" t="s">
        <v>1262</v>
      </c>
      <c r="C1153" t="s">
        <v>89</v>
      </c>
      <c r="D1153" t="s">
        <v>1263</v>
      </c>
      <c r="E1153" t="s">
        <v>1264</v>
      </c>
      <c r="F1153" t="s">
        <v>89</v>
      </c>
      <c r="G1153" t="s">
        <v>89</v>
      </c>
      <c r="H1153" t="s">
        <v>93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133</v>
      </c>
      <c r="B1154" t="s">
        <v>1265</v>
      </c>
      <c r="C1154" t="s">
        <v>89</v>
      </c>
      <c r="D1154" t="s">
        <v>1266</v>
      </c>
      <c r="E1154" t="s">
        <v>1267</v>
      </c>
      <c r="F1154" t="s">
        <v>89</v>
      </c>
      <c r="G1154" t="s">
        <v>89</v>
      </c>
      <c r="H1154" t="s">
        <v>93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133</v>
      </c>
      <c r="B1155" t="s">
        <v>1268</v>
      </c>
      <c r="C1155" t="s">
        <v>89</v>
      </c>
      <c r="D1155" t="s">
        <v>1269</v>
      </c>
      <c r="E1155" t="s">
        <v>1270</v>
      </c>
      <c r="F1155" t="s">
        <v>89</v>
      </c>
      <c r="G1155" t="s">
        <v>89</v>
      </c>
      <c r="H1155" t="s">
        <v>93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133</v>
      </c>
      <c r="B1156" t="s">
        <v>1271</v>
      </c>
      <c r="C1156" t="s">
        <v>89</v>
      </c>
      <c r="D1156" t="s">
        <v>1272</v>
      </c>
      <c r="E1156" t="s">
        <v>1273</v>
      </c>
      <c r="F1156" t="s">
        <v>89</v>
      </c>
      <c r="G1156" t="s">
        <v>89</v>
      </c>
      <c r="H1156" t="s">
        <v>93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133</v>
      </c>
      <c r="B1157" t="s">
        <v>1274</v>
      </c>
      <c r="C1157" t="s">
        <v>89</v>
      </c>
      <c r="D1157" t="s">
        <v>1275</v>
      </c>
      <c r="E1157" t="s">
        <v>1276</v>
      </c>
      <c r="F1157" t="s">
        <v>89</v>
      </c>
      <c r="G1157" t="s">
        <v>89</v>
      </c>
      <c r="H1157" t="s">
        <v>93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133</v>
      </c>
      <c r="B1158" t="s">
        <v>1277</v>
      </c>
      <c r="C1158" t="s">
        <v>89</v>
      </c>
      <c r="D1158" t="s">
        <v>1278</v>
      </c>
      <c r="E1158" t="s">
        <v>1279</v>
      </c>
      <c r="F1158" t="s">
        <v>89</v>
      </c>
      <c r="G1158" t="s">
        <v>89</v>
      </c>
      <c r="H1158" t="s">
        <v>93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133</v>
      </c>
      <c r="B1159" t="s">
        <v>1280</v>
      </c>
      <c r="C1159" t="s">
        <v>89</v>
      </c>
      <c r="D1159" t="s">
        <v>1281</v>
      </c>
      <c r="E1159" t="s">
        <v>1282</v>
      </c>
      <c r="F1159" t="s">
        <v>89</v>
      </c>
      <c r="G1159" t="s">
        <v>89</v>
      </c>
      <c r="H1159" t="s">
        <v>93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133</v>
      </c>
      <c r="B1160" t="s">
        <v>1283</v>
      </c>
      <c r="C1160" t="s">
        <v>89</v>
      </c>
      <c r="D1160" t="s">
        <v>1284</v>
      </c>
      <c r="E1160" t="s">
        <v>1285</v>
      </c>
      <c r="F1160" t="s">
        <v>89</v>
      </c>
      <c r="G1160" t="s">
        <v>89</v>
      </c>
      <c r="H1160" t="s">
        <v>93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133</v>
      </c>
      <c r="B1161" t="s">
        <v>1286</v>
      </c>
      <c r="C1161" t="s">
        <v>89</v>
      </c>
      <c r="D1161" t="s">
        <v>1287</v>
      </c>
      <c r="E1161" t="s">
        <v>1288</v>
      </c>
      <c r="F1161" t="s">
        <v>89</v>
      </c>
      <c r="G1161" t="s">
        <v>89</v>
      </c>
      <c r="H1161" t="s">
        <v>93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133</v>
      </c>
      <c r="B1162" t="s">
        <v>1289</v>
      </c>
      <c r="C1162" t="s">
        <v>89</v>
      </c>
      <c r="D1162" t="s">
        <v>1290</v>
      </c>
      <c r="E1162" t="s">
        <v>1291</v>
      </c>
      <c r="F1162" t="s">
        <v>89</v>
      </c>
      <c r="G1162" t="s">
        <v>89</v>
      </c>
      <c r="H1162" t="s">
        <v>93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133</v>
      </c>
      <c r="B1163" t="s">
        <v>1292</v>
      </c>
      <c r="C1163" t="s">
        <v>89</v>
      </c>
      <c r="D1163" t="s">
        <v>1293</v>
      </c>
      <c r="E1163" t="s">
        <v>1294</v>
      </c>
      <c r="F1163" t="s">
        <v>89</v>
      </c>
      <c r="G1163" t="s">
        <v>89</v>
      </c>
      <c r="H1163" t="s">
        <v>93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133</v>
      </c>
      <c r="B1164" t="s">
        <v>1295</v>
      </c>
      <c r="C1164" t="s">
        <v>89</v>
      </c>
      <c r="D1164" t="s">
        <v>1296</v>
      </c>
      <c r="E1164" t="s">
        <v>1294</v>
      </c>
      <c r="F1164" t="s">
        <v>89</v>
      </c>
      <c r="G1164" t="s">
        <v>89</v>
      </c>
      <c r="H1164" t="s">
        <v>93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133</v>
      </c>
      <c r="B1165" t="s">
        <v>1297</v>
      </c>
      <c r="C1165" t="s">
        <v>89</v>
      </c>
      <c r="D1165" t="s">
        <v>1298</v>
      </c>
      <c r="E1165" t="s">
        <v>1299</v>
      </c>
      <c r="F1165" t="s">
        <v>89</v>
      </c>
      <c r="G1165" t="s">
        <v>89</v>
      </c>
      <c r="H1165" t="s">
        <v>93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133</v>
      </c>
      <c r="B1166" t="s">
        <v>1300</v>
      </c>
      <c r="C1166" t="s">
        <v>89</v>
      </c>
      <c r="D1166" t="s">
        <v>1301</v>
      </c>
      <c r="E1166" t="s">
        <v>1302</v>
      </c>
      <c r="F1166" t="s">
        <v>89</v>
      </c>
      <c r="G1166" t="s">
        <v>89</v>
      </c>
      <c r="H1166" t="s">
        <v>93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133</v>
      </c>
      <c r="B1167" t="s">
        <v>1303</v>
      </c>
      <c r="C1167" t="s">
        <v>89</v>
      </c>
      <c r="D1167" t="s">
        <v>1304</v>
      </c>
      <c r="E1167" t="s">
        <v>1305</v>
      </c>
      <c r="F1167" t="s">
        <v>89</v>
      </c>
      <c r="G1167" t="s">
        <v>89</v>
      </c>
      <c r="H1167" t="s">
        <v>93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133</v>
      </c>
      <c r="B1168" t="s">
        <v>1306</v>
      </c>
      <c r="C1168" t="s">
        <v>89</v>
      </c>
      <c r="D1168" t="s">
        <v>1307</v>
      </c>
      <c r="E1168" t="s">
        <v>1308</v>
      </c>
      <c r="F1168" t="s">
        <v>89</v>
      </c>
      <c r="G1168" t="s">
        <v>89</v>
      </c>
      <c r="H1168" t="s">
        <v>93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133</v>
      </c>
      <c r="B1169" t="s">
        <v>1309</v>
      </c>
      <c r="C1169" t="s">
        <v>89</v>
      </c>
      <c r="D1169" t="s">
        <v>1310</v>
      </c>
      <c r="E1169" t="s">
        <v>1285</v>
      </c>
      <c r="F1169" t="s">
        <v>89</v>
      </c>
      <c r="G1169" t="s">
        <v>89</v>
      </c>
      <c r="H1169" t="s">
        <v>93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133</v>
      </c>
      <c r="B1170" t="s">
        <v>1311</v>
      </c>
      <c r="C1170" t="s">
        <v>89</v>
      </c>
      <c r="D1170" t="s">
        <v>1312</v>
      </c>
      <c r="E1170" t="s">
        <v>1288</v>
      </c>
      <c r="F1170" t="s">
        <v>89</v>
      </c>
      <c r="G1170" t="s">
        <v>89</v>
      </c>
      <c r="H1170" t="s">
        <v>93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133</v>
      </c>
      <c r="B1171" t="s">
        <v>1313</v>
      </c>
      <c r="C1171" t="s">
        <v>89</v>
      </c>
      <c r="D1171" t="s">
        <v>1314</v>
      </c>
      <c r="E1171" t="s">
        <v>1302</v>
      </c>
      <c r="F1171" t="s">
        <v>89</v>
      </c>
      <c r="G1171" t="s">
        <v>89</v>
      </c>
      <c r="H1171" t="s">
        <v>93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133</v>
      </c>
      <c r="B1172" t="s">
        <v>1315</v>
      </c>
      <c r="C1172" t="s">
        <v>89</v>
      </c>
      <c r="D1172" t="s">
        <v>1316</v>
      </c>
      <c r="E1172" t="s">
        <v>1291</v>
      </c>
      <c r="F1172" t="s">
        <v>89</v>
      </c>
      <c r="G1172" t="s">
        <v>89</v>
      </c>
      <c r="H1172" t="s">
        <v>93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133</v>
      </c>
      <c r="B1173" t="s">
        <v>1317</v>
      </c>
      <c r="C1173" t="s">
        <v>89</v>
      </c>
      <c r="D1173" t="s">
        <v>1318</v>
      </c>
      <c r="E1173" t="s">
        <v>1319</v>
      </c>
      <c r="F1173" t="s">
        <v>89</v>
      </c>
      <c r="G1173" t="s">
        <v>89</v>
      </c>
      <c r="H1173" t="s">
        <v>93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133</v>
      </c>
      <c r="B1174" t="s">
        <v>1320</v>
      </c>
      <c r="C1174" t="s">
        <v>89</v>
      </c>
      <c r="D1174" t="s">
        <v>1321</v>
      </c>
      <c r="E1174" t="s">
        <v>1322</v>
      </c>
      <c r="F1174" t="s">
        <v>89</v>
      </c>
      <c r="G1174" t="s">
        <v>89</v>
      </c>
      <c r="H1174" t="s">
        <v>93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133</v>
      </c>
      <c r="B1175" t="s">
        <v>1323</v>
      </c>
      <c r="C1175" t="s">
        <v>89</v>
      </c>
      <c r="D1175" t="s">
        <v>1324</v>
      </c>
      <c r="E1175" t="s">
        <v>1294</v>
      </c>
      <c r="F1175" t="s">
        <v>89</v>
      </c>
      <c r="G1175" t="s">
        <v>89</v>
      </c>
      <c r="H1175" t="s">
        <v>93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133</v>
      </c>
      <c r="B1176" t="s">
        <v>1325</v>
      </c>
      <c r="C1176" t="s">
        <v>89</v>
      </c>
      <c r="D1176" t="s">
        <v>1326</v>
      </c>
      <c r="E1176" t="s">
        <v>1327</v>
      </c>
      <c r="F1176" t="s">
        <v>89</v>
      </c>
      <c r="G1176" t="s">
        <v>89</v>
      </c>
      <c r="H1176" t="s">
        <v>93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133</v>
      </c>
      <c r="B1177" t="s">
        <v>1328</v>
      </c>
      <c r="C1177" t="s">
        <v>89</v>
      </c>
      <c r="D1177" t="s">
        <v>1329</v>
      </c>
      <c r="E1177" t="s">
        <v>1308</v>
      </c>
      <c r="F1177" t="s">
        <v>89</v>
      </c>
      <c r="G1177" t="s">
        <v>89</v>
      </c>
      <c r="H1177" t="s">
        <v>93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133</v>
      </c>
      <c r="B1178" t="s">
        <v>1330</v>
      </c>
      <c r="C1178" t="s">
        <v>89</v>
      </c>
      <c r="D1178" t="s">
        <v>1331</v>
      </c>
      <c r="E1178" t="s">
        <v>1305</v>
      </c>
      <c r="F1178" t="s">
        <v>89</v>
      </c>
      <c r="G1178" t="s">
        <v>89</v>
      </c>
      <c r="H1178" t="s">
        <v>93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133</v>
      </c>
      <c r="B1179" t="s">
        <v>1332</v>
      </c>
      <c r="C1179" t="s">
        <v>89</v>
      </c>
      <c r="D1179" t="s">
        <v>1333</v>
      </c>
      <c r="E1179" t="s">
        <v>1305</v>
      </c>
      <c r="F1179" t="s">
        <v>89</v>
      </c>
      <c r="G1179" t="s">
        <v>89</v>
      </c>
      <c r="H1179" t="s">
        <v>93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133</v>
      </c>
      <c r="B1180" t="s">
        <v>1334</v>
      </c>
      <c r="C1180" t="s">
        <v>89</v>
      </c>
      <c r="D1180" t="s">
        <v>1335</v>
      </c>
      <c r="E1180" t="s">
        <v>1336</v>
      </c>
      <c r="F1180" t="s">
        <v>89</v>
      </c>
      <c r="G1180" t="s">
        <v>89</v>
      </c>
      <c r="H1180" t="s">
        <v>93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133</v>
      </c>
      <c r="B1181" t="s">
        <v>1337</v>
      </c>
      <c r="C1181" t="s">
        <v>89</v>
      </c>
      <c r="D1181" t="s">
        <v>1338</v>
      </c>
      <c r="E1181" t="s">
        <v>1294</v>
      </c>
      <c r="F1181" t="s">
        <v>89</v>
      </c>
      <c r="G1181" t="s">
        <v>89</v>
      </c>
      <c r="H1181" t="s">
        <v>93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133</v>
      </c>
      <c r="B1182" t="s">
        <v>1339</v>
      </c>
      <c r="C1182" t="s">
        <v>89</v>
      </c>
      <c r="D1182" t="s">
        <v>1340</v>
      </c>
      <c r="E1182" t="s">
        <v>1341</v>
      </c>
      <c r="F1182" t="s">
        <v>89</v>
      </c>
      <c r="G1182" t="s">
        <v>89</v>
      </c>
      <c r="H1182" t="s">
        <v>93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133</v>
      </c>
      <c r="B1183" t="s">
        <v>1342</v>
      </c>
      <c r="C1183" t="s">
        <v>89</v>
      </c>
      <c r="D1183" t="s">
        <v>1343</v>
      </c>
      <c r="E1183" t="s">
        <v>1344</v>
      </c>
      <c r="F1183" t="s">
        <v>89</v>
      </c>
      <c r="G1183" t="s">
        <v>89</v>
      </c>
      <c r="H1183" t="s">
        <v>93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133</v>
      </c>
      <c r="B1184" t="s">
        <v>1345</v>
      </c>
      <c r="C1184" t="s">
        <v>89</v>
      </c>
      <c r="D1184" t="s">
        <v>1346</v>
      </c>
      <c r="E1184" t="s">
        <v>1344</v>
      </c>
      <c r="F1184" t="s">
        <v>89</v>
      </c>
      <c r="G1184" t="s">
        <v>89</v>
      </c>
      <c r="H1184" t="s">
        <v>93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133</v>
      </c>
      <c r="B1185" t="s">
        <v>1347</v>
      </c>
      <c r="C1185" t="s">
        <v>89</v>
      </c>
      <c r="D1185" t="s">
        <v>1348</v>
      </c>
      <c r="E1185" t="s">
        <v>1349</v>
      </c>
      <c r="F1185" t="s">
        <v>89</v>
      </c>
      <c r="G1185" t="s">
        <v>89</v>
      </c>
      <c r="H1185" t="s">
        <v>93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133</v>
      </c>
      <c r="B1186" t="s">
        <v>1350</v>
      </c>
      <c r="C1186" t="s">
        <v>89</v>
      </c>
      <c r="D1186" t="s">
        <v>1351</v>
      </c>
      <c r="E1186" t="s">
        <v>1302</v>
      </c>
      <c r="F1186" t="s">
        <v>89</v>
      </c>
      <c r="G1186" t="s">
        <v>89</v>
      </c>
      <c r="H1186" t="s">
        <v>93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133</v>
      </c>
      <c r="B1187" t="s">
        <v>1352</v>
      </c>
      <c r="C1187" t="s">
        <v>89</v>
      </c>
      <c r="D1187" t="s">
        <v>1353</v>
      </c>
      <c r="E1187" t="s">
        <v>1294</v>
      </c>
      <c r="F1187" t="s">
        <v>89</v>
      </c>
      <c r="G1187" t="s">
        <v>89</v>
      </c>
      <c r="H1187" t="s">
        <v>93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133</v>
      </c>
      <c r="B1188" t="s">
        <v>1354</v>
      </c>
      <c r="C1188" t="s">
        <v>89</v>
      </c>
      <c r="D1188" t="s">
        <v>1338</v>
      </c>
      <c r="E1188" t="s">
        <v>1355</v>
      </c>
      <c r="F1188" t="s">
        <v>89</v>
      </c>
      <c r="G1188" t="s">
        <v>89</v>
      </c>
      <c r="H1188" t="s">
        <v>93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133</v>
      </c>
      <c r="B1189" t="s">
        <v>1356</v>
      </c>
      <c r="C1189" t="s">
        <v>89</v>
      </c>
      <c r="D1189" t="s">
        <v>1357</v>
      </c>
      <c r="E1189" t="s">
        <v>1358</v>
      </c>
      <c r="F1189" t="s">
        <v>89</v>
      </c>
      <c r="G1189" t="s">
        <v>89</v>
      </c>
      <c r="H1189" t="s">
        <v>93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133</v>
      </c>
      <c r="B1190" t="s">
        <v>1359</v>
      </c>
      <c r="C1190" t="s">
        <v>89</v>
      </c>
      <c r="D1190" t="s">
        <v>1360</v>
      </c>
      <c r="E1190" t="s">
        <v>1361</v>
      </c>
      <c r="F1190" t="s">
        <v>89</v>
      </c>
      <c r="G1190" t="s">
        <v>89</v>
      </c>
      <c r="H1190" t="s">
        <v>93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133</v>
      </c>
      <c r="B1191" t="s">
        <v>1362</v>
      </c>
      <c r="C1191" t="s">
        <v>89</v>
      </c>
      <c r="D1191" t="s">
        <v>1363</v>
      </c>
      <c r="E1191" t="s">
        <v>1364</v>
      </c>
      <c r="F1191" t="s">
        <v>89</v>
      </c>
      <c r="G1191" t="s">
        <v>89</v>
      </c>
      <c r="H1191" t="s">
        <v>93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133</v>
      </c>
      <c r="B1192" t="s">
        <v>1365</v>
      </c>
      <c r="C1192" t="s">
        <v>89</v>
      </c>
      <c r="D1192" t="s">
        <v>1366</v>
      </c>
      <c r="E1192" t="s">
        <v>1367</v>
      </c>
      <c r="F1192" t="s">
        <v>89</v>
      </c>
      <c r="G1192" t="s">
        <v>89</v>
      </c>
      <c r="H1192" t="s">
        <v>93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133</v>
      </c>
      <c r="B1193" t="s">
        <v>1368</v>
      </c>
      <c r="C1193" t="s">
        <v>89</v>
      </c>
      <c r="D1193" t="s">
        <v>1369</v>
      </c>
      <c r="E1193" t="s">
        <v>1358</v>
      </c>
      <c r="F1193" t="s">
        <v>89</v>
      </c>
      <c r="G1193" t="s">
        <v>89</v>
      </c>
      <c r="H1193" t="s">
        <v>93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133</v>
      </c>
      <c r="B1194" t="s">
        <v>439</v>
      </c>
      <c r="C1194" t="s">
        <v>89</v>
      </c>
      <c r="D1194" t="s">
        <v>1370</v>
      </c>
      <c r="E1194" t="s">
        <v>1336</v>
      </c>
      <c r="F1194" t="s">
        <v>89</v>
      </c>
      <c r="G1194" t="s">
        <v>89</v>
      </c>
      <c r="H1194" t="s">
        <v>93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133</v>
      </c>
      <c r="B1195" t="s">
        <v>1371</v>
      </c>
      <c r="C1195" t="s">
        <v>89</v>
      </c>
      <c r="D1195" t="s">
        <v>1372</v>
      </c>
      <c r="E1195" t="s">
        <v>1361</v>
      </c>
      <c r="F1195" t="s">
        <v>89</v>
      </c>
      <c r="G1195" t="s">
        <v>89</v>
      </c>
      <c r="H1195" t="s">
        <v>93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133</v>
      </c>
      <c r="B1196" t="s">
        <v>1373</v>
      </c>
      <c r="C1196" t="s">
        <v>89</v>
      </c>
      <c r="D1196" t="s">
        <v>1374</v>
      </c>
      <c r="E1196" t="s">
        <v>1375</v>
      </c>
      <c r="F1196" t="s">
        <v>89</v>
      </c>
      <c r="G1196" t="s">
        <v>89</v>
      </c>
      <c r="H1196" t="s">
        <v>93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133</v>
      </c>
      <c r="B1197" t="s">
        <v>1376</v>
      </c>
      <c r="C1197" t="s">
        <v>89</v>
      </c>
      <c r="D1197" t="s">
        <v>1377</v>
      </c>
      <c r="E1197" t="s">
        <v>1364</v>
      </c>
      <c r="F1197" t="s">
        <v>89</v>
      </c>
      <c r="G1197" t="s">
        <v>89</v>
      </c>
      <c r="H1197" t="s">
        <v>93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133</v>
      </c>
      <c r="B1198" t="s">
        <v>1378</v>
      </c>
      <c r="C1198" t="s">
        <v>89</v>
      </c>
      <c r="D1198" t="s">
        <v>1379</v>
      </c>
      <c r="E1198" t="s">
        <v>1086</v>
      </c>
      <c r="F1198" t="s">
        <v>89</v>
      </c>
      <c r="G1198" t="s">
        <v>89</v>
      </c>
      <c r="H1198" t="s">
        <v>93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133</v>
      </c>
      <c r="B1199" t="s">
        <v>1380</v>
      </c>
      <c r="C1199" t="s">
        <v>89</v>
      </c>
      <c r="D1199" t="s">
        <v>1381</v>
      </c>
      <c r="E1199" t="s">
        <v>1382</v>
      </c>
      <c r="F1199" t="s">
        <v>89</v>
      </c>
      <c r="G1199" t="s">
        <v>89</v>
      </c>
      <c r="H1199" t="s">
        <v>93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133</v>
      </c>
      <c r="B1200" t="s">
        <v>1383</v>
      </c>
      <c r="C1200" t="s">
        <v>89</v>
      </c>
      <c r="D1200" t="s">
        <v>1384</v>
      </c>
      <c r="E1200" t="s">
        <v>1086</v>
      </c>
      <c r="F1200" t="s">
        <v>89</v>
      </c>
      <c r="G1200" t="s">
        <v>89</v>
      </c>
      <c r="H1200" t="s">
        <v>93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133</v>
      </c>
      <c r="B1201" t="s">
        <v>1385</v>
      </c>
      <c r="C1201" t="s">
        <v>89</v>
      </c>
      <c r="D1201" t="s">
        <v>1386</v>
      </c>
      <c r="E1201" t="s">
        <v>1091</v>
      </c>
      <c r="F1201" t="s">
        <v>89</v>
      </c>
      <c r="G1201" t="s">
        <v>89</v>
      </c>
      <c r="H1201" t="s">
        <v>93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133</v>
      </c>
      <c r="B1202" t="s">
        <v>1387</v>
      </c>
      <c r="C1202" t="s">
        <v>89</v>
      </c>
      <c r="D1202" t="s">
        <v>1388</v>
      </c>
      <c r="E1202" t="s">
        <v>1091</v>
      </c>
      <c r="F1202" t="s">
        <v>89</v>
      </c>
      <c r="G1202" t="s">
        <v>89</v>
      </c>
      <c r="H1202" t="s">
        <v>93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133</v>
      </c>
      <c r="B1203" t="s">
        <v>1389</v>
      </c>
      <c r="C1203" t="s">
        <v>89</v>
      </c>
      <c r="D1203" t="s">
        <v>1390</v>
      </c>
      <c r="E1203" t="s">
        <v>1091</v>
      </c>
      <c r="F1203" t="s">
        <v>89</v>
      </c>
      <c r="G1203" t="s">
        <v>89</v>
      </c>
      <c r="H1203" t="s">
        <v>93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133</v>
      </c>
      <c r="B1204" t="s">
        <v>1391</v>
      </c>
      <c r="C1204" t="s">
        <v>89</v>
      </c>
      <c r="D1204" t="s">
        <v>1392</v>
      </c>
      <c r="E1204" t="s">
        <v>1382</v>
      </c>
      <c r="F1204" t="s">
        <v>89</v>
      </c>
      <c r="G1204" t="s">
        <v>89</v>
      </c>
      <c r="H1204" t="s">
        <v>93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133</v>
      </c>
      <c r="B1205" t="s">
        <v>1393</v>
      </c>
      <c r="C1205" t="s">
        <v>89</v>
      </c>
      <c r="D1205" t="s">
        <v>1394</v>
      </c>
      <c r="E1205" t="s">
        <v>1382</v>
      </c>
      <c r="F1205" t="s">
        <v>89</v>
      </c>
      <c r="G1205" t="s">
        <v>89</v>
      </c>
      <c r="H1205" t="s">
        <v>93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133</v>
      </c>
      <c r="B1206" t="s">
        <v>1395</v>
      </c>
      <c r="C1206" t="s">
        <v>89</v>
      </c>
      <c r="D1206" t="s">
        <v>1396</v>
      </c>
      <c r="E1206" t="s">
        <v>1086</v>
      </c>
      <c r="F1206" t="s">
        <v>89</v>
      </c>
      <c r="G1206" t="s">
        <v>89</v>
      </c>
      <c r="H1206" t="s">
        <v>93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133</v>
      </c>
      <c r="B1207" t="s">
        <v>1397</v>
      </c>
      <c r="C1207" t="s">
        <v>89</v>
      </c>
      <c r="D1207" t="s">
        <v>1398</v>
      </c>
      <c r="E1207" t="s">
        <v>1091</v>
      </c>
      <c r="F1207" t="s">
        <v>89</v>
      </c>
      <c r="G1207" t="s">
        <v>89</v>
      </c>
      <c r="H1207" t="s">
        <v>93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133</v>
      </c>
      <c r="B1208" t="s">
        <v>1399</v>
      </c>
      <c r="C1208" t="s">
        <v>89</v>
      </c>
      <c r="D1208" t="s">
        <v>1400</v>
      </c>
      <c r="E1208" t="s">
        <v>1382</v>
      </c>
      <c r="F1208" t="s">
        <v>89</v>
      </c>
      <c r="G1208" t="s">
        <v>89</v>
      </c>
      <c r="H1208" t="s">
        <v>93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133</v>
      </c>
      <c r="B1209" t="s">
        <v>1401</v>
      </c>
      <c r="C1209" t="s">
        <v>89</v>
      </c>
      <c r="D1209" t="s">
        <v>1402</v>
      </c>
      <c r="E1209" t="s">
        <v>1382</v>
      </c>
      <c r="F1209" t="s">
        <v>89</v>
      </c>
      <c r="G1209" t="s">
        <v>89</v>
      </c>
      <c r="H1209" t="s">
        <v>93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133</v>
      </c>
      <c r="B1210" t="s">
        <v>1403</v>
      </c>
      <c r="C1210" t="s">
        <v>89</v>
      </c>
      <c r="D1210" t="s">
        <v>1404</v>
      </c>
      <c r="E1210" t="s">
        <v>1091</v>
      </c>
      <c r="F1210" t="s">
        <v>89</v>
      </c>
      <c r="G1210" t="s">
        <v>89</v>
      </c>
      <c r="H1210" t="s">
        <v>93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133</v>
      </c>
      <c r="B1211" t="s">
        <v>1405</v>
      </c>
      <c r="C1211" t="s">
        <v>89</v>
      </c>
      <c r="D1211" t="s">
        <v>1406</v>
      </c>
      <c r="E1211" t="s">
        <v>1382</v>
      </c>
      <c r="F1211" t="s">
        <v>89</v>
      </c>
      <c r="G1211" t="s">
        <v>89</v>
      </c>
      <c r="H1211" t="s">
        <v>93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133</v>
      </c>
      <c r="B1212" t="s">
        <v>1407</v>
      </c>
      <c r="C1212" t="s">
        <v>89</v>
      </c>
      <c r="D1212" t="s">
        <v>1408</v>
      </c>
      <c r="E1212" t="s">
        <v>1086</v>
      </c>
      <c r="F1212" t="s">
        <v>89</v>
      </c>
      <c r="G1212" t="s">
        <v>89</v>
      </c>
      <c r="H1212" t="s">
        <v>93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133</v>
      </c>
      <c r="B1213" t="s">
        <v>1409</v>
      </c>
      <c r="C1213" t="s">
        <v>89</v>
      </c>
      <c r="D1213" t="s">
        <v>1410</v>
      </c>
      <c r="E1213" t="s">
        <v>1091</v>
      </c>
      <c r="F1213" t="s">
        <v>89</v>
      </c>
      <c r="G1213" t="s">
        <v>89</v>
      </c>
      <c r="H1213" t="s">
        <v>93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133</v>
      </c>
      <c r="B1214" t="s">
        <v>1411</v>
      </c>
      <c r="C1214" t="s">
        <v>89</v>
      </c>
      <c r="D1214" t="s">
        <v>1412</v>
      </c>
      <c r="E1214" t="s">
        <v>1091</v>
      </c>
      <c r="F1214" t="s">
        <v>89</v>
      </c>
      <c r="G1214" t="s">
        <v>89</v>
      </c>
      <c r="H1214" t="s">
        <v>93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133</v>
      </c>
      <c r="B1215" t="s">
        <v>1413</v>
      </c>
      <c r="C1215" t="s">
        <v>89</v>
      </c>
      <c r="D1215" t="s">
        <v>1379</v>
      </c>
      <c r="E1215" t="s">
        <v>1282</v>
      </c>
      <c r="F1215" t="s">
        <v>89</v>
      </c>
      <c r="G1215" t="s">
        <v>89</v>
      </c>
      <c r="H1215" t="s">
        <v>93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133</v>
      </c>
      <c r="B1216" t="s">
        <v>1414</v>
      </c>
      <c r="C1216" t="s">
        <v>89</v>
      </c>
      <c r="D1216" t="s">
        <v>1381</v>
      </c>
      <c r="E1216" t="s">
        <v>1091</v>
      </c>
      <c r="F1216" t="s">
        <v>89</v>
      </c>
      <c r="G1216" t="s">
        <v>89</v>
      </c>
      <c r="H1216" t="s">
        <v>93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133</v>
      </c>
      <c r="B1217" t="s">
        <v>1415</v>
      </c>
      <c r="C1217" t="s">
        <v>89</v>
      </c>
      <c r="D1217" t="s">
        <v>1384</v>
      </c>
      <c r="E1217" t="s">
        <v>1282</v>
      </c>
      <c r="F1217" t="s">
        <v>89</v>
      </c>
      <c r="G1217" t="s">
        <v>89</v>
      </c>
      <c r="H1217" t="s">
        <v>93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133</v>
      </c>
      <c r="B1218" t="s">
        <v>1416</v>
      </c>
      <c r="C1218" t="s">
        <v>89</v>
      </c>
      <c r="D1218" t="s">
        <v>1386</v>
      </c>
      <c r="E1218" t="s">
        <v>1417</v>
      </c>
      <c r="F1218" t="s">
        <v>89</v>
      </c>
      <c r="G1218" t="s">
        <v>89</v>
      </c>
      <c r="H1218" t="s">
        <v>93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133</v>
      </c>
      <c r="B1219" t="s">
        <v>1418</v>
      </c>
      <c r="C1219" t="s">
        <v>89</v>
      </c>
      <c r="D1219" t="s">
        <v>1388</v>
      </c>
      <c r="E1219" t="s">
        <v>1417</v>
      </c>
      <c r="F1219" t="s">
        <v>89</v>
      </c>
      <c r="G1219" t="s">
        <v>89</v>
      </c>
      <c r="H1219" t="s">
        <v>93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133</v>
      </c>
      <c r="B1220" t="s">
        <v>1419</v>
      </c>
      <c r="C1220" t="s">
        <v>89</v>
      </c>
      <c r="D1220" t="s">
        <v>1390</v>
      </c>
      <c r="E1220" t="s">
        <v>1417</v>
      </c>
      <c r="F1220" t="s">
        <v>89</v>
      </c>
      <c r="G1220" t="s">
        <v>89</v>
      </c>
      <c r="H1220" t="s">
        <v>93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133</v>
      </c>
      <c r="B1221" t="s">
        <v>1420</v>
      </c>
      <c r="C1221" t="s">
        <v>89</v>
      </c>
      <c r="D1221" t="s">
        <v>1392</v>
      </c>
      <c r="E1221" t="s">
        <v>1091</v>
      </c>
      <c r="F1221" t="s">
        <v>89</v>
      </c>
      <c r="G1221" t="s">
        <v>89</v>
      </c>
      <c r="H1221" t="s">
        <v>93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133</v>
      </c>
      <c r="B1222" t="s">
        <v>1421</v>
      </c>
      <c r="C1222" t="s">
        <v>89</v>
      </c>
      <c r="D1222" t="s">
        <v>1394</v>
      </c>
      <c r="E1222" t="s">
        <v>1091</v>
      </c>
      <c r="F1222" t="s">
        <v>89</v>
      </c>
      <c r="G1222" t="s">
        <v>89</v>
      </c>
      <c r="H1222" t="s">
        <v>93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133</v>
      </c>
      <c r="B1223" t="s">
        <v>1422</v>
      </c>
      <c r="C1223" t="s">
        <v>89</v>
      </c>
      <c r="D1223" t="s">
        <v>1396</v>
      </c>
      <c r="E1223" t="s">
        <v>1282</v>
      </c>
      <c r="F1223" t="s">
        <v>89</v>
      </c>
      <c r="G1223" t="s">
        <v>89</v>
      </c>
      <c r="H1223" t="s">
        <v>93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133</v>
      </c>
      <c r="B1224" t="s">
        <v>1423</v>
      </c>
      <c r="C1224" t="s">
        <v>89</v>
      </c>
      <c r="D1224" t="s">
        <v>1398</v>
      </c>
      <c r="E1224" t="s">
        <v>1417</v>
      </c>
      <c r="F1224" t="s">
        <v>89</v>
      </c>
      <c r="G1224" t="s">
        <v>89</v>
      </c>
      <c r="H1224" t="s">
        <v>93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133</v>
      </c>
      <c r="B1225" t="s">
        <v>1424</v>
      </c>
      <c r="C1225" t="s">
        <v>89</v>
      </c>
      <c r="D1225" t="s">
        <v>1400</v>
      </c>
      <c r="E1225" t="s">
        <v>1091</v>
      </c>
      <c r="F1225" t="s">
        <v>89</v>
      </c>
      <c r="G1225" t="s">
        <v>89</v>
      </c>
      <c r="H1225" t="s">
        <v>93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133</v>
      </c>
      <c r="B1226" t="s">
        <v>1425</v>
      </c>
      <c r="C1226" t="s">
        <v>89</v>
      </c>
      <c r="D1226" t="s">
        <v>1402</v>
      </c>
      <c r="E1226" t="s">
        <v>1091</v>
      </c>
      <c r="F1226" t="s">
        <v>89</v>
      </c>
      <c r="G1226" t="s">
        <v>89</v>
      </c>
      <c r="H1226" t="s">
        <v>93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133</v>
      </c>
      <c r="B1227" t="s">
        <v>1426</v>
      </c>
      <c r="C1227" t="s">
        <v>89</v>
      </c>
      <c r="D1227" t="s">
        <v>1404</v>
      </c>
      <c r="E1227" t="s">
        <v>1417</v>
      </c>
      <c r="F1227" t="s">
        <v>89</v>
      </c>
      <c r="G1227" t="s">
        <v>89</v>
      </c>
      <c r="H1227" t="s">
        <v>93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133</v>
      </c>
      <c r="B1228" t="s">
        <v>1427</v>
      </c>
      <c r="C1228" t="s">
        <v>89</v>
      </c>
      <c r="D1228" t="s">
        <v>1406</v>
      </c>
      <c r="E1228" t="s">
        <v>1091</v>
      </c>
      <c r="F1228" t="s">
        <v>89</v>
      </c>
      <c r="G1228" t="s">
        <v>89</v>
      </c>
      <c r="H1228" t="s">
        <v>93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133</v>
      </c>
      <c r="B1229" t="s">
        <v>1428</v>
      </c>
      <c r="C1229" t="s">
        <v>89</v>
      </c>
      <c r="D1229" t="s">
        <v>1408</v>
      </c>
      <c r="E1229" t="s">
        <v>1282</v>
      </c>
      <c r="F1229" t="s">
        <v>89</v>
      </c>
      <c r="G1229" t="s">
        <v>89</v>
      </c>
      <c r="H1229" t="s">
        <v>93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133</v>
      </c>
      <c r="B1230" t="s">
        <v>1429</v>
      </c>
      <c r="C1230" t="s">
        <v>89</v>
      </c>
      <c r="D1230" t="s">
        <v>1410</v>
      </c>
      <c r="E1230" t="s">
        <v>1417</v>
      </c>
      <c r="F1230" t="s">
        <v>89</v>
      </c>
      <c r="G1230" t="s">
        <v>89</v>
      </c>
      <c r="H1230" t="s">
        <v>93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133</v>
      </c>
      <c r="B1231" t="s">
        <v>1430</v>
      </c>
      <c r="C1231" t="s">
        <v>89</v>
      </c>
      <c r="D1231" t="s">
        <v>1412</v>
      </c>
      <c r="E1231" t="s">
        <v>1417</v>
      </c>
      <c r="F1231" t="s">
        <v>89</v>
      </c>
      <c r="G1231" t="s">
        <v>89</v>
      </c>
      <c r="H1231" t="s">
        <v>93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133</v>
      </c>
      <c r="B1232" t="s">
        <v>1431</v>
      </c>
      <c r="C1232" t="s">
        <v>89</v>
      </c>
      <c r="D1232" t="s">
        <v>1379</v>
      </c>
      <c r="E1232" t="s">
        <v>1432</v>
      </c>
      <c r="F1232" t="s">
        <v>89</v>
      </c>
      <c r="G1232" t="s">
        <v>89</v>
      </c>
      <c r="H1232" t="s">
        <v>93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133</v>
      </c>
      <c r="B1233" t="s">
        <v>1433</v>
      </c>
      <c r="C1233" t="s">
        <v>89</v>
      </c>
      <c r="D1233" t="s">
        <v>1412</v>
      </c>
      <c r="E1233" t="s">
        <v>1434</v>
      </c>
      <c r="F1233" t="s">
        <v>89</v>
      </c>
      <c r="G1233" t="s">
        <v>89</v>
      </c>
      <c r="H1233" t="s">
        <v>93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133</v>
      </c>
      <c r="B1234" t="s">
        <v>1435</v>
      </c>
      <c r="C1234" t="s">
        <v>89</v>
      </c>
      <c r="D1234" t="s">
        <v>1381</v>
      </c>
      <c r="E1234" t="s">
        <v>1436</v>
      </c>
      <c r="F1234" t="s">
        <v>89</v>
      </c>
      <c r="G1234" t="s">
        <v>89</v>
      </c>
      <c r="H1234" t="s">
        <v>93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133</v>
      </c>
      <c r="B1235" t="s">
        <v>1437</v>
      </c>
      <c r="C1235" t="s">
        <v>89</v>
      </c>
      <c r="D1235" t="s">
        <v>1384</v>
      </c>
      <c r="E1235" t="s">
        <v>1432</v>
      </c>
      <c r="F1235" t="s">
        <v>89</v>
      </c>
      <c r="G1235" t="s">
        <v>89</v>
      </c>
      <c r="H1235" t="s">
        <v>93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133</v>
      </c>
      <c r="B1236" t="s">
        <v>1438</v>
      </c>
      <c r="C1236" t="s">
        <v>89</v>
      </c>
      <c r="D1236" t="s">
        <v>1386</v>
      </c>
      <c r="E1236" t="s">
        <v>1434</v>
      </c>
      <c r="F1236" t="s">
        <v>89</v>
      </c>
      <c r="G1236" t="s">
        <v>89</v>
      </c>
      <c r="H1236" t="s">
        <v>93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133</v>
      </c>
      <c r="B1237" t="s">
        <v>1439</v>
      </c>
      <c r="C1237" t="s">
        <v>89</v>
      </c>
      <c r="D1237" t="s">
        <v>1388</v>
      </c>
      <c r="E1237" t="s">
        <v>1434</v>
      </c>
      <c r="F1237" t="s">
        <v>89</v>
      </c>
      <c r="G1237" t="s">
        <v>89</v>
      </c>
      <c r="H1237" t="s">
        <v>93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133</v>
      </c>
      <c r="B1238" t="s">
        <v>1440</v>
      </c>
      <c r="C1238" t="s">
        <v>89</v>
      </c>
      <c r="D1238" t="s">
        <v>1390</v>
      </c>
      <c r="E1238" t="s">
        <v>1434</v>
      </c>
      <c r="F1238" t="s">
        <v>89</v>
      </c>
      <c r="G1238" t="s">
        <v>89</v>
      </c>
      <c r="H1238" t="s">
        <v>93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133</v>
      </c>
      <c r="B1239" t="s">
        <v>1441</v>
      </c>
      <c r="C1239" t="s">
        <v>89</v>
      </c>
      <c r="D1239" t="s">
        <v>1392</v>
      </c>
      <c r="E1239" t="s">
        <v>1436</v>
      </c>
      <c r="F1239" t="s">
        <v>89</v>
      </c>
      <c r="G1239" t="s">
        <v>89</v>
      </c>
      <c r="H1239" t="s">
        <v>93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133</v>
      </c>
      <c r="B1240" t="s">
        <v>1442</v>
      </c>
      <c r="C1240" t="s">
        <v>89</v>
      </c>
      <c r="D1240" t="s">
        <v>1394</v>
      </c>
      <c r="E1240" t="s">
        <v>1436</v>
      </c>
      <c r="F1240" t="s">
        <v>89</v>
      </c>
      <c r="G1240" t="s">
        <v>89</v>
      </c>
      <c r="H1240" t="s">
        <v>93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133</v>
      </c>
      <c r="B1241" t="s">
        <v>1443</v>
      </c>
      <c r="C1241" t="s">
        <v>89</v>
      </c>
      <c r="D1241" t="s">
        <v>1396</v>
      </c>
      <c r="E1241" t="s">
        <v>1432</v>
      </c>
      <c r="F1241" t="s">
        <v>89</v>
      </c>
      <c r="G1241" t="s">
        <v>89</v>
      </c>
      <c r="H1241" t="s">
        <v>93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133</v>
      </c>
      <c r="B1242" t="s">
        <v>1444</v>
      </c>
      <c r="C1242" t="s">
        <v>89</v>
      </c>
      <c r="D1242" t="s">
        <v>1398</v>
      </c>
      <c r="E1242" t="s">
        <v>1434</v>
      </c>
      <c r="F1242" t="s">
        <v>89</v>
      </c>
      <c r="G1242" t="s">
        <v>89</v>
      </c>
      <c r="H1242" t="s">
        <v>93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133</v>
      </c>
      <c r="B1243" t="s">
        <v>1445</v>
      </c>
      <c r="C1243" t="s">
        <v>89</v>
      </c>
      <c r="D1243" t="s">
        <v>1400</v>
      </c>
      <c r="E1243" t="s">
        <v>1436</v>
      </c>
      <c r="F1243" t="s">
        <v>89</v>
      </c>
      <c r="G1243" t="s">
        <v>89</v>
      </c>
      <c r="H1243" t="s">
        <v>93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133</v>
      </c>
      <c r="B1244" t="s">
        <v>1446</v>
      </c>
      <c r="C1244" t="s">
        <v>89</v>
      </c>
      <c r="D1244" t="s">
        <v>1402</v>
      </c>
      <c r="E1244" t="s">
        <v>1436</v>
      </c>
      <c r="F1244" t="s">
        <v>89</v>
      </c>
      <c r="G1244" t="s">
        <v>89</v>
      </c>
      <c r="H1244" t="s">
        <v>93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133</v>
      </c>
      <c r="B1245" t="s">
        <v>1447</v>
      </c>
      <c r="C1245" t="s">
        <v>89</v>
      </c>
      <c r="D1245" t="s">
        <v>1404</v>
      </c>
      <c r="E1245" t="s">
        <v>1434</v>
      </c>
      <c r="F1245" t="s">
        <v>89</v>
      </c>
      <c r="G1245" t="s">
        <v>89</v>
      </c>
      <c r="H1245" t="s">
        <v>93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133</v>
      </c>
      <c r="B1246" t="s">
        <v>1448</v>
      </c>
      <c r="C1246" t="s">
        <v>89</v>
      </c>
      <c r="D1246" t="s">
        <v>1406</v>
      </c>
      <c r="E1246" t="s">
        <v>1436</v>
      </c>
      <c r="F1246" t="s">
        <v>89</v>
      </c>
      <c r="G1246" t="s">
        <v>89</v>
      </c>
      <c r="H1246" t="s">
        <v>93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133</v>
      </c>
      <c r="B1247" t="s">
        <v>1449</v>
      </c>
      <c r="C1247" t="s">
        <v>89</v>
      </c>
      <c r="D1247" t="s">
        <v>1408</v>
      </c>
      <c r="E1247" t="s">
        <v>1432</v>
      </c>
      <c r="F1247" t="s">
        <v>89</v>
      </c>
      <c r="G1247" t="s">
        <v>89</v>
      </c>
      <c r="H1247" t="s">
        <v>93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133</v>
      </c>
      <c r="B1248" t="s">
        <v>1450</v>
      </c>
      <c r="C1248" t="s">
        <v>89</v>
      </c>
      <c r="D1248" t="s">
        <v>1410</v>
      </c>
      <c r="E1248" t="s">
        <v>1434</v>
      </c>
      <c r="F1248" t="s">
        <v>89</v>
      </c>
      <c r="G1248" t="s">
        <v>89</v>
      </c>
      <c r="H1248" t="s">
        <v>93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133</v>
      </c>
      <c r="B1249" t="s">
        <v>1451</v>
      </c>
      <c r="C1249" t="s">
        <v>89</v>
      </c>
      <c r="D1249" t="s">
        <v>1379</v>
      </c>
      <c r="E1249" t="s">
        <v>1452</v>
      </c>
      <c r="F1249" t="s">
        <v>89</v>
      </c>
      <c r="G1249" t="s">
        <v>89</v>
      </c>
      <c r="H1249" t="s">
        <v>93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133</v>
      </c>
      <c r="B1250" t="s">
        <v>1453</v>
      </c>
      <c r="C1250" t="s">
        <v>89</v>
      </c>
      <c r="D1250" t="s">
        <v>1381</v>
      </c>
      <c r="E1250" t="s">
        <v>1454</v>
      </c>
      <c r="F1250" t="s">
        <v>89</v>
      </c>
      <c r="G1250" t="s">
        <v>89</v>
      </c>
      <c r="H1250" t="s">
        <v>93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133</v>
      </c>
      <c r="B1251" t="s">
        <v>1455</v>
      </c>
      <c r="C1251" t="s">
        <v>89</v>
      </c>
      <c r="D1251" t="s">
        <v>1384</v>
      </c>
      <c r="E1251" t="s">
        <v>1452</v>
      </c>
      <c r="F1251" t="s">
        <v>89</v>
      </c>
      <c r="G1251" t="s">
        <v>89</v>
      </c>
      <c r="H1251" t="s">
        <v>93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133</v>
      </c>
      <c r="B1252" t="s">
        <v>1456</v>
      </c>
      <c r="C1252" t="s">
        <v>89</v>
      </c>
      <c r="D1252" t="s">
        <v>1386</v>
      </c>
      <c r="E1252" t="s">
        <v>1457</v>
      </c>
      <c r="F1252" t="s">
        <v>89</v>
      </c>
      <c r="G1252" t="s">
        <v>89</v>
      </c>
      <c r="H1252" t="s">
        <v>93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133</v>
      </c>
      <c r="B1253" t="s">
        <v>1458</v>
      </c>
      <c r="C1253" t="s">
        <v>89</v>
      </c>
      <c r="D1253" t="s">
        <v>1388</v>
      </c>
      <c r="E1253" t="s">
        <v>1457</v>
      </c>
      <c r="F1253" t="s">
        <v>89</v>
      </c>
      <c r="G1253" t="s">
        <v>89</v>
      </c>
      <c r="H1253" t="s">
        <v>93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133</v>
      </c>
      <c r="B1254" t="s">
        <v>1459</v>
      </c>
      <c r="C1254" t="s">
        <v>89</v>
      </c>
      <c r="D1254" t="s">
        <v>1390</v>
      </c>
      <c r="E1254" t="s">
        <v>1457</v>
      </c>
      <c r="F1254" t="s">
        <v>89</v>
      </c>
      <c r="G1254" t="s">
        <v>89</v>
      </c>
      <c r="H1254" t="s">
        <v>93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133</v>
      </c>
      <c r="B1255" t="s">
        <v>1460</v>
      </c>
      <c r="C1255" t="s">
        <v>89</v>
      </c>
      <c r="D1255" t="s">
        <v>1392</v>
      </c>
      <c r="E1255" t="s">
        <v>1454</v>
      </c>
      <c r="F1255" t="s">
        <v>89</v>
      </c>
      <c r="G1255" t="s">
        <v>89</v>
      </c>
      <c r="H1255" t="s">
        <v>93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133</v>
      </c>
      <c r="B1256" t="s">
        <v>1461</v>
      </c>
      <c r="C1256" t="s">
        <v>89</v>
      </c>
      <c r="D1256" t="s">
        <v>1394</v>
      </c>
      <c r="E1256" t="s">
        <v>1454</v>
      </c>
      <c r="F1256" t="s">
        <v>89</v>
      </c>
      <c r="G1256" t="s">
        <v>89</v>
      </c>
      <c r="H1256" t="s">
        <v>93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133</v>
      </c>
      <c r="B1257" t="s">
        <v>1462</v>
      </c>
      <c r="C1257" t="s">
        <v>89</v>
      </c>
      <c r="D1257" t="s">
        <v>1396</v>
      </c>
      <c r="E1257" t="s">
        <v>1452</v>
      </c>
      <c r="F1257" t="s">
        <v>89</v>
      </c>
      <c r="G1257" t="s">
        <v>89</v>
      </c>
      <c r="H1257" t="s">
        <v>93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133</v>
      </c>
      <c r="B1258" t="s">
        <v>1463</v>
      </c>
      <c r="C1258" t="s">
        <v>89</v>
      </c>
      <c r="D1258" t="s">
        <v>1398</v>
      </c>
      <c r="E1258" t="s">
        <v>1457</v>
      </c>
      <c r="F1258" t="s">
        <v>89</v>
      </c>
      <c r="G1258" t="s">
        <v>89</v>
      </c>
      <c r="H1258" t="s">
        <v>93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133</v>
      </c>
      <c r="B1259" t="s">
        <v>1464</v>
      </c>
      <c r="C1259" t="s">
        <v>89</v>
      </c>
      <c r="D1259" t="s">
        <v>1400</v>
      </c>
      <c r="E1259" t="s">
        <v>1454</v>
      </c>
      <c r="F1259" t="s">
        <v>89</v>
      </c>
      <c r="G1259" t="s">
        <v>89</v>
      </c>
      <c r="H1259" t="s">
        <v>93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133</v>
      </c>
      <c r="B1260" t="s">
        <v>1465</v>
      </c>
      <c r="C1260" t="s">
        <v>89</v>
      </c>
      <c r="D1260" t="s">
        <v>1402</v>
      </c>
      <c r="E1260" t="s">
        <v>1454</v>
      </c>
      <c r="F1260" t="s">
        <v>89</v>
      </c>
      <c r="G1260" t="s">
        <v>89</v>
      </c>
      <c r="H1260" t="s">
        <v>93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133</v>
      </c>
      <c r="B1261" t="s">
        <v>1466</v>
      </c>
      <c r="C1261" t="s">
        <v>89</v>
      </c>
      <c r="D1261" t="s">
        <v>1404</v>
      </c>
      <c r="E1261" t="s">
        <v>1457</v>
      </c>
      <c r="F1261" t="s">
        <v>89</v>
      </c>
      <c r="G1261" t="s">
        <v>89</v>
      </c>
      <c r="H1261" t="s">
        <v>93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133</v>
      </c>
      <c r="B1262" t="s">
        <v>1467</v>
      </c>
      <c r="C1262" t="s">
        <v>89</v>
      </c>
      <c r="D1262" t="s">
        <v>1406</v>
      </c>
      <c r="E1262" t="s">
        <v>1454</v>
      </c>
      <c r="F1262" t="s">
        <v>89</v>
      </c>
      <c r="G1262" t="s">
        <v>89</v>
      </c>
      <c r="H1262" t="s">
        <v>93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133</v>
      </c>
      <c r="B1263" t="s">
        <v>1468</v>
      </c>
      <c r="C1263" t="s">
        <v>89</v>
      </c>
      <c r="D1263" t="s">
        <v>1408</v>
      </c>
      <c r="E1263" t="s">
        <v>1452</v>
      </c>
      <c r="F1263" t="s">
        <v>89</v>
      </c>
      <c r="G1263" t="s">
        <v>89</v>
      </c>
      <c r="H1263" t="s">
        <v>93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133</v>
      </c>
      <c r="B1264" t="s">
        <v>1469</v>
      </c>
      <c r="C1264" t="s">
        <v>89</v>
      </c>
      <c r="D1264" t="s">
        <v>1410</v>
      </c>
      <c r="E1264" t="s">
        <v>1457</v>
      </c>
      <c r="F1264" t="s">
        <v>89</v>
      </c>
      <c r="G1264" t="s">
        <v>89</v>
      </c>
      <c r="H1264" t="s">
        <v>93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133</v>
      </c>
      <c r="B1265" t="s">
        <v>1470</v>
      </c>
      <c r="C1265" t="s">
        <v>89</v>
      </c>
      <c r="D1265" t="s">
        <v>1412</v>
      </c>
      <c r="E1265" t="s">
        <v>1457</v>
      </c>
      <c r="F1265" t="s">
        <v>89</v>
      </c>
      <c r="G1265" t="s">
        <v>89</v>
      </c>
      <c r="H1265" t="s">
        <v>93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133</v>
      </c>
      <c r="B1266" t="s">
        <v>1471</v>
      </c>
      <c r="C1266" t="s">
        <v>89</v>
      </c>
      <c r="D1266" t="s">
        <v>89</v>
      </c>
      <c r="E1266" t="s">
        <v>1212</v>
      </c>
      <c r="F1266" t="s">
        <v>89</v>
      </c>
      <c r="G1266" t="s">
        <v>89</v>
      </c>
      <c r="H1266" t="s">
        <v>93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133</v>
      </c>
      <c r="B1267" t="s">
        <v>1472</v>
      </c>
      <c r="C1267" t="s">
        <v>89</v>
      </c>
      <c r="D1267" t="s">
        <v>89</v>
      </c>
      <c r="E1267" t="s">
        <v>1473</v>
      </c>
      <c r="F1267" t="s">
        <v>89</v>
      </c>
      <c r="G1267" t="s">
        <v>89</v>
      </c>
      <c r="H1267" t="s">
        <v>93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133</v>
      </c>
      <c r="B1268" t="s">
        <v>608</v>
      </c>
      <c r="C1268" t="s">
        <v>89</v>
      </c>
      <c r="D1268" t="s">
        <v>1474</v>
      </c>
      <c r="E1268" t="s">
        <v>1475</v>
      </c>
      <c r="F1268" t="s">
        <v>89</v>
      </c>
      <c r="G1268" t="s">
        <v>89</v>
      </c>
      <c r="H1268" t="s">
        <v>93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133</v>
      </c>
      <c r="B1269" t="s">
        <v>1476</v>
      </c>
      <c r="C1269" t="s">
        <v>89</v>
      </c>
      <c r="D1269" t="s">
        <v>89</v>
      </c>
      <c r="E1269" t="s">
        <v>496</v>
      </c>
      <c r="F1269" t="s">
        <v>89</v>
      </c>
      <c r="G1269" t="s">
        <v>89</v>
      </c>
      <c r="H1269" t="s">
        <v>93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133</v>
      </c>
      <c r="B1270" t="s">
        <v>1477</v>
      </c>
      <c r="C1270" t="s">
        <v>89</v>
      </c>
      <c r="D1270" t="s">
        <v>89</v>
      </c>
      <c r="E1270" t="s">
        <v>1212</v>
      </c>
      <c r="F1270" t="s">
        <v>89</v>
      </c>
      <c r="G1270" t="s">
        <v>89</v>
      </c>
      <c r="H1270" t="s">
        <v>93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133</v>
      </c>
      <c r="B1271" t="s">
        <v>1478</v>
      </c>
      <c r="C1271" t="s">
        <v>89</v>
      </c>
      <c r="D1271" t="s">
        <v>89</v>
      </c>
      <c r="E1271" t="s">
        <v>293</v>
      </c>
      <c r="F1271" t="s">
        <v>89</v>
      </c>
      <c r="G1271" t="s">
        <v>89</v>
      </c>
      <c r="H1271" t="s">
        <v>93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133</v>
      </c>
      <c r="B1272" t="s">
        <v>1479</v>
      </c>
      <c r="C1272" t="s">
        <v>89</v>
      </c>
      <c r="D1272" t="s">
        <v>89</v>
      </c>
      <c r="E1272" t="s">
        <v>496</v>
      </c>
      <c r="F1272" t="s">
        <v>89</v>
      </c>
      <c r="G1272" t="s">
        <v>89</v>
      </c>
      <c r="H1272" t="s">
        <v>93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133</v>
      </c>
      <c r="B1273" t="s">
        <v>1480</v>
      </c>
      <c r="C1273" t="s">
        <v>89</v>
      </c>
      <c r="D1273" t="s">
        <v>89</v>
      </c>
      <c r="E1273" t="s">
        <v>1481</v>
      </c>
      <c r="F1273" t="s">
        <v>89</v>
      </c>
      <c r="G1273" t="s">
        <v>89</v>
      </c>
      <c r="H1273" t="s">
        <v>93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133</v>
      </c>
      <c r="B1274" t="s">
        <v>1482</v>
      </c>
      <c r="C1274" t="s">
        <v>89</v>
      </c>
      <c r="D1274" t="s">
        <v>89</v>
      </c>
      <c r="E1274" t="s">
        <v>1483</v>
      </c>
      <c r="F1274" t="s">
        <v>89</v>
      </c>
      <c r="G1274" t="s">
        <v>89</v>
      </c>
      <c r="H1274" t="s">
        <v>93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133</v>
      </c>
      <c r="B1275" t="s">
        <v>1023</v>
      </c>
      <c r="C1275" t="s">
        <v>89</v>
      </c>
      <c r="D1275" t="s">
        <v>89</v>
      </c>
      <c r="E1275" t="s">
        <v>1212</v>
      </c>
      <c r="F1275" t="s">
        <v>89</v>
      </c>
      <c r="G1275" t="s">
        <v>89</v>
      </c>
      <c r="H1275" t="s">
        <v>93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133</v>
      </c>
      <c r="B1276" t="s">
        <v>1484</v>
      </c>
      <c r="C1276" t="s">
        <v>89</v>
      </c>
      <c r="D1276" t="s">
        <v>89</v>
      </c>
      <c r="E1276" t="s">
        <v>727</v>
      </c>
      <c r="F1276" t="s">
        <v>89</v>
      </c>
      <c r="G1276" t="s">
        <v>89</v>
      </c>
      <c r="H1276" t="s">
        <v>93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133</v>
      </c>
      <c r="B1277" t="s">
        <v>1485</v>
      </c>
      <c r="C1277" t="s">
        <v>89</v>
      </c>
      <c r="D1277" t="s">
        <v>1486</v>
      </c>
      <c r="E1277" t="s">
        <v>1487</v>
      </c>
      <c r="F1277" t="s">
        <v>89</v>
      </c>
      <c r="G1277" t="s">
        <v>89</v>
      </c>
      <c r="H1277" t="s">
        <v>93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133</v>
      </c>
      <c r="B1278" t="s">
        <v>1488</v>
      </c>
      <c r="C1278" t="s">
        <v>89</v>
      </c>
      <c r="D1278" t="s">
        <v>1474</v>
      </c>
      <c r="E1278" t="s">
        <v>1489</v>
      </c>
      <c r="F1278" t="s">
        <v>89</v>
      </c>
      <c r="G1278" t="s">
        <v>89</v>
      </c>
      <c r="H1278" t="s">
        <v>93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133</v>
      </c>
      <c r="B1279" t="s">
        <v>612</v>
      </c>
      <c r="C1279" t="s">
        <v>89</v>
      </c>
      <c r="D1279" t="s">
        <v>1490</v>
      </c>
      <c r="E1279" t="s">
        <v>1475</v>
      </c>
      <c r="F1279" t="s">
        <v>89</v>
      </c>
      <c r="G1279" t="s">
        <v>89</v>
      </c>
      <c r="H1279" t="s">
        <v>93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133</v>
      </c>
      <c r="B1280" t="s">
        <v>1491</v>
      </c>
      <c r="C1280" t="s">
        <v>89</v>
      </c>
      <c r="D1280" t="s">
        <v>1492</v>
      </c>
      <c r="E1280" t="s">
        <v>1493</v>
      </c>
      <c r="F1280" t="s">
        <v>89</v>
      </c>
      <c r="G1280" t="s">
        <v>89</v>
      </c>
      <c r="H1280" t="s">
        <v>93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133</v>
      </c>
      <c r="B1281" t="s">
        <v>1494</v>
      </c>
      <c r="C1281" t="s">
        <v>89</v>
      </c>
      <c r="D1281" t="s">
        <v>1495</v>
      </c>
      <c r="E1281" t="s">
        <v>1364</v>
      </c>
      <c r="F1281" t="s">
        <v>89</v>
      </c>
      <c r="G1281" t="s">
        <v>89</v>
      </c>
      <c r="H1281" t="s">
        <v>93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133</v>
      </c>
      <c r="B1282" t="s">
        <v>616</v>
      </c>
      <c r="C1282" t="s">
        <v>89</v>
      </c>
      <c r="D1282" t="s">
        <v>1496</v>
      </c>
      <c r="E1282" t="s">
        <v>1475</v>
      </c>
      <c r="F1282" t="s">
        <v>89</v>
      </c>
      <c r="G1282" t="s">
        <v>89</v>
      </c>
      <c r="H1282" t="s">
        <v>93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133</v>
      </c>
      <c r="B1283" t="s">
        <v>191</v>
      </c>
      <c r="C1283" t="s">
        <v>89</v>
      </c>
      <c r="D1283" t="s">
        <v>89</v>
      </c>
      <c r="E1283" t="s">
        <v>1497</v>
      </c>
      <c r="F1283" t="s">
        <v>89</v>
      </c>
      <c r="G1283" t="s">
        <v>89</v>
      </c>
      <c r="H1283" t="s">
        <v>93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133</v>
      </c>
      <c r="B1284" t="s">
        <v>1099</v>
      </c>
      <c r="C1284" t="s">
        <v>89</v>
      </c>
      <c r="D1284" t="s">
        <v>89</v>
      </c>
      <c r="E1284" t="s">
        <v>1497</v>
      </c>
      <c r="F1284" t="s">
        <v>89</v>
      </c>
      <c r="G1284" t="s">
        <v>89</v>
      </c>
      <c r="H1284" t="s">
        <v>93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133</v>
      </c>
      <c r="B1285" t="s">
        <v>243</v>
      </c>
      <c r="C1285" t="s">
        <v>89</v>
      </c>
      <c r="D1285" t="s">
        <v>89</v>
      </c>
      <c r="E1285" t="s">
        <v>1497</v>
      </c>
      <c r="F1285" t="s">
        <v>89</v>
      </c>
      <c r="G1285" t="s">
        <v>89</v>
      </c>
      <c r="H1285" t="s">
        <v>93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133</v>
      </c>
      <c r="B1286" t="s">
        <v>244</v>
      </c>
      <c r="C1286" t="s">
        <v>89</v>
      </c>
      <c r="D1286" t="s">
        <v>89</v>
      </c>
      <c r="E1286" t="s">
        <v>1497</v>
      </c>
      <c r="F1286" t="s">
        <v>89</v>
      </c>
      <c r="G1286" t="s">
        <v>89</v>
      </c>
      <c r="H1286" t="s">
        <v>93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133</v>
      </c>
      <c r="B1287" t="s">
        <v>328</v>
      </c>
      <c r="C1287" t="s">
        <v>89</v>
      </c>
      <c r="D1287" t="s">
        <v>89</v>
      </c>
      <c r="E1287" t="s">
        <v>1497</v>
      </c>
      <c r="F1287" t="s">
        <v>89</v>
      </c>
      <c r="G1287" t="s">
        <v>89</v>
      </c>
      <c r="H1287" t="s">
        <v>93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133</v>
      </c>
      <c r="B1288" t="s">
        <v>329</v>
      </c>
      <c r="C1288" t="s">
        <v>89</v>
      </c>
      <c r="D1288" t="s">
        <v>89</v>
      </c>
      <c r="E1288" t="s">
        <v>1497</v>
      </c>
      <c r="F1288" t="s">
        <v>89</v>
      </c>
      <c r="G1288" t="s">
        <v>89</v>
      </c>
      <c r="H1288" t="s">
        <v>93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133</v>
      </c>
      <c r="B1289" t="s">
        <v>1498</v>
      </c>
      <c r="C1289" t="s">
        <v>89</v>
      </c>
      <c r="D1289" t="s">
        <v>89</v>
      </c>
      <c r="E1289" t="s">
        <v>216</v>
      </c>
      <c r="F1289" t="s">
        <v>89</v>
      </c>
      <c r="G1289" t="s">
        <v>89</v>
      </c>
      <c r="H1289" t="s">
        <v>93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133</v>
      </c>
      <c r="B1290" t="s">
        <v>1499</v>
      </c>
      <c r="C1290" t="s">
        <v>89</v>
      </c>
      <c r="D1290" t="s">
        <v>89</v>
      </c>
      <c r="E1290" t="s">
        <v>192</v>
      </c>
      <c r="F1290" t="s">
        <v>89</v>
      </c>
      <c r="G1290" t="s">
        <v>89</v>
      </c>
      <c r="H1290" t="s">
        <v>93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133</v>
      </c>
      <c r="B1291" t="s">
        <v>1500</v>
      </c>
      <c r="C1291" t="s">
        <v>89</v>
      </c>
      <c r="D1291" t="s">
        <v>89</v>
      </c>
      <c r="E1291" t="s">
        <v>192</v>
      </c>
      <c r="F1291" t="s">
        <v>89</v>
      </c>
      <c r="G1291" t="s">
        <v>89</v>
      </c>
      <c r="H1291" t="s">
        <v>93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133</v>
      </c>
      <c r="B1292" t="s">
        <v>722</v>
      </c>
      <c r="C1292" t="s">
        <v>89</v>
      </c>
      <c r="D1292" t="s">
        <v>89</v>
      </c>
      <c r="E1292" t="s">
        <v>1501</v>
      </c>
      <c r="F1292" t="s">
        <v>89</v>
      </c>
      <c r="G1292" t="s">
        <v>89</v>
      </c>
      <c r="H1292" t="s">
        <v>93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133</v>
      </c>
      <c r="B1293" t="s">
        <v>1502</v>
      </c>
      <c r="C1293" t="s">
        <v>89</v>
      </c>
      <c r="D1293" t="s">
        <v>89</v>
      </c>
      <c r="E1293" t="s">
        <v>1501</v>
      </c>
      <c r="F1293" t="s">
        <v>89</v>
      </c>
      <c r="G1293" t="s">
        <v>89</v>
      </c>
      <c r="H1293" t="s">
        <v>93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133</v>
      </c>
      <c r="B1294" t="s">
        <v>1503</v>
      </c>
      <c r="C1294" t="s">
        <v>89</v>
      </c>
      <c r="D1294" t="s">
        <v>89</v>
      </c>
      <c r="E1294" t="s">
        <v>1501</v>
      </c>
      <c r="F1294" t="s">
        <v>89</v>
      </c>
      <c r="G1294" t="s">
        <v>89</v>
      </c>
      <c r="H1294" t="s">
        <v>93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133</v>
      </c>
      <c r="B1295" t="s">
        <v>728</v>
      </c>
      <c r="C1295" t="s">
        <v>89</v>
      </c>
      <c r="D1295" t="s">
        <v>89</v>
      </c>
      <c r="E1295" t="s">
        <v>1501</v>
      </c>
      <c r="F1295" t="s">
        <v>89</v>
      </c>
      <c r="G1295" t="s">
        <v>89</v>
      </c>
      <c r="H1295" t="s">
        <v>93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133</v>
      </c>
      <c r="B1296" t="s">
        <v>1504</v>
      </c>
      <c r="C1296" t="s">
        <v>89</v>
      </c>
      <c r="D1296" t="s">
        <v>89</v>
      </c>
      <c r="E1296" t="s">
        <v>1501</v>
      </c>
      <c r="F1296" t="s">
        <v>89</v>
      </c>
      <c r="G1296" t="s">
        <v>89</v>
      </c>
      <c r="H1296" t="s">
        <v>93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133</v>
      </c>
      <c r="B1297" t="s">
        <v>1505</v>
      </c>
      <c r="C1297" t="s">
        <v>89</v>
      </c>
      <c r="D1297" t="s">
        <v>89</v>
      </c>
      <c r="E1297" t="s">
        <v>714</v>
      </c>
      <c r="F1297" t="s">
        <v>89</v>
      </c>
      <c r="G1297" t="s">
        <v>89</v>
      </c>
      <c r="H1297" t="s">
        <v>93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133</v>
      </c>
      <c r="B1298" t="s">
        <v>1506</v>
      </c>
      <c r="C1298" t="s">
        <v>89</v>
      </c>
      <c r="D1298" t="s">
        <v>89</v>
      </c>
      <c r="E1298" t="s">
        <v>714</v>
      </c>
      <c r="F1298" t="s">
        <v>89</v>
      </c>
      <c r="G1298" t="s">
        <v>89</v>
      </c>
      <c r="H1298" t="s">
        <v>93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133</v>
      </c>
      <c r="B1299" t="s">
        <v>719</v>
      </c>
      <c r="C1299" t="s">
        <v>89</v>
      </c>
      <c r="D1299" t="s">
        <v>89</v>
      </c>
      <c r="E1299" t="s">
        <v>196</v>
      </c>
      <c r="F1299" t="s">
        <v>89</v>
      </c>
      <c r="G1299" t="s">
        <v>89</v>
      </c>
      <c r="H1299" t="s">
        <v>93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133</v>
      </c>
      <c r="B1300" t="s">
        <v>1507</v>
      </c>
      <c r="C1300" t="s">
        <v>89</v>
      </c>
      <c r="D1300" t="s">
        <v>89</v>
      </c>
      <c r="E1300" t="s">
        <v>196</v>
      </c>
      <c r="F1300" t="s">
        <v>89</v>
      </c>
      <c r="G1300" t="s">
        <v>89</v>
      </c>
      <c r="H1300" t="s">
        <v>93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133</v>
      </c>
      <c r="B1301" t="s">
        <v>1508</v>
      </c>
      <c r="C1301" t="s">
        <v>89</v>
      </c>
      <c r="D1301" t="s">
        <v>89</v>
      </c>
      <c r="E1301" t="s">
        <v>196</v>
      </c>
      <c r="F1301" t="s">
        <v>89</v>
      </c>
      <c r="G1301" t="s">
        <v>89</v>
      </c>
      <c r="H1301" t="s">
        <v>93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133</v>
      </c>
      <c r="B1302" t="s">
        <v>1509</v>
      </c>
      <c r="C1302" t="s">
        <v>89</v>
      </c>
      <c r="D1302" t="s">
        <v>89</v>
      </c>
      <c r="E1302" t="s">
        <v>196</v>
      </c>
      <c r="F1302" t="s">
        <v>89</v>
      </c>
      <c r="G1302" t="s">
        <v>89</v>
      </c>
      <c r="H1302" t="s">
        <v>93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133</v>
      </c>
      <c r="B1303" t="s">
        <v>199</v>
      </c>
      <c r="C1303" t="s">
        <v>89</v>
      </c>
      <c r="D1303" t="s">
        <v>89</v>
      </c>
      <c r="E1303" t="s">
        <v>200</v>
      </c>
      <c r="F1303" t="s">
        <v>89</v>
      </c>
      <c r="G1303" t="s">
        <v>89</v>
      </c>
      <c r="H1303" t="s">
        <v>93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135</v>
      </c>
      <c r="B1304" t="s">
        <v>1510</v>
      </c>
      <c r="C1304" t="s">
        <v>89</v>
      </c>
      <c r="D1304" t="s">
        <v>1511</v>
      </c>
      <c r="E1304" t="s">
        <v>232</v>
      </c>
      <c r="F1304" t="s">
        <v>89</v>
      </c>
      <c r="G1304" t="s">
        <v>89</v>
      </c>
      <c r="H1304" t="s">
        <v>93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135</v>
      </c>
      <c r="B1305" t="s">
        <v>1038</v>
      </c>
      <c r="C1305" t="s">
        <v>89</v>
      </c>
      <c r="D1305" t="s">
        <v>89</v>
      </c>
      <c r="E1305" t="s">
        <v>192</v>
      </c>
      <c r="F1305" t="s">
        <v>89</v>
      </c>
      <c r="G1305" t="s">
        <v>89</v>
      </c>
      <c r="H1305" t="s">
        <v>93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135</v>
      </c>
      <c r="B1306" t="s">
        <v>270</v>
      </c>
      <c r="C1306" t="s">
        <v>89</v>
      </c>
      <c r="D1306" t="s">
        <v>1512</v>
      </c>
      <c r="E1306" t="s">
        <v>181</v>
      </c>
      <c r="F1306" t="s">
        <v>89</v>
      </c>
      <c r="G1306" t="s">
        <v>89</v>
      </c>
      <c r="H1306" t="s">
        <v>93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135</v>
      </c>
      <c r="B1307" t="s">
        <v>1513</v>
      </c>
      <c r="C1307" t="s">
        <v>89</v>
      </c>
      <c r="D1307" t="s">
        <v>1511</v>
      </c>
      <c r="E1307" t="s">
        <v>205</v>
      </c>
      <c r="F1307" t="s">
        <v>89</v>
      </c>
      <c r="G1307" t="s">
        <v>89</v>
      </c>
      <c r="H1307" t="s">
        <v>93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135</v>
      </c>
      <c r="B1308" t="s">
        <v>1514</v>
      </c>
      <c r="C1308" t="s">
        <v>89</v>
      </c>
      <c r="D1308" t="s">
        <v>1515</v>
      </c>
      <c r="E1308" t="s">
        <v>187</v>
      </c>
      <c r="F1308" t="s">
        <v>89</v>
      </c>
      <c r="G1308" t="s">
        <v>89</v>
      </c>
      <c r="H1308" t="s">
        <v>93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135</v>
      </c>
      <c r="B1309" t="s">
        <v>1516</v>
      </c>
      <c r="C1309" t="s">
        <v>89</v>
      </c>
      <c r="D1309" t="s">
        <v>89</v>
      </c>
      <c r="E1309" t="s">
        <v>241</v>
      </c>
      <c r="F1309" t="s">
        <v>89</v>
      </c>
      <c r="G1309" t="s">
        <v>89</v>
      </c>
      <c r="H1309" t="s">
        <v>93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135</v>
      </c>
      <c r="B1310" t="s">
        <v>1517</v>
      </c>
      <c r="C1310" t="s">
        <v>89</v>
      </c>
      <c r="D1310" t="s">
        <v>89</v>
      </c>
      <c r="E1310" t="s">
        <v>241</v>
      </c>
      <c r="F1310" t="s">
        <v>89</v>
      </c>
      <c r="G1310" t="s">
        <v>89</v>
      </c>
      <c r="H1310" t="s">
        <v>93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135</v>
      </c>
      <c r="B1311" t="s">
        <v>1038</v>
      </c>
      <c r="C1311" t="s">
        <v>89</v>
      </c>
      <c r="D1311" t="s">
        <v>89</v>
      </c>
      <c r="E1311" t="s">
        <v>192</v>
      </c>
      <c r="F1311" t="s">
        <v>89</v>
      </c>
      <c r="G1311" t="s">
        <v>89</v>
      </c>
      <c r="H1311" t="s">
        <v>93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135</v>
      </c>
      <c r="B1312" t="s">
        <v>1518</v>
      </c>
      <c r="C1312" t="s">
        <v>89</v>
      </c>
      <c r="D1312" t="s">
        <v>89</v>
      </c>
      <c r="E1312" t="s">
        <v>241</v>
      </c>
      <c r="F1312" t="s">
        <v>89</v>
      </c>
      <c r="G1312" t="s">
        <v>89</v>
      </c>
      <c r="H1312" t="s">
        <v>93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135</v>
      </c>
      <c r="B1313" t="s">
        <v>1519</v>
      </c>
      <c r="C1313" t="s">
        <v>89</v>
      </c>
      <c r="D1313" t="s">
        <v>89</v>
      </c>
      <c r="E1313" t="s">
        <v>241</v>
      </c>
      <c r="F1313" t="s">
        <v>89</v>
      </c>
      <c r="G1313" t="s">
        <v>89</v>
      </c>
      <c r="H1313" t="s">
        <v>93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135</v>
      </c>
      <c r="B1314" t="s">
        <v>1520</v>
      </c>
      <c r="C1314" t="s">
        <v>89</v>
      </c>
      <c r="D1314" t="s">
        <v>89</v>
      </c>
      <c r="E1314" t="s">
        <v>192</v>
      </c>
      <c r="F1314" t="s">
        <v>89</v>
      </c>
      <c r="G1314" t="s">
        <v>89</v>
      </c>
      <c r="H1314" t="s">
        <v>93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135</v>
      </c>
      <c r="B1315" t="s">
        <v>1521</v>
      </c>
      <c r="C1315" t="s">
        <v>89</v>
      </c>
      <c r="D1315" t="s">
        <v>89</v>
      </c>
      <c r="E1315" t="s">
        <v>192</v>
      </c>
      <c r="F1315" t="s">
        <v>89</v>
      </c>
      <c r="G1315" t="s">
        <v>89</v>
      </c>
      <c r="H1315" t="s">
        <v>93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135</v>
      </c>
      <c r="B1316" t="s">
        <v>1031</v>
      </c>
      <c r="C1316" t="s">
        <v>89</v>
      </c>
      <c r="D1316" t="s">
        <v>89</v>
      </c>
      <c r="E1316" t="s">
        <v>232</v>
      </c>
      <c r="F1316" t="s">
        <v>89</v>
      </c>
      <c r="G1316" t="s">
        <v>89</v>
      </c>
      <c r="H1316" t="s">
        <v>93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135</v>
      </c>
      <c r="B1317" t="s">
        <v>1522</v>
      </c>
      <c r="C1317" t="s">
        <v>89</v>
      </c>
      <c r="D1317" t="s">
        <v>89</v>
      </c>
      <c r="E1317" t="s">
        <v>178</v>
      </c>
      <c r="F1317" t="s">
        <v>89</v>
      </c>
      <c r="G1317" t="s">
        <v>89</v>
      </c>
      <c r="H1317" t="s">
        <v>93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135</v>
      </c>
      <c r="B1318" t="s">
        <v>1033</v>
      </c>
      <c r="C1318" t="s">
        <v>89</v>
      </c>
      <c r="D1318" t="s">
        <v>89</v>
      </c>
      <c r="E1318" t="s">
        <v>232</v>
      </c>
      <c r="F1318" t="s">
        <v>89</v>
      </c>
      <c r="G1318" t="s">
        <v>89</v>
      </c>
      <c r="H1318" t="s">
        <v>93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135</v>
      </c>
      <c r="B1319" t="s">
        <v>1523</v>
      </c>
      <c r="C1319" t="s">
        <v>89</v>
      </c>
      <c r="D1319" t="s">
        <v>89</v>
      </c>
      <c r="E1319" t="s">
        <v>178</v>
      </c>
      <c r="F1319" t="s">
        <v>89</v>
      </c>
      <c r="G1319" t="s">
        <v>89</v>
      </c>
      <c r="H1319" t="s">
        <v>93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135</v>
      </c>
      <c r="B1320" t="s">
        <v>1524</v>
      </c>
      <c r="C1320" t="s">
        <v>89</v>
      </c>
      <c r="D1320" t="s">
        <v>89</v>
      </c>
      <c r="E1320" t="s">
        <v>184</v>
      </c>
      <c r="F1320" t="s">
        <v>89</v>
      </c>
      <c r="G1320" t="s">
        <v>89</v>
      </c>
      <c r="H1320" t="s">
        <v>93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135</v>
      </c>
      <c r="B1321" t="s">
        <v>294</v>
      </c>
      <c r="C1321" t="s">
        <v>89</v>
      </c>
      <c r="D1321" t="s">
        <v>89</v>
      </c>
      <c r="E1321" t="s">
        <v>184</v>
      </c>
      <c r="F1321" t="s">
        <v>89</v>
      </c>
      <c r="G1321" t="s">
        <v>89</v>
      </c>
      <c r="H1321" t="s">
        <v>93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135</v>
      </c>
      <c r="B1322" t="s">
        <v>908</v>
      </c>
      <c r="C1322" t="s">
        <v>89</v>
      </c>
      <c r="D1322" t="s">
        <v>89</v>
      </c>
      <c r="E1322" t="s">
        <v>312</v>
      </c>
      <c r="F1322" t="s">
        <v>89</v>
      </c>
      <c r="G1322" t="s">
        <v>89</v>
      </c>
      <c r="H1322" t="s">
        <v>93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135</v>
      </c>
      <c r="B1323" t="s">
        <v>905</v>
      </c>
      <c r="C1323" t="s">
        <v>89</v>
      </c>
      <c r="D1323" t="s">
        <v>89</v>
      </c>
      <c r="E1323" t="s">
        <v>312</v>
      </c>
      <c r="F1323" t="s">
        <v>89</v>
      </c>
      <c r="G1323" t="s">
        <v>89</v>
      </c>
      <c r="H1323" t="s">
        <v>93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135</v>
      </c>
      <c r="B1324" t="s">
        <v>904</v>
      </c>
      <c r="C1324" t="s">
        <v>89</v>
      </c>
      <c r="D1324" t="s">
        <v>89</v>
      </c>
      <c r="E1324" t="s">
        <v>312</v>
      </c>
      <c r="F1324" t="s">
        <v>89</v>
      </c>
      <c r="G1324" t="s">
        <v>89</v>
      </c>
      <c r="H1324" t="s">
        <v>93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135</v>
      </c>
      <c r="B1325" t="s">
        <v>1514</v>
      </c>
      <c r="C1325" t="s">
        <v>89</v>
      </c>
      <c r="D1325" t="s">
        <v>1515</v>
      </c>
      <c r="E1325" t="s">
        <v>187</v>
      </c>
      <c r="F1325" t="s">
        <v>89</v>
      </c>
      <c r="G1325" t="s">
        <v>89</v>
      </c>
      <c r="H1325" t="s">
        <v>93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135</v>
      </c>
      <c r="B1326" t="s">
        <v>1525</v>
      </c>
      <c r="C1326" t="s">
        <v>89</v>
      </c>
      <c r="D1326" t="s">
        <v>1526</v>
      </c>
      <c r="E1326" t="s">
        <v>354</v>
      </c>
      <c r="F1326" t="s">
        <v>89</v>
      </c>
      <c r="G1326" t="s">
        <v>89</v>
      </c>
      <c r="H1326" t="s">
        <v>93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135</v>
      </c>
      <c r="B1327" t="s">
        <v>270</v>
      </c>
      <c r="C1327" t="s">
        <v>89</v>
      </c>
      <c r="D1327" t="s">
        <v>1512</v>
      </c>
      <c r="E1327" t="s">
        <v>181</v>
      </c>
      <c r="F1327" t="s">
        <v>89</v>
      </c>
      <c r="G1327" t="s">
        <v>89</v>
      </c>
      <c r="H1327" t="s">
        <v>93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135</v>
      </c>
      <c r="B1328" t="s">
        <v>1527</v>
      </c>
      <c r="C1328" t="s">
        <v>89</v>
      </c>
      <c r="D1328" t="s">
        <v>1528</v>
      </c>
      <c r="E1328" t="s">
        <v>187</v>
      </c>
      <c r="F1328" t="s">
        <v>89</v>
      </c>
      <c r="G1328" t="s">
        <v>89</v>
      </c>
      <c r="H1328" t="s">
        <v>93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135</v>
      </c>
      <c r="B1329" t="s">
        <v>1529</v>
      </c>
      <c r="C1329" t="s">
        <v>89</v>
      </c>
      <c r="D1329" t="s">
        <v>1530</v>
      </c>
      <c r="E1329" t="s">
        <v>332</v>
      </c>
      <c r="F1329" t="s">
        <v>89</v>
      </c>
      <c r="G1329" t="s">
        <v>89</v>
      </c>
      <c r="H1329" t="s">
        <v>93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135</v>
      </c>
      <c r="B1330" t="s">
        <v>1531</v>
      </c>
      <c r="C1330" t="s">
        <v>89</v>
      </c>
      <c r="D1330" t="s">
        <v>1532</v>
      </c>
      <c r="E1330" t="s">
        <v>354</v>
      </c>
      <c r="F1330" t="s">
        <v>89</v>
      </c>
      <c r="G1330" t="s">
        <v>89</v>
      </c>
      <c r="H1330" t="s">
        <v>93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135</v>
      </c>
      <c r="B1331" t="s">
        <v>1533</v>
      </c>
      <c r="C1331" t="s">
        <v>89</v>
      </c>
      <c r="D1331" t="s">
        <v>1511</v>
      </c>
      <c r="E1331" t="s">
        <v>205</v>
      </c>
      <c r="F1331" t="s">
        <v>89</v>
      </c>
      <c r="G1331" t="s">
        <v>89</v>
      </c>
      <c r="H1331" t="s">
        <v>93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135</v>
      </c>
      <c r="B1332" t="s">
        <v>1513</v>
      </c>
      <c r="C1332" t="s">
        <v>89</v>
      </c>
      <c r="D1332" t="s">
        <v>1511</v>
      </c>
      <c r="E1332" t="s">
        <v>205</v>
      </c>
      <c r="F1332" t="s">
        <v>89</v>
      </c>
      <c r="G1332" t="s">
        <v>89</v>
      </c>
      <c r="H1332" t="s">
        <v>93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135</v>
      </c>
      <c r="B1333" t="s">
        <v>1534</v>
      </c>
      <c r="C1333" t="s">
        <v>89</v>
      </c>
      <c r="D1333" t="s">
        <v>1511</v>
      </c>
      <c r="E1333" t="s">
        <v>232</v>
      </c>
      <c r="F1333" t="s">
        <v>89</v>
      </c>
      <c r="G1333" t="s">
        <v>89</v>
      </c>
      <c r="H1333" t="s">
        <v>93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135</v>
      </c>
      <c r="B1334" t="s">
        <v>1510</v>
      </c>
      <c r="C1334" t="s">
        <v>89</v>
      </c>
      <c r="D1334" t="s">
        <v>1511</v>
      </c>
      <c r="E1334" t="s">
        <v>232</v>
      </c>
      <c r="F1334" t="s">
        <v>89</v>
      </c>
      <c r="G1334" t="s">
        <v>89</v>
      </c>
      <c r="H1334" t="s">
        <v>93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135</v>
      </c>
      <c r="B1335" t="s">
        <v>1535</v>
      </c>
      <c r="C1335" t="s">
        <v>89</v>
      </c>
      <c r="D1335" t="s">
        <v>1528</v>
      </c>
      <c r="E1335" t="s">
        <v>332</v>
      </c>
      <c r="F1335" t="s">
        <v>89</v>
      </c>
      <c r="G1335" t="s">
        <v>89</v>
      </c>
      <c r="H1335" t="s">
        <v>93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135</v>
      </c>
      <c r="B1336" t="s">
        <v>880</v>
      </c>
      <c r="C1336" t="s">
        <v>89</v>
      </c>
      <c r="D1336" t="s">
        <v>1536</v>
      </c>
      <c r="E1336" t="s">
        <v>332</v>
      </c>
      <c r="F1336" t="s">
        <v>89</v>
      </c>
      <c r="G1336" t="s">
        <v>89</v>
      </c>
      <c r="H1336" t="s">
        <v>93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135</v>
      </c>
      <c r="B1337" t="s">
        <v>1537</v>
      </c>
      <c r="C1337" t="s">
        <v>89</v>
      </c>
      <c r="D1337" t="s">
        <v>1538</v>
      </c>
      <c r="E1337" t="s">
        <v>332</v>
      </c>
      <c r="F1337" t="s">
        <v>89</v>
      </c>
      <c r="G1337" t="s">
        <v>89</v>
      </c>
      <c r="H1337" t="s">
        <v>93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135</v>
      </c>
      <c r="B1338" t="s">
        <v>926</v>
      </c>
      <c r="C1338" t="s">
        <v>89</v>
      </c>
      <c r="D1338" t="s">
        <v>1539</v>
      </c>
      <c r="E1338" t="s">
        <v>332</v>
      </c>
      <c r="F1338" t="s">
        <v>89</v>
      </c>
      <c r="G1338" t="s">
        <v>89</v>
      </c>
      <c r="H1338" t="s">
        <v>93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135</v>
      </c>
      <c r="B1339" t="s">
        <v>879</v>
      </c>
      <c r="C1339" t="s">
        <v>89</v>
      </c>
      <c r="D1339" t="s">
        <v>1538</v>
      </c>
      <c r="E1339" t="s">
        <v>332</v>
      </c>
      <c r="F1339" t="s">
        <v>89</v>
      </c>
      <c r="G1339" t="s">
        <v>89</v>
      </c>
      <c r="H1339" t="s">
        <v>93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135</v>
      </c>
      <c r="B1340" t="s">
        <v>497</v>
      </c>
      <c r="C1340" t="s">
        <v>89</v>
      </c>
      <c r="D1340" t="s">
        <v>1540</v>
      </c>
      <c r="E1340" t="s">
        <v>332</v>
      </c>
      <c r="F1340" t="s">
        <v>89</v>
      </c>
      <c r="G1340" t="s">
        <v>89</v>
      </c>
      <c r="H1340" t="s">
        <v>93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135</v>
      </c>
      <c r="B1341" t="s">
        <v>499</v>
      </c>
      <c r="C1341" t="s">
        <v>89</v>
      </c>
      <c r="D1341" t="s">
        <v>89</v>
      </c>
      <c r="E1341" t="s">
        <v>187</v>
      </c>
      <c r="F1341" t="s">
        <v>89</v>
      </c>
      <c r="G1341" t="s">
        <v>89</v>
      </c>
      <c r="H1341" t="s">
        <v>93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135</v>
      </c>
      <c r="B1342" t="s">
        <v>634</v>
      </c>
      <c r="C1342" t="s">
        <v>89</v>
      </c>
      <c r="D1342" t="s">
        <v>89</v>
      </c>
      <c r="E1342" t="s">
        <v>332</v>
      </c>
      <c r="F1342" t="s">
        <v>89</v>
      </c>
      <c r="G1342" t="s">
        <v>89</v>
      </c>
      <c r="H1342" t="s">
        <v>93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135</v>
      </c>
      <c r="B1343" t="s">
        <v>608</v>
      </c>
      <c r="C1343" t="s">
        <v>89</v>
      </c>
      <c r="D1343" t="s">
        <v>1541</v>
      </c>
      <c r="E1343" t="s">
        <v>312</v>
      </c>
      <c r="F1343" t="s">
        <v>89</v>
      </c>
      <c r="G1343" t="s">
        <v>89</v>
      </c>
      <c r="H1343" t="s">
        <v>93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135</v>
      </c>
      <c r="B1344" t="s">
        <v>1542</v>
      </c>
      <c r="C1344" t="s">
        <v>89</v>
      </c>
      <c r="D1344" t="s">
        <v>89</v>
      </c>
      <c r="E1344" t="s">
        <v>232</v>
      </c>
      <c r="F1344" t="s">
        <v>89</v>
      </c>
      <c r="G1344" t="s">
        <v>89</v>
      </c>
      <c r="H1344" t="s">
        <v>93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135</v>
      </c>
      <c r="B1345" t="s">
        <v>1543</v>
      </c>
      <c r="C1345" t="s">
        <v>89</v>
      </c>
      <c r="D1345" t="s">
        <v>89</v>
      </c>
      <c r="E1345" t="s">
        <v>232</v>
      </c>
      <c r="F1345" t="s">
        <v>89</v>
      </c>
      <c r="G1345" t="s">
        <v>89</v>
      </c>
      <c r="H1345" t="s">
        <v>93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135</v>
      </c>
      <c r="B1346" t="s">
        <v>1544</v>
      </c>
      <c r="C1346" t="s">
        <v>89</v>
      </c>
      <c r="D1346" t="s">
        <v>89</v>
      </c>
      <c r="E1346" t="s">
        <v>332</v>
      </c>
      <c r="F1346" t="s">
        <v>89</v>
      </c>
      <c r="G1346" t="s">
        <v>89</v>
      </c>
      <c r="H1346" t="s">
        <v>93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135</v>
      </c>
      <c r="B1347" t="s">
        <v>285</v>
      </c>
      <c r="C1347" t="s">
        <v>89</v>
      </c>
      <c r="D1347" t="s">
        <v>89</v>
      </c>
      <c r="E1347" t="s">
        <v>181</v>
      </c>
      <c r="F1347" t="s">
        <v>89</v>
      </c>
      <c r="G1347" t="s">
        <v>89</v>
      </c>
      <c r="H1347" t="s">
        <v>93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135</v>
      </c>
      <c r="B1348" t="s">
        <v>1545</v>
      </c>
      <c r="C1348" t="s">
        <v>89</v>
      </c>
      <c r="D1348" t="s">
        <v>89</v>
      </c>
      <c r="E1348" t="s">
        <v>184</v>
      </c>
      <c r="F1348" t="s">
        <v>89</v>
      </c>
      <c r="G1348" t="s">
        <v>89</v>
      </c>
      <c r="H1348" t="s">
        <v>93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135</v>
      </c>
      <c r="B1349" t="s">
        <v>1546</v>
      </c>
      <c r="C1349" t="s">
        <v>89</v>
      </c>
      <c r="D1349" t="s">
        <v>89</v>
      </c>
      <c r="E1349" t="s">
        <v>181</v>
      </c>
      <c r="F1349" t="s">
        <v>89</v>
      </c>
      <c r="G1349" t="s">
        <v>89</v>
      </c>
      <c r="H1349" t="s">
        <v>93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135</v>
      </c>
      <c r="B1350" t="s">
        <v>1547</v>
      </c>
      <c r="C1350" t="s">
        <v>89</v>
      </c>
      <c r="D1350" t="s">
        <v>89</v>
      </c>
      <c r="E1350" t="s">
        <v>181</v>
      </c>
      <c r="F1350" t="s">
        <v>89</v>
      </c>
      <c r="G1350" t="s">
        <v>89</v>
      </c>
      <c r="H1350" t="s">
        <v>93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135</v>
      </c>
      <c r="B1351" t="s">
        <v>646</v>
      </c>
      <c r="C1351" t="s">
        <v>89</v>
      </c>
      <c r="D1351" t="s">
        <v>89</v>
      </c>
      <c r="E1351" t="s">
        <v>227</v>
      </c>
      <c r="F1351" t="s">
        <v>89</v>
      </c>
      <c r="G1351" t="s">
        <v>89</v>
      </c>
      <c r="H1351" t="s">
        <v>93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135</v>
      </c>
      <c r="B1352" t="s">
        <v>1548</v>
      </c>
      <c r="C1352" t="s">
        <v>89</v>
      </c>
      <c r="D1352" t="s">
        <v>89</v>
      </c>
      <c r="E1352" t="s">
        <v>181</v>
      </c>
      <c r="F1352" t="s">
        <v>89</v>
      </c>
      <c r="G1352" t="s">
        <v>89</v>
      </c>
      <c r="H1352" t="s">
        <v>93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135</v>
      </c>
      <c r="B1353" t="s">
        <v>1549</v>
      </c>
      <c r="C1353" t="s">
        <v>89</v>
      </c>
      <c r="D1353" t="s">
        <v>89</v>
      </c>
      <c r="E1353" t="s">
        <v>181</v>
      </c>
      <c r="F1353" t="s">
        <v>89</v>
      </c>
      <c r="G1353" t="s">
        <v>89</v>
      </c>
      <c r="H1353" t="s">
        <v>93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135</v>
      </c>
      <c r="B1354" t="s">
        <v>1550</v>
      </c>
      <c r="C1354" t="s">
        <v>89</v>
      </c>
      <c r="D1354" t="s">
        <v>89</v>
      </c>
      <c r="E1354" t="s">
        <v>227</v>
      </c>
      <c r="F1354" t="s">
        <v>89</v>
      </c>
      <c r="G1354" t="s">
        <v>89</v>
      </c>
      <c r="H1354" t="s">
        <v>93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135</v>
      </c>
      <c r="B1355" t="s">
        <v>1551</v>
      </c>
      <c r="C1355" t="s">
        <v>89</v>
      </c>
      <c r="D1355" t="s">
        <v>89</v>
      </c>
      <c r="E1355" t="s">
        <v>181</v>
      </c>
      <c r="F1355" t="s">
        <v>89</v>
      </c>
      <c r="G1355" t="s">
        <v>89</v>
      </c>
      <c r="H1355" t="s">
        <v>93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135</v>
      </c>
      <c r="B1356" t="s">
        <v>1552</v>
      </c>
      <c r="C1356" t="s">
        <v>89</v>
      </c>
      <c r="D1356" t="s">
        <v>89</v>
      </c>
      <c r="E1356" t="s">
        <v>184</v>
      </c>
      <c r="F1356" t="s">
        <v>89</v>
      </c>
      <c r="G1356" t="s">
        <v>89</v>
      </c>
      <c r="H1356" t="s">
        <v>93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135</v>
      </c>
      <c r="B1357" t="s">
        <v>1553</v>
      </c>
      <c r="C1357" t="s">
        <v>89</v>
      </c>
      <c r="D1357" t="s">
        <v>89</v>
      </c>
      <c r="E1357" t="s">
        <v>227</v>
      </c>
      <c r="F1357" t="s">
        <v>89</v>
      </c>
      <c r="G1357" t="s">
        <v>89</v>
      </c>
      <c r="H1357" t="s">
        <v>93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135</v>
      </c>
      <c r="B1358" t="s">
        <v>1554</v>
      </c>
      <c r="C1358" t="s">
        <v>89</v>
      </c>
      <c r="D1358" t="s">
        <v>89</v>
      </c>
      <c r="E1358" t="s">
        <v>187</v>
      </c>
      <c r="F1358" t="s">
        <v>89</v>
      </c>
      <c r="G1358" t="s">
        <v>89</v>
      </c>
      <c r="H1358" t="s">
        <v>93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135</v>
      </c>
      <c r="B1359" t="s">
        <v>1555</v>
      </c>
      <c r="C1359" t="s">
        <v>89</v>
      </c>
      <c r="D1359" t="s">
        <v>638</v>
      </c>
      <c r="E1359" t="s">
        <v>187</v>
      </c>
      <c r="F1359" t="s">
        <v>89</v>
      </c>
      <c r="G1359" t="s">
        <v>89</v>
      </c>
      <c r="H1359" t="s">
        <v>93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135</v>
      </c>
      <c r="B1360" t="s">
        <v>1556</v>
      </c>
      <c r="C1360" t="s">
        <v>89</v>
      </c>
      <c r="D1360" t="s">
        <v>89</v>
      </c>
      <c r="E1360" t="s">
        <v>187</v>
      </c>
      <c r="F1360" t="s">
        <v>89</v>
      </c>
      <c r="G1360" t="s">
        <v>89</v>
      </c>
      <c r="H1360" t="s">
        <v>93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135</v>
      </c>
      <c r="B1361" t="s">
        <v>1557</v>
      </c>
      <c r="C1361" t="s">
        <v>89</v>
      </c>
      <c r="D1361" t="s">
        <v>638</v>
      </c>
      <c r="E1361" t="s">
        <v>213</v>
      </c>
      <c r="F1361" t="s">
        <v>89</v>
      </c>
      <c r="G1361" t="s">
        <v>89</v>
      </c>
      <c r="H1361" t="s">
        <v>93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135</v>
      </c>
      <c r="B1362" t="s">
        <v>1558</v>
      </c>
      <c r="C1362" t="s">
        <v>89</v>
      </c>
      <c r="D1362" t="s">
        <v>89</v>
      </c>
      <c r="E1362" t="s">
        <v>213</v>
      </c>
      <c r="F1362" t="s">
        <v>89</v>
      </c>
      <c r="G1362" t="s">
        <v>89</v>
      </c>
      <c r="H1362" t="s">
        <v>93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135</v>
      </c>
      <c r="B1363" t="s">
        <v>1559</v>
      </c>
      <c r="C1363" t="s">
        <v>89</v>
      </c>
      <c r="D1363" t="s">
        <v>89</v>
      </c>
      <c r="E1363" t="s">
        <v>213</v>
      </c>
      <c r="F1363" t="s">
        <v>89</v>
      </c>
      <c r="G1363" t="s">
        <v>89</v>
      </c>
      <c r="H1363" t="s">
        <v>93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135</v>
      </c>
      <c r="B1364" t="s">
        <v>1560</v>
      </c>
      <c r="C1364" t="s">
        <v>89</v>
      </c>
      <c r="D1364" t="s">
        <v>89</v>
      </c>
      <c r="E1364" t="s">
        <v>543</v>
      </c>
      <c r="F1364" t="s">
        <v>89</v>
      </c>
      <c r="G1364" t="s">
        <v>89</v>
      </c>
      <c r="H1364" t="s">
        <v>93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135</v>
      </c>
      <c r="B1365" t="s">
        <v>1561</v>
      </c>
      <c r="C1365" t="s">
        <v>89</v>
      </c>
      <c r="D1365" t="s">
        <v>89</v>
      </c>
      <c r="E1365" t="s">
        <v>543</v>
      </c>
      <c r="F1365" t="s">
        <v>89</v>
      </c>
      <c r="G1365" t="s">
        <v>89</v>
      </c>
      <c r="H1365" t="s">
        <v>93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135</v>
      </c>
      <c r="B1366" t="s">
        <v>1562</v>
      </c>
      <c r="C1366" t="s">
        <v>89</v>
      </c>
      <c r="D1366" t="s">
        <v>638</v>
      </c>
      <c r="E1366" t="s">
        <v>543</v>
      </c>
      <c r="F1366" t="s">
        <v>89</v>
      </c>
      <c r="G1366" t="s">
        <v>89</v>
      </c>
      <c r="H1366" t="s">
        <v>93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135</v>
      </c>
      <c r="B1367" t="s">
        <v>1563</v>
      </c>
      <c r="C1367" t="s">
        <v>89</v>
      </c>
      <c r="D1367" t="s">
        <v>89</v>
      </c>
      <c r="E1367" t="s">
        <v>215</v>
      </c>
      <c r="F1367" t="s">
        <v>89</v>
      </c>
      <c r="G1367" t="s">
        <v>89</v>
      </c>
      <c r="H1367" t="s">
        <v>93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135</v>
      </c>
      <c r="B1368" t="s">
        <v>1564</v>
      </c>
      <c r="C1368" t="s">
        <v>89</v>
      </c>
      <c r="D1368" t="s">
        <v>638</v>
      </c>
      <c r="E1368" t="s">
        <v>215</v>
      </c>
      <c r="F1368" t="s">
        <v>89</v>
      </c>
      <c r="G1368" t="s">
        <v>89</v>
      </c>
      <c r="H1368" t="s">
        <v>93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135</v>
      </c>
      <c r="B1369" t="s">
        <v>1565</v>
      </c>
      <c r="C1369" t="s">
        <v>89</v>
      </c>
      <c r="D1369" t="s">
        <v>89</v>
      </c>
      <c r="E1369" t="s">
        <v>215</v>
      </c>
      <c r="F1369" t="s">
        <v>89</v>
      </c>
      <c r="G1369" t="s">
        <v>89</v>
      </c>
      <c r="H1369" t="s">
        <v>93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135</v>
      </c>
      <c r="B1370" t="s">
        <v>1566</v>
      </c>
      <c r="C1370" t="s">
        <v>89</v>
      </c>
      <c r="D1370" t="s">
        <v>89</v>
      </c>
      <c r="E1370" t="s">
        <v>178</v>
      </c>
      <c r="F1370" t="s">
        <v>89</v>
      </c>
      <c r="G1370" t="s">
        <v>89</v>
      </c>
      <c r="H1370" t="s">
        <v>93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135</v>
      </c>
      <c r="B1371" t="s">
        <v>191</v>
      </c>
      <c r="C1371" t="s">
        <v>89</v>
      </c>
      <c r="D1371" t="s">
        <v>89</v>
      </c>
      <c r="E1371" t="s">
        <v>178</v>
      </c>
      <c r="F1371" t="s">
        <v>89</v>
      </c>
      <c r="G1371" t="s">
        <v>89</v>
      </c>
      <c r="H1371" t="s">
        <v>93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135</v>
      </c>
      <c r="B1372" t="s">
        <v>1099</v>
      </c>
      <c r="C1372" t="s">
        <v>89</v>
      </c>
      <c r="D1372" t="s">
        <v>89</v>
      </c>
      <c r="E1372" t="s">
        <v>178</v>
      </c>
      <c r="F1372" t="s">
        <v>89</v>
      </c>
      <c r="G1372" t="s">
        <v>89</v>
      </c>
      <c r="H1372" t="s">
        <v>93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135</v>
      </c>
      <c r="B1373" t="s">
        <v>243</v>
      </c>
      <c r="C1373" t="s">
        <v>89</v>
      </c>
      <c r="D1373" t="s">
        <v>89</v>
      </c>
      <c r="E1373" t="s">
        <v>178</v>
      </c>
      <c r="F1373" t="s">
        <v>89</v>
      </c>
      <c r="G1373" t="s">
        <v>89</v>
      </c>
      <c r="H1373" t="s">
        <v>93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135</v>
      </c>
      <c r="B1374" t="s">
        <v>244</v>
      </c>
      <c r="C1374" t="s">
        <v>89</v>
      </c>
      <c r="D1374" t="s">
        <v>89</v>
      </c>
      <c r="E1374" t="s">
        <v>178</v>
      </c>
      <c r="F1374" t="s">
        <v>89</v>
      </c>
      <c r="G1374" t="s">
        <v>89</v>
      </c>
      <c r="H1374" t="s">
        <v>93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135</v>
      </c>
      <c r="B1375" t="s">
        <v>328</v>
      </c>
      <c r="C1375" t="s">
        <v>89</v>
      </c>
      <c r="D1375" t="s">
        <v>89</v>
      </c>
      <c r="E1375" t="s">
        <v>178</v>
      </c>
      <c r="F1375" t="s">
        <v>89</v>
      </c>
      <c r="G1375" t="s">
        <v>89</v>
      </c>
      <c r="H1375" t="s">
        <v>93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135</v>
      </c>
      <c r="B1376" t="s">
        <v>329</v>
      </c>
      <c r="C1376" t="s">
        <v>89</v>
      </c>
      <c r="D1376" t="s">
        <v>89</v>
      </c>
      <c r="E1376" t="s">
        <v>178</v>
      </c>
      <c r="F1376" t="s">
        <v>89</v>
      </c>
      <c r="G1376" t="s">
        <v>89</v>
      </c>
      <c r="H1376" t="s">
        <v>93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135</v>
      </c>
      <c r="B1377" t="s">
        <v>194</v>
      </c>
      <c r="C1377" t="s">
        <v>89</v>
      </c>
      <c r="D1377" t="s">
        <v>89</v>
      </c>
      <c r="E1377" t="s">
        <v>192</v>
      </c>
      <c r="F1377" t="s">
        <v>89</v>
      </c>
      <c r="G1377" t="s">
        <v>89</v>
      </c>
      <c r="H1377" t="s">
        <v>93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135</v>
      </c>
      <c r="B1378" t="s">
        <v>195</v>
      </c>
      <c r="C1378" t="s">
        <v>89</v>
      </c>
      <c r="D1378" t="s">
        <v>89</v>
      </c>
      <c r="E1378" t="s">
        <v>716</v>
      </c>
      <c r="F1378" t="s">
        <v>89</v>
      </c>
      <c r="G1378" t="s">
        <v>89</v>
      </c>
      <c r="H1378" t="s">
        <v>93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135</v>
      </c>
      <c r="B1379" t="s">
        <v>217</v>
      </c>
      <c r="C1379" t="s">
        <v>89</v>
      </c>
      <c r="D1379" t="s">
        <v>89</v>
      </c>
      <c r="E1379" t="s">
        <v>218</v>
      </c>
      <c r="F1379" t="s">
        <v>89</v>
      </c>
      <c r="G1379" t="s">
        <v>89</v>
      </c>
      <c r="H1379" t="s">
        <v>93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135</v>
      </c>
      <c r="B1380" t="s">
        <v>219</v>
      </c>
      <c r="C1380" t="s">
        <v>89</v>
      </c>
      <c r="D1380" t="s">
        <v>89</v>
      </c>
      <c r="E1380" t="s">
        <v>192</v>
      </c>
      <c r="F1380" t="s">
        <v>89</v>
      </c>
      <c r="G1380" t="s">
        <v>89</v>
      </c>
      <c r="H1380" t="s">
        <v>93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135</v>
      </c>
      <c r="B1381" t="s">
        <v>197</v>
      </c>
      <c r="C1381" t="s">
        <v>89</v>
      </c>
      <c r="D1381" t="s">
        <v>89</v>
      </c>
      <c r="E1381" t="s">
        <v>196</v>
      </c>
      <c r="F1381" t="s">
        <v>89</v>
      </c>
      <c r="G1381" t="s">
        <v>89</v>
      </c>
      <c r="H1381" t="s">
        <v>93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135</v>
      </c>
      <c r="B1382" t="s">
        <v>1567</v>
      </c>
      <c r="C1382" t="s">
        <v>89</v>
      </c>
      <c r="D1382" t="s">
        <v>89</v>
      </c>
      <c r="E1382" t="s">
        <v>316</v>
      </c>
      <c r="F1382" t="s">
        <v>89</v>
      </c>
      <c r="G1382" t="s">
        <v>89</v>
      </c>
      <c r="H1382" t="s">
        <v>93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135</v>
      </c>
      <c r="B1383" t="s">
        <v>1568</v>
      </c>
      <c r="C1383" t="s">
        <v>89</v>
      </c>
      <c r="D1383" t="s">
        <v>89</v>
      </c>
      <c r="E1383" t="s">
        <v>607</v>
      </c>
      <c r="F1383" t="s">
        <v>89</v>
      </c>
      <c r="G1383" t="s">
        <v>89</v>
      </c>
      <c r="H1383" t="s">
        <v>93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135</v>
      </c>
      <c r="B1384" t="s">
        <v>1569</v>
      </c>
      <c r="C1384" t="s">
        <v>89</v>
      </c>
      <c r="D1384" t="s">
        <v>89</v>
      </c>
      <c r="E1384" t="s">
        <v>607</v>
      </c>
      <c r="F1384" t="s">
        <v>89</v>
      </c>
      <c r="G1384" t="s">
        <v>89</v>
      </c>
      <c r="H1384" t="s">
        <v>93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135</v>
      </c>
      <c r="B1385" t="s">
        <v>1570</v>
      </c>
      <c r="C1385" t="s">
        <v>89</v>
      </c>
      <c r="D1385" t="s">
        <v>89</v>
      </c>
      <c r="E1385" t="s">
        <v>607</v>
      </c>
      <c r="F1385" t="s">
        <v>89</v>
      </c>
      <c r="G1385" t="s">
        <v>89</v>
      </c>
      <c r="H1385" t="s">
        <v>93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135</v>
      </c>
      <c r="B1386" t="s">
        <v>1571</v>
      </c>
      <c r="C1386" t="s">
        <v>89</v>
      </c>
      <c r="D1386" t="s">
        <v>89</v>
      </c>
      <c r="E1386" t="s">
        <v>312</v>
      </c>
      <c r="F1386" t="s">
        <v>89</v>
      </c>
      <c r="G1386" t="s">
        <v>89</v>
      </c>
      <c r="H1386" t="s">
        <v>93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135</v>
      </c>
      <c r="B1387" t="s">
        <v>1572</v>
      </c>
      <c r="C1387" t="s">
        <v>89</v>
      </c>
      <c r="D1387" t="s">
        <v>89</v>
      </c>
      <c r="E1387" t="s">
        <v>607</v>
      </c>
      <c r="F1387" t="s">
        <v>89</v>
      </c>
      <c r="G1387" t="s">
        <v>89</v>
      </c>
      <c r="H1387" t="s">
        <v>93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135</v>
      </c>
      <c r="B1388" t="s">
        <v>1573</v>
      </c>
      <c r="C1388" t="s">
        <v>89</v>
      </c>
      <c r="D1388" t="s">
        <v>89</v>
      </c>
      <c r="E1388" t="s">
        <v>316</v>
      </c>
      <c r="F1388" t="s">
        <v>89</v>
      </c>
      <c r="G1388" t="s">
        <v>89</v>
      </c>
      <c r="H1388" t="s">
        <v>93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135</v>
      </c>
      <c r="B1389" t="s">
        <v>1574</v>
      </c>
      <c r="C1389" t="s">
        <v>89</v>
      </c>
      <c r="D1389" t="s">
        <v>89</v>
      </c>
      <c r="E1389" t="s">
        <v>184</v>
      </c>
      <c r="F1389" t="s">
        <v>89</v>
      </c>
      <c r="G1389" t="s">
        <v>89</v>
      </c>
      <c r="H1389" t="s">
        <v>93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135</v>
      </c>
      <c r="B1390" t="s">
        <v>1575</v>
      </c>
      <c r="C1390" t="s">
        <v>89</v>
      </c>
      <c r="D1390" t="s">
        <v>89</v>
      </c>
      <c r="E1390" t="s">
        <v>184</v>
      </c>
      <c r="F1390" t="s">
        <v>89</v>
      </c>
      <c r="G1390" t="s">
        <v>89</v>
      </c>
      <c r="H1390" t="s">
        <v>93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135</v>
      </c>
      <c r="B1391" t="s">
        <v>1576</v>
      </c>
      <c r="C1391" t="s">
        <v>89</v>
      </c>
      <c r="D1391" t="s">
        <v>89</v>
      </c>
      <c r="E1391" t="s">
        <v>227</v>
      </c>
      <c r="F1391" t="s">
        <v>89</v>
      </c>
      <c r="G1391" t="s">
        <v>89</v>
      </c>
      <c r="H1391" t="s">
        <v>93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135</v>
      </c>
      <c r="B1392" t="s">
        <v>1577</v>
      </c>
      <c r="C1392" t="s">
        <v>89</v>
      </c>
      <c r="D1392" t="s">
        <v>89</v>
      </c>
      <c r="E1392" t="s">
        <v>227</v>
      </c>
      <c r="F1392" t="s">
        <v>89</v>
      </c>
      <c r="G1392" t="s">
        <v>89</v>
      </c>
      <c r="H1392" t="s">
        <v>93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135</v>
      </c>
      <c r="B1393" t="s">
        <v>1578</v>
      </c>
      <c r="C1393" t="s">
        <v>89</v>
      </c>
      <c r="D1393" t="s">
        <v>89</v>
      </c>
      <c r="E1393" t="s">
        <v>227</v>
      </c>
      <c r="F1393" t="s">
        <v>89</v>
      </c>
      <c r="G1393" t="s">
        <v>89</v>
      </c>
      <c r="H1393" t="s">
        <v>93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135</v>
      </c>
      <c r="B1394" t="s">
        <v>686</v>
      </c>
      <c r="C1394" t="s">
        <v>89</v>
      </c>
      <c r="D1394" t="s">
        <v>89</v>
      </c>
      <c r="E1394" t="s">
        <v>181</v>
      </c>
      <c r="F1394" t="s">
        <v>89</v>
      </c>
      <c r="G1394" t="s">
        <v>89</v>
      </c>
      <c r="H1394" t="s">
        <v>93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135</v>
      </c>
      <c r="B1395" t="s">
        <v>683</v>
      </c>
      <c r="C1395" t="s">
        <v>89</v>
      </c>
      <c r="D1395" t="s">
        <v>89</v>
      </c>
      <c r="E1395" t="s">
        <v>227</v>
      </c>
      <c r="F1395" t="s">
        <v>89</v>
      </c>
      <c r="G1395" t="s">
        <v>89</v>
      </c>
      <c r="H1395" t="s">
        <v>93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135</v>
      </c>
      <c r="B1396" t="s">
        <v>199</v>
      </c>
      <c r="C1396" t="s">
        <v>89</v>
      </c>
      <c r="D1396" t="s">
        <v>89</v>
      </c>
      <c r="E1396" t="s">
        <v>200</v>
      </c>
      <c r="F1396" t="s">
        <v>89</v>
      </c>
      <c r="G1396" t="s">
        <v>89</v>
      </c>
      <c r="H1396" t="s">
        <v>93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136</v>
      </c>
      <c r="B1397" t="s">
        <v>1579</v>
      </c>
      <c r="C1397" t="s">
        <v>89</v>
      </c>
      <c r="D1397" t="s">
        <v>1580</v>
      </c>
      <c r="E1397" t="s">
        <v>1581</v>
      </c>
      <c r="F1397" t="s">
        <v>89</v>
      </c>
      <c r="G1397" t="s">
        <v>89</v>
      </c>
      <c r="H1397" t="s">
        <v>93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136</v>
      </c>
      <c r="B1398" t="s">
        <v>1582</v>
      </c>
      <c r="C1398" t="s">
        <v>89</v>
      </c>
      <c r="D1398" t="s">
        <v>1583</v>
      </c>
      <c r="E1398" t="s">
        <v>1584</v>
      </c>
      <c r="F1398" t="s">
        <v>89</v>
      </c>
      <c r="G1398" t="s">
        <v>89</v>
      </c>
      <c r="H1398" t="s">
        <v>93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136</v>
      </c>
      <c r="B1399" t="s">
        <v>1585</v>
      </c>
      <c r="C1399" t="s">
        <v>89</v>
      </c>
      <c r="D1399" t="s">
        <v>1586</v>
      </c>
      <c r="E1399" t="s">
        <v>1587</v>
      </c>
      <c r="F1399" t="s">
        <v>89</v>
      </c>
      <c r="G1399" t="s">
        <v>89</v>
      </c>
      <c r="H1399" t="s">
        <v>93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136</v>
      </c>
      <c r="B1400" t="s">
        <v>1588</v>
      </c>
      <c r="C1400" t="s">
        <v>89</v>
      </c>
      <c r="D1400" t="s">
        <v>1589</v>
      </c>
      <c r="E1400" t="s">
        <v>1590</v>
      </c>
      <c r="F1400" t="s">
        <v>89</v>
      </c>
      <c r="G1400" t="s">
        <v>89</v>
      </c>
      <c r="H1400" t="s">
        <v>93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136</v>
      </c>
      <c r="B1401" t="s">
        <v>1591</v>
      </c>
      <c r="C1401" t="s">
        <v>89</v>
      </c>
      <c r="D1401" t="s">
        <v>1592</v>
      </c>
      <c r="E1401" t="s">
        <v>1593</v>
      </c>
      <c r="F1401" t="s">
        <v>89</v>
      </c>
      <c r="G1401" t="s">
        <v>89</v>
      </c>
      <c r="H1401" t="s">
        <v>93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136</v>
      </c>
      <c r="B1402" t="s">
        <v>1594</v>
      </c>
      <c r="C1402" t="s">
        <v>89</v>
      </c>
      <c r="D1402" t="s">
        <v>1595</v>
      </c>
      <c r="E1402" t="s">
        <v>1596</v>
      </c>
      <c r="F1402" t="s">
        <v>89</v>
      </c>
      <c r="G1402" t="s">
        <v>89</v>
      </c>
      <c r="H1402" t="s">
        <v>93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136</v>
      </c>
      <c r="B1403" t="s">
        <v>1597</v>
      </c>
      <c r="C1403" t="s">
        <v>89</v>
      </c>
      <c r="D1403" t="s">
        <v>1598</v>
      </c>
      <c r="E1403" t="s">
        <v>1599</v>
      </c>
      <c r="F1403" t="s">
        <v>89</v>
      </c>
      <c r="G1403" t="s">
        <v>89</v>
      </c>
      <c r="H1403" t="s">
        <v>93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136</v>
      </c>
      <c r="B1404" t="s">
        <v>1600</v>
      </c>
      <c r="C1404" t="s">
        <v>89</v>
      </c>
      <c r="D1404" t="s">
        <v>1601</v>
      </c>
      <c r="E1404" t="s">
        <v>1602</v>
      </c>
      <c r="F1404" t="s">
        <v>89</v>
      </c>
      <c r="G1404" t="s">
        <v>89</v>
      </c>
      <c r="H1404" t="s">
        <v>93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136</v>
      </c>
      <c r="B1405" t="s">
        <v>1603</v>
      </c>
      <c r="C1405" t="s">
        <v>89</v>
      </c>
      <c r="D1405" t="s">
        <v>1604</v>
      </c>
      <c r="E1405" t="s">
        <v>1602</v>
      </c>
      <c r="F1405" t="s">
        <v>89</v>
      </c>
      <c r="G1405" t="s">
        <v>89</v>
      </c>
      <c r="H1405" t="s">
        <v>93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136</v>
      </c>
      <c r="B1406" t="s">
        <v>1605</v>
      </c>
      <c r="C1406" t="s">
        <v>89</v>
      </c>
      <c r="D1406" t="s">
        <v>1606</v>
      </c>
      <c r="E1406" t="s">
        <v>1607</v>
      </c>
      <c r="F1406" t="s">
        <v>89</v>
      </c>
      <c r="G1406" t="s">
        <v>89</v>
      </c>
      <c r="H1406" t="s">
        <v>93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136</v>
      </c>
      <c r="B1407" t="s">
        <v>1608</v>
      </c>
      <c r="C1407" t="s">
        <v>89</v>
      </c>
      <c r="D1407" t="s">
        <v>1609</v>
      </c>
      <c r="E1407" t="s">
        <v>1610</v>
      </c>
      <c r="F1407" t="s">
        <v>89</v>
      </c>
      <c r="G1407" t="s">
        <v>89</v>
      </c>
      <c r="H1407" t="s">
        <v>93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136</v>
      </c>
      <c r="B1408" t="s">
        <v>1611</v>
      </c>
      <c r="C1408" t="s">
        <v>89</v>
      </c>
      <c r="D1408" t="s">
        <v>1612</v>
      </c>
      <c r="E1408" t="s">
        <v>1613</v>
      </c>
      <c r="F1408" t="s">
        <v>89</v>
      </c>
      <c r="G1408" t="s">
        <v>89</v>
      </c>
      <c r="H1408" t="s">
        <v>93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136</v>
      </c>
      <c r="B1409" t="s">
        <v>1614</v>
      </c>
      <c r="C1409" t="s">
        <v>89</v>
      </c>
      <c r="D1409" t="s">
        <v>1615</v>
      </c>
      <c r="E1409" t="s">
        <v>1616</v>
      </c>
      <c r="F1409" t="s">
        <v>89</v>
      </c>
      <c r="G1409" t="s">
        <v>89</v>
      </c>
      <c r="H1409" t="s">
        <v>93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136</v>
      </c>
      <c r="B1410" t="s">
        <v>1617</v>
      </c>
      <c r="C1410" t="s">
        <v>89</v>
      </c>
      <c r="D1410" t="s">
        <v>1618</v>
      </c>
      <c r="E1410" t="s">
        <v>1602</v>
      </c>
      <c r="F1410" t="s">
        <v>89</v>
      </c>
      <c r="G1410" t="s">
        <v>89</v>
      </c>
      <c r="H1410" t="s">
        <v>93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136</v>
      </c>
      <c r="B1411" t="s">
        <v>1619</v>
      </c>
      <c r="C1411" t="s">
        <v>89</v>
      </c>
      <c r="D1411" t="s">
        <v>1620</v>
      </c>
      <c r="E1411" t="s">
        <v>1621</v>
      </c>
      <c r="F1411" t="s">
        <v>89</v>
      </c>
      <c r="G1411" t="s">
        <v>89</v>
      </c>
      <c r="H1411" t="s">
        <v>93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136</v>
      </c>
      <c r="B1412" t="s">
        <v>1622</v>
      </c>
      <c r="C1412" t="s">
        <v>89</v>
      </c>
      <c r="D1412" t="s">
        <v>1623</v>
      </c>
      <c r="E1412" t="s">
        <v>1624</v>
      </c>
      <c r="F1412" t="s">
        <v>89</v>
      </c>
      <c r="G1412" t="s">
        <v>89</v>
      </c>
      <c r="H1412" t="s">
        <v>93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136</v>
      </c>
      <c r="B1413" t="s">
        <v>1625</v>
      </c>
      <c r="C1413" t="s">
        <v>89</v>
      </c>
      <c r="D1413" t="s">
        <v>1626</v>
      </c>
      <c r="E1413" t="s">
        <v>1621</v>
      </c>
      <c r="F1413" t="s">
        <v>89</v>
      </c>
      <c r="G1413" t="s">
        <v>89</v>
      </c>
      <c r="H1413" t="s">
        <v>93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136</v>
      </c>
      <c r="B1414" t="s">
        <v>1627</v>
      </c>
      <c r="C1414" t="s">
        <v>89</v>
      </c>
      <c r="D1414" t="s">
        <v>1628</v>
      </c>
      <c r="E1414" t="s">
        <v>1629</v>
      </c>
      <c r="F1414" t="s">
        <v>89</v>
      </c>
      <c r="G1414" t="s">
        <v>89</v>
      </c>
      <c r="H1414" t="s">
        <v>93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136</v>
      </c>
      <c r="B1415" t="s">
        <v>1630</v>
      </c>
      <c r="C1415" t="s">
        <v>89</v>
      </c>
      <c r="D1415" t="s">
        <v>1631</v>
      </c>
      <c r="E1415" t="s">
        <v>1632</v>
      </c>
      <c r="F1415" t="s">
        <v>89</v>
      </c>
      <c r="G1415" t="s">
        <v>89</v>
      </c>
      <c r="H1415" t="s">
        <v>93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136</v>
      </c>
      <c r="B1416" t="s">
        <v>1633</v>
      </c>
      <c r="C1416" t="s">
        <v>89</v>
      </c>
      <c r="D1416" t="s">
        <v>1634</v>
      </c>
      <c r="E1416" t="s">
        <v>1610</v>
      </c>
      <c r="F1416" t="s">
        <v>89</v>
      </c>
      <c r="G1416" t="s">
        <v>89</v>
      </c>
      <c r="H1416" t="s">
        <v>93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136</v>
      </c>
      <c r="B1417" t="s">
        <v>1635</v>
      </c>
      <c r="C1417" t="s">
        <v>89</v>
      </c>
      <c r="D1417" t="s">
        <v>1636</v>
      </c>
      <c r="E1417" t="s">
        <v>1637</v>
      </c>
      <c r="F1417" t="s">
        <v>89</v>
      </c>
      <c r="G1417" t="s">
        <v>89</v>
      </c>
      <c r="H1417" t="s">
        <v>93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136</v>
      </c>
      <c r="B1418" t="s">
        <v>1638</v>
      </c>
      <c r="C1418" t="s">
        <v>89</v>
      </c>
      <c r="D1418" t="s">
        <v>1639</v>
      </c>
      <c r="E1418" t="s">
        <v>1640</v>
      </c>
      <c r="F1418" t="s">
        <v>89</v>
      </c>
      <c r="G1418" t="s">
        <v>89</v>
      </c>
      <c r="H1418" t="s">
        <v>93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136</v>
      </c>
      <c r="B1419" t="s">
        <v>1641</v>
      </c>
      <c r="C1419" t="s">
        <v>89</v>
      </c>
      <c r="D1419" t="s">
        <v>1642</v>
      </c>
      <c r="E1419" t="s">
        <v>1637</v>
      </c>
      <c r="F1419" t="s">
        <v>89</v>
      </c>
      <c r="G1419" t="s">
        <v>89</v>
      </c>
      <c r="H1419" t="s">
        <v>93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136</v>
      </c>
      <c r="B1420" t="s">
        <v>1643</v>
      </c>
      <c r="C1420" t="s">
        <v>89</v>
      </c>
      <c r="D1420" t="s">
        <v>1644</v>
      </c>
      <c r="E1420" t="s">
        <v>1621</v>
      </c>
      <c r="F1420" t="s">
        <v>89</v>
      </c>
      <c r="G1420" t="s">
        <v>89</v>
      </c>
      <c r="H1420" t="s">
        <v>93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136</v>
      </c>
      <c r="B1421" t="s">
        <v>1645</v>
      </c>
      <c r="C1421" t="s">
        <v>89</v>
      </c>
      <c r="D1421" t="s">
        <v>1646</v>
      </c>
      <c r="E1421" t="s">
        <v>1647</v>
      </c>
      <c r="F1421" t="s">
        <v>89</v>
      </c>
      <c r="G1421" t="s">
        <v>89</v>
      </c>
      <c r="H1421" t="s">
        <v>93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136</v>
      </c>
      <c r="B1422" t="s">
        <v>1648</v>
      </c>
      <c r="C1422" t="s">
        <v>89</v>
      </c>
      <c r="D1422" t="s">
        <v>1649</v>
      </c>
      <c r="E1422" t="s">
        <v>1616</v>
      </c>
      <c r="F1422" t="s">
        <v>89</v>
      </c>
      <c r="G1422" t="s">
        <v>89</v>
      </c>
      <c r="H1422" t="s">
        <v>93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136</v>
      </c>
      <c r="B1423" t="s">
        <v>1650</v>
      </c>
      <c r="C1423" t="s">
        <v>89</v>
      </c>
      <c r="D1423" t="s">
        <v>1651</v>
      </c>
      <c r="E1423" t="s">
        <v>1616</v>
      </c>
      <c r="F1423" t="s">
        <v>89</v>
      </c>
      <c r="G1423" t="s">
        <v>89</v>
      </c>
      <c r="H1423" t="s">
        <v>93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136</v>
      </c>
      <c r="B1424" t="s">
        <v>1652</v>
      </c>
      <c r="C1424" t="s">
        <v>89</v>
      </c>
      <c r="D1424" t="s">
        <v>1653</v>
      </c>
      <c r="E1424" t="s">
        <v>1654</v>
      </c>
      <c r="F1424" t="s">
        <v>89</v>
      </c>
      <c r="G1424" t="s">
        <v>89</v>
      </c>
      <c r="H1424" t="s">
        <v>93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136</v>
      </c>
      <c r="B1425" t="s">
        <v>1655</v>
      </c>
      <c r="C1425" t="s">
        <v>89</v>
      </c>
      <c r="D1425" t="s">
        <v>1656</v>
      </c>
      <c r="E1425" t="s">
        <v>1657</v>
      </c>
      <c r="F1425" t="s">
        <v>89</v>
      </c>
      <c r="G1425" t="s">
        <v>89</v>
      </c>
      <c r="H1425" t="s">
        <v>93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136</v>
      </c>
      <c r="B1426" t="s">
        <v>1658</v>
      </c>
      <c r="C1426" t="s">
        <v>89</v>
      </c>
      <c r="D1426" t="s">
        <v>1659</v>
      </c>
      <c r="E1426" t="s">
        <v>1660</v>
      </c>
      <c r="F1426" t="s">
        <v>89</v>
      </c>
      <c r="G1426" t="s">
        <v>89</v>
      </c>
      <c r="H1426" t="s">
        <v>93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136</v>
      </c>
      <c r="B1427" t="s">
        <v>1661</v>
      </c>
      <c r="C1427" t="s">
        <v>89</v>
      </c>
      <c r="D1427" t="s">
        <v>1662</v>
      </c>
      <c r="E1427" t="s">
        <v>1660</v>
      </c>
      <c r="F1427" t="s">
        <v>89</v>
      </c>
      <c r="G1427" t="s">
        <v>89</v>
      </c>
      <c r="H1427" t="s">
        <v>93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136</v>
      </c>
      <c r="B1428" t="s">
        <v>1663</v>
      </c>
      <c r="C1428" t="s">
        <v>89</v>
      </c>
      <c r="D1428" t="s">
        <v>1656</v>
      </c>
      <c r="E1428" t="s">
        <v>1664</v>
      </c>
      <c r="F1428" t="s">
        <v>89</v>
      </c>
      <c r="G1428" t="s">
        <v>89</v>
      </c>
      <c r="H1428" t="s">
        <v>93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136</v>
      </c>
      <c r="B1429" t="s">
        <v>1665</v>
      </c>
      <c r="C1429" t="s">
        <v>89</v>
      </c>
      <c r="D1429" t="s">
        <v>1656</v>
      </c>
      <c r="E1429" t="s">
        <v>1666</v>
      </c>
      <c r="F1429" t="s">
        <v>89</v>
      </c>
      <c r="G1429" t="s">
        <v>89</v>
      </c>
      <c r="H1429" t="s">
        <v>93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136</v>
      </c>
      <c r="B1430" t="s">
        <v>1667</v>
      </c>
      <c r="C1430" t="s">
        <v>89</v>
      </c>
      <c r="D1430" t="s">
        <v>1668</v>
      </c>
      <c r="E1430" t="s">
        <v>1669</v>
      </c>
      <c r="F1430" t="s">
        <v>89</v>
      </c>
      <c r="G1430" t="s">
        <v>89</v>
      </c>
      <c r="H1430" t="s">
        <v>93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136</v>
      </c>
      <c r="B1431" t="s">
        <v>1670</v>
      </c>
      <c r="C1431" t="s">
        <v>89</v>
      </c>
      <c r="D1431" t="s">
        <v>1671</v>
      </c>
      <c r="E1431" t="s">
        <v>1660</v>
      </c>
      <c r="F1431" t="s">
        <v>89</v>
      </c>
      <c r="G1431" t="s">
        <v>89</v>
      </c>
      <c r="H1431" t="s">
        <v>93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136</v>
      </c>
      <c r="B1432" t="s">
        <v>1672</v>
      </c>
      <c r="C1432" t="s">
        <v>89</v>
      </c>
      <c r="D1432" t="s">
        <v>1673</v>
      </c>
      <c r="E1432" t="s">
        <v>1613</v>
      </c>
      <c r="F1432" t="s">
        <v>89</v>
      </c>
      <c r="G1432" t="s">
        <v>89</v>
      </c>
      <c r="H1432" t="s">
        <v>93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136</v>
      </c>
      <c r="B1433" t="s">
        <v>1674</v>
      </c>
      <c r="C1433" t="s">
        <v>89</v>
      </c>
      <c r="D1433" t="s">
        <v>1675</v>
      </c>
      <c r="E1433" t="s">
        <v>1610</v>
      </c>
      <c r="F1433" t="s">
        <v>89</v>
      </c>
      <c r="G1433" t="s">
        <v>89</v>
      </c>
      <c r="H1433" t="s">
        <v>93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136</v>
      </c>
      <c r="B1434" t="s">
        <v>1676</v>
      </c>
      <c r="C1434" t="s">
        <v>89</v>
      </c>
      <c r="D1434" t="s">
        <v>1677</v>
      </c>
      <c r="E1434" t="s">
        <v>1657</v>
      </c>
      <c r="F1434" t="s">
        <v>89</v>
      </c>
      <c r="G1434" t="s">
        <v>89</v>
      </c>
      <c r="H1434" t="s">
        <v>93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136</v>
      </c>
      <c r="B1435" t="s">
        <v>1678</v>
      </c>
      <c r="C1435" t="s">
        <v>89</v>
      </c>
      <c r="D1435" t="s">
        <v>1675</v>
      </c>
      <c r="E1435" t="s">
        <v>1607</v>
      </c>
      <c r="F1435" t="s">
        <v>89</v>
      </c>
      <c r="G1435" t="s">
        <v>89</v>
      </c>
      <c r="H1435" t="s">
        <v>93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136</v>
      </c>
      <c r="B1436" t="s">
        <v>1679</v>
      </c>
      <c r="C1436" t="s">
        <v>89</v>
      </c>
      <c r="D1436" t="s">
        <v>1675</v>
      </c>
      <c r="E1436" t="s">
        <v>1613</v>
      </c>
      <c r="F1436" t="s">
        <v>89</v>
      </c>
      <c r="G1436" t="s">
        <v>89</v>
      </c>
      <c r="H1436" t="s">
        <v>93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136</v>
      </c>
      <c r="B1437" t="s">
        <v>1680</v>
      </c>
      <c r="C1437" t="s">
        <v>89</v>
      </c>
      <c r="D1437" t="s">
        <v>1681</v>
      </c>
      <c r="E1437" t="s">
        <v>1581</v>
      </c>
      <c r="F1437" t="s">
        <v>89</v>
      </c>
      <c r="G1437" t="s">
        <v>89</v>
      </c>
      <c r="H1437" t="s">
        <v>93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136</v>
      </c>
      <c r="B1438" t="s">
        <v>1682</v>
      </c>
      <c r="C1438" t="s">
        <v>89</v>
      </c>
      <c r="D1438" t="s">
        <v>1683</v>
      </c>
      <c r="E1438" t="s">
        <v>1613</v>
      </c>
      <c r="F1438" t="s">
        <v>89</v>
      </c>
      <c r="G1438" t="s">
        <v>89</v>
      </c>
      <c r="H1438" t="s">
        <v>93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136</v>
      </c>
      <c r="B1439" t="s">
        <v>1684</v>
      </c>
      <c r="C1439" t="s">
        <v>89</v>
      </c>
      <c r="D1439" t="s">
        <v>1685</v>
      </c>
      <c r="E1439" t="s">
        <v>1686</v>
      </c>
      <c r="F1439" t="s">
        <v>89</v>
      </c>
      <c r="G1439" t="s">
        <v>89</v>
      </c>
      <c r="H1439" t="s">
        <v>93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136</v>
      </c>
      <c r="B1440" t="s">
        <v>1687</v>
      </c>
      <c r="C1440" t="s">
        <v>89</v>
      </c>
      <c r="D1440" t="s">
        <v>89</v>
      </c>
      <c r="E1440" t="s">
        <v>1688</v>
      </c>
      <c r="F1440" t="s">
        <v>89</v>
      </c>
      <c r="G1440" t="s">
        <v>89</v>
      </c>
      <c r="H1440" t="s">
        <v>93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136</v>
      </c>
      <c r="B1441" t="s">
        <v>1689</v>
      </c>
      <c r="C1441" t="s">
        <v>89</v>
      </c>
      <c r="D1441" t="s">
        <v>89</v>
      </c>
      <c r="E1441" t="s">
        <v>1688</v>
      </c>
      <c r="F1441" t="s">
        <v>89</v>
      </c>
      <c r="G1441" t="s">
        <v>89</v>
      </c>
      <c r="H1441" t="s">
        <v>93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136</v>
      </c>
      <c r="B1442" t="s">
        <v>1690</v>
      </c>
      <c r="C1442" t="s">
        <v>89</v>
      </c>
      <c r="D1442" t="s">
        <v>89</v>
      </c>
      <c r="E1442" t="s">
        <v>1691</v>
      </c>
      <c r="F1442" t="s">
        <v>89</v>
      </c>
      <c r="G1442" t="s">
        <v>89</v>
      </c>
      <c r="H1442" t="s">
        <v>93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136</v>
      </c>
      <c r="B1443" t="s">
        <v>1692</v>
      </c>
      <c r="C1443" t="s">
        <v>89</v>
      </c>
      <c r="D1443" t="s">
        <v>89</v>
      </c>
      <c r="E1443" t="s">
        <v>1693</v>
      </c>
      <c r="F1443" t="s">
        <v>89</v>
      </c>
      <c r="G1443" t="s">
        <v>89</v>
      </c>
      <c r="H1443" t="s">
        <v>93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136</v>
      </c>
      <c r="B1444" t="s">
        <v>1022</v>
      </c>
      <c r="C1444" t="s">
        <v>89</v>
      </c>
      <c r="D1444" t="s">
        <v>89</v>
      </c>
      <c r="E1444" t="s">
        <v>1688</v>
      </c>
      <c r="F1444" t="s">
        <v>89</v>
      </c>
      <c r="G1444" t="s">
        <v>89</v>
      </c>
      <c r="H1444" t="s">
        <v>93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136</v>
      </c>
      <c r="B1445" t="s">
        <v>1546</v>
      </c>
      <c r="C1445" t="s">
        <v>89</v>
      </c>
      <c r="D1445" t="s">
        <v>89</v>
      </c>
      <c r="E1445" t="s">
        <v>1688</v>
      </c>
      <c r="F1445" t="s">
        <v>89</v>
      </c>
      <c r="G1445" t="s">
        <v>89</v>
      </c>
      <c r="H1445" t="s">
        <v>93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136</v>
      </c>
      <c r="B1446" t="s">
        <v>1566</v>
      </c>
      <c r="C1446" t="s">
        <v>89</v>
      </c>
      <c r="D1446" t="s">
        <v>89</v>
      </c>
      <c r="E1446" t="s">
        <v>1694</v>
      </c>
      <c r="F1446" t="s">
        <v>89</v>
      </c>
      <c r="G1446" t="s">
        <v>89</v>
      </c>
      <c r="H1446" t="s">
        <v>93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136</v>
      </c>
      <c r="B1447" t="s">
        <v>191</v>
      </c>
      <c r="C1447" t="s">
        <v>89</v>
      </c>
      <c r="D1447" t="s">
        <v>89</v>
      </c>
      <c r="E1447" t="s">
        <v>1694</v>
      </c>
      <c r="F1447" t="s">
        <v>89</v>
      </c>
      <c r="G1447" t="s">
        <v>89</v>
      </c>
      <c r="H1447" t="s">
        <v>93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136</v>
      </c>
      <c r="B1448" t="s">
        <v>243</v>
      </c>
      <c r="C1448" t="s">
        <v>89</v>
      </c>
      <c r="D1448" t="s">
        <v>89</v>
      </c>
      <c r="E1448" t="s">
        <v>1694</v>
      </c>
      <c r="F1448" t="s">
        <v>89</v>
      </c>
      <c r="G1448" t="s">
        <v>89</v>
      </c>
      <c r="H1448" t="s">
        <v>93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136</v>
      </c>
      <c r="B1449" t="s">
        <v>244</v>
      </c>
      <c r="C1449" t="s">
        <v>89</v>
      </c>
      <c r="D1449" t="s">
        <v>89</v>
      </c>
      <c r="E1449" t="s">
        <v>1694</v>
      </c>
      <c r="F1449" t="s">
        <v>89</v>
      </c>
      <c r="G1449" t="s">
        <v>89</v>
      </c>
      <c r="H1449" t="s">
        <v>93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136</v>
      </c>
      <c r="B1450" t="s">
        <v>329</v>
      </c>
      <c r="C1450" t="s">
        <v>89</v>
      </c>
      <c r="D1450" t="s">
        <v>89</v>
      </c>
      <c r="E1450" t="s">
        <v>1694</v>
      </c>
      <c r="F1450" t="s">
        <v>89</v>
      </c>
      <c r="G1450" t="s">
        <v>89</v>
      </c>
      <c r="H1450" t="s">
        <v>93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136</v>
      </c>
      <c r="B1451" t="s">
        <v>328</v>
      </c>
      <c r="C1451" t="s">
        <v>89</v>
      </c>
      <c r="D1451" t="s">
        <v>89</v>
      </c>
      <c r="E1451" t="s">
        <v>1694</v>
      </c>
      <c r="F1451" t="s">
        <v>89</v>
      </c>
      <c r="G1451" t="s">
        <v>89</v>
      </c>
      <c r="H1451" t="s">
        <v>93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136</v>
      </c>
      <c r="B1452" t="s">
        <v>193</v>
      </c>
      <c r="C1452" t="s">
        <v>89</v>
      </c>
      <c r="D1452" t="s">
        <v>89</v>
      </c>
      <c r="E1452" t="s">
        <v>1695</v>
      </c>
      <c r="F1452" t="s">
        <v>89</v>
      </c>
      <c r="G1452" t="s">
        <v>89</v>
      </c>
      <c r="H1452" t="s">
        <v>93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136</v>
      </c>
      <c r="B1453" t="s">
        <v>1696</v>
      </c>
      <c r="C1453" t="s">
        <v>89</v>
      </c>
      <c r="D1453" t="s">
        <v>89</v>
      </c>
      <c r="E1453" t="s">
        <v>1697</v>
      </c>
      <c r="F1453" t="s">
        <v>89</v>
      </c>
      <c r="G1453" t="s">
        <v>89</v>
      </c>
      <c r="H1453" t="s">
        <v>93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136</v>
      </c>
      <c r="B1454" t="s">
        <v>217</v>
      </c>
      <c r="C1454" t="s">
        <v>89</v>
      </c>
      <c r="D1454" t="s">
        <v>89</v>
      </c>
      <c r="E1454" t="s">
        <v>192</v>
      </c>
      <c r="F1454" t="s">
        <v>89</v>
      </c>
      <c r="G1454" t="s">
        <v>89</v>
      </c>
      <c r="H1454" t="s">
        <v>93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136</v>
      </c>
      <c r="B1455" t="s">
        <v>219</v>
      </c>
      <c r="C1455" t="s">
        <v>89</v>
      </c>
      <c r="D1455" t="s">
        <v>89</v>
      </c>
      <c r="E1455" t="s">
        <v>1698</v>
      </c>
      <c r="F1455" t="s">
        <v>89</v>
      </c>
      <c r="G1455" t="s">
        <v>89</v>
      </c>
      <c r="H1455" t="s">
        <v>93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136</v>
      </c>
      <c r="B1456" t="s">
        <v>197</v>
      </c>
      <c r="C1456" t="s">
        <v>89</v>
      </c>
      <c r="D1456" t="s">
        <v>89</v>
      </c>
      <c r="E1456" t="s">
        <v>1699</v>
      </c>
      <c r="F1456" t="s">
        <v>89</v>
      </c>
      <c r="G1456" t="s">
        <v>89</v>
      </c>
      <c r="H1456" t="s">
        <v>93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136</v>
      </c>
      <c r="B1457" t="s">
        <v>1700</v>
      </c>
      <c r="C1457" t="s">
        <v>89</v>
      </c>
      <c r="D1457" t="s">
        <v>89</v>
      </c>
      <c r="E1457" t="s">
        <v>1691</v>
      </c>
      <c r="F1457" t="s">
        <v>89</v>
      </c>
      <c r="G1457" t="s">
        <v>89</v>
      </c>
      <c r="H1457" t="s">
        <v>93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136</v>
      </c>
      <c r="B1458" t="s">
        <v>199</v>
      </c>
      <c r="C1458" t="s">
        <v>89</v>
      </c>
      <c r="D1458" t="s">
        <v>89</v>
      </c>
      <c r="E1458" t="s">
        <v>200</v>
      </c>
      <c r="F1458" t="s">
        <v>89</v>
      </c>
      <c r="G1458" t="s">
        <v>89</v>
      </c>
      <c r="H1458" t="s">
        <v>93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137</v>
      </c>
      <c r="B1459" t="s">
        <v>1701</v>
      </c>
      <c r="C1459" t="s">
        <v>89</v>
      </c>
      <c r="D1459" t="s">
        <v>1702</v>
      </c>
      <c r="E1459" t="s">
        <v>375</v>
      </c>
      <c r="F1459" t="s">
        <v>89</v>
      </c>
      <c r="G1459" t="s">
        <v>89</v>
      </c>
      <c r="H1459" t="s">
        <v>93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137</v>
      </c>
      <c r="B1460" t="s">
        <v>906</v>
      </c>
      <c r="C1460" t="s">
        <v>89</v>
      </c>
      <c r="D1460" t="s">
        <v>1703</v>
      </c>
      <c r="E1460" t="s">
        <v>1704</v>
      </c>
      <c r="F1460" t="s">
        <v>89</v>
      </c>
      <c r="G1460" t="s">
        <v>89</v>
      </c>
      <c r="H1460" t="s">
        <v>93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137</v>
      </c>
      <c r="B1461" t="s">
        <v>1705</v>
      </c>
      <c r="C1461" t="s">
        <v>89</v>
      </c>
      <c r="D1461" t="s">
        <v>1706</v>
      </c>
      <c r="E1461" t="s">
        <v>375</v>
      </c>
      <c r="F1461" t="s">
        <v>89</v>
      </c>
      <c r="G1461" t="s">
        <v>89</v>
      </c>
      <c r="H1461" t="s">
        <v>93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137</v>
      </c>
      <c r="B1462" t="s">
        <v>921</v>
      </c>
      <c r="C1462" t="s">
        <v>89</v>
      </c>
      <c r="D1462" t="s">
        <v>1707</v>
      </c>
      <c r="E1462" t="s">
        <v>208</v>
      </c>
      <c r="F1462" t="s">
        <v>89</v>
      </c>
      <c r="G1462" t="s">
        <v>89</v>
      </c>
      <c r="H1462" t="s">
        <v>93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137</v>
      </c>
      <c r="B1463" t="s">
        <v>608</v>
      </c>
      <c r="C1463" t="s">
        <v>89</v>
      </c>
      <c r="D1463" t="s">
        <v>1708</v>
      </c>
      <c r="E1463" t="s">
        <v>334</v>
      </c>
      <c r="F1463" t="s">
        <v>89</v>
      </c>
      <c r="G1463" t="s">
        <v>89</v>
      </c>
      <c r="H1463" t="s">
        <v>93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137</v>
      </c>
      <c r="B1464" t="s">
        <v>605</v>
      </c>
      <c r="C1464" t="s">
        <v>89</v>
      </c>
      <c r="D1464" t="s">
        <v>1709</v>
      </c>
      <c r="E1464" t="s">
        <v>224</v>
      </c>
      <c r="F1464" t="s">
        <v>89</v>
      </c>
      <c r="G1464" t="s">
        <v>89</v>
      </c>
      <c r="H1464" t="s">
        <v>93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137</v>
      </c>
      <c r="B1465" t="s">
        <v>608</v>
      </c>
      <c r="C1465" t="s">
        <v>89</v>
      </c>
      <c r="D1465" t="s">
        <v>1708</v>
      </c>
      <c r="E1465" t="s">
        <v>334</v>
      </c>
      <c r="F1465" t="s">
        <v>89</v>
      </c>
      <c r="G1465" t="s">
        <v>89</v>
      </c>
      <c r="H1465" t="s">
        <v>93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137</v>
      </c>
      <c r="B1466" t="s">
        <v>1710</v>
      </c>
      <c r="C1466" t="s">
        <v>89</v>
      </c>
      <c r="D1466" t="s">
        <v>1711</v>
      </c>
      <c r="E1466" t="s">
        <v>332</v>
      </c>
      <c r="F1466" t="s">
        <v>89</v>
      </c>
      <c r="G1466" t="s">
        <v>89</v>
      </c>
      <c r="H1466" t="s">
        <v>93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137</v>
      </c>
      <c r="B1467" t="s">
        <v>1712</v>
      </c>
      <c r="C1467" t="s">
        <v>89</v>
      </c>
      <c r="D1467" t="s">
        <v>89</v>
      </c>
      <c r="E1467" t="s">
        <v>181</v>
      </c>
      <c r="F1467" t="s">
        <v>89</v>
      </c>
      <c r="G1467" t="s">
        <v>89</v>
      </c>
      <c r="H1467" t="s">
        <v>93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137</v>
      </c>
      <c r="B1468" t="s">
        <v>1713</v>
      </c>
      <c r="C1468" t="s">
        <v>89</v>
      </c>
      <c r="D1468" t="s">
        <v>89</v>
      </c>
      <c r="E1468" t="s">
        <v>607</v>
      </c>
      <c r="F1468" t="s">
        <v>89</v>
      </c>
      <c r="G1468" t="s">
        <v>89</v>
      </c>
      <c r="H1468" t="s">
        <v>93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137</v>
      </c>
      <c r="B1469" t="s">
        <v>1714</v>
      </c>
      <c r="C1469" t="s">
        <v>89</v>
      </c>
      <c r="D1469" t="s">
        <v>89</v>
      </c>
      <c r="E1469" t="s">
        <v>1715</v>
      </c>
      <c r="F1469" t="s">
        <v>89</v>
      </c>
      <c r="G1469" t="s">
        <v>89</v>
      </c>
      <c r="H1469" t="s">
        <v>93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137</v>
      </c>
      <c r="B1470" t="s">
        <v>300</v>
      </c>
      <c r="C1470" t="s">
        <v>89</v>
      </c>
      <c r="D1470" t="s">
        <v>89</v>
      </c>
      <c r="E1470" t="s">
        <v>308</v>
      </c>
      <c r="F1470" t="s">
        <v>89</v>
      </c>
      <c r="G1470" t="s">
        <v>89</v>
      </c>
      <c r="H1470" t="s">
        <v>93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137</v>
      </c>
      <c r="B1471" t="s">
        <v>1716</v>
      </c>
      <c r="C1471" t="s">
        <v>89</v>
      </c>
      <c r="D1471" t="s">
        <v>89</v>
      </c>
      <c r="E1471" t="s">
        <v>312</v>
      </c>
      <c r="F1471" t="s">
        <v>89</v>
      </c>
      <c r="G1471" t="s">
        <v>89</v>
      </c>
      <c r="H1471" t="s">
        <v>93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137</v>
      </c>
      <c r="B1472" t="s">
        <v>487</v>
      </c>
      <c r="C1472" t="s">
        <v>89</v>
      </c>
      <c r="D1472" t="s">
        <v>1717</v>
      </c>
      <c r="E1472" t="s">
        <v>316</v>
      </c>
      <c r="F1472" t="s">
        <v>89</v>
      </c>
      <c r="G1472" t="s">
        <v>89</v>
      </c>
      <c r="H1472" t="s">
        <v>93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137</v>
      </c>
      <c r="B1473" t="s">
        <v>294</v>
      </c>
      <c r="C1473" t="s">
        <v>89</v>
      </c>
      <c r="D1473" t="s">
        <v>89</v>
      </c>
      <c r="E1473" t="s">
        <v>227</v>
      </c>
      <c r="F1473" t="s">
        <v>89</v>
      </c>
      <c r="G1473" t="s">
        <v>89</v>
      </c>
      <c r="H1473" t="s">
        <v>93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137</v>
      </c>
      <c r="B1474" t="s">
        <v>906</v>
      </c>
      <c r="C1474" t="s">
        <v>89</v>
      </c>
      <c r="D1474" t="s">
        <v>1703</v>
      </c>
      <c r="E1474" t="s">
        <v>1704</v>
      </c>
      <c r="F1474" t="s">
        <v>89</v>
      </c>
      <c r="G1474" t="s">
        <v>89</v>
      </c>
      <c r="H1474" t="s">
        <v>93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137</v>
      </c>
      <c r="B1475" t="s">
        <v>905</v>
      </c>
      <c r="C1475" t="s">
        <v>89</v>
      </c>
      <c r="D1475" t="s">
        <v>89</v>
      </c>
      <c r="E1475" t="s">
        <v>1212</v>
      </c>
      <c r="F1475" t="s">
        <v>89</v>
      </c>
      <c r="G1475" t="s">
        <v>89</v>
      </c>
      <c r="H1475" t="s">
        <v>93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137</v>
      </c>
      <c r="B1476" t="s">
        <v>908</v>
      </c>
      <c r="C1476" t="s">
        <v>89</v>
      </c>
      <c r="D1476" t="s">
        <v>89</v>
      </c>
      <c r="E1476" t="s">
        <v>227</v>
      </c>
      <c r="F1476" t="s">
        <v>89</v>
      </c>
      <c r="G1476" t="s">
        <v>89</v>
      </c>
      <c r="H1476" t="s">
        <v>93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137</v>
      </c>
      <c r="B1477" t="s">
        <v>1718</v>
      </c>
      <c r="C1477" t="s">
        <v>89</v>
      </c>
      <c r="D1477" t="s">
        <v>1719</v>
      </c>
      <c r="E1477" t="s">
        <v>208</v>
      </c>
      <c r="F1477" t="s">
        <v>89</v>
      </c>
      <c r="G1477" t="s">
        <v>89</v>
      </c>
      <c r="H1477" t="s">
        <v>93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137</v>
      </c>
      <c r="B1478" t="s">
        <v>509</v>
      </c>
      <c r="C1478" t="s">
        <v>89</v>
      </c>
      <c r="D1478" t="s">
        <v>1720</v>
      </c>
      <c r="E1478" t="s">
        <v>1382</v>
      </c>
      <c r="F1478" t="s">
        <v>89</v>
      </c>
      <c r="G1478" t="s">
        <v>89</v>
      </c>
      <c r="H1478" t="s">
        <v>93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137</v>
      </c>
      <c r="B1479" t="s">
        <v>507</v>
      </c>
      <c r="C1479" t="s">
        <v>89</v>
      </c>
      <c r="D1479" t="s">
        <v>1721</v>
      </c>
      <c r="E1479" t="s">
        <v>1382</v>
      </c>
      <c r="F1479" t="s">
        <v>89</v>
      </c>
      <c r="G1479" t="s">
        <v>89</v>
      </c>
      <c r="H1479" t="s">
        <v>93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137</v>
      </c>
      <c r="B1480" t="s">
        <v>352</v>
      </c>
      <c r="C1480" t="s">
        <v>89</v>
      </c>
      <c r="D1480" t="s">
        <v>1706</v>
      </c>
      <c r="E1480" t="s">
        <v>371</v>
      </c>
      <c r="F1480" t="s">
        <v>89</v>
      </c>
      <c r="G1480" t="s">
        <v>89</v>
      </c>
      <c r="H1480" t="s">
        <v>93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137</v>
      </c>
      <c r="B1481" t="s">
        <v>865</v>
      </c>
      <c r="C1481" t="s">
        <v>89</v>
      </c>
      <c r="D1481" t="s">
        <v>89</v>
      </c>
      <c r="E1481" t="s">
        <v>1382</v>
      </c>
      <c r="F1481" t="s">
        <v>89</v>
      </c>
      <c r="G1481" t="s">
        <v>89</v>
      </c>
      <c r="H1481" t="s">
        <v>93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137</v>
      </c>
      <c r="B1482" t="s">
        <v>1722</v>
      </c>
      <c r="C1482" t="s">
        <v>89</v>
      </c>
      <c r="D1482" t="s">
        <v>1723</v>
      </c>
      <c r="E1482" t="s">
        <v>1724</v>
      </c>
      <c r="F1482" t="s">
        <v>89</v>
      </c>
      <c r="G1482" t="s">
        <v>89</v>
      </c>
      <c r="H1482" t="s">
        <v>93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137</v>
      </c>
      <c r="B1483" t="s">
        <v>1705</v>
      </c>
      <c r="C1483" t="s">
        <v>89</v>
      </c>
      <c r="D1483" t="s">
        <v>1706</v>
      </c>
      <c r="E1483" t="s">
        <v>375</v>
      </c>
      <c r="F1483" t="s">
        <v>89</v>
      </c>
      <c r="G1483" t="s">
        <v>89</v>
      </c>
      <c r="H1483" t="s">
        <v>93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137</v>
      </c>
      <c r="B1484" t="s">
        <v>1725</v>
      </c>
      <c r="C1484" t="s">
        <v>89</v>
      </c>
      <c r="D1484" t="s">
        <v>1706</v>
      </c>
      <c r="E1484" t="s">
        <v>334</v>
      </c>
      <c r="F1484" t="s">
        <v>89</v>
      </c>
      <c r="G1484" t="s">
        <v>89</v>
      </c>
      <c r="H1484" t="s">
        <v>93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137</v>
      </c>
      <c r="B1485" t="s">
        <v>1726</v>
      </c>
      <c r="C1485" t="s">
        <v>89</v>
      </c>
      <c r="D1485" t="s">
        <v>1706</v>
      </c>
      <c r="E1485" t="s">
        <v>334</v>
      </c>
      <c r="F1485" t="s">
        <v>89</v>
      </c>
      <c r="G1485" t="s">
        <v>89</v>
      </c>
      <c r="H1485" t="s">
        <v>93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137</v>
      </c>
      <c r="B1486" t="s">
        <v>1727</v>
      </c>
      <c r="C1486" t="s">
        <v>89</v>
      </c>
      <c r="D1486" t="s">
        <v>1706</v>
      </c>
      <c r="E1486" t="s">
        <v>224</v>
      </c>
      <c r="F1486" t="s">
        <v>89</v>
      </c>
      <c r="G1486" t="s">
        <v>89</v>
      </c>
      <c r="H1486" t="s">
        <v>93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137</v>
      </c>
      <c r="B1487" t="s">
        <v>497</v>
      </c>
      <c r="C1487" t="s">
        <v>89</v>
      </c>
      <c r="D1487" t="s">
        <v>1728</v>
      </c>
      <c r="E1487" t="s">
        <v>224</v>
      </c>
      <c r="F1487" t="s">
        <v>89</v>
      </c>
      <c r="G1487" t="s">
        <v>89</v>
      </c>
      <c r="H1487" t="s">
        <v>93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137</v>
      </c>
      <c r="B1488" t="s">
        <v>561</v>
      </c>
      <c r="C1488" t="s">
        <v>89</v>
      </c>
      <c r="D1488" t="s">
        <v>89</v>
      </c>
      <c r="E1488" t="s">
        <v>187</v>
      </c>
      <c r="F1488" t="s">
        <v>89</v>
      </c>
      <c r="G1488" t="s">
        <v>89</v>
      </c>
      <c r="H1488" t="s">
        <v>93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137</v>
      </c>
      <c r="B1489" t="s">
        <v>1729</v>
      </c>
      <c r="C1489" t="s">
        <v>89</v>
      </c>
      <c r="D1489" t="s">
        <v>89</v>
      </c>
      <c r="E1489" t="s">
        <v>187</v>
      </c>
      <c r="F1489" t="s">
        <v>89</v>
      </c>
      <c r="G1489" t="s">
        <v>89</v>
      </c>
      <c r="H1489" t="s">
        <v>93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137</v>
      </c>
      <c r="B1490" t="s">
        <v>499</v>
      </c>
      <c r="C1490" t="s">
        <v>89</v>
      </c>
      <c r="D1490" t="s">
        <v>1706</v>
      </c>
      <c r="E1490" t="s">
        <v>371</v>
      </c>
      <c r="F1490" t="s">
        <v>89</v>
      </c>
      <c r="G1490" t="s">
        <v>89</v>
      </c>
      <c r="H1490" t="s">
        <v>93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137</v>
      </c>
      <c r="B1491" t="s">
        <v>1730</v>
      </c>
      <c r="C1491" t="s">
        <v>89</v>
      </c>
      <c r="D1491" t="s">
        <v>1731</v>
      </c>
      <c r="E1491" t="s">
        <v>224</v>
      </c>
      <c r="F1491" t="s">
        <v>89</v>
      </c>
      <c r="G1491" t="s">
        <v>89</v>
      </c>
      <c r="H1491" t="s">
        <v>93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137</v>
      </c>
      <c r="B1492" t="s">
        <v>921</v>
      </c>
      <c r="C1492" t="s">
        <v>89</v>
      </c>
      <c r="D1492" t="s">
        <v>1707</v>
      </c>
      <c r="E1492" t="s">
        <v>208</v>
      </c>
      <c r="F1492" t="s">
        <v>89</v>
      </c>
      <c r="G1492" t="s">
        <v>89</v>
      </c>
      <c r="H1492" t="s">
        <v>93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137</v>
      </c>
      <c r="B1493" t="s">
        <v>917</v>
      </c>
      <c r="C1493" t="s">
        <v>89</v>
      </c>
      <c r="D1493" t="s">
        <v>1732</v>
      </c>
      <c r="E1493" t="s">
        <v>224</v>
      </c>
      <c r="F1493" t="s">
        <v>89</v>
      </c>
      <c r="G1493" t="s">
        <v>89</v>
      </c>
      <c r="H1493" t="s">
        <v>93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137</v>
      </c>
      <c r="B1494" t="s">
        <v>1733</v>
      </c>
      <c r="C1494" t="s">
        <v>89</v>
      </c>
      <c r="D1494" t="s">
        <v>1734</v>
      </c>
      <c r="E1494" t="s">
        <v>332</v>
      </c>
      <c r="F1494" t="s">
        <v>89</v>
      </c>
      <c r="G1494" t="s">
        <v>89</v>
      </c>
      <c r="H1494" t="s">
        <v>93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137</v>
      </c>
      <c r="B1495" t="s">
        <v>1735</v>
      </c>
      <c r="C1495" t="s">
        <v>89</v>
      </c>
      <c r="D1495" t="s">
        <v>1736</v>
      </c>
      <c r="E1495" t="s">
        <v>334</v>
      </c>
      <c r="F1495" t="s">
        <v>89</v>
      </c>
      <c r="G1495" t="s">
        <v>89</v>
      </c>
      <c r="H1495" t="s">
        <v>93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137</v>
      </c>
      <c r="B1496" t="s">
        <v>1737</v>
      </c>
      <c r="C1496" t="s">
        <v>89</v>
      </c>
      <c r="D1496" t="s">
        <v>1738</v>
      </c>
      <c r="E1496" t="s">
        <v>332</v>
      </c>
      <c r="F1496" t="s">
        <v>89</v>
      </c>
      <c r="G1496" t="s">
        <v>89</v>
      </c>
      <c r="H1496" t="s">
        <v>93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137</v>
      </c>
      <c r="B1497" t="s">
        <v>1701</v>
      </c>
      <c r="C1497" t="s">
        <v>89</v>
      </c>
      <c r="D1497" t="s">
        <v>1702</v>
      </c>
      <c r="E1497" t="s">
        <v>375</v>
      </c>
      <c r="F1497" t="s">
        <v>89</v>
      </c>
      <c r="G1497" t="s">
        <v>89</v>
      </c>
      <c r="H1497" t="s">
        <v>93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137</v>
      </c>
      <c r="B1498" t="s">
        <v>1739</v>
      </c>
      <c r="C1498" t="s">
        <v>89</v>
      </c>
      <c r="D1498" t="s">
        <v>1740</v>
      </c>
      <c r="E1498" t="s">
        <v>187</v>
      </c>
      <c r="F1498" t="s">
        <v>89</v>
      </c>
      <c r="G1498" t="s">
        <v>89</v>
      </c>
      <c r="H1498" t="s">
        <v>93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137</v>
      </c>
      <c r="B1499" t="s">
        <v>1741</v>
      </c>
      <c r="C1499" t="s">
        <v>89</v>
      </c>
      <c r="D1499" t="s">
        <v>89</v>
      </c>
      <c r="E1499" t="s">
        <v>1742</v>
      </c>
      <c r="F1499" t="s">
        <v>89</v>
      </c>
      <c r="G1499" t="s">
        <v>89</v>
      </c>
      <c r="H1499" t="s">
        <v>93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137</v>
      </c>
      <c r="B1500" t="s">
        <v>1743</v>
      </c>
      <c r="C1500" t="s">
        <v>89</v>
      </c>
      <c r="D1500" t="s">
        <v>89</v>
      </c>
      <c r="E1500" t="s">
        <v>1744</v>
      </c>
      <c r="F1500" t="s">
        <v>89</v>
      </c>
      <c r="G1500" t="s">
        <v>89</v>
      </c>
      <c r="H1500" t="s">
        <v>93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137</v>
      </c>
      <c r="B1501" t="s">
        <v>879</v>
      </c>
      <c r="C1501" t="s">
        <v>89</v>
      </c>
      <c r="D1501" t="s">
        <v>89</v>
      </c>
      <c r="E1501" t="s">
        <v>293</v>
      </c>
      <c r="F1501" t="s">
        <v>89</v>
      </c>
      <c r="G1501" t="s">
        <v>89</v>
      </c>
      <c r="H1501" t="s">
        <v>93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137</v>
      </c>
      <c r="B1502" t="s">
        <v>1745</v>
      </c>
      <c r="C1502" t="s">
        <v>89</v>
      </c>
      <c r="D1502" t="s">
        <v>89</v>
      </c>
      <c r="E1502" t="s">
        <v>334</v>
      </c>
      <c r="F1502" t="s">
        <v>89</v>
      </c>
      <c r="G1502" t="s">
        <v>89</v>
      </c>
      <c r="H1502" t="s">
        <v>93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137</v>
      </c>
      <c r="B1503" t="s">
        <v>1746</v>
      </c>
      <c r="C1503" t="s">
        <v>89</v>
      </c>
      <c r="D1503" t="s">
        <v>89</v>
      </c>
      <c r="E1503" t="s">
        <v>1747</v>
      </c>
      <c r="F1503" t="s">
        <v>89</v>
      </c>
      <c r="G1503" t="s">
        <v>89</v>
      </c>
      <c r="H1503" t="s">
        <v>93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137</v>
      </c>
      <c r="B1504" t="s">
        <v>926</v>
      </c>
      <c r="C1504" t="s">
        <v>89</v>
      </c>
      <c r="D1504" t="s">
        <v>89</v>
      </c>
      <c r="E1504" t="s">
        <v>293</v>
      </c>
      <c r="F1504" t="s">
        <v>89</v>
      </c>
      <c r="G1504" t="s">
        <v>89</v>
      </c>
      <c r="H1504" t="s">
        <v>93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137</v>
      </c>
      <c r="B1505" t="s">
        <v>1748</v>
      </c>
      <c r="C1505" t="s">
        <v>89</v>
      </c>
      <c r="D1505" t="s">
        <v>89</v>
      </c>
      <c r="E1505" t="s">
        <v>334</v>
      </c>
      <c r="F1505" t="s">
        <v>89</v>
      </c>
      <c r="G1505" t="s">
        <v>89</v>
      </c>
      <c r="H1505" t="s">
        <v>93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137</v>
      </c>
      <c r="B1506" t="s">
        <v>1749</v>
      </c>
      <c r="C1506" t="s">
        <v>89</v>
      </c>
      <c r="D1506" t="s">
        <v>89</v>
      </c>
      <c r="E1506" t="s">
        <v>1750</v>
      </c>
      <c r="F1506" t="s">
        <v>89</v>
      </c>
      <c r="G1506" t="s">
        <v>89</v>
      </c>
      <c r="H1506" t="s">
        <v>93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137</v>
      </c>
      <c r="B1507" t="s">
        <v>931</v>
      </c>
      <c r="C1507" t="s">
        <v>89</v>
      </c>
      <c r="D1507" t="s">
        <v>1751</v>
      </c>
      <c r="E1507" t="s">
        <v>1704</v>
      </c>
      <c r="F1507" t="s">
        <v>89</v>
      </c>
      <c r="G1507" t="s">
        <v>89</v>
      </c>
      <c r="H1507" t="s">
        <v>93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137</v>
      </c>
      <c r="B1508" t="s">
        <v>935</v>
      </c>
      <c r="C1508" t="s">
        <v>89</v>
      </c>
      <c r="D1508" t="s">
        <v>1751</v>
      </c>
      <c r="E1508" t="s">
        <v>1742</v>
      </c>
      <c r="F1508" t="s">
        <v>89</v>
      </c>
      <c r="G1508" t="s">
        <v>89</v>
      </c>
      <c r="H1508" t="s">
        <v>93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137</v>
      </c>
      <c r="B1509" t="s">
        <v>933</v>
      </c>
      <c r="C1509" t="s">
        <v>89</v>
      </c>
      <c r="D1509" t="s">
        <v>1751</v>
      </c>
      <c r="E1509" t="s">
        <v>1752</v>
      </c>
      <c r="F1509" t="s">
        <v>89</v>
      </c>
      <c r="G1509" t="s">
        <v>89</v>
      </c>
      <c r="H1509" t="s">
        <v>93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137</v>
      </c>
      <c r="B1510" t="s">
        <v>1753</v>
      </c>
      <c r="C1510" t="s">
        <v>89</v>
      </c>
      <c r="D1510" t="s">
        <v>1754</v>
      </c>
      <c r="E1510" t="s">
        <v>334</v>
      </c>
      <c r="F1510" t="s">
        <v>89</v>
      </c>
      <c r="G1510" t="s">
        <v>89</v>
      </c>
      <c r="H1510" t="s">
        <v>93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137</v>
      </c>
      <c r="B1511" t="s">
        <v>610</v>
      </c>
      <c r="C1511" t="s">
        <v>89</v>
      </c>
      <c r="D1511" t="s">
        <v>1755</v>
      </c>
      <c r="E1511" t="s">
        <v>332</v>
      </c>
      <c r="F1511" t="s">
        <v>89</v>
      </c>
      <c r="G1511" t="s">
        <v>89</v>
      </c>
      <c r="H1511" t="s">
        <v>93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137</v>
      </c>
      <c r="B1512" t="s">
        <v>1756</v>
      </c>
      <c r="C1512" t="s">
        <v>89</v>
      </c>
      <c r="D1512" t="s">
        <v>1757</v>
      </c>
      <c r="E1512" t="s">
        <v>184</v>
      </c>
      <c r="F1512" t="s">
        <v>89</v>
      </c>
      <c r="G1512" t="s">
        <v>89</v>
      </c>
      <c r="H1512" t="s">
        <v>93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137</v>
      </c>
      <c r="B1513" t="s">
        <v>1758</v>
      </c>
      <c r="C1513" t="s">
        <v>89</v>
      </c>
      <c r="D1513" t="s">
        <v>1759</v>
      </c>
      <c r="E1513" t="s">
        <v>316</v>
      </c>
      <c r="F1513" t="s">
        <v>89</v>
      </c>
      <c r="G1513" t="s">
        <v>89</v>
      </c>
      <c r="H1513" t="s">
        <v>93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137</v>
      </c>
      <c r="B1514" t="s">
        <v>1760</v>
      </c>
      <c r="C1514" t="s">
        <v>89</v>
      </c>
      <c r="D1514" t="s">
        <v>89</v>
      </c>
      <c r="E1514" t="s">
        <v>184</v>
      </c>
      <c r="F1514" t="s">
        <v>89</v>
      </c>
      <c r="G1514" t="s">
        <v>89</v>
      </c>
      <c r="H1514" t="s">
        <v>93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137</v>
      </c>
      <c r="B1515" t="s">
        <v>612</v>
      </c>
      <c r="C1515" t="s">
        <v>89</v>
      </c>
      <c r="D1515" t="s">
        <v>1761</v>
      </c>
      <c r="E1515" t="s">
        <v>607</v>
      </c>
      <c r="F1515" t="s">
        <v>89</v>
      </c>
      <c r="G1515" t="s">
        <v>89</v>
      </c>
      <c r="H1515" t="s">
        <v>93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137</v>
      </c>
      <c r="B1516" t="s">
        <v>1762</v>
      </c>
      <c r="C1516" t="s">
        <v>89</v>
      </c>
      <c r="D1516" t="s">
        <v>89</v>
      </c>
      <c r="E1516" t="s">
        <v>316</v>
      </c>
      <c r="F1516" t="s">
        <v>89</v>
      </c>
      <c r="G1516" t="s">
        <v>89</v>
      </c>
      <c r="H1516" t="s">
        <v>93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137</v>
      </c>
      <c r="B1517" t="s">
        <v>1763</v>
      </c>
      <c r="C1517" t="s">
        <v>89</v>
      </c>
      <c r="D1517" t="s">
        <v>89</v>
      </c>
      <c r="E1517" t="s">
        <v>322</v>
      </c>
      <c r="F1517" t="s">
        <v>89</v>
      </c>
      <c r="G1517" t="s">
        <v>89</v>
      </c>
      <c r="H1517" t="s">
        <v>93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137</v>
      </c>
      <c r="B1518" t="s">
        <v>1764</v>
      </c>
      <c r="C1518" t="s">
        <v>89</v>
      </c>
      <c r="D1518" t="s">
        <v>89</v>
      </c>
      <c r="E1518" t="s">
        <v>332</v>
      </c>
      <c r="F1518" t="s">
        <v>89</v>
      </c>
      <c r="G1518" t="s">
        <v>89</v>
      </c>
      <c r="H1518" t="s">
        <v>93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137</v>
      </c>
      <c r="B1519" t="s">
        <v>1765</v>
      </c>
      <c r="C1519" t="s">
        <v>89</v>
      </c>
      <c r="D1519" t="s">
        <v>1766</v>
      </c>
      <c r="E1519" t="s">
        <v>187</v>
      </c>
      <c r="F1519" t="s">
        <v>89</v>
      </c>
      <c r="G1519" t="s">
        <v>89</v>
      </c>
      <c r="H1519" t="s">
        <v>93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137</v>
      </c>
      <c r="B1520" t="s">
        <v>637</v>
      </c>
      <c r="C1520" t="s">
        <v>89</v>
      </c>
      <c r="D1520" t="s">
        <v>1767</v>
      </c>
      <c r="E1520" t="s">
        <v>1747</v>
      </c>
      <c r="F1520" t="s">
        <v>89</v>
      </c>
      <c r="G1520" t="s">
        <v>89</v>
      </c>
      <c r="H1520" t="s">
        <v>93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137</v>
      </c>
      <c r="B1521" t="s">
        <v>191</v>
      </c>
      <c r="C1521" t="s">
        <v>89</v>
      </c>
      <c r="D1521" t="s">
        <v>89</v>
      </c>
      <c r="E1521" t="s">
        <v>178</v>
      </c>
      <c r="F1521" t="s">
        <v>89</v>
      </c>
      <c r="G1521" t="s">
        <v>89</v>
      </c>
      <c r="H1521" t="s">
        <v>93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137</v>
      </c>
      <c r="B1522" t="s">
        <v>243</v>
      </c>
      <c r="C1522" t="s">
        <v>89</v>
      </c>
      <c r="D1522" t="s">
        <v>89</v>
      </c>
      <c r="E1522" t="s">
        <v>178</v>
      </c>
      <c r="F1522" t="s">
        <v>89</v>
      </c>
      <c r="G1522" t="s">
        <v>89</v>
      </c>
      <c r="H1522" t="s">
        <v>93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137</v>
      </c>
      <c r="B1523" t="s">
        <v>244</v>
      </c>
      <c r="C1523" t="s">
        <v>89</v>
      </c>
      <c r="D1523" t="s">
        <v>89</v>
      </c>
      <c r="E1523" t="s">
        <v>178</v>
      </c>
      <c r="F1523" t="s">
        <v>89</v>
      </c>
      <c r="G1523" t="s">
        <v>89</v>
      </c>
      <c r="H1523" t="s">
        <v>93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137</v>
      </c>
      <c r="B1524" t="s">
        <v>328</v>
      </c>
      <c r="C1524" t="s">
        <v>89</v>
      </c>
      <c r="D1524" t="s">
        <v>89</v>
      </c>
      <c r="E1524" t="s">
        <v>178</v>
      </c>
      <c r="F1524" t="s">
        <v>89</v>
      </c>
      <c r="G1524" t="s">
        <v>89</v>
      </c>
      <c r="H1524" t="s">
        <v>93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137</v>
      </c>
      <c r="B1525" t="s">
        <v>329</v>
      </c>
      <c r="C1525" t="s">
        <v>89</v>
      </c>
      <c r="D1525" t="s">
        <v>89</v>
      </c>
      <c r="E1525" t="s">
        <v>178</v>
      </c>
      <c r="F1525" t="s">
        <v>89</v>
      </c>
      <c r="G1525" t="s">
        <v>89</v>
      </c>
      <c r="H1525" t="s">
        <v>93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137</v>
      </c>
      <c r="B1526" t="s">
        <v>245</v>
      </c>
      <c r="C1526" t="s">
        <v>89</v>
      </c>
      <c r="D1526" t="s">
        <v>89</v>
      </c>
      <c r="E1526" t="s">
        <v>216</v>
      </c>
      <c r="F1526" t="s">
        <v>89</v>
      </c>
      <c r="G1526" t="s">
        <v>89</v>
      </c>
      <c r="H1526" t="s">
        <v>93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137</v>
      </c>
      <c r="B1527" t="s">
        <v>194</v>
      </c>
      <c r="C1527" t="s">
        <v>89</v>
      </c>
      <c r="D1527" t="s">
        <v>89</v>
      </c>
      <c r="E1527" t="s">
        <v>216</v>
      </c>
      <c r="F1527" t="s">
        <v>89</v>
      </c>
      <c r="G1527" t="s">
        <v>89</v>
      </c>
      <c r="H1527" t="s">
        <v>93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137</v>
      </c>
      <c r="B1528" t="s">
        <v>1768</v>
      </c>
      <c r="C1528" t="s">
        <v>89</v>
      </c>
      <c r="D1528" t="s">
        <v>89</v>
      </c>
      <c r="E1528" t="s">
        <v>246</v>
      </c>
      <c r="F1528" t="s">
        <v>89</v>
      </c>
      <c r="G1528" t="s">
        <v>89</v>
      </c>
      <c r="H1528" t="s">
        <v>93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137</v>
      </c>
      <c r="B1529" t="s">
        <v>1769</v>
      </c>
      <c r="C1529" t="s">
        <v>89</v>
      </c>
      <c r="D1529" t="s">
        <v>89</v>
      </c>
      <c r="E1529" t="s">
        <v>227</v>
      </c>
      <c r="F1529" t="s">
        <v>89</v>
      </c>
      <c r="G1529" t="s">
        <v>89</v>
      </c>
      <c r="H1529" t="s">
        <v>93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137</v>
      </c>
      <c r="B1530" t="s">
        <v>1770</v>
      </c>
      <c r="C1530" t="s">
        <v>89</v>
      </c>
      <c r="D1530" t="s">
        <v>89</v>
      </c>
      <c r="E1530" t="s">
        <v>227</v>
      </c>
      <c r="F1530" t="s">
        <v>89</v>
      </c>
      <c r="G1530" t="s">
        <v>89</v>
      </c>
      <c r="H1530" t="s">
        <v>93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137</v>
      </c>
      <c r="B1531" t="s">
        <v>197</v>
      </c>
      <c r="C1531" t="s">
        <v>89</v>
      </c>
      <c r="D1531" t="s">
        <v>89</v>
      </c>
      <c r="E1531" t="s">
        <v>196</v>
      </c>
      <c r="F1531" t="s">
        <v>89</v>
      </c>
      <c r="G1531" t="s">
        <v>89</v>
      </c>
      <c r="H1531" t="s">
        <v>93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137</v>
      </c>
      <c r="B1532" t="s">
        <v>722</v>
      </c>
      <c r="C1532" t="s">
        <v>89</v>
      </c>
      <c r="D1532" t="s">
        <v>89</v>
      </c>
      <c r="E1532" t="s">
        <v>254</v>
      </c>
      <c r="F1532" t="s">
        <v>89</v>
      </c>
      <c r="G1532" t="s">
        <v>89</v>
      </c>
      <c r="H1532" t="s">
        <v>93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137</v>
      </c>
      <c r="B1533" t="s">
        <v>199</v>
      </c>
      <c r="C1533" t="s">
        <v>89</v>
      </c>
      <c r="D1533" t="s">
        <v>89</v>
      </c>
      <c r="E1533" t="s">
        <v>200</v>
      </c>
      <c r="F1533" t="s">
        <v>89</v>
      </c>
      <c r="G1533" t="s">
        <v>89</v>
      </c>
      <c r="H1533" t="s">
        <v>93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138</v>
      </c>
      <c r="B1534" t="s">
        <v>1771</v>
      </c>
      <c r="C1534" t="s">
        <v>89</v>
      </c>
      <c r="D1534" t="s">
        <v>1772</v>
      </c>
      <c r="E1534" t="s">
        <v>968</v>
      </c>
      <c r="F1534" t="s">
        <v>89</v>
      </c>
      <c r="G1534" t="s">
        <v>89</v>
      </c>
      <c r="H1534" t="s">
        <v>93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138</v>
      </c>
      <c r="B1535" t="s">
        <v>1773</v>
      </c>
      <c r="C1535" t="s">
        <v>89</v>
      </c>
      <c r="D1535" t="s">
        <v>1774</v>
      </c>
      <c r="E1535" t="s">
        <v>441</v>
      </c>
      <c r="F1535" t="s">
        <v>89</v>
      </c>
      <c r="G1535" t="s">
        <v>89</v>
      </c>
      <c r="H1535" t="s">
        <v>93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138</v>
      </c>
      <c r="B1536" t="s">
        <v>1775</v>
      </c>
      <c r="C1536" t="s">
        <v>89</v>
      </c>
      <c r="D1536" t="s">
        <v>1776</v>
      </c>
      <c r="E1536" t="s">
        <v>1777</v>
      </c>
      <c r="F1536" t="s">
        <v>89</v>
      </c>
      <c r="G1536" t="s">
        <v>89</v>
      </c>
      <c r="H1536" t="s">
        <v>93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138</v>
      </c>
      <c r="B1537" t="s">
        <v>1778</v>
      </c>
      <c r="C1537" t="s">
        <v>89</v>
      </c>
      <c r="D1537" t="s">
        <v>1779</v>
      </c>
      <c r="E1537" t="s">
        <v>438</v>
      </c>
      <c r="F1537" t="s">
        <v>89</v>
      </c>
      <c r="G1537" t="s">
        <v>89</v>
      </c>
      <c r="H1537" t="s">
        <v>93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138</v>
      </c>
      <c r="B1538" t="s">
        <v>1780</v>
      </c>
      <c r="C1538" t="s">
        <v>89</v>
      </c>
      <c r="D1538" t="s">
        <v>1776</v>
      </c>
      <c r="E1538" t="s">
        <v>978</v>
      </c>
      <c r="F1538" t="s">
        <v>89</v>
      </c>
      <c r="G1538" t="s">
        <v>89</v>
      </c>
      <c r="H1538" t="s">
        <v>93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138</v>
      </c>
      <c r="B1539" t="s">
        <v>1781</v>
      </c>
      <c r="C1539" t="s">
        <v>89</v>
      </c>
      <c r="D1539" t="s">
        <v>1782</v>
      </c>
      <c r="E1539" t="s">
        <v>438</v>
      </c>
      <c r="F1539" t="s">
        <v>89</v>
      </c>
      <c r="G1539" t="s">
        <v>89</v>
      </c>
      <c r="H1539" t="s">
        <v>93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138</v>
      </c>
      <c r="B1540" t="s">
        <v>1773</v>
      </c>
      <c r="C1540" t="s">
        <v>89</v>
      </c>
      <c r="D1540" t="s">
        <v>1774</v>
      </c>
      <c r="E1540" t="s">
        <v>441</v>
      </c>
      <c r="F1540" t="s">
        <v>89</v>
      </c>
      <c r="G1540" t="s">
        <v>89</v>
      </c>
      <c r="H1540" t="s">
        <v>93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138</v>
      </c>
      <c r="B1541" t="s">
        <v>1771</v>
      </c>
      <c r="C1541" t="s">
        <v>89</v>
      </c>
      <c r="D1541" t="s">
        <v>1772</v>
      </c>
      <c r="E1541" t="s">
        <v>968</v>
      </c>
      <c r="F1541" t="s">
        <v>89</v>
      </c>
      <c r="G1541" t="s">
        <v>89</v>
      </c>
      <c r="H1541" t="s">
        <v>93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138</v>
      </c>
      <c r="B1542" t="s">
        <v>1778</v>
      </c>
      <c r="C1542" t="s">
        <v>89</v>
      </c>
      <c r="D1542" t="s">
        <v>1779</v>
      </c>
      <c r="E1542" t="s">
        <v>438</v>
      </c>
      <c r="F1542" t="s">
        <v>89</v>
      </c>
      <c r="G1542" t="s">
        <v>89</v>
      </c>
      <c r="H1542" t="s">
        <v>93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138</v>
      </c>
      <c r="B1543" t="s">
        <v>1783</v>
      </c>
      <c r="C1543" t="s">
        <v>89</v>
      </c>
      <c r="D1543" t="s">
        <v>1784</v>
      </c>
      <c r="E1543" t="s">
        <v>441</v>
      </c>
      <c r="F1543" t="s">
        <v>89</v>
      </c>
      <c r="G1543" t="s">
        <v>89</v>
      </c>
      <c r="H1543" t="s">
        <v>93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138</v>
      </c>
      <c r="B1544" t="s">
        <v>1785</v>
      </c>
      <c r="C1544" t="s">
        <v>89</v>
      </c>
      <c r="D1544" t="s">
        <v>1786</v>
      </c>
      <c r="E1544" t="s">
        <v>968</v>
      </c>
      <c r="F1544" t="s">
        <v>89</v>
      </c>
      <c r="G1544" t="s">
        <v>89</v>
      </c>
      <c r="H1544" t="s">
        <v>93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138</v>
      </c>
      <c r="B1545" t="s">
        <v>449</v>
      </c>
      <c r="C1545" t="s">
        <v>89</v>
      </c>
      <c r="D1545" t="s">
        <v>1787</v>
      </c>
      <c r="E1545" t="s">
        <v>438</v>
      </c>
      <c r="F1545" t="s">
        <v>89</v>
      </c>
      <c r="G1545" t="s">
        <v>89</v>
      </c>
      <c r="H1545" t="s">
        <v>93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138</v>
      </c>
      <c r="B1546" t="s">
        <v>1788</v>
      </c>
      <c r="C1546" t="s">
        <v>89</v>
      </c>
      <c r="D1546" t="s">
        <v>1789</v>
      </c>
      <c r="E1546" t="s">
        <v>438</v>
      </c>
      <c r="F1546" t="s">
        <v>89</v>
      </c>
      <c r="G1546" t="s">
        <v>89</v>
      </c>
      <c r="H1546" t="s">
        <v>93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138</v>
      </c>
      <c r="B1547" t="s">
        <v>1790</v>
      </c>
      <c r="C1547" t="s">
        <v>89</v>
      </c>
      <c r="D1547" t="s">
        <v>1791</v>
      </c>
      <c r="E1547" t="s">
        <v>466</v>
      </c>
      <c r="F1547" t="s">
        <v>89</v>
      </c>
      <c r="G1547" t="s">
        <v>89</v>
      </c>
      <c r="H1547" t="s">
        <v>93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138</v>
      </c>
      <c r="B1548" t="s">
        <v>1792</v>
      </c>
      <c r="C1548" t="s">
        <v>89</v>
      </c>
      <c r="D1548" t="s">
        <v>1793</v>
      </c>
      <c r="E1548" t="s">
        <v>968</v>
      </c>
      <c r="F1548" t="s">
        <v>89</v>
      </c>
      <c r="G1548" t="s">
        <v>89</v>
      </c>
      <c r="H1548" t="s">
        <v>93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138</v>
      </c>
      <c r="B1549" t="s">
        <v>439</v>
      </c>
      <c r="C1549" t="s">
        <v>89</v>
      </c>
      <c r="D1549" t="s">
        <v>1794</v>
      </c>
      <c r="E1549" t="s">
        <v>466</v>
      </c>
      <c r="F1549" t="s">
        <v>89</v>
      </c>
      <c r="G1549" t="s">
        <v>89</v>
      </c>
      <c r="H1549" t="s">
        <v>93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138</v>
      </c>
      <c r="B1550" t="s">
        <v>1356</v>
      </c>
      <c r="C1550" t="s">
        <v>89</v>
      </c>
      <c r="D1550" t="s">
        <v>1795</v>
      </c>
      <c r="E1550" t="s">
        <v>1796</v>
      </c>
      <c r="F1550" t="s">
        <v>89</v>
      </c>
      <c r="G1550" t="s">
        <v>89</v>
      </c>
      <c r="H1550" t="s">
        <v>93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138</v>
      </c>
      <c r="B1551" t="s">
        <v>1797</v>
      </c>
      <c r="C1551" t="s">
        <v>89</v>
      </c>
      <c r="D1551" t="s">
        <v>1798</v>
      </c>
      <c r="E1551" t="s">
        <v>970</v>
      </c>
      <c r="F1551" t="s">
        <v>89</v>
      </c>
      <c r="G1551" t="s">
        <v>89</v>
      </c>
      <c r="H1551" t="s">
        <v>93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138</v>
      </c>
      <c r="B1552" t="s">
        <v>1376</v>
      </c>
      <c r="C1552" t="s">
        <v>89</v>
      </c>
      <c r="D1552" t="s">
        <v>1799</v>
      </c>
      <c r="E1552" t="s">
        <v>1800</v>
      </c>
      <c r="F1552" t="s">
        <v>89</v>
      </c>
      <c r="G1552" t="s">
        <v>89</v>
      </c>
      <c r="H1552" t="s">
        <v>93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138</v>
      </c>
      <c r="B1553" t="s">
        <v>1801</v>
      </c>
      <c r="C1553" t="s">
        <v>89</v>
      </c>
      <c r="D1553" t="s">
        <v>1802</v>
      </c>
      <c r="E1553" t="s">
        <v>1308</v>
      </c>
      <c r="F1553" t="s">
        <v>89</v>
      </c>
      <c r="G1553" t="s">
        <v>89</v>
      </c>
      <c r="H1553" t="s">
        <v>93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138</v>
      </c>
      <c r="B1554" t="s">
        <v>1803</v>
      </c>
      <c r="C1554" t="s">
        <v>89</v>
      </c>
      <c r="D1554" t="s">
        <v>1804</v>
      </c>
      <c r="E1554" t="s">
        <v>551</v>
      </c>
      <c r="F1554" t="s">
        <v>89</v>
      </c>
      <c r="G1554" t="s">
        <v>89</v>
      </c>
      <c r="H1554" t="s">
        <v>93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138</v>
      </c>
      <c r="B1555" t="s">
        <v>294</v>
      </c>
      <c r="C1555" t="s">
        <v>89</v>
      </c>
      <c r="D1555" t="s">
        <v>89</v>
      </c>
      <c r="E1555" t="s">
        <v>1777</v>
      </c>
      <c r="F1555" t="s">
        <v>89</v>
      </c>
      <c r="G1555" t="s">
        <v>89</v>
      </c>
      <c r="H1555" t="s">
        <v>93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138</v>
      </c>
      <c r="B1556" t="s">
        <v>487</v>
      </c>
      <c r="C1556" t="s">
        <v>89</v>
      </c>
      <c r="D1556" t="s">
        <v>1805</v>
      </c>
      <c r="E1556" t="s">
        <v>965</v>
      </c>
      <c r="F1556" t="s">
        <v>89</v>
      </c>
      <c r="G1556" t="s">
        <v>89</v>
      </c>
      <c r="H1556" t="s">
        <v>93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138</v>
      </c>
      <c r="B1557" t="s">
        <v>1806</v>
      </c>
      <c r="C1557" t="s">
        <v>89</v>
      </c>
      <c r="D1557" t="s">
        <v>1807</v>
      </c>
      <c r="E1557" t="s">
        <v>1777</v>
      </c>
      <c r="F1557" t="s">
        <v>89</v>
      </c>
      <c r="G1557" t="s">
        <v>89</v>
      </c>
      <c r="H1557" t="s">
        <v>93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138</v>
      </c>
      <c r="B1558" t="s">
        <v>1808</v>
      </c>
      <c r="C1558" t="s">
        <v>89</v>
      </c>
      <c r="D1558" t="s">
        <v>1809</v>
      </c>
      <c r="E1558" t="s">
        <v>456</v>
      </c>
      <c r="F1558" t="s">
        <v>89</v>
      </c>
      <c r="G1558" t="s">
        <v>89</v>
      </c>
      <c r="H1558" t="s">
        <v>93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138</v>
      </c>
      <c r="B1559" t="s">
        <v>1810</v>
      </c>
      <c r="C1559" t="s">
        <v>89</v>
      </c>
      <c r="D1559" t="s">
        <v>1811</v>
      </c>
      <c r="E1559" t="s">
        <v>446</v>
      </c>
      <c r="F1559" t="s">
        <v>89</v>
      </c>
      <c r="G1559" t="s">
        <v>89</v>
      </c>
      <c r="H1559" t="s">
        <v>93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138</v>
      </c>
      <c r="B1560" t="s">
        <v>268</v>
      </c>
      <c r="C1560" t="s">
        <v>89</v>
      </c>
      <c r="D1560" t="s">
        <v>964</v>
      </c>
      <c r="E1560" t="s">
        <v>1800</v>
      </c>
      <c r="F1560" t="s">
        <v>89</v>
      </c>
      <c r="G1560" t="s">
        <v>89</v>
      </c>
      <c r="H1560" t="s">
        <v>93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138</v>
      </c>
      <c r="B1561" t="s">
        <v>1812</v>
      </c>
      <c r="C1561" t="s">
        <v>89</v>
      </c>
      <c r="D1561" t="s">
        <v>89</v>
      </c>
      <c r="E1561" t="s">
        <v>459</v>
      </c>
      <c r="F1561" t="s">
        <v>89</v>
      </c>
      <c r="G1561" t="s">
        <v>89</v>
      </c>
      <c r="H1561" t="s">
        <v>93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138</v>
      </c>
      <c r="B1562" t="s">
        <v>1813</v>
      </c>
      <c r="C1562" t="s">
        <v>89</v>
      </c>
      <c r="D1562" t="s">
        <v>89</v>
      </c>
      <c r="E1562" t="s">
        <v>459</v>
      </c>
      <c r="F1562" t="s">
        <v>89</v>
      </c>
      <c r="G1562" t="s">
        <v>89</v>
      </c>
      <c r="H1562" t="s">
        <v>93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138</v>
      </c>
      <c r="B1563" t="s">
        <v>1814</v>
      </c>
      <c r="C1563" t="s">
        <v>89</v>
      </c>
      <c r="D1563" t="s">
        <v>1776</v>
      </c>
      <c r="E1563" t="s">
        <v>456</v>
      </c>
      <c r="F1563" t="s">
        <v>89</v>
      </c>
      <c r="G1563" t="s">
        <v>89</v>
      </c>
      <c r="H1563" t="s">
        <v>93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138</v>
      </c>
      <c r="B1564" t="s">
        <v>1815</v>
      </c>
      <c r="C1564" t="s">
        <v>89</v>
      </c>
      <c r="D1564" t="s">
        <v>1776</v>
      </c>
      <c r="E1564" t="s">
        <v>1816</v>
      </c>
      <c r="F1564" t="s">
        <v>89</v>
      </c>
      <c r="G1564" t="s">
        <v>89</v>
      </c>
      <c r="H1564" t="s">
        <v>93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138</v>
      </c>
      <c r="B1565" t="s">
        <v>1780</v>
      </c>
      <c r="C1565" t="s">
        <v>89</v>
      </c>
      <c r="D1565" t="s">
        <v>1776</v>
      </c>
      <c r="E1565" t="s">
        <v>978</v>
      </c>
      <c r="F1565" t="s">
        <v>89</v>
      </c>
      <c r="G1565" t="s">
        <v>89</v>
      </c>
      <c r="H1565" t="s">
        <v>93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138</v>
      </c>
      <c r="B1566" t="s">
        <v>1817</v>
      </c>
      <c r="C1566" t="s">
        <v>89</v>
      </c>
      <c r="D1566" t="s">
        <v>1818</v>
      </c>
      <c r="E1566" t="s">
        <v>1777</v>
      </c>
      <c r="F1566" t="s">
        <v>89</v>
      </c>
      <c r="G1566" t="s">
        <v>89</v>
      </c>
      <c r="H1566" t="s">
        <v>93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138</v>
      </c>
      <c r="B1567" t="s">
        <v>1819</v>
      </c>
      <c r="C1567" t="s">
        <v>89</v>
      </c>
      <c r="D1567" t="s">
        <v>1818</v>
      </c>
      <c r="E1567" t="s">
        <v>1816</v>
      </c>
      <c r="F1567" t="s">
        <v>89</v>
      </c>
      <c r="G1567" t="s">
        <v>89</v>
      </c>
      <c r="H1567" t="s">
        <v>93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138</v>
      </c>
      <c r="B1568" t="s">
        <v>1820</v>
      </c>
      <c r="C1568" t="s">
        <v>89</v>
      </c>
      <c r="D1568" t="s">
        <v>1821</v>
      </c>
      <c r="E1568" t="s">
        <v>978</v>
      </c>
      <c r="F1568" t="s">
        <v>89</v>
      </c>
      <c r="G1568" t="s">
        <v>89</v>
      </c>
      <c r="H1568" t="s">
        <v>93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138</v>
      </c>
      <c r="B1569" t="s">
        <v>1775</v>
      </c>
      <c r="C1569" t="s">
        <v>89</v>
      </c>
      <c r="D1569" t="s">
        <v>1776</v>
      </c>
      <c r="E1569" t="s">
        <v>1777</v>
      </c>
      <c r="F1569" t="s">
        <v>89</v>
      </c>
      <c r="G1569" t="s">
        <v>89</v>
      </c>
      <c r="H1569" t="s">
        <v>93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138</v>
      </c>
      <c r="B1570" t="s">
        <v>352</v>
      </c>
      <c r="C1570" t="s">
        <v>89</v>
      </c>
      <c r="D1570" t="s">
        <v>964</v>
      </c>
      <c r="E1570" t="s">
        <v>1127</v>
      </c>
      <c r="F1570" t="s">
        <v>89</v>
      </c>
      <c r="G1570" t="s">
        <v>89</v>
      </c>
      <c r="H1570" t="s">
        <v>93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138</v>
      </c>
      <c r="B1571" t="s">
        <v>1822</v>
      </c>
      <c r="C1571" t="s">
        <v>89</v>
      </c>
      <c r="D1571" t="s">
        <v>89</v>
      </c>
      <c r="E1571" t="s">
        <v>859</v>
      </c>
      <c r="F1571" t="s">
        <v>89</v>
      </c>
      <c r="G1571" t="s">
        <v>89</v>
      </c>
      <c r="H1571" t="s">
        <v>93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138</v>
      </c>
      <c r="B1572" t="s">
        <v>1823</v>
      </c>
      <c r="C1572" t="s">
        <v>89</v>
      </c>
      <c r="D1572" t="s">
        <v>1811</v>
      </c>
      <c r="E1572" t="s">
        <v>446</v>
      </c>
      <c r="F1572" t="s">
        <v>89</v>
      </c>
      <c r="G1572" t="s">
        <v>89</v>
      </c>
      <c r="H1572" t="s">
        <v>93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138</v>
      </c>
      <c r="B1573" t="s">
        <v>608</v>
      </c>
      <c r="C1573" t="s">
        <v>89</v>
      </c>
      <c r="D1573" t="s">
        <v>1824</v>
      </c>
      <c r="E1573" t="s">
        <v>446</v>
      </c>
      <c r="F1573" t="s">
        <v>89</v>
      </c>
      <c r="G1573" t="s">
        <v>89</v>
      </c>
      <c r="H1573" t="s">
        <v>93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138</v>
      </c>
      <c r="B1574" t="s">
        <v>605</v>
      </c>
      <c r="C1574" t="s">
        <v>89</v>
      </c>
      <c r="D1574" t="s">
        <v>1825</v>
      </c>
      <c r="E1574" t="s">
        <v>1826</v>
      </c>
      <c r="F1574" t="s">
        <v>89</v>
      </c>
      <c r="G1574" t="s">
        <v>89</v>
      </c>
      <c r="H1574" t="s">
        <v>93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138</v>
      </c>
      <c r="B1575" t="s">
        <v>1827</v>
      </c>
      <c r="C1575" t="s">
        <v>89</v>
      </c>
      <c r="D1575" t="s">
        <v>1828</v>
      </c>
      <c r="E1575" t="s">
        <v>972</v>
      </c>
      <c r="F1575" t="s">
        <v>89</v>
      </c>
      <c r="G1575" t="s">
        <v>89</v>
      </c>
      <c r="H1575" t="s">
        <v>93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138</v>
      </c>
      <c r="B1576" t="s">
        <v>1488</v>
      </c>
      <c r="C1576" t="s">
        <v>89</v>
      </c>
      <c r="D1576" t="s">
        <v>1829</v>
      </c>
      <c r="E1576" t="s">
        <v>456</v>
      </c>
      <c r="F1576" t="s">
        <v>89</v>
      </c>
      <c r="G1576" t="s">
        <v>89</v>
      </c>
      <c r="H1576" t="s">
        <v>93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138</v>
      </c>
      <c r="B1577" t="s">
        <v>1830</v>
      </c>
      <c r="C1577" t="s">
        <v>89</v>
      </c>
      <c r="D1577" t="s">
        <v>89</v>
      </c>
      <c r="E1577" t="s">
        <v>456</v>
      </c>
      <c r="F1577" t="s">
        <v>89</v>
      </c>
      <c r="G1577" t="s">
        <v>89</v>
      </c>
      <c r="H1577" t="s">
        <v>93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138</v>
      </c>
      <c r="B1578" t="s">
        <v>1831</v>
      </c>
      <c r="C1578" t="s">
        <v>89</v>
      </c>
      <c r="D1578" t="s">
        <v>1832</v>
      </c>
      <c r="E1578" t="s">
        <v>463</v>
      </c>
      <c r="F1578" t="s">
        <v>89</v>
      </c>
      <c r="G1578" t="s">
        <v>89</v>
      </c>
      <c r="H1578" t="s">
        <v>93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138</v>
      </c>
      <c r="B1579" t="s">
        <v>1833</v>
      </c>
      <c r="C1579" t="s">
        <v>89</v>
      </c>
      <c r="D1579" t="s">
        <v>1834</v>
      </c>
      <c r="E1579" t="s">
        <v>1119</v>
      </c>
      <c r="F1579" t="s">
        <v>89</v>
      </c>
      <c r="G1579" t="s">
        <v>89</v>
      </c>
      <c r="H1579" t="s">
        <v>93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138</v>
      </c>
      <c r="B1580" t="s">
        <v>1835</v>
      </c>
      <c r="C1580" t="s">
        <v>89</v>
      </c>
      <c r="D1580" t="s">
        <v>1836</v>
      </c>
      <c r="E1580" t="s">
        <v>463</v>
      </c>
      <c r="F1580" t="s">
        <v>89</v>
      </c>
      <c r="G1580" t="s">
        <v>89</v>
      </c>
      <c r="H1580" t="s">
        <v>93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138</v>
      </c>
      <c r="B1581" t="s">
        <v>1837</v>
      </c>
      <c r="C1581" t="s">
        <v>89</v>
      </c>
      <c r="D1581" t="s">
        <v>1838</v>
      </c>
      <c r="E1581" t="s">
        <v>843</v>
      </c>
      <c r="F1581" t="s">
        <v>89</v>
      </c>
      <c r="G1581" t="s">
        <v>89</v>
      </c>
      <c r="H1581" t="s">
        <v>93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138</v>
      </c>
      <c r="B1582" t="s">
        <v>860</v>
      </c>
      <c r="C1582" t="s">
        <v>89</v>
      </c>
      <c r="D1582" t="s">
        <v>1839</v>
      </c>
      <c r="E1582" t="s">
        <v>1119</v>
      </c>
      <c r="F1582" t="s">
        <v>89</v>
      </c>
      <c r="G1582" t="s">
        <v>89</v>
      </c>
      <c r="H1582" t="s">
        <v>93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138</v>
      </c>
      <c r="B1583" t="s">
        <v>1692</v>
      </c>
      <c r="C1583" t="s">
        <v>89</v>
      </c>
      <c r="D1583" t="s">
        <v>89</v>
      </c>
      <c r="E1583" t="s">
        <v>178</v>
      </c>
      <c r="F1583" t="s">
        <v>89</v>
      </c>
      <c r="G1583" t="s">
        <v>89</v>
      </c>
      <c r="H1583" t="s">
        <v>93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138</v>
      </c>
      <c r="B1584" t="s">
        <v>1690</v>
      </c>
      <c r="C1584" t="s">
        <v>89</v>
      </c>
      <c r="D1584" t="s">
        <v>89</v>
      </c>
      <c r="E1584" t="s">
        <v>202</v>
      </c>
      <c r="F1584" t="s">
        <v>89</v>
      </c>
      <c r="G1584" t="s">
        <v>89</v>
      </c>
      <c r="H1584" t="s">
        <v>93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138</v>
      </c>
      <c r="B1585" t="s">
        <v>1022</v>
      </c>
      <c r="C1585" t="s">
        <v>89</v>
      </c>
      <c r="D1585" t="s">
        <v>89</v>
      </c>
      <c r="E1585" t="s">
        <v>254</v>
      </c>
      <c r="F1585" t="s">
        <v>89</v>
      </c>
      <c r="G1585" t="s">
        <v>89</v>
      </c>
      <c r="H1585" t="s">
        <v>93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138</v>
      </c>
      <c r="B1586" t="s">
        <v>1689</v>
      </c>
      <c r="C1586" t="s">
        <v>89</v>
      </c>
      <c r="D1586" t="s">
        <v>89</v>
      </c>
      <c r="E1586" t="s">
        <v>178</v>
      </c>
      <c r="F1586" t="s">
        <v>89</v>
      </c>
      <c r="G1586" t="s">
        <v>89</v>
      </c>
      <c r="H1586" t="s">
        <v>93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138</v>
      </c>
      <c r="B1587" t="s">
        <v>1480</v>
      </c>
      <c r="C1587" t="s">
        <v>89</v>
      </c>
      <c r="D1587" t="s">
        <v>89</v>
      </c>
      <c r="E1587" t="s">
        <v>240</v>
      </c>
      <c r="F1587" t="s">
        <v>89</v>
      </c>
      <c r="G1587" t="s">
        <v>89</v>
      </c>
      <c r="H1587" t="s">
        <v>93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138</v>
      </c>
      <c r="B1588" t="s">
        <v>1472</v>
      </c>
      <c r="C1588" t="s">
        <v>89</v>
      </c>
      <c r="D1588" t="s">
        <v>89</v>
      </c>
      <c r="E1588" t="s">
        <v>254</v>
      </c>
      <c r="F1588" t="s">
        <v>89</v>
      </c>
      <c r="G1588" t="s">
        <v>89</v>
      </c>
      <c r="H1588" t="s">
        <v>93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138</v>
      </c>
      <c r="B1589" t="s">
        <v>1840</v>
      </c>
      <c r="C1589" t="s">
        <v>89</v>
      </c>
      <c r="D1589" t="s">
        <v>89</v>
      </c>
      <c r="E1589" t="s">
        <v>308</v>
      </c>
      <c r="F1589" t="s">
        <v>89</v>
      </c>
      <c r="G1589" t="s">
        <v>89</v>
      </c>
      <c r="H1589" t="s">
        <v>93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138</v>
      </c>
      <c r="B1590" t="s">
        <v>1841</v>
      </c>
      <c r="C1590" t="s">
        <v>89</v>
      </c>
      <c r="D1590" t="s">
        <v>89</v>
      </c>
      <c r="E1590" t="s">
        <v>232</v>
      </c>
      <c r="F1590" t="s">
        <v>89</v>
      </c>
      <c r="G1590" t="s">
        <v>89</v>
      </c>
      <c r="H1590" t="s">
        <v>93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138</v>
      </c>
      <c r="B1591" t="s">
        <v>191</v>
      </c>
      <c r="C1591" t="s">
        <v>89</v>
      </c>
      <c r="D1591" t="s">
        <v>89</v>
      </c>
      <c r="E1591" t="s">
        <v>241</v>
      </c>
      <c r="F1591" t="s">
        <v>89</v>
      </c>
      <c r="G1591" t="s">
        <v>89</v>
      </c>
      <c r="H1591" t="s">
        <v>93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138</v>
      </c>
      <c r="B1592" t="s">
        <v>1099</v>
      </c>
      <c r="C1592" t="s">
        <v>89</v>
      </c>
      <c r="D1592" t="s">
        <v>89</v>
      </c>
      <c r="E1592" t="s">
        <v>241</v>
      </c>
      <c r="F1592" t="s">
        <v>89</v>
      </c>
      <c r="G1592" t="s">
        <v>89</v>
      </c>
      <c r="H1592" t="s">
        <v>93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138</v>
      </c>
      <c r="B1593" t="s">
        <v>243</v>
      </c>
      <c r="C1593" t="s">
        <v>89</v>
      </c>
      <c r="D1593" t="s">
        <v>89</v>
      </c>
      <c r="E1593" t="s">
        <v>241</v>
      </c>
      <c r="F1593" t="s">
        <v>89</v>
      </c>
      <c r="G1593" t="s">
        <v>89</v>
      </c>
      <c r="H1593" t="s">
        <v>93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138</v>
      </c>
      <c r="B1594" t="s">
        <v>244</v>
      </c>
      <c r="C1594" t="s">
        <v>89</v>
      </c>
      <c r="D1594" t="s">
        <v>89</v>
      </c>
      <c r="E1594" t="s">
        <v>241</v>
      </c>
      <c r="F1594" t="s">
        <v>89</v>
      </c>
      <c r="G1594" t="s">
        <v>89</v>
      </c>
      <c r="H1594" t="s">
        <v>93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138</v>
      </c>
      <c r="B1595" t="s">
        <v>328</v>
      </c>
      <c r="C1595" t="s">
        <v>89</v>
      </c>
      <c r="D1595" t="s">
        <v>89</v>
      </c>
      <c r="E1595" t="s">
        <v>241</v>
      </c>
      <c r="F1595" t="s">
        <v>89</v>
      </c>
      <c r="G1595" t="s">
        <v>89</v>
      </c>
      <c r="H1595" t="s">
        <v>93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138</v>
      </c>
      <c r="B1596" t="s">
        <v>329</v>
      </c>
      <c r="C1596" t="s">
        <v>89</v>
      </c>
      <c r="D1596" t="s">
        <v>89</v>
      </c>
      <c r="E1596" t="s">
        <v>241</v>
      </c>
      <c r="F1596" t="s">
        <v>89</v>
      </c>
      <c r="G1596" t="s">
        <v>89</v>
      </c>
      <c r="H1596" t="s">
        <v>93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138</v>
      </c>
      <c r="B1597" t="s">
        <v>899</v>
      </c>
      <c r="C1597" t="s">
        <v>89</v>
      </c>
      <c r="D1597" t="s">
        <v>89</v>
      </c>
      <c r="E1597" t="s">
        <v>241</v>
      </c>
      <c r="F1597" t="s">
        <v>89</v>
      </c>
      <c r="G1597" t="s">
        <v>89</v>
      </c>
      <c r="H1597" t="s">
        <v>93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138</v>
      </c>
      <c r="B1598" t="s">
        <v>900</v>
      </c>
      <c r="C1598" t="s">
        <v>89</v>
      </c>
      <c r="D1598" t="s">
        <v>89</v>
      </c>
      <c r="E1598" t="s">
        <v>241</v>
      </c>
      <c r="F1598" t="s">
        <v>89</v>
      </c>
      <c r="G1598" t="s">
        <v>89</v>
      </c>
      <c r="H1598" t="s">
        <v>93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138</v>
      </c>
      <c r="B1599" t="s">
        <v>1842</v>
      </c>
      <c r="C1599" t="s">
        <v>89</v>
      </c>
      <c r="D1599" t="s">
        <v>89</v>
      </c>
      <c r="E1599" t="s">
        <v>241</v>
      </c>
      <c r="F1599" t="s">
        <v>89</v>
      </c>
      <c r="G1599" t="s">
        <v>89</v>
      </c>
      <c r="H1599" t="s">
        <v>93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138</v>
      </c>
      <c r="B1600" t="s">
        <v>984</v>
      </c>
      <c r="C1600" t="s">
        <v>89</v>
      </c>
      <c r="D1600" t="s">
        <v>89</v>
      </c>
      <c r="E1600" t="s">
        <v>241</v>
      </c>
      <c r="F1600" t="s">
        <v>89</v>
      </c>
      <c r="G1600" t="s">
        <v>89</v>
      </c>
      <c r="H1600" t="s">
        <v>93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138</v>
      </c>
      <c r="B1601" t="s">
        <v>1843</v>
      </c>
      <c r="C1601" t="s">
        <v>89</v>
      </c>
      <c r="D1601" t="s">
        <v>89</v>
      </c>
      <c r="E1601" t="s">
        <v>241</v>
      </c>
      <c r="F1601" t="s">
        <v>89</v>
      </c>
      <c r="G1601" t="s">
        <v>89</v>
      </c>
      <c r="H1601" t="s">
        <v>93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138</v>
      </c>
      <c r="B1602" t="s">
        <v>1844</v>
      </c>
      <c r="C1602" t="s">
        <v>89</v>
      </c>
      <c r="D1602" t="s">
        <v>89</v>
      </c>
      <c r="E1602" t="s">
        <v>241</v>
      </c>
      <c r="F1602" t="s">
        <v>89</v>
      </c>
      <c r="G1602" t="s">
        <v>89</v>
      </c>
      <c r="H1602" t="s">
        <v>93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138</v>
      </c>
      <c r="B1603" t="s">
        <v>1845</v>
      </c>
      <c r="C1603" t="s">
        <v>89</v>
      </c>
      <c r="D1603" t="s">
        <v>89</v>
      </c>
      <c r="E1603" t="s">
        <v>241</v>
      </c>
      <c r="F1603" t="s">
        <v>89</v>
      </c>
      <c r="G1603" t="s">
        <v>89</v>
      </c>
      <c r="H1603" t="s">
        <v>93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138</v>
      </c>
      <c r="B1604" t="s">
        <v>1846</v>
      </c>
      <c r="C1604" t="s">
        <v>89</v>
      </c>
      <c r="D1604" t="s">
        <v>89</v>
      </c>
      <c r="E1604" t="s">
        <v>241</v>
      </c>
      <c r="F1604" t="s">
        <v>89</v>
      </c>
      <c r="G1604" t="s">
        <v>89</v>
      </c>
      <c r="H1604" t="s">
        <v>93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138</v>
      </c>
      <c r="B1605" t="s">
        <v>330</v>
      </c>
      <c r="C1605" t="s">
        <v>89</v>
      </c>
      <c r="D1605" t="s">
        <v>89</v>
      </c>
      <c r="E1605" t="s">
        <v>241</v>
      </c>
      <c r="F1605" t="s">
        <v>89</v>
      </c>
      <c r="G1605" t="s">
        <v>89</v>
      </c>
      <c r="H1605" t="s">
        <v>93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138</v>
      </c>
      <c r="B1606" t="s">
        <v>245</v>
      </c>
      <c r="C1606" t="s">
        <v>89</v>
      </c>
      <c r="D1606" t="s">
        <v>89</v>
      </c>
      <c r="E1606" t="s">
        <v>178</v>
      </c>
      <c r="F1606" t="s">
        <v>89</v>
      </c>
      <c r="G1606" t="s">
        <v>89</v>
      </c>
      <c r="H1606" t="s">
        <v>93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138</v>
      </c>
      <c r="B1607" t="s">
        <v>194</v>
      </c>
      <c r="C1607" t="s">
        <v>89</v>
      </c>
      <c r="D1607" t="s">
        <v>89</v>
      </c>
      <c r="E1607" t="s">
        <v>246</v>
      </c>
      <c r="F1607" t="s">
        <v>89</v>
      </c>
      <c r="G1607" t="s">
        <v>89</v>
      </c>
      <c r="H1607" t="s">
        <v>93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138</v>
      </c>
      <c r="B1608" t="s">
        <v>217</v>
      </c>
      <c r="C1608" t="s">
        <v>89</v>
      </c>
      <c r="D1608" t="s">
        <v>89</v>
      </c>
      <c r="E1608" t="s">
        <v>246</v>
      </c>
      <c r="F1608" t="s">
        <v>89</v>
      </c>
      <c r="G1608" t="s">
        <v>89</v>
      </c>
      <c r="H1608" t="s">
        <v>93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138</v>
      </c>
      <c r="B1609" t="s">
        <v>197</v>
      </c>
      <c r="C1609" t="s">
        <v>89</v>
      </c>
      <c r="D1609" t="s">
        <v>89</v>
      </c>
      <c r="E1609" t="s">
        <v>196</v>
      </c>
      <c r="F1609" t="s">
        <v>89</v>
      </c>
      <c r="G1609" t="s">
        <v>89</v>
      </c>
      <c r="H1609" t="s">
        <v>93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138</v>
      </c>
      <c r="B1610" t="s">
        <v>722</v>
      </c>
      <c r="C1610" t="s">
        <v>89</v>
      </c>
      <c r="D1610" t="s">
        <v>89</v>
      </c>
      <c r="E1610" t="s">
        <v>254</v>
      </c>
      <c r="F1610" t="s">
        <v>89</v>
      </c>
      <c r="G1610" t="s">
        <v>89</v>
      </c>
      <c r="H1610" t="s">
        <v>93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138</v>
      </c>
      <c r="B1611" t="s">
        <v>199</v>
      </c>
      <c r="C1611" t="s">
        <v>89</v>
      </c>
      <c r="D1611" t="s">
        <v>89</v>
      </c>
      <c r="E1611" t="s">
        <v>200</v>
      </c>
      <c r="F1611" t="s">
        <v>89</v>
      </c>
      <c r="G1611" t="s">
        <v>89</v>
      </c>
      <c r="H1611" t="s">
        <v>93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140</v>
      </c>
      <c r="B1612" t="s">
        <v>1847</v>
      </c>
      <c r="C1612" t="s">
        <v>89</v>
      </c>
      <c r="D1612" t="s">
        <v>89</v>
      </c>
      <c r="E1612" t="s">
        <v>395</v>
      </c>
      <c r="F1612" t="s">
        <v>89</v>
      </c>
      <c r="G1612" t="s">
        <v>89</v>
      </c>
      <c r="H1612" t="s">
        <v>93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140</v>
      </c>
      <c r="B1613" t="s">
        <v>1848</v>
      </c>
      <c r="C1613" t="s">
        <v>89</v>
      </c>
      <c r="D1613" t="s">
        <v>1849</v>
      </c>
      <c r="E1613" t="s">
        <v>354</v>
      </c>
      <c r="F1613" t="s">
        <v>89</v>
      </c>
      <c r="G1613" t="s">
        <v>89</v>
      </c>
      <c r="H1613" t="s">
        <v>93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140</v>
      </c>
      <c r="B1614" t="s">
        <v>1554</v>
      </c>
      <c r="C1614" t="s">
        <v>89</v>
      </c>
      <c r="D1614" t="s">
        <v>89</v>
      </c>
      <c r="E1614" t="s">
        <v>187</v>
      </c>
      <c r="F1614" t="s">
        <v>89</v>
      </c>
      <c r="G1614" t="s">
        <v>89</v>
      </c>
      <c r="H1614" t="s">
        <v>93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140</v>
      </c>
      <c r="B1615" t="s">
        <v>722</v>
      </c>
      <c r="C1615" t="s">
        <v>89</v>
      </c>
      <c r="D1615" t="s">
        <v>89</v>
      </c>
      <c r="E1615" t="s">
        <v>1850</v>
      </c>
      <c r="F1615" t="s">
        <v>89</v>
      </c>
      <c r="G1615" t="s">
        <v>89</v>
      </c>
      <c r="H1615" t="s">
        <v>93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140</v>
      </c>
      <c r="B1616" t="s">
        <v>1027</v>
      </c>
      <c r="C1616" t="s">
        <v>89</v>
      </c>
      <c r="D1616" t="s">
        <v>89</v>
      </c>
      <c r="E1616" t="s">
        <v>1850</v>
      </c>
      <c r="F1616" t="s">
        <v>89</v>
      </c>
      <c r="G1616" t="s">
        <v>89</v>
      </c>
      <c r="H1616" t="s">
        <v>93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140</v>
      </c>
      <c r="B1617" t="s">
        <v>1218</v>
      </c>
      <c r="C1617" t="s">
        <v>89</v>
      </c>
      <c r="D1617" t="s">
        <v>89</v>
      </c>
      <c r="E1617" t="s">
        <v>358</v>
      </c>
      <c r="F1617" t="s">
        <v>89</v>
      </c>
      <c r="G1617" t="s">
        <v>89</v>
      </c>
      <c r="H1617" t="s">
        <v>93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140</v>
      </c>
      <c r="B1618" t="s">
        <v>408</v>
      </c>
      <c r="C1618" t="s">
        <v>89</v>
      </c>
      <c r="D1618" t="s">
        <v>89</v>
      </c>
      <c r="E1618" t="s">
        <v>358</v>
      </c>
      <c r="F1618" t="s">
        <v>89</v>
      </c>
      <c r="G1618" t="s">
        <v>89</v>
      </c>
      <c r="H1618" t="s">
        <v>93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140</v>
      </c>
      <c r="B1619" t="s">
        <v>1851</v>
      </c>
      <c r="C1619" t="s">
        <v>89</v>
      </c>
      <c r="D1619" t="s">
        <v>89</v>
      </c>
      <c r="E1619" t="s">
        <v>190</v>
      </c>
      <c r="F1619" t="s">
        <v>89</v>
      </c>
      <c r="G1619" t="s">
        <v>89</v>
      </c>
      <c r="H1619" t="s">
        <v>93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140</v>
      </c>
      <c r="B1620" t="s">
        <v>838</v>
      </c>
      <c r="C1620" t="s">
        <v>89</v>
      </c>
      <c r="D1620" t="s">
        <v>89</v>
      </c>
      <c r="E1620" t="s">
        <v>425</v>
      </c>
      <c r="F1620" t="s">
        <v>89</v>
      </c>
      <c r="G1620" t="s">
        <v>89</v>
      </c>
      <c r="H1620" t="s">
        <v>93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140</v>
      </c>
      <c r="B1621" t="s">
        <v>429</v>
      </c>
      <c r="C1621" t="s">
        <v>89</v>
      </c>
      <c r="D1621" t="s">
        <v>89</v>
      </c>
      <c r="E1621" t="s">
        <v>358</v>
      </c>
      <c r="F1621" t="s">
        <v>89</v>
      </c>
      <c r="G1621" t="s">
        <v>89</v>
      </c>
      <c r="H1621" t="s">
        <v>93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140</v>
      </c>
      <c r="B1622" t="s">
        <v>424</v>
      </c>
      <c r="C1622" t="s">
        <v>89</v>
      </c>
      <c r="D1622" t="s">
        <v>89</v>
      </c>
      <c r="E1622" t="s">
        <v>395</v>
      </c>
      <c r="F1622" t="s">
        <v>89</v>
      </c>
      <c r="G1622" t="s">
        <v>89</v>
      </c>
      <c r="H1622" t="s">
        <v>93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140</v>
      </c>
      <c r="B1623" t="s">
        <v>1852</v>
      </c>
      <c r="C1623" t="s">
        <v>89</v>
      </c>
      <c r="D1623" t="s">
        <v>89</v>
      </c>
      <c r="E1623" t="s">
        <v>358</v>
      </c>
      <c r="F1623" t="s">
        <v>89</v>
      </c>
      <c r="G1623" t="s">
        <v>89</v>
      </c>
      <c r="H1623" t="s">
        <v>93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140</v>
      </c>
      <c r="B1624" t="s">
        <v>1853</v>
      </c>
      <c r="C1624" t="s">
        <v>89</v>
      </c>
      <c r="D1624" t="s">
        <v>89</v>
      </c>
      <c r="E1624" t="s">
        <v>187</v>
      </c>
      <c r="F1624" t="s">
        <v>89</v>
      </c>
      <c r="G1624" t="s">
        <v>89</v>
      </c>
      <c r="H1624" t="s">
        <v>93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140</v>
      </c>
      <c r="B1625" t="s">
        <v>199</v>
      </c>
      <c r="C1625" t="s">
        <v>89</v>
      </c>
      <c r="D1625" t="s">
        <v>89</v>
      </c>
      <c r="E1625" t="s">
        <v>200</v>
      </c>
      <c r="F1625" t="s">
        <v>89</v>
      </c>
      <c r="G1625" t="s">
        <v>89</v>
      </c>
      <c r="H1625" t="s">
        <v>93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7:34" x14ac:dyDescent="0.25"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7:34" x14ac:dyDescent="0.25"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7:34" x14ac:dyDescent="0.25"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7:34" x14ac:dyDescent="0.25"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7:34" x14ac:dyDescent="0.25"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7:34" x14ac:dyDescent="0.25"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7:34" x14ac:dyDescent="0.25"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7:34" x14ac:dyDescent="0.25"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7:34" x14ac:dyDescent="0.25"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7:34" x14ac:dyDescent="0.25"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7:34" x14ac:dyDescent="0.25"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7:34" x14ac:dyDescent="0.25"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7:34" x14ac:dyDescent="0.25"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7:34" x14ac:dyDescent="0.25"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7:34" x14ac:dyDescent="0.25"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7:34" x14ac:dyDescent="0.25"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7:34" x14ac:dyDescent="0.25"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7:34" x14ac:dyDescent="0.25"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7:34" x14ac:dyDescent="0.25"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7:34" x14ac:dyDescent="0.25"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7:34" x14ac:dyDescent="0.25"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7:34" x14ac:dyDescent="0.25"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7:34" x14ac:dyDescent="0.25"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7:34" x14ac:dyDescent="0.25"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7:34" x14ac:dyDescent="0.25"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7:34" x14ac:dyDescent="0.25"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7:34" x14ac:dyDescent="0.25"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7:34" x14ac:dyDescent="0.25"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7:34" x14ac:dyDescent="0.25"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7:34" x14ac:dyDescent="0.25"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7:34" x14ac:dyDescent="0.25"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7:34" x14ac:dyDescent="0.25"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7:34" x14ac:dyDescent="0.25"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7:34" x14ac:dyDescent="0.25"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7:34" x14ac:dyDescent="0.25"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7:34" x14ac:dyDescent="0.25"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7:34" x14ac:dyDescent="0.25"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7:34" x14ac:dyDescent="0.25"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7:34" x14ac:dyDescent="0.25"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7:34" x14ac:dyDescent="0.25"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7:34" x14ac:dyDescent="0.25"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7:34" x14ac:dyDescent="0.25"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7:34" x14ac:dyDescent="0.25"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7:34" x14ac:dyDescent="0.25"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7:34" x14ac:dyDescent="0.25"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7:34" x14ac:dyDescent="0.25"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7:34" x14ac:dyDescent="0.25"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7:34" x14ac:dyDescent="0.25"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7:34" x14ac:dyDescent="0.25"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7:34" x14ac:dyDescent="0.25"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7:34" x14ac:dyDescent="0.25"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7:34" x14ac:dyDescent="0.25"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7:34" x14ac:dyDescent="0.25"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7:34" x14ac:dyDescent="0.25"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7:34" x14ac:dyDescent="0.25"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7:34" x14ac:dyDescent="0.25"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7:34" x14ac:dyDescent="0.25"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7:34" x14ac:dyDescent="0.25"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7:34" x14ac:dyDescent="0.25"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7:34" x14ac:dyDescent="0.25"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7:34" x14ac:dyDescent="0.25"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7:34" x14ac:dyDescent="0.25"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7:34" x14ac:dyDescent="0.25"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7:34" x14ac:dyDescent="0.25"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7:34" x14ac:dyDescent="0.25"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7:34" x14ac:dyDescent="0.25"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7:34" x14ac:dyDescent="0.25"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7:34" x14ac:dyDescent="0.25"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7:34" x14ac:dyDescent="0.25"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7:34" x14ac:dyDescent="0.25"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7:34" x14ac:dyDescent="0.25"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7:34" x14ac:dyDescent="0.25"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7:34" x14ac:dyDescent="0.25"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7:34" x14ac:dyDescent="0.25"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7:34" x14ac:dyDescent="0.25"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7:34" x14ac:dyDescent="0.25"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7:34" x14ac:dyDescent="0.25"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7:34" x14ac:dyDescent="0.25"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7:34" x14ac:dyDescent="0.25"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7:34" x14ac:dyDescent="0.25"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7:34" x14ac:dyDescent="0.25"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7:34" x14ac:dyDescent="0.25"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7:34" x14ac:dyDescent="0.25"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7:34" x14ac:dyDescent="0.25"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7:34" x14ac:dyDescent="0.25"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7:34" x14ac:dyDescent="0.25"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7:34" x14ac:dyDescent="0.25"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7:34" x14ac:dyDescent="0.25"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7:34" x14ac:dyDescent="0.25"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7:34" x14ac:dyDescent="0.25"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7:34" x14ac:dyDescent="0.25"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7:34" x14ac:dyDescent="0.25"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7:34" x14ac:dyDescent="0.25"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7:34" x14ac:dyDescent="0.25"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7:34" x14ac:dyDescent="0.25"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7:34" x14ac:dyDescent="0.25"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7:34" x14ac:dyDescent="0.25"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7:34" x14ac:dyDescent="0.25"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7:34" x14ac:dyDescent="0.25"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7:34" x14ac:dyDescent="0.25"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7:34" x14ac:dyDescent="0.25"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7:34" x14ac:dyDescent="0.25"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7:34" x14ac:dyDescent="0.25"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7:34" x14ac:dyDescent="0.25"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7:34" x14ac:dyDescent="0.25"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7:34" x14ac:dyDescent="0.25"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7:34" x14ac:dyDescent="0.25"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7:34" x14ac:dyDescent="0.25"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7:34" x14ac:dyDescent="0.25"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7:34" x14ac:dyDescent="0.25"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7:34" x14ac:dyDescent="0.25"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7:34" x14ac:dyDescent="0.25"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7:34" x14ac:dyDescent="0.25"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7:34" x14ac:dyDescent="0.25"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7:34" x14ac:dyDescent="0.25"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7:34" x14ac:dyDescent="0.25"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7:34" x14ac:dyDescent="0.25"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7:34" x14ac:dyDescent="0.25"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7:34" x14ac:dyDescent="0.25"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7:34" x14ac:dyDescent="0.25"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7:34" x14ac:dyDescent="0.25"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7:34" x14ac:dyDescent="0.25"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7:34" x14ac:dyDescent="0.25"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7:34" x14ac:dyDescent="0.25"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7:34" x14ac:dyDescent="0.25"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7:34" x14ac:dyDescent="0.25"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7:34" x14ac:dyDescent="0.25"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7:34" x14ac:dyDescent="0.25"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7:34" x14ac:dyDescent="0.25"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7:34" x14ac:dyDescent="0.25"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7:34" x14ac:dyDescent="0.25"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7:34" x14ac:dyDescent="0.25"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7:34" x14ac:dyDescent="0.25"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7:34" x14ac:dyDescent="0.25"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7:34" x14ac:dyDescent="0.25"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7:34" x14ac:dyDescent="0.25"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7:34" x14ac:dyDescent="0.25"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7:34" x14ac:dyDescent="0.25"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7:34" x14ac:dyDescent="0.25"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7:34" x14ac:dyDescent="0.25"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7:34" x14ac:dyDescent="0.25"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7:34" x14ac:dyDescent="0.25"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7:34" x14ac:dyDescent="0.25"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7:34" x14ac:dyDescent="0.25"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7:34" x14ac:dyDescent="0.25"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7:34" x14ac:dyDescent="0.25"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7:34" x14ac:dyDescent="0.25"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7:34" x14ac:dyDescent="0.25"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7:34" x14ac:dyDescent="0.25"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7:34" x14ac:dyDescent="0.25"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7:34" x14ac:dyDescent="0.25"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7:34" x14ac:dyDescent="0.25"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7:34" x14ac:dyDescent="0.25"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7:34" x14ac:dyDescent="0.25"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7:34" x14ac:dyDescent="0.25"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7:34" x14ac:dyDescent="0.25"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7:34" x14ac:dyDescent="0.25"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7:34" x14ac:dyDescent="0.25"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7:34" x14ac:dyDescent="0.25"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7:34" x14ac:dyDescent="0.25"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7:34" x14ac:dyDescent="0.25"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7:34" x14ac:dyDescent="0.25"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7:34" x14ac:dyDescent="0.25"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7:34" x14ac:dyDescent="0.25"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7:34" x14ac:dyDescent="0.25"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7:34" x14ac:dyDescent="0.25"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7:34" x14ac:dyDescent="0.25"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7:34" x14ac:dyDescent="0.25"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7:34" x14ac:dyDescent="0.25"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7:34" x14ac:dyDescent="0.25"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7:34" x14ac:dyDescent="0.25"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7:34" x14ac:dyDescent="0.25"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7:34" x14ac:dyDescent="0.25"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7:34" x14ac:dyDescent="0.25"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7:34" x14ac:dyDescent="0.25"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7:34" x14ac:dyDescent="0.25"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7:34" x14ac:dyDescent="0.25"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7:34" x14ac:dyDescent="0.25"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7:34" x14ac:dyDescent="0.25"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7:34" x14ac:dyDescent="0.25"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7:34" x14ac:dyDescent="0.25"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7:34" x14ac:dyDescent="0.25"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7:34" x14ac:dyDescent="0.25"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7:34" x14ac:dyDescent="0.25"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7:34" x14ac:dyDescent="0.25"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7:34" x14ac:dyDescent="0.25"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7:34" x14ac:dyDescent="0.25"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7:34" x14ac:dyDescent="0.25"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7:34" x14ac:dyDescent="0.25"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7:34" x14ac:dyDescent="0.25"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7:34" x14ac:dyDescent="0.25"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7:34" x14ac:dyDescent="0.25"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7:34" x14ac:dyDescent="0.25"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7:34" x14ac:dyDescent="0.25"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7:34" x14ac:dyDescent="0.25"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7:34" x14ac:dyDescent="0.25"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7:34" x14ac:dyDescent="0.25"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7:34" x14ac:dyDescent="0.25"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7:34" x14ac:dyDescent="0.25"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7:34" x14ac:dyDescent="0.25"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7:34" x14ac:dyDescent="0.25"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7:34" x14ac:dyDescent="0.25"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7:34" x14ac:dyDescent="0.25"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7:34" x14ac:dyDescent="0.25"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7:34" x14ac:dyDescent="0.25"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7:34" x14ac:dyDescent="0.25"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7:34" x14ac:dyDescent="0.25"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7:34" x14ac:dyDescent="0.25"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7:34" x14ac:dyDescent="0.25"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7:34" x14ac:dyDescent="0.25"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7:34" x14ac:dyDescent="0.25"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7:34" x14ac:dyDescent="0.25"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7:34" x14ac:dyDescent="0.25"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7:34" x14ac:dyDescent="0.25"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7:34" x14ac:dyDescent="0.25"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7:34" x14ac:dyDescent="0.25"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7:34" x14ac:dyDescent="0.25"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7:34" x14ac:dyDescent="0.25"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7:34" x14ac:dyDescent="0.25"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7:34" x14ac:dyDescent="0.25"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7:34" x14ac:dyDescent="0.25"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7:34" x14ac:dyDescent="0.25"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7:34" x14ac:dyDescent="0.25"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7:34" x14ac:dyDescent="0.25"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7:34" x14ac:dyDescent="0.25"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7:34" x14ac:dyDescent="0.25"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7:34" x14ac:dyDescent="0.25"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7:34" x14ac:dyDescent="0.25"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7:34" x14ac:dyDescent="0.25"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7:34" x14ac:dyDescent="0.25"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7:34" x14ac:dyDescent="0.25"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7:34" x14ac:dyDescent="0.25"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7:34" x14ac:dyDescent="0.25"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7:34" x14ac:dyDescent="0.25"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7:34" x14ac:dyDescent="0.25"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7:34" x14ac:dyDescent="0.25"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7:34" x14ac:dyDescent="0.25"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7:34" x14ac:dyDescent="0.25"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7:34" x14ac:dyDescent="0.25"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7:34" x14ac:dyDescent="0.25"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7:34" x14ac:dyDescent="0.25"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7:34" x14ac:dyDescent="0.25"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7:34" x14ac:dyDescent="0.25"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7:34" x14ac:dyDescent="0.25"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7:34" x14ac:dyDescent="0.25"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7:34" x14ac:dyDescent="0.25"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7:34" x14ac:dyDescent="0.25"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7:34" x14ac:dyDescent="0.25"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7:34" x14ac:dyDescent="0.25"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7:34" x14ac:dyDescent="0.25"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7:34" x14ac:dyDescent="0.25"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7:34" x14ac:dyDescent="0.25"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7:34" x14ac:dyDescent="0.25"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7:34" x14ac:dyDescent="0.25"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7:34" x14ac:dyDescent="0.25"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7:34" x14ac:dyDescent="0.25"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7:34" x14ac:dyDescent="0.25"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7:34" x14ac:dyDescent="0.25"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7:34" x14ac:dyDescent="0.25"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7:34" x14ac:dyDescent="0.25"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7:34" x14ac:dyDescent="0.25"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7:34" x14ac:dyDescent="0.25"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7:34" x14ac:dyDescent="0.25"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7:34" x14ac:dyDescent="0.25"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7:34" x14ac:dyDescent="0.25"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7:34" x14ac:dyDescent="0.25"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7:34" x14ac:dyDescent="0.25"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7:34" x14ac:dyDescent="0.25"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7:34" x14ac:dyDescent="0.25"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7:34" x14ac:dyDescent="0.25"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7:34" x14ac:dyDescent="0.25"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7:34" x14ac:dyDescent="0.25"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7:34" x14ac:dyDescent="0.25"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7:34" x14ac:dyDescent="0.25"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7:34" x14ac:dyDescent="0.25"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7:34" x14ac:dyDescent="0.25"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7:34" x14ac:dyDescent="0.25"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7:34" x14ac:dyDescent="0.25"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7:34" x14ac:dyDescent="0.25"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7:34" x14ac:dyDescent="0.25"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7:34" x14ac:dyDescent="0.25"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7:34" x14ac:dyDescent="0.25"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7:34" x14ac:dyDescent="0.25"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7:34" x14ac:dyDescent="0.25"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7:34" x14ac:dyDescent="0.25"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7:34" x14ac:dyDescent="0.25"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7:34" x14ac:dyDescent="0.25"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7:34" x14ac:dyDescent="0.25"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7:34" x14ac:dyDescent="0.25"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7:34" x14ac:dyDescent="0.25"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7:34" x14ac:dyDescent="0.25"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7:34" x14ac:dyDescent="0.25"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7:34" x14ac:dyDescent="0.25"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7:34" x14ac:dyDescent="0.25"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7:34" x14ac:dyDescent="0.25"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7:34" x14ac:dyDescent="0.25"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7:34" x14ac:dyDescent="0.25"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7:34" x14ac:dyDescent="0.25"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7:34" x14ac:dyDescent="0.25"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7:34" x14ac:dyDescent="0.25"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7:34" x14ac:dyDescent="0.25"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7:34" x14ac:dyDescent="0.25"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7:34" x14ac:dyDescent="0.25"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7:34" x14ac:dyDescent="0.25"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7:34" x14ac:dyDescent="0.25"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7:34" x14ac:dyDescent="0.25"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7:34" x14ac:dyDescent="0.25"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7:34" x14ac:dyDescent="0.25"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7:34" x14ac:dyDescent="0.25"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7:34" x14ac:dyDescent="0.25"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7:34" x14ac:dyDescent="0.25"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7:34" x14ac:dyDescent="0.25"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7:34" x14ac:dyDescent="0.25"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7:34" x14ac:dyDescent="0.25"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7:34" x14ac:dyDescent="0.25"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7:34" x14ac:dyDescent="0.25"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7:34" x14ac:dyDescent="0.25"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7:34" x14ac:dyDescent="0.25"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7:34" x14ac:dyDescent="0.25"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7:34" x14ac:dyDescent="0.25"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7:34" x14ac:dyDescent="0.25"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7:34" x14ac:dyDescent="0.25"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7:34" x14ac:dyDescent="0.25"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7:34" x14ac:dyDescent="0.25"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7:34" x14ac:dyDescent="0.25"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7:34" x14ac:dyDescent="0.25"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7:34" x14ac:dyDescent="0.25"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7:34" x14ac:dyDescent="0.25"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7:34" x14ac:dyDescent="0.25"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7:34" x14ac:dyDescent="0.25"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7:34" x14ac:dyDescent="0.25"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7:34" x14ac:dyDescent="0.25"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7:34" x14ac:dyDescent="0.25"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7:34" x14ac:dyDescent="0.25"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7:34" x14ac:dyDescent="0.25"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7:34" x14ac:dyDescent="0.25"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7:34" x14ac:dyDescent="0.25"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7:34" x14ac:dyDescent="0.25"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7:34" x14ac:dyDescent="0.25"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7:34" x14ac:dyDescent="0.25"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7:34" x14ac:dyDescent="0.25"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7:34" x14ac:dyDescent="0.25"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7:34" x14ac:dyDescent="0.25"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7:34" x14ac:dyDescent="0.25"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7:34" x14ac:dyDescent="0.25"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7:34" x14ac:dyDescent="0.25"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7:34" x14ac:dyDescent="0.25"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7:34" x14ac:dyDescent="0.25"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7:34" x14ac:dyDescent="0.25"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7:34" x14ac:dyDescent="0.25"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7:34" x14ac:dyDescent="0.25"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7:34" x14ac:dyDescent="0.25"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7:34" x14ac:dyDescent="0.25"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7:34" x14ac:dyDescent="0.25"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7:34" x14ac:dyDescent="0.25"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7:34" x14ac:dyDescent="0.25"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7:34" x14ac:dyDescent="0.25"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7:34" x14ac:dyDescent="0.25"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7:34" x14ac:dyDescent="0.25"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7:34" x14ac:dyDescent="0.25"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7:34" x14ac:dyDescent="0.25"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7:34" x14ac:dyDescent="0.25"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7:34" x14ac:dyDescent="0.25"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7:34" x14ac:dyDescent="0.25"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7:34" x14ac:dyDescent="0.25"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7:34" x14ac:dyDescent="0.25"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7:34" x14ac:dyDescent="0.25"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7:34" x14ac:dyDescent="0.25"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7:34" x14ac:dyDescent="0.25"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7:34" x14ac:dyDescent="0.25"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7:34" x14ac:dyDescent="0.25"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7:34" x14ac:dyDescent="0.25"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7:34" x14ac:dyDescent="0.25"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7:34" x14ac:dyDescent="0.25"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7:34" x14ac:dyDescent="0.25"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7:34" x14ac:dyDescent="0.25"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7:34" x14ac:dyDescent="0.25"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7:34" x14ac:dyDescent="0.25"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7:34" x14ac:dyDescent="0.25"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7:34" x14ac:dyDescent="0.25"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7:34" x14ac:dyDescent="0.25"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7:34" x14ac:dyDescent="0.25"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7:34" x14ac:dyDescent="0.25"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7:34" x14ac:dyDescent="0.25"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7:34" x14ac:dyDescent="0.25"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7:34" x14ac:dyDescent="0.25"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7:34" x14ac:dyDescent="0.25"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7:34" x14ac:dyDescent="0.25"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7:34" x14ac:dyDescent="0.25"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7:34" x14ac:dyDescent="0.25"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7:34" x14ac:dyDescent="0.25"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7:34" x14ac:dyDescent="0.25"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7:34" x14ac:dyDescent="0.25"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7:34" x14ac:dyDescent="0.25"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7:34" x14ac:dyDescent="0.25"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7:34" x14ac:dyDescent="0.25"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7:34" x14ac:dyDescent="0.25"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7:34" x14ac:dyDescent="0.25"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7:34" x14ac:dyDescent="0.25"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7:34" x14ac:dyDescent="0.25"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7:34" x14ac:dyDescent="0.25"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7:34" x14ac:dyDescent="0.25"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7:34" x14ac:dyDescent="0.25"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7:34" x14ac:dyDescent="0.25"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7:34" x14ac:dyDescent="0.25"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7:34" x14ac:dyDescent="0.25"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7:34" x14ac:dyDescent="0.25"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7:34" x14ac:dyDescent="0.25"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7:34" x14ac:dyDescent="0.25"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7:34" x14ac:dyDescent="0.25"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7:34" x14ac:dyDescent="0.25"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7:34" x14ac:dyDescent="0.25"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7:34" x14ac:dyDescent="0.25"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7:34" x14ac:dyDescent="0.25"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7:34" x14ac:dyDescent="0.25"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7:34" x14ac:dyDescent="0.25"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7:34" x14ac:dyDescent="0.25"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7:34" x14ac:dyDescent="0.25"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7:34" x14ac:dyDescent="0.25"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7:34" x14ac:dyDescent="0.25"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7:34" x14ac:dyDescent="0.25"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7:34" x14ac:dyDescent="0.25"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7:34" x14ac:dyDescent="0.25"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7:34" x14ac:dyDescent="0.25"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7:34" x14ac:dyDescent="0.25"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7:34" x14ac:dyDescent="0.25"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7:34" x14ac:dyDescent="0.25"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7:34" x14ac:dyDescent="0.25"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7:34" x14ac:dyDescent="0.25"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7:34" x14ac:dyDescent="0.25"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7:34" x14ac:dyDescent="0.25"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7:34" x14ac:dyDescent="0.25"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7:34" x14ac:dyDescent="0.25"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7:34" x14ac:dyDescent="0.25"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7:34" x14ac:dyDescent="0.25"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7:34" x14ac:dyDescent="0.25"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7:34" x14ac:dyDescent="0.25"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7:34" x14ac:dyDescent="0.25"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7:34" x14ac:dyDescent="0.25"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7:34" x14ac:dyDescent="0.25"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7:34" x14ac:dyDescent="0.25"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7:34" x14ac:dyDescent="0.25"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7:34" x14ac:dyDescent="0.25"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7:34" x14ac:dyDescent="0.25"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7:34" x14ac:dyDescent="0.25"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7:34" x14ac:dyDescent="0.25"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7:34" x14ac:dyDescent="0.25"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7:34" x14ac:dyDescent="0.25"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7:34" x14ac:dyDescent="0.25"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7:34" x14ac:dyDescent="0.25"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7:34" x14ac:dyDescent="0.25"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7:34" x14ac:dyDescent="0.25"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7:34" x14ac:dyDescent="0.25"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7:34" x14ac:dyDescent="0.25"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7:34" x14ac:dyDescent="0.25"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7:34" x14ac:dyDescent="0.25"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7:34" x14ac:dyDescent="0.25"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7:34" x14ac:dyDescent="0.25"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7:34" x14ac:dyDescent="0.25"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7:34" x14ac:dyDescent="0.25"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7:34" x14ac:dyDescent="0.25"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7:34" x14ac:dyDescent="0.25"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7:34" x14ac:dyDescent="0.25"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7:34" x14ac:dyDescent="0.25"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7:34" x14ac:dyDescent="0.25"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7:34" x14ac:dyDescent="0.25"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7:34" x14ac:dyDescent="0.25"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7:34" x14ac:dyDescent="0.25"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7:34" x14ac:dyDescent="0.25"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7:34" x14ac:dyDescent="0.25"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7:34" x14ac:dyDescent="0.25"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7:34" x14ac:dyDescent="0.25"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7:34" x14ac:dyDescent="0.25"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7:34" x14ac:dyDescent="0.25"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7:34" x14ac:dyDescent="0.25"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7:34" x14ac:dyDescent="0.25"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7:34" x14ac:dyDescent="0.25"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7:34" x14ac:dyDescent="0.25"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7:34" x14ac:dyDescent="0.25"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7:34" x14ac:dyDescent="0.25"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7:34" x14ac:dyDescent="0.25"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7:34" x14ac:dyDescent="0.25"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7:34" x14ac:dyDescent="0.25"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7:34" x14ac:dyDescent="0.25"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7:34" x14ac:dyDescent="0.25"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7:34" x14ac:dyDescent="0.25"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7:34" x14ac:dyDescent="0.25"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7:34" x14ac:dyDescent="0.25"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7:34" x14ac:dyDescent="0.25"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7:34" x14ac:dyDescent="0.25"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7:34" x14ac:dyDescent="0.25"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7:34" x14ac:dyDescent="0.25"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7:34" x14ac:dyDescent="0.25"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7:34" x14ac:dyDescent="0.25"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7:34" x14ac:dyDescent="0.25"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7:34" x14ac:dyDescent="0.25"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7:34" x14ac:dyDescent="0.25"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7:34" x14ac:dyDescent="0.25"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7:34" x14ac:dyDescent="0.25"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7:34" x14ac:dyDescent="0.25"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7:34" x14ac:dyDescent="0.25"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7:34" x14ac:dyDescent="0.25"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7:34" x14ac:dyDescent="0.25"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7:34" x14ac:dyDescent="0.25"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7:34" x14ac:dyDescent="0.25"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7:34" x14ac:dyDescent="0.25"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7:34" x14ac:dyDescent="0.25"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7:34" x14ac:dyDescent="0.25"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7:34" x14ac:dyDescent="0.25"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7:34" x14ac:dyDescent="0.25"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7:34" x14ac:dyDescent="0.25"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7:34" x14ac:dyDescent="0.25"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7:34" x14ac:dyDescent="0.25"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7:34" x14ac:dyDescent="0.25"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7:34" x14ac:dyDescent="0.25"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7:34" x14ac:dyDescent="0.25"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7:34" x14ac:dyDescent="0.25"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7:34" x14ac:dyDescent="0.25"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7:34" x14ac:dyDescent="0.25"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7:34" x14ac:dyDescent="0.25"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7:34" x14ac:dyDescent="0.25"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7:34" x14ac:dyDescent="0.25"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7:34" x14ac:dyDescent="0.25"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7:34" x14ac:dyDescent="0.25"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7:34" x14ac:dyDescent="0.25"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7:34" x14ac:dyDescent="0.25"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7:34" x14ac:dyDescent="0.25"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7:34" x14ac:dyDescent="0.25"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7:34" x14ac:dyDescent="0.25"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7:34" x14ac:dyDescent="0.25"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7:34" x14ac:dyDescent="0.25"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7:34" x14ac:dyDescent="0.25"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7:34" x14ac:dyDescent="0.25"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7:34" x14ac:dyDescent="0.25"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7:34" x14ac:dyDescent="0.25"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7:34" x14ac:dyDescent="0.25"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7:34" x14ac:dyDescent="0.25"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7:34" x14ac:dyDescent="0.25"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7:34" x14ac:dyDescent="0.25"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7:34" x14ac:dyDescent="0.25"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7:34" x14ac:dyDescent="0.25"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7:34" x14ac:dyDescent="0.25"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7:34" x14ac:dyDescent="0.25"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7:34" x14ac:dyDescent="0.25"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7:34" x14ac:dyDescent="0.25"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7:34" x14ac:dyDescent="0.25"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7:34" x14ac:dyDescent="0.25"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7:34" x14ac:dyDescent="0.25"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7:34" x14ac:dyDescent="0.25"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7:34" x14ac:dyDescent="0.25"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7:34" x14ac:dyDescent="0.25"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7:34" x14ac:dyDescent="0.25"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7:34" x14ac:dyDescent="0.25"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7:34" x14ac:dyDescent="0.25"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7:34" x14ac:dyDescent="0.25"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7:34" x14ac:dyDescent="0.25"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7:34" x14ac:dyDescent="0.25"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7:34" x14ac:dyDescent="0.25"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7:34" x14ac:dyDescent="0.25"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7:34" x14ac:dyDescent="0.25"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7:34" x14ac:dyDescent="0.25"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7:34" x14ac:dyDescent="0.25"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7:34" x14ac:dyDescent="0.25"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7:34" x14ac:dyDescent="0.25"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7:34" x14ac:dyDescent="0.25"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7:34" x14ac:dyDescent="0.25"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7:34" x14ac:dyDescent="0.25"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7:34" x14ac:dyDescent="0.25"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7:34" x14ac:dyDescent="0.25"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7:34" x14ac:dyDescent="0.25"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7:34" x14ac:dyDescent="0.25"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7:34" x14ac:dyDescent="0.25"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7:34" x14ac:dyDescent="0.25"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7:34" x14ac:dyDescent="0.25"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7:34" x14ac:dyDescent="0.25"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7:34" x14ac:dyDescent="0.25"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7:34" x14ac:dyDescent="0.25"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7:34" x14ac:dyDescent="0.25"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7:34" x14ac:dyDescent="0.25"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7:34" x14ac:dyDescent="0.25"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7:34" x14ac:dyDescent="0.25"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7:34" x14ac:dyDescent="0.25"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7:34" x14ac:dyDescent="0.25"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7:34" x14ac:dyDescent="0.25"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7:34" x14ac:dyDescent="0.25"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7:34" x14ac:dyDescent="0.25"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7:34" x14ac:dyDescent="0.25"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7:34" x14ac:dyDescent="0.25"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7:34" x14ac:dyDescent="0.25"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7:34" x14ac:dyDescent="0.25"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7:34" x14ac:dyDescent="0.25"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7:34" x14ac:dyDescent="0.25"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7:34" x14ac:dyDescent="0.25"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7:34" x14ac:dyDescent="0.25"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7:34" x14ac:dyDescent="0.25"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7:34" x14ac:dyDescent="0.25"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7:34" x14ac:dyDescent="0.25"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7:34" x14ac:dyDescent="0.25"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7:34" x14ac:dyDescent="0.25"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7:34" x14ac:dyDescent="0.25"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7:34" x14ac:dyDescent="0.25"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7:34" x14ac:dyDescent="0.25"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7:34" x14ac:dyDescent="0.25"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7:34" x14ac:dyDescent="0.25"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7:34" x14ac:dyDescent="0.25"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7:34" x14ac:dyDescent="0.25"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7:34" x14ac:dyDescent="0.25"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7:34" x14ac:dyDescent="0.25"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7:34" x14ac:dyDescent="0.25"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7:34" x14ac:dyDescent="0.25"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7:34" x14ac:dyDescent="0.25"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7:34" x14ac:dyDescent="0.25"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7:34" x14ac:dyDescent="0.25"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7:34" x14ac:dyDescent="0.25"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7:34" x14ac:dyDescent="0.25"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7:34" x14ac:dyDescent="0.25"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7:34" x14ac:dyDescent="0.25"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7:34" x14ac:dyDescent="0.25"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7:34" x14ac:dyDescent="0.25"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7:34" x14ac:dyDescent="0.25"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7:34" x14ac:dyDescent="0.25"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7:34" x14ac:dyDescent="0.25"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7:34" x14ac:dyDescent="0.25"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7:34" x14ac:dyDescent="0.25"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7:34" x14ac:dyDescent="0.25"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7:34" x14ac:dyDescent="0.25"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7:34" x14ac:dyDescent="0.25"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7:34" x14ac:dyDescent="0.25"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7:34" x14ac:dyDescent="0.25"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7:34" x14ac:dyDescent="0.25"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7:34" x14ac:dyDescent="0.25"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7:34" x14ac:dyDescent="0.25"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7:34" x14ac:dyDescent="0.25"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7:34" x14ac:dyDescent="0.25"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7:34" x14ac:dyDescent="0.25"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7:34" x14ac:dyDescent="0.25"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7:34" x14ac:dyDescent="0.25"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7:34" x14ac:dyDescent="0.25"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7:34" x14ac:dyDescent="0.25"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7:34" x14ac:dyDescent="0.25"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7:34" x14ac:dyDescent="0.25"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7:34" x14ac:dyDescent="0.25"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7:34" x14ac:dyDescent="0.25"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7:34" x14ac:dyDescent="0.25"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7:34" x14ac:dyDescent="0.25"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7:34" x14ac:dyDescent="0.25"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7:34" x14ac:dyDescent="0.25"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7:34" x14ac:dyDescent="0.25"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7:34" x14ac:dyDescent="0.25"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7:34" x14ac:dyDescent="0.25"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7:34" x14ac:dyDescent="0.25"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7:34" x14ac:dyDescent="0.25"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7:34" x14ac:dyDescent="0.25"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7:34" x14ac:dyDescent="0.25"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7:34" x14ac:dyDescent="0.25"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7:34" x14ac:dyDescent="0.25"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7:34" x14ac:dyDescent="0.25"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7:34" x14ac:dyDescent="0.25"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7:34" x14ac:dyDescent="0.25"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7:34" x14ac:dyDescent="0.25"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7:34" x14ac:dyDescent="0.25"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7:34" x14ac:dyDescent="0.25"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7:34" x14ac:dyDescent="0.25"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7:34" x14ac:dyDescent="0.25"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7:34" x14ac:dyDescent="0.25"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7:34" x14ac:dyDescent="0.25"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7:34" x14ac:dyDescent="0.25"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7:34" x14ac:dyDescent="0.25"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7:34" x14ac:dyDescent="0.25"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7:34" x14ac:dyDescent="0.25"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7:34" x14ac:dyDescent="0.25"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7:34" x14ac:dyDescent="0.25"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7:34" x14ac:dyDescent="0.25"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7:34" x14ac:dyDescent="0.25"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7:34" x14ac:dyDescent="0.25"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7:34" x14ac:dyDescent="0.25"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7:34" x14ac:dyDescent="0.25"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7:34" x14ac:dyDescent="0.25"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7:34" x14ac:dyDescent="0.25"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7:34" x14ac:dyDescent="0.25"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7:34" x14ac:dyDescent="0.25"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7:34" x14ac:dyDescent="0.25"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7:34" x14ac:dyDescent="0.25"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7:34" x14ac:dyDescent="0.25"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7:34" x14ac:dyDescent="0.25"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7:34" x14ac:dyDescent="0.25"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7:34" x14ac:dyDescent="0.25"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7:34" x14ac:dyDescent="0.25"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7:34" x14ac:dyDescent="0.25"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7:34" x14ac:dyDescent="0.25"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7:34" x14ac:dyDescent="0.25"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7:34" x14ac:dyDescent="0.25"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7:34" x14ac:dyDescent="0.25"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7:34" x14ac:dyDescent="0.25"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7:34" x14ac:dyDescent="0.25"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7:34" x14ac:dyDescent="0.25"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7:34" x14ac:dyDescent="0.25"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7:34" x14ac:dyDescent="0.25"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7:34" x14ac:dyDescent="0.25"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7:34" x14ac:dyDescent="0.25"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7:34" x14ac:dyDescent="0.25"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7:34" x14ac:dyDescent="0.25"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7:34" x14ac:dyDescent="0.25"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7:34" x14ac:dyDescent="0.25"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7:34" x14ac:dyDescent="0.25"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7:34" x14ac:dyDescent="0.25"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7:34" x14ac:dyDescent="0.25"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7:34" x14ac:dyDescent="0.25"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7:34" x14ac:dyDescent="0.25"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7:34" x14ac:dyDescent="0.25"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7:34" x14ac:dyDescent="0.25"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7:34" x14ac:dyDescent="0.25"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7:34" x14ac:dyDescent="0.25"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7:34" x14ac:dyDescent="0.25"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7:34" x14ac:dyDescent="0.25"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7:34" x14ac:dyDescent="0.25"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7:34" x14ac:dyDescent="0.25"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7:34" x14ac:dyDescent="0.25"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7:34" x14ac:dyDescent="0.25"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7:34" x14ac:dyDescent="0.25"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7:34" x14ac:dyDescent="0.25"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7:34" x14ac:dyDescent="0.25"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7:34" x14ac:dyDescent="0.25"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7:34" x14ac:dyDescent="0.25"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7:34" x14ac:dyDescent="0.25"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7:34" x14ac:dyDescent="0.25"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7:34" x14ac:dyDescent="0.25"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7:34" x14ac:dyDescent="0.25"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7:34" x14ac:dyDescent="0.25"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7:34" x14ac:dyDescent="0.25"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7:34" x14ac:dyDescent="0.25"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7:34" x14ac:dyDescent="0.25"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7:34" x14ac:dyDescent="0.25"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7:34" x14ac:dyDescent="0.25"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7:34" x14ac:dyDescent="0.25"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7:34" x14ac:dyDescent="0.25"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7:34" x14ac:dyDescent="0.25"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7:34" x14ac:dyDescent="0.25"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7:34" x14ac:dyDescent="0.25"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7:34" x14ac:dyDescent="0.25"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7:34" x14ac:dyDescent="0.25"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7:34" x14ac:dyDescent="0.25"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7:34" x14ac:dyDescent="0.25"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7:34" x14ac:dyDescent="0.25"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7:34" x14ac:dyDescent="0.25"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7:34" x14ac:dyDescent="0.25"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7:34" x14ac:dyDescent="0.25"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7:34" x14ac:dyDescent="0.25"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7:34" x14ac:dyDescent="0.25"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7:34" x14ac:dyDescent="0.25"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7:34" x14ac:dyDescent="0.25"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7:34" x14ac:dyDescent="0.25"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7:34" x14ac:dyDescent="0.25"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7:34" x14ac:dyDescent="0.25"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7:34" x14ac:dyDescent="0.25"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7:34" x14ac:dyDescent="0.25"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7:34" x14ac:dyDescent="0.25"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7:34" x14ac:dyDescent="0.25"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7:34" x14ac:dyDescent="0.25"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7:34" x14ac:dyDescent="0.25"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7:34" x14ac:dyDescent="0.25"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7:34" x14ac:dyDescent="0.25"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7:34" x14ac:dyDescent="0.25"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7:34" x14ac:dyDescent="0.25"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7:34" x14ac:dyDescent="0.25"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7:34" x14ac:dyDescent="0.25"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7:34" x14ac:dyDescent="0.25"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7:34" x14ac:dyDescent="0.25"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7:34" x14ac:dyDescent="0.25"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7:34" x14ac:dyDescent="0.25"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7:34" x14ac:dyDescent="0.25"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7:34" x14ac:dyDescent="0.25"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7:34" x14ac:dyDescent="0.25"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7:34" x14ac:dyDescent="0.25"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7:34" x14ac:dyDescent="0.25"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7:34" x14ac:dyDescent="0.25"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7:34" x14ac:dyDescent="0.25"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7:34" x14ac:dyDescent="0.25"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7:34" x14ac:dyDescent="0.25"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7:34" x14ac:dyDescent="0.25"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7:34" x14ac:dyDescent="0.25"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7:34" x14ac:dyDescent="0.25"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7:34" x14ac:dyDescent="0.25"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7:34" x14ac:dyDescent="0.25"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7:34" x14ac:dyDescent="0.25"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7:34" x14ac:dyDescent="0.25"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7:34" x14ac:dyDescent="0.25"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7:34" x14ac:dyDescent="0.25"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7:34" x14ac:dyDescent="0.25"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7:34" x14ac:dyDescent="0.25"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7:34" x14ac:dyDescent="0.25"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7:34" x14ac:dyDescent="0.25"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7:34" x14ac:dyDescent="0.25"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7:34" x14ac:dyDescent="0.25"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7:34" x14ac:dyDescent="0.25"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7:34" x14ac:dyDescent="0.25"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7:34" x14ac:dyDescent="0.25"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7:34" x14ac:dyDescent="0.25"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7:34" x14ac:dyDescent="0.25"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7:34" x14ac:dyDescent="0.25"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7:34" x14ac:dyDescent="0.25"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7:34" x14ac:dyDescent="0.25"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7:34" x14ac:dyDescent="0.25"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7:34" x14ac:dyDescent="0.25"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7:34" x14ac:dyDescent="0.25"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7:34" x14ac:dyDescent="0.25"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7:34" x14ac:dyDescent="0.25"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7:34" x14ac:dyDescent="0.25"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7:34" x14ac:dyDescent="0.25"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7:34" x14ac:dyDescent="0.25"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7:34" x14ac:dyDescent="0.25"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7:34" x14ac:dyDescent="0.25"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7:34" x14ac:dyDescent="0.25"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7:34" x14ac:dyDescent="0.25"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7:34" x14ac:dyDescent="0.25"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7:34" x14ac:dyDescent="0.25"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7:34" x14ac:dyDescent="0.25"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7:34" x14ac:dyDescent="0.25"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7:34" x14ac:dyDescent="0.25"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7:34" x14ac:dyDescent="0.25"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7:34" x14ac:dyDescent="0.25"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7:34" x14ac:dyDescent="0.25"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7:34" x14ac:dyDescent="0.25"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7:34" x14ac:dyDescent="0.25"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7:34" x14ac:dyDescent="0.25"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7:34" x14ac:dyDescent="0.25"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7:34" x14ac:dyDescent="0.25"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7:34" x14ac:dyDescent="0.25"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7:34" x14ac:dyDescent="0.25"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7:34" x14ac:dyDescent="0.25"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7:34" x14ac:dyDescent="0.25"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7:34" x14ac:dyDescent="0.25"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7:34" x14ac:dyDescent="0.25"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7:34" x14ac:dyDescent="0.25"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7:34" x14ac:dyDescent="0.25"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7:34" x14ac:dyDescent="0.25"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7:34" x14ac:dyDescent="0.25"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7:34" x14ac:dyDescent="0.25"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7:34" x14ac:dyDescent="0.25"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7:34" x14ac:dyDescent="0.25"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7:34" x14ac:dyDescent="0.25"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7:34" x14ac:dyDescent="0.25"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7:34" x14ac:dyDescent="0.25"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7:34" x14ac:dyDescent="0.25"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7:34" x14ac:dyDescent="0.25"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7:34" x14ac:dyDescent="0.25"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7:34" x14ac:dyDescent="0.25"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7:34" x14ac:dyDescent="0.25"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7:34" x14ac:dyDescent="0.25"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7:34" x14ac:dyDescent="0.25"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7:34" x14ac:dyDescent="0.25"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7:34" x14ac:dyDescent="0.25"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7:34" x14ac:dyDescent="0.25"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7:34" x14ac:dyDescent="0.25"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7:34" x14ac:dyDescent="0.25"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7:34" x14ac:dyDescent="0.25"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7:34" x14ac:dyDescent="0.25"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7:34" x14ac:dyDescent="0.25"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7:34" x14ac:dyDescent="0.25"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7:34" x14ac:dyDescent="0.25"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7:34" x14ac:dyDescent="0.25"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7:34" x14ac:dyDescent="0.25"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7:34" x14ac:dyDescent="0.25"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7:34" x14ac:dyDescent="0.25"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8:34" x14ac:dyDescent="0.25"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8:34" x14ac:dyDescent="0.25"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8:34" x14ac:dyDescent="0.25"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8:34" x14ac:dyDescent="0.25"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8:34" x14ac:dyDescent="0.25"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8:34" x14ac:dyDescent="0.25"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8:34" x14ac:dyDescent="0.25"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8:34" x14ac:dyDescent="0.25"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8:34" x14ac:dyDescent="0.25"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8:34" x14ac:dyDescent="0.25"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8:34" x14ac:dyDescent="0.25"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8:34" x14ac:dyDescent="0.25"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8:34" x14ac:dyDescent="0.25"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8:34" x14ac:dyDescent="0.25"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8:34" x14ac:dyDescent="0.25"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8:34" x14ac:dyDescent="0.25"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8:34" x14ac:dyDescent="0.25"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8:34" x14ac:dyDescent="0.25"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8:34" x14ac:dyDescent="0.25"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8:34" x14ac:dyDescent="0.25"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8:34" x14ac:dyDescent="0.25"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8:34" x14ac:dyDescent="0.25"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8:34" x14ac:dyDescent="0.25"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8:34" x14ac:dyDescent="0.25"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8:34" x14ac:dyDescent="0.25"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8:34" x14ac:dyDescent="0.25"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8:34" x14ac:dyDescent="0.25"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8:34" x14ac:dyDescent="0.25"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8:34" x14ac:dyDescent="0.25"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8:34" x14ac:dyDescent="0.25"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8:34" x14ac:dyDescent="0.25"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8:34" x14ac:dyDescent="0.25"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8:34" x14ac:dyDescent="0.25"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8:34" x14ac:dyDescent="0.25"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8:34" x14ac:dyDescent="0.25"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8:34" x14ac:dyDescent="0.25"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8:34" x14ac:dyDescent="0.25"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8:34" x14ac:dyDescent="0.25"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8:34" x14ac:dyDescent="0.25"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8:34" x14ac:dyDescent="0.25"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8:34" x14ac:dyDescent="0.25"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8:34" x14ac:dyDescent="0.25"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8:34" x14ac:dyDescent="0.25"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8:34" x14ac:dyDescent="0.25"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8:34" x14ac:dyDescent="0.25"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8:34" x14ac:dyDescent="0.25"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8:34" x14ac:dyDescent="0.25"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8:34" x14ac:dyDescent="0.25"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8:34" x14ac:dyDescent="0.25"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8:34" x14ac:dyDescent="0.25"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8:34" x14ac:dyDescent="0.25"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8:34" x14ac:dyDescent="0.25"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8:34" x14ac:dyDescent="0.25"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8:34" x14ac:dyDescent="0.25"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8:34" x14ac:dyDescent="0.25"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8:34" x14ac:dyDescent="0.25"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8:34" x14ac:dyDescent="0.25"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8:34" x14ac:dyDescent="0.25"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8:34" x14ac:dyDescent="0.25"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8:34" x14ac:dyDescent="0.25"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8:34" x14ac:dyDescent="0.25"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8:34" x14ac:dyDescent="0.25"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8:34" x14ac:dyDescent="0.25"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8:34" x14ac:dyDescent="0.25"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8:34" x14ac:dyDescent="0.25"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8:34" x14ac:dyDescent="0.25"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8:34" x14ac:dyDescent="0.25"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8:34" x14ac:dyDescent="0.25"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8:34" x14ac:dyDescent="0.25"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8:34" x14ac:dyDescent="0.25"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8:34" x14ac:dyDescent="0.25"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8:34" x14ac:dyDescent="0.25"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8:34" x14ac:dyDescent="0.25"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8:34" x14ac:dyDescent="0.25"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8:34" x14ac:dyDescent="0.25"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8:34" x14ac:dyDescent="0.25"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8:34" x14ac:dyDescent="0.25"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8:34" x14ac:dyDescent="0.25"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8:34" x14ac:dyDescent="0.25"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8:34" x14ac:dyDescent="0.25"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8:34" x14ac:dyDescent="0.25"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8:34" x14ac:dyDescent="0.25"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8:34" x14ac:dyDescent="0.25"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8:34" x14ac:dyDescent="0.25"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8:34" x14ac:dyDescent="0.25"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8:34" x14ac:dyDescent="0.25"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8:34" x14ac:dyDescent="0.25"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8:34" x14ac:dyDescent="0.25"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8:34" x14ac:dyDescent="0.25"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8:34" x14ac:dyDescent="0.25"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8:34" x14ac:dyDescent="0.25"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8:34" x14ac:dyDescent="0.25"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8:34" x14ac:dyDescent="0.25"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8:34" x14ac:dyDescent="0.25"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8:34" x14ac:dyDescent="0.25"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8:34" x14ac:dyDescent="0.25"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7:34" x14ac:dyDescent="0.25"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7:34" x14ac:dyDescent="0.25"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7:34" x14ac:dyDescent="0.25"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7:34" x14ac:dyDescent="0.25"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7:34" x14ac:dyDescent="0.25"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7:34" x14ac:dyDescent="0.25"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7:34" x14ac:dyDescent="0.25"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7:34" x14ac:dyDescent="0.25"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7:34" x14ac:dyDescent="0.25"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7:34" x14ac:dyDescent="0.25"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7:34" x14ac:dyDescent="0.25">
      <c r="G2603" t="s">
        <v>78</v>
      </c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7:34" x14ac:dyDescent="0.25"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7:34" x14ac:dyDescent="0.25"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7:34" x14ac:dyDescent="0.25"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7:34" x14ac:dyDescent="0.25"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7:34" x14ac:dyDescent="0.25"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7:34" x14ac:dyDescent="0.25"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7:34" x14ac:dyDescent="0.25"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7:34" x14ac:dyDescent="0.25"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7:34" x14ac:dyDescent="0.25"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7:34" x14ac:dyDescent="0.25"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7:34" x14ac:dyDescent="0.25"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7:34" x14ac:dyDescent="0.25"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7:34" x14ac:dyDescent="0.25"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7:34" x14ac:dyDescent="0.25"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7:34" x14ac:dyDescent="0.25"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7:34" x14ac:dyDescent="0.25"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7:34" x14ac:dyDescent="0.25"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7:34" x14ac:dyDescent="0.25"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7:34" x14ac:dyDescent="0.25"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7:34" x14ac:dyDescent="0.25"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7:34" x14ac:dyDescent="0.25"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7:34" x14ac:dyDescent="0.25"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7:34" x14ac:dyDescent="0.25"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7:34" x14ac:dyDescent="0.25"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7:34" x14ac:dyDescent="0.25"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7:34" x14ac:dyDescent="0.25"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7:34" x14ac:dyDescent="0.25"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7:34" x14ac:dyDescent="0.25"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7:34" x14ac:dyDescent="0.25"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7:34" x14ac:dyDescent="0.25"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7:34" x14ac:dyDescent="0.25"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7:34" x14ac:dyDescent="0.25"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7:34" x14ac:dyDescent="0.25"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7:34" x14ac:dyDescent="0.25"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7:34" x14ac:dyDescent="0.25"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7:34" x14ac:dyDescent="0.25"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7:34" x14ac:dyDescent="0.25"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7:34" x14ac:dyDescent="0.25"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7:34" x14ac:dyDescent="0.25"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7:34" x14ac:dyDescent="0.25"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7:34" x14ac:dyDescent="0.25"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7:34" x14ac:dyDescent="0.25"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7:34" x14ac:dyDescent="0.25"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7:34" x14ac:dyDescent="0.25"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7:34" x14ac:dyDescent="0.25"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7:34" x14ac:dyDescent="0.25"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7:34" x14ac:dyDescent="0.25"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7:34" x14ac:dyDescent="0.25"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7:34" x14ac:dyDescent="0.25"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7:34" x14ac:dyDescent="0.25"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7:34" x14ac:dyDescent="0.25"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7:34" x14ac:dyDescent="0.25"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7:34" x14ac:dyDescent="0.25"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7:34" x14ac:dyDescent="0.25"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7:34" x14ac:dyDescent="0.25"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7:34" x14ac:dyDescent="0.25"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7:34" x14ac:dyDescent="0.25"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7:34" x14ac:dyDescent="0.25"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7:34" x14ac:dyDescent="0.25"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7:34" x14ac:dyDescent="0.25"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7:34" x14ac:dyDescent="0.25"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7:34" x14ac:dyDescent="0.25"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7:34" x14ac:dyDescent="0.25"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7:34" x14ac:dyDescent="0.25"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7:34" x14ac:dyDescent="0.25"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7:34" x14ac:dyDescent="0.25"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7:34" x14ac:dyDescent="0.25"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7:34" x14ac:dyDescent="0.25"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7:34" x14ac:dyDescent="0.25"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7:34" x14ac:dyDescent="0.25"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7:34" x14ac:dyDescent="0.25"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7:34" x14ac:dyDescent="0.25"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7:34" x14ac:dyDescent="0.25"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7:34" x14ac:dyDescent="0.25"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7:34" x14ac:dyDescent="0.25"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7:34" x14ac:dyDescent="0.25"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7:34" x14ac:dyDescent="0.25"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7:34" x14ac:dyDescent="0.25"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7:34" x14ac:dyDescent="0.25"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7:34" x14ac:dyDescent="0.25"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7:34" x14ac:dyDescent="0.25"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7:34" x14ac:dyDescent="0.25"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7:34" x14ac:dyDescent="0.25"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7:34" x14ac:dyDescent="0.25"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7:34" x14ac:dyDescent="0.25"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0:34" x14ac:dyDescent="0.25"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0:34" x14ac:dyDescent="0.25"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0:34" x14ac:dyDescent="0.25"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0:34" x14ac:dyDescent="0.25"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0:34" x14ac:dyDescent="0.25"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0:34" x14ac:dyDescent="0.25"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0:34" x14ac:dyDescent="0.25"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0:34" x14ac:dyDescent="0.25"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0:34" x14ac:dyDescent="0.25"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0:34" x14ac:dyDescent="0.25"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0:34" x14ac:dyDescent="0.25"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0:34" x14ac:dyDescent="0.25"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0:34" x14ac:dyDescent="0.25"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0:34" x14ac:dyDescent="0.25"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0:34" x14ac:dyDescent="0.25"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0:34" x14ac:dyDescent="0.25"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0:34" x14ac:dyDescent="0.25"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0:34" x14ac:dyDescent="0.25"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0:34" x14ac:dyDescent="0.25"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0:34" x14ac:dyDescent="0.25"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0:34" x14ac:dyDescent="0.25"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0:34" x14ac:dyDescent="0.25"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0:34" x14ac:dyDescent="0.25"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0:34" x14ac:dyDescent="0.25"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0:34" x14ac:dyDescent="0.25"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0:34" x14ac:dyDescent="0.25"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0:34" x14ac:dyDescent="0.25"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0:34" x14ac:dyDescent="0.25"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0:34" x14ac:dyDescent="0.25"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0:34" x14ac:dyDescent="0.25"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0:34" x14ac:dyDescent="0.25"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0:34" x14ac:dyDescent="0.25"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0:34" x14ac:dyDescent="0.25"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0:34" x14ac:dyDescent="0.25"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0:34" x14ac:dyDescent="0.25"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0:34" x14ac:dyDescent="0.25"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0:34" x14ac:dyDescent="0.25"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0:34" x14ac:dyDescent="0.25"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0:34" x14ac:dyDescent="0.25"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0:34" x14ac:dyDescent="0.25"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0:34" x14ac:dyDescent="0.25"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0:34" x14ac:dyDescent="0.25"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0:34" x14ac:dyDescent="0.25"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0:34" x14ac:dyDescent="0.25"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0:34" x14ac:dyDescent="0.25"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0:34" x14ac:dyDescent="0.25"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0:34" x14ac:dyDescent="0.25"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0:34" x14ac:dyDescent="0.25"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0:34" x14ac:dyDescent="0.25"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0:34" x14ac:dyDescent="0.25"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0:34" x14ac:dyDescent="0.25"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0:34" x14ac:dyDescent="0.25"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0:34" x14ac:dyDescent="0.25"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0:34" x14ac:dyDescent="0.25"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0:34" x14ac:dyDescent="0.25"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0:34" x14ac:dyDescent="0.25"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0:34" x14ac:dyDescent="0.25"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0:34" x14ac:dyDescent="0.25"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0:34" x14ac:dyDescent="0.25"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0:34" x14ac:dyDescent="0.25"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0:34" x14ac:dyDescent="0.25"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0:34" x14ac:dyDescent="0.25"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0:34" x14ac:dyDescent="0.25"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0:34" x14ac:dyDescent="0.25"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0:34" x14ac:dyDescent="0.25"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0:34" x14ac:dyDescent="0.25"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0:34" x14ac:dyDescent="0.25"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0:34" x14ac:dyDescent="0.25"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0:34" x14ac:dyDescent="0.25"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0:34" x14ac:dyDescent="0.25"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0:34" x14ac:dyDescent="0.25"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0:34" x14ac:dyDescent="0.25"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0:34" x14ac:dyDescent="0.25"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0:34" x14ac:dyDescent="0.25"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0:34" x14ac:dyDescent="0.25"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0:34" x14ac:dyDescent="0.25"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0:34" x14ac:dyDescent="0.25"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0:34" x14ac:dyDescent="0.25"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0:34" x14ac:dyDescent="0.25"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0:34" x14ac:dyDescent="0.25"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0:34" x14ac:dyDescent="0.25"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0:34" x14ac:dyDescent="0.25"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0:34" x14ac:dyDescent="0.25"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0:34" x14ac:dyDescent="0.25"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0:34" x14ac:dyDescent="0.25"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0:34" x14ac:dyDescent="0.25"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0:34" x14ac:dyDescent="0.25"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0:34" x14ac:dyDescent="0.25"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0:34" x14ac:dyDescent="0.25"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0:34" x14ac:dyDescent="0.25"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0:34" x14ac:dyDescent="0.25"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0:34" x14ac:dyDescent="0.25"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0:34" x14ac:dyDescent="0.25"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0:34" x14ac:dyDescent="0.25"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0:34" x14ac:dyDescent="0.25"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0:34" x14ac:dyDescent="0.25"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0:34" x14ac:dyDescent="0.25"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0:34" x14ac:dyDescent="0.25"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0:34" x14ac:dyDescent="0.25"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0:34" x14ac:dyDescent="0.25"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0:34" x14ac:dyDescent="0.25"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0:34" x14ac:dyDescent="0.25"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0:34" x14ac:dyDescent="0.25"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0:34" x14ac:dyDescent="0.25"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0:34" x14ac:dyDescent="0.25"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0:34" x14ac:dyDescent="0.25"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0:34" x14ac:dyDescent="0.25"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0:34" x14ac:dyDescent="0.25"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0:34" x14ac:dyDescent="0.25"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0:34" x14ac:dyDescent="0.25"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0:34" x14ac:dyDescent="0.25"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0:34" x14ac:dyDescent="0.25"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0:34" x14ac:dyDescent="0.25"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0:34" x14ac:dyDescent="0.25"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0:34" x14ac:dyDescent="0.25"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0:34" x14ac:dyDescent="0.25"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0:34" x14ac:dyDescent="0.25"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0:34" x14ac:dyDescent="0.25"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0:34" x14ac:dyDescent="0.25"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0:34" x14ac:dyDescent="0.25"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0:34" x14ac:dyDescent="0.25"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0:34" x14ac:dyDescent="0.25"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0:34" x14ac:dyDescent="0.25"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0:34" x14ac:dyDescent="0.25"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0:34" x14ac:dyDescent="0.25"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0:34" x14ac:dyDescent="0.25"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0:34" x14ac:dyDescent="0.25"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0:34" x14ac:dyDescent="0.25"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0:34" x14ac:dyDescent="0.25"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0:34" x14ac:dyDescent="0.25"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0:34" x14ac:dyDescent="0.25"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0:34" x14ac:dyDescent="0.25"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0:34" x14ac:dyDescent="0.25"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0:34" x14ac:dyDescent="0.25"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0:34" x14ac:dyDescent="0.25"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0:34" x14ac:dyDescent="0.25"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0:34" x14ac:dyDescent="0.25"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0:34" x14ac:dyDescent="0.25"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0:34" x14ac:dyDescent="0.25"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0:34" x14ac:dyDescent="0.25"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0:34" x14ac:dyDescent="0.25"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0:34" x14ac:dyDescent="0.25"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0:34" x14ac:dyDescent="0.25"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0:34" x14ac:dyDescent="0.25"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0:34" x14ac:dyDescent="0.25"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0:34" x14ac:dyDescent="0.25"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0:34" x14ac:dyDescent="0.25"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0:34" x14ac:dyDescent="0.25"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0:34" x14ac:dyDescent="0.25"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0:34" x14ac:dyDescent="0.25"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0:34" x14ac:dyDescent="0.25"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0:34" x14ac:dyDescent="0.25"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0:34" x14ac:dyDescent="0.25"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0:34" x14ac:dyDescent="0.25"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0:34" x14ac:dyDescent="0.25"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0:34" x14ac:dyDescent="0.25"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0:34" x14ac:dyDescent="0.25"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0:34" x14ac:dyDescent="0.25"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0:34" x14ac:dyDescent="0.25"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0:34" x14ac:dyDescent="0.25"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0:34" x14ac:dyDescent="0.25"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0:34" x14ac:dyDescent="0.25"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0:34" x14ac:dyDescent="0.25"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0:34" x14ac:dyDescent="0.25"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0:34" x14ac:dyDescent="0.25"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0:34" x14ac:dyDescent="0.25"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0:34" x14ac:dyDescent="0.25"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0:34" x14ac:dyDescent="0.25"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0:34" x14ac:dyDescent="0.25"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0:34" x14ac:dyDescent="0.25"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0:34" x14ac:dyDescent="0.25"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0:34" x14ac:dyDescent="0.25"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0:34" x14ac:dyDescent="0.25"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0:34" x14ac:dyDescent="0.25"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0:34" x14ac:dyDescent="0.25"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0:34" x14ac:dyDescent="0.25"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0:34" x14ac:dyDescent="0.25"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0:34" x14ac:dyDescent="0.25"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0:34" x14ac:dyDescent="0.25"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0:34" x14ac:dyDescent="0.25"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0:34" x14ac:dyDescent="0.25"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0:34" x14ac:dyDescent="0.25"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0:34" x14ac:dyDescent="0.25"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0:34" x14ac:dyDescent="0.25"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0:34" x14ac:dyDescent="0.25"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0:34" x14ac:dyDescent="0.25"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0:34" x14ac:dyDescent="0.25"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0:34" x14ac:dyDescent="0.25"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0:34" x14ac:dyDescent="0.25"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0:34" x14ac:dyDescent="0.25"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0:34" x14ac:dyDescent="0.25"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0:34" x14ac:dyDescent="0.25"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0:34" x14ac:dyDescent="0.25"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0:34" x14ac:dyDescent="0.25"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0:34" x14ac:dyDescent="0.25"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0:34" x14ac:dyDescent="0.25"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0:34" x14ac:dyDescent="0.25"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0:34" x14ac:dyDescent="0.25"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0:34" x14ac:dyDescent="0.25"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0:34" x14ac:dyDescent="0.25"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0:34" x14ac:dyDescent="0.25"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0:34" x14ac:dyDescent="0.25"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0:34" x14ac:dyDescent="0.25"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0:34" x14ac:dyDescent="0.25"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0:34" x14ac:dyDescent="0.25"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0:34" x14ac:dyDescent="0.25"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0:34" x14ac:dyDescent="0.25"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0:34" x14ac:dyDescent="0.25"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0:34" x14ac:dyDescent="0.25"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0:34" x14ac:dyDescent="0.25"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0:34" x14ac:dyDescent="0.25"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0:34" x14ac:dyDescent="0.25"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0:34" x14ac:dyDescent="0.25"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0:34" x14ac:dyDescent="0.25"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0:34" x14ac:dyDescent="0.25"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0:34" x14ac:dyDescent="0.25"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0:34" x14ac:dyDescent="0.25"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0:34" x14ac:dyDescent="0.25"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0:34" x14ac:dyDescent="0.25"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0:34" x14ac:dyDescent="0.25"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0:34" x14ac:dyDescent="0.25"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0:34" x14ac:dyDescent="0.25"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0:34" x14ac:dyDescent="0.25"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0:34" x14ac:dyDescent="0.25"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0:34" x14ac:dyDescent="0.25"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0:34" x14ac:dyDescent="0.25"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0:34" x14ac:dyDescent="0.25"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0:34" x14ac:dyDescent="0.25"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0:34" x14ac:dyDescent="0.25"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0:34" x14ac:dyDescent="0.25"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0:34" x14ac:dyDescent="0.25"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0:34" x14ac:dyDescent="0.25"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0:34" x14ac:dyDescent="0.25"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0:34" x14ac:dyDescent="0.25"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0:34" x14ac:dyDescent="0.25"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0:34" x14ac:dyDescent="0.25"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0:34" x14ac:dyDescent="0.25"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0:34" x14ac:dyDescent="0.25"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0:34" x14ac:dyDescent="0.25"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0:34" x14ac:dyDescent="0.25"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0:34" x14ac:dyDescent="0.25"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0:34" x14ac:dyDescent="0.25"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0:34" x14ac:dyDescent="0.25"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0:34" x14ac:dyDescent="0.25"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0:34" x14ac:dyDescent="0.25"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0:34" x14ac:dyDescent="0.25"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0:34" x14ac:dyDescent="0.25"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0:34" x14ac:dyDescent="0.25"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0:34" x14ac:dyDescent="0.25"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0:34" x14ac:dyDescent="0.25"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0:34" x14ac:dyDescent="0.25"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0:34" x14ac:dyDescent="0.25"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0:34" x14ac:dyDescent="0.25"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0:34" x14ac:dyDescent="0.25"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0:34" x14ac:dyDescent="0.25"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0:34" x14ac:dyDescent="0.25"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0:34" x14ac:dyDescent="0.25"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0:34" x14ac:dyDescent="0.25"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0:34" x14ac:dyDescent="0.25"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0:34" x14ac:dyDescent="0.25"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0:34" x14ac:dyDescent="0.25"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0:34" x14ac:dyDescent="0.25"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0:34" x14ac:dyDescent="0.25"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0:34" x14ac:dyDescent="0.25"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0:34" x14ac:dyDescent="0.25"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0:34" x14ac:dyDescent="0.25"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0:34" x14ac:dyDescent="0.25"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0:34" x14ac:dyDescent="0.25"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0:34" x14ac:dyDescent="0.25"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0:34" x14ac:dyDescent="0.25"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0:34" x14ac:dyDescent="0.25"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0:34" x14ac:dyDescent="0.25"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0:34" x14ac:dyDescent="0.25"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0:34" x14ac:dyDescent="0.25"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0:34" x14ac:dyDescent="0.25"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0:34" x14ac:dyDescent="0.25"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0:34" x14ac:dyDescent="0.25"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0:34" x14ac:dyDescent="0.25"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0:34" x14ac:dyDescent="0.25"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0:34" x14ac:dyDescent="0.25"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0:34" x14ac:dyDescent="0.25"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0:34" x14ac:dyDescent="0.25"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0:34" x14ac:dyDescent="0.25"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0:34" x14ac:dyDescent="0.25"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0:34" x14ac:dyDescent="0.25"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0:34" x14ac:dyDescent="0.25"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0:34" x14ac:dyDescent="0.25"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0:34" x14ac:dyDescent="0.25"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0:34" x14ac:dyDescent="0.25"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0:34" x14ac:dyDescent="0.25"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0:34" x14ac:dyDescent="0.25"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0:34" x14ac:dyDescent="0.25"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0:34" x14ac:dyDescent="0.25"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0:34" x14ac:dyDescent="0.25"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0:34" x14ac:dyDescent="0.25"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0:34" x14ac:dyDescent="0.25"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0:34" x14ac:dyDescent="0.25"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0:34" x14ac:dyDescent="0.25"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0:34" x14ac:dyDescent="0.25"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0:34" x14ac:dyDescent="0.25"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0:34" x14ac:dyDescent="0.25"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0:34" x14ac:dyDescent="0.25"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0:34" x14ac:dyDescent="0.25"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0:34" x14ac:dyDescent="0.25"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0:34" x14ac:dyDescent="0.25"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0:34" x14ac:dyDescent="0.25"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0:34" x14ac:dyDescent="0.25"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0:34" x14ac:dyDescent="0.25"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0:34" x14ac:dyDescent="0.25"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0:34" x14ac:dyDescent="0.25"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0:34" x14ac:dyDescent="0.25"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0:34" x14ac:dyDescent="0.25"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0:34" x14ac:dyDescent="0.25"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0:34" x14ac:dyDescent="0.25"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0:34" x14ac:dyDescent="0.25"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0:34" x14ac:dyDescent="0.25"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0:34" x14ac:dyDescent="0.25"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0:34" x14ac:dyDescent="0.25"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0:34" x14ac:dyDescent="0.25"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0:34" x14ac:dyDescent="0.25"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0:34" x14ac:dyDescent="0.25"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0:34" x14ac:dyDescent="0.25"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0:34" x14ac:dyDescent="0.25"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0:34" x14ac:dyDescent="0.25"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0:34" x14ac:dyDescent="0.25"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0:34" x14ac:dyDescent="0.25"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0:34" x14ac:dyDescent="0.25"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0:34" x14ac:dyDescent="0.25"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0:34" x14ac:dyDescent="0.25"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0:34" x14ac:dyDescent="0.25"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0:34" x14ac:dyDescent="0.25"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0:34" x14ac:dyDescent="0.25"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0:34" x14ac:dyDescent="0.25"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0:34" x14ac:dyDescent="0.25"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0:34" x14ac:dyDescent="0.25"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0:34" x14ac:dyDescent="0.25"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0:34" x14ac:dyDescent="0.25"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0:34" x14ac:dyDescent="0.25"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0:34" x14ac:dyDescent="0.25"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0:34" x14ac:dyDescent="0.25"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0:34" x14ac:dyDescent="0.25"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0:34" x14ac:dyDescent="0.25"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0:34" x14ac:dyDescent="0.25"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0:34" x14ac:dyDescent="0.25"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0:34" x14ac:dyDescent="0.25"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0:34" x14ac:dyDescent="0.25"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0:34" x14ac:dyDescent="0.25"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0:34" x14ac:dyDescent="0.25"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0:34" x14ac:dyDescent="0.25"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0:34" x14ac:dyDescent="0.25"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0:34" x14ac:dyDescent="0.25"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0:34" x14ac:dyDescent="0.25"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0:34" x14ac:dyDescent="0.25"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0:34" x14ac:dyDescent="0.25"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0:34" x14ac:dyDescent="0.25"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0:34" x14ac:dyDescent="0.25"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0:34" x14ac:dyDescent="0.25"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0:34" x14ac:dyDescent="0.25"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0:34" x14ac:dyDescent="0.25"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0:34" x14ac:dyDescent="0.25"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0:34" x14ac:dyDescent="0.25"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0:34" x14ac:dyDescent="0.25"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0:34" x14ac:dyDescent="0.25"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0:34" x14ac:dyDescent="0.25"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0:34" x14ac:dyDescent="0.25"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0:34" x14ac:dyDescent="0.25"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0:34" x14ac:dyDescent="0.25"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0:34" x14ac:dyDescent="0.25"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0:34" x14ac:dyDescent="0.25"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0:34" x14ac:dyDescent="0.25"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0:34" x14ac:dyDescent="0.25"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0:34" x14ac:dyDescent="0.25"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0:34" x14ac:dyDescent="0.25"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0:34" x14ac:dyDescent="0.25"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0:34" x14ac:dyDescent="0.25"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0:34" x14ac:dyDescent="0.25"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0:34" x14ac:dyDescent="0.25"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0:34" x14ac:dyDescent="0.25"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0:34" x14ac:dyDescent="0.25"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0:34" x14ac:dyDescent="0.25"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0:34" x14ac:dyDescent="0.25"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0:34" x14ac:dyDescent="0.25"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0:34" x14ac:dyDescent="0.25"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0:34" x14ac:dyDescent="0.25"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0:34" x14ac:dyDescent="0.25"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0:34" x14ac:dyDescent="0.25"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0:34" x14ac:dyDescent="0.25"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0:34" x14ac:dyDescent="0.25"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0:34" x14ac:dyDescent="0.25"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0:34" x14ac:dyDescent="0.25"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0:34" x14ac:dyDescent="0.25"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0:34" x14ac:dyDescent="0.25"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0:34" x14ac:dyDescent="0.25"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0:34" x14ac:dyDescent="0.25"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0:34" x14ac:dyDescent="0.25"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0:34" x14ac:dyDescent="0.25"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0:34" x14ac:dyDescent="0.25"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0:34" x14ac:dyDescent="0.25"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0:34" x14ac:dyDescent="0.25"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0:34" x14ac:dyDescent="0.25"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0:34" x14ac:dyDescent="0.25"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0:34" x14ac:dyDescent="0.25"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0:34" x14ac:dyDescent="0.25"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0:34" x14ac:dyDescent="0.25"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0:34" x14ac:dyDescent="0.25"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0:34" x14ac:dyDescent="0.25"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0:34" x14ac:dyDescent="0.25"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0:34" x14ac:dyDescent="0.25"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0:34" x14ac:dyDescent="0.25"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0:34" x14ac:dyDescent="0.25"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0:34" x14ac:dyDescent="0.25"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0:34" x14ac:dyDescent="0.25"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0:34" x14ac:dyDescent="0.25"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0:34" x14ac:dyDescent="0.25"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0:34" x14ac:dyDescent="0.25"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0:34" x14ac:dyDescent="0.25"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0:34" x14ac:dyDescent="0.25"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0:34" x14ac:dyDescent="0.25"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0:34" x14ac:dyDescent="0.25"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0:34" x14ac:dyDescent="0.25"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0:34" x14ac:dyDescent="0.25"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0:34" x14ac:dyDescent="0.25"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0:34" x14ac:dyDescent="0.25"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0:34" x14ac:dyDescent="0.25"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0:34" x14ac:dyDescent="0.25"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0:34" x14ac:dyDescent="0.25"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0:34" x14ac:dyDescent="0.25"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0:34" x14ac:dyDescent="0.25"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0:34" x14ac:dyDescent="0.25"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0:34" x14ac:dyDescent="0.25"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0:34" x14ac:dyDescent="0.25"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0:34" x14ac:dyDescent="0.25"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0:34" x14ac:dyDescent="0.25"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0:34" x14ac:dyDescent="0.25"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0:34" x14ac:dyDescent="0.25"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0:34" x14ac:dyDescent="0.25"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0:34" x14ac:dyDescent="0.25"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0:34" x14ac:dyDescent="0.25"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0:34" x14ac:dyDescent="0.25"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0:34" x14ac:dyDescent="0.25"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0:34" x14ac:dyDescent="0.25"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0:34" x14ac:dyDescent="0.25"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0:34" x14ac:dyDescent="0.25"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0:34" x14ac:dyDescent="0.25"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0:34" x14ac:dyDescent="0.25"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0:34" x14ac:dyDescent="0.25"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0:34" x14ac:dyDescent="0.25"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0:34" x14ac:dyDescent="0.25"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0:34" x14ac:dyDescent="0.25"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0:34" x14ac:dyDescent="0.25"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0:34" x14ac:dyDescent="0.25"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0:34" x14ac:dyDescent="0.25"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0:34" x14ac:dyDescent="0.25"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0:34" x14ac:dyDescent="0.25"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0:34" x14ac:dyDescent="0.25"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0:34" x14ac:dyDescent="0.25"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0:34" x14ac:dyDescent="0.25"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0:34" x14ac:dyDescent="0.25"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0:34" x14ac:dyDescent="0.25"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0:34" x14ac:dyDescent="0.25"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0:34" x14ac:dyDescent="0.25"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0:34" x14ac:dyDescent="0.25"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0:34" x14ac:dyDescent="0.25"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0:34" x14ac:dyDescent="0.25"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0:34" x14ac:dyDescent="0.25"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0:34" x14ac:dyDescent="0.25"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0:34" x14ac:dyDescent="0.25"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0:34" x14ac:dyDescent="0.25"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0:34" x14ac:dyDescent="0.25"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0:34" x14ac:dyDescent="0.25"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0:34" x14ac:dyDescent="0.25"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0:34" x14ac:dyDescent="0.25"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0:34" x14ac:dyDescent="0.25"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0:34" x14ac:dyDescent="0.25"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0:34" x14ac:dyDescent="0.25"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0:34" x14ac:dyDescent="0.25"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0:34" x14ac:dyDescent="0.25"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0:34" x14ac:dyDescent="0.25"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0:34" x14ac:dyDescent="0.25"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0:34" x14ac:dyDescent="0.25"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0:34" x14ac:dyDescent="0.25"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0:34" x14ac:dyDescent="0.25"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0:34" x14ac:dyDescent="0.25"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0:34" x14ac:dyDescent="0.25"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0:34" x14ac:dyDescent="0.25"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0:34" x14ac:dyDescent="0.25"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0:34" x14ac:dyDescent="0.25"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0:34" x14ac:dyDescent="0.25"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0:34" x14ac:dyDescent="0.25"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0:34" x14ac:dyDescent="0.25"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0:34" x14ac:dyDescent="0.25"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0:34" x14ac:dyDescent="0.25"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0:34" x14ac:dyDescent="0.25"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0:34" x14ac:dyDescent="0.25"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0:34" x14ac:dyDescent="0.25"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0:34" x14ac:dyDescent="0.25"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0:34" x14ac:dyDescent="0.25"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0:34" x14ac:dyDescent="0.25"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0:34" x14ac:dyDescent="0.25"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0:34" x14ac:dyDescent="0.25"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0:34" x14ac:dyDescent="0.25"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0:34" x14ac:dyDescent="0.25"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0:34" x14ac:dyDescent="0.25"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0:34" x14ac:dyDescent="0.25"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0:34" x14ac:dyDescent="0.25"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0:34" x14ac:dyDescent="0.25"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0:34" x14ac:dyDescent="0.25"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0:34" x14ac:dyDescent="0.25"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0:34" x14ac:dyDescent="0.25"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0:34" x14ac:dyDescent="0.25"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0:34" x14ac:dyDescent="0.25"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0:34" x14ac:dyDescent="0.25"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0:34" x14ac:dyDescent="0.25"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0:34" x14ac:dyDescent="0.25"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0:34" x14ac:dyDescent="0.25"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0:34" x14ac:dyDescent="0.25"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0:34" x14ac:dyDescent="0.25"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0:34" x14ac:dyDescent="0.25"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0:34" x14ac:dyDescent="0.25"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0:34" x14ac:dyDescent="0.25"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0:34" x14ac:dyDescent="0.25"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0:34" x14ac:dyDescent="0.25"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0:34" x14ac:dyDescent="0.25"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0:34" x14ac:dyDescent="0.25"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0:34" x14ac:dyDescent="0.25"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0:34" x14ac:dyDescent="0.25"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0:34" x14ac:dyDescent="0.25"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0:34" x14ac:dyDescent="0.25"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0:34" x14ac:dyDescent="0.25"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0:34" x14ac:dyDescent="0.25"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0:34" x14ac:dyDescent="0.25"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0:34" x14ac:dyDescent="0.25"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0:34" x14ac:dyDescent="0.25"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0:34" x14ac:dyDescent="0.25"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0:34" x14ac:dyDescent="0.25"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0:34" x14ac:dyDescent="0.25"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0:34" x14ac:dyDescent="0.25"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0:34" x14ac:dyDescent="0.25"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0:34" x14ac:dyDescent="0.25"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0:34" x14ac:dyDescent="0.25"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0:34" x14ac:dyDescent="0.25"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0:34" x14ac:dyDescent="0.25"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0:34" x14ac:dyDescent="0.25"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0:34" x14ac:dyDescent="0.25"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0:34" x14ac:dyDescent="0.25"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0:34" x14ac:dyDescent="0.25"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0:34" x14ac:dyDescent="0.25"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0:34" x14ac:dyDescent="0.25"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0:34" x14ac:dyDescent="0.25"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0:34" x14ac:dyDescent="0.25"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0:34" x14ac:dyDescent="0.25"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0:34" x14ac:dyDescent="0.25"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0:34" x14ac:dyDescent="0.25"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0:34" x14ac:dyDescent="0.25"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0:34" x14ac:dyDescent="0.25"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0:34" x14ac:dyDescent="0.25"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0:34" x14ac:dyDescent="0.25"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0:34" x14ac:dyDescent="0.25"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0:34" x14ac:dyDescent="0.25"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0:34" x14ac:dyDescent="0.25"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0:34" x14ac:dyDescent="0.25"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0:34" x14ac:dyDescent="0.25"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0:34" x14ac:dyDescent="0.25"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0:34" x14ac:dyDescent="0.25"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0:34" x14ac:dyDescent="0.25"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0:34" x14ac:dyDescent="0.25"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0:34" x14ac:dyDescent="0.25"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0:34" x14ac:dyDescent="0.25"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0:34" x14ac:dyDescent="0.25"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0:34" x14ac:dyDescent="0.25"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0:34" x14ac:dyDescent="0.25"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0:34" x14ac:dyDescent="0.25"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0:34" x14ac:dyDescent="0.25"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0:34" x14ac:dyDescent="0.25"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0:34" x14ac:dyDescent="0.25"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0:34" x14ac:dyDescent="0.25"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0:34" x14ac:dyDescent="0.25"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0:34" x14ac:dyDescent="0.25"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0:34" x14ac:dyDescent="0.25"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0:34" x14ac:dyDescent="0.25"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0:34" x14ac:dyDescent="0.25"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0:34" x14ac:dyDescent="0.25"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0:34" x14ac:dyDescent="0.25"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0:34" x14ac:dyDescent="0.25"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0:34" x14ac:dyDescent="0.25"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0:34" x14ac:dyDescent="0.25"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0:34" x14ac:dyDescent="0.25"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0:34" x14ac:dyDescent="0.25"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0:34" x14ac:dyDescent="0.25"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0:34" x14ac:dyDescent="0.25"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0:34" x14ac:dyDescent="0.25"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0:34" x14ac:dyDescent="0.25"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0:34" x14ac:dyDescent="0.25"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0:34" x14ac:dyDescent="0.25"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0:34" x14ac:dyDescent="0.25"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0:34" x14ac:dyDescent="0.25"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0:34" x14ac:dyDescent="0.25"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0:34" x14ac:dyDescent="0.25"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0:34" x14ac:dyDescent="0.25"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0:34" x14ac:dyDescent="0.25"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0:34" x14ac:dyDescent="0.25"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0:34" x14ac:dyDescent="0.25"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0:34" x14ac:dyDescent="0.25"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0:34" x14ac:dyDescent="0.25"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0:34" x14ac:dyDescent="0.25"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0:34" x14ac:dyDescent="0.25"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0:34" x14ac:dyDescent="0.25"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0:34" x14ac:dyDescent="0.25"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0:34" x14ac:dyDescent="0.25"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0:34" x14ac:dyDescent="0.25"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0:34" x14ac:dyDescent="0.25"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0:34" x14ac:dyDescent="0.25"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0:34" x14ac:dyDescent="0.25"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0:34" x14ac:dyDescent="0.25"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0:34" x14ac:dyDescent="0.25"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0:34" x14ac:dyDescent="0.25"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0:34" x14ac:dyDescent="0.25"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0:34" x14ac:dyDescent="0.25"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0:34" x14ac:dyDescent="0.25"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0:34" x14ac:dyDescent="0.25"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0:34" x14ac:dyDescent="0.25"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0:34" x14ac:dyDescent="0.25"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0:34" x14ac:dyDescent="0.25"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0:34" x14ac:dyDescent="0.25"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0:34" x14ac:dyDescent="0.25"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0:34" x14ac:dyDescent="0.25"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0:34" x14ac:dyDescent="0.25"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0:34" x14ac:dyDescent="0.25"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0:34" x14ac:dyDescent="0.25"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0:34" x14ac:dyDescent="0.25"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0:34" x14ac:dyDescent="0.25"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0:34" x14ac:dyDescent="0.25"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0:34" x14ac:dyDescent="0.25"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0:34" x14ac:dyDescent="0.25"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0:34" x14ac:dyDescent="0.25"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0:34" x14ac:dyDescent="0.25"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0:34" x14ac:dyDescent="0.25"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0:34" x14ac:dyDescent="0.25"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0:34" x14ac:dyDescent="0.25"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0:34" x14ac:dyDescent="0.25"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0:34" x14ac:dyDescent="0.25"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0:34" x14ac:dyDescent="0.25"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0:34" x14ac:dyDescent="0.25"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0:34" x14ac:dyDescent="0.25"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0:34" x14ac:dyDescent="0.25"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0:34" x14ac:dyDescent="0.25"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0:34" x14ac:dyDescent="0.25"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0:34" x14ac:dyDescent="0.25"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0:34" x14ac:dyDescent="0.25"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0:34" x14ac:dyDescent="0.25"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0:34" x14ac:dyDescent="0.25"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0:34" x14ac:dyDescent="0.25"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0:34" x14ac:dyDescent="0.25"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0:34" x14ac:dyDescent="0.25"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0:34" x14ac:dyDescent="0.25"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0:34" x14ac:dyDescent="0.25"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0:34" x14ac:dyDescent="0.25"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0:34" x14ac:dyDescent="0.25"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0:34" x14ac:dyDescent="0.25"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0:34" x14ac:dyDescent="0.25"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0:34" x14ac:dyDescent="0.25"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0:34" x14ac:dyDescent="0.25"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0:34" x14ac:dyDescent="0.25"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0:34" x14ac:dyDescent="0.25"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0:34" x14ac:dyDescent="0.25"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0:34" x14ac:dyDescent="0.25"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0:34" x14ac:dyDescent="0.25"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0:34" x14ac:dyDescent="0.25"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0:34" x14ac:dyDescent="0.25"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0:34" x14ac:dyDescent="0.25"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0:34" x14ac:dyDescent="0.25"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0:34" x14ac:dyDescent="0.25"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0:34" x14ac:dyDescent="0.25"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0:34" x14ac:dyDescent="0.25"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0:34" x14ac:dyDescent="0.25"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0:34" x14ac:dyDescent="0.25"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0:34" x14ac:dyDescent="0.25"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0:34" x14ac:dyDescent="0.25"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0:34" x14ac:dyDescent="0.25"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0:34" x14ac:dyDescent="0.25"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0:34" x14ac:dyDescent="0.25"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0:34" x14ac:dyDescent="0.25"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0:34" x14ac:dyDescent="0.25"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0:34" x14ac:dyDescent="0.25"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0:34" x14ac:dyDescent="0.25"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0:34" x14ac:dyDescent="0.25"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0:34" x14ac:dyDescent="0.25"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0:34" x14ac:dyDescent="0.25"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0:34" x14ac:dyDescent="0.25"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0:34" x14ac:dyDescent="0.25"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0:34" x14ac:dyDescent="0.25"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0:34" x14ac:dyDescent="0.25"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0:34" x14ac:dyDescent="0.25"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0:34" x14ac:dyDescent="0.25"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0:34" x14ac:dyDescent="0.25"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0:34" x14ac:dyDescent="0.25"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0:34" x14ac:dyDescent="0.25"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0:34" x14ac:dyDescent="0.25"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0:34" x14ac:dyDescent="0.25"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0:34" x14ac:dyDescent="0.25"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0:34" x14ac:dyDescent="0.25"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0:34" x14ac:dyDescent="0.25"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0:34" x14ac:dyDescent="0.25"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0:34" x14ac:dyDescent="0.25"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0:34" x14ac:dyDescent="0.25"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0:34" x14ac:dyDescent="0.25"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0:34" x14ac:dyDescent="0.25"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0:34" x14ac:dyDescent="0.25"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0:34" x14ac:dyDescent="0.25"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0:34" x14ac:dyDescent="0.25"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0:34" x14ac:dyDescent="0.25"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0:34" x14ac:dyDescent="0.25"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0:34" x14ac:dyDescent="0.25"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0:34" x14ac:dyDescent="0.25"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0:34" x14ac:dyDescent="0.25"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0:34" x14ac:dyDescent="0.25"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0:34" x14ac:dyDescent="0.25"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0:34" x14ac:dyDescent="0.25"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0:34" x14ac:dyDescent="0.25"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0:34" x14ac:dyDescent="0.25"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0:34" x14ac:dyDescent="0.25"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0:34" x14ac:dyDescent="0.25"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0:34" x14ac:dyDescent="0.25"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0:34" x14ac:dyDescent="0.25"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0:34" x14ac:dyDescent="0.25"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0:34" x14ac:dyDescent="0.25"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0:34" x14ac:dyDescent="0.25"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0:34" x14ac:dyDescent="0.25"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0:34" x14ac:dyDescent="0.25"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0:34" x14ac:dyDescent="0.25"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0:34" x14ac:dyDescent="0.25"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0:34" x14ac:dyDescent="0.25"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0:34" x14ac:dyDescent="0.25"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0:34" x14ac:dyDescent="0.25"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0:34" x14ac:dyDescent="0.25"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0:34" x14ac:dyDescent="0.25"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0:34" x14ac:dyDescent="0.25"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0:34" x14ac:dyDescent="0.25"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0:34" x14ac:dyDescent="0.25"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0:34" x14ac:dyDescent="0.25"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0:34" x14ac:dyDescent="0.25"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0:34" x14ac:dyDescent="0.25"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0:34" x14ac:dyDescent="0.25"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0:34" x14ac:dyDescent="0.25"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0:34" x14ac:dyDescent="0.25"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0:34" x14ac:dyDescent="0.25"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0:34" x14ac:dyDescent="0.25"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0:34" x14ac:dyDescent="0.25"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0:34" x14ac:dyDescent="0.25"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0:34" x14ac:dyDescent="0.25"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0:34" x14ac:dyDescent="0.25"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0:34" x14ac:dyDescent="0.25"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0:34" x14ac:dyDescent="0.25"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0:34" x14ac:dyDescent="0.25"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0:34" x14ac:dyDescent="0.25"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0:34" x14ac:dyDescent="0.25"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0:34" x14ac:dyDescent="0.25"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0:34" x14ac:dyDescent="0.25"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0:34" x14ac:dyDescent="0.25"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0:34" x14ac:dyDescent="0.25"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0:34" x14ac:dyDescent="0.25"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0:34" x14ac:dyDescent="0.25"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0:34" x14ac:dyDescent="0.25"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0:34" x14ac:dyDescent="0.25"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0:34" x14ac:dyDescent="0.25"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0:34" x14ac:dyDescent="0.25"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0:34" x14ac:dyDescent="0.25"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0:34" x14ac:dyDescent="0.25"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0:34" x14ac:dyDescent="0.25"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0:34" x14ac:dyDescent="0.25"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0:34" x14ac:dyDescent="0.25"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0:34" x14ac:dyDescent="0.25"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0:34" x14ac:dyDescent="0.25"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0:34" x14ac:dyDescent="0.25"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0:34" x14ac:dyDescent="0.25"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0:34" x14ac:dyDescent="0.25"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0:34" x14ac:dyDescent="0.25"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0:34" x14ac:dyDescent="0.25"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0:34" x14ac:dyDescent="0.25"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0:34" x14ac:dyDescent="0.25"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0:34" x14ac:dyDescent="0.25"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0:34" x14ac:dyDescent="0.25"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0:34" x14ac:dyDescent="0.25"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0:34" x14ac:dyDescent="0.25"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0:34" x14ac:dyDescent="0.25"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0:34" x14ac:dyDescent="0.25"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0:34" x14ac:dyDescent="0.25"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0:34" x14ac:dyDescent="0.25"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0:34" x14ac:dyDescent="0.25"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0:34" x14ac:dyDescent="0.25"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0:34" x14ac:dyDescent="0.25"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0:34" x14ac:dyDescent="0.25"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0:34" x14ac:dyDescent="0.25"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0:34" x14ac:dyDescent="0.25"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0:34" x14ac:dyDescent="0.25"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0:34" x14ac:dyDescent="0.25"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0:34" x14ac:dyDescent="0.25"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0:34" x14ac:dyDescent="0.25"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0:34" x14ac:dyDescent="0.25"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0:34" x14ac:dyDescent="0.25"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0:34" x14ac:dyDescent="0.25"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0:34" x14ac:dyDescent="0.25"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0:34" x14ac:dyDescent="0.25"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0:34" x14ac:dyDescent="0.25"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0:34" x14ac:dyDescent="0.25"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0:34" x14ac:dyDescent="0.25"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0:34" x14ac:dyDescent="0.25"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0:34" x14ac:dyDescent="0.25"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0:34" x14ac:dyDescent="0.25"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0:34" x14ac:dyDescent="0.25"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0:34" x14ac:dyDescent="0.25"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0:34" x14ac:dyDescent="0.25"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0:34" x14ac:dyDescent="0.25"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0:34" x14ac:dyDescent="0.25"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0:34" x14ac:dyDescent="0.25"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0:34" x14ac:dyDescent="0.25"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0:34" x14ac:dyDescent="0.25"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0:34" x14ac:dyDescent="0.25"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0:34" x14ac:dyDescent="0.25"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0:34" x14ac:dyDescent="0.25"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0:34" x14ac:dyDescent="0.25"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0:34" x14ac:dyDescent="0.25"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0:34" x14ac:dyDescent="0.25"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0:34" x14ac:dyDescent="0.25"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0:34" x14ac:dyDescent="0.25"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0:34" x14ac:dyDescent="0.25"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0:34" x14ac:dyDescent="0.25"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0:34" x14ac:dyDescent="0.25"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0:34" x14ac:dyDescent="0.25"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0:34" x14ac:dyDescent="0.25"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0:34" x14ac:dyDescent="0.25"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0:34" x14ac:dyDescent="0.25"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0:34" x14ac:dyDescent="0.25"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0:34" x14ac:dyDescent="0.25"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0:34" x14ac:dyDescent="0.25"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0:34" x14ac:dyDescent="0.25"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0:34" x14ac:dyDescent="0.25"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0:34" x14ac:dyDescent="0.25"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0:34" x14ac:dyDescent="0.25"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0:34" x14ac:dyDescent="0.25"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0:34" x14ac:dyDescent="0.25"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0:34" x14ac:dyDescent="0.25"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0:34" x14ac:dyDescent="0.25"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0:34" x14ac:dyDescent="0.25"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0:34" x14ac:dyDescent="0.25"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0:34" x14ac:dyDescent="0.25"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0:34" x14ac:dyDescent="0.25"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0:34" x14ac:dyDescent="0.25"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0:34" x14ac:dyDescent="0.25"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0:34" x14ac:dyDescent="0.25"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0:34" x14ac:dyDescent="0.25"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0:34" x14ac:dyDescent="0.25"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0:34" x14ac:dyDescent="0.25"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0:34" x14ac:dyDescent="0.25"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0:34" x14ac:dyDescent="0.25"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0:34" x14ac:dyDescent="0.25"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0:34" x14ac:dyDescent="0.25"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0:34" x14ac:dyDescent="0.25"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0:34" x14ac:dyDescent="0.25"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0:34" x14ac:dyDescent="0.25"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0:34" x14ac:dyDescent="0.25"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0:34" x14ac:dyDescent="0.25"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0:34" x14ac:dyDescent="0.25"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0:34" x14ac:dyDescent="0.25"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0:34" x14ac:dyDescent="0.25"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0:34" x14ac:dyDescent="0.25"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0:34" x14ac:dyDescent="0.25"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0:34" x14ac:dyDescent="0.25"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0:34" x14ac:dyDescent="0.25"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0:34" x14ac:dyDescent="0.25"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0:34" x14ac:dyDescent="0.25"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0:34" x14ac:dyDescent="0.25"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0:34" x14ac:dyDescent="0.25"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0:34" x14ac:dyDescent="0.25"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0:34" x14ac:dyDescent="0.25"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topLeftCell="A28" zoomScale="70" zoomScaleNormal="70" workbookViewId="0">
      <selection activeCell="A41" sqref="A41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84</v>
      </c>
    </row>
    <row r="23" spans="1:39" x14ac:dyDescent="0.25">
      <c r="A23" t="s">
        <v>80</v>
      </c>
    </row>
    <row r="25" spans="1:39" x14ac:dyDescent="0.25">
      <c r="A25" t="s">
        <v>82</v>
      </c>
    </row>
    <row r="26" spans="1:39" x14ac:dyDescent="0.25">
      <c r="A26" t="s">
        <v>83</v>
      </c>
    </row>
    <row r="31" spans="1:39" x14ac:dyDescent="0.25">
      <c r="A31" t="s">
        <v>85</v>
      </c>
    </row>
    <row r="32" spans="1:39" x14ac:dyDescent="0.25">
      <c r="A32" t="s">
        <v>81</v>
      </c>
      <c r="AI32" s="6"/>
      <c r="AJ32" s="6"/>
      <c r="AK32" s="6"/>
      <c r="AL32" s="6"/>
      <c r="AM32" s="6"/>
    </row>
    <row r="33" spans="1:39" x14ac:dyDescent="0.25">
      <c r="A33" t="s">
        <v>79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%100 Burger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ANKARA</v>
      </c>
      <c r="X35" s="5" t="str">
        <f>IF(A24="","",A24)</f>
        <v/>
      </c>
      <c r="Y35" s="5" t="str">
        <f>IF(A25="","",A25)</f>
        <v>Etimesgut</v>
      </c>
      <c r="Z35" s="5" t="str">
        <f>IF(A26="","",A26)</f>
        <v>Bağlıca Mah. - Bağlıca Blv.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***=HYPERLINK("file:///C:/rest_photo/%100 Burger, Etimesgut (Bağlıca Mah. - Bağlıca Blv.).jpg","%100 Burger, Etimesgut (Bağlıca Mah. - Bağlıca Blv.)")</v>
      </c>
      <c r="AF35" s="5" t="str">
        <f>IF(A32="","",A32)</f>
        <v>20-30 dk.</v>
      </c>
      <c r="AG35" s="5" t="str">
        <f>IF(A33="","",A33)</f>
        <v>Burger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86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2021-11-29T02:24:35Z</dcterms:modified>
</cp:coreProperties>
</file>