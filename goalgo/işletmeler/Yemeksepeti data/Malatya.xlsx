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projects\Yemeksepeti\Data\Ordu\"/>
    </mc:Choice>
  </mc:AlternateContent>
  <bookViews>
    <workbookView xWindow="0" yWindow="0" windowWidth="21600" windowHeight="9135"/>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E215" i="2" l="1"/>
  <c r="AE214" i="2"/>
  <c r="AE213" i="2"/>
  <c r="AE212" i="2"/>
  <c r="AE211" i="2"/>
  <c r="AE210" i="2"/>
  <c r="AE209" i="2"/>
  <c r="AE208" i="2"/>
  <c r="AE207" i="2"/>
  <c r="AE206" i="2"/>
  <c r="AE205" i="2"/>
  <c r="AE204" i="2"/>
  <c r="AE203" i="2"/>
  <c r="AE202" i="2"/>
  <c r="AE201" i="2"/>
  <c r="AE200" i="2"/>
  <c r="AE199" i="2"/>
  <c r="AE198" i="2"/>
  <c r="AE197" i="2"/>
  <c r="AE196" i="2"/>
  <c r="AE195" i="2"/>
  <c r="AE194" i="2"/>
  <c r="AE193" i="2"/>
  <c r="AE192" i="2"/>
  <c r="AE191" i="2"/>
  <c r="AE190" i="2"/>
  <c r="AE189" i="2"/>
  <c r="AE188" i="2"/>
  <c r="AE187" i="2"/>
  <c r="AE186" i="2"/>
  <c r="AE185" i="2"/>
  <c r="AE184" i="2"/>
  <c r="AE183" i="2"/>
  <c r="AE182" i="2"/>
  <c r="AE181" i="2"/>
  <c r="AE180" i="2"/>
  <c r="AE179" i="2"/>
  <c r="AE178" i="2"/>
  <c r="AE177" i="2"/>
  <c r="AE176" i="2"/>
  <c r="AE175" i="2"/>
  <c r="AE174" i="2"/>
  <c r="AE173" i="2"/>
  <c r="AE172" i="2"/>
  <c r="AE171" i="2"/>
  <c r="AE170" i="2"/>
  <c r="AE169" i="2"/>
  <c r="AE168" i="2"/>
  <c r="AE167" i="2"/>
  <c r="AE166" i="2"/>
  <c r="AE165" i="2"/>
  <c r="AE164" i="2"/>
  <c r="AE163" i="2"/>
  <c r="AE162" i="2"/>
  <c r="AE161" i="2"/>
  <c r="AE160" i="2"/>
  <c r="AE159" i="2"/>
  <c r="AE158" i="2"/>
  <c r="AE157" i="2"/>
  <c r="AE156" i="2"/>
  <c r="AE155" i="2"/>
  <c r="AE154" i="2"/>
  <c r="AE153" i="2"/>
  <c r="AE152" i="2"/>
  <c r="AE151" i="2"/>
  <c r="AE150" i="2"/>
  <c r="AE149" i="2"/>
  <c r="AE148" i="2"/>
  <c r="AE147" i="2"/>
  <c r="AE146" i="2"/>
  <c r="AE145" i="2"/>
  <c r="AE144" i="2"/>
  <c r="AE143" i="2"/>
  <c r="AE142" i="2"/>
  <c r="AE141" i="2"/>
  <c r="AE140" i="2"/>
  <c r="AE139" i="2"/>
  <c r="AE138" i="2"/>
  <c r="AE137" i="2"/>
  <c r="AE136" i="2"/>
  <c r="AE135" i="2"/>
  <c r="AE134" i="2"/>
  <c r="AE133" i="2"/>
  <c r="AE132" i="2"/>
  <c r="AE131" i="2"/>
  <c r="AE130" i="2"/>
  <c r="AE129" i="2"/>
  <c r="AE128" i="2"/>
  <c r="AE127" i="2"/>
  <c r="AE126" i="2"/>
  <c r="AE125" i="2"/>
  <c r="AE124" i="2"/>
  <c r="AE123" i="2"/>
  <c r="AE122" i="2"/>
  <c r="AE121" i="2"/>
  <c r="AE120" i="2"/>
  <c r="AE119" i="2"/>
  <c r="AE118" i="2"/>
  <c r="AE117" i="2"/>
  <c r="AE116" i="2"/>
  <c r="AE115" i="2"/>
  <c r="AE114" i="2"/>
  <c r="AE113" i="2"/>
  <c r="AE112" i="2"/>
  <c r="AE111" i="2"/>
  <c r="AE110" i="2"/>
  <c r="AE109" i="2"/>
  <c r="AE108" i="2"/>
  <c r="AE107" i="2"/>
  <c r="AE106" i="2"/>
  <c r="AE105" i="2"/>
  <c r="AE104" i="2"/>
  <c r="AE103" i="2"/>
  <c r="AE102" i="2"/>
  <c r="AE101" i="2"/>
  <c r="AE100" i="2"/>
  <c r="AE99" i="2"/>
  <c r="AE98" i="2"/>
  <c r="AE97" i="2"/>
  <c r="AE96" i="2"/>
  <c r="AE95" i="2"/>
  <c r="AE94" i="2"/>
  <c r="AE93" i="2"/>
  <c r="AE92" i="2"/>
  <c r="AE91" i="2"/>
  <c r="AE90" i="2"/>
  <c r="AE89" i="2"/>
  <c r="AE88" i="2"/>
  <c r="AE87" i="2"/>
  <c r="AE86" i="2"/>
  <c r="AE85" i="2"/>
  <c r="AE84" i="2"/>
  <c r="AE83" i="2"/>
  <c r="AE82" i="2"/>
  <c r="AE81" i="2"/>
  <c r="AE80" i="2"/>
  <c r="AE79" i="2"/>
  <c r="AE78" i="2"/>
  <c r="AE77" i="2"/>
  <c r="AE76" i="2"/>
  <c r="AE75" i="2"/>
  <c r="AE74" i="2"/>
  <c r="AE73" i="2"/>
  <c r="AE72" i="2"/>
  <c r="AE71" i="2"/>
  <c r="AE70" i="2"/>
  <c r="AE69" i="2"/>
  <c r="AE68" i="2"/>
  <c r="AE67" i="2"/>
  <c r="AE66" i="2"/>
  <c r="AE65" i="2"/>
  <c r="AE64" i="2"/>
  <c r="AE63" i="2"/>
  <c r="AE62" i="2"/>
  <c r="AE61" i="2"/>
  <c r="AE60" i="2"/>
  <c r="AE59" i="2"/>
  <c r="AE58" i="2"/>
  <c r="AE57" i="2"/>
  <c r="AE56" i="2"/>
  <c r="AE55" i="2"/>
  <c r="AE54" i="2"/>
  <c r="AE53" i="2"/>
  <c r="AE52" i="2"/>
  <c r="AE51" i="2"/>
  <c r="AE50" i="2"/>
  <c r="AE49" i="2"/>
  <c r="AE48" i="2"/>
  <c r="AE47" i="2"/>
  <c r="AE46" i="2"/>
  <c r="AE45" i="2"/>
  <c r="AE44" i="2"/>
  <c r="AE43" i="2"/>
  <c r="AE42" i="2"/>
  <c r="AE41" i="2"/>
  <c r="AE40" i="2"/>
  <c r="AE39" i="2"/>
  <c r="AE38" i="2"/>
  <c r="AE37" i="2"/>
  <c r="AE36" i="2"/>
  <c r="AE35" i="2"/>
  <c r="AE34" i="2"/>
  <c r="AE33" i="2"/>
  <c r="AE32" i="2"/>
  <c r="AE31" i="2"/>
  <c r="AE30" i="2"/>
  <c r="AE29" i="2"/>
  <c r="AE28" i="2"/>
  <c r="AE27" i="2"/>
  <c r="AE26" i="2"/>
  <c r="AE25" i="2"/>
  <c r="AE24" i="2"/>
  <c r="AE23" i="2"/>
  <c r="AE22" i="2"/>
  <c r="AE21" i="2"/>
  <c r="AE20" i="2"/>
  <c r="AE19" i="2"/>
  <c r="AE18" i="2"/>
  <c r="AE17" i="2"/>
  <c r="AE16" i="2"/>
  <c r="AE15" i="2"/>
  <c r="AE14" i="2"/>
  <c r="AE13" i="2"/>
  <c r="AE12" i="2"/>
  <c r="AE11" i="2"/>
  <c r="AE10" i="2"/>
  <c r="AE9" i="2"/>
  <c r="AE8" i="2"/>
  <c r="AE7" i="2"/>
  <c r="AE6" i="2"/>
  <c r="AE5" i="2"/>
  <c r="AE4" i="2"/>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<sst xmlns="http://schemas.openxmlformats.org/spreadsheetml/2006/main" count="216657" uniqueCount="11376">
  <si>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</si>
  <si>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</si>
  <si>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</si>
  <si>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</si>
  <si>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</si>
  <si>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</si>
  <si>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</si>
  <si>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</si>
  <si>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</si>
  <si>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</si>
  <si>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</si>
  <si>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</si>
  <si>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</si>
  <si>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</si>
  <si>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</si>
  <si>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</si>
  <si>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</si>
  <si>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</si>
  <si>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</si>
  <si>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</si>
  <si>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</si>
  <si>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</si>
  <si>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</si>
  <si>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</si>
  <si>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</si>
  <si>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</si>
  <si>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</si>
  <si>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</si>
  <si>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</si>
  <si>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</si>
  <si>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</si>
  <si>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</si>
  <si>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</si>
  <si>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</si>
  <si>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</si>
  <si>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</si>
  <si>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</si>
  <si>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</si>
  <si>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</si>
  <si>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</si>
  <si>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</si>
  <si>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</si>
  <si>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</si>
  <si>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</si>
  <si>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</si>
  <si>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</si>
  <si>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</si>
  <si>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</si>
  <si>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</si>
  <si>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</si>
  <si>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</si>
  <si>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</si>
  <si>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</si>
  <si>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</si>
  <si>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</si>
  <si>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</si>
  <si>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</si>
  <si>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</si>
  <si>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</si>
  <si>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</si>
  <si>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</si>
  <si>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</si>
  <si>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</si>
  <si>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</si>
  <si>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</si>
  <si>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</si>
  <si>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</si>
  <si>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</si>
  <si>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</si>
  <si>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</si>
  <si>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</si>
  <si>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</si>
  <si>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</si>
  <si>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</si>
  <si>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</si>
  <si>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</si>
  <si>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</si>
  <si>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</si>
  <si>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</si>
  <si>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</si>
  <si>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</si>
  <si>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</si>
  <si>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</si>
  <si>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</si>
  <si>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</si>
  <si>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</si>
  <si>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</si>
  <si>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@'li Burger, Yeşilyurt (İnönü Mah. - İnönü Cad.)</t>
  </si>
  <si>
    <t xml:space="preserve"> </t>
  </si>
  <si>
    <t>MALATYA</t>
  </si>
  <si>
    <t>Yeşilyurt</t>
  </si>
  <si>
    <t>İnönü Mah. - İnönü Cad.</t>
  </si>
  <si>
    <t>MALATYA++</t>
  </si>
  <si>
    <t>@'li Burger, Yeşilyurt (İnönü Mah. - Malatya Park Avm)</t>
  </si>
  <si>
    <t>İnönü Mah. - Malatya Park Avm</t>
  </si>
  <si>
    <t>1991 Tarihi Ortaköy Kumpircisi, Yeşilyurt (Tecde Mah.)</t>
  </si>
  <si>
    <t>Kumpir</t>
  </si>
  <si>
    <t>Tecde Mah.</t>
  </si>
  <si>
    <t>7 Lokma, Battalgazi (Kernek Mah. - Kanalboyu Cad.)</t>
  </si>
  <si>
    <t>Tatlı</t>
  </si>
  <si>
    <t>Battalgazi</t>
  </si>
  <si>
    <t>Kernek Mah. - Kanalboyu Cad.</t>
  </si>
  <si>
    <t>Abooov Kebap &amp; Dürüm, Battalgazi (Akpınar Mah.)</t>
  </si>
  <si>
    <t>Kebap &amp; Türk Mutfağı</t>
  </si>
  <si>
    <t>Akpınar Mah.</t>
  </si>
  <si>
    <t>Acım Çiğ Köfte, Battalgazi (Fırat Mah.)</t>
  </si>
  <si>
    <t>Çiğ Köfte</t>
  </si>
  <si>
    <t>Fırat Mah.</t>
  </si>
  <si>
    <t>Acım Çiğ Köfte, Yeşilyurt (Bostanbaşı Mah.)</t>
  </si>
  <si>
    <t>Bostanbaşı Mah.</t>
  </si>
  <si>
    <t>Adana Ciğer 01, Yeşilyurt (Turgut Özal Mah.)</t>
  </si>
  <si>
    <t>Turgut Özal Mah.</t>
  </si>
  <si>
    <t>Adıyaman Çiğ Köftecisi Haşim Usta, Yeşilyurt (Çilesiz Mah. - Fahri Kayahan Blv.)</t>
  </si>
  <si>
    <t>Çilesiz Mah. - Fahri Kayahan Blv.</t>
  </si>
  <si>
    <t>Adıyaman Çiğ Köftecisi Mehmet Usta, Yeşilyurt (Tecde Mah.)</t>
  </si>
  <si>
    <t>Adıyaman Çiğ Köftecisi Ramazan Doğru, Battalgazi (Üçbağlar Mah.)</t>
  </si>
  <si>
    <t>Üçbağlar Mah.</t>
  </si>
  <si>
    <t>Adıyaman Çiğ Köftecisi Şerif Orhan, Yeşilyurt (Çavuşoğlu Mah.)</t>
  </si>
  <si>
    <t>Çavuşoğlu Mah.</t>
  </si>
  <si>
    <t>Adıyamanlıgil Çiğ Köfte, Battalgazi (Saray Mah.)</t>
  </si>
  <si>
    <t>Saray Mah.</t>
  </si>
  <si>
    <t>Adil Usta, Battalgazi (Şifa Mah.)</t>
  </si>
  <si>
    <t>Şifa Mah.</t>
  </si>
  <si>
    <t>Ado Dondurma &amp; Pastane, Battalgazi (Kernek Mah.)</t>
  </si>
  <si>
    <t>Pastane &amp; Fırın</t>
  </si>
  <si>
    <t>Kernek Mah.</t>
  </si>
  <si>
    <t>Ahde Vefa Balık &amp; Tavuk Evi, Battalgazi (Fırat Mah.)</t>
  </si>
  <si>
    <t>Balık &amp; Deniz Ürünleri</t>
  </si>
  <si>
    <t>Alcatraz Exclusive, Yeşilyurt (Samanlı Mah.)</t>
  </si>
  <si>
    <t>Waffle</t>
  </si>
  <si>
    <t>Samanlı Mah.</t>
  </si>
  <si>
    <t>Alcatraz Friendly, Battalgazi (Kernek Mah. - Kanalboyu Cad.)</t>
  </si>
  <si>
    <t>Altın Köşk Et Dünyası, Yeşilyurt (Karakavak Mah.)</t>
  </si>
  <si>
    <t>Karakavak Mah.</t>
  </si>
  <si>
    <t>Altın Sofra, Yeşilyurt (İnönü Mah. - İstasyon)</t>
  </si>
  <si>
    <t>İnönü Mah. - İstasyon</t>
  </si>
  <si>
    <t>Arby's, Yeşilyurt (İnönü Mah. - Malatya Park Avm)</t>
  </si>
  <si>
    <t>Arby's</t>
  </si>
  <si>
    <t>Arzu Ata Dönercim, Yeşilyurt (Bostanbaşı Mah.)</t>
  </si>
  <si>
    <t>Döner</t>
  </si>
  <si>
    <t>Arzu Ata Et Lokantası, Yeşilyurt (Bostanbaşı Mah.)</t>
  </si>
  <si>
    <t>Arzu Ata Pasta &amp; Fırın, Yeşilyurt (Bostanbaşı Mah.)</t>
  </si>
  <si>
    <t>Arzu Ata Pide &amp; Lahmacun, Yeşilyurt (Bostanbaşı Mah.)</t>
  </si>
  <si>
    <t>Pide &amp; Lahmacun</t>
  </si>
  <si>
    <t>Asır Kebap, Yeşilyurt (İnönü Mah. - Abdulkadir Eriş Cad.)</t>
  </si>
  <si>
    <t>İnönü Mah. - Abdulkadir Eriş Cad.</t>
  </si>
  <si>
    <t>Asil Çiğ Köfte, Yeşilyurt (Zaviye Mah.)</t>
  </si>
  <si>
    <t>Zaviye Mah.</t>
  </si>
  <si>
    <t>Aşıklar Tantuni &amp; Künefe, Battalgazi (Kernek Mah. - Kanalboyu Cad.)</t>
  </si>
  <si>
    <t>Tantuni</t>
  </si>
  <si>
    <t>Ateş Et &amp; Tavuk Döner, Yeşilyurt (İlyas Mah.)</t>
  </si>
  <si>
    <t>İlyas Mah.</t>
  </si>
  <si>
    <t>Ayvalık Tost &amp; Kumru, Battalgazi (Bulgurlu Mah.)</t>
  </si>
  <si>
    <t>Tost &amp; Sandviç</t>
  </si>
  <si>
    <t>Bulgurlu Mah.</t>
  </si>
  <si>
    <t>Baklavacı Yavuz Bey, Battalgazi (Fırat Mah.)</t>
  </si>
  <si>
    <t>Battalbey Çiğ Köftecisi, Battalgazi (Fırat Mah.)</t>
  </si>
  <si>
    <t>Battalbey Çiğ Köftecisi, Battalgazi (Paşaköşkü Mah.)</t>
  </si>
  <si>
    <t>Paşaköşkü Mah.</t>
  </si>
  <si>
    <t>Bereket Çiğ Köfte, Battalgazi (Zafer Mah.)</t>
  </si>
  <si>
    <t>Zafer Mah.</t>
  </si>
  <si>
    <t>Bereket Çiğ Köfte, Yeşilyurt (Zaviye Mah.)</t>
  </si>
  <si>
    <t>Besler Döner Et &amp; Tavuk &amp; Köfte, Battalgazi (Yenihamam Mah.)</t>
  </si>
  <si>
    <t>Yenihamam Mah.</t>
  </si>
  <si>
    <t>Beyzadem Lahmacun &amp; Pide &amp; Döner, Yeşilyurt (İnönü Mah. - İnönü Cad.)</t>
  </si>
  <si>
    <t>Biftek Tantuni İlhan Aşık, Yeşilyurt (Cevatpaşa Mah. - Makro Avm)</t>
  </si>
  <si>
    <t>Cevatpaşa Mah. - Makro Avm</t>
  </si>
  <si>
    <t>Biftek Tantuni İlhan Aşık, Yeşilyurt (Özalper Mah.)</t>
  </si>
  <si>
    <t>Özalper Mah.</t>
  </si>
  <si>
    <t>BigBoss Chef's, Battalgazi (Kernek Mah. - Beşkonaklar Cad.)</t>
  </si>
  <si>
    <t>Kernek Mah. - Beşkonaklar Cad.</t>
  </si>
  <si>
    <t>BigBoss Chef's, Yeşilyurt (Turgut Özal Mah.)</t>
  </si>
  <si>
    <t>Bigeay Yöresel Ev Yemekleri, Battalgazi (Kavaklıbağ Mah.)</t>
  </si>
  <si>
    <t>Ev Yemekleri</t>
  </si>
  <si>
    <t>Kavaklıbağ Mah.</t>
  </si>
  <si>
    <t>Big Mamma's, Yeşilyurt (İnönü Mah. - İnönü Cad.)</t>
  </si>
  <si>
    <t>Dünya Mutfağı &amp; Cafe</t>
  </si>
  <si>
    <t>Bilal Abi, Battalgazi (Saray Mah.)</t>
  </si>
  <si>
    <t>Bilal Usta Mersin Tantuni, Battalgazi (Saray Mah.)</t>
  </si>
  <si>
    <t>Boy'z Burger, Yeşilyurt (Cevatpaşa Mah.)</t>
  </si>
  <si>
    <t>Cevatpaşa Mah.</t>
  </si>
  <si>
    <t>Buffalo Burger, Yeşilyurt (Çilesiz Mah. - Fahri Kayahan Blv.)</t>
  </si>
  <si>
    <t>Buffalo Wok Chicken, Yeşilyurt (Çilesiz Mah. - Fahri Kayahan Blv.)</t>
  </si>
  <si>
    <t>Tavuk</t>
  </si>
  <si>
    <t>Bulgur Çiğ Köfte &amp; Fast Food, Yeşilyurt (Bostanbaşı Mah.)</t>
  </si>
  <si>
    <t>Bulvar Et &amp; Mangal, Yeşilyurt (Çilesiz Mah. - Fahri Kayahan Blv.)</t>
  </si>
  <si>
    <t>Steak</t>
  </si>
  <si>
    <t>Burgerim, Yeşilyurt (İnönü Mah. - Malatya Park Avm)</t>
  </si>
  <si>
    <t>Burger King, Yeşilyurt (Çilesiz Mah. - Fahri Kayahan Blv.)</t>
  </si>
  <si>
    <t>Burger King</t>
  </si>
  <si>
    <t>Burger King, Yeşilyurt (İnönü Mah. - Malatya Park Avm)</t>
  </si>
  <si>
    <t>By Yüksel Salik Tatlıları, Yeşilyurt (Çilesiz Mah. - Fahri Kayahan Blv.)</t>
  </si>
  <si>
    <t>Cadde Bostan Mangal Evi, Yeşilyurt (Bostanbaşı Mah.)</t>
  </si>
  <si>
    <t>Cadde Kebap, Yeşilyurt (Özalper Mah.)</t>
  </si>
  <si>
    <t>Cajun Chicken Box, Yeşilyurt (İnönü Mah. - Malatya Park Avm)</t>
  </si>
  <si>
    <t>Cızbız Mangal, Yeşilyurt (Karakavak Mah.)</t>
  </si>
  <si>
    <t>Cızzgara Döner, Battalgazi (Büyük Hüseyinbey Mah.)</t>
  </si>
  <si>
    <t>Büyük Hüseyinbey Mah.</t>
  </si>
  <si>
    <t>Curcuna Kokoreç, Yeşilyurt (Özalper Mah.)</t>
  </si>
  <si>
    <t>Kokoreç</t>
  </si>
  <si>
    <t>Çadır Kebap, Yeşilyurt (Çilesiz Mah. - Fahri Kayahan Blv.)</t>
  </si>
  <si>
    <t>Çamlıca Restaurant, Yeşilyurt (İnönü Mah. - İnönü Cad.)</t>
  </si>
  <si>
    <t>Çınar Mangal, Battalgazi (Başharık Mah.)</t>
  </si>
  <si>
    <t>Başharık Mah.</t>
  </si>
  <si>
    <t>Çiftlik Pide &amp; Lahmacun, Yeşilyurt (Bostanbaşı Mah.)</t>
  </si>
  <si>
    <t>Çiğköftecim Tavuk Tantuni &amp; Ciğer &amp; Kavurma, Battalgazi (Akpınar Mah.)</t>
  </si>
  <si>
    <t>Damak Tadı Ev Yemekleri, Yeşilyurt (Çilesiz Mah. - Fahri Kayahan Blv.)</t>
  </si>
  <si>
    <t>Deniz Köfte, Yeşilyurt (Tecde Mah.)</t>
  </si>
  <si>
    <t>Köfte</t>
  </si>
  <si>
    <t>Deniz Mangal, Yeşilyurt (Salköprü Mah.)</t>
  </si>
  <si>
    <t>Salköprü Mah.</t>
  </si>
  <si>
    <t>Dezza Pizza, Yeşilyurt (Çilesiz Mah. - Fahri Kayahan Blv.)</t>
  </si>
  <si>
    <t>Pizza</t>
  </si>
  <si>
    <t>Domino's Pizza, Battalgazi (Kernek Mah. - Kanalboyu Cad.)</t>
  </si>
  <si>
    <t>Domino's Pizza</t>
  </si>
  <si>
    <t>Domino's Pizza, Yeşilyurt (Çilesiz Mah. - Fahri Kayahan Blv.)</t>
  </si>
  <si>
    <t>Domino's Pizza, Yeşilyurt (İnönü Mah. - İnönü Cad.)</t>
  </si>
  <si>
    <t>Donas, Battalgazi (Hamidiye Mah.)</t>
  </si>
  <si>
    <t>Hamidiye Mah.</t>
  </si>
  <si>
    <t>Donas, Battalgazi (İzzetiye Mah.)</t>
  </si>
  <si>
    <t>İzzetiye Mah.</t>
  </si>
  <si>
    <t>Dünya Döner, Battalgazi (Kavaklıbağ Mah.)</t>
  </si>
  <si>
    <t>Dürümcü Osman, Yeşilyurt (Turgut Özal Mah.)</t>
  </si>
  <si>
    <t>Efsane Ev Yemekleri, Yeşilyurt (Bostanbaşı Mah.)</t>
  </si>
  <si>
    <t>Efsane Kebap &amp; Balık &amp; Izgara, Battalgazi (Hacı Abdi Mah.)</t>
  </si>
  <si>
    <t>Hacı Abdi Mah.</t>
  </si>
  <si>
    <t>Ekrem Coşkun Döner, Battalgazi (Kavaklıbağ Mah.)</t>
  </si>
  <si>
    <t>Elit Pizza, Battalgazi (Saray Mah.)</t>
  </si>
  <si>
    <t>Esfehan Kebap, Yeşilyurt (İnönü Mah. - İnönü Cad.)</t>
  </si>
  <si>
    <t>Eski Garaj Kebap &amp; Izgara, Battalgazi (Şifa Mah. - Terminal Cad.)</t>
  </si>
  <si>
    <t>Şifa Mah. - Terminal Cad.</t>
  </si>
  <si>
    <t>Eymen Lahmacun, Battalgazi (Saray Mah.)</t>
  </si>
  <si>
    <t>Fahri Kayahan Pilavcısı, Yeşilyurt (Tecde Mah.)</t>
  </si>
  <si>
    <t>Pilav</t>
  </si>
  <si>
    <t>Faruk Güllüoğlu, Battalgazi (Niyazi Mah. - İnönü Cad.)</t>
  </si>
  <si>
    <t>Niyazi Mah. - İnönü Cad.</t>
  </si>
  <si>
    <t>Faveran Ev Yemekleri, Yeşilyurt (Tecde Mah.)</t>
  </si>
  <si>
    <t>Favorim Ev Yemekleri, Yeşilyurt (Özalper Mah.)</t>
  </si>
  <si>
    <t>Goril Fast Food, Yeşilyurt (Çilesiz Mah. - Fahri Kayahan Blv.)</t>
  </si>
  <si>
    <t>Gülümse Mantı Evi, Battalgazi (Paşaköşkü Mah.)</t>
  </si>
  <si>
    <t>Gülzade Baklava &amp; Börek, Yeşilyurt (Çilesiz Mah. - Fahri Kayahan Blv.)</t>
  </si>
  <si>
    <t>Gürbey Yemek &amp; Izgara, Yeşilyurt (Yavuz Selim Mah. - Beydağı Toki Mevkii)</t>
  </si>
  <si>
    <t>Yavuz Selim Mah. - Beydağı Toki Mevkii</t>
  </si>
  <si>
    <t>Güroğlu Tantuni, Battalgazi (Şifa Mah. - Halep Cad.)</t>
  </si>
  <si>
    <t>Şifa Mah. - Halep Cad.</t>
  </si>
  <si>
    <t>Halil Usta Adıyaman Çiğ Köftecisi, Battalgazi (İzzetiye Mah. - İnönü Cad.)</t>
  </si>
  <si>
    <t>İzzetiye Mah. - İnönü Cad.</t>
  </si>
  <si>
    <t>Halil Usta Adıyaman Çiğ Köftecisi, Battalgazi (Paşaköşkü Mah.)</t>
  </si>
  <si>
    <t>Halil Usta Adıyaman Çiğ Köftecisi, Yeşilyurt (Tecde Mah.)</t>
  </si>
  <si>
    <t>Hanedan Döner, Yeşilyurt (Çilesiz Mah. - Fahri Kayahan Blv.)</t>
  </si>
  <si>
    <t>Hasan Baba Sandviç, Yeşilyurt (İnönü Mah. - İnönü Cad.)</t>
  </si>
  <si>
    <t>Hazarhan Çiğköfte Malatya, Yeşilyurt (Özalper Mah.)</t>
  </si>
  <si>
    <t>Helvacı Hacı Aziz, Battalgazi (İzzetiye Mah.)</t>
  </si>
  <si>
    <t>Hosh Waffle &amp; Makarna, Battalgazi (Kernek Mah. - Kanalboyu Cad.)</t>
  </si>
  <si>
    <t>İlhan Bey Pide &amp; Lahmacun, Battalgazi (Göztepe Mah.)</t>
  </si>
  <si>
    <t>Göztepe Mah.</t>
  </si>
  <si>
    <t>Kadıoğlu Baklava &amp; Çiğ Köfte, Yeşilyurt (Turgut Özal Mah.)</t>
  </si>
  <si>
    <t>Kahve Durağı, Yeşilyurt (Çilesiz Mah. - Fahri Kayahan Blv.)</t>
  </si>
  <si>
    <t>Kahve Dünyası, Yeşilyurt (İnönü Mah. - Malatya Park Avm)</t>
  </si>
  <si>
    <t>Kahvem 1517, Yeşilyurt (Tecde Mah.)</t>
  </si>
  <si>
    <t>Kanatçı Amca, Battalgazi (Paşaköşkü Mah.)</t>
  </si>
  <si>
    <t>Kebapçı Ahmet, Yeşilyurt (Zaviye Mah.)</t>
  </si>
  <si>
    <t>Kebapçı Mehmet Dayı'nın Yeri, Yeşilyurt (Samanlı Mah.)</t>
  </si>
  <si>
    <t>KFC, Yeşilyurt (İnönü Mah. - Malatya Park Avm)</t>
  </si>
  <si>
    <t>KFC</t>
  </si>
  <si>
    <t>Kışla Tantuni, Battalgazi (Saray Mah.)</t>
  </si>
  <si>
    <t>Kıtır Balık &amp; Çıtır Tavuk, Yeşilyurt (Tecde Mah.)</t>
  </si>
  <si>
    <t>Kiremit Kebap, Yeşilyurt (Cevatpaşa Mah.)</t>
  </si>
  <si>
    <t>Komagene Etsiz Çiğ Köfte, Battalgazi (İzzetiye Mah. - İnönü Cad.)</t>
  </si>
  <si>
    <t>Komagene Etsiz Çiğ Köfte</t>
  </si>
  <si>
    <t>Komagene Etsiz Çiğ Köfte, Battalgazi (Paşaköşkü Mah.)</t>
  </si>
  <si>
    <t>Komagene Etsiz Çiğ Köfte, Yeşilyurt (Bostanbaşı Mah.)</t>
  </si>
  <si>
    <t>Komagene Etsiz Çiğ Köfte, Yeşilyurt (Cevatpaşa Mah. - Makro Avm)</t>
  </si>
  <si>
    <t>Komagene Etsiz Çiğ Köfte, Yeşilyurt (İnönü Mah. - Malatya Park Avm)</t>
  </si>
  <si>
    <t>Komagene Etsiz Çiğ Köfte, Yeşilyurt (Özalper Mah.)</t>
  </si>
  <si>
    <t>Komagene Etsiz Çiğ Köfte, Yeşilyurt (Tecde Mah.)</t>
  </si>
  <si>
    <t>Konak Kebap &amp; Kilo Mangal, Battalgazi (Akpınar Mah.)</t>
  </si>
  <si>
    <t>Köfteci Cumali Usta, Battalgazi (Hamidiye Mah. - İnönü Cad.)</t>
  </si>
  <si>
    <t>Hamidiye Mah. - İnönü Cad.</t>
  </si>
  <si>
    <t>Köftecim, Battalgazi (Yenihamam Mah.)</t>
  </si>
  <si>
    <t>Köfteci Mesut, Battalgazi (Yenihamam Mah.)</t>
  </si>
  <si>
    <t>Köşem Mangal, Yeşilyurt (Şeyh Bayram Mah.)</t>
  </si>
  <si>
    <t>Şeyh Bayram Mah.</t>
  </si>
  <si>
    <t>Köşem Mangal 2, Yeşilyurt (Özalper Mah.)</t>
  </si>
  <si>
    <t>Köşk Çiğ Köfte, Battalgazi (Paşaköşkü Mah.)</t>
  </si>
  <si>
    <t>Ladess Mangal, Yeşilyurt (Zaviye Mah.)</t>
  </si>
  <si>
    <t>Levent Börek, Yeşilyurt (Çilesiz Mah. - Fahri Kayahan Blv.)</t>
  </si>
  <si>
    <t>Kahvaltı &amp; Börek</t>
  </si>
  <si>
    <t>Mangal Dünyası, Battalgazi (Çöşnük Mah.)</t>
  </si>
  <si>
    <t>Çöşnük Mah.</t>
  </si>
  <si>
    <t>McDonald's, Yeşilyurt (İnönü Mah. - Malatya Park Avm)</t>
  </si>
  <si>
    <t>McDonald's</t>
  </si>
  <si>
    <t>MDK Kadayıf &amp; Künefe &amp; Baklava, Yeşilyurt (Çilesiz Mah. - Fahri Kayahan Blv.)</t>
  </si>
  <si>
    <t>Mehmet Usta Edem Dondurma &amp; Künefe, Battalgazi (Kernek Mah. - Kanalboyu Cad.)</t>
  </si>
  <si>
    <t>Mersin 33 Tantuni, Yeşilyurt (Çilesiz Mah. - Fahri Kayahan Blv.)</t>
  </si>
  <si>
    <t>Mersin 33 Tantuni, Yeşilyurt (İnönü Mah. - İnönü Cad.)</t>
  </si>
  <si>
    <t>Mersin Chef Tantuni, Battalgazi (Niyazi Mah. - İnönü Cad.)</t>
  </si>
  <si>
    <t>Mersin Villa Tantuni, Yeşilyurt (Karakavak Mah.)</t>
  </si>
  <si>
    <t>Meşhur Adıyaman Çiğköftecisi Ramazan Doğru, Battalgazi (Selçuklu Mah.)</t>
  </si>
  <si>
    <t>Selçuklu Mah.</t>
  </si>
  <si>
    <t>Meşhur Adıyaman Çiğköftecisi Ramazan Doğru, Yeşilyurt (Şeyh Bayram Mah.)</t>
  </si>
  <si>
    <t>Meşhur Baklavacı Öztürk Usta, Yeşilyurt (Bostanbaşı Mah.)</t>
  </si>
  <si>
    <t>Meşhur Baklavacı Öztürk Usta, Yeşilyurt (Tecde Mah.)</t>
  </si>
  <si>
    <t>Meşhur Baklavacı Öztürk Usta, Yeşilyurt (Yakınca Mah.)</t>
  </si>
  <si>
    <t>Yakınca Mah.</t>
  </si>
  <si>
    <t>Mis Pizza &amp; Simit, Battalgazi (Şıkşık Mah.)</t>
  </si>
  <si>
    <t>Şıkşık Mah.</t>
  </si>
  <si>
    <t>Miss Mangal, Battalgazi (Niyazi Mah. - İnönü Cad.)</t>
  </si>
  <si>
    <t>Mualla, Battalgazi (Kernek Mah.)</t>
  </si>
  <si>
    <t>Mutlu Kebap &amp; Mangal, Battalgazi (Hasan Varol Mah.)</t>
  </si>
  <si>
    <t>Hasan Varol Mah.</t>
  </si>
  <si>
    <t>Nar Künefe, Yeşilyurt (Koyunoğlu Mah.)</t>
  </si>
  <si>
    <t>Koyunoğlu Mah.</t>
  </si>
  <si>
    <t>Nar Künefe, Yeşilyurt (Tecde Mah.)</t>
  </si>
  <si>
    <t>Nefiss Adıyaman Çiğ Köftecisi, Battalgazi (Büyük Hüseyinbey Mah.)</t>
  </si>
  <si>
    <t>Neşe Pizza, Battalgazi (Paşaköşkü Mah.)</t>
  </si>
  <si>
    <t>Numune Et - Tavuk Mangal, Yeşilyurt (Samanlı Mah.)</t>
  </si>
  <si>
    <t>Olivia Pizza, Battalgazi (Saray Mah.)</t>
  </si>
  <si>
    <t>Orient Pizza, Yeşilyurt (İnönü Mah. - İnönü Cad.)</t>
  </si>
  <si>
    <t>Oses Çiğ Köfte, Battalgazi (İskender Mah.)</t>
  </si>
  <si>
    <t>Oses Çiğ Köfte</t>
  </si>
  <si>
    <t>İskender Mah.</t>
  </si>
  <si>
    <t>Oses Çiğ Köfte, Yeşilyurt (Çukurdere Mah.)</t>
  </si>
  <si>
    <t>Çukurdere Mah.</t>
  </si>
  <si>
    <t>Oses Çiğ Köfte, Yeşilyurt (Tecde Mah.)</t>
  </si>
  <si>
    <t>Oses Çiğ Köfte, Yeşilyurt (Tecde Mah. - Güngör Cad.)</t>
  </si>
  <si>
    <t>Tecde Mah. - Güngör Cad.</t>
  </si>
  <si>
    <t>Öncü Döner, Yeşilyurt (İnönü Mah. - İnönü Cad.)</t>
  </si>
  <si>
    <t>Örnek Lahmacun &amp; Kebap, Battalgazi (Paşaköşkü Mah.)</t>
  </si>
  <si>
    <t>Öz Altınşiş Kebap Sarayı, Battalgazi (Dabakhane Mah.)</t>
  </si>
  <si>
    <t>Dabakhane Mah.</t>
  </si>
  <si>
    <t>Özeller Tantuni &amp; Döner, Battalgazi (Yenihamam Mah.)</t>
  </si>
  <si>
    <t>Özsüt, Yeşilyurt (Özalper Mah.)</t>
  </si>
  <si>
    <t>Özsüt</t>
  </si>
  <si>
    <t>Öz Urfa Kebap &amp; Lahmacun, Battalgazi (Saray Mah.)</t>
  </si>
  <si>
    <t>Paper Roasting Coffee &amp; Chocolate, Yeşilyurt (İnönü Mah. - İnönü Cad.)</t>
  </si>
  <si>
    <t>Pasaport Pizza, Yeşilyurt (İnönü Mah. - Malatya Park Avm)</t>
  </si>
  <si>
    <t>Pasaport Pizza</t>
  </si>
  <si>
    <t>Paşaköşkü Kebap &amp; Lahmacun, Battalgazi (Paşaköşkü Mah.)</t>
  </si>
  <si>
    <t>Pizza Life, Battalgazi (Fırat Mah.)</t>
  </si>
  <si>
    <t>Pizza Marino, Yeşilyurt (Çilesiz Mah. - Fahri Kayahan Blv.)</t>
  </si>
  <si>
    <t>Pizza My Marios, Yeşilyurt (Tecde Mah.)</t>
  </si>
  <si>
    <t>Pizza Real, Battalgazi (Bulgurlu Mah.)</t>
  </si>
  <si>
    <t>Pizza Real, Battalgazi (Saray Mah.)</t>
  </si>
  <si>
    <t>Pizza Real, Yeşilyurt (Cevatpaşa Mah. - Makro Avm)</t>
  </si>
  <si>
    <t>Pizza Real, Yeşilyurt (Tecde Mah.)</t>
  </si>
  <si>
    <t>Pizzatalia, Battalgazi (Paşaköşkü Mah.)</t>
  </si>
  <si>
    <t>Popeyes, Yeşilyurt (İnönü Mah. - Malatya Park Avm)</t>
  </si>
  <si>
    <t>Popeyes</t>
  </si>
  <si>
    <t>Royal Pizza &amp; Burger, Yeşilyurt (Bostanbaşı Mah.)</t>
  </si>
  <si>
    <t>Saka Su, Yeşilyurt (Yakınca Mah.)</t>
  </si>
  <si>
    <t>Damacana Su</t>
  </si>
  <si>
    <t>Sandal Mangal Balık &amp; Tavuk, Yeşilyurt (Aşağıbağlar Mah. - Kuyuönü)</t>
  </si>
  <si>
    <t>Aşağıbağlar Mah. - Kuyuönü</t>
  </si>
  <si>
    <t>Saray Lahmacun Pide &amp; Izgara, Yeşilyurt (Cevatpaşa Mah. - Makro Avm)</t>
  </si>
  <si>
    <t>Sedir Kebap Kavurma &amp; Ciğer, Yeşilyurt (Koşu Mah.)</t>
  </si>
  <si>
    <t>Koşu Mah.</t>
  </si>
  <si>
    <t>Sivas Köfte, Yeşilyurt (Çukurdere Mah.)</t>
  </si>
  <si>
    <t>Sofram Lokantası, Yeşilyurt (Bostanbaşı Mah.)</t>
  </si>
  <si>
    <t>Sortiee Cafe &amp; Restaurant, Battalgazi (İzzetiye Mah. - İnönü Cad.)</t>
  </si>
  <si>
    <t>Soykan Vitamin, Yeşilyurt (İnönü Mah. - İnönü Cad.)</t>
  </si>
  <si>
    <t>Soykan Vitamin, Yeşilyurt (İnönü Mah. - İnönü Cad. - Vilayet Arkası)</t>
  </si>
  <si>
    <t>İnönü Mah. - İnönü Cad. - Vilayet Arkası</t>
  </si>
  <si>
    <t>Starbucks Coffee, Yeşilyurt (Çilesiz Mah. - Fahri Kayahan Blv.)</t>
  </si>
  <si>
    <t>Starbucks Coffee</t>
  </si>
  <si>
    <t>Şampiyon Kokoreç, Yeşilyurt (Çilesiz Mah. - Fahri Kayahan Blv.)</t>
  </si>
  <si>
    <t>Şehr-i Zade Restaurant, Yeşilyurt (Tecde Mah.)</t>
  </si>
  <si>
    <t>Şelale Kebap, Battalgazi (Tandoğan Mah.)</t>
  </si>
  <si>
    <t>Tandoğan Mah.</t>
  </si>
  <si>
    <t>Şems-i Kahve, Yeşilyurt (Tecde Mah.)</t>
  </si>
  <si>
    <t>Şölen Çiğ Köfte, Yeşilyurt (Cemalgürsel Mah.)</t>
  </si>
  <si>
    <t>Cemalgürsel Mah.</t>
  </si>
  <si>
    <t>Tabakta Tavuk, Battalgazi (İstiklal Mah.)</t>
  </si>
  <si>
    <t>İstiklal Mah.</t>
  </si>
  <si>
    <t>Tarihi Lale Lokantası, Battalgazi (Yenihamam Mah.)</t>
  </si>
  <si>
    <t>Tat Pizza &amp; Mangal, Battalgazi (Çöşnük Mah.)</t>
  </si>
  <si>
    <t>Tavada Tavuk, Yeşilyurt (İnönü Mah. - Malatya Park Avm)</t>
  </si>
  <si>
    <t>Tavuk Dünyası, Yeşilyurt (İnönü Mah. - Malatya Park Avm)</t>
  </si>
  <si>
    <t>Tavuk Dünyası</t>
  </si>
  <si>
    <t>Terra Pizza - Pizza Pizza, Yeşilyurt (Karakavak Mah.)</t>
  </si>
  <si>
    <t>Terra Pizza - Pizza Pizza</t>
  </si>
  <si>
    <t>Torku Ziyafet Döner, Yeşilyurt (Turgut Özal Mah.)</t>
  </si>
  <si>
    <t>Tramvay Köfte 1, Yeşilyurt (Cevatpaşa Mah. - Makro Avm)</t>
  </si>
  <si>
    <t>Umut Mangal Dünyası, Battalgazi (Aslanbey Mah.)</t>
  </si>
  <si>
    <t>Aslanbey Mah.</t>
  </si>
  <si>
    <t>Urfa Çiğköfte, Yeşilyurt (Zaviye Mah.)</t>
  </si>
  <si>
    <t>Usta Dönerci, Yeşilyurt (İnönü Mah. - Malatya Park Avm)</t>
  </si>
  <si>
    <t>Usta Dönerci</t>
  </si>
  <si>
    <t>Usta Pideci, Yeşilyurt (İnönü Mah. - İnönü Cad.)</t>
  </si>
  <si>
    <t>Usta Pideci</t>
  </si>
  <si>
    <t>Ünlü Çiğ Köfteci Bayram Taştan, Yeşilyurt (Bostanbaşı Mah.)</t>
  </si>
  <si>
    <t>Ünlü Çiğ Köfteci Mehmet Usta, Battalgazi (Halfettin Mah.)</t>
  </si>
  <si>
    <t>Halfettin Mah.</t>
  </si>
  <si>
    <t>Ünlü Çiğ Köfteci Müslüm Boztaş, Battalgazi (Şifa Mah. - İnönü Cad.)</t>
  </si>
  <si>
    <t>Şifa Mah. - İnönü Cad.</t>
  </si>
  <si>
    <t>Ünlü Çiğ Köfteci Ömer Üngör, Yeşilyurt (Tecde Mah.)</t>
  </si>
  <si>
    <t>Ünlü Çiğ Köfteci Yusuf Usta, Yeşilyurt (Zaviye Mah.)</t>
  </si>
  <si>
    <t>Ünlü Sincik Çiğ Köfte, Yeşilyurt (Tecde Mah.)</t>
  </si>
  <si>
    <t>Ünlü Sincik Çiğ Köftecisi, Yeşilyurt (Çilesiz Mah. - Fahri Kayahan Blv.)</t>
  </si>
  <si>
    <t>Yeshilçam Cafe &amp; Restorant, Yeşilyurt (İnönü Mah. - İnönü Cad.)</t>
  </si>
  <si>
    <t>Yeşil Çiğ Köfte, Yeşilyurt (Tecde Mah.)</t>
  </si>
  <si>
    <t>Zener Döner, Yeşilyurt (Bostanbaşı Mah.)</t>
  </si>
  <si>
    <t>@'li Burger</t>
  </si>
  <si>
    <t>30-40 dk.</t>
  </si>
  <si>
    <t>1991 Tarihi Ortaköy Kumpircisi</t>
  </si>
  <si>
    <t>7 Lokma</t>
  </si>
  <si>
    <t>35-45 dk.</t>
  </si>
  <si>
    <t>Abooov Kebap &amp; Dürüm</t>
  </si>
  <si>
    <t>Acım Çiğ Köfte</t>
  </si>
  <si>
    <t>25-35 dk.</t>
  </si>
  <si>
    <t>Adana Ciğer 01</t>
  </si>
  <si>
    <t>Adıyaman Çiğ Köftecisi Haşim Usta</t>
  </si>
  <si>
    <t>Adıyaman Çiğ Köftecisi Mehmet Usta</t>
  </si>
  <si>
    <t>Adıyaman Çiğ Köftecisi Ramazan Doğru</t>
  </si>
  <si>
    <t>Adıyaman Çiğ Köftecisi Şerif Orhan</t>
  </si>
  <si>
    <t>Adıyamanlıgil Çiğ Köfte</t>
  </si>
  <si>
    <t>Adil Usta</t>
  </si>
  <si>
    <t>Ado Dondurma &amp; Pastane</t>
  </si>
  <si>
    <t>Ahde Vefa Balık &amp; Tavuk Evi</t>
  </si>
  <si>
    <t>Alcatraz Exclusive</t>
  </si>
  <si>
    <t>Alcatraz Friendly</t>
  </si>
  <si>
    <t>50-60 dk.</t>
  </si>
  <si>
    <t>Altın Köşk Et Dünyası</t>
  </si>
  <si>
    <t>Altın Sofra</t>
  </si>
  <si>
    <t>Arzu Ata Dönercim</t>
  </si>
  <si>
    <t>Arzu Ata Et Lokantası</t>
  </si>
  <si>
    <t>Arzu Ata Pasta &amp; Fırın</t>
  </si>
  <si>
    <t>Arzu Ata Pide &amp; Lahmacun</t>
  </si>
  <si>
    <t>Asır Kebap</t>
  </si>
  <si>
    <t>Asil Çiğ Köfte</t>
  </si>
  <si>
    <t>Aşıklar Tantuni &amp; Künefe</t>
  </si>
  <si>
    <t>Ateş Et &amp; Tavuk Döner</t>
  </si>
  <si>
    <t>Ayvalık Tost &amp; Kumru</t>
  </si>
  <si>
    <t>Baklavacı Yavuz Bey</t>
  </si>
  <si>
    <t>Battalbey Çiğ Köftecisi</t>
  </si>
  <si>
    <t>Bereket Çiğ Köfte</t>
  </si>
  <si>
    <t>Besler Döner Et &amp; Tavuk &amp; Köfte</t>
  </si>
  <si>
    <t>Beyzadem Lahmacun &amp; Pide &amp; Döner</t>
  </si>
  <si>
    <t>Biftek Tantuni İlhan Aşık</t>
  </si>
  <si>
    <t>BigBoss Chef's</t>
  </si>
  <si>
    <t>40-50 dk.</t>
  </si>
  <si>
    <t>Bigeay Yöresel Ev Yemekleri</t>
  </si>
  <si>
    <t>Big Mamma's</t>
  </si>
  <si>
    <t>Bilal Abi</t>
  </si>
  <si>
    <t>Bilal Usta Mersin Tantuni</t>
  </si>
  <si>
    <t>Boy'z Burger</t>
  </si>
  <si>
    <t>Buffalo Burger</t>
  </si>
  <si>
    <t>Buffalo Wok Chicken</t>
  </si>
  <si>
    <t>Bulgur Çiğ Köfte &amp; Fast Food</t>
  </si>
  <si>
    <t>Bulvar Et &amp; Mangal</t>
  </si>
  <si>
    <t>Burgerim</t>
  </si>
  <si>
    <t>By Yüksel Salik Tatlıları</t>
  </si>
  <si>
    <t>Cadde Bostan Mangal Evi</t>
  </si>
  <si>
    <t>Cadde Kebap</t>
  </si>
  <si>
    <t>Cajun Chicken Box</t>
  </si>
  <si>
    <t>Cızbız Mangal</t>
  </si>
  <si>
    <t>Cızzgara Döner</t>
  </si>
  <si>
    <t>Curcuna Kokoreç</t>
  </si>
  <si>
    <t>Çadır Kebap</t>
  </si>
  <si>
    <t>Çamlıca Restaurant</t>
  </si>
  <si>
    <t>Çınar Mangal</t>
  </si>
  <si>
    <t>Çiftlik Pide &amp; Lahmacun</t>
  </si>
  <si>
    <t>Çiğköftecim Tavuk Tantuni &amp; Ciğer &amp; Kavurma</t>
  </si>
  <si>
    <t>Damak Tadı Ev Yemekleri</t>
  </si>
  <si>
    <t>Deniz Köfte</t>
  </si>
  <si>
    <t>Deniz Mangal</t>
  </si>
  <si>
    <t>Dezza Pizza</t>
  </si>
  <si>
    <t>Donas</t>
  </si>
  <si>
    <t>Dünya Döner</t>
  </si>
  <si>
    <t>Dürümcü Osman</t>
  </si>
  <si>
    <t>Efsane Ev Yemekleri</t>
  </si>
  <si>
    <t>Efsane Kebap &amp; Balık &amp; Izgara</t>
  </si>
  <si>
    <t>Ekrem Coşkun Döner</t>
  </si>
  <si>
    <t>Elit Pizza</t>
  </si>
  <si>
    <t>Esfehan Kebap</t>
  </si>
  <si>
    <t>Eski Garaj Kebap &amp; Izgara</t>
  </si>
  <si>
    <t>Eymen Lahmacun</t>
  </si>
  <si>
    <t>Fahri Kayahan Pilavcısı</t>
  </si>
  <si>
    <t>Faruk Güllüoğlu</t>
  </si>
  <si>
    <t>Faveran Ev Yemekleri</t>
  </si>
  <si>
    <t>Favorim Ev Yemekleri</t>
  </si>
  <si>
    <t>Goril Fast Food</t>
  </si>
  <si>
    <t>Gülümse Mantı Evi</t>
  </si>
  <si>
    <t>45-55 dk.</t>
  </si>
  <si>
    <t>Gülzade Baklava &amp; Börek</t>
  </si>
  <si>
    <t>Gürbey Yemek &amp; Izgara</t>
  </si>
  <si>
    <t>Güroğlu Tantuni</t>
  </si>
  <si>
    <t>Halil Usta Adıyaman Çiğ Köftecisi</t>
  </si>
  <si>
    <t>Hanedan Döner</t>
  </si>
  <si>
    <t>Hasan Baba Sandviç</t>
  </si>
  <si>
    <t>Hazarhan Çiğköfte Malatya</t>
  </si>
  <si>
    <t>Helvacı Hacı Aziz</t>
  </si>
  <si>
    <t>Hosh Waffle &amp; Makarna</t>
  </si>
  <si>
    <t>İlhan Bey Pide &amp; Lahmacun</t>
  </si>
  <si>
    <t>Kadıoğlu Baklava &amp; Çiğ Köfte</t>
  </si>
  <si>
    <t>Kahve Durağı</t>
  </si>
  <si>
    <t>Kahve Dünyası</t>
  </si>
  <si>
    <t>Kahvem 1517</t>
  </si>
  <si>
    <t>Kanatçı Amca</t>
  </si>
  <si>
    <t>Kebapçı Ahmet</t>
  </si>
  <si>
    <t>Kebapçı Mehmet Dayı'nın Yeri</t>
  </si>
  <si>
    <t>Kışla Tantuni</t>
  </si>
  <si>
    <t>65-75 dk.</t>
  </si>
  <si>
    <t>Kıtır Balık &amp; Çıtır Tavuk</t>
  </si>
  <si>
    <t>Kiremit Kebap</t>
  </si>
  <si>
    <t>Konak Kebap &amp; Kilo Mangal</t>
  </si>
  <si>
    <t>Köfteci Cumali Usta</t>
  </si>
  <si>
    <t>Köftecim</t>
  </si>
  <si>
    <t>Köfteci Mesut</t>
  </si>
  <si>
    <t>Köşem Mangal</t>
  </si>
  <si>
    <t>Köşem Mangal 2</t>
  </si>
  <si>
    <t>Köşk Çiğ Köfte</t>
  </si>
  <si>
    <t>Ladess Mangal</t>
  </si>
  <si>
    <t>Levent Börek</t>
  </si>
  <si>
    <t>Mangal Dünyası</t>
  </si>
  <si>
    <t>MDK Kadayıf &amp; Künefe &amp; Baklava</t>
  </si>
  <si>
    <t>Mehmet Usta Edem Dondurma &amp; Künefe</t>
  </si>
  <si>
    <t>Mersin 33 Tantuni</t>
  </si>
  <si>
    <t>Mersin Chef Tantuni</t>
  </si>
  <si>
    <t>Mersin Villa Tantuni</t>
  </si>
  <si>
    <t>Meşhur Adıyaman Çiğköftecisi Ramazan Doğru</t>
  </si>
  <si>
    <t>Meşhur Baklavacı Öztürk Usta</t>
  </si>
  <si>
    <t>Mis Pizza &amp; Simit</t>
  </si>
  <si>
    <t>Miss Mangal</t>
  </si>
  <si>
    <t>Mualla</t>
  </si>
  <si>
    <t>Mutlu Kebap &amp; Mangal</t>
  </si>
  <si>
    <t>Nar Künefe</t>
  </si>
  <si>
    <t>Nefiss Adıyaman Çiğ Köftecisi</t>
  </si>
  <si>
    <t>Neşe Pizza</t>
  </si>
  <si>
    <t>Numune Et - Tavuk Mangal</t>
  </si>
  <si>
    <t>Olivia Pizza</t>
  </si>
  <si>
    <t>Orient Pizza</t>
  </si>
  <si>
    <t>Öncü Döner</t>
  </si>
  <si>
    <t>60-70 dk.</t>
  </si>
  <si>
    <t>Örnek Lahmacun &amp; Kebap</t>
  </si>
  <si>
    <t>Öz Altınşiş Kebap Sarayı</t>
  </si>
  <si>
    <t>Özeller Tantuni &amp; Döner</t>
  </si>
  <si>
    <t>Öz Urfa Kebap &amp; Lahmacun</t>
  </si>
  <si>
    <t>Paper Roasting Coffee &amp; Chocolate</t>
  </si>
  <si>
    <t>Paşaköşkü Kebap &amp; Lahmacun</t>
  </si>
  <si>
    <t>Pizza Life</t>
  </si>
  <si>
    <t>Pizza Marino</t>
  </si>
  <si>
    <t>Pizza My Marios</t>
  </si>
  <si>
    <t>Pizza Real</t>
  </si>
  <si>
    <t>Pizzatalia</t>
  </si>
  <si>
    <t>Royal Pizza &amp; Burger</t>
  </si>
  <si>
    <t>Saka Su</t>
  </si>
  <si>
    <t>75 dk.</t>
  </si>
  <si>
    <t>Sandal Mangal Balık &amp; Tavuk</t>
  </si>
  <si>
    <t>Saray Lahmacun Pide &amp; Izgara</t>
  </si>
  <si>
    <t>Sedir Kebap Kavurma &amp; Ciğer</t>
  </si>
  <si>
    <t>Sivas Köfte</t>
  </si>
  <si>
    <t>Sofram Lokantası</t>
  </si>
  <si>
    <t>Sortiee Cafe &amp; Restaurant</t>
  </si>
  <si>
    <t>Soykan Vitamin</t>
  </si>
  <si>
    <t>Şampiyon Kokoreç</t>
  </si>
  <si>
    <t>Şehr-i Zade Restaurant</t>
  </si>
  <si>
    <t>Şelale Kebap</t>
  </si>
  <si>
    <t>Şems-i Kahve</t>
  </si>
  <si>
    <t>Şölen Çiğ Köfte</t>
  </si>
  <si>
    <t>Tabakta Tavuk</t>
  </si>
  <si>
    <t>Tarihi Lale Lokantası</t>
  </si>
  <si>
    <t>Tat Pizza &amp; Mangal</t>
  </si>
  <si>
    <t>Tavada Tavuk</t>
  </si>
  <si>
    <t>Torku Ziyafet Döner</t>
  </si>
  <si>
    <t>Tramvay Köfte 1</t>
  </si>
  <si>
    <t>Umut Mangal Dünyası</t>
  </si>
  <si>
    <t>Urfa Çiğköfte</t>
  </si>
  <si>
    <t>Ünlü Çiğ Köfteci Bayram Taştan</t>
  </si>
  <si>
    <t>Ünlü Çiğ Köfteci Mehmet Usta</t>
  </si>
  <si>
    <t>Ünlü Çiğ Köfteci Müslüm Boztaş</t>
  </si>
  <si>
    <t>Ünlü Çiğ Köfteci Ömer Üngör</t>
  </si>
  <si>
    <t>Ünlü Çiğ Köfteci Yusuf Usta</t>
  </si>
  <si>
    <t>Ünlü Sincik Çiğ Köfte</t>
  </si>
  <si>
    <t>Ünlü Sincik Çiğ Köftecisi</t>
  </si>
  <si>
    <t>Yeshilçam Cafe &amp; Restorant</t>
  </si>
  <si>
    <t>Yeşil Çiğ Köfte</t>
  </si>
  <si>
    <t>Zener Döner</t>
  </si>
  <si>
    <t>Vodafone Menüsü (Cheeseburger)</t>
  </si>
  <si>
    <t xml:space="preserve">Cheeseburger + Kutu İçecek (Kampanya koşulları için restoranın Promosyonlar bölümüne göz atınız. İndirimli fiyat ürün sepete eklendikten sonra uygulanır.) </t>
  </si>
  <si>
    <t>55,70 TL</t>
  </si>
  <si>
    <t xml:space="preserve">130 gr. dana burger köftesi, 40 gr. dana kontrfile, dana füme, cheddar peyniri, karamelize soğan, turşu, marul, özel sos. Patates kızartması ile </t>
  </si>
  <si>
    <t>43,90 TL</t>
  </si>
  <si>
    <t>Cheeseburger</t>
  </si>
  <si>
    <t xml:space="preserve">130 gr. dana burger köftesi, cheddar peyniri, karamelize soğan, turşu, marul, özel sos. Patates kızartması ile </t>
  </si>
  <si>
    <t>38,90 TL</t>
  </si>
  <si>
    <t>Double Burger</t>
  </si>
  <si>
    <t xml:space="preserve">260 gr. dana burger köftesi, çift cheddar peyniri, özel sos, karamelize soğan, turşu, marul. Patates kızartması ile </t>
  </si>
  <si>
    <t>54,90 TL</t>
  </si>
  <si>
    <t>İtalyan Burger</t>
  </si>
  <si>
    <t xml:space="preserve">130 gr. dana burger köftesi, İtalyan sos, karamelize soğan, cheddar peyniri, turşu, marul. Patates kızartması ile </t>
  </si>
  <si>
    <t>39,90 TL</t>
  </si>
  <si>
    <t>Kasap Burger</t>
  </si>
  <si>
    <t xml:space="preserve">130 gr. dana burger köftesi, dana füme, karamelize soğan, cheddar peyniri, özel sos, marul, turşu. Patates kızartması ile </t>
  </si>
  <si>
    <t>Klasik Burger</t>
  </si>
  <si>
    <t xml:space="preserve">130 gr. dana burger köftesi, karamelize soğan, turşu, marul, özel sos. Patates kızartması ile </t>
  </si>
  <si>
    <t>Mantarlı Burger</t>
  </si>
  <si>
    <t xml:space="preserve">130 gr. dana burger köftesi, tereyağlı mantar sos, karamelize soğan, özel sos, turşu, marul, cheddar peyniri. Patates kızartması ile </t>
  </si>
  <si>
    <t>Mexican Burger</t>
  </si>
  <si>
    <t xml:space="preserve">130 gr. dana burger köftesi, jalapeno biberi, közlenmiş kırmızıbiber, cheddar peyniri, turşu, karamelize soğan, özel sos. Patates kızartması ile </t>
  </si>
  <si>
    <t>Steak Burger</t>
  </si>
  <si>
    <t xml:space="preserve">130 gr. dana burger köftesi, 40 gr. dana kontrfile, karamelize soğan, cheddar peyniri, marul, turşu, özel sos. Patates kızartması ile </t>
  </si>
  <si>
    <t>41,90 TL</t>
  </si>
  <si>
    <t>Tavuk Burger</t>
  </si>
  <si>
    <t xml:space="preserve">130 gr. tavuk bonfile, cheddar peyniri, marul, turşu, karamelize soğan. Patates kızartması ile </t>
  </si>
  <si>
    <t>27,90 TL</t>
  </si>
  <si>
    <t>Soğan Halkası</t>
  </si>
  <si>
    <t>15,90 TL</t>
  </si>
  <si>
    <t>Patates Kızartması (Büyük)</t>
  </si>
  <si>
    <t>22,90 TL</t>
  </si>
  <si>
    <t>Patates Kızartması (Küçük)</t>
  </si>
  <si>
    <t>16,90 TL</t>
  </si>
  <si>
    <t>Pepsi (33 cl.)</t>
  </si>
  <si>
    <t>9,90 TL</t>
  </si>
  <si>
    <t>Pepsi Max (33 cl.)</t>
  </si>
  <si>
    <t>Yedigün (33 cl.)</t>
  </si>
  <si>
    <t>Fruko (33 cl.)</t>
  </si>
  <si>
    <t>Tropicana (33 cl.)</t>
  </si>
  <si>
    <t>Ayran (30 cl.)</t>
  </si>
  <si>
    <t>6,90 TL</t>
  </si>
  <si>
    <t>Meyveli Soda (20 cl.)</t>
  </si>
  <si>
    <t>5,90 TL</t>
  </si>
  <si>
    <t>Soda (20 cl.)</t>
  </si>
  <si>
    <t>Su (50 cl.)</t>
  </si>
  <si>
    <t>4,90 TL</t>
  </si>
  <si>
    <t>Poşet</t>
  </si>
  <si>
    <t>0,25 TL</t>
  </si>
  <si>
    <t>Süper 2'li Menü</t>
  </si>
  <si>
    <t xml:space="preserve">Seçeceğiniz 2 Adet Burger (Klasik burger, Cheeseburger, İtalyan burger, Mexican burger ve Mantarlı burger için geçerlidir.) + 2 Adet Patates Kızartması + 6'lı Soğan Halkası + Pepsi (1 L.) </t>
  </si>
  <si>
    <t>89,90 TL</t>
  </si>
  <si>
    <t>Süper 3'lü Menü</t>
  </si>
  <si>
    <t xml:space="preserve">Seçeceğiniz 3 Adet Burger (Klasik burger, Cheeseburger, İtalyan burger, Mexican burger ve Mantarlı burger için geçerlidir.) + 3 Adet Patates Kızartması + 6'lı Soğan Halkası + Pepsi (1 L.) </t>
  </si>
  <si>
    <t>119,90 TL</t>
  </si>
  <si>
    <t>Süper Aile Menü</t>
  </si>
  <si>
    <t xml:space="preserve">Seçeceğiniz 4 Adet Burger (Klasik burger, Cheeseburger, İtalyan burger, Mexican burger ve Mantarlı burger için geçerlidir.) + 4 Adet Patates Kızartması + 12'li Soğan Halkası + Pepsi (1 L.) </t>
  </si>
  <si>
    <t>139,90 TL</t>
  </si>
  <si>
    <t>Tekim Menü</t>
  </si>
  <si>
    <t xml:space="preserve">Seçeceğiniz Burger (Klasik burger, Cheeseburger, İtalyan burger, Mexican burger ve Mantarlı burger için geçerlidir.) + Patates Kızartması + Kutu İçecek </t>
  </si>
  <si>
    <t>44,90 TL</t>
  </si>
  <si>
    <t>76,90 TL</t>
  </si>
  <si>
    <t>99,90 TL</t>
  </si>
  <si>
    <t>120,00 TL</t>
  </si>
  <si>
    <t>36,90 TL</t>
  </si>
  <si>
    <t>49,90 TL</t>
  </si>
  <si>
    <t>35,90 TL</t>
  </si>
  <si>
    <t>Lokum Burger</t>
  </si>
  <si>
    <t xml:space="preserve">150 gr. dana bonfile eti, karamelize soğan, turşu, cheddar peyniri, marul, özel sos, özel ekmek. Patates kızartması ile </t>
  </si>
  <si>
    <t>24,90 TL</t>
  </si>
  <si>
    <t>13,90 TL</t>
  </si>
  <si>
    <t>19,90 TL</t>
  </si>
  <si>
    <t>7,90 TL</t>
  </si>
  <si>
    <t>Pepsi Light (33 cl.)</t>
  </si>
  <si>
    <t>3,90 TL</t>
  </si>
  <si>
    <t>Full Kumpir</t>
  </si>
  <si>
    <t xml:space="preserve">Seçeceğiniz 14 malzeme ile </t>
  </si>
  <si>
    <t>30,00 TL</t>
  </si>
  <si>
    <t>3 Malzemeli Kumpir</t>
  </si>
  <si>
    <t xml:space="preserve">Tereyağı, kaşar peyniri, seçeceğiniz 3 malzeme ile </t>
  </si>
  <si>
    <t>22,00 TL</t>
  </si>
  <si>
    <t>Tam Waffle</t>
  </si>
  <si>
    <t xml:space="preserve">Seçeceğiniz malzemeler ile </t>
  </si>
  <si>
    <t>Hot Dog Menü</t>
  </si>
  <si>
    <t xml:space="preserve">Hot Dog (Dana sosis, turşu, sos) + Patates Kızartması </t>
  </si>
  <si>
    <t>20,00 TL</t>
  </si>
  <si>
    <t>Süper İkili Kumpir Menü</t>
  </si>
  <si>
    <t xml:space="preserve">2 Adet Full Kumpir + Coca-Cola (1 L.) </t>
  </si>
  <si>
    <t>68,00 TL</t>
  </si>
  <si>
    <t>Süper İkili Waffle Menü</t>
  </si>
  <si>
    <t xml:space="preserve">2 Adet Tam Waffle + Coca-Cola (1 L.) </t>
  </si>
  <si>
    <t>Kumpir &amp; Waffle Menü</t>
  </si>
  <si>
    <t xml:space="preserve">Full Kumpir + Tam Waffle + Coca-Cola (1 L.) </t>
  </si>
  <si>
    <t>Hamburger Menü</t>
  </si>
  <si>
    <t xml:space="preserve">Hamburger (Hamburger köftesi) + Patates Kızartması </t>
  </si>
  <si>
    <t>23,00 TL</t>
  </si>
  <si>
    <t>2'li Hamburger Menü</t>
  </si>
  <si>
    <t xml:space="preserve">2 Adet Hamburger (Hamburger köftesi) + 2 Adet Patates Kızartması </t>
  </si>
  <si>
    <t>45,00 TL</t>
  </si>
  <si>
    <t>Sade Kumpir</t>
  </si>
  <si>
    <t xml:space="preserve">Tereyağı, kaşar peyniri </t>
  </si>
  <si>
    <t>18,00 TL</t>
  </si>
  <si>
    <t>Füme Etli Kumpir</t>
  </si>
  <si>
    <t xml:space="preserve">Amerikan salatası, kaşar peyniri, tereyağı, mayonez, ketçap, füme et </t>
  </si>
  <si>
    <t>Pastırmalı Kumpir</t>
  </si>
  <si>
    <t xml:space="preserve">Amerikan salatası, kaşar peyniri, tereyağı, mayonez, ketçap, dana pastırma </t>
  </si>
  <si>
    <t>Ton Balıklı Kumpir</t>
  </si>
  <si>
    <t xml:space="preserve">Amerikan salatası, kaşar peyniri, tereyağı, mısır, siyah zeytin, ton balığı </t>
  </si>
  <si>
    <t>Best Of Beğendi Kumpir</t>
  </si>
  <si>
    <t xml:space="preserve">Amerikan salatası, kaşar peyniri, tereyağı, siyah zeytin, yeşilzeytin, haydari, közlenmiş patlıcan </t>
  </si>
  <si>
    <t>Kumpir İskender (Et Dönerden)</t>
  </si>
  <si>
    <t xml:space="preserve">Amerikan salatası, kaşar peyniri, tereyağı, mısır, siyah zeytin, et döner, özel İskender sos, yoğurt </t>
  </si>
  <si>
    <t>Ortaköy Gurme Kumpir</t>
  </si>
  <si>
    <t xml:space="preserve">Amerikan salatası, kaşar peyniri, tereyağı, mısır, siyah zeytin, füme et, dana pastırma, et döner </t>
  </si>
  <si>
    <t>35,00 TL</t>
  </si>
  <si>
    <t>Kaşarlı Tost</t>
  </si>
  <si>
    <t xml:space="preserve">Patates kızartması ile </t>
  </si>
  <si>
    <t>Sucuklu Tost</t>
  </si>
  <si>
    <t>Karışık Tost</t>
  </si>
  <si>
    <t xml:space="preserve">Kaşar peyniri, sucuk. Patates kızartması ile </t>
  </si>
  <si>
    <t>Kore Şiş (3 Adet)</t>
  </si>
  <si>
    <t xml:space="preserve">Dana sosis </t>
  </si>
  <si>
    <t>25,00 TL</t>
  </si>
  <si>
    <t>Coca-Cola (33 cl.)</t>
  </si>
  <si>
    <t>8,00 TL</t>
  </si>
  <si>
    <t>Coca-Cola Light (33 cl.)</t>
  </si>
  <si>
    <t>Coca-Cola Şekersiz (33 cl.)</t>
  </si>
  <si>
    <t>Fanta (33 cl.)</t>
  </si>
  <si>
    <t>Sprite (33 cl.)</t>
  </si>
  <si>
    <t>Cappy (33 cl.)</t>
  </si>
  <si>
    <t>Fuse Tea (33 cl.)</t>
  </si>
  <si>
    <t>5,00 TL</t>
  </si>
  <si>
    <t>4,00 TL</t>
  </si>
  <si>
    <t>3,00 TL</t>
  </si>
  <si>
    <t>Su (33 cl.)</t>
  </si>
  <si>
    <t>2,50 TL</t>
  </si>
  <si>
    <t>Coca-Cola (1 L.)</t>
  </si>
  <si>
    <t>12,00 TL</t>
  </si>
  <si>
    <t>Lokma (8 Adet)</t>
  </si>
  <si>
    <t>26,00 TL</t>
  </si>
  <si>
    <t>Bubble Waffle</t>
  </si>
  <si>
    <t>Çilekli &amp; Negrolu Muhallebi</t>
  </si>
  <si>
    <t xml:space="preserve">Cam kavanozda servis edilir. Cam kavanoz depozito bedeli 2 TL olup ücrete dahildir. Cam kavanozu iade etmeniz halinde depozito bedeli iade edilir. </t>
  </si>
  <si>
    <t>19,00 TL</t>
  </si>
  <si>
    <t>Lokma (4 Adet)</t>
  </si>
  <si>
    <t>16,00 TL</t>
  </si>
  <si>
    <t>Lokma (6 Adet)</t>
  </si>
  <si>
    <t>21,00 TL</t>
  </si>
  <si>
    <t>Kare Waffle (Yarım)</t>
  </si>
  <si>
    <t>Çikolatalı Mini Pancakes</t>
  </si>
  <si>
    <t>Çikolatalı Muhallebi</t>
  </si>
  <si>
    <t>Çilekli Bisküvili Muhallebi</t>
  </si>
  <si>
    <t xml:space="preserve">Cam kavanozda servis edilir. Cam kavanoz depozito bedeli 2 TL olup ücrete dahildir. </t>
  </si>
  <si>
    <t>Muzlu &amp; Bebe Bisküvili Muhallebi</t>
  </si>
  <si>
    <t>7,00 TL</t>
  </si>
  <si>
    <t>Lipton Ice Tea (33 cl.)</t>
  </si>
  <si>
    <t>6,00 TL</t>
  </si>
  <si>
    <t>2,00 TL</t>
  </si>
  <si>
    <t>Adana Dürüm</t>
  </si>
  <si>
    <t xml:space="preserve">Közlenmiş biber, isteğe göre soğan </t>
  </si>
  <si>
    <t>14,00 TL</t>
  </si>
  <si>
    <t>Tavuk Şiş Dürüm</t>
  </si>
  <si>
    <t>Tavuk Şiş</t>
  </si>
  <si>
    <t>Adana Dürüm Menü</t>
  </si>
  <si>
    <t xml:space="preserve">Adana Dürüm + Patates Kızartması + Açık Ayran </t>
  </si>
  <si>
    <t>Tavuk Pirzola</t>
  </si>
  <si>
    <t>Kaşarlı Adana Menü</t>
  </si>
  <si>
    <t xml:space="preserve">Kaşarlı Adana Kebap + Patates Kızartması + Biber + Açık Ayran (20 cl.) </t>
  </si>
  <si>
    <t>Kaşarlı Kuşbaşı Et Menü</t>
  </si>
  <si>
    <t xml:space="preserve">Kaşarlı Kuşbaşı Et + Patates Kızartması + Biber + Açık Ayran (20 cl.) </t>
  </si>
  <si>
    <t>24,00 TL</t>
  </si>
  <si>
    <t>Kaşarlı Tavuk Menü</t>
  </si>
  <si>
    <t xml:space="preserve">Kaşarlı Tavuk + Patates Kızartması + Biber + Açık Ayran (20 cl.) </t>
  </si>
  <si>
    <t>Izgara Köfte Dürüm Menü</t>
  </si>
  <si>
    <t xml:space="preserve">Izgara Köfte Dürüm + Patates Kızartması + Açık Ayran </t>
  </si>
  <si>
    <t>Tavuk Şiş Dürüm Menü</t>
  </si>
  <si>
    <t xml:space="preserve">Tavuk Şiş Dürüm + Patates Kızartması + Açık Ayran </t>
  </si>
  <si>
    <t>Közde Tavuk Tantuni Dürüm Menü</t>
  </si>
  <si>
    <t xml:space="preserve">Közde Tavuk Tantuni Dürüm + Patates Kızartması + Açık Ayran </t>
  </si>
  <si>
    <t>Közde Et Tantuni Dürüm Menü</t>
  </si>
  <si>
    <t xml:space="preserve">Közde Et Tantuni Dürüm + Patates Kızartması + Açık Ayran </t>
  </si>
  <si>
    <t>Tereyağlı Urfa Kebap</t>
  </si>
  <si>
    <t>32,00 TL</t>
  </si>
  <si>
    <t>Zırh Kebabı</t>
  </si>
  <si>
    <t>28,00 TL</t>
  </si>
  <si>
    <t>Yoğurtlu Kebap</t>
  </si>
  <si>
    <t>Tavuk Kanat</t>
  </si>
  <si>
    <t>Çöp Şiş</t>
  </si>
  <si>
    <t>Kuzu Ciğer Şiş</t>
  </si>
  <si>
    <t>Tavuk Kelebek</t>
  </si>
  <si>
    <t>Izgara Köfte</t>
  </si>
  <si>
    <t>Karışık Izgara</t>
  </si>
  <si>
    <t xml:space="preserve">Tavuk kanat, tavuk pirzola, tavuk kelebek, közlenmiş biber, soğan </t>
  </si>
  <si>
    <t>Tavuk Tantuni Dürüm</t>
  </si>
  <si>
    <t xml:space="preserve">İsteğe göre soğan </t>
  </si>
  <si>
    <t>Közde Et Tantuni Dürüm</t>
  </si>
  <si>
    <t xml:space="preserve">Limon, turşu biber </t>
  </si>
  <si>
    <t>Közde Tavuk Tantuni Dürüm</t>
  </si>
  <si>
    <t>Izgara Köfte Dürüm</t>
  </si>
  <si>
    <t>Ciğer Şiş Dürüm</t>
  </si>
  <si>
    <t>Kıymalı Dürüm</t>
  </si>
  <si>
    <t>Et Şiş Dürüm</t>
  </si>
  <si>
    <t>15,00 TL</t>
  </si>
  <si>
    <t>Kaşarlı Tavuk Dürüm</t>
  </si>
  <si>
    <t>Kaşarlı Kıyma Dürüm</t>
  </si>
  <si>
    <t>Kaşarlı Adana Dürüm</t>
  </si>
  <si>
    <t>Kaşarlı Köfte Dürüm</t>
  </si>
  <si>
    <t>Somun Ekmek Arası Ciğer Kavurma</t>
  </si>
  <si>
    <t>Pide Ekmeğine Ciğer Kavurma</t>
  </si>
  <si>
    <t>Çiğ Köfte (14 Sıkım)</t>
  </si>
  <si>
    <t xml:space="preserve">Mevsim yeşillikleri, lavaş, nar ekşisi, limon </t>
  </si>
  <si>
    <t>Çiğ Köfte Dürüm</t>
  </si>
  <si>
    <t xml:space="preserve">Mevsim yeşillikleri, nar ekşisi, limon </t>
  </si>
  <si>
    <t>10,00 TL</t>
  </si>
  <si>
    <t>Antep Ciğer Kavurma</t>
  </si>
  <si>
    <t xml:space="preserve">Zırhta çekilmiş ciğer, közlenmiş biber, isteğe göre soğan </t>
  </si>
  <si>
    <t>Şalgam Suyu (30 cl.)</t>
  </si>
  <si>
    <t>Ayran (20 cl.)</t>
  </si>
  <si>
    <t>Açık Acılı Ayran</t>
  </si>
  <si>
    <t>Limonlu Soda (20 cl.)</t>
  </si>
  <si>
    <t>Pepsi (1 L.)</t>
  </si>
  <si>
    <t>9,00 TL</t>
  </si>
  <si>
    <t>Pepsi (2.5 L.)</t>
  </si>
  <si>
    <t>Zırh Kebabı (Kuzu ve Dana Kıymasından) (1 kg.) (Pişirilmiş)</t>
  </si>
  <si>
    <t xml:space="preserve">(Ekmek gönderilmemektedir.) Közlenmiş biber, soğan </t>
  </si>
  <si>
    <t>130,00 TL</t>
  </si>
  <si>
    <t>Kuşbaşı Et (1 kg.) (Pişirilmiş)</t>
  </si>
  <si>
    <t>140,00 TL</t>
  </si>
  <si>
    <t>Kuzu Ciğer (1 kg.) (Pişirilmiş)</t>
  </si>
  <si>
    <t>110,00 TL</t>
  </si>
  <si>
    <t>Acılı Zırh Kebabı (Kuzu ve Dana Kıymasından) (1 kg.) (Pişirilmiş)</t>
  </si>
  <si>
    <t>Izgara Köfte (1 kg.) (Pişirilmiş)</t>
  </si>
  <si>
    <t>Zırh Kebabı (500 gr.)</t>
  </si>
  <si>
    <t xml:space="preserve">Biber, közlenmiş soğan ile </t>
  </si>
  <si>
    <t>70,00 TL</t>
  </si>
  <si>
    <t>Kuşbaşı Et (500 gr.)</t>
  </si>
  <si>
    <t>75,00 TL</t>
  </si>
  <si>
    <t xml:space="preserve">Çiğ köfte, domates, salatalık, göbek marul, maydanoz, nar ekşisi, limon, acı sos </t>
  </si>
  <si>
    <t>Çiğ Köfte (500 gr.)</t>
  </si>
  <si>
    <t xml:space="preserve">Çiğ köfte, 4 adet lavaş, domates, salatalık, göbek marul, maydanoz, nar ekşisi, limon, biber turşusu ile </t>
  </si>
  <si>
    <t>Çiğ Köfte (600 gr.)</t>
  </si>
  <si>
    <t xml:space="preserve">Çiğ köfte, 5 adet lavaş, domates, salatalık, göbek marul, maydanoz, nar ekşisi, limon, acı sos ile </t>
  </si>
  <si>
    <t>36,00 TL</t>
  </si>
  <si>
    <t>Duble Çiğ Köfte Dürüm (200 gr.)</t>
  </si>
  <si>
    <t xml:space="preserve">çiğ köfte, çift lavaş, domates, salatalık, göbek marul, maydanoz, nar ekşisi, limon, acı sos </t>
  </si>
  <si>
    <t>Çiğ Köfte (1 kg.)</t>
  </si>
  <si>
    <t xml:space="preserve">Çiğ köfte, 8 adet lavaş, domates, salatalık, göbek marul, maydanoz, nar ekşisi, limon, biber turşusu ile </t>
  </si>
  <si>
    <t>60,00 TL</t>
  </si>
  <si>
    <t>Çiğköfte (250 gr.)</t>
  </si>
  <si>
    <t xml:space="preserve">2 adet lavaş, domates, salatalık, göbek marul, maydanoz, nar ekşisi, acı sos, limon, biber turşusu ile </t>
  </si>
  <si>
    <t>Çift Lavaş Çiğ Köfte Dürüm</t>
  </si>
  <si>
    <t xml:space="preserve">150 gr. çiğ köfte, çift lavaş, domates, salatalık, göbek marul, maydanoz, nar ekşisi, limon, acı sos </t>
  </si>
  <si>
    <t>Çiğ Köfte (300 gr.)</t>
  </si>
  <si>
    <t xml:space="preserve">Çiğ köfte, çift lavaş, domates, salatalık, göbek marul, maydanoz, nar ekşisi, limon, biber turşusu ile </t>
  </si>
  <si>
    <t>Çiğ Köfte (400 gr.)</t>
  </si>
  <si>
    <t xml:space="preserve">Çiğ köfte, 3 adet lavaş, domates, salatalık, göbek marul, maydanoz, nar ekşisi, limon, biber turşusu ile </t>
  </si>
  <si>
    <t>Çiğ Köfte (700 gr.)</t>
  </si>
  <si>
    <t xml:space="preserve">Çiğ köfte, 6 adet lavaş, domates, salatalık, göbek marul, maydanoz, nar ekşisi, limon, acı sos ile </t>
  </si>
  <si>
    <t>42,00 TL</t>
  </si>
  <si>
    <t>Çiğ Köfte (800 gr.)</t>
  </si>
  <si>
    <t>48,00 TL</t>
  </si>
  <si>
    <t>Çiğ Köfte (900 gr.)</t>
  </si>
  <si>
    <t xml:space="preserve">Çiğ köfte, lavaş, domates, salatalık, göbek marul, maydanoz, nar ekşisi, limon, acı sos ile </t>
  </si>
  <si>
    <t>55,00 TL</t>
  </si>
  <si>
    <t>Sade Çiğ Köfte (1 kg.)</t>
  </si>
  <si>
    <t xml:space="preserve">Acı sos, nar ekşisi ile </t>
  </si>
  <si>
    <t>40,00 TL</t>
  </si>
  <si>
    <t>Lavaş (2 Adet)</t>
  </si>
  <si>
    <t>Şalgam Suyu (33 cl.)</t>
  </si>
  <si>
    <t xml:space="preserve">Acılı </t>
  </si>
  <si>
    <t>3,50 TL</t>
  </si>
  <si>
    <t>1,50 TL</t>
  </si>
  <si>
    <t>1,00 TL</t>
  </si>
  <si>
    <t>Şalgam Suyu (1 L.)</t>
  </si>
  <si>
    <t>Pepsi (2,5 L.)</t>
  </si>
  <si>
    <t xml:space="preserve">100 gr. çiğ köfte, yeşillik </t>
  </si>
  <si>
    <t>Mega Çiğ Köfte Dürüm</t>
  </si>
  <si>
    <t xml:space="preserve">120 gr. çiğ köfte, yeşillik </t>
  </si>
  <si>
    <t xml:space="preserve">Göbek marul, 8 adet lavaş, yeşillik, nar ekşisi, acı sos ile </t>
  </si>
  <si>
    <t xml:space="preserve">1/4 göbek marul, 2 adet lavaş, yeşillik, nar ekşisi, acı sos ile </t>
  </si>
  <si>
    <t xml:space="preserve">2/4 göbek marul, 4 adet lavaş, yeşillik, nar ekşisi, acı sos ile </t>
  </si>
  <si>
    <t>Seçilmiş Menü (Doritos Çiğ Köfte Dürüm)</t>
  </si>
  <si>
    <t xml:space="preserve">Doritos Çiğ Köfte Dürüm + Coca-Cola (33 cl.) </t>
  </si>
  <si>
    <t>16,95 TL</t>
  </si>
  <si>
    <t>Doritos Çiğ Köfte Dürüm</t>
  </si>
  <si>
    <t xml:space="preserve">100 gr. çiğ köfte, Doritos, yeşillik </t>
  </si>
  <si>
    <t xml:space="preserve">1/4 göbek marul, 3 adet lavaş, yeşillik, nar ekşisi, acı sos ile </t>
  </si>
  <si>
    <t>Sushi Çiğ Köfte (300 gr.)</t>
  </si>
  <si>
    <t xml:space="preserve">2 adet lavaş arasına; 300 gr. çiğ köfte, nar ekşisi, acı sos </t>
  </si>
  <si>
    <t>Sushi Çiğ Köfte (600 gr.)</t>
  </si>
  <si>
    <t xml:space="preserve">4 adet lavaş arasına; 600 gr. çiğ köfte, nar ekşisi, acı sos </t>
  </si>
  <si>
    <t>Coca Cola (20 cl.)</t>
  </si>
  <si>
    <t>Fuse Tea (20 cl.)</t>
  </si>
  <si>
    <t>Ali Göde Şalgam Suyu (33 cl.)</t>
  </si>
  <si>
    <t>Açık Ayran (33 cl.)</t>
  </si>
  <si>
    <t>Acılı Açık Ayran (33 cl.)</t>
  </si>
  <si>
    <t>Beypazarı Limonlu Soda (20 cl.)</t>
  </si>
  <si>
    <t>Beypazarı Soda (20 cl.)</t>
  </si>
  <si>
    <t>Adana Kebap</t>
  </si>
  <si>
    <t xml:space="preserve">Mevsim salata, ezme, közlenmiş soğan, közlenmiş domates, sumaklı soğan, yeşillik, fındık lahmacun, cacık ile </t>
  </si>
  <si>
    <t xml:space="preserve">Yeşillik, domates, soğan. Mevsim salatası ile </t>
  </si>
  <si>
    <t>Antep Lahmacun (3 Adet)</t>
  </si>
  <si>
    <t xml:space="preserve">Yeşillik, cacık, mevsim salata, limon ile (Lütfen acı seçiminizi sipariş notu kısmında belirtiniz.) </t>
  </si>
  <si>
    <t>Ciğer Şiş</t>
  </si>
  <si>
    <t>Lahmacun (3 Adet)</t>
  </si>
  <si>
    <t>27,00 TL</t>
  </si>
  <si>
    <t>Seçilmiş Menü (Adana Dürüm) - Şu anda mevcut değil.</t>
  </si>
  <si>
    <t xml:space="preserve">Adana Dürüm + Coca-Cola (33 cl.) </t>
  </si>
  <si>
    <t>16,50 TL</t>
  </si>
  <si>
    <t>Seçilmiş Menü (Kuşbaşı Şiş) - Şu anda mevcut değil.</t>
  </si>
  <si>
    <t xml:space="preserve">Kuşbaşı Şiş + Coca-Cola (33 cl.) </t>
  </si>
  <si>
    <t>27,50 TL</t>
  </si>
  <si>
    <t>Kaşarlı Pide</t>
  </si>
  <si>
    <t>Kaşarlı Sucuklu Pide</t>
  </si>
  <si>
    <t>Kıymalı Pide</t>
  </si>
  <si>
    <t>33,00 TL</t>
  </si>
  <si>
    <t>Kıymalı Kaşarlı Pide</t>
  </si>
  <si>
    <t>Kuşbaşılı Pide</t>
  </si>
  <si>
    <t>Kuşbaşılı Kaşarlı Pide</t>
  </si>
  <si>
    <t>Urfa Kebap</t>
  </si>
  <si>
    <t>Kuşbaşı Şiş</t>
  </si>
  <si>
    <t>39,00 TL</t>
  </si>
  <si>
    <t>Kuzu Kaburga</t>
  </si>
  <si>
    <t>Kuzu Pirzola</t>
  </si>
  <si>
    <t>54,00 TL</t>
  </si>
  <si>
    <t>Kazbaşı</t>
  </si>
  <si>
    <t>Kuzu Külbastı</t>
  </si>
  <si>
    <t>Patlıcanlı Kebap</t>
  </si>
  <si>
    <t>Beyti Kebap</t>
  </si>
  <si>
    <t>Sarma Beyti Kebap</t>
  </si>
  <si>
    <t>Kuzu Sırt</t>
  </si>
  <si>
    <t>Kuzu Küşleme</t>
  </si>
  <si>
    <t>Alinazik Kebap (Et Şişten)</t>
  </si>
  <si>
    <t>Kemikli Tavuk</t>
  </si>
  <si>
    <t>Kemiksiz Tavuk Sarma</t>
  </si>
  <si>
    <t>Tavuk Göğüs Şiş</t>
  </si>
  <si>
    <t>Yağlı Karalı</t>
  </si>
  <si>
    <t>Karışık Kebap</t>
  </si>
  <si>
    <t xml:space="preserve">Adana kebap, kuşbaşı şiş, Mevlana pide, tavuk şiş. Mevsim salata, ezme, közlenmiş soğan, közlenmiş domates, sumaklı soğan, yeşillik, fındık lahmacun, cacık ile </t>
  </si>
  <si>
    <t>66,00 TL</t>
  </si>
  <si>
    <t>Tavuk Tava</t>
  </si>
  <si>
    <t xml:space="preserve">Ürünün ortalama hazırlanma süresi 1 saattir. Cacık ile </t>
  </si>
  <si>
    <t>Et Tava</t>
  </si>
  <si>
    <t>Adana Kebap Dürüm</t>
  </si>
  <si>
    <t xml:space="preserve">Mevsim salata, yeşillik, közlenmiş domates ve biber ile </t>
  </si>
  <si>
    <t>Ciğer Dürüm</t>
  </si>
  <si>
    <t>Çöp Şiş Dürüm</t>
  </si>
  <si>
    <t>Urfa Dürüm</t>
  </si>
  <si>
    <t>Açık Ayran</t>
  </si>
  <si>
    <t>Meyveli Soda</t>
  </si>
  <si>
    <t>Soda</t>
  </si>
  <si>
    <t>Su</t>
  </si>
  <si>
    <t xml:space="preserve">Tek lavaş, domates, nane, maydanoz, göbek marul, nar ekşisi </t>
  </si>
  <si>
    <t>Duble Çiğ Köfte Dürüm (150 gr.)</t>
  </si>
  <si>
    <t xml:space="preserve">1.5 fırın lavaşa; 150 gr. çiğ köfte, domates, salatalık, nane, maydanoz, göbek marul, nar ekşisi </t>
  </si>
  <si>
    <t>Çiğ Köfte (375 gr.)</t>
  </si>
  <si>
    <t xml:space="preserve">3 adet fırın lavaşı, domates, salatalık, çeyrek göbek marul, turşu biber, nane, maydanoz, kuzu kulağ��, nar ekşisi, acı sos </t>
  </si>
  <si>
    <t>Çiğ Köfte (250 gr.)</t>
  </si>
  <si>
    <t xml:space="preserve">2 adet fırın lavaşı, göbek marul, domates, salatalık, turşu biber, maydanoz, nane, kuzu kulağı, nar ekşisi, acı sos </t>
  </si>
  <si>
    <t>17,00 TL</t>
  </si>
  <si>
    <t>Seçilmiş Menü (Çiğ Köfte Dürüm)</t>
  </si>
  <si>
    <t xml:space="preserve">Çiğ Köfte Dürüm + Coca-Cola (20 cl.) </t>
  </si>
  <si>
    <t>10,25 TL</t>
  </si>
  <si>
    <t xml:space="preserve">3 adet fırın lavaşı, domates, salatalık, çeyrek göbek marul, turşu biber, nane, maydanoz, kuzu kulağı, nar ekşisi, acı sos </t>
  </si>
  <si>
    <t>Çiğ Köfte (750 gr.)</t>
  </si>
  <si>
    <t xml:space="preserve">6 adet fırın lavaşı, göbek marul, domates, salatalık, turşu biber, maydanoz, nane, kuzu kulağı, nar ekşisi, acı sos </t>
  </si>
  <si>
    <t>Çiğ Köfte (1 kg.) (Garnitürsüz)</t>
  </si>
  <si>
    <t xml:space="preserve">8 adet fırın lavaşı, göbek marul, domates, salatalık, turşu biber, maydanoz, nane, kuzu kulağı, nar ekşisi, acı sos </t>
  </si>
  <si>
    <t>Garnitür (1 Kişilik)</t>
  </si>
  <si>
    <t xml:space="preserve">1\4 göbek marul, domates söğüş, salatalık söğüş, limon, maydanoz, nane, kuzu kulağı, turşu biberi </t>
  </si>
  <si>
    <t>Ekmek</t>
  </si>
  <si>
    <t xml:space="preserve">1\3 fırın lavaşı </t>
  </si>
  <si>
    <t>Acı Sos (20 cc.)</t>
  </si>
  <si>
    <t>Nar Ekşisi (20 cc.)</t>
  </si>
  <si>
    <t>Coca-Cola (20 cl.)</t>
  </si>
  <si>
    <t>Coca-Cola (20 cl.) (Kutu)</t>
  </si>
  <si>
    <t>Fanta (20 cl.)</t>
  </si>
  <si>
    <t>Şalgam Suyu Acılı (33 cl.)</t>
  </si>
  <si>
    <t>Şalgam Suyu Acılı (1 L.)</t>
  </si>
  <si>
    <t>6,50 TL</t>
  </si>
  <si>
    <t>Adana Fıçı Şalgam Suyu Acılı (2 L.)</t>
  </si>
  <si>
    <t>13,00 TL</t>
  </si>
  <si>
    <t xml:space="preserve">100 gr. çiğ köfte, salatalık, nar ekşisi, limon sos </t>
  </si>
  <si>
    <t xml:space="preserve">150 gr. çiğ köfte, salatalık, nar ekşisi, limon sos </t>
  </si>
  <si>
    <t xml:space="preserve">Yeşillik, domates, salatalık, turşu, nar ekşisi, lavaş ile </t>
  </si>
  <si>
    <t>Çiğköfte (1 kg.)</t>
  </si>
  <si>
    <t>50,00 TL</t>
  </si>
  <si>
    <t>Çiğ Köfte (500 gr.) (Garnitürsüz)</t>
  </si>
  <si>
    <t xml:space="preserve">100 gr. çiğ köfte, kıvırcık marul, nane, maydanoz, turşu, limon, sos, nar ekşisi </t>
  </si>
  <si>
    <t xml:space="preserve">10 adet lavaş, kıvırcık marul, nane, maydanoz, turşu, limon, sos, nar ekşisi ile </t>
  </si>
  <si>
    <t>Çiğ Köfte Mega Dürüm</t>
  </si>
  <si>
    <t xml:space="preserve">130 gr. çiğ köfte, kıvırcık marul, nane, maydanoz, turşu, limon, sos, nar ekşisi </t>
  </si>
  <si>
    <t xml:space="preserve">5 adet lavaş, kıvırcık marul, nane, maydanoz, turşu, limon, sos, nar ekşisi ile </t>
  </si>
  <si>
    <t xml:space="preserve">3 adet lavaş, kıvırcık marul, nane, maydanoz, turşu, limon, sos, nar ekşisi ile </t>
  </si>
  <si>
    <t>Double Çiğ Köfte Dürüm</t>
  </si>
  <si>
    <t xml:space="preserve">150 gr. çiğ köfte, kıvırcık marul, nane, maydanoz, turşu, limon, sos, nar ekşisi </t>
  </si>
  <si>
    <t>Çiğ Köfte (365 gr.)</t>
  </si>
  <si>
    <t xml:space="preserve">4 adet lavaş, kıvırcık marul, nane, maydanoz, turşu, limon, sos, nar ekşisi ile </t>
  </si>
  <si>
    <t>Çiğ Köfte (625 gr.)</t>
  </si>
  <si>
    <t xml:space="preserve">6 adet lavaş, kıvırcık marul, nane, maydanoz, turşu, limon, sos, nar ekşisi ile </t>
  </si>
  <si>
    <t xml:space="preserve">8 adet lavaş, kıvırcık marul, nane, maydanoz, turşu, limon, sos, nar ekşisi ile </t>
  </si>
  <si>
    <t>31,00 TL</t>
  </si>
  <si>
    <t>3,80 TL</t>
  </si>
  <si>
    <t>3,20 TL</t>
  </si>
  <si>
    <t>Yedigün (1 L.)</t>
  </si>
  <si>
    <t>Adana Fıçı Şalgam Suyu (1 L.)</t>
  </si>
  <si>
    <t>Seçilmiş Menü (Çiğ Köfte (1 kg.))</t>
  </si>
  <si>
    <t xml:space="preserve">Çiğ Köfte (1 kg.) + Coca-Cola (1 L.) </t>
  </si>
  <si>
    <t>42,25 TL</t>
  </si>
  <si>
    <t>Vodafone Menüsü (Çiğ Köfte (250 gr.))</t>
  </si>
  <si>
    <t xml:space="preserve">Çiğ Köfte (250 gr.) + Ayran (30 cl.) (Kampanya koşulları için restoranın Promosyonlar bölümüne göz atınız. İndirimli fiyat ürün sepete eklendikten sonra uygulanır.) </t>
  </si>
  <si>
    <t xml:space="preserve">Yeşillik, turşu, nar ekşisi, sos </t>
  </si>
  <si>
    <t xml:space="preserve">Yeşillik, turşu, nar ekşisi, sos, 4 adet lavaş ile </t>
  </si>
  <si>
    <t xml:space="preserve">Yeşillik, turşu, nar ekşisi, sos, 7 adet lavaş ile </t>
  </si>
  <si>
    <t xml:space="preserve">Yeşillik, turşu, nar ekşisi, sos, 10 adet lavaş ile </t>
  </si>
  <si>
    <t xml:space="preserve">Mevsim salata, soğan piyaz, közlenmiş biber, közlenmiş domates, pirinç pilavı ile </t>
  </si>
  <si>
    <t xml:space="preserve">Mevsim salata, soğan piyaz, közlenmiş biber, közlenmiş domates, bulgur pilavı ile </t>
  </si>
  <si>
    <t>Ekmek Arası Ciğer Kavurma</t>
  </si>
  <si>
    <t xml:space="preserve">Soğan, domates, salata </t>
  </si>
  <si>
    <t>Cappy Şeftali (33 cl.)</t>
  </si>
  <si>
    <t>Fanta (1 L.)</t>
  </si>
  <si>
    <t xml:space="preserve">200 gr. çiğ köfte, domates, marul, salatalık turşusu, nar ekşisi, isteğe göre acı sos </t>
  </si>
  <si>
    <t xml:space="preserve">Iceberg marul, domates, salatalık turşusu, nar ekşisi, isteğe göre acı sos </t>
  </si>
  <si>
    <t>Ciğer Kavurma Dürüm</t>
  </si>
  <si>
    <t xml:space="preserve">Domates, maydanoz, pul biber, kıvırcık marul, tuz </t>
  </si>
  <si>
    <t xml:space="preserve">Yeşillik, sos, turşu, 4 adet lavaş ile </t>
  </si>
  <si>
    <t>Battalgazi Çeyrek (2 Kişilik)</t>
  </si>
  <si>
    <t xml:space="preserve">Dilimlenmiş çiğ köfte, dilimlenmiş nohut. Patates cipsi, salata ile </t>
  </si>
  <si>
    <t>38,00 TL</t>
  </si>
  <si>
    <t>Kanuni Çiğ Köfte (2 Kişilik)</t>
  </si>
  <si>
    <t xml:space="preserve">Dilimlenmiş çiğ köfte salatası ile </t>
  </si>
  <si>
    <t>Kanuni Çiğ Köfte (3 Kişilik)</t>
  </si>
  <si>
    <t>Kanuni Çiğ Köfte (4 Kişilik)</t>
  </si>
  <si>
    <t>Battalgazi Sade (2 Kişilik)</t>
  </si>
  <si>
    <t xml:space="preserve">Dilimlenmiş çiğ köfte, dilimlenmiş nohut. Salata ile </t>
  </si>
  <si>
    <t>Battalgazi Yarım (3 Kişilik)</t>
  </si>
  <si>
    <t>Battalgazi Tam (4 Kişilik)</t>
  </si>
  <si>
    <t>58,00 TL</t>
  </si>
  <si>
    <t>Çiğ Köfte Dürüm (150 gr.)</t>
  </si>
  <si>
    <t xml:space="preserve">Domates, marul, salatalık turşusu, nar ekşisi, isteğe göre acı sos </t>
  </si>
  <si>
    <t xml:space="preserve">Çift lavaşa; 200 gr. çiğ köfte, domates, marul, salatalık turşusu, nar ekşisi, isteğe göre acı sos </t>
  </si>
  <si>
    <t>Çiğ Köfte (200 gr.)</t>
  </si>
  <si>
    <t xml:space="preserve">Iceberg marul, nane, maydanoz, salatalık turşusu, lavaş, acı sos, limon ile </t>
  </si>
  <si>
    <t>Kanuni Çiğ Köfte (Tek Kişilik)</t>
  </si>
  <si>
    <t xml:space="preserve">Dürüme sarılıp dilimlenmiş çiğ köfte, iceberg marul, domates, salatalık turşusu, limon, sos </t>
  </si>
  <si>
    <t>Çiğ Köfte (350 gr.)</t>
  </si>
  <si>
    <t xml:space="preserve">Acı sos, nar ekşisi, acı biber turşusu ile </t>
  </si>
  <si>
    <t xml:space="preserve">Göbek marul, domates, salatalık turşusu, limon, sos ile </t>
  </si>
  <si>
    <t xml:space="preserve">Yeşillik, sos, turşu, 8 adet lavaş ile </t>
  </si>
  <si>
    <t>Nohut Dürüm</t>
  </si>
  <si>
    <t xml:space="preserve">Domates, maydanoz, pul biber, limon, marul, isteğe göer soğan </t>
  </si>
  <si>
    <t>Nohut</t>
  </si>
  <si>
    <t xml:space="preserve">Patates kızartması, soğan, kornişon turşu, ekmek ile </t>
  </si>
  <si>
    <t>Şalgam Suyu (20 cl.)</t>
  </si>
  <si>
    <t>Beypazarı Maden Suyu (20 cl.)</t>
  </si>
  <si>
    <t>Sütaş Ayran (1 L.)</t>
  </si>
  <si>
    <t>Cevizli Mendil (3 Dilim)</t>
  </si>
  <si>
    <t>Bülbül Yuvası (4 Dilim)</t>
  </si>
  <si>
    <t xml:space="preserve">Bol fıstık ile </t>
  </si>
  <si>
    <t>Cevizli Kadayıf</t>
  </si>
  <si>
    <t>Cevizli Özel Baklava (6 Dilim)</t>
  </si>
  <si>
    <t>Fıstıklı Baklava (3 Dilim)</t>
  </si>
  <si>
    <t>Kaymaklı Şöbiyet (4 Dilim)</t>
  </si>
  <si>
    <t>Saray Sarması (5 Dilim)</t>
  </si>
  <si>
    <t>Sütlü Soğuk Baklava (4 Dilim)</t>
  </si>
  <si>
    <t>Cevizli Baklava (4 Dilim)</t>
  </si>
  <si>
    <t>Fıstıklı Küçük Dilim Baklava (6 Dilim)</t>
  </si>
  <si>
    <t>Fıstıklı Midye Baklava (4 Dilim)</t>
  </si>
  <si>
    <t>Cevizli Baklava (1 kg.)</t>
  </si>
  <si>
    <t>Kaymaklı Şöbiyet (1 kg.)</t>
  </si>
  <si>
    <t>Saray Sarması (1 kg.)</t>
  </si>
  <si>
    <t>Cevizli Mendil (1 kg.)</t>
  </si>
  <si>
    <t>Bülbül Yuvası (1 kg.)</t>
  </si>
  <si>
    <t xml:space="preserve">Bol Antep fıstığı ile </t>
  </si>
  <si>
    <t>34,99 TL</t>
  </si>
  <si>
    <t>Fıstıklı Baklava (1 kg.)</t>
  </si>
  <si>
    <t>Cevizli Özel Baklava (1 kg.)</t>
  </si>
  <si>
    <t>Cevizli Kadayıf (1 kg.)</t>
  </si>
  <si>
    <t>Sütlü Soğuk Baklava (1 kg.)</t>
  </si>
  <si>
    <t>Fıstıklı Midye Baklava (1 kg.)</t>
  </si>
  <si>
    <t>Fıstıklı Küçük Dilim Baklava (1 kg.)</t>
  </si>
  <si>
    <t>Fıstıklı Baklava (Tepsi)</t>
  </si>
  <si>
    <t>240,00 TL</t>
  </si>
  <si>
    <t>Kaymaklı Şöbiyet (Tepsi)</t>
  </si>
  <si>
    <t>Sütlü Fıstıklı Kadayıf (Tepsi)</t>
  </si>
  <si>
    <t>Cevizli Kadayıf (Tepsi)</t>
  </si>
  <si>
    <t>Cevizli Cimcik (Tepsi)</t>
  </si>
  <si>
    <t>Sütlü Soğuk Baklava (Tepsi)</t>
  </si>
  <si>
    <t>Cevizli Mendil (Tepsi)</t>
  </si>
  <si>
    <t>Bülbül Yuvası (Tepsi)</t>
  </si>
  <si>
    <t>100,00 TL</t>
  </si>
  <si>
    <t>Saray Sarması (Tepsi)</t>
  </si>
  <si>
    <t>Cevizli Özel Baklava (Tepsi)</t>
  </si>
  <si>
    <t>Cevizli Baklava (Tepsi)</t>
  </si>
  <si>
    <t>Coca-Cola Zero Sugar (33 cl.)</t>
  </si>
  <si>
    <t>Sprite (1 L.)</t>
  </si>
  <si>
    <t>Coca-Cola Light (1 L.)</t>
  </si>
  <si>
    <t>Coca-Cola Zero Sugar (1 L.)</t>
  </si>
  <si>
    <t>Ado Burger</t>
  </si>
  <si>
    <t xml:space="preserve">200 gr. dana burger köftesi, çift cheddar peyniri, karamelize soğan, özel sos. Patates kızartması ile </t>
  </si>
  <si>
    <t>Soğuk Baklava (500 gr.)</t>
  </si>
  <si>
    <t xml:space="preserve">Fıstıklı </t>
  </si>
  <si>
    <t>Çilekli Mag</t>
  </si>
  <si>
    <t>Yaş Pasta (4 Kişilik)</t>
  </si>
  <si>
    <t>Supangle</t>
  </si>
  <si>
    <t>Su Böreği</t>
  </si>
  <si>
    <t>Peynirli Sigara Böreği</t>
  </si>
  <si>
    <t xml:space="preserve">Salatalık, domates ile </t>
  </si>
  <si>
    <t xml:space="preserve">Özel tost ekmeğine; sucuk, kaşar peyniri. Domates, salatalık, patates kızartması ile </t>
  </si>
  <si>
    <t xml:space="preserve">Özel tost ekmeğine; kaşar peyniri. Domates, yeşilbiber, salatalık, patates kızartması ile </t>
  </si>
  <si>
    <t>Frambuazlı Dondurma (500 gr.)</t>
  </si>
  <si>
    <t>Kestaneli Dondurma (500 gr.)</t>
  </si>
  <si>
    <t>Limonlu Dondurma (500 gr.)</t>
  </si>
  <si>
    <t>Portakallı Dondurma (500 gr.)</t>
  </si>
  <si>
    <t>Çikolatalı Dondurma (500 gr.)</t>
  </si>
  <si>
    <t>Bademli Dondurma (500 gr.)</t>
  </si>
  <si>
    <t>Böğürtlenli Dondurma (500 gr.)</t>
  </si>
  <si>
    <t>Muzlu Dondurma (500 gr.)</t>
  </si>
  <si>
    <t>Çilekli Dondurma (500 gr.)</t>
  </si>
  <si>
    <t>Damla Sakızlı Dondurma (500 gr.)</t>
  </si>
  <si>
    <t>Kesme Dondurma (500 gr.)</t>
  </si>
  <si>
    <t>Tutti Frutti Dondurma (500 gr.)</t>
  </si>
  <si>
    <t>Kavunlu Dondurma (500 gr.)</t>
  </si>
  <si>
    <t>Karamelli Dondurma (500 gr.)</t>
  </si>
  <si>
    <t>Hindistan Cevizli Dondurma (500 gr.)</t>
  </si>
  <si>
    <t>Vişneli Dondurma (500 gr.)</t>
  </si>
  <si>
    <t>Fındıklı Dondurma (500 gr.)</t>
  </si>
  <si>
    <t>Ahududulu Dondurma (500 gr.)</t>
  </si>
  <si>
    <t>Fıstıklı Dondurma (500 gr.)</t>
  </si>
  <si>
    <t>Karışık Dondurma (1 kg.)</t>
  </si>
  <si>
    <t>Karışık Dondurma (250 gr.)</t>
  </si>
  <si>
    <t xml:space="preserve">Mevsim meyveleri </t>
  </si>
  <si>
    <t>Devil's Food Cake</t>
  </si>
  <si>
    <t xml:space="preserve">Bademli kek, yoğun çikolata </t>
  </si>
  <si>
    <t>Karaorman Meyveli Pasta</t>
  </si>
  <si>
    <t xml:space="preserve">Siyah çikolata, beyaz çikolata, orman meyveleri </t>
  </si>
  <si>
    <t>Orman Meyveli Pasta</t>
  </si>
  <si>
    <t xml:space="preserve">Beyaz çikolata, orman meyveleri </t>
  </si>
  <si>
    <t>Çikolatalı Pasta</t>
  </si>
  <si>
    <t>Karamel Latte</t>
  </si>
  <si>
    <t xml:space="preserve">Beyaz pandispanya, kahve, draje, sütlü çikolata, karamel </t>
  </si>
  <si>
    <t>Krokanlı Pasta</t>
  </si>
  <si>
    <t xml:space="preserve">Bitter çikolata, karamel, krokan parçaları </t>
  </si>
  <si>
    <t>Profiterollü Pasta</t>
  </si>
  <si>
    <t xml:space="preserve">Düşük kalorili pandispanya, çikolata </t>
  </si>
  <si>
    <t>Beyaz Profiterollü Pasta</t>
  </si>
  <si>
    <t xml:space="preserve">Bitter çikolata </t>
  </si>
  <si>
    <t>Mozaik Pasta</t>
  </si>
  <si>
    <t xml:space="preserve">Çikolata, bisküvi </t>
  </si>
  <si>
    <t>Tiramisu</t>
  </si>
  <si>
    <t xml:space="preserve">Pandispanya arasında; yumuşak peynir </t>
  </si>
  <si>
    <t>Fıstıklı Yaş Pasta (1 Kişilik)</t>
  </si>
  <si>
    <t>Frambuazlı Yaş Pasta (1 Kişilik)</t>
  </si>
  <si>
    <t>Eklerli Yaş Pasta (1 Kişilik)</t>
  </si>
  <si>
    <t>Çikolatalı Yaş Pasta (1 Kişilik)</t>
  </si>
  <si>
    <t>Meyveli Yaş Pasta (1 Kişilik)</t>
  </si>
  <si>
    <t>Yaş Pasta (6 Kişilik)</t>
  </si>
  <si>
    <t>85,00 TL</t>
  </si>
  <si>
    <t>Yaş Pasta (8 Kişilik)</t>
  </si>
  <si>
    <t>95,00 TL</t>
  </si>
  <si>
    <t>Tatlı Kuru Pasta (500 gr.)</t>
  </si>
  <si>
    <t>22,50 TL</t>
  </si>
  <si>
    <t>Tuzlu Kuru Pasta (500 gr.)</t>
  </si>
  <si>
    <t>Tatlı Kuru Pasta (1 kg.)</t>
  </si>
  <si>
    <t>Tuzlu Kuru Pasta (1 kg.)</t>
  </si>
  <si>
    <t>Frambuazlı Mag</t>
  </si>
  <si>
    <t>Çikolatalı Mag</t>
  </si>
  <si>
    <t>Fırın Sütlaç</t>
  </si>
  <si>
    <t>Kazandibi</t>
  </si>
  <si>
    <t>Oreolu Mag</t>
  </si>
  <si>
    <t>Taze Sıkma Meyve Suyu</t>
  </si>
  <si>
    <t>Limonata</t>
  </si>
  <si>
    <t>Muzlu Süt</t>
  </si>
  <si>
    <t>Havuç Dilimi Baklava (1 kg.) - Şu anda mevcut değil.</t>
  </si>
  <si>
    <t>Antep Yeşil Sarma (500 gr.)</t>
  </si>
  <si>
    <t>80,00 TL</t>
  </si>
  <si>
    <t>Bülbül Yuvası (500 gr.)</t>
  </si>
  <si>
    <t>Cevizli Ev Baklavası (500 gr.) - Şu anda mevcut değil.</t>
  </si>
  <si>
    <t>Dilberdudağı (500 gr.)</t>
  </si>
  <si>
    <t>Fıstıklı Baklava (500 gr.)</t>
  </si>
  <si>
    <t>Fıstıklı Gofret Baklava (500 gr.)</t>
  </si>
  <si>
    <t>Fıstıklı Midye Baklava (500 gr.)</t>
  </si>
  <si>
    <t>Fıstıklı Şöbiyet (500 gr.)</t>
  </si>
  <si>
    <t>Fıstıklı Tel Kadayıf (500 gr.)</t>
  </si>
  <si>
    <t>Hasır Kadayıf (500 gr.)</t>
  </si>
  <si>
    <t>Havuç Dilim Baklava (500 gr.) - Şu anda mevcut değil.</t>
  </si>
  <si>
    <t>Kuru Baklava (500 gr.)</t>
  </si>
  <si>
    <t>Soğuk Baklava (1 kg.)</t>
  </si>
  <si>
    <t>Antep Yeşil Sarma (1 kg.)</t>
  </si>
  <si>
    <t>160,00 TL</t>
  </si>
  <si>
    <t>Fıstıklı Şöbiyet (1 kg.)</t>
  </si>
  <si>
    <t>Dilberdudağı (1 kg.)</t>
  </si>
  <si>
    <t>Cevizli Ev Baklavası (1 kg.) - Şu anda mevcut değil.</t>
  </si>
  <si>
    <t>90,00 TL</t>
  </si>
  <si>
    <t>Fıstıklı Tel Kadayıf (1 kg.)</t>
  </si>
  <si>
    <t>Kuru Baklava (1 kg.)</t>
  </si>
  <si>
    <t>Fıstıklı Gofret Baklava (1 kg.)</t>
  </si>
  <si>
    <t>Hasır Kadayıf (1 kg.)</t>
  </si>
  <si>
    <t>Sandviç Ekmek Arası Uskumru</t>
  </si>
  <si>
    <t xml:space="preserve">Yeşillik, domates, isteğe göre soğan </t>
  </si>
  <si>
    <t>20,30 TL</t>
  </si>
  <si>
    <t>Hamsi Tava (1 kg.) (Pişirilmiş) Menü</t>
  </si>
  <si>
    <t xml:space="preserve">Hamsi Tava (1 kg.) (3 Kişilik) + Salata + Coca-Cola (1 L.) </t>
  </si>
  <si>
    <t>48,30 TL</t>
  </si>
  <si>
    <t>Mevsim Salata (1 Kişilik)</t>
  </si>
  <si>
    <t xml:space="preserve">Havuç, turp, karalahana, soğan, limon, kıvırcık marul </t>
  </si>
  <si>
    <t>4,20 TL</t>
  </si>
  <si>
    <t>Tavuk Pirzola (400 gr.) Menü</t>
  </si>
  <si>
    <t xml:space="preserve">Tavuk Pirzola (400 gr.) + Salata + Ayran (20 cl.) </t>
  </si>
  <si>
    <t>29,40 TL</t>
  </si>
  <si>
    <t>Somon (1 kg.)</t>
  </si>
  <si>
    <t>45,50 TL</t>
  </si>
  <si>
    <t>İstavrit Tava Menü</t>
  </si>
  <si>
    <t xml:space="preserve">İstavrit Tava + Salata + Coca-Cola (1 L.) </t>
  </si>
  <si>
    <t>İstavrit Tava (350 gr.) Menü</t>
  </si>
  <si>
    <t xml:space="preserve">İstavrit Tava + Salata + Kutu İçecek </t>
  </si>
  <si>
    <t>31,50 TL</t>
  </si>
  <si>
    <t>Hamsi Tava (350 gr.) Menü</t>
  </si>
  <si>
    <t xml:space="preserve">Hamsi Tava + Salata + Kutu İçecek </t>
  </si>
  <si>
    <t>Tavuk Kanat (400 gr.) Menü</t>
  </si>
  <si>
    <t xml:space="preserve">Tavuk Kanat (400 gr.) + Salata + Ayran (20 cl.) </t>
  </si>
  <si>
    <t>Tavuk Kelebek (400 gr.) Menü</t>
  </si>
  <si>
    <t xml:space="preserve">Tavuk Kelebek (400 gr.) + Salata + Ayran (20 cl.) </t>
  </si>
  <si>
    <t>Izgara Tavuk Göğüs (400 gr.) Menü</t>
  </si>
  <si>
    <t xml:space="preserve">Izgara Tavuk Göğüs (400 gr.) + Salata + Ayran (20 cl.) </t>
  </si>
  <si>
    <t>Sardalya Izgara (300 gr.)</t>
  </si>
  <si>
    <t xml:space="preserve">Roka, soğan, limon, ekmek ile </t>
  </si>
  <si>
    <t>Izgara Deniz Çipura (800 gr.)</t>
  </si>
  <si>
    <t xml:space="preserve">Roka, soğan, limon, turp, ekmek ile </t>
  </si>
  <si>
    <t>55,30 TL</t>
  </si>
  <si>
    <t>Izgara Deniz Levreği (500 gr.)</t>
  </si>
  <si>
    <t>41,30 TL</t>
  </si>
  <si>
    <t>Izgara Deniz Çipura (500 gr.)</t>
  </si>
  <si>
    <t>Izgara Deniz Levreği (800 gr.)</t>
  </si>
  <si>
    <t>Izgara Palamut (350 gr.)</t>
  </si>
  <si>
    <t>Sardalya Tava (300 gr.)</t>
  </si>
  <si>
    <t>İstavrit Tava (350 gr.)</t>
  </si>
  <si>
    <t>Alabalık Tava (300 gr.)</t>
  </si>
  <si>
    <t>Hamsi Tava (350 gr.)</t>
  </si>
  <si>
    <t>Ekmek Arası Sardalya Kuşu Tava</t>
  </si>
  <si>
    <t xml:space="preserve">(Kılçıksız) Yeşillik ile </t>
  </si>
  <si>
    <t>24,50 TL</t>
  </si>
  <si>
    <t>Sandviç Ekmek Arası Hamsi</t>
  </si>
  <si>
    <t>17,50 TL</t>
  </si>
  <si>
    <t>Hamsi Kuşu (350 gr.)</t>
  </si>
  <si>
    <t>Salatalık Turşusu</t>
  </si>
  <si>
    <t>4,55 TL</t>
  </si>
  <si>
    <t>2,45 TL</t>
  </si>
  <si>
    <t>2,10 TL</t>
  </si>
  <si>
    <t>1,05 TL</t>
  </si>
  <si>
    <t>Hamsi Tava (1 kg.) (3 Kişilik)</t>
  </si>
  <si>
    <t>Karides Tava (1 kg.) (3 Kişilik)</t>
  </si>
  <si>
    <t>87,50 TL</t>
  </si>
  <si>
    <t>Çipura (1 kg.)</t>
  </si>
  <si>
    <t>İstavrit (1 kg.)</t>
  </si>
  <si>
    <t>Levrek (1 kg.)</t>
  </si>
  <si>
    <t>Tavuk Pirzola (1 kg.)</t>
  </si>
  <si>
    <t xml:space="preserve">Mevsim salata veya çoban salata ile </t>
  </si>
  <si>
    <t>38,50 TL</t>
  </si>
  <si>
    <t>Tavuk Kanat (1 kg.)</t>
  </si>
  <si>
    <t>Tavuk Kelebek (1 kg.)</t>
  </si>
  <si>
    <t>Tavuk Göğüs (1 kg.)</t>
  </si>
  <si>
    <t>Kendi Waffleını Kendin Yarat (Papatya)</t>
  </si>
  <si>
    <t>29,00 TL</t>
  </si>
  <si>
    <t>Kendi Waffleını Kendin Yarat (Kare Waffle)</t>
  </si>
  <si>
    <t>Paris</t>
  </si>
  <si>
    <t xml:space="preserve">Muhallebi, Belçika çikolatası, Fransız bisküvi </t>
  </si>
  <si>
    <t>Kendi Kumpirini Kendin Yarat</t>
  </si>
  <si>
    <t>Mini Pankek</t>
  </si>
  <si>
    <t>Seçilmiş Menü (Kendi Kumpirini Kendin Yarat)</t>
  </si>
  <si>
    <t xml:space="preserve">Kendi Kumpirini Kendin Yarat + Coca-Cola (33 cl.) </t>
  </si>
  <si>
    <t>31,17 TL</t>
  </si>
  <si>
    <t>Seçilmiş Menü (Kendi Waffleını Kendin Yarat (Papatya))</t>
  </si>
  <si>
    <t xml:space="preserve">Kendi Waffleını Kendin Yarat (Papatya) + Coca-Cola (33 cl.) </t>
  </si>
  <si>
    <t>34,20 TL</t>
  </si>
  <si>
    <t>Bazlama Tost &amp; Waffle Menü</t>
  </si>
  <si>
    <t xml:space="preserve">Seçeceğiniz Bazlama Tost + Seçeceğiniz Waffle + Kutu İçecek </t>
  </si>
  <si>
    <t>51,00 TL</t>
  </si>
  <si>
    <t xml:space="preserve">Kumpir + Seçeceğiniz Waffle + Kutu İçecek </t>
  </si>
  <si>
    <t>Bazlama Tost &amp; Muhallebi Menü</t>
  </si>
  <si>
    <t xml:space="preserve">Seçeceğiniz Bazlama Tost + Seçeceğiniz Muhallebi + Kutu İçecek </t>
  </si>
  <si>
    <t>47,00 TL</t>
  </si>
  <si>
    <t>Kumpir Menü</t>
  </si>
  <si>
    <t xml:space="preserve">Kumpir + Seçeceğiniz Muhallebi + Kutu İçecek </t>
  </si>
  <si>
    <t>Sucuklu Bazlama Tost</t>
  </si>
  <si>
    <t xml:space="preserve">Salça, sucuk. Patates kızartması ile </t>
  </si>
  <si>
    <t>Spesiyal Bazlama Tost</t>
  </si>
  <si>
    <t xml:space="preserve">Salça, kaşar peyniri, sucuk, sosis, kavurma. Patates kızartması ile </t>
  </si>
  <si>
    <t>Karışık Bazlama Tost</t>
  </si>
  <si>
    <t xml:space="preserve">Salça, kaşar peyniri, sucuk. Patates kızartması ile </t>
  </si>
  <si>
    <t>Pizza Bazlama Tost</t>
  </si>
  <si>
    <t xml:space="preserve">Salça, kaşar peyniri, siyah zeytin, yeşilzeytin, mısır, sosis, sucuk, domates, jalapeno biberi. Patates kızartması ile </t>
  </si>
  <si>
    <t>Kavurmalı Bazlama Tost</t>
  </si>
  <si>
    <t xml:space="preserve">Salça, kavurma, kaşar peyniri. Patates kızartması ile </t>
  </si>
  <si>
    <t>Kaşarlı Bazlama Tost</t>
  </si>
  <si>
    <t xml:space="preserve">Salça, kaşar peyniri. Patates kızartması ile </t>
  </si>
  <si>
    <t>Sade Patso Sandviç</t>
  </si>
  <si>
    <t xml:space="preserve">Patates kızartması, kornişon turşu </t>
  </si>
  <si>
    <t>Sosisli Patso Sandviç</t>
  </si>
  <si>
    <t xml:space="preserve">Patates kızartması, sosis, kornişon turşu </t>
  </si>
  <si>
    <t>Papatya Rulokat Waffle</t>
  </si>
  <si>
    <t xml:space="preserve">Sütlü çikolata, muz, çilek, Rulokat </t>
  </si>
  <si>
    <t>Papatya Anteplim Waffle</t>
  </si>
  <si>
    <t xml:space="preserve">Antep fıstıklı çikolata, bol muz, kivi, çilek, kırık ve tüm Antep fıstığı, Antep fıstıklı sos </t>
  </si>
  <si>
    <t>34,00 TL</t>
  </si>
  <si>
    <t>Papatya Karam Waffle</t>
  </si>
  <si>
    <t xml:space="preserve">Bitter çikolata, muz, kivi, çilek, fındık, Antep fıstığı, bitter damla çikolata, bitter pirinç patlağı, çakıl çikolata, çikolata sos </t>
  </si>
  <si>
    <t>Papatya Oreo Rüyası</t>
  </si>
  <si>
    <t xml:space="preserve">Sütlü çikolata, muz, çilek, sütlü pirinç patlağı, Oreo, çikolata sos </t>
  </si>
  <si>
    <t>Papatya Karadenizlim Waffle</t>
  </si>
  <si>
    <t xml:space="preserve">Fındıklı çikolata, bol muz, kivi, çilek, kırık ve tüm fındık, fındıklı sos </t>
  </si>
  <si>
    <t>Papatya Alcatraz Waffle</t>
  </si>
  <si>
    <t xml:space="preserve">Bitter çikolata, sütlü çikolata, portakallı çikolata, muz, kivi, çilek, ananas, fındık, Antep fıstığı, çakıl çikolata, sütlü damla çikolata, kestane şekeri, çikolata sos </t>
  </si>
  <si>
    <t>Papatya Beyaz İnci Waffle</t>
  </si>
  <si>
    <t xml:space="preserve">Beyaz çikolata, muz, kivi, çilek, fındık, Antep fıstığı, beyaz damla çikolata, beyaz pirinç patlağı, çakıl çikolata beyaz sos </t>
  </si>
  <si>
    <t>Papatya Spesiyal Waffle</t>
  </si>
  <si>
    <t xml:space="preserve">Sütlü çikolata, beyaz çikolata, muz, kivi, çilek, fındık, Antep fıstığı, çakıl çikolata, sütlü damla çikolata, çikolata sos </t>
  </si>
  <si>
    <t>Papatya Bebe Bisküvili Waffle</t>
  </si>
  <si>
    <t xml:space="preserve">Beyaz çikolata, muz, çilek, beyaz pirinç patlağı, Bebe bisküvisi, üzerine muzlu çikolata </t>
  </si>
  <si>
    <t>Kare Rulokat Waffle (Yarım)</t>
  </si>
  <si>
    <t>Kare Oreo Rüyası (Yarım)</t>
  </si>
  <si>
    <t>Kare Karadenizlim Waffle (Yarım)</t>
  </si>
  <si>
    <t>Kare Karam Waffle (Yarım)</t>
  </si>
  <si>
    <t>Kare Anteplim Waffle (Yarım)</t>
  </si>
  <si>
    <t>Kare Alcatraz Waffle (Yarım)</t>
  </si>
  <si>
    <t>Kare Bebe Bisküvili Waffle (Yarım)</t>
  </si>
  <si>
    <t>Kare Beyaz İnci Waffle (Yarım)</t>
  </si>
  <si>
    <t>Kare Spesiyal Waffle (Yarım)</t>
  </si>
  <si>
    <t>California</t>
  </si>
  <si>
    <t xml:space="preserve">Muhallebi, brownie kek, vişne sos </t>
  </si>
  <si>
    <t>Çilekli Ankara</t>
  </si>
  <si>
    <t xml:space="preserve">Muhallebi, Cicibebe, çilek </t>
  </si>
  <si>
    <t>Muzlu Ankara</t>
  </si>
  <si>
    <t xml:space="preserve">Muhallebi, Cicibebe, süt reçeli, muz </t>
  </si>
  <si>
    <t>Çilekli San Francisco</t>
  </si>
  <si>
    <t xml:space="preserve">Muhallebi, Oreo, çiilek </t>
  </si>
  <si>
    <t>Miss Cup</t>
  </si>
  <si>
    <t xml:space="preserve">Bol çilek, Fransız bisküvi, Belçika çikolatası </t>
  </si>
  <si>
    <t>Muzlu San Fracisco</t>
  </si>
  <si>
    <t xml:space="preserve">Muhallebi, Oreo, süt reçeli, muz </t>
  </si>
  <si>
    <t>Karışık Kumpir</t>
  </si>
  <si>
    <t xml:space="preserve">Tereyağı, kaşar peyniri, Rus salatası, sosis, yeşilzeytin, siyah zeytin, mısır, turşu </t>
  </si>
  <si>
    <t>Süper Karışık Kumpir</t>
  </si>
  <si>
    <t xml:space="preserve">Tereyağı, kaşar peyniri, Rus salatası, sosis, yeşilzeytin, siyah zeytin, mısır, turşu, kısır </t>
  </si>
  <si>
    <t>Patates Kızartması</t>
  </si>
  <si>
    <t>11,00 TL</t>
  </si>
  <si>
    <t>Taze Sıkma Portakal Suyu</t>
  </si>
  <si>
    <t>Taze Sıkma Nar Suyu</t>
  </si>
  <si>
    <t>Taze Sıkma Portakal &amp; Nar Suyu</t>
  </si>
  <si>
    <t>Taze Sıkma Atom Suyu</t>
  </si>
  <si>
    <t xml:space="preserve">Nar, portakal, mandalina </t>
  </si>
  <si>
    <t>Kendi Waffleını Kendin Yarat</t>
  </si>
  <si>
    <t>Kendi Waffleını Kendin Yarat Papatya</t>
  </si>
  <si>
    <t>Kendi Waffleını Kendin Yarat Kare (Yarım)</t>
  </si>
  <si>
    <t xml:space="preserve">Beyaz çikolata, muz, çilek, beyaz pirinç patlağı, bebe bisküvisi, üzerine muzlu çikolata </t>
  </si>
  <si>
    <t xml:space="preserve">Salça, kaşar peyniri </t>
  </si>
  <si>
    <t xml:space="preserve">Salça, sucuk </t>
  </si>
  <si>
    <t xml:space="preserve">Salça, kaşar peyniri, sucuk </t>
  </si>
  <si>
    <t xml:space="preserve">Salça, kavurma, kaşar peyniri </t>
  </si>
  <si>
    <t xml:space="preserve">Salça, kaşar peyniri, sucuk, sosis, kavurma </t>
  </si>
  <si>
    <t xml:space="preserve">Salça, kaşar peyniri, siyah zeytin, yeşilzeytin, mısır, sosis, sucuk, domates, jalapeno biberi </t>
  </si>
  <si>
    <t xml:space="preserve">Tavuk Şiş Dürüm (Domates, soğan, maydanoz) + Yayık Ayran </t>
  </si>
  <si>
    <t>Kuşbaşı Dürüm Menü</t>
  </si>
  <si>
    <t xml:space="preserve">Kuşbaşı Dürüm (Domates, soğan, maydanoz) + Yayık Ayran </t>
  </si>
  <si>
    <t>Adana Kebap Menü</t>
  </si>
  <si>
    <t xml:space="preserve">Adana Kebap (Mevsim salata, közlenmiş biber, közlenmiş domates ile) + Yayık Ayran </t>
  </si>
  <si>
    <t xml:space="preserve">Adana Dürüm (Domates, soğan, maydanoz) + Yayık Ayran </t>
  </si>
  <si>
    <t>Kuşbaşı Şiş Menü</t>
  </si>
  <si>
    <t xml:space="preserve">Mevsim salata, közlenmiş biber, közlenmiş domates ile) + Yayık Ayran </t>
  </si>
  <si>
    <t>Seçilmiş Menü (Adana Dürüm)</t>
  </si>
  <si>
    <t xml:space="preserve">Adana Dürüm + Coca-Cola (25 cl.) </t>
  </si>
  <si>
    <t>Vodafone Menüsü (Tavuk Şiş Dürüm)</t>
  </si>
  <si>
    <t xml:space="preserve">Tavuk Şiş Dürüm + Ayran (30 cl.) (Kampanya koşulları için restoranın Promosyonlar bölümüne göz atınız. İndirimli fiyat ürün sepete eklendikten sonra uygulanır.) </t>
  </si>
  <si>
    <t>Beyti Sarma Kebap Menü</t>
  </si>
  <si>
    <t xml:space="preserve">Beyti Sarma Kebap (Mevsim salata, közlenmiş biber, közlenmiş domates ile) + Yayık Ayran </t>
  </si>
  <si>
    <t>37,00 TL</t>
  </si>
  <si>
    <t>Yoğurtlu Kebap Menü</t>
  </si>
  <si>
    <t xml:space="preserve">Yoğurtlu Kebap (Mevsim salata, közlenmiş biber, közlenmiş domates ile) + Yayık Ayran </t>
  </si>
  <si>
    <t>Urfa Kebap Menü</t>
  </si>
  <si>
    <t xml:space="preserve">Urfa Kebap (Mevsim salata, közlenmiş biber, közlenmiş domates ile) + Yayık Ayran </t>
  </si>
  <si>
    <t>Tereyağlı Urfa Kebap Menü</t>
  </si>
  <si>
    <t xml:space="preserve">Tereyağlı Urfa Kebap (Mevsim salata, közlenmiş biber, közlenmiş domates ile) + Yayık Ayran </t>
  </si>
  <si>
    <t>Karışık Izgara Menü</t>
  </si>
  <si>
    <t xml:space="preserve">Karışık Izgara (Adana kebap, tavuk, şiş, kuşbaşı) + Mevsim Salatası + Yayık Ayran </t>
  </si>
  <si>
    <t>Mantarlı Kuşbaşı Menü</t>
  </si>
  <si>
    <t>Tavuk Kanat Menü</t>
  </si>
  <si>
    <t>Tavuk Şiş Menü</t>
  </si>
  <si>
    <t>Izgara Köfte Menü</t>
  </si>
  <si>
    <t xml:space="preserve">Izgara Köfte Dürüm (Domates, soğan, maydanoz) + Yayık Ayran </t>
  </si>
  <si>
    <t>Urfa Dürüm Menü</t>
  </si>
  <si>
    <t xml:space="preserve">Urfa Dürüm (Domates, soğan, maydanoz) + Yayık Ayran </t>
  </si>
  <si>
    <t>Fanta (25 cl.)</t>
  </si>
  <si>
    <t xml:space="preserve">Cam şişe </t>
  </si>
  <si>
    <t>Özel Antep Lahmacun</t>
  </si>
  <si>
    <t>Urfa Lahmacun</t>
  </si>
  <si>
    <t xml:space="preserve">Marul, soğan, domates. Közlenmiş biber ile </t>
  </si>
  <si>
    <t>Fındık Lahmacun</t>
  </si>
  <si>
    <t>Vodafone Menüsü (Ciğer Dürüm) - Şu anda mevcut değil.</t>
  </si>
  <si>
    <t xml:space="preserve">Ciğer Dürüm + Ayran (30 cl.) (Kampanya koşulları için restoranın Promosyonlar bölümüne göz atınız. İndirimli fiyat ürün sepete eklendikten sonra uygulanır.) </t>
  </si>
  <si>
    <t>14,50 TL</t>
  </si>
  <si>
    <t>Tereyağlı Mercimek Çorbası</t>
  </si>
  <si>
    <t>Kaşarlı Kavurmalı Pide</t>
  </si>
  <si>
    <t>Karışık Pide</t>
  </si>
  <si>
    <t xml:space="preserve">Kıyma, kuşbaşı, kaşar peyniri, sucuk, kavurma </t>
  </si>
  <si>
    <t>Peynirli Pide</t>
  </si>
  <si>
    <t xml:space="preserve">Mevsim salata, bulgur pilavı, közlenmiş biber, közlenmiş domates, soğan, piyaz ile </t>
  </si>
  <si>
    <t>Urfa Tike Ciğer</t>
  </si>
  <si>
    <t>Kıyma Kebabı</t>
  </si>
  <si>
    <t>Altın Sofra Special</t>
  </si>
  <si>
    <t xml:space="preserve">Hamura sarılı kaşarlı birecik haşhaş kebabı. Mevsim salata, bulgur pilavı, közlenmiş biber, közlenmiş domates, soğan, piyaz ile </t>
  </si>
  <si>
    <t>Birecik Haşhaş Kebabı</t>
  </si>
  <si>
    <t xml:space="preserve">Maydanoz, sarımsak, kıyma, kapya biberi, yeşilbiber. Mevsim salata, bulgur pilavı, közlenmiş biber, közlenmiş domates, soğan, piyaz ile </t>
  </si>
  <si>
    <t xml:space="preserve">Tavuk şiş, et kuşbaşı, Adana kebap, fındık lahmacun. Mevsim salata, bulgur pilavı, közlenmiş biber, közlenmiş domates, soğan, piyaz ile </t>
  </si>
  <si>
    <t>Kuşbaşılı Kebap</t>
  </si>
  <si>
    <t>Birecik Patlıcan Kebabı</t>
  </si>
  <si>
    <t xml:space="preserve">Patlıcan, kıyma. Mevsim salata, bulgur pilavı, közlenmiş biber, közlenmiş domates, soğan, piyaz ile </t>
  </si>
  <si>
    <t>Birecik Haşhaş Dürüm</t>
  </si>
  <si>
    <t>Kıyma Dürüm</t>
  </si>
  <si>
    <t>Kuşbaşı Dürüm</t>
  </si>
  <si>
    <t>Kızartma İçli Köfte - Şu anda mevcut değil.</t>
  </si>
  <si>
    <t>Künefe</t>
  </si>
  <si>
    <t>Açık Ayran (20 cl.)</t>
  </si>
  <si>
    <t>Tavuk Şiş (1 kg.)</t>
  </si>
  <si>
    <t xml:space="preserve">Közlenmiş biber, mevsim salata ile </t>
  </si>
  <si>
    <t>Tavuk Karışık (1 kg.)</t>
  </si>
  <si>
    <t xml:space="preserve">Tavuk kanat, tavuk pirzola, tavuk şiş. Közlenmiş biber, mevsim salata ile </t>
  </si>
  <si>
    <t>Seçilmiş Menü (Pro Gamer Menü)</t>
  </si>
  <si>
    <t xml:space="preserve">Beef'n Cheddar + Tırtıklı Patates (Orta Boy) + Chicken Tenders (6'lı) + Coca-Cola (1 L.) </t>
  </si>
  <si>
    <t>44,99 TL</t>
  </si>
  <si>
    <t>Seçilmiş Menü (Zero Sugar)</t>
  </si>
  <si>
    <t xml:space="preserve">Arby's® Classic + Roast Chicken Deluxe + Tırtıklı Patates (Büyük Boy) + Soğan Halkası (4'lü) + Coca-Cola Zero Sugar (1 L.) </t>
  </si>
  <si>
    <t>Vodafone Menüsü</t>
  </si>
  <si>
    <t xml:space="preserve">Biftek Klasik Sandviç + Chipotle Soslu Roast Chicken + Tırtıklı Patates (Orta) + Kutu İçecek (Kampanya koşulları için restoranın promosyonlar bölümüne göz atınız. İndirimli fiyat ürün sepete eklendikten sonra uygulanır.) </t>
  </si>
  <si>
    <t>52,39 TL</t>
  </si>
  <si>
    <t>Arby’s® Algida Menüsü</t>
  </si>
  <si>
    <t xml:space="preserve">Barbekü Deluxe XL + Tırtıklı Patates (Orta) + Kutu İçecek + Algida Magnum Mini Cookie </t>
  </si>
  <si>
    <t>39,99 TL</t>
  </si>
  <si>
    <t>Maximum Menü</t>
  </si>
  <si>
    <t xml:space="preserve">Chipotle Soslu Roast Beef + Tavukburger® + Tırtıklı Patates (Büyük) + Soğan Halkası (8'li) + Litrelik İçecek (Maximum Menü indirimi, Maximum özellikli tüm kredi kartları ve İş Bankası Bankamatik Kartları ile yapılacak online ödemelerde ödeme anında uygulanacaktır.) </t>
  </si>
  <si>
    <t>41,99 TL</t>
  </si>
  <si>
    <t>Beşiktaş Taraftar Menüsü</t>
  </si>
  <si>
    <t xml:space="preserve">BBQ Gurme Tavuk Sandviç veya Beef'n Cheddar Sandviç + Soğan Halkası (4'lü) + Tırtıklı Patates (Orta) + Kutu İçecek (Taşıma torbası seçimi siparişinizin doğru şekilde teslim edilebilmesi için eklenmiştir.) </t>
  </si>
  <si>
    <t>36,99 TL</t>
  </si>
  <si>
    <t>Fenerbahçe Taraftar Menüsü</t>
  </si>
  <si>
    <t xml:space="preserve">BBQ Gurme Tavuk Sandviç veya Beef'n Cheddar Sandviç + Soğan Halkası (4'lü) + Tırtıklı Patates (Orta) + Kutu İçecek (Taşıma torbası seçimi siparişinizin doğru şekilde teslim edilebilmesi için eklenmiştir.) seçimi siparişinizin doğru şekilde teslim edilebilmesi için eklenmiştir.) </t>
  </si>
  <si>
    <t>Galatasaray Taraftar Menüsü</t>
  </si>
  <si>
    <t>Trabzonspor Taraftar Menüsü</t>
  </si>
  <si>
    <t>Çıtır Maç Kutusu</t>
  </si>
  <si>
    <t xml:space="preserve">Soğan Halkası (12'li) + Cheese Sticks (4'lü) + Chicken Tenders (9'lu) + Tırtıklı Patates (Jumbo) + Litrelik İçecek </t>
  </si>
  <si>
    <t>54,99 TL</t>
  </si>
  <si>
    <t>2'li Beef’n Kampanyası</t>
  </si>
  <si>
    <t xml:space="preserve">2 Adet Beef’n Cheddar Sandviç + Tırtıklı Patates (Büyük) + Litrelik İçecek </t>
  </si>
  <si>
    <t>59,99 TL</t>
  </si>
  <si>
    <t>Beef’n Curly Menü</t>
  </si>
  <si>
    <t xml:space="preserve">3 Adet Beef'n Cheddar Sandviç + Curly Fries (Jumbo) + Soğan Halkası (10'lu) + Litrelik İçecek </t>
  </si>
  <si>
    <t>104,99 TL</t>
  </si>
  <si>
    <t>Ete Doyuran Teklif</t>
  </si>
  <si>
    <t xml:space="preserve">2 Adet Füme Kaburga Klasik Sandviç + Tırtıklı Patates (Jumbo) + Litrelik İçecek </t>
  </si>
  <si>
    <t>69,99 TL</t>
  </si>
  <si>
    <t>Arby’s® Ekonomİkili</t>
  </si>
  <si>
    <t xml:space="preserve">Roast Chicken Deluxe + Steak Soslu Roast Beef + Tırtıklı Patates (Büyük) + Litrelik İçecek (Roast Beef Deluxe seçimlerinde 4 TL, Klasik Gurme Tavuk Sandviç seçimlerinde 6 TL, Biftek Klasik Sandviç seçimlerinde 8 TL ve Beef'n Cheddar seçimlerinde 10 TL fark alınmaktadır.) </t>
  </si>
  <si>
    <t>Arby’s®’den Classic Combo Menü</t>
  </si>
  <si>
    <t xml:space="preserve">Biftek Klasik Sandviç + Arby's® Classic + Soğan Halkası (6'lı) + Tırtıklı Patates (Büyük) + Litrelik İçecek </t>
  </si>
  <si>
    <t>51,99 TL</t>
  </si>
  <si>
    <t>Fırsat Menü</t>
  </si>
  <si>
    <t xml:space="preserve">Roast Beef Deluxe Jr. + Roast Chicken Deluxe Jr. + Tırtıklı Patates (Orta) + Soğan Halkası (6'lı) + Kutu İçecek (Roast Chicken Deluxe seçimlerinde 3 TL, Roast Beef Deluxe seçimlerinde 4 TL, Klasik Gurme Tavuk Sandviç seçimlerinde 6 TL, Biftek Klasik Sandviç seçimlerinde 8 TL ve Beef'n Cheddar seçimlerinde 10 TL fark alınmaktadır.) </t>
  </si>
  <si>
    <t>3 Kişilik Seçmeli Menü</t>
  </si>
  <si>
    <t xml:space="preserve">3 Adet Seçeceğiniz Sandviç + Tırtıklı Patates (Büyük) + Soğan Halkası (10'lu) + Litrelik İçecek (Sadece Etli Baget Jr. seçimleri için geçerlidir. Roast Beef Deluxe seçimlerinde 4 TL, Klasik Gurme Tavuk seçimlerinde 6 TL, Biftek Klasik seçimlerinde 8 TL ve Beef'n Cheddar seçimlerinde 10 TL fark alınmaktadır.) </t>
  </si>
  <si>
    <t>58,99 TL</t>
  </si>
  <si>
    <t>4 Kişilik Seçmeli Menü</t>
  </si>
  <si>
    <t xml:space="preserve">4 Adet Seçeceğiniz Sandviç + 2 Adet Tırtıklı Patates (Büyük) + Soğan Halkası (12'li)+ 2 Adet Litrelik İçecek (Sadece Tavuklu Baget Jr. seçimleri için geçerlidir. Roast Chicken Deluxe seçimlerinde 2 TL, Klasik Gurme Tavuk seçimlerinde 6 TL ve Biftek Klasik seçimlerinde 8 TL fark alınmaktadır.) </t>
  </si>
  <si>
    <t>74,99 TL</t>
  </si>
  <si>
    <t>Klasik Gurme Tavuk Sandviç Menü</t>
  </si>
  <si>
    <t xml:space="preserve">Klasik Gurme Tavuk Sandviç + Tırtıklı Patates (Orta Boy) + Kutu İçecek </t>
  </si>
  <si>
    <t>33,99 TL</t>
  </si>
  <si>
    <t>BBQ Gurme Tavuk Sandviç Menü</t>
  </si>
  <si>
    <t xml:space="preserve">BBQ Gurme Tavuk Sandviç + Tırtıklı Patates (Orta Boy) + Kutu İçecek </t>
  </si>
  <si>
    <t>Smoky Chicken Sandviç Menü</t>
  </si>
  <si>
    <t xml:space="preserve">Smoky Chicken Sandviç + Tırtıklı Patates (Orta Boy) + Kutu İçecek </t>
  </si>
  <si>
    <t>Biftek Klasik Menü</t>
  </si>
  <si>
    <t xml:space="preserve">Biftek Klasik Sandviç + Tırtıklı Patates (Orta Boy) + Kutu İçecek </t>
  </si>
  <si>
    <t>37,99 TL</t>
  </si>
  <si>
    <t>Füme Kaburga Klasik Menü</t>
  </si>
  <si>
    <t xml:space="preserve">Füme Kaburga Klasik Sandviç + Tırtıklı Patates (Orta Boy) + Kutu İçecek </t>
  </si>
  <si>
    <t>42,99 TL</t>
  </si>
  <si>
    <t>Füme Kaburga Peynirli Baget Menü</t>
  </si>
  <si>
    <t xml:space="preserve">Füme Kaburga Peynirli Baget Sandviç + Tırtıklı Patates (Orta Boy) + Kutu İçecek </t>
  </si>
  <si>
    <t>Biftek Philly Baget Menü</t>
  </si>
  <si>
    <t xml:space="preserve">Biftek Philly Baget Sandviç + Tırtıklı Patates (Orta Boy) + Kutu İçecek </t>
  </si>
  <si>
    <t>Biftek Philly Brioche Menü</t>
  </si>
  <si>
    <t xml:space="preserve">Biftek Philly Brioche Sandviç + Tırtıklı Patates (Orta Boy) + Kutu İçecek </t>
  </si>
  <si>
    <t>Beef'n Cheddar Menü</t>
  </si>
  <si>
    <t xml:space="preserve">Beef'n Cheddar + Tırtıklı Patates (Orta Boy) + Kutu İçecek </t>
  </si>
  <si>
    <t>Beef'n Cheddar XL Menü</t>
  </si>
  <si>
    <t xml:space="preserve">Beef'n Cheddar XL + Tırtıklı Patates (Orta Boy) + Kutu İçecek </t>
  </si>
  <si>
    <t>Super Roast Beef Menü</t>
  </si>
  <si>
    <t xml:space="preserve">Super Roast Beef + Tırtıklı Patates (Orta Boy) + Kutu İçecek </t>
  </si>
  <si>
    <t>35,99 TL</t>
  </si>
  <si>
    <t>Arby's® Melt Menü</t>
  </si>
  <si>
    <t xml:space="preserve">Arby's® Melt + Tırtıklı Patates (Orta Boy) + Kutu İçecek </t>
  </si>
  <si>
    <t>28,99 TL</t>
  </si>
  <si>
    <t>Arby's® Classic Menü</t>
  </si>
  <si>
    <t xml:space="preserve">Arby's® Classic + Tırtıklı Patates (Orta Boy) + Kutu İçecek </t>
  </si>
  <si>
    <t>29,99 TL</t>
  </si>
  <si>
    <t>Roast Chicken Deluxe Menü</t>
  </si>
  <si>
    <t xml:space="preserve">Roast Chicken Deluxe + Tırtıklı Patates (Orta Boy) + Kutu İçecek </t>
  </si>
  <si>
    <t>27,99 TL</t>
  </si>
  <si>
    <t>Roast Chicken Deluxe Jr. Menü</t>
  </si>
  <si>
    <t xml:space="preserve">Roast Chicken Deluxe Jr. + Tırtıklı Patates (Küçük Boy) + Kutu İçecek </t>
  </si>
  <si>
    <t>21,99 TL</t>
  </si>
  <si>
    <t>Roast Beef Deluxe Menü</t>
  </si>
  <si>
    <t xml:space="preserve">Roast Beef Deluxe + Tırtıklı Patates (Orta Boy) + Kutu İçecek </t>
  </si>
  <si>
    <t>30,99 TL</t>
  </si>
  <si>
    <t>Arby's® Roast Beef Deluxe XL Menü</t>
  </si>
  <si>
    <t xml:space="preserve">Arby's® Roast Beef Deluxe XL + Tırtıklı Patates (Orta Boy) + Kutu İçecek </t>
  </si>
  <si>
    <t>Roast Beef Deluxe Jr. Menu</t>
  </si>
  <si>
    <t xml:space="preserve">Roast Beef Deluxe Jr. + Tırtıklı Patates (Küçük Boy) + Kutu İçecek </t>
  </si>
  <si>
    <t>23,99 TL</t>
  </si>
  <si>
    <t>Etli Dürüm Menü</t>
  </si>
  <si>
    <t xml:space="preserve">Etli Dürüm (Gyro Soslu) + Tırtıklı Patates (Orta Boy) + Kutu İçecek </t>
  </si>
  <si>
    <t>Tavuklu Dürüm Menü</t>
  </si>
  <si>
    <t xml:space="preserve">Tavuklu Dürüm (Gyro Soslu) + Tırtıklı Patates (Orta Boy) + Kutu İçecek </t>
  </si>
  <si>
    <t>Kids Roast Beef Menü</t>
  </si>
  <si>
    <t xml:space="preserve">Kids Roast Beef + Tırtıklı Patates (Küçük Boy) + Kutu İçecek </t>
  </si>
  <si>
    <t>Kids Roast Chicken Menü</t>
  </si>
  <si>
    <t xml:space="preserve">Kids Roast Chicken + Tırtıklı Patates (Küçük Boy) + Kutu İçecek </t>
  </si>
  <si>
    <t>Tavukburger® Menü</t>
  </si>
  <si>
    <t xml:space="preserve">Tavukburger® + Tırtıklı Patates (Küçük Boy) + Kutu İçecek </t>
  </si>
  <si>
    <t>22,99 TL</t>
  </si>
  <si>
    <t>Çıtır Baget Etli Menü</t>
  </si>
  <si>
    <t xml:space="preserve">Çıtır Baget Etli + Tırtıklı Patates (Orta Boy) + Kutu İçecek </t>
  </si>
  <si>
    <t>31,99 TL</t>
  </si>
  <si>
    <t>Çıtır Baget Tavuklu Menü</t>
  </si>
  <si>
    <t xml:space="preserve">Çıtır Baget Tavuklu + Tırtıklı Patates (Orta Boy) + Kutu İçecek </t>
  </si>
  <si>
    <t>Barbekü Deluxe Menü</t>
  </si>
  <si>
    <t xml:space="preserve">Barbekü Deluxe + Tırtıklı Patates (Orta Boy) + Kutu İçecek </t>
  </si>
  <si>
    <t>Barbekü Deluxe XL Menü</t>
  </si>
  <si>
    <t xml:space="preserve">Barbekü Deluxe XL + Tırtıklı Patates (Orta Boy) + Kutu İçecek </t>
  </si>
  <si>
    <t>Chipotle Soslu Roast Beef Menü</t>
  </si>
  <si>
    <t xml:space="preserve">Chipotle Soslu Roast Beef + Tırtıklı Patates (Küçük Boy) + Kutu İçecek </t>
  </si>
  <si>
    <t>26,99 TL</t>
  </si>
  <si>
    <t>Chipotle Soslu Roast Chicken Menü</t>
  </si>
  <si>
    <t xml:space="preserve">Chipotle Soslu Roast Chicken + Tırtıklı Patates (Küçük Boy) + Kutu İçecek </t>
  </si>
  <si>
    <t>Chipotle Soslu Tavukburger® Menü</t>
  </si>
  <si>
    <t xml:space="preserve">Chipotle Soslu Tavukburger® + Tırtıklı Patates (Küçük Boy) + Kutu İçecek </t>
  </si>
  <si>
    <t>24,99 TL</t>
  </si>
  <si>
    <t>Steak Soslu Roast Beef Menü</t>
  </si>
  <si>
    <t xml:space="preserve">Steak Soslu Roast Beef + Tırtıklı Patates (Orta Boy) + Kutu İçecek </t>
  </si>
  <si>
    <t>32,99 TL</t>
  </si>
  <si>
    <t>Klasik Gurme Tavuk Sandviç</t>
  </si>
  <si>
    <t xml:space="preserve">Gurme tavuk eti, dilim domates, marul, mayonez </t>
  </si>
  <si>
    <t>BBQ Gurme Tavuk Sandviç</t>
  </si>
  <si>
    <t xml:space="preserve">Gurme tavuk eti, dilim cheddar peyniri, çıtır soğan, marul, barbekü sos </t>
  </si>
  <si>
    <t>25,99 TL</t>
  </si>
  <si>
    <t>Smoky Chicken Sandviç</t>
  </si>
  <si>
    <t xml:space="preserve">Özel dilimlenmiş roast chicken ve füme eti, çıtır soğan, rendelenmiş mozzarella peyniri, mayonez, barbekü sos </t>
  </si>
  <si>
    <t>Biftek Klasik Sandviç</t>
  </si>
  <si>
    <t xml:space="preserve">Biftek eti, susamlı ekmek, domates, turşu, marul, dilim soğan, mayonez, gyro baharat </t>
  </si>
  <si>
    <t>Füme Kaburga Klasik Sandviç</t>
  </si>
  <si>
    <t xml:space="preserve">Füme kaburga eti, susamlı ekmek, domates, turşu,mayonez </t>
  </si>
  <si>
    <t>Füme Kaburga Peynirli Baget Sandviç</t>
  </si>
  <si>
    <t xml:space="preserve">Füme kaburga eti, baget ekmek, rende mozzarella, mayonez </t>
  </si>
  <si>
    <t>Biftek Philly Baget Sandviç</t>
  </si>
  <si>
    <t xml:space="preserve">Biftek eti, baget ekmek, philly sos (soğan, kırmızı ve yeşilbiberli), mayonez, rende mozzarella peyniri </t>
  </si>
  <si>
    <t>Biftek Philly Brioche Sandviç</t>
  </si>
  <si>
    <t xml:space="preserve">Biftek eti, brioche ekmek, philly sos (soğan, kırmızı ve yeşilbiberli), mayonez, rende kaşar peyniri </t>
  </si>
  <si>
    <t>Beef'n Cheddar</t>
  </si>
  <si>
    <t xml:space="preserve">Roast beef, kavrulmuş soğanlı ekmek, cheddar cheese sos, red ranch sos </t>
  </si>
  <si>
    <t>Beef'n Cheddar XL</t>
  </si>
  <si>
    <t>Super Roast Beef</t>
  </si>
  <si>
    <t xml:space="preserve">Roast beef, susamlı ekmek, domates, marul, red ranch </t>
  </si>
  <si>
    <t>Arby's® Melt</t>
  </si>
  <si>
    <t xml:space="preserve">Roast beef, susamlı ekmek, cheddar cheese sos </t>
  </si>
  <si>
    <t>Arby's® Classic</t>
  </si>
  <si>
    <t xml:space="preserve">Roast beef, susamlı ekmek, domates, mayonez </t>
  </si>
  <si>
    <t>Roast Beef Deluxe</t>
  </si>
  <si>
    <t xml:space="preserve">Roast beef, susamlı ekmek, domates, marul, soğan, ketçap, mayonez, hardal, turşu </t>
  </si>
  <si>
    <t>Roast Beef Deluxe Jr.</t>
  </si>
  <si>
    <t>17,99 TL</t>
  </si>
  <si>
    <t>Arby's® Roast Beef Deluxe XL</t>
  </si>
  <si>
    <t>Etli Dürüm</t>
  </si>
  <si>
    <t xml:space="preserve">Tortilla, gyro sos, marul, roast beef, gyro baharat, domates, kırmızı soğan, turşu </t>
  </si>
  <si>
    <t>Çıtır Baget Etli</t>
  </si>
  <si>
    <t xml:space="preserve">Baget ekmeği, roast beef, domates, şerit turşu, marul, kırmızı soğan, gyro sos ve özel baharatıyla </t>
  </si>
  <si>
    <t>Chipotle Soslu Roast Beef</t>
  </si>
  <si>
    <t xml:space="preserve">Roast beef, ekmek, cheddar peyniri, közlenmiş biberli chipotle sos </t>
  </si>
  <si>
    <t>Steak Soslu Roast Beef</t>
  </si>
  <si>
    <t xml:space="preserve">Susamlı ekmek, roast beef, marul, domates, turşu ve steak sos </t>
  </si>
  <si>
    <t>Roast Chicken Deluxe</t>
  </si>
  <si>
    <t xml:space="preserve">Roast chicken, susamlı ekmek, domates, marul, mayonez </t>
  </si>
  <si>
    <t>20,99 TL</t>
  </si>
  <si>
    <t>Roast Chicken Deluxe Jr.</t>
  </si>
  <si>
    <t xml:space="preserve">Susamlı ekmek, domates, marul, mayonez </t>
  </si>
  <si>
    <t>15,99 TL</t>
  </si>
  <si>
    <t>Tavuklu Dürüm</t>
  </si>
  <si>
    <t xml:space="preserve">Tortilla, gyro sos, roast chicken, gyro baharat, marul, domates, turşu </t>
  </si>
  <si>
    <t>19,99 TL</t>
  </si>
  <si>
    <t>Tavukburger®</t>
  </si>
  <si>
    <t xml:space="preserve">Tavuk burger eti, ekmek, mayonez, marul, domates </t>
  </si>
  <si>
    <t>Çıtır Baget Tavuklu</t>
  </si>
  <si>
    <t xml:space="preserve">Baget ekmeği, roast chicken, domates, şerit turşu, marul, kırmızı soğan, gyro sos ve özel baharatıyla </t>
  </si>
  <si>
    <t>Barbekü Deluxe</t>
  </si>
  <si>
    <t xml:space="preserve">Roast beef, ekmek, çıtır soğan, peynir, barbekü sos </t>
  </si>
  <si>
    <t>Barbekü Deluxe XL</t>
  </si>
  <si>
    <t>Chipotle Soslu Roast Chicken</t>
  </si>
  <si>
    <t xml:space="preserve">Roast chicken, ekmek, cheddar peyniri, közlenmiş biberli chipotle sos </t>
  </si>
  <si>
    <t>14,99 TL</t>
  </si>
  <si>
    <t>Chipotle Soslu Tavukburger®</t>
  </si>
  <si>
    <t xml:space="preserve">Tavuk burger eti, ekmek, cheddar peyniri, közlenmiş biberli chipotle sos </t>
  </si>
  <si>
    <t>Curly Fries (Küçük)</t>
  </si>
  <si>
    <t>Curly Fries (Orta)</t>
  </si>
  <si>
    <t>Curly Fries (Büyük)</t>
  </si>
  <si>
    <t>16,99 TL</t>
  </si>
  <si>
    <t>Curly Fries (Jumbo)</t>
  </si>
  <si>
    <t>Tırtıklı Patates (Küçük)</t>
  </si>
  <si>
    <t>Tırtıklı Patates (Orta)</t>
  </si>
  <si>
    <t>7,50 TL</t>
  </si>
  <si>
    <t>Tırtıklı Patates (Büyük)</t>
  </si>
  <si>
    <t>8,50 TL</t>
  </si>
  <si>
    <t>Tırtıklı Patates (Jumbo)</t>
  </si>
  <si>
    <t>9,50 TL</t>
  </si>
  <si>
    <t>Cheese Sticks (4'lü)</t>
  </si>
  <si>
    <t>13,99 TL</t>
  </si>
  <si>
    <t>Cheese Sticks (8'li)</t>
  </si>
  <si>
    <t>Chicken Tenders (6'lı)</t>
  </si>
  <si>
    <t>Soğan Halkası (6'lı)</t>
  </si>
  <si>
    <t>Soğan Halkası (8'li)</t>
  </si>
  <si>
    <t>Akdeniz Salata (Mini)</t>
  </si>
  <si>
    <t>Roast Chicken Salata</t>
  </si>
  <si>
    <t>Roast Beef Salata</t>
  </si>
  <si>
    <t>Akdeniz Salata</t>
  </si>
  <si>
    <t>Ketçap</t>
  </si>
  <si>
    <t>1,25 TL</t>
  </si>
  <si>
    <t>Mayonez</t>
  </si>
  <si>
    <t>Barbekü Sos</t>
  </si>
  <si>
    <t>Arby's® Sos</t>
  </si>
  <si>
    <t>Horsey Sos</t>
  </si>
  <si>
    <t>Cheddar Sos</t>
  </si>
  <si>
    <t>4,25 TL</t>
  </si>
  <si>
    <t>Hot Chili Sos</t>
  </si>
  <si>
    <t>Zeytinyağı &amp; Limon Sos</t>
  </si>
  <si>
    <t>Algida Carte d'Or Mini Cup Çikolata Karnavalı (110 ml.)</t>
  </si>
  <si>
    <t>Algida Carte d'Or Mini Cup Meyve Rüyası (110 ml.)</t>
  </si>
  <si>
    <t>Algida Carte d'Or Mini Cup Çilekli Yoğurtlu (110 ml.)</t>
  </si>
  <si>
    <t>Algida Classics Cookie Cup (105 ml.)</t>
  </si>
  <si>
    <t>Algida Mini Nogger Sandwich (60 ml.)</t>
  </si>
  <si>
    <t>Sundae (Çikolatalı)</t>
  </si>
  <si>
    <t>4,95 TL</t>
  </si>
  <si>
    <t>Sundae (Karamelli)</t>
  </si>
  <si>
    <t>Sundae (Vanilyalı)</t>
  </si>
  <si>
    <t>Sundae (Meyve Şöleni Soslu)</t>
  </si>
  <si>
    <t>Cooly's (Çikolata Parçacıklı)</t>
  </si>
  <si>
    <t>Cooly's (Meyve Şöleni Soslu)</t>
  </si>
  <si>
    <t>Cooly's (Rulokatlı)</t>
  </si>
  <si>
    <t>Çikolatalı Sufle</t>
  </si>
  <si>
    <t>8,95 TL</t>
  </si>
  <si>
    <t>Dondurmalı Çikolatalı Sufle</t>
  </si>
  <si>
    <t>9,95 TL</t>
  </si>
  <si>
    <t>7,99 TL</t>
  </si>
  <si>
    <t>Fuse Tea Şeftali (33 cl.)</t>
  </si>
  <si>
    <t>Fuse Tea Limon (33 cl.)</t>
  </si>
  <si>
    <t>Cappy Şeftali (20 cl.)</t>
  </si>
  <si>
    <t>4,99 TL</t>
  </si>
  <si>
    <t>Cappy Karışık (20 cl.)</t>
  </si>
  <si>
    <t>Cappy Elma (20 cl.)</t>
  </si>
  <si>
    <t>Cappy Kayısı (20 cl.)</t>
  </si>
  <si>
    <t>Ayran (Küçük - 200 ml.)</t>
  </si>
  <si>
    <t>Ayran (Büyük - 300 ml.)</t>
  </si>
  <si>
    <t>5,99 TL</t>
  </si>
  <si>
    <t>Sade Soda (200 ml.)</t>
  </si>
  <si>
    <t>3,99 TL</t>
  </si>
  <si>
    <t>Elmalı Soda (200 ml.)</t>
  </si>
  <si>
    <t>Limonlu Soda (200 ml.)</t>
  </si>
  <si>
    <t>Çilekli Soda (200 ml.)</t>
  </si>
  <si>
    <t>2,99 TL</t>
  </si>
  <si>
    <t>8,99 TL</t>
  </si>
  <si>
    <t>Fuse Tea Şeftali (1 L.)</t>
  </si>
  <si>
    <t>Fuse Tea Limon (1 L.)</t>
  </si>
  <si>
    <t>Tavuk Döner Dürüm</t>
  </si>
  <si>
    <t xml:space="preserve">Yeşillik. Biber turşusu ile </t>
  </si>
  <si>
    <t>Et Döner Dürüm</t>
  </si>
  <si>
    <t>İskender (Et Dönerden)</t>
  </si>
  <si>
    <t xml:space="preserve">Mevsim salata, közlenmiş biber, domates ile </t>
  </si>
  <si>
    <t>Seçilmiş Menü (Tavuk Döner Dürüm)</t>
  </si>
  <si>
    <t xml:space="preserve">Tavuk Döner Dürüm + Coca-Cola (33 cl.) </t>
  </si>
  <si>
    <t>14,40 TL</t>
  </si>
  <si>
    <t>Pilav Üstü Et Döner</t>
  </si>
  <si>
    <t>Vodafone Menüsü (Et Döner Dürüm)</t>
  </si>
  <si>
    <t xml:space="preserve">Et Döner Dürüm + Açık Ayran (30 cl.) (Kampanya koşulları için restoranın Promosyonlar bölümüne göz atınız. İndirimli fiyat ürün sepete eklendikten sonra uygulanır) </t>
  </si>
  <si>
    <t>Et Döner</t>
  </si>
  <si>
    <t>Tavuk Döner</t>
  </si>
  <si>
    <t>Pilav Üstü Tavuk Döner</t>
  </si>
  <si>
    <t>Açık Ayran (30 cl.)</t>
  </si>
  <si>
    <t>Coca-Cola Şekersiz (1 L.)</t>
  </si>
  <si>
    <t xml:space="preserve">Salata, isteğe göre ketçap, mayonez </t>
  </si>
  <si>
    <t>Izgara Tavuk Kanat</t>
  </si>
  <si>
    <t xml:space="preserve">Mevsim salatası, közlenmiş biber, közlenmiş domates ile </t>
  </si>
  <si>
    <t>Domatesli Kebap</t>
  </si>
  <si>
    <t xml:space="preserve">Lavaşa sarılı, soslu, yoğurtlu. Mevsim salatası, közlenmiş biber, közlenmiş domates ile </t>
  </si>
  <si>
    <t>Kıyma Kebap</t>
  </si>
  <si>
    <t>Et Şiş</t>
  </si>
  <si>
    <t>Izgara Biftek</t>
  </si>
  <si>
    <t>44,00 TL</t>
  </si>
  <si>
    <t>Izgara Kuzu Pirzola</t>
  </si>
  <si>
    <t>Izgara Tavuk Pirzola</t>
  </si>
  <si>
    <t xml:space="preserve">Adana kebap, kıyma kebap, tavuk şiş, et şiş, pirzola, et biftek. Mevsim salatası, közlenmiş biber, közlenmiş domates ile </t>
  </si>
  <si>
    <t>Cappy (33 cl.) - Şu anda mevcut değil.</t>
  </si>
  <si>
    <t>Acılı Şalgam Suyu (33 cl.)</t>
  </si>
  <si>
    <t>Ayran (30 cl.) - Şu anda mevcut değil.</t>
  </si>
  <si>
    <t>Ekler (Küçük) - Şu anda mevcut değil.</t>
  </si>
  <si>
    <t xml:space="preserve">Adet </t>
  </si>
  <si>
    <t>Halka Tatlısı (Adet) - Şu anda mevcut değil.</t>
  </si>
  <si>
    <t>Ekler (Büyük) - Şu anda mevcut değil.</t>
  </si>
  <si>
    <t>Çikolatalı Baton Pasta</t>
  </si>
  <si>
    <t>Çikolatalı Mini Pasta</t>
  </si>
  <si>
    <t xml:space="preserve">Tek kişilik </t>
  </si>
  <si>
    <t>Malaga Pasta</t>
  </si>
  <si>
    <t>Meyveli Baton Pasta</t>
  </si>
  <si>
    <t>Meyveli Mini Pasta</t>
  </si>
  <si>
    <t>Çikolatalı Pasta (No.0)</t>
  </si>
  <si>
    <t>Meyveli Pasta (No.0)</t>
  </si>
  <si>
    <t>Çikolatalı Pasta (No.1)</t>
  </si>
  <si>
    <t>Meyveli Pasta (No.1)</t>
  </si>
  <si>
    <t>Meyveli Pasta (No.2) - Şu anda mevcut değil.</t>
  </si>
  <si>
    <t>Galeta (Paket)</t>
  </si>
  <si>
    <t xml:space="preserve">175 gr. </t>
  </si>
  <si>
    <t>Fuse Tea (33 cl.) - Şu anda mevcut değil.</t>
  </si>
  <si>
    <t>Sprite (1 L.) - Şu anda mevcut değil.</t>
  </si>
  <si>
    <t>Malatya Kurabiyesi (1 kg.)</t>
  </si>
  <si>
    <t>Mini Kurabiye (1 kg.)</t>
  </si>
  <si>
    <t>Kandil Simidi (1 kg.) - Şu anda mevcut değil.</t>
  </si>
  <si>
    <t>Yaprak Galeta (1 kg.)</t>
  </si>
  <si>
    <t>Frambuazlı Triliçe (1 kg.)</t>
  </si>
  <si>
    <t>Karamelli Triliçe (1 kg.) - Şu anda mevcut değil.</t>
  </si>
  <si>
    <t>Cevizli Ev Baklavası (1 kg.)</t>
  </si>
  <si>
    <t>Cevizli Kesme (1 kg.)</t>
  </si>
  <si>
    <t>65,00 TL</t>
  </si>
  <si>
    <t>Cevizli Dürüm (1 kg.)</t>
  </si>
  <si>
    <t>Fıstıklı Kaymaklı Şöbiyet (1 kg.)</t>
  </si>
  <si>
    <t>105,00 TL</t>
  </si>
  <si>
    <t>Fıstıklı Kesme (1 kg.)</t>
  </si>
  <si>
    <t>Fıstıklı Dilber Dudağı (1 kg.)</t>
  </si>
  <si>
    <t>Fıstıklı Havuç Dilimi (1 kg.) - Şu anda mevcut değil.</t>
  </si>
  <si>
    <t>Cevizli Parmak Kadayıf (1 kg.)</t>
  </si>
  <si>
    <t>Fıstıklı Diyarbakır Kadayıf (1 kg.)</t>
  </si>
  <si>
    <t>Cevizli Sütlü Kadayıf (1 kg.)</t>
  </si>
  <si>
    <t>Tulumba (1 kg.)</t>
  </si>
  <si>
    <t>Cevizli Yassı Kadayıf (1 kg.)</t>
  </si>
  <si>
    <t>Cevzili Havuç Dilimi (1 kg.) - Şu anda mevcut değil.</t>
  </si>
  <si>
    <t>Cevizli Süleymani (1 kg.)</t>
  </si>
  <si>
    <t>Merdane Lahmacun</t>
  </si>
  <si>
    <t xml:space="preserve">Yeşillik, limon ile </t>
  </si>
  <si>
    <t>Malatya Lahmacun</t>
  </si>
  <si>
    <t xml:space="preserve">Kuşbaşı, kıyma, kaşar peyniri. Yeşillik, limon ile </t>
  </si>
  <si>
    <t>Sucuklu Pide</t>
  </si>
  <si>
    <t>Sucuklu Kaşarlı Pide</t>
  </si>
  <si>
    <t>Fındık Lahmacun - Şu anda mevcut değil.</t>
  </si>
  <si>
    <t>Meyveli Soda (20 cl.) - Şu anda mevcut değil.</t>
  </si>
  <si>
    <t xml:space="preserve">Alinazik, közlenmiş biber, közlenmiş domates, mevsim salata, bulgur pilavı, acılı ezme, soğan piyazı ile </t>
  </si>
  <si>
    <t xml:space="preserve">Tavuk şiş, ciğer şiş, haşhaşlı kebap, Adana kebap veya Urfa kebap. Alinazik, közlenmiş biber, közlenmiş domates, mevsim salata, bulgur pilavı, acılı ezme, soğan piyazı ile </t>
  </si>
  <si>
    <t xml:space="preserve">Közlenmiş biber ile </t>
  </si>
  <si>
    <t xml:space="preserve">Acısız kıymadan. Alinazik, közlenmiş biber, közlenmiş domates, mevsim salata, bulgur pilavı, acılı ezme, soğan piyazı ile </t>
  </si>
  <si>
    <t>15,30 TL</t>
  </si>
  <si>
    <t>Vodafone Menüsü (Tavuk Şiş Dürüm) - Şu anda mevcut değil.</t>
  </si>
  <si>
    <t>Antep Beyran Çorbası - Şu anda mevcut değil.</t>
  </si>
  <si>
    <t>Haşhaşlı Kebap</t>
  </si>
  <si>
    <t>Haşhaşlı Dürüm</t>
  </si>
  <si>
    <t>Kuşbaşı Dürüm - Şu anda mevcut değil.</t>
  </si>
  <si>
    <t>Fırın Sütlaç - Şu anda mevcut değil.</t>
  </si>
  <si>
    <t xml:space="preserve">110 gr. dana ciğer, soğan, domates. Biber turşusu ile </t>
  </si>
  <si>
    <t>Torpilli Dürüm</t>
  </si>
  <si>
    <t xml:space="preserve">150 gr. çiğ köfte, çift lavaş, yeşillik, sos </t>
  </si>
  <si>
    <t>Set 1</t>
  </si>
  <si>
    <t xml:space="preserve">500 gr. çiğ köfte, yeşillik, 4 adet lavaş, marul, 2 adet sos </t>
  </si>
  <si>
    <t xml:space="preserve">100 gr. çiğ köfte, yeşillik, sos </t>
  </si>
  <si>
    <t xml:space="preserve">4 adet sos ile </t>
  </si>
  <si>
    <t>Aile Çiğ Köfte Dürüm Paketi Menü</t>
  </si>
  <si>
    <t xml:space="preserve">3 Adet Duble Çiğ Köfte Dürüm + 3 Adet Ayran (28.5 cl.) </t>
  </si>
  <si>
    <t>43,00 TL</t>
  </si>
  <si>
    <t>Set Yarım</t>
  </si>
  <si>
    <t xml:space="preserve">250 gr. çiğ köfte, yeşillik, 2 adet lavaş, 1/2 marul, sos </t>
  </si>
  <si>
    <t>Set 2</t>
  </si>
  <si>
    <t xml:space="preserve">750 gr. çiğ köfte, yeşillik, 6 adet lavaş, marul, sos </t>
  </si>
  <si>
    <t xml:space="preserve">1 kg. çiğ köfte, 8 adet lavaş, marul, yeşillik tabağı, 4 adet sos </t>
  </si>
  <si>
    <t>Geniş Aile (1,5 kg.)</t>
  </si>
  <si>
    <t xml:space="preserve">Marul, nane, maydanoz, domates, biber turşusu, limon, 16 adet lavaş, 4 adet nar ekşisi ile </t>
  </si>
  <si>
    <t>Lavaş (Adet)</t>
  </si>
  <si>
    <t>0,75 TL</t>
  </si>
  <si>
    <t>Yayık Ayran (30 cl.)</t>
  </si>
  <si>
    <t>Acılı Şalgam Suyu (2 L.)</t>
  </si>
  <si>
    <t>Menü 1</t>
  </si>
  <si>
    <t xml:space="preserve">Et Tantuni + Yarım Çiğ Köfte + Ayran (30 cl.) </t>
  </si>
  <si>
    <t>Menü 2</t>
  </si>
  <si>
    <t xml:space="preserve">Tavuk Tantuni + Yarım Çiğ Köfte + Ayran (30 cl.) </t>
  </si>
  <si>
    <t>Menü 3</t>
  </si>
  <si>
    <t xml:space="preserve">Yarım Ekmek Arası Et Tantuni + Patates Kızartması (Küçük) + İçecek </t>
  </si>
  <si>
    <t>Menü 4</t>
  </si>
  <si>
    <t xml:space="preserve">Yarım Ekmek Arası Tavuk Tantuni + Patates Kızartması (Küçük) + İçecek </t>
  </si>
  <si>
    <t>Günün Menüsü</t>
  </si>
  <si>
    <t xml:space="preserve">Ana Yemek + Yardımcı Yemek + Salata veya Cacık + Ayran (20 cl.) </t>
  </si>
  <si>
    <t>Kuru Fasulye Menü</t>
  </si>
  <si>
    <t xml:space="preserve">Kuru Fasulye + Pilav + Turşu + Ayran (30 cl.) </t>
  </si>
  <si>
    <t>Mercimek Çorbası</t>
  </si>
  <si>
    <t xml:space="preserve">Tereyağlı </t>
  </si>
  <si>
    <t>Ezogelin Çorbası</t>
  </si>
  <si>
    <t>Yarım Ekmek Arası Et Tantuni</t>
  </si>
  <si>
    <t xml:space="preserve">İsteğe göre maydanoz, domates, soğan. Karışık turşu, limon, biber, turp, havuç, yeşillik ile </t>
  </si>
  <si>
    <t>Et Tantuni Dürüm</t>
  </si>
  <si>
    <t>Yoğurtlu Et Tantuni</t>
  </si>
  <si>
    <t xml:space="preserve">Karışık turşu, limon, biber, turp, havuç, yeşillik ile </t>
  </si>
  <si>
    <t>Yarım Ekmek Arası Sucuk Tantuni</t>
  </si>
  <si>
    <t>Yarım Ekmek Arası Tavuk Tantuni</t>
  </si>
  <si>
    <t>Yoğurtlu Tavuk Tantuni</t>
  </si>
  <si>
    <t>Salatalık Cacığı</t>
  </si>
  <si>
    <t>Çoban Salata</t>
  </si>
  <si>
    <t xml:space="preserve">Domates, salatalık, yeşilbiber, maydanoz, zeytinyağı, isteğe göre soğan </t>
  </si>
  <si>
    <t>Mevsim Salata</t>
  </si>
  <si>
    <t xml:space="preserve">Mevsim yeşillikleri, domates, zeytinyağı, isteğe göre soğan </t>
  </si>
  <si>
    <t>Karışık Turşu (250 gr.)</t>
  </si>
  <si>
    <t xml:space="preserve">Lahana, havuç, salatalık, domates, isteğe göre biber </t>
  </si>
  <si>
    <t>Karışık Turşu (500 gr.)</t>
  </si>
  <si>
    <t>Karışık Turşu (1 kg.)</t>
  </si>
  <si>
    <t xml:space="preserve">Beyaz lahana, havuç, salatalık turşusu, biberiye, limon, domates, lavaş </t>
  </si>
  <si>
    <t xml:space="preserve">Iceberg marul, limon, nar ekşisi </t>
  </si>
  <si>
    <t>Sade Künefe</t>
  </si>
  <si>
    <t>Kaymaklı Künefe</t>
  </si>
  <si>
    <t>Dondurmalı Künefe</t>
  </si>
  <si>
    <t xml:space="preserve">100 gr. dondurma ile </t>
  </si>
  <si>
    <t>Kaymaklı Gül Katmeri</t>
  </si>
  <si>
    <t>Fıstıklı Burma Kadayıf</t>
  </si>
  <si>
    <t>Dondurmalı Fıstıklı Kadayıf</t>
  </si>
  <si>
    <t>Coca-Cola (30 cl.)</t>
  </si>
  <si>
    <t>Coca-Cola (20 cl.) (Cam Şişe)</t>
  </si>
  <si>
    <t>Pepsi (30 cl.)</t>
  </si>
  <si>
    <t>Pepsi Light (30 cl.)</t>
  </si>
  <si>
    <t>Pepsi Max (30 cl.)</t>
  </si>
  <si>
    <t>Yedigün (30 cl.)</t>
  </si>
  <si>
    <t>Pepsi (20 cl.)</t>
  </si>
  <si>
    <t>Yedigün (20 cl.)</t>
  </si>
  <si>
    <t>Fruko (30 cl.)</t>
  </si>
  <si>
    <t>Tropicana (30 cl.)</t>
  </si>
  <si>
    <t>Lipton Ice Tea (25 cl.)</t>
  </si>
  <si>
    <t>Sütaş Ayran (30 cl.)</t>
  </si>
  <si>
    <t>Yayık Ayran</t>
  </si>
  <si>
    <t>Pepsi (1,5 L.)</t>
  </si>
  <si>
    <t>Su (1,5 L.)</t>
  </si>
  <si>
    <t>Hatay Usulü Zurna Tavuk Döner Dürüm</t>
  </si>
  <si>
    <t xml:space="preserve">Tavuk döner, mevsim yeşillikleri, patates kızartması, özel sos, mayonez </t>
  </si>
  <si>
    <t>Zurna Et Döner Dürüm</t>
  </si>
  <si>
    <t xml:space="preserve">Et döner, mevsim yeşillikleri, patates kızartması, turşu, soğan, sos, mayonez </t>
  </si>
  <si>
    <t>Psikopat Tavuk Döner Dürüm</t>
  </si>
  <si>
    <t xml:space="preserve">Tavuk döner, mevsim yeşillikleri, patates kızartması, özel acı sos, mayonez </t>
  </si>
  <si>
    <t>Hatay Usulü Tavuk Döner Dürüm</t>
  </si>
  <si>
    <t>Et Döner Sandviç</t>
  </si>
  <si>
    <t>Kaşarlı Tavuk Döner Dürüm</t>
  </si>
  <si>
    <t xml:space="preserve">Tavuk döner, mevsim yeşillikleri, patates kızartması, özel sos, mayonez, kaşar peyniri </t>
  </si>
  <si>
    <t>Cheddarlı Tavuk Döner Dürüm</t>
  </si>
  <si>
    <t xml:space="preserve">Tavuk döner, mevsim yeşillikleri, patates kızartması, özel sos, mayonez, cheddar peyniri </t>
  </si>
  <si>
    <t>Tavuk Döner Sandviç</t>
  </si>
  <si>
    <t>İzmir Kumru Sandviç</t>
  </si>
  <si>
    <t xml:space="preserve">Kızartılmış sosis, sucuk, salam, kızartılmış kaşar peyniri, turşu, ketçap, mayonez </t>
  </si>
  <si>
    <t>18,50 TL</t>
  </si>
  <si>
    <t>Kaşarlı Patso Sandviç</t>
  </si>
  <si>
    <t xml:space="preserve">Patates kızartması, ketçap, mayonez </t>
  </si>
  <si>
    <t>Chicken Burger Menü</t>
  </si>
  <si>
    <t xml:space="preserve">Chicken Burger + Patates Cipsi + İçecek </t>
  </si>
  <si>
    <t>Karışık Ayvalık Tostu</t>
  </si>
  <si>
    <t xml:space="preserve">Haşlanmış sosis, sucuk, salam, kaşar peyniri, ketçap, mayonez, turşu, domates </t>
  </si>
  <si>
    <t>Ayvalık Menü</t>
  </si>
  <si>
    <t xml:space="preserve">Ayvalık Tostu + Patates Cipsi + İçecek </t>
  </si>
  <si>
    <t>Sucuklu Ayvalık Menü</t>
  </si>
  <si>
    <t xml:space="preserve">Sucuklu Ayvalık Tostu + Patates Cipsi + İçecek </t>
  </si>
  <si>
    <t>Sucuklu Kaşarlı Ayvalık Menü</t>
  </si>
  <si>
    <t xml:space="preserve">Sucuklu Kaşarlı Ayvalık Tostu + Patates Cipsi + İçecek </t>
  </si>
  <si>
    <t>Kaşarlı Schnitzelli Ayvalık Menü</t>
  </si>
  <si>
    <t xml:space="preserve">Kaşarlı Schnitzelli Ayvalık Tostu + Patates Cipsi + İçecek </t>
  </si>
  <si>
    <t>Kaşarlı Kavurmalı Ayvalık Menü</t>
  </si>
  <si>
    <t xml:space="preserve">Kaşarlı Kavurmalı Ayvalık Tostu + Patates Cipsi + İçecek </t>
  </si>
  <si>
    <t>Kumru Sandviç Menü</t>
  </si>
  <si>
    <t xml:space="preserve">Kumru Sandviç + Patates Cipsi + İçecek </t>
  </si>
  <si>
    <t xml:space="preserve">Hamburger + Patates Cipsi + İçecek </t>
  </si>
  <si>
    <t>Cheeseburger Menü</t>
  </si>
  <si>
    <t xml:space="preserve">Cheeseburger + Patates Cipsi + İçecek </t>
  </si>
  <si>
    <t>Kaşarlı Ayvalık Tostu</t>
  </si>
  <si>
    <t xml:space="preserve">Ketçap, mayonez, domates </t>
  </si>
  <si>
    <t>Sucuklu Ayvalık Tostu</t>
  </si>
  <si>
    <t xml:space="preserve">Ketçap, mayonez, turşu, domates </t>
  </si>
  <si>
    <t>Sucuklu Kaşarlı Ayvalık Tostu</t>
  </si>
  <si>
    <t>Kaşarlı Schnitzelli Ayvalık Tostu</t>
  </si>
  <si>
    <t xml:space="preserve">Marul, turşu, domates, ketçap, mayonez </t>
  </si>
  <si>
    <t>Hamburger</t>
  </si>
  <si>
    <t xml:space="preserve">Hamburger eti, marul, domates, turşu, hardal, soğan, ketçap, mayonez </t>
  </si>
  <si>
    <t xml:space="preserve">Hamburger eti, marul, domates, turşu, hardal, soğan, ketçap, mayonez, cheddar peyniri </t>
  </si>
  <si>
    <t>Chicken Burger</t>
  </si>
  <si>
    <t xml:space="preserve">Tavuk eti, marul, domates, turşu, hardal, soğan, ketçap, mayonez </t>
  </si>
  <si>
    <t>Nugget (6 Adet)</t>
  </si>
  <si>
    <t>Soğan Halkası (6 Adet)</t>
  </si>
  <si>
    <t>Cevizli Baklava</t>
  </si>
  <si>
    <t>Fıstıklı Baklava</t>
  </si>
  <si>
    <t>Tereyağlı Fıstıklı Baklava</t>
  </si>
  <si>
    <t>Soğuk Baklava</t>
  </si>
  <si>
    <t>Fıstıklı Sarma</t>
  </si>
  <si>
    <t>Fıstıklı Yaprak</t>
  </si>
  <si>
    <t>Fıstıklı Cimcik</t>
  </si>
  <si>
    <t>Fıstıklı Ağzı Açık Şöbiyet</t>
  </si>
  <si>
    <t>Fıstıklı Patates</t>
  </si>
  <si>
    <t>Fıstıklı Midye</t>
  </si>
  <si>
    <t>Diyarbakır Kadayıf</t>
  </si>
  <si>
    <t>Havuç Dilimli Baklava</t>
  </si>
  <si>
    <t>Çikolatalı Yaş Pasta (1-2 Kişilik)</t>
  </si>
  <si>
    <t>Muzlu Yaş Pasta (1-2 Kişilik)</t>
  </si>
  <si>
    <t>Meyveli Yaş Pasta (1-2 Kişilik)</t>
  </si>
  <si>
    <t>Çikolatalı Yaş Pasta (2-4 Kişilik)</t>
  </si>
  <si>
    <t>Muzlu Yaş Pasta (2-4 Kişilik)</t>
  </si>
  <si>
    <t>Meyveli Yaş Pasta (2-4 Kişilik)</t>
  </si>
  <si>
    <t>Çikolatalı Yaş Pasta (4-6 Kişilik)</t>
  </si>
  <si>
    <t>Muzlu Yaş Pasta (4-6 Kişilik)</t>
  </si>
  <si>
    <t>Meyveli Yaş Pasta (4-6 Kişilik)</t>
  </si>
  <si>
    <t>Çikolatalı Yaş Pasta (6-8 Kişilik)</t>
  </si>
  <si>
    <t>Muzlu Yaş Pasta (6-8 Kişilik)</t>
  </si>
  <si>
    <t>Meyveli Yaş Pasta (6-8 Kişilik)</t>
  </si>
  <si>
    <t>Çikolatalı Baton Yaş Pasta (6-9 Kişilik)</t>
  </si>
  <si>
    <t>Muzlu Baton Yaş Pasta (6-9 Kişilik)</t>
  </si>
  <si>
    <t>Meyveli Baton Yaş Pasta (6-9 Kişilik)</t>
  </si>
  <si>
    <t>Dondurma (1 kg.)</t>
  </si>
  <si>
    <t xml:space="preserve">Antep fıstığı, karamel, sade, karadut, kakao, limon, çilek </t>
  </si>
  <si>
    <t>Dondurma (250 gr.)</t>
  </si>
  <si>
    <t>Dondurma (500 gr.)</t>
  </si>
  <si>
    <t>Pepsi Light (1 L.)</t>
  </si>
  <si>
    <t>Pepsi Max (1 L.)</t>
  </si>
  <si>
    <t>Fruko (1 L.)</t>
  </si>
  <si>
    <t>Tereyağlı Fıstıklı Baklava (Tepsi)</t>
  </si>
  <si>
    <t xml:space="preserve">Tepsi ücreti 26 TL'dir. </t>
  </si>
  <si>
    <t>280,00 TL</t>
  </si>
  <si>
    <t>Soğuk Baklava (Tepsi)</t>
  </si>
  <si>
    <t>Fıstıklı Sarma (Tepsi)</t>
  </si>
  <si>
    <t>Fıstıklı Yaprak Baklava (Tepsi)</t>
  </si>
  <si>
    <t>Fıstıklı Cimcik (Tepsi)</t>
  </si>
  <si>
    <t>Fıstıklı Ağzı Açık Şöbiyet (Tepsi)</t>
  </si>
  <si>
    <t>Fıstıklı Patates (Tepsi)</t>
  </si>
  <si>
    <t>Fıstıklı Midye (Tepsi)</t>
  </si>
  <si>
    <t>Diyarbakır Kadayıf (Tepsi)</t>
  </si>
  <si>
    <t>180,00 TL</t>
  </si>
  <si>
    <t>Havuç Dilimli Baklava (Tepsi)</t>
  </si>
  <si>
    <t>Tereyağlı Fıstıklı Baklava (1 kg.)</t>
  </si>
  <si>
    <t>Fıstıklı Sarma (1 kg.)</t>
  </si>
  <si>
    <t>Fıstıklı Yaprak Baklava (1 kg.)</t>
  </si>
  <si>
    <t>Fıstıklı Cimcik (1 kg.)</t>
  </si>
  <si>
    <t>Fıstıklı Ağzı Açık Şöbiyet (1 kg.)</t>
  </si>
  <si>
    <t>Fıstıklı Patates (1 kg.)</t>
  </si>
  <si>
    <t>Fıstıklı Midye (1 kg.)</t>
  </si>
  <si>
    <t>Diyarbakır Kadayıf (1 kg.)</t>
  </si>
  <si>
    <t>Havuç Dilimli Baklava (1 kg.)</t>
  </si>
  <si>
    <t>Cevizli Baklava (4 kg.)</t>
  </si>
  <si>
    <t>Fıstıklı Baklava (4 kg.)</t>
  </si>
  <si>
    <t xml:space="preserve">3 adet lavaş, 150 gr. çiğ köfte, göbek marul, kuzu kulağı, nane, nar ekşisi, acı sos. Salatalık turşusu, biber turşusu ile </t>
  </si>
  <si>
    <t xml:space="preserve">2 adet lavaş, 100 gr. çiğ köfte, göbek marul, nane, kuzukulağı, acı sos, nar ekşisi. Salatalık turşusu, biber turşusu ile </t>
  </si>
  <si>
    <t xml:space="preserve">2 adet lavaş, 125 gr. çiğ köfte, göbek, marul, nane, kuzu kulağı, limon, acı sos, nar ekşisi. Salatalık turşusu, biber turşusu ile </t>
  </si>
  <si>
    <t>Aile Boyu Çiğ Köfte (500 gr.)</t>
  </si>
  <si>
    <t xml:space="preserve">Yeşillik, domates, salatalık, 8 adet lavaş, limon, nar ekşisi, acı sos, göbek marul, salatalık turşusu, biber turşusu ile </t>
  </si>
  <si>
    <t>Aile Boyu Çiğ Köfte (750 gr.)</t>
  </si>
  <si>
    <t xml:space="preserve">12 adet lavaş, göbek marul, nane, kuzu kulağı, maydanoz, nar ekşisi, acı sos, salatalık turşusu, biber turşusu ile </t>
  </si>
  <si>
    <t>Seçilmiş Menü (Aile Boyu Çiğ Köfte - 500 gr.) - Şu anda mevcut değil.</t>
  </si>
  <si>
    <t xml:space="preserve">Aile Boyu Çiğ Köfte (500 gr.) + Coca-Cola (1 L.) </t>
  </si>
  <si>
    <t>Seçilmiş Menü (Çiğ Köfte (250 gr.) - Şu anda mevcut değil.</t>
  </si>
  <si>
    <t xml:space="preserve">Çiğ Köfte (250 gr.) + Coca-Cola (33 cl.) </t>
  </si>
  <si>
    <t>13,20 TL</t>
  </si>
  <si>
    <t xml:space="preserve">Yeşillik, domates, salatalık, 3 adet lavaş, limon, nar ekşisi, acı sos, salatalık turşusu, göbek marul, biber turşusu ile </t>
  </si>
  <si>
    <t xml:space="preserve">Yeşillik, domates, salatalık, 6 adet lavaş, limon, nar ekşisi, acı sos, göbek marul, salatalık turşusu, biber turşusu ile </t>
  </si>
  <si>
    <t>Aile Boyu Çiğ Köfte (1 kg.)</t>
  </si>
  <si>
    <t xml:space="preserve">Yeşillik, domates, salatalık,16 adet lavaş, limon, nar ekşisi, acı sos, göbek marul, salatalık turşusu, biber turşusu ile </t>
  </si>
  <si>
    <t>Battalbey Nar Ekşisi (1 kg.)</t>
  </si>
  <si>
    <t xml:space="preserve">Kutu </t>
  </si>
  <si>
    <t>Sütaş Ayran (20 cl.)</t>
  </si>
  <si>
    <t>Adana Fıçı Şalgam Suyu (2 L.)</t>
  </si>
  <si>
    <t xml:space="preserve">100 gr. çiğ köfte, göbek marul, roka, maydanoz, domates, nar ekşisi </t>
  </si>
  <si>
    <t xml:space="preserve">Çift lavaşa; 120 gr. çiğ köfte, göbek marul, roka, maydanoz, domates, nar ekşisi </t>
  </si>
  <si>
    <t>Duble Çiğ Köfte Dürüm</t>
  </si>
  <si>
    <t xml:space="preserve">3 lavaşa; 150 gr. çiğ köfte, göbek marul, roka, domates, maydanoz, nar ekşisi </t>
  </si>
  <si>
    <t xml:space="preserve">3 adet lavaş, göbek marul, domates, roka, maydanoz, limon, nar ekşisi ile </t>
  </si>
  <si>
    <t xml:space="preserve">5 adet lavaş, göbek marul, domates, roka, maydanoz, limon, nar ekşisi ile </t>
  </si>
  <si>
    <t xml:space="preserve">6 adet lavaş, göbek marul, domates, roka, maydanoz, limon, nar ekşisi ile </t>
  </si>
  <si>
    <t xml:space="preserve">9 adet lavaş, göbek marul, domates, roka, maydanoz, limon, nar ekşisi ile </t>
  </si>
  <si>
    <t xml:space="preserve">15 adet lavaş, göbek marul, domates, roka, maydanoz, limon, nar ekşisi ile </t>
  </si>
  <si>
    <t>Acılı Şalgam Suyu (30 cl.)</t>
  </si>
  <si>
    <t>Yayık Ayranı (33 cl.)</t>
  </si>
  <si>
    <t xml:space="preserve">120 gr. çiğ köfte, göbek marul, domates, salatalık, nane, maydonoz, limon, nar ekşisi </t>
  </si>
  <si>
    <t xml:space="preserve">200 gr. çiğ köfte, göbek marul, domates, salatalık, nane, maydonoz, limon, nar ekşisi </t>
  </si>
  <si>
    <t xml:space="preserve">Nar ekşisi, acı sos, lavaş, acı biber turşusu, göbek marul, maydonoz, nane, limon, domates, salatalık ile </t>
  </si>
  <si>
    <t>Seçilmiş Menü (Çiğ Köfte (500 gr.))</t>
  </si>
  <si>
    <t xml:space="preserve">Çiğ Köfte (500 gr.) + Coca-Cola (33 cl.) </t>
  </si>
  <si>
    <t>Seçilmiş Menü (Çiğ Köfte (300 gr.))</t>
  </si>
  <si>
    <t xml:space="preserve">Çiğ Köfte (300 gr.) + Coca-Cola (33 cl.) </t>
  </si>
  <si>
    <t>19,50 TL</t>
  </si>
  <si>
    <t>Seçilmiş Menü (Duble Çiğ Köfte Dürüm)</t>
  </si>
  <si>
    <t xml:space="preserve">Duble Çiğ Köfte Dürüm + Coca-Cola (33 cl.) </t>
  </si>
  <si>
    <t xml:space="preserve">150 gr. çiğ köfte, göbek marul, domates, salatalık, nane, maydonoz, limon, nar ekşisi </t>
  </si>
  <si>
    <t>Yufka (Adet)</t>
  </si>
  <si>
    <t>Tatnar Nar Ekşisi (1 L.)</t>
  </si>
  <si>
    <t>Didi Limon (25 cl.)</t>
  </si>
  <si>
    <t>4,50 TL</t>
  </si>
  <si>
    <t>Ev Yapımı Şalgam Suyu (28,5 cl.)</t>
  </si>
  <si>
    <t>Yayık Ayran (Açık)</t>
  </si>
  <si>
    <t>Ev Yapımı Şalgam Suyu (2 L.)</t>
  </si>
  <si>
    <t>Ev Yapımı Şalgam Suyu (5 L.)</t>
  </si>
  <si>
    <t>Seçilmiş Menü (Double Çiğ Köfte Dürüm)</t>
  </si>
  <si>
    <t xml:space="preserve">Double Çiğ Köfte Dürüm + Coca-Cola (33 cl.) </t>
  </si>
  <si>
    <t>49,50 TL</t>
  </si>
  <si>
    <t>Çiğ Köfte (180 gr.)</t>
  </si>
  <si>
    <t>Yayık Ayran (20 cl.)</t>
  </si>
  <si>
    <t xml:space="preserve">Açık ayran </t>
  </si>
  <si>
    <t>Coca-Cola (2,5 L.)</t>
  </si>
  <si>
    <t>Fanta (2,5 L.)</t>
  </si>
  <si>
    <t>Ev Yapımı Acılı Şalgam Suyu (2 L.)</t>
  </si>
  <si>
    <t>Ev Yapımı Acılı Şalgam Suyu (5 L.)</t>
  </si>
  <si>
    <t xml:space="preserve">Biber turşusu </t>
  </si>
  <si>
    <t xml:space="preserve">İsteğe göre soğan, közlenmiş biber </t>
  </si>
  <si>
    <t xml:space="preserve">Mevsim salata, pirinç pilavı, patates kızartması, biber turşusu, soğan söğüş ile </t>
  </si>
  <si>
    <t xml:space="preserve">Mevsim salata, pirinç pilavı, soğan, domates, biber ile </t>
  </si>
  <si>
    <t>Seçilmiş Menü (Tavuk Döner Dürüm) - Şu anda mevcut değil.</t>
  </si>
  <si>
    <t>Vodafone Menüsü (Et Döner Dürüm) - Şu anda mevcut değil.</t>
  </si>
  <si>
    <t xml:space="preserve">Et Döner Dürüm + Ayran (30 cl.) (Kampanya koşulları için restoranın Promosyonlar bölümüne göz atınız. İndirimli fiyat ürün sepete eklendikten sonra uygulanır.) </t>
  </si>
  <si>
    <t xml:space="preserve">Mevsim salata, patates kızartması, biber turşusu, soğan söğüş ile </t>
  </si>
  <si>
    <t xml:space="preserve">İsteğe göre soğan ile </t>
  </si>
  <si>
    <t>İskender (Tavuk Dönerden)</t>
  </si>
  <si>
    <t>Tavuk Kanat (7 Adet)</t>
  </si>
  <si>
    <t xml:space="preserve">Kuşbaşı, Adana kebap, ciğer, ızgara köfte. Közlenmiş biber, domates, soğan, salata ile </t>
  </si>
  <si>
    <t>Karışık Izgara (2 Kişilik)</t>
  </si>
  <si>
    <t xml:space="preserve">Adana kebap, ızgara köfte, kuşbaşı, ciğer şiş, tavuk şiş, tavuk döner. Mevsim salata, soğan salatası, közlenmiş domates, közlenmiş biber ile </t>
  </si>
  <si>
    <t>Karışık Izgara (4 Kişilik)</t>
  </si>
  <si>
    <t xml:space="preserve">Adana kebap, kuşbaşı kebap, ızgara köfte, ciğer şiş, ızgara kanat, Urfa kebap, tavuk döner. Mevsim salatası, soğan saltası, közlenmiş biber, közlenmiş domates ile </t>
  </si>
  <si>
    <t>Kuşbaşı Şiş Dürüm</t>
  </si>
  <si>
    <t>İskender (Köfteden)</t>
  </si>
  <si>
    <t xml:space="preserve">Mevsim salata, patates kızartması, biber turşusu, salatalık turşusu, soğan söğüş ile </t>
  </si>
  <si>
    <t>Köfte Dürüm</t>
  </si>
  <si>
    <t>Pirinç Pilavı</t>
  </si>
  <si>
    <t>Özel Sos</t>
  </si>
  <si>
    <t>Tavuk Döner (1 kg.)</t>
  </si>
  <si>
    <t>150,00 TL</t>
  </si>
  <si>
    <t>Adana Kebap (1 kg.) (Pişirilmiş)</t>
  </si>
  <si>
    <t>Tavuk Döner (500 gr.)</t>
  </si>
  <si>
    <t>Adana Kebap (500 gr.)</t>
  </si>
  <si>
    <t>Köfte (500 gr.)</t>
  </si>
  <si>
    <t>Lahmacun</t>
  </si>
  <si>
    <t xml:space="preserve">Mevsim salata, maydanoz, limon ile </t>
  </si>
  <si>
    <t xml:space="preserve">Patates kızartması, mevsim salata </t>
  </si>
  <si>
    <t>Kavurmalı Kaşarlı Pide</t>
  </si>
  <si>
    <t>Sucuklu Yumurtalı Pide</t>
  </si>
  <si>
    <t>Kavurmalı Pide</t>
  </si>
  <si>
    <t xml:space="preserve">Kuşbaşı, kaşar peyniri, sucuk, kıyma </t>
  </si>
  <si>
    <t>Yarım Ekmek Arası Et Tantuni Menü</t>
  </si>
  <si>
    <t xml:space="preserve">Yarım Ekmek Arası Et Tantuni + Patates Kızartması + Sütaş Ayran (30 cl.) </t>
  </si>
  <si>
    <t>Yarım Ekmek Arası Tavuk Tantuni Menü</t>
  </si>
  <si>
    <t xml:space="preserve">Yarım Ekmek Arası Tavuk Tantuni + Patates Kızartması + Sütaş Ayran (30 cl.) </t>
  </si>
  <si>
    <t xml:space="preserve">Yarım Ekmek Arası Et Tantuni + Patates Kızartması + Kutu içecek </t>
  </si>
  <si>
    <t xml:space="preserve">Yarım Ekmek Arası Tavuk Tantuni + Patates Kızartması + Kutu içecek </t>
  </si>
  <si>
    <t xml:space="preserve">Tavuk Tantuni Dürüm + Patates Kızartması + Kutu içecek </t>
  </si>
  <si>
    <t xml:space="preserve">Et Tantuni Dürüm + Patates Kızartması + Kutu içecek </t>
  </si>
  <si>
    <t>Et Tantuni Burger Menü</t>
  </si>
  <si>
    <t xml:space="preserve">Et Tantuni Burger + Patates Kızartması + Kutu içecek </t>
  </si>
  <si>
    <t>Tavuk Tantuni Burger Menü</t>
  </si>
  <si>
    <t xml:space="preserve">Tavuk Tantuni Burger + Patates Kızartması + Kutu içecek </t>
  </si>
  <si>
    <t xml:space="preserve">Domates, maydanoz, soğan. Salatalık turşusu, lahana turşusu, havuç turşusu, domates turşusu, biber turşusu, limon ile </t>
  </si>
  <si>
    <t xml:space="preserve">Beyaz lahana, havuç, salatalık turşusu, biberiye, limon, domates </t>
  </si>
  <si>
    <t xml:space="preserve">Beyaz lahana, havuç, salatalık turşusu, biberiye, limon, domates, lavaş ekmeği ile </t>
  </si>
  <si>
    <t>Et Tantuni Burger</t>
  </si>
  <si>
    <t>Tavuk Tantuni Burger</t>
  </si>
  <si>
    <t xml:space="preserve">İsteğe göre domates, maydanoz, soğan. Salatalık turşusu, lahana turşusu, havuç turşusu, domates turşusu, biber turşusu, limon ile </t>
  </si>
  <si>
    <t xml:space="preserve">Limon, biber, salatalık turşusu, lahana turşusu </t>
  </si>
  <si>
    <t xml:space="preserve">Et Tantuni Burger + Patates Kızartması + Kutu İçecek </t>
  </si>
  <si>
    <t xml:space="preserve">Tavuk Tantuni Burger + Patates Kızartması + Kutu İçecek </t>
  </si>
  <si>
    <t>Et Tantuni Dürüm Menü</t>
  </si>
  <si>
    <t xml:space="preserve">Et Tantuni Dürüm + Patates Kızartması + Kutu İçecek </t>
  </si>
  <si>
    <t>Tavuk Tantuni Dürüm Menü</t>
  </si>
  <si>
    <t xml:space="preserve">Tavuk Tantuni Dürüm + Patates Kızartması + Kutu İçecek </t>
  </si>
  <si>
    <t xml:space="preserve">İsteğe göre domates, maydanoz, soğan </t>
  </si>
  <si>
    <t>Kuzu Ciğer</t>
  </si>
  <si>
    <t xml:space="preserve">Közlenmiş domates, közlenmiş biber, közlenmiş soğan, çoban salata, ezme, sıcak ezme, turşu, haydari, yağlı ekmek </t>
  </si>
  <si>
    <t>Kuşbaşı</t>
  </si>
  <si>
    <t>Tavuk Kanat - Şu anda mevcut değil.</t>
  </si>
  <si>
    <t>Kuzu Ciğer Dürüm</t>
  </si>
  <si>
    <t xml:space="preserve">Limon, biber, turşu </t>
  </si>
  <si>
    <t xml:space="preserve">10 sıkım çiğ köfte, beyaz lahana, havuç, salatalık turşusu, biberiye, limon, domates, lavaş </t>
  </si>
  <si>
    <t xml:space="preserve">90 gr. burger köftesi, cheddar peyniri, marul, turşu, karamelize soğan. Patates kızartması ile </t>
  </si>
  <si>
    <t>Ateş Burger</t>
  </si>
  <si>
    <t xml:space="preserve">90 gr. burger köftesi, cheddar peyniri, karamelize soğan, soğan, turşu, marul, jalapeno biberi, acı sos. Patates kızartması ile </t>
  </si>
  <si>
    <t>28,90 TL</t>
  </si>
  <si>
    <t xml:space="preserve">90 gr. burger köftesi, kırmızı soğan, domates, turşu, marul. Patates kızartması ile </t>
  </si>
  <si>
    <t>26,90 TL</t>
  </si>
  <si>
    <t>Klasik Islak Hamburger</t>
  </si>
  <si>
    <t>8,90 TL</t>
  </si>
  <si>
    <t>Big Boss Chef's Burger</t>
  </si>
  <si>
    <t xml:space="preserve">210 gr. burger köftesi, dana antirkot dilimleri, kıtır patates. Patates kızartması ile </t>
  </si>
  <si>
    <t>Vodafone Menüsü (Klasik Burger)</t>
  </si>
  <si>
    <t xml:space="preserve">Klasik Burger + 5 Adet Soğan Halkası + Kutu İçecek (Kampanya koşulları için restoranın Promosyonlar bölümüne göz atınız. İndirimli fiyat ürün sepete eklendikten sonra uygulanır.) </t>
  </si>
  <si>
    <t>35,80 TL</t>
  </si>
  <si>
    <t>Sucuk Burger</t>
  </si>
  <si>
    <t xml:space="preserve">90 gr. sucuk, turşu, kaşar peyniri, kırmızı soğan, domates. Patates kızartması ile </t>
  </si>
  <si>
    <t xml:space="preserve">90 gr. dana antrikot dilimleri, cheddar peyniri, kıtır patates. Patates kızartması ile </t>
  </si>
  <si>
    <t>Füme Et Burger</t>
  </si>
  <si>
    <t xml:space="preserve">90 gr, burger köftesi, dana füme, kaşar peyniri, cheddar peyniri. Patates kızartması ile </t>
  </si>
  <si>
    <t>30,90 TL</t>
  </si>
  <si>
    <t xml:space="preserve">Dana bonfile dilimleri, kaşar peyniri, cheddar peyniri. Patates kızartması ile </t>
  </si>
  <si>
    <t xml:space="preserve">Izgara piliç bonfile, BigBoss sos, marul, turşu. Patates kızartması ile </t>
  </si>
  <si>
    <t>20,90 TL</t>
  </si>
  <si>
    <t>Tavuk Cheeseburger</t>
  </si>
  <si>
    <t xml:space="preserve">Izgara piliç bonfile, BigBoss sos, marul, turşu, cheddar peyniri, karamelize soğan. Patates kızartması ile </t>
  </si>
  <si>
    <t>Tavuk Ateş Burger</t>
  </si>
  <si>
    <t xml:space="preserve">Izgara piliç bonfile, BigBoss sos, marul, turşu, jalapeno biberi, acı sos. Patates kızartması ile </t>
  </si>
  <si>
    <t>23,90 TL</t>
  </si>
  <si>
    <t>Çıtır Tavuk Burger</t>
  </si>
  <si>
    <t xml:space="preserve">Panelenmiş tavuk, marul, turşu, BigBoss sos. Patates kızartması ile </t>
  </si>
  <si>
    <t>Çıtır Tavuk Cheddar Burger</t>
  </si>
  <si>
    <t xml:space="preserve">Panelenmiş tavuk, marul, turşu, BigBoss sos, cheddar peyniri, kıtır patates. Patates kızartması ile </t>
  </si>
  <si>
    <t>Çıtır Tavuk Ateş Burger</t>
  </si>
  <si>
    <t xml:space="preserve">Panelenmiş tavuk, marul, turşu, BigBoss sos, jalapeno biberi, acı sos. Patates kızartması ile </t>
  </si>
  <si>
    <t>Cheddarlı Burger</t>
  </si>
  <si>
    <t xml:space="preserve">2 adet köfte burger arasına cheddar peyniri. Patates kızartması ile </t>
  </si>
  <si>
    <t>40,90 TL</t>
  </si>
  <si>
    <t>Lokum Patron Burger</t>
  </si>
  <si>
    <t>46,90 TL</t>
  </si>
  <si>
    <t>Füme Etli Burger</t>
  </si>
  <si>
    <t xml:space="preserve">Dana burger köftesi, dana füme eti, kaşar peyniri, cheddar peyniri. Patates kızartması ile </t>
  </si>
  <si>
    <t>42,90 TL</t>
  </si>
  <si>
    <t>Brk Burger</t>
  </si>
  <si>
    <t xml:space="preserve">180 gr. dry aged dana antrikot dilimleri, 2 dilim füme et, cheddar peyniri, kaşar peyniri, kıtır kürdan patates, karamelize soğan. Patates kızartması ile </t>
  </si>
  <si>
    <t>Kaşarlı Islak Hamburger</t>
  </si>
  <si>
    <t>Cheddarlı Islak Hamburger</t>
  </si>
  <si>
    <t>10,90 TL</t>
  </si>
  <si>
    <t>Mix Kaşarlı Cheddarlı Islak Hamburger</t>
  </si>
  <si>
    <t>11,90 TL</t>
  </si>
  <si>
    <t>Steak Wrap</t>
  </si>
  <si>
    <t xml:space="preserve">150 gr. dana antrikot dilimleri, kıtır patates, soğan kırıntısı, California biberi, kaşar peyniri, cheddar peyniri, cajun baharatı </t>
  </si>
  <si>
    <t>Sucuk Burger Wrap</t>
  </si>
  <si>
    <t xml:space="preserve">150 gr. sucuk, kıtır patates, soğan kırıntısı, California biberi, kaşar peyniri </t>
  </si>
  <si>
    <t>Steak Tavuk Wrap</t>
  </si>
  <si>
    <t xml:space="preserve">150 gr. tavuk göğüs dilimleri, kıtır patates, soğan kırıntısı, California biberi, kaşar peyniri, cheddar peyniri, masala sos </t>
  </si>
  <si>
    <t>Cajun Baharatlı Elma Dilim Patates Kızartması</t>
  </si>
  <si>
    <t xml:space="preserve">350 gr. </t>
  </si>
  <si>
    <t>17,90 TL</t>
  </si>
  <si>
    <t>Parmak Patates Kızartması</t>
  </si>
  <si>
    <t>14,90 TL</t>
  </si>
  <si>
    <t>Soğan Halkası (5 Adet)</t>
  </si>
  <si>
    <t>Soğan Halkası (10 Adet)</t>
  </si>
  <si>
    <t>Çıtır Tavuk Topları (5 Adet)</t>
  </si>
  <si>
    <t xml:space="preserve">100 gr. patates kızartması ile </t>
  </si>
  <si>
    <t>Çıtır Tavuk Topları (10 Adet)</t>
  </si>
  <si>
    <t>Acılı Parmak Tavuk (3 Adet)</t>
  </si>
  <si>
    <t>Acılı Parmak Tavuk (6 Adet)</t>
  </si>
  <si>
    <t>Parmak Tavuk (3 Adet)</t>
  </si>
  <si>
    <t>Parmak Tavuk (6 Adet)</t>
  </si>
  <si>
    <t>Acılı Tavuk Kanat (3 Adet)</t>
  </si>
  <si>
    <t>18,90 TL</t>
  </si>
  <si>
    <t>Acılı Tavuk Kanat (6 Adet)</t>
  </si>
  <si>
    <t>Tavuk Kanat (3 Adet)</t>
  </si>
  <si>
    <t>Tavuk Kanat (6 Adet)</t>
  </si>
  <si>
    <t>Fruko (20 cl.) (Cam Şişe)</t>
  </si>
  <si>
    <t>Ayran (28 cl.)</t>
  </si>
  <si>
    <t>2,90 TL</t>
  </si>
  <si>
    <t xml:space="preserve">Klasik Burger + Soğan Halkası (5 Adet) + Kutu İçecek (Kampanya koşulları için restoranın Promosyonlar bölümüne göz atınız. İndirimli fiyat ürün sepete eklendikten sonra uygulanır.) </t>
  </si>
  <si>
    <t xml:space="preserve">120 gr. dana bonfile dilimleri, kaşar peyniri, cheddar peyniri. Patates kızartması ile </t>
  </si>
  <si>
    <t xml:space="preserve">120 gr. ızgara piliç bonfile, BigBoss sos, marul, turşu. Patates kızartması ile </t>
  </si>
  <si>
    <t xml:space="preserve">120 gr. ızgara piliç bonfile, BigBoss sos, marul, turşu, cheddar peyniri, karamelize soğan. Patates kızartması ile </t>
  </si>
  <si>
    <t xml:space="preserve">120 gr. ızgara piliç bonfile, BigBoss sos, marul, turşu, jalapeno biberi, acı sos. Patates kızartması ile </t>
  </si>
  <si>
    <t xml:space="preserve">120 gr. panelenmiş tavuk, marul, turşu, BigBoss sos. Patates kızartması ile </t>
  </si>
  <si>
    <t xml:space="preserve">120 gr. panelenmiş tavuk, marul, turşu, BigBoss sos, cheddar peyniri, kıtır patates. Patates kızartması ile </t>
  </si>
  <si>
    <t xml:space="preserve">120 gr. panelenmiş tavuk, marul, turşu, BigBoss sos, jalapeno biberi, acı sos. Patates kızartması ile </t>
  </si>
  <si>
    <t>Cheddarlı Patron Burger</t>
  </si>
  <si>
    <t xml:space="preserve">180 gr. 2 adet köfte burger arasına cheddar peyniri. Patates kızartması ile </t>
  </si>
  <si>
    <t xml:space="preserve">180 gr. dana bonfile dilimleri, kaşar peyniri, cheddar peyniri. Patates kızartması ile </t>
  </si>
  <si>
    <t>Füme Etli Patron Burger</t>
  </si>
  <si>
    <t xml:space="preserve">180 gr. dana burger köftesi, dana füme eti, kaşar peyniri, cheddar peyniri. Patates kızartması ile </t>
  </si>
  <si>
    <t>Brk Patron Burger</t>
  </si>
  <si>
    <t>Ekmek Arası Izgara Köfte</t>
  </si>
  <si>
    <t xml:space="preserve">120 gr. ızgara köfte, kırmızı soğan, domates, sos </t>
  </si>
  <si>
    <t>Elvan Gazoz (25 cl.)</t>
  </si>
  <si>
    <t>Uludağ Zencefilli Gazoz (25 cl.)</t>
  </si>
  <si>
    <t xml:space="preserve">Ekmek, salata, limon ile </t>
  </si>
  <si>
    <t>Et Kavurma</t>
  </si>
  <si>
    <t xml:space="preserve">Pilav, ekmek, salata, turşu ile </t>
  </si>
  <si>
    <t>Lahana Sarma</t>
  </si>
  <si>
    <t xml:space="preserve">Turşu, ekmek, salata ile </t>
  </si>
  <si>
    <t>Mantı</t>
  </si>
  <si>
    <t xml:space="preserve">Salata, ekmek, turşu ile </t>
  </si>
  <si>
    <t>Patlıcan Tava</t>
  </si>
  <si>
    <t xml:space="preserve">Pirinç pilavı, salata, ekmek ile </t>
  </si>
  <si>
    <t>Seçilmiş Menü (Kaşarlı Gözleme)</t>
  </si>
  <si>
    <t xml:space="preserve">Kaşarlı Gözleme + Coca-Cola (33 cl.) </t>
  </si>
  <si>
    <t>13,50 TL</t>
  </si>
  <si>
    <t>Vodafone Menüsü (Mantı)</t>
  </si>
  <si>
    <t xml:space="preserve">Mantı + Kutu İçecek (Kampanya koşulları için restoranın Promosyonlar bölümüne göz atınız. İndirimli fiyat ürün sepete eklendikten sonra uygulanır.) </t>
  </si>
  <si>
    <t>Tavuk Köftesi</t>
  </si>
  <si>
    <t xml:space="preserve">Tavuk Köftesi (Pilav, ekmek, salata) + Patates Kızartması + Ayran (30 cl.) </t>
  </si>
  <si>
    <t>Et Ezme</t>
  </si>
  <si>
    <t xml:space="preserve">Et Ezme + Günün Pilavı + Salata veya Turşu + Ekmek + Ayran (30 cl.) </t>
  </si>
  <si>
    <t>Patatesli Tavuk But Tava Menü</t>
  </si>
  <si>
    <t xml:space="preserve">Patatesli Tavuk But Tava + Salata veya Turşu + Ekmek + Ayran (30 cl.) </t>
  </si>
  <si>
    <t>Maydanozlu Gözleme</t>
  </si>
  <si>
    <t>Kıymalı Gözleme</t>
  </si>
  <si>
    <t>Patatesli Gözleme</t>
  </si>
  <si>
    <t>Ispanaklı Gözleme</t>
  </si>
  <si>
    <t>Kaşarlı Gözleme</t>
  </si>
  <si>
    <t>Peynirli Gözleme</t>
  </si>
  <si>
    <t>Çıtır Börek (4 Adet)</t>
  </si>
  <si>
    <t>Sigara Böreği (10 Adet)</t>
  </si>
  <si>
    <t xml:space="preserve">Turşu ile </t>
  </si>
  <si>
    <t>Bohça Böreği (2 Adet)</t>
  </si>
  <si>
    <t>Tarhana Çorbası</t>
  </si>
  <si>
    <t xml:space="preserve">Ekmek, salata ile </t>
  </si>
  <si>
    <t>Analı Kızlı Çorba</t>
  </si>
  <si>
    <t>Kızartma İçli Köfte (5 Adet)</t>
  </si>
  <si>
    <t>Karnıyarık - Şu anda mevcut değil.</t>
  </si>
  <si>
    <t xml:space="preserve">Pilav, salata, ekmek, turşu ile </t>
  </si>
  <si>
    <t>Kekik Kebabı</t>
  </si>
  <si>
    <t>Kıymalı Kömbe (4 Adet)</t>
  </si>
  <si>
    <t>23,50 TL</t>
  </si>
  <si>
    <t>Tavuk Sote</t>
  </si>
  <si>
    <t>Haşlama İçli Köfte (5 Adet)</t>
  </si>
  <si>
    <t>Kuru Fasulye</t>
  </si>
  <si>
    <t>Zeytinyağlı Yaprak Sarma</t>
  </si>
  <si>
    <t xml:space="preserve">Pilav, salata, ekmek, Ayran (20 cl.) ile </t>
  </si>
  <si>
    <t>Kıymalı Makarna</t>
  </si>
  <si>
    <t xml:space="preserve">Salata veya turşu, ekmek ile </t>
  </si>
  <si>
    <t>Tereyağlı Makarna</t>
  </si>
  <si>
    <t>Sade Makarna</t>
  </si>
  <si>
    <t>Yoğurtlu Makarna</t>
  </si>
  <si>
    <t>Salçalı Makarna</t>
  </si>
  <si>
    <t>Peynirli Makarna</t>
  </si>
  <si>
    <t>Bulgur Pilavı</t>
  </si>
  <si>
    <t>Yufka Ekmeği (Adet)</t>
  </si>
  <si>
    <t>Cacık</t>
  </si>
  <si>
    <t xml:space="preserve">Turşu, ekmek ile </t>
  </si>
  <si>
    <t>Patates Kızartması (Orta)</t>
  </si>
  <si>
    <t xml:space="preserve">10 sıkım çiğ köfte, yeşillik, salata veya turşu, ekmek ile </t>
  </si>
  <si>
    <t>Baklava</t>
  </si>
  <si>
    <t xml:space="preserve">2 adet </t>
  </si>
  <si>
    <t>Etli İçli Köfte (1 kg.)</t>
  </si>
  <si>
    <t>Lahana Sarma (1 kg.)</t>
  </si>
  <si>
    <t>Sigara Böreği (1 kg.)</t>
  </si>
  <si>
    <t>Patatesli İçli Köfte (1 kg.)</t>
  </si>
  <si>
    <t>Çıtır Börek (1 kg.)</t>
  </si>
  <si>
    <t>Analı Kızlı (Dondurulmuş) (1 kg.)</t>
  </si>
  <si>
    <t>Etli İçli Köfte (1 kg.) (Dondurulmuş)</t>
  </si>
  <si>
    <t>Mantı (1 kg.) (Dondurulmuş)</t>
  </si>
  <si>
    <t>Big Benim Hamburger Menü (1 Kişilik)</t>
  </si>
  <si>
    <t xml:space="preserve">Seçeceğiniz 1 Adet Burger + 4 Adet Soğan Halkası + Kutu İçecek </t>
  </si>
  <si>
    <t>Sebzeli Noodle</t>
  </si>
  <si>
    <t xml:space="preserve">Çin eriştesi, Uzak Doğu sebze karışımı, soya sosu </t>
  </si>
  <si>
    <t>Günün Çorbası</t>
  </si>
  <si>
    <t>Tavuklu Noodle</t>
  </si>
  <si>
    <t xml:space="preserve">Uzak Doğu sebze karışımı, tavuk parçaları, soya sosu </t>
  </si>
  <si>
    <t xml:space="preserve">Dana sucuk, kaşar peyniri. Akdeniz yeşilliği, patates kızartması ile </t>
  </si>
  <si>
    <t>Double Burger Menü (2 Kişilik)</t>
  </si>
  <si>
    <t xml:space="preserve">Big Mamma's Burger + Chicken Burger + 8 Adet Soğan Halkası + 2 Adet Kutu İçecek </t>
  </si>
  <si>
    <t>84,90 TL</t>
  </si>
  <si>
    <t>Big Pizza Menü (2 Kişilik)</t>
  </si>
  <si>
    <t xml:space="preserve">Seçeceğiniz 2 Adet Pizza + Patates Kızartması + 2 Adet Kutu İçecek </t>
  </si>
  <si>
    <t>79,90 TL</t>
  </si>
  <si>
    <t>Çıtır Lezzet Menü</t>
  </si>
  <si>
    <t xml:space="preserve">Çıtır Tavuk Dilimleri + 6 Adet Mozerella Stick + 6 Adet Soğan Halkası + 4 Adet Sigara Böreği + Patates Kızartması + İçecek (1 L.) </t>
  </si>
  <si>
    <t>Big Benim Pizza Menü (1 Kişilik)</t>
  </si>
  <si>
    <t xml:space="preserve">Seçeceğiniz 1 Adet Pizza + Patetes Kızartması + Kutu İçecek </t>
  </si>
  <si>
    <t>Paris Brest - Şu anda mevcut değil.</t>
  </si>
  <si>
    <t>Profiterol</t>
  </si>
  <si>
    <t>Red Velvet</t>
  </si>
  <si>
    <t>Mini Pastalar</t>
  </si>
  <si>
    <t>Kavurmalı Kaşarlı Bazlama Tost</t>
  </si>
  <si>
    <t xml:space="preserve">Akdeniz yeşilliği, patates kızartması ile </t>
  </si>
  <si>
    <t>Beyaz Peynirli Tost</t>
  </si>
  <si>
    <t>Tavuklu Panini Sandviç</t>
  </si>
  <si>
    <t xml:space="preserve">Izgara tavuk dilimleri, kremalı hardal sos, mantar, soğan, kornişon turşu, cheddar peyniri. Akdeniz yeşillikleri, patates kızartması ile </t>
  </si>
  <si>
    <t>Vegetable Panini Sandviç</t>
  </si>
  <si>
    <t xml:space="preserve">Roka, ızgara mesim sebzeleri, mozzarella peyniri, özel sos </t>
  </si>
  <si>
    <t>Club Sandviç</t>
  </si>
  <si>
    <t xml:space="preserve">Izgara tavuk göğsü, kaşar peyniri, dana jambon, yumurta, salkım domates dilimleri, marul, salatalık turşusu. Patates kızartması ile </t>
  </si>
  <si>
    <t>Köfteli Panini Sandviç</t>
  </si>
  <si>
    <t xml:space="preserve">Dana köfte, kremalı hardal sos, mantar, soğan, kornişon turşu, cheddar peyniri. Akdeniz yeşillikleri, patates kızartması ile </t>
  </si>
  <si>
    <t>Etli Panini Sandviç</t>
  </si>
  <si>
    <t xml:space="preserve">Izgara bonfile dilimleri, kremalı hardal sos, mantar, soğan, kornişon turşu, cheddar peyniri. Akdeniz yeşillikleri, patates kızartması ile </t>
  </si>
  <si>
    <t xml:space="preserve">Mevsim yeşillikleri ile </t>
  </si>
  <si>
    <t>Izgara Kaşarlı Köfte</t>
  </si>
  <si>
    <t xml:space="preserve">Akdeniz yeşillikleri, pirinç pilavı, patates kızartması ile </t>
  </si>
  <si>
    <t>Belen Tava</t>
  </si>
  <si>
    <t>Izgara Antrikot</t>
  </si>
  <si>
    <t xml:space="preserve">Izgara dana antrikot, fırınlanmış güveçte sote sebze, patates püresi, demi glace sos ile </t>
  </si>
  <si>
    <t>Chicken Meksika</t>
  </si>
  <si>
    <t xml:space="preserve">Jülyen tavuk göğsü, jalapeno biberi, biber, haşlanmış sebze, patates kızartması ile </t>
  </si>
  <si>
    <t>BBQ Soslu Tavuk</t>
  </si>
  <si>
    <t xml:space="preserve">Jülyen tavuk, mantar, renkli biberler, BBQ sosu. Patates kızartması, makarna, Akdeniz yeşilliği ile </t>
  </si>
  <si>
    <t>Soya Soslu Tavuk</t>
  </si>
  <si>
    <t xml:space="preserve">Jülyen tavuk, mantar, renkli biberler, soya sosu. Patates kızartması, makarna, Akdeniz yeşilliği ile </t>
  </si>
  <si>
    <t>Pepper Soslu Tavuk</t>
  </si>
  <si>
    <t xml:space="preserve">Jülyen tavuk parçaları, pepper sos, Akdeniz yeşillikleri, makarna, patates kızartması ile </t>
  </si>
  <si>
    <t>Tavuk Şnitzel</t>
  </si>
  <si>
    <t xml:space="preserve">Çıtır tavuk göğüs, patates kızartması, cheddar peyniri, Akdeniz yeşilliği ile </t>
  </si>
  <si>
    <t>Pesto Soslu Tavuk</t>
  </si>
  <si>
    <t xml:space="preserve">Jülyen tavuk parçaları, renkli California biberleri, mantar, pesto sos, patates kızartması, Akdeniz yeşilliği, makarna ile </t>
  </si>
  <si>
    <t>Kremalı Mantarlı Tavuk</t>
  </si>
  <si>
    <t xml:space="preserve">Tavuk göğüs, Akdeniz yeşilliği, patates kızartması, makarna ile </t>
  </si>
  <si>
    <t>Köri Soslu Tavuk</t>
  </si>
  <si>
    <t>Tavuk Göğüs Külbastı</t>
  </si>
  <si>
    <t xml:space="preserve">Izgara tavuk but, pirinç pilavı, patates kızartması, Akdeniz yeşilliği ile </t>
  </si>
  <si>
    <t>Texas BBQ Pizza</t>
  </si>
  <si>
    <t xml:space="preserve">Fesleğenli domates sos, mozzarella peyniri, sucuk, soğan, kırmızıbiber, jalapeno biberi, barbekü sos </t>
  </si>
  <si>
    <t>Kavurmalı Pizza</t>
  </si>
  <si>
    <t>Jamaica Pizza</t>
  </si>
  <si>
    <t xml:space="preserve">Fesleğenli domates sos, mozzarella peyniri, dana jambon, sosis, mısır, mantar </t>
  </si>
  <si>
    <t>Mexicana Pizza</t>
  </si>
  <si>
    <t xml:space="preserve">Domates sos, mozzarella peyniri, paprica, dana fileto, jalapeno biberi </t>
  </si>
  <si>
    <t>Acapulco Pizza</t>
  </si>
  <si>
    <t xml:space="preserve">Domates sos, mozzarella peyniri, yeşilbiber, tavuk parçaları, jalapeno biberi </t>
  </si>
  <si>
    <t>41,00 TL</t>
  </si>
  <si>
    <t>Margarita Pizza</t>
  </si>
  <si>
    <t xml:space="preserve">Domates sos, fesleğen, mozzarella peyniri </t>
  </si>
  <si>
    <t>Cafe De Paris Pizza</t>
  </si>
  <si>
    <t>Mega Mix Pizza</t>
  </si>
  <si>
    <t>49,00 TL</t>
  </si>
  <si>
    <t>Veggie Pizza</t>
  </si>
  <si>
    <t xml:space="preserve">Domates sos, mozzarella peyniri, mantar, kırmızıbiber, yeşilbiber, zeytin, mısır, soğan </t>
  </si>
  <si>
    <t>Cafe De Paris Burger</t>
  </si>
  <si>
    <t xml:space="preserve">180 gr. burger köftesi, göbek marul, turşu, közlenmiş domates </t>
  </si>
  <si>
    <t>Big Mamma's Burger</t>
  </si>
  <si>
    <t xml:space="preserve">180 gr. burger köftesi, domates, göbek marul, turşu, özel burger sos, cheddar peyniri, karamelize soğan, mantar, Meksika fasulyesi </t>
  </si>
  <si>
    <t>Mushroom Burger</t>
  </si>
  <si>
    <t xml:space="preserve">180 gr. kremalı mantarlı burger köftesi, özel burger sos </t>
  </si>
  <si>
    <t>Gurme Burger</t>
  </si>
  <si>
    <t xml:space="preserve">180 gr. burger köftesi, domates, göbek marul, turşu, barbekü sos, cheddar peyniri, karamelize soğan </t>
  </si>
  <si>
    <t xml:space="preserve">180 gr. burger köftesi, domates, göbek marul, turşu, özel burger sos, cheddar peyniri </t>
  </si>
  <si>
    <t xml:space="preserve">180 gr. burger köftesi, domates, göbek marul, turşu, özel burger sos </t>
  </si>
  <si>
    <t xml:space="preserve">180 gr. tavuk bonfile, özel yapım soslar, barbekü sos </t>
  </si>
  <si>
    <t>Etli Quesadilla</t>
  </si>
  <si>
    <t xml:space="preserve">Tortilla ekmeği, soğan, renkli biber, mantar, krema, cajun baharatı, mozzarella peyniri. Patates kızartması ile </t>
  </si>
  <si>
    <t>Tavuklu Quesadilla</t>
  </si>
  <si>
    <t>Tavuklu Fajita</t>
  </si>
  <si>
    <t xml:space="preserve">Mix biberler, soğan, guacamole sos, salsa sos, sour cream sos, tortilla ekmeği </t>
  </si>
  <si>
    <t>Etli Fajita</t>
  </si>
  <si>
    <t>Penne Arrabbiata</t>
  </si>
  <si>
    <t>Spaghetti Napoliten</t>
  </si>
  <si>
    <t>Tortellini Alla Forno</t>
  </si>
  <si>
    <t>Fettuccine Alfredo</t>
  </si>
  <si>
    <t>Spaghetti Bolognese</t>
  </si>
  <si>
    <t>Penne Chicken Pesto</t>
  </si>
  <si>
    <t>Kremalı Mantarlı Krep</t>
  </si>
  <si>
    <t xml:space="preserve">Krep içerisine; doğranmış tavuk bonfile, kremalı mantarlı sos, patates kızartması. Akdeniz yeşillikleri ile </t>
  </si>
  <si>
    <t>Tavuklu Wrap</t>
  </si>
  <si>
    <t xml:space="preserve">Soğan, renkli biber, mantar, krema, cajun baharatı, mozzarella peyniri </t>
  </si>
  <si>
    <t>Cheddarlı Köfteli Wrap</t>
  </si>
  <si>
    <t>Etli Wrap</t>
  </si>
  <si>
    <t>Dana Etli Noodle</t>
  </si>
  <si>
    <t xml:space="preserve">Çin eriştesi, bonfile şeritleri, Uzak Doğu sebze karışımı, soya sosu </t>
  </si>
  <si>
    <t>Klasik Mantı - Şu anda mevcut değil.</t>
  </si>
  <si>
    <t>Çıtır Mantı</t>
  </si>
  <si>
    <t>Cajun Baharatlı Patates Kızartması</t>
  </si>
  <si>
    <t>Lezzet Tabağı</t>
  </si>
  <si>
    <t>Börek Sepeti</t>
  </si>
  <si>
    <t xml:space="preserve">Paçanga böreği, sigara böreği, Çin böreği, patates kızartması </t>
  </si>
  <si>
    <t>Sigara Böreği (6 Adet)</t>
  </si>
  <si>
    <t xml:space="preserve">Baharatlı patates kızartması ile </t>
  </si>
  <si>
    <t>İspanyol Soğan Halkası (6 Adet)</t>
  </si>
  <si>
    <t>Mozzarella Sticks (6 Adet)</t>
  </si>
  <si>
    <t xml:space="preserve">Cajun baharatlı patates kızartması üzerine; mozzarella sticks </t>
  </si>
  <si>
    <t>Cajun Chicken Basket</t>
  </si>
  <si>
    <t xml:space="preserve">Panelenmiş tavuk parçaları, patates kızartması, cajun baharatı, honey mustard sos, sweet chili sos </t>
  </si>
  <si>
    <t>Beef Salata</t>
  </si>
  <si>
    <t xml:space="preserve">Akdeniz yeşillikleri, ızgara mevsim sebzeleri, mısır, havuç, salatalık, çeri domates, bonfile parçacıkları, mozzarella peyniri, balsamik sos </t>
  </si>
  <si>
    <t>Kinoalı Somon Salata</t>
  </si>
  <si>
    <t xml:space="preserve">Izgara somon dilimleri, Akdeniz yeşilliği, kinoa, çeri domates, salatalık, tane mısır, lahana turşusu, limon sos </t>
  </si>
  <si>
    <t>Sezar Salata</t>
  </si>
  <si>
    <t xml:space="preserve">Göbek marul, kruton ekmek, parmesan peyniri, tavuk </t>
  </si>
  <si>
    <t>Cajun Chicken Salata</t>
  </si>
  <si>
    <t xml:space="preserve">Panço ile panelenmiş tavuk parçaları, Akdeniz yeşillikleri, havuç, domates, salatalık, mısır, kuru domates, körili hardal sos </t>
  </si>
  <si>
    <t>Ton Balıklı Salata</t>
  </si>
  <si>
    <t xml:space="preserve">Akdeniz yeşillikleri, Dardanel ton balığı, mısır, çeri domates, kapari, soğan halkaları, havuç, salatalık, grissini, zeytinyağlı limon sos </t>
  </si>
  <si>
    <t>La Fresca Salata</t>
  </si>
  <si>
    <t xml:space="preserve">Akdeniz yeşillikleri, mısır, suda mozzarella peyniri, çeri domates, avokado, portakal dilimleri, havuç, salatalık, kuru domates, kuru kayısı, grissini, yeşil elma, balsamik sos </t>
  </si>
  <si>
    <t>Greek Salata</t>
  </si>
  <si>
    <t xml:space="preserve">Domates, salatalık, köy biberi, kırmızı soğan, taze nane, maydanoz, beyaz peynir, lahana, limon sos </t>
  </si>
  <si>
    <t xml:space="preserve">Beyaz peynir, çeri domates, salatalık, havuç, mısır, kuru domates, kuru kayısı, ceviz, limon sosu </t>
  </si>
  <si>
    <t>Hellim Salata</t>
  </si>
  <si>
    <t xml:space="preserve">Akdeniz yeşillikleri, ızgara hellim peyniri dilimleri, ızgara mevsim sebzeleri, mısır, çeri domates, kuru domates, grissini, zeytinyağlı limon sos </t>
  </si>
  <si>
    <t>Schweppes (25 cl.) - Şu anda mevcut değil.</t>
  </si>
  <si>
    <t>Red Bull (25 cl.)</t>
  </si>
  <si>
    <t>15,50 TL</t>
  </si>
  <si>
    <t xml:space="preserve">Adana Dürüm + Patates Kızartması + Ayran (17,5 cl.), Yeşillik, domates, soğan </t>
  </si>
  <si>
    <t>Et Döner Dürüm Menü</t>
  </si>
  <si>
    <t xml:space="preserve">Et Döner Dürüm (Yeşillik, domates, soğan) + Patates Kızartması + Ayran (17 cl.) </t>
  </si>
  <si>
    <t>Süzme Mercimek Çorbası</t>
  </si>
  <si>
    <t xml:space="preserve">Adana kebap, kuşbaşı şiş, kuzu ciğer şiş, köfte, tavuk şiş, Mevsim salata, közlenmiş biber, soğan, çiğ köfte ile </t>
  </si>
  <si>
    <t xml:space="preserve">Tavuk Şiş Dürüm + Patates Kızartması + Ayran (17,5 cl.), Yeşillik, domates, soğan </t>
  </si>
  <si>
    <t>Seçilmiş Menü (Tam Ekmek Arası Ciğer Kavurma)</t>
  </si>
  <si>
    <t xml:space="preserve">Tam Ekmek Arası Ciğer Kavurma + Coca-Cola (33 cl.) </t>
  </si>
  <si>
    <t>Köfte Dürüm Menü</t>
  </si>
  <si>
    <t xml:space="preserve">Köfte Dürüm + Patates Kızartması + Ayran (17,5 cl.), Yeşillik, domates, soğan </t>
  </si>
  <si>
    <t>Ciğer Şiş Dürüm Menü</t>
  </si>
  <si>
    <t xml:space="preserve">Ciğer Şiş Dürüm + Patates Kızartması + Ayran (17,5 cl.), Yeşillik, domates, soğan </t>
  </si>
  <si>
    <t xml:space="preserve">Kuşbaşı Dürüm + Patates Kızartması + Ayran (17,5 cl.), Yeşillik, domates, soğan </t>
  </si>
  <si>
    <t>Kavurma Dürüm Menü</t>
  </si>
  <si>
    <t xml:space="preserve">Kavurma Dürüm + Patates Kızartması + Ayran (17,5 cl.), Yeşillik, domates, soğan </t>
  </si>
  <si>
    <t xml:space="preserve">Adana Kebap + Kazandibi + Ayran (17 cl.) </t>
  </si>
  <si>
    <t xml:space="preserve">Karışık Izgara + Kazandibi + Ayran (17 cl.) </t>
  </si>
  <si>
    <t>56,00 TL</t>
  </si>
  <si>
    <t>Kavurmalı Menemen</t>
  </si>
  <si>
    <t>Karışık Menemen</t>
  </si>
  <si>
    <t>Kıymalı Menemen</t>
  </si>
  <si>
    <t>Yumurtalı Sade Menemen</t>
  </si>
  <si>
    <t>Kaşarlı Menemen</t>
  </si>
  <si>
    <t xml:space="preserve">Mevsim salata, közlenmiş biber, soğan, çiğ köfte ile </t>
  </si>
  <si>
    <t>Karışık Izgara Et</t>
  </si>
  <si>
    <t xml:space="preserve">Adana kebap, kuşbaşı, kasap köfte, et biftek, kuzu ciğer. Mezeler ile </t>
  </si>
  <si>
    <t>Kaşarlı Beyti Kebap</t>
  </si>
  <si>
    <t>Çıtır Beyti Sarma Kebap</t>
  </si>
  <si>
    <t>Alinazik Kebap (Kıymadan)</t>
  </si>
  <si>
    <t>Et Çökertme</t>
  </si>
  <si>
    <t>Tavuk Çökertme</t>
  </si>
  <si>
    <t>Tavuk Biftek</t>
  </si>
  <si>
    <t>Et Biftek</t>
  </si>
  <si>
    <t>Sebzeli Kavurma</t>
  </si>
  <si>
    <t xml:space="preserve">Közlenmiş biber, soğan, domates, kavurma eti ile </t>
  </si>
  <si>
    <t>Uç Kanat</t>
  </si>
  <si>
    <t xml:space="preserve">Salata ile </t>
  </si>
  <si>
    <t>Et Sote</t>
  </si>
  <si>
    <t>Sac Kavurma</t>
  </si>
  <si>
    <t>Tam Ekmek Arası Ciğer Kavurma</t>
  </si>
  <si>
    <t xml:space="preserve">Yeşillik, domates, soğan </t>
  </si>
  <si>
    <t>Adana Dürüm (130 gr.)</t>
  </si>
  <si>
    <t xml:space="preserve">Çiğ köfte ile </t>
  </si>
  <si>
    <t>Kasap Köfte Dürüm (130 gr.)</t>
  </si>
  <si>
    <t>Kuzu Ciğer Dürüm (130 gr.)</t>
  </si>
  <si>
    <t>Kuşbaşı Dürüm (130 gr.)</t>
  </si>
  <si>
    <t>Kavurma Dürüm (150 gr.)</t>
  </si>
  <si>
    <t>Tavuk Dürüm (200 gr.)</t>
  </si>
  <si>
    <t>Et Döner Dürüm (130 gr.)</t>
  </si>
  <si>
    <t xml:space="preserve">14 sıkım çiğ köfte, yeşillik, lavaş </t>
  </si>
  <si>
    <t xml:space="preserve">Ketçap, mayonez ile </t>
  </si>
  <si>
    <t>Gendime Çorbası</t>
  </si>
  <si>
    <t>Roka Salatası</t>
  </si>
  <si>
    <t>Açık Ayran (17,5 cl.)</t>
  </si>
  <si>
    <t>Acılı Açık Ayran (17,5 cl.)</t>
  </si>
  <si>
    <t xml:space="preserve">(Ekmek gönderilmemektedir.) Mevsim salata, közlenmiş biber, soğan, çiğ köfte ile </t>
  </si>
  <si>
    <t>Tavuk Kuşbaşı (1 kg.)</t>
  </si>
  <si>
    <t>Adana Kebap (1 kg.)</t>
  </si>
  <si>
    <t>Izgara Köfte (500 gr.)</t>
  </si>
  <si>
    <t>Et Kuşbaşı (1 kg.)</t>
  </si>
  <si>
    <t>Tavuk Biftek (1 kg.)</t>
  </si>
  <si>
    <t>Et Kuşbaşı (500 gr.)</t>
  </si>
  <si>
    <t>Izgara Köfte (1 kg.)</t>
  </si>
  <si>
    <t>Karışık Izgara Tavuk (1 kg.)</t>
  </si>
  <si>
    <t xml:space="preserve">Közlenmiş soğan, közlenmiş biber, salata, çiğ köfte ile </t>
  </si>
  <si>
    <t>Uç Kana (1 kg.)</t>
  </si>
  <si>
    <t>Tavuk Pirzola (1.5 kg.)</t>
  </si>
  <si>
    <t xml:space="preserve">(Ekmek gönderilmemektedir.) </t>
  </si>
  <si>
    <t>Tavuk Kelebek (1.5 kg.)</t>
  </si>
  <si>
    <t>Tavuk Biftek (1.5 kg.)</t>
  </si>
  <si>
    <t>Tavuk Kuşbaşı (1.5 kg.)</t>
  </si>
  <si>
    <t>Tavuk Kanat (1.5 kg.)</t>
  </si>
  <si>
    <t xml:space="preserve">Biber turşusu, limon ile </t>
  </si>
  <si>
    <t>Somun Ekmek Arası Tavuk Tantuni</t>
  </si>
  <si>
    <t>Somun Ekmek Arası Et Tantuni</t>
  </si>
  <si>
    <t>Seçilmiş Menü (Et Tantuni Dürüm)</t>
  </si>
  <si>
    <t xml:space="preserve">Et Tantuni Dürüm + Coca-Cola (33 cl.) </t>
  </si>
  <si>
    <t>Çeyrek Ekmek Arası Et Tantuni</t>
  </si>
  <si>
    <t>3/4 Ekmek Arası Et Tantuni</t>
  </si>
  <si>
    <t>Çeyrek Ekmek Arası Tavuk Tantuni</t>
  </si>
  <si>
    <t>3/4 Ekmek Arası Tavuk Tantuni</t>
  </si>
  <si>
    <t>Ayran (30 cl.) (Cam Şişe)</t>
  </si>
  <si>
    <t>Mega Boy'z Burger Menü</t>
  </si>
  <si>
    <t xml:space="preserve">Mega Boy'z Burger + Patates Kızartması (Büyük Boy) + İçecek </t>
  </si>
  <si>
    <t>34,50 TL</t>
  </si>
  <si>
    <t>Klasik Boy'z Burger Menü</t>
  </si>
  <si>
    <t xml:space="preserve">Klasik Boy'z Burger + Patates Kızartması + İçecek </t>
  </si>
  <si>
    <t>XXL Menü</t>
  </si>
  <si>
    <t xml:space="preserve">2 Adet Mega Boy`Z Burger + Patates Kızartması (Büyük Boy) + 2 Adet Kıtır Tavuk + İçecek (1 L.) </t>
  </si>
  <si>
    <t>64,00 TL</t>
  </si>
  <si>
    <t>2'li Big Boy'z Burger Menü</t>
  </si>
  <si>
    <t xml:space="preserve">2 Adet Big Boy'z Burger + Büyük Boy Patates Kızartması + İçecek (1 L.) </t>
  </si>
  <si>
    <t>Seçilmiş Menü (Big Boy'z Burger)</t>
  </si>
  <si>
    <t xml:space="preserve">Big Boy'z Burger + Coca-Cola (33 cl.) </t>
  </si>
  <si>
    <t>22,75 TL</t>
  </si>
  <si>
    <t>Seçilmiş Menü (Klasik Boy'z Burger)</t>
  </si>
  <si>
    <t xml:space="preserve">Klasik Boy'z Burger + Coca-Cola (33 cl.) </t>
  </si>
  <si>
    <t>Tavuk Burger Menü</t>
  </si>
  <si>
    <t xml:space="preserve">Tavuk Burger + Patates Kızartması (Orta Boy) + İçecek </t>
  </si>
  <si>
    <t>Deli Acı Burger Menü</t>
  </si>
  <si>
    <t xml:space="preserve">Deli Acı Burger + Patates Kızartması (Orta) + İçecek </t>
  </si>
  <si>
    <t>Yerli Burger Menü</t>
  </si>
  <si>
    <t xml:space="preserve">Yerli Burger + Patates Kızartması + İçecek </t>
  </si>
  <si>
    <t>28,50 TL</t>
  </si>
  <si>
    <t>Smoking Menü</t>
  </si>
  <si>
    <t xml:space="preserve">Smoking Boy`z Burger + Patates Kızartması + İçecek </t>
  </si>
  <si>
    <t>40,50 TL</t>
  </si>
  <si>
    <t>Big Boy'z Burger Menü</t>
  </si>
  <si>
    <t xml:space="preserve">Big Boy'z Burger + Patates Kızartması + İçecek </t>
  </si>
  <si>
    <t>30,50 TL</t>
  </si>
  <si>
    <t xml:space="preserve">Cheeseburger + Patates Kızartması + İçecek </t>
  </si>
  <si>
    <t>Mush Burger Menü</t>
  </si>
  <si>
    <t xml:space="preserve">Mush Burger + Patates Kızartması + İçecek </t>
  </si>
  <si>
    <t>Study Boy'z Menü</t>
  </si>
  <si>
    <t xml:space="preserve">Study Burger (75 - 80 gr. dana köfte, ev yapımı burger ekmeği, pişmiş soğan, domates, turşu, marul, ev yapımı Boy'z sos) + Patates Kızartması + İçecek </t>
  </si>
  <si>
    <t>Kids Klasik Boy'z Menü</t>
  </si>
  <si>
    <t xml:space="preserve">Kid Boy'z Burger (55 - 60 gr. dana köfte, ev yapımı burger ekmeği, özel Boy'z sos) + Patates Kızartması + İçecek </t>
  </si>
  <si>
    <t>20,50 TL</t>
  </si>
  <si>
    <t>Kids Cheese Menü</t>
  </si>
  <si>
    <t xml:space="preserve">Kid Cheese Burger (55 - 60 gr. dana köfte, ev yapımı burger ekmeği, cheddar peyniri, özel Boy'z sos) + Patates Kızartması + İçecek </t>
  </si>
  <si>
    <t>21,50 TL</t>
  </si>
  <si>
    <t>2'li Cheeseburger Menü</t>
  </si>
  <si>
    <t xml:space="preserve">2 Adet Cheeseburger + Orta Boy Patates Kızartması + İçecek (1 L.) </t>
  </si>
  <si>
    <t>2'li Klasik Boy'z Burger Menü</t>
  </si>
  <si>
    <t xml:space="preserve">2 Adet Klasik Boy'z Burger + Orta Boy Patates Kızartması + İçecek (1 L.) </t>
  </si>
  <si>
    <t>2'li Mush Burger Menü</t>
  </si>
  <si>
    <t xml:space="preserve">2 Adet Mush Burger + Orta Boy Patates Kızartması + İçecek (1 L.) </t>
  </si>
  <si>
    <t>Büyük Aile Menü</t>
  </si>
  <si>
    <t xml:space="preserve">Big Boy'z Burger + Klasik Boy'z Burger + Study Boy'z Burger + 3 Adet Patates Kızartması + 3 Adet İçecek </t>
  </si>
  <si>
    <t>76,00 TL</t>
  </si>
  <si>
    <t>Gurme Aile Menü</t>
  </si>
  <si>
    <t xml:space="preserve">Big Boy'z Burger + Cheeseburger + Mush Burger + 3 Adet Patates Kızartması + 3 Adet İçecek </t>
  </si>
  <si>
    <t>81,50 TL</t>
  </si>
  <si>
    <t>Aile Boy'z Menü</t>
  </si>
  <si>
    <t xml:space="preserve">Cheeseburger + Klasik Boy'z Burger + Kids Klasik Boy'z Burger + 3 Adet Patates Kızartması + 3 Adet İçecek </t>
  </si>
  <si>
    <t>71,00 TL</t>
  </si>
  <si>
    <t>Deli Acı Burger</t>
  </si>
  <si>
    <t xml:space="preserve">Ev yapımı burger ekmeği içerisine; 110 - 115 gr. dana burger köftesi, domates, pişmiş soğan, domates, turşu, marul, acı sos </t>
  </si>
  <si>
    <t>Yerli Burger</t>
  </si>
  <si>
    <t xml:space="preserve">El yapımı burger ekmeği,110 gr. dana köfte, kızarmış Malatya peyniri, yeşil soğanlı mayonez, domates, turşu, pişmiş soğan, marul </t>
  </si>
  <si>
    <t>Smoking Boy`z Burger</t>
  </si>
  <si>
    <t xml:space="preserve">El yapımı burger ekmeği, 180 gr. dana köfte, dana füme et 2 dilim, sarımsaklı maydanozlu sos, domates, turşu, karamelize soğan, marul </t>
  </si>
  <si>
    <t>35,50 TL</t>
  </si>
  <si>
    <t>Klasik Boy'z Burger</t>
  </si>
  <si>
    <t xml:space="preserve">100 - 115 gr. dana köfte, ev yapımı burger ekmeği, pişmiş soğan, domates, turşu, marul, ev yapımı Boy'z sos </t>
  </si>
  <si>
    <t>Big Boy'z Burger</t>
  </si>
  <si>
    <t xml:space="preserve">180 - 185 gr. dana köfte, ev yapımı burger ekmeği, cheddar peyniri, pişmiş soğan, domates, turşu, marul, ev yapımı Boy'z sos </t>
  </si>
  <si>
    <t xml:space="preserve">100 - 115 gr. dana köfte, ev yapımı burger ekmeği, double cheddar peyniri, pişmiş soğan, domates, turşu, marul, ev yapımı Boy'z sos </t>
  </si>
  <si>
    <t>Mush Burger</t>
  </si>
  <si>
    <t xml:space="preserve">110 - 115 gr. dana köfte, ev yapımı burger ekmeği, sote mantar, karamelize soğan, domates, turşu, marul, ev yapımı Boy'z sos </t>
  </si>
  <si>
    <t>Mega Boy'z Burger</t>
  </si>
  <si>
    <t xml:space="preserve">220 - 230 gr. dana köfte, ev yapımı ekmek, karamelize soğan, domates, marul, Boy'z sos </t>
  </si>
  <si>
    <t>12,50 TL</t>
  </si>
  <si>
    <t>Çıtır Peynir (5 Adet)</t>
  </si>
  <si>
    <t>Çıtır Tabak</t>
  </si>
  <si>
    <t xml:space="preserve">Orta boy patates kızartması, 2 adet soğan halkası, kıtır tavuk, 2 adet çıtır peynir </t>
  </si>
  <si>
    <t>Aioli Sos</t>
  </si>
  <si>
    <t>Deli Acı Sos</t>
  </si>
  <si>
    <t>Boy'z Sos</t>
  </si>
  <si>
    <t>Seçilmiş Menü (Mexican Burger)</t>
  </si>
  <si>
    <t xml:space="preserve">Mexican Burger + Coca-Cola (33 cl.) </t>
  </si>
  <si>
    <t xml:space="preserve">2 Adet Cheeseburger + 2 Adet Patates Kızartması + İçecek (1 L.) </t>
  </si>
  <si>
    <t>81,90 TL</t>
  </si>
  <si>
    <t xml:space="preserve">2 Adet Texas Buffalo Burger + 2 Adet Patates Kızartması + İçecek (1 L.) </t>
  </si>
  <si>
    <t>94,90 TL</t>
  </si>
  <si>
    <t>Anatolia Burger</t>
  </si>
  <si>
    <t xml:space="preserve">Kömür ateşinde pişirilmiş dana burger köftesi, kolot peyniri, yassı patates kızartması, karamelize soğan, marul. Özel baharatlı patates kızartması ile </t>
  </si>
  <si>
    <t>British Burger</t>
  </si>
  <si>
    <t xml:space="preserve">Kömür ateşinde pişirilmiş dana burger köftesi, çift dana bacon, yumurta, çıtır soğan, cheddar peyniri dilimleri, Buffalo sos. Özel baharatlı patates kızartması ile </t>
  </si>
  <si>
    <t xml:space="preserve">Kömür ateşinde pişirilmiş dana burger köftesi, cheddar peyniri, ev yapımı çıtır soğan, Ranch sos, kornişon turşu, domates, marul. Özel baharatlı patates kızartması ile </t>
  </si>
  <si>
    <t>Classic Burger</t>
  </si>
  <si>
    <t xml:space="preserve">Kömür ateşinde pişirilmiş dana burger köftesi, ev yapımı çıtır soğan, kornişon turşu, domates, marul, Buffalo sos. Özel baharatlı patates kızartması ile </t>
  </si>
  <si>
    <t>37,90 TL</t>
  </si>
  <si>
    <t>Crispy Chicken Burger</t>
  </si>
  <si>
    <t xml:space="preserve">Çıtır tavuk, kornişon turşu, domates, marul, ev yapımı çıtır soğan, Buffalo sos. Özel baharatlı patates kızartması ile </t>
  </si>
  <si>
    <t>Cyprus Burger</t>
  </si>
  <si>
    <t xml:space="preserve">Kömür ateşinde pişirilmiş dana burger köftesi, hellim peyniri, ev yapımı çıtır soğan, kornişon turşu, domates, iceberg marul, Buffalo sos. Özel baharatlı patates kızartması ile </t>
  </si>
  <si>
    <t>Kids Burger</t>
  </si>
  <si>
    <t xml:space="preserve">Kömür ateşinde pişirilmiş dana burger köftesi, kibrit patates kızartması, kornişon turşu, domates, marul, Buffalo sos. Özel baharatlı patates kızartması ile </t>
  </si>
  <si>
    <t>34,90 TL</t>
  </si>
  <si>
    <t xml:space="preserve">Kömür ateşinde pişirilmiş dana burger köftesi, çift kaşar peyniri, çıtır soğan, marul, kornişon turşu, jalapeno biber, kapya biberi, acılı domates sos. Özel baharatlı patates kızartması ile </t>
  </si>
  <si>
    <t>Ottoman Burger</t>
  </si>
  <si>
    <t xml:space="preserve">Kömür ateşinde pişirilmiş küp sucuklu 120 gr. dana burger köftesi, pastırma, kolot peyniri, iceberg marul, domates, Ranch sos. özel baharatlı patates kızartması ile </t>
  </si>
  <si>
    <t>Steak House Burger</t>
  </si>
  <si>
    <t xml:space="preserve">Kömür ateşinde pişirilmiş dana burger köftesi, antrikot, dana bacon, cheddar peyniri, karamelize mantar, çıtır soğan, bbq sos, domates, marul. Özel baharatlı patates kızartması ile </t>
  </si>
  <si>
    <t>45,90 TL</t>
  </si>
  <si>
    <t>Texas Buffalo Burger</t>
  </si>
  <si>
    <t xml:space="preserve">Kömür ateşinde pişirilmiş dana burger köftesi, çift cheddar peyniri, karamelize soğan, dana bacon, karamelize mantar, kibrit patates kızartması, Buffalo sos. Özel baharatlı patates kızartması ile </t>
  </si>
  <si>
    <t>Frankfurter</t>
  </si>
  <si>
    <t xml:space="preserve">Taze çekilmiş dana eti ve baharatlarla hazırlanan ince uzun klasik Alman sosisi, karamelize soğan, bbq sos, soğan gevreği </t>
  </si>
  <si>
    <t>Bratwurst</t>
  </si>
  <si>
    <t xml:space="preserve">Taze çekilmiş dana eti ve baharatlarla hazırlanan kalın Alman sosisi, karamelize soğan, sarımsaklı mayonez, franko sos, soğan gevreği </t>
  </si>
  <si>
    <t>12´li Tavuk Kanat</t>
  </si>
  <si>
    <t>8´li Tavuk Kanat</t>
  </si>
  <si>
    <t>25,90 TL</t>
  </si>
  <si>
    <t>6'lı Mozzarella Sticks</t>
  </si>
  <si>
    <t xml:space="preserve">Mozzarella peynir çubukları </t>
  </si>
  <si>
    <t>Kova Patates Kızartması</t>
  </si>
  <si>
    <t xml:space="preserve">420 gr. </t>
  </si>
  <si>
    <t>12'li Mozzarella Sticks</t>
  </si>
  <si>
    <t>Galaksi Tabağı</t>
  </si>
  <si>
    <t xml:space="preserve">Patates kızartması, 6 adet soğan halkası, 6 adet tavuk parçaları, 3 adet mozzarella çubukları </t>
  </si>
  <si>
    <t>6´lı Tavuk Kanat</t>
  </si>
  <si>
    <t>21,90 TL</t>
  </si>
  <si>
    <t>Cheddar Soslu Kova Patates</t>
  </si>
  <si>
    <t xml:space="preserve">420 gr. cheddar soslu baharatlı kaşık veya ince dilim patates </t>
  </si>
  <si>
    <t>Soğan Halkası (12 Adet)</t>
  </si>
  <si>
    <t>Mozzarella Topları (8 Adet)</t>
  </si>
  <si>
    <t>Çıtır Tavuk Parçaları (10 Adet)</t>
  </si>
  <si>
    <t>Cappy Vişne (33 cl.)</t>
  </si>
  <si>
    <t>Elmalı Soda (20 cl.)</t>
  </si>
  <si>
    <t>Fuse Tea (1 L.)</t>
  </si>
  <si>
    <t>Acı Sos</t>
  </si>
  <si>
    <t>Hardal</t>
  </si>
  <si>
    <t>Ballı Hardal</t>
  </si>
  <si>
    <t>Baharatlı Sarımsaklı Mayonez</t>
  </si>
  <si>
    <t>BBQ Sos</t>
  </si>
  <si>
    <t>Buffalo Sos</t>
  </si>
  <si>
    <t>Ranch Sos</t>
  </si>
  <si>
    <t xml:space="preserve">Cosmic Burger (Çıtır tavuk, turşu, marul, cheddar peyniri, domates, cosmic sos (hafif acılı), kornişon turşu, çıtır soğan) + 6 Adet Nugget + 3 Adet Chicken Fingers + Patates Kızartması + 2 Adet Sos + Kutu İçecek </t>
  </si>
  <si>
    <t>59,90 TL</t>
  </si>
  <si>
    <t>6'lı Tavuk Kanat Menü (1 - 2 Kişilik)</t>
  </si>
  <si>
    <t xml:space="preserve">6 Adet Tavuk Kanat + 6 Adet Tavuk Nugget + 6 Adet Chicken Fingers + 2 Adet Sos + Patates Kızartması + Kutu İçecek </t>
  </si>
  <si>
    <t>69,90 TL</t>
  </si>
  <si>
    <t>29,90 TL</t>
  </si>
  <si>
    <t>Chicken Fingers Menü</t>
  </si>
  <si>
    <t xml:space="preserve">Chicken Fingers (150 gr. tavuk parçaları) + Patates Kızartması + 2 Adet Sos + Kutu İçecek </t>
  </si>
  <si>
    <t>4'lü Tavuk Kanat Menü</t>
  </si>
  <si>
    <t xml:space="preserve">4 Adet Tavuk Kanat + 4 Adet Tavuk Nugget + 4 Adet Chicken Fingers + 2 Adet Sos + Patates Kızartması + Kutu İçecek </t>
  </si>
  <si>
    <t>8'li Tavuk Kanat Menü (2 Kişilik)</t>
  </si>
  <si>
    <t xml:space="preserve">8 Adet Tavuk Kanat + 8 Adet Tavuk Nugget + 8 Adet Chicken Fingers + 2 Adet Sos + Patates Kızartması + İçecek (1 L.) </t>
  </si>
  <si>
    <t>12'li Acılı Tavuk Kanat Menü (1 - 2 Kişilik)</t>
  </si>
  <si>
    <t xml:space="preserve">12 Adet Acılı Tavuk Kanat + Patates Kızartması + Kutu İçecek </t>
  </si>
  <si>
    <t>65,90 TL</t>
  </si>
  <si>
    <t>Tavuk Kanat Kanki Mix Menü (3 - 4 Kişilik)</t>
  </si>
  <si>
    <t xml:space="preserve">12 Adet Tavuk Kanat + 12 Adet Tavuk Nugget + 12 Adet Chicken Fingers + 4 Adet Soğan Halkası + 2 Adet Sos + 2 Adet Patates Kızartması + İçecek (1 L.) </t>
  </si>
  <si>
    <t>115,90 TL</t>
  </si>
  <si>
    <t>Chicken Nugget Menü</t>
  </si>
  <si>
    <t xml:space="preserve">Chicken Nugget (150 gr. tavuk parçaları) + Patates Kızartması + 2 Adet Sos + Kutu İçecek </t>
  </si>
  <si>
    <t>XL Menü</t>
  </si>
  <si>
    <t xml:space="preserve">Buffalo Chicken Burger (Çıtır tavuk, turşu, marul, cheddar peyniri, çıtır soğan, buffalo sos) + 6 Adet Nugget + 3 Adet Chicken Fingers + 4 Adet Soğan Halkası + 3 Adet Mozzarella Peyniri Çubukları + Patates Kızartması + 2 Adet Sos + Kutu İçecek </t>
  </si>
  <si>
    <t xml:space="preserve">Buffalo Chicken Burger (Çıtır tavuk, turşu, marul, cheddar peyniri, çıtır soğan, buffalo sos) + 6 Adet Nugget + 3 Adet Chicken Fingers + Patates Kızartması + 2 Adet Sos + Kutu İçecek </t>
  </si>
  <si>
    <t>Menü 6</t>
  </si>
  <si>
    <t xml:space="preserve">Buffalo Chicken Burger (Çıt��r tavuk, turşu, marul, cheddar peyniri, çıtır soğan, buffalo sos) + 4 Adet Nugget + 4 Adet Tavuk Kanat + Patates Kızartması + 2 Adet Sos + Kutu İçecek </t>
  </si>
  <si>
    <t xml:space="preserve">Bbq Chicken Burger (Çıtır tavuk, marul, domates, turşu, kaşar peyniri, çıtır soğan, barbekü sos) + 6 Adet Nugget + 3 Adet Chicken Fingers + Patates Kızartması + 2 Adet Sos + Kutu İçecek </t>
  </si>
  <si>
    <t xml:space="preserve">Sweet &amp; Chili Chicken Burger (Çıtır tavuk, kaşar peyniri, marul, domates, kaşar peyniri, çıtır soğan, sweet chili sos) + 6 Adet Nugget + 3 Adet Chicken Fingers + Patates Kızartması + 2 Adet Sos + Kutu İçecek </t>
  </si>
  <si>
    <t>Menü 5</t>
  </si>
  <si>
    <t xml:space="preserve">Mex-Chicken Burger (Çıtır tavuk) + 6 Adet Nugget + 3 Adet Chicken Fingers + Patates Kızartması + 2 Adet Sos + Kutu İçecek </t>
  </si>
  <si>
    <t>Bbq Chicken Burger Menü</t>
  </si>
  <si>
    <t xml:space="preserve">Bbq Chicken Burger (Çıtır tavuk, marul, domates, turşu, kaşar peyniri, çıtır soğan, barbekü sos) + Patates Kızartması + Kutu İçecek </t>
  </si>
  <si>
    <t>Beep Chicken Burger Menü</t>
  </si>
  <si>
    <t xml:space="preserve">Beep Chicken Burger (Çıtır tavuk, marul, 2 adet cheddar peyniri, kornişon turşu, domates, çıtır soğan, beep sos) + Patates Kızartması + Kutu İçecek </t>
  </si>
  <si>
    <t>Buffalo Chicken Burger Menü</t>
  </si>
  <si>
    <t xml:space="preserve">Buffalo Chicken Burger (Çıtır tavuk, turşu, marul, cheddar peyniri, çıtır soğan, buffalo sos) + Patates Kızartması + Kutu İçecek </t>
  </si>
  <si>
    <t>Cosmic Burger Menü</t>
  </si>
  <si>
    <t xml:space="preserve">Cosmic Burger (Çıtır tavuk, turşu, marul, cheddar peyniri, domates, cosmic sos (hafif acılı), kornişon turşu, çıtır soğan) + Patates Kızartması + Kutu İçecek </t>
  </si>
  <si>
    <t>Crispy Chicken Burger Menü</t>
  </si>
  <si>
    <t xml:space="preserve">Crispy Chicken Burger (Çıtır tavuk, kornişon turşu, cheddar peyniri, domates, marul, çıtır soğan, mayonez sos) + Patates Kızartması + Kutu İçecek </t>
  </si>
  <si>
    <t>Mexican Burger Menü</t>
  </si>
  <si>
    <t xml:space="preserve">Mexican Burger (Çıtır tavuk, marul, kaşar peyniri, kornişon turşu, jalapeno biberi, ranch sos) + Patates Kızartması + Kutu İçecek </t>
  </si>
  <si>
    <t>Sweet &amp; Chili Chicken Burger Menü</t>
  </si>
  <si>
    <t xml:space="preserve">Sweet &amp; Chili Chicken Burger (Çıtır tavuk, kaşar peyniri, marul, domates, kaşar peyniri, çıtır soğan, sweet chili sos) + Patates Kızartması + Kutu İçecek </t>
  </si>
  <si>
    <t xml:space="preserve">200 gr. tavuk göğüs, mantar, krema, kaşar peyniri, taze baharat. Pesto soslu makarna, Akdeniz yeşilliği, 2 adet roll ekmek ile </t>
  </si>
  <si>
    <t>Chili Tavuk</t>
  </si>
  <si>
    <t xml:space="preserve">200 gr. tavuk göğüs, acı sos, kapya biber. Pesto soslu makarna, Akdeniz yeşilliği, 2 adet roll ekmek ile </t>
  </si>
  <si>
    <t>Sweet Chili Tavuk</t>
  </si>
  <si>
    <t xml:space="preserve">200 gr. tavuk göğüs, tatlı acı sos, kapya biber. Pesto soslu makarna, Akdeniz yeşilliği, 2 adet roll ekmek ile </t>
  </si>
  <si>
    <t>Körili Tavuk</t>
  </si>
  <si>
    <t xml:space="preserve">200 gr. tavuk göğüs, soğan, kapya biber, köri baharatı, krema. Pesto soslu makarna, Akdeniz yeşilliği, 2 adet roll ekmek ile </t>
  </si>
  <si>
    <t>Dağ Kekikli Tavuk</t>
  </si>
  <si>
    <t xml:space="preserve">200 gr. tavuk göğüs, kaşar peyniri, kekik, krema. Pesto soslu makarna, Akdeniz yeşilliği, 2 adet roll ekmek ile </t>
  </si>
  <si>
    <t>Çedsal Tavuk</t>
  </si>
  <si>
    <t xml:space="preserve">200 gr. tavuk göğüs, cheddar peyniri, acı sos, mısır, mantar, havuç, krema. Pesto soslu makarna, Akdeniz yeşilliği, 2 adet roll ekmek ile </t>
  </si>
  <si>
    <t>Barbekü Buffalo Tavuk</t>
  </si>
  <si>
    <t xml:space="preserve">200 gr. tavuk göğüs, California biberi, soğan, bbq sos. Pesto soslu makarna, Akdeniz yeşilliği, 2 adet roll ekmek ile </t>
  </si>
  <si>
    <t>Beğendili Tavuk</t>
  </si>
  <si>
    <t xml:space="preserve">200 gr. tavuk göğüs, közlenmiş patlıcan, kaşar peyniri, taze baharat, krema. Pesto soslu makarna, Akdeniz yeşilliği, 2 adet roll ekmek ile </t>
  </si>
  <si>
    <t>Sotelenmiş Mantarlı Tavuk</t>
  </si>
  <si>
    <t>Ballı Hardallı Tavuk</t>
  </si>
  <si>
    <t xml:space="preserve">200 gr. tavuk göğüs, tane hardal, bal, mantar, taze baharat, krema. Pesto soslu makarna, Akdeniz yeşilliği, 2 adet roll ekmek ile </t>
  </si>
  <si>
    <t>Fit Tavuk</t>
  </si>
  <si>
    <t xml:space="preserve">Mevsim sebzeleri </t>
  </si>
  <si>
    <t>47,90 TL</t>
  </si>
  <si>
    <t>Etli Noodle</t>
  </si>
  <si>
    <t>51,90 TL</t>
  </si>
  <si>
    <t>Patates Kızartması (Kova)</t>
  </si>
  <si>
    <t>33,90 TL</t>
  </si>
  <si>
    <t>Cheddar Soslu Patates Kızartması (Kova)</t>
  </si>
  <si>
    <t>31,90 TL</t>
  </si>
  <si>
    <t>Chicken Nugget (150 gr.)</t>
  </si>
  <si>
    <t>Chicken Fingers (150 gr.)</t>
  </si>
  <si>
    <t>Cosmic Sos</t>
  </si>
  <si>
    <t>Beef Sos</t>
  </si>
  <si>
    <t>Ballı Hardal Sos</t>
  </si>
  <si>
    <t>Sweet &amp; Chili Sos</t>
  </si>
  <si>
    <t>Açım Burger Menü</t>
  </si>
  <si>
    <t xml:space="preserve">2 Adet Chicken Burger + Patates Kızartması + İçecek </t>
  </si>
  <si>
    <t>Kumru Tost Menü</t>
  </si>
  <si>
    <t xml:space="preserve">Kumru Tost (Dana sucuk, dana salam, kaşar peyniri) + Patates Kızartması + İçecek </t>
  </si>
  <si>
    <t>Çiğ Köfte Dürüm Menü</t>
  </si>
  <si>
    <t xml:space="preserve">Çiğ Köfte Dürüm + Ayran (17,5 cl.) </t>
  </si>
  <si>
    <t>10,50 TL</t>
  </si>
  <si>
    <t>Çiğ Köfte (300 gr.) Menü</t>
  </si>
  <si>
    <t xml:space="preserve">Çiğ Köfte (300 gr.) (3 adet lavaş, yeşillik, salatalık turşusu, nar ekşisi, acı sos, limon, domates ile) + Ayran (17,5 cl.) </t>
  </si>
  <si>
    <t xml:space="preserve">Chicken Burger (Çıtır tavuk burger, domates, salatalık turşusu, marul) + Patates Kızartması + İçecek </t>
  </si>
  <si>
    <t>Somun Ekmeğe Karışık Tost Menü</t>
  </si>
  <si>
    <t xml:space="preserve">Somun Ekmeğe Karışık Tost (Kaşar peyniri, sucuk) + Patates Kızartması + İçecek </t>
  </si>
  <si>
    <t>Somun Ekmeğe Kaşarlı Tost Menü</t>
  </si>
  <si>
    <t xml:space="preserve">Somun Ekmeğe Kaşarlı Tost + Patates Kızartması + İçecek </t>
  </si>
  <si>
    <t>Patatesli Gözleme Menü</t>
  </si>
  <si>
    <t xml:space="preserve">Patatesli Gözleme + Patates Kızartması + İçecek </t>
  </si>
  <si>
    <t>Kaşarlı Sucuklu Gözleme Menü</t>
  </si>
  <si>
    <t xml:space="preserve">Kaşarlı Sucuklu Gözleme + Patates Kızartması + İçecek </t>
  </si>
  <si>
    <t>Açım Kaşarlı Kare Tost Menü</t>
  </si>
  <si>
    <t xml:space="preserve">4 Adet Kaşarlı Kare Tost + Patates Kızartması + İçecek </t>
  </si>
  <si>
    <t>Açım Karışık Kare Tost Menü</t>
  </si>
  <si>
    <t xml:space="preserve">4 Adet Karışık Kare Tost + Patates Kızartması + İçecek </t>
  </si>
  <si>
    <t>Şinitzel Menü</t>
  </si>
  <si>
    <t xml:space="preserve">2 Adet Şinitzel + Patates Kızartması + İçecek </t>
  </si>
  <si>
    <t>Nugget Menü</t>
  </si>
  <si>
    <t xml:space="preserve">7 Adet Nugget + Patates Kızartması + İçecek </t>
  </si>
  <si>
    <t>Cordon Blue Menü</t>
  </si>
  <si>
    <t xml:space="preserve">2 Adet Cordon Bleu + Patates Kızartması + İçecek </t>
  </si>
  <si>
    <t>Çekirdek Aile Boyu Menü</t>
  </si>
  <si>
    <t xml:space="preserve">Çekirdek Aile Boyu Çiğ Köfte (600 gr.) + 5 Adet Lavaş + Salata+ 2 Adet Nar Ekşili Sos + 2 Adet Acı Sos + 2 Adet Biber + Şalgam Suyu (1 L.) </t>
  </si>
  <si>
    <t>37,50 TL</t>
  </si>
  <si>
    <t>Aile Boyu Menü</t>
  </si>
  <si>
    <t xml:space="preserve">Aile Boyu Çiğ Köfte (1 kg.) + 8 Adet Lavaş + Salata + 4 Adet Nar Ekşili Sos + 4 Adet Acı Sos + 4 Adet Biber + Şalgam Suyu (1 L.) veya 4 Adet Ayran (1,75 cl.) </t>
  </si>
  <si>
    <t>Geniş Aile Boyu Menü</t>
  </si>
  <si>
    <t xml:space="preserve">Geniş Aile Boyu Çiğ Köfte (1,5 kg.) + 12 Adet Lavaş + Salata + 6 Adet Nar Ekşili Sos + 6 Adet Acı Sos + 6 Adet Biber + 2 Adet Şalgam Suyu (1 L.) veya 6 Adet Ayran (1,75 cl.) </t>
  </si>
  <si>
    <t>Çift Menü</t>
  </si>
  <si>
    <t xml:space="preserve">Çiğ Köfte Dürüm + Mega Çiğ Köfte Dürüm + 2 Adet Ayran (1,75 cl.) </t>
  </si>
  <si>
    <t>Junior Arkadaş Çiğ Köfte Menü</t>
  </si>
  <si>
    <t xml:space="preserve">4 Adet Çiğ Köfte Dürüm + Şalgam Suyu (1 L.) veya 4 Adet Ayran (1,75 cl.) </t>
  </si>
  <si>
    <t>Mega Arkadaş Çiğ Köfte Menü</t>
  </si>
  <si>
    <t xml:space="preserve">4 Adet Mega Çiğ Köfte Dürüm + Şalgam Suyu (1 L.) veya 4 Adet Ayran (1,75 cl.) </t>
  </si>
  <si>
    <t>2'li Karışık Kare Tost Menü</t>
  </si>
  <si>
    <t xml:space="preserve">2 Adet Karışık Tost (Dana sucuk, kaşar peyniri) + Patates Kızartması + İçecek </t>
  </si>
  <si>
    <t>2'li Kaşarlı Kare Tost Menü</t>
  </si>
  <si>
    <t xml:space="preserve">2 Adet Kaşarlı Kare Tost + Patates Kızartması + İçecek </t>
  </si>
  <si>
    <t>Açım Ayvalık Menü</t>
  </si>
  <si>
    <t xml:space="preserve">2 Adet Ayvalık Tostu (Dana sucuk, kaşar peyniri) + Patates Kızartması + İçecek </t>
  </si>
  <si>
    <t>Açım Bazlama Menü</t>
  </si>
  <si>
    <t xml:space="preserve">2 Adet Bazlama Tostu (Dana sucuk, kaşar peyniri) + Patates Kızartması + İçecek </t>
  </si>
  <si>
    <t>Açım Kumru Menü</t>
  </si>
  <si>
    <t xml:space="preserve">2 Adet Kumru Tostu (Dana sucuk, dana salam, kaşar peyniri) + Patates Kızartması + İçecek </t>
  </si>
  <si>
    <t>Ayvalık Tost Menü</t>
  </si>
  <si>
    <t xml:space="preserve">Ayvalık Tostu (Ayvalık ekmeğine; sucuk, kaşar peyniri) + Patates Kızartması + İçecek </t>
  </si>
  <si>
    <t>Bazlama Tost Menü</t>
  </si>
  <si>
    <t xml:space="preserve">Bazlama Tost (Bazlama ekmeğine; sucuk, kaşar peyniri) + Patates kızartması + Kutu İçecek </t>
  </si>
  <si>
    <t>Çiğ Köfte Sushi Menü</t>
  </si>
  <si>
    <t xml:space="preserve">Çiğ Köfte Sushi (Rulo halinde dilimlenmiş 3 adet lavaşa 300 gr. çiğköte) + Salata + Ayran (17,5 cl.) </t>
  </si>
  <si>
    <t>Ekmek Arası Sucuk Menü</t>
  </si>
  <si>
    <t xml:space="preserve">Ekmek Arası Sucuk + Patates Kızartması + İçecek </t>
  </si>
  <si>
    <t>Ekmek Arası Tavuk Köfte Menü</t>
  </si>
  <si>
    <t xml:space="preserve">Yarım Ekmek Arası Tavuk Köfte + Patates Kızartması + İçecek </t>
  </si>
  <si>
    <t>Karışık Pizza Menü</t>
  </si>
  <si>
    <t xml:space="preserve">Hazır Küçük Boy Karışık Pizza (Piliç sosis, dana salam, kaşar peyniri) + Patates Kızartması + İçecek </t>
  </si>
  <si>
    <t>Mega Çiğ Köfte Dürüm Menü</t>
  </si>
  <si>
    <t xml:space="preserve">Mega Çiğ Köfte Dürüm + Ayran (17,5 cl.) </t>
  </si>
  <si>
    <t>Somun Ekmeğe Karışık Tost</t>
  </si>
  <si>
    <t xml:space="preserve">Yarım somun ekmeğine; sucuk, kaşar peyniri </t>
  </si>
  <si>
    <t>Somun Ekmeğe Kaşarlı Tost</t>
  </si>
  <si>
    <t>Bazlama Ekmeğine Sucuklu Kaşarlı Tost</t>
  </si>
  <si>
    <t>Bazlama Ekmeğine Kaşarlı Tost</t>
  </si>
  <si>
    <t>Ayvalık Ekmeğine Sucuklu Kaşarlı Tost</t>
  </si>
  <si>
    <t>Ayvalık Ekmeğine Kaşarlı Tost</t>
  </si>
  <si>
    <t>Kumru Tost</t>
  </si>
  <si>
    <t xml:space="preserve">Sosis, kaşar peyniri </t>
  </si>
  <si>
    <t>2'li Sucuklu Kaşarlı Kare Tost</t>
  </si>
  <si>
    <t>2'li Kaşarlı Kare Tost</t>
  </si>
  <si>
    <t xml:space="preserve">8 adet lavaş, yeşillik, salatalık turşusu, nar ekşisi, acı sos, limon, domates </t>
  </si>
  <si>
    <t xml:space="preserve">4 adet lavaş, yeşillik, salatalık turşusu, nar ekşisi, acı sos, limon, domates </t>
  </si>
  <si>
    <t>Garnitürsüz Çiğ Köfte (1 kg.)</t>
  </si>
  <si>
    <t>Garnitürsüz Çiğ Köfte (500 gr.)</t>
  </si>
  <si>
    <t>Acı Sos (12 gr.)</t>
  </si>
  <si>
    <t>Nar Ekşisi (12 gr.)</t>
  </si>
  <si>
    <t>Mevsim Salata (Orta Boy)</t>
  </si>
  <si>
    <t>Yakan Biber Sos</t>
  </si>
  <si>
    <t>Lavaş</t>
  </si>
  <si>
    <t>Mevsim Salata (Büyük Boy)</t>
  </si>
  <si>
    <t>Mardo Kakaolu Dondurma (500 gr.)</t>
  </si>
  <si>
    <t>Mardo Sade Dondurma (500 gr.)</t>
  </si>
  <si>
    <t>Mardo Sade Dondurma (85 gr.)</t>
  </si>
  <si>
    <t>Mardo Sade Dondurma (400 gr.)</t>
  </si>
  <si>
    <t>Mardo Limonlu Dondurma (500 gr.)</t>
  </si>
  <si>
    <t>Mardo Sade &amp; Limonlu Dondurma (500 gr.)</t>
  </si>
  <si>
    <t>6,75 TL</t>
  </si>
  <si>
    <t>Pepsi (25 cl.)</t>
  </si>
  <si>
    <t>Doğanay Limonata (30 cl.)</t>
  </si>
  <si>
    <t>3,75 TL</t>
  </si>
  <si>
    <t>Ayran (17,5 cl.)</t>
  </si>
  <si>
    <t>2,25 TL</t>
  </si>
  <si>
    <t>Sırma Meyveli Soda (20 cl.)</t>
  </si>
  <si>
    <t>Beypazarı Meyveli Soda (20 cl.)</t>
  </si>
  <si>
    <t>8,25 TL</t>
  </si>
  <si>
    <t>11,25 TL</t>
  </si>
  <si>
    <t>Karışık Tavuk Izgara (1 kg.)</t>
  </si>
  <si>
    <t xml:space="preserve">Mevsim salata ile </t>
  </si>
  <si>
    <t>Salata</t>
  </si>
  <si>
    <t xml:space="preserve">Mevsim salata, közlenmiş biber, közlenmiş domates ile </t>
  </si>
  <si>
    <t>Kuzu Ciğer - Şu anda mevcut değil.</t>
  </si>
  <si>
    <t>Tavuk Köftesi - Şu anda mevcut değil.</t>
  </si>
  <si>
    <t>Dana Biftek - Şu anda mevcut değil.</t>
  </si>
  <si>
    <t xml:space="preserve">Dana biftek, mevsim salata, közlenmiş biber, közlenmiş domates </t>
  </si>
  <si>
    <t>Dana Çöp Şiş</t>
  </si>
  <si>
    <t xml:space="preserve">Mevsim salata, közlenmiş biber, közlenmiş soğan, közlenmiş domates ile </t>
  </si>
  <si>
    <t>Kuzu Çöp Şiş - Şu anda mevcut değil.</t>
  </si>
  <si>
    <t>Et Pirzola</t>
  </si>
  <si>
    <t>Ciğer Dürüm - Şu anda mevcut değil.</t>
  </si>
  <si>
    <t>Kuzu Ciğer Dürüm - Şu anda mevcut değil.</t>
  </si>
  <si>
    <t>Dana Kuşbaşı (1 kg.)</t>
  </si>
  <si>
    <t xml:space="preserve">1.5 tavuk pirzola mevsim salata, közlenmiş biber, közlenmiş soğan ile </t>
  </si>
  <si>
    <t>Izgara Kanat (1,5 kg.)</t>
  </si>
  <si>
    <t xml:space="preserve">Közlenmiş biber, közlenmiş soğan, mevsim salata ile </t>
  </si>
  <si>
    <t>Tavuk Şiş (1,5 kg.)</t>
  </si>
  <si>
    <t xml:space="preserve">Mevsim salata, közlenmiş soğan, közlenmiş biber ile </t>
  </si>
  <si>
    <t>Karışık Tavuk Izgara (1,5 kg.)</t>
  </si>
  <si>
    <t xml:space="preserve">Mevsim salata, közlenmiş biber, közlenmiş soğan ile </t>
  </si>
  <si>
    <t>Et Pirzola (1 kg.)</t>
  </si>
  <si>
    <t>Dana Biftek (1 kg.)</t>
  </si>
  <si>
    <t>Sucuk (1 kg.)</t>
  </si>
  <si>
    <t>Közlenmiş Biber (1 kg.) (Pişirilmiş)</t>
  </si>
  <si>
    <t>2'li Köfte Burger Menü</t>
  </si>
  <si>
    <t xml:space="preserve">2 Adet Köfte Burger + Orta Boy Patates Kızartması + Kutu İçecek </t>
  </si>
  <si>
    <t>32,90 TL</t>
  </si>
  <si>
    <t>2'li Chicken Burger Menü</t>
  </si>
  <si>
    <t xml:space="preserve">2 Adet Chicken Burger + Orta Boy Patates Kızartması + Kutu İçecek </t>
  </si>
  <si>
    <t>3'lü Avantajlı Burgerim Menü</t>
  </si>
  <si>
    <t xml:space="preserve">Burgerim (80 gr.) + Cheeseburger (80 gr.) + Fileto Tavuk Burger (80 gr.) + Büyük Boy Patates Kızartması + İçecek (1 L.) </t>
  </si>
  <si>
    <t>52,50 TL</t>
  </si>
  <si>
    <t>2'li Good Burger Menü</t>
  </si>
  <si>
    <t xml:space="preserve">Köfte Burger + Chicken Burger + Orta Boy Patates Kızartması + Kutu İçecek </t>
  </si>
  <si>
    <t>Cheeseburger (80 gr.)</t>
  </si>
  <si>
    <t xml:space="preserve">80 gr. dana burger köftesi, cheddar peyniri, salatalık turşusu, marul, karamelize soğan, özel burger sos. Patates kızartması ile </t>
  </si>
  <si>
    <t>Vodafone Menüsü (Steakhouse Burger (220 gr.))</t>
  </si>
  <si>
    <t xml:space="preserve">Steakhouse Burger + Patates Kızartması + Kutu İçecek (Kampanya koşulları için restoranın Promosyonlar bölümüne göz atınız. İndirimli fiyat ürün sepete eklendikten sonra uygulanır.) </t>
  </si>
  <si>
    <t>Mexican Burger (Acılı) (150 gr.)</t>
  </si>
  <si>
    <t xml:space="preserve">150 gr. dana burger köftesi, cheddar peyniri, jalapeno biberi, közlenmiş kırmızıbiber, marul, karamelize soğan, özel burger sos. Patates kızartması ile </t>
  </si>
  <si>
    <t>33,50 TL</t>
  </si>
  <si>
    <t>Best Burger (Mantarlı) (150 gr.)</t>
  </si>
  <si>
    <t xml:space="preserve">150 gr. dana burger köftesi, cheddar peyniri, mantar, marul, karamelize soğan, özel burger sos. Patates kızartması ile </t>
  </si>
  <si>
    <t>Anadolu Burger (Pastırmalı) (150 gr.)</t>
  </si>
  <si>
    <t xml:space="preserve">150 gr. dana burger köftesi, cheddar peyniri, dana pastırma, marul, karamelize soğan, özel burger sos. Patates kızartması ile </t>
  </si>
  <si>
    <t>36,50 TL</t>
  </si>
  <si>
    <t>Kasap Burger (Füme Et) (150 gr.)</t>
  </si>
  <si>
    <t xml:space="preserve">150 gr. dana burger köftesi, cheddar peyniri, dana füme et, marul, karamelize soğan, özel burger sos. Patates kızartması ile </t>
  </si>
  <si>
    <t>Steakhouse Burger (220 gr.)</t>
  </si>
  <si>
    <t xml:space="preserve">220 gr. dana burger köftesi, duble cheddar peyniri, karamelize soğan, özel burger sos. Patates kızartması ile </t>
  </si>
  <si>
    <t>Köz Patlıcanlı Burger (150 gr.)</t>
  </si>
  <si>
    <t xml:space="preserve">150 gram dana köfte, karamelize soğan, özel sos, cheddar peyniri, köz patlıcan, turşu, yeşillik. Patates kızartması ile </t>
  </si>
  <si>
    <t>Lokum Burger (130 gr.)</t>
  </si>
  <si>
    <t xml:space="preserve">130 gr. dana bonfile, cheddar peyniri, turşu, yeşillik, karamelize soğan, özel sos. Patates kızartması ile </t>
  </si>
  <si>
    <t>42,50 TL</t>
  </si>
  <si>
    <t>Fileto Tavuk Burger (80 gr.)</t>
  </si>
  <si>
    <t xml:space="preserve">Izgara ateşinde 80 gr. tavuk fileto, salatalık turşusu, marul, domates, karamelize soğan, özel burger sos. Patates kızartması ile </t>
  </si>
  <si>
    <t>Çıtır Tavuk Burger (80 gr.)</t>
  </si>
  <si>
    <t xml:space="preserve">80 gr. özel panelenmiş fileto tavuk, salatalık turşusu, marul, domates, karamelize soğan, özel burger sos. Patates kızartması ile </t>
  </si>
  <si>
    <t xml:space="preserve">55 gr. kızarmış tavuk köfte, özel sos, marul, turşu. Patates kızartması ile </t>
  </si>
  <si>
    <t>Mantarlı Tavuk Burger (140 gr.)</t>
  </si>
  <si>
    <t xml:space="preserve">Izgarada 140 gr. tavuk, mantar, turşu, karamelize soğan, cheddar peyniri, yeşillik, özel sos. Patates kızartması ile </t>
  </si>
  <si>
    <t>Acılı Tavuk Burger (140 gr.)</t>
  </si>
  <si>
    <t xml:space="preserve">Izgarada 140 gr. tavuk, közlenmiş kırmızı biber, jalapeno biber, karamelize soğan, cheddar peyniri, yeşillik, özel acı sos. Patates kızartması ile </t>
  </si>
  <si>
    <t>BBQ Soslu Tavuk Burger (140 gr.)</t>
  </si>
  <si>
    <t xml:space="preserve">Izgarada 140 gr.tavuk, tavada sotelenmiş kırmızı kapya charliston biber, mantar, bbq sos, karamelize soğan, cheddar peyniri. Patates kızartması ile </t>
  </si>
  <si>
    <t>Gurme Tavuk Burger (140 gr.)</t>
  </si>
  <si>
    <t xml:space="preserve">Izgarada 140 gr tavuk, domates, karamelize soğan, yeşillik, özel sos. patates kızartması ile </t>
  </si>
  <si>
    <t xml:space="preserve">Kasap Burger + Cheeseburger + Burgerim + Büyük Boy Patates Kızartması + 9 Adet Soğan Halkası + İçecek (1 L.) </t>
  </si>
  <si>
    <t>Süper Et Sever İkili Menü</t>
  </si>
  <si>
    <t xml:space="preserve">Steakhouse Burger + Lokum Burger + Büyük Boy Patates Kızartması + 8 Adet Soğan Halkası + İçecek (1 L.) </t>
  </si>
  <si>
    <t>3'lü Mini Burger Menü</t>
  </si>
  <si>
    <t xml:space="preserve">Mini Kasap Burger + Mini Anadolu Burger + Mini Burgerim + Orta Boy Patates Kızartması + Kutu İçecek </t>
  </si>
  <si>
    <t>46,00 TL</t>
  </si>
  <si>
    <t>Anadolu Burger (Pastırmalı) (150 gr.) Menü</t>
  </si>
  <si>
    <t xml:space="preserve">Anadolu Burger + Patates Kızartması + Kutu İçecek </t>
  </si>
  <si>
    <t>Ayrımaz İkili Menü</t>
  </si>
  <si>
    <t xml:space="preserve">Burgerim + Fileto Tavuk Burger + Pepsi (1 L.) </t>
  </si>
  <si>
    <t>44,52 TL</t>
  </si>
  <si>
    <t>Best Burger (Mantarlı) (150 gr.) Menü</t>
  </si>
  <si>
    <t xml:space="preserve">Best Burger + Patates Kızartması + Kutu İçecek </t>
  </si>
  <si>
    <t>Burgerim Menü</t>
  </si>
  <si>
    <t xml:space="preserve">Burgerim + Patates Kızartması + Kutu İçecek </t>
  </si>
  <si>
    <t>Cheese Burger Menü</t>
  </si>
  <si>
    <t xml:space="preserve">Cheeseburger + Patates Kızartması + Kutu İçecek </t>
  </si>
  <si>
    <t xml:space="preserve">Chicken Burger + Patates Kızartması + Kutu İçecek </t>
  </si>
  <si>
    <t>Et Burger (Çocuk) Menü</t>
  </si>
  <si>
    <t xml:space="preserve">Et Burger (80 gr. dana burger köftesi, salatalık turşusu, marul, domates, karamelize soğan, özel burger sos) + Patates Kızartması + Tropicana Karışık (33 cl.) + Sürpriz Yumurta </t>
  </si>
  <si>
    <t>Fileto Tavuk Burger (80 gr.) Menü</t>
  </si>
  <si>
    <t xml:space="preserve">Fileto Tavuk Burger + Patates Kızartması + Kutu İçecek </t>
  </si>
  <si>
    <t>Kasap Burger (Füme Et) (150 gr.) Menü</t>
  </si>
  <si>
    <t xml:space="preserve">Kasap Burger + Patates Kızartması + Kutu İçecek </t>
  </si>
  <si>
    <t>Köfte Burger Menü</t>
  </si>
  <si>
    <t xml:space="preserve">Köfte Burger (50 gr. dana köfte) + Patates Kızartması+ Kutu İçecek </t>
  </si>
  <si>
    <t>Mexican Burger (Acılı) (150 gr.) Menü</t>
  </si>
  <si>
    <t xml:space="preserve">Mexican Burger + Patates Kızartması + Kutu İçecek </t>
  </si>
  <si>
    <t>39,50 TL</t>
  </si>
  <si>
    <t>Steakhouse Burger (220 gr.) Menü</t>
  </si>
  <si>
    <t xml:space="preserve">Steakhouse Burger + Patates Kızartması + Kutu İçecek </t>
  </si>
  <si>
    <t>Burgerim (80 gr.)</t>
  </si>
  <si>
    <t xml:space="preserve">80 gr. dana burger köftesi, salatalık turşusu, marul, domates, karamelize soğan, özel burger sos. Patates kızartması ile </t>
  </si>
  <si>
    <t>Köfte Burger</t>
  </si>
  <si>
    <t xml:space="preserve">50 gr. dana köfte, özel sos, marul, turşu. Patates kızartması ile </t>
  </si>
  <si>
    <t>Soğan Halkası (8 Adet)</t>
  </si>
  <si>
    <t>12,90 TL</t>
  </si>
  <si>
    <t>Nugget (4 Adet)</t>
  </si>
  <si>
    <t>Çıtır Peynir (4 Adet)</t>
  </si>
  <si>
    <t>Baharatlı Patates Kızartması</t>
  </si>
  <si>
    <t>Süper Karışık Atıştırmalık</t>
  </si>
  <si>
    <t xml:space="preserve">4 adet soğan halkası, 2 adet nugget, 2 adet tavuk tenders, 2 adet çıtır peynir </t>
  </si>
  <si>
    <t>Barbekü (BBQ) Sos</t>
  </si>
  <si>
    <t>Kral Avantaj</t>
  </si>
  <si>
    <t xml:space="preserve">Chicken Royale® + Whopper Jr.® + Orta Boy Patates + 6’lı Soğan Halkası + 1L. İçecek </t>
  </si>
  <si>
    <t>Seçilmiş Menü (2'li Big King® Fırsatı)</t>
  </si>
  <si>
    <t xml:space="preserve">Big King® + Big King® + Büyük Boy Patates + 10'lu Soğan Halkası + 1 L. İçecek </t>
  </si>
  <si>
    <t>Seçilmiş Menü (2’li Whopper® Fırsatı)</t>
  </si>
  <si>
    <t xml:space="preserve">2 Adet Whopper® + Büyük Boy Patates + 8'li Soğan Halkası + 1 L. İçecek </t>
  </si>
  <si>
    <t>Seçilmiş Menü (5’li Whopper® Fırsatı)</t>
  </si>
  <si>
    <t xml:space="preserve">5 Adet Whopper Jr.® + 2 Adet Büyük Boy Patates + Soğan Halkaları (10'lu) + 1 L. İçecek (Whopper Jr.® seçimleri için geçerlidir. Whopper® veya Plant Based Whopper® seçimlerinde 12,50 TL, Double Whopper® seçimlerinde 21,99 TL ve Triple Whopper® seçimlerinde 28,99 TL fark alınmaktadır.) </t>
  </si>
  <si>
    <t>89,99 TL</t>
  </si>
  <si>
    <t>Seçilmiş Menü (3'lü Whopper® Fırsatı)</t>
  </si>
  <si>
    <t xml:space="preserve">3 Adet Whopper Jr.® + Büyük Boy Patates + 1 L. İçecek (Whopper Jr.® seçimleri için geçerlidir. Whopper® veya Plant Based Whopper® seçimlerinde 12,50 TL, Double Whopper® seçimlerinde 21,99 TL ve Triple Whopper® seçimlerinde 28,99 TL fark alınmaktadır.) </t>
  </si>
  <si>
    <t>55,50 TL</t>
  </si>
  <si>
    <t>Seçilmiş Menü (Diamond Gamer Menü)</t>
  </si>
  <si>
    <t xml:space="preserve">Whopper Jr.® veya Chicken Royale® + Orta Boy Patates + 4’lü Soğan Halkası + 4'lü BK King Nuggets® + Coca-Cola (33 cl.) </t>
  </si>
  <si>
    <t>38,99 TL</t>
  </si>
  <si>
    <t>Seçilmiş Menü (Kral Fırsat)</t>
  </si>
  <si>
    <t xml:space="preserve">2 Adet Big King®️ + 2 Adet King Chicken®️ + King Boy Patates Kızartması + 8’li Soğan Halkası + 1 L. İçecek </t>
  </si>
  <si>
    <t>94,99 TL</t>
  </si>
  <si>
    <t>Seçilmiş Menü (Kral Menü)</t>
  </si>
  <si>
    <t xml:space="preserve">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 </t>
  </si>
  <si>
    <t>Seçilmiş Menü (4'lü Fırsat Menüsü)</t>
  </si>
  <si>
    <t xml:space="preserve">4 Adet King Chicken® + King Boy Patates Kızartması + 8’li Soğan Halkası + 1 L. İçecek 112,44 TL yerine 74,99 TL! </t>
  </si>
  <si>
    <t>Vodafone Menüsü (King Chicken Menü &amp; Cheeseburger)</t>
  </si>
  <si>
    <t xml:space="preserve">King Chicken® Menü + Cheeseburger 52,99 TL yerine 37,99 TL. (Kampanya koşulları için restoranın Promosyonlar bölümüne göz atınız) </t>
  </si>
  <si>
    <t>52,99 TL</t>
  </si>
  <si>
    <t>Vodafone Menüsü (Whopper Jr.® Menü &amp; Tavukburger®)</t>
  </si>
  <si>
    <t xml:space="preserve">Whopper Jr.® Menü + Tavukburger® 51,98 TL yerine 37,99 TL. (Kampanya koşulları için restoranın Promosyonlar bölümüne göz atınız) </t>
  </si>
  <si>
    <t>51,98 TL</t>
  </si>
  <si>
    <t>Algida Menüsü (Barbekü Lezzeti)</t>
  </si>
  <si>
    <t xml:space="preserve">Etli Barbekü Deluxe Burger + Tavuklu Barbekü Deluxe Burger + Orta Boy Patates + 2 Adet Algida Mini Nogger + 1 L. İçecek </t>
  </si>
  <si>
    <t>47,99 TL</t>
  </si>
  <si>
    <t>Burger King® Algida Menüsü 2</t>
  </si>
  <si>
    <t xml:space="preserve">2 Adet Chicken Royale® + Büyük Boy Patates + 2 Adet Algida Mini Nogger + 1 L. İçecek (Sadece Chicken Royale® ve Etli Barbekü Deluxe Burger seçimleri için geçerlidir. BK Kral Burger seçimlerinde 6,50 TL, Whopper® seçimlerinde 9 TL fark alınmaktadır.) </t>
  </si>
  <si>
    <t xml:space="preserve">Double Cheeseburger + King Chicken® + Büyük Boy Patates + Soğan Halkaları (8'li) + Litrelik İçecek (Maximum Menü indirimi, Maximum özellikli tüm kredi kartları ve İş Bankası Bankamatik Kartları ile yapılacak online ödemelerde ödeme anında uygulanacaktır.) </t>
  </si>
  <si>
    <t>4'lü Big King® Fırsatı</t>
  </si>
  <si>
    <t xml:space="preserve">4 Adet Big King® + Büyük Boy Patates + Litrelik İçecek </t>
  </si>
  <si>
    <t>3’lü King Chicken® Fırsatı</t>
  </si>
  <si>
    <t xml:space="preserve">3 Adet King Chicken® + Büyük Boy Patates + Litrelik İçecek </t>
  </si>
  <si>
    <t>2'li Barbeko Burger Menü</t>
  </si>
  <si>
    <t xml:space="preserve">2 Adet Barbeko Burger + Patates Kızartması (Büyük) + Litrelik İçecek </t>
  </si>
  <si>
    <t>Lezzet Kovalı Maç Menüsü</t>
  </si>
  <si>
    <t xml:space="preserve">2 Adet Whopper Jr.® + BK King Nuggets® (6’lı) + Soğan Halkaları (8'li) + Chicken Tenders® (4’lü) + Büyük Boy Patates + 1 L. İçecek </t>
  </si>
  <si>
    <t>64,99 TL</t>
  </si>
  <si>
    <t>Karışık Lezzet Kova Menü</t>
  </si>
  <si>
    <t xml:space="preserve">BK King Nuggets® (6’lı) + Soğan Halkası (8’li) + Chicken Tenders® (4'lü) + Patates Kızartması (Büyük) + Litrelik İçecek </t>
  </si>
  <si>
    <t>Dört Dörtlük Menü</t>
  </si>
  <si>
    <t xml:space="preserve">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 </t>
  </si>
  <si>
    <t>129,99 TL</t>
  </si>
  <si>
    <t>Benim İkilim</t>
  </si>
  <si>
    <t xml:space="preserve">2 Adet Seçeceğiniz Sandviç + Büyük Boy Patates + 1 L. İçecek (Tavukburger® seçimleri için geçerlidir. King Chicken® ve Big King Jr.® seçimlerinde 4 TL, Chicken Royale 6 TL, Big King® seçimlerinde 10,50 TL fark alınmaktadır.) </t>
  </si>
  <si>
    <t>Kral Teklif Menü</t>
  </si>
  <si>
    <t xml:space="preserve">BK Kral Burger + Whopper Jr.® + Büyük Boy Patates Kızartması + Soğan Halkaları (8'li) + 1 L. İçecek </t>
  </si>
  <si>
    <t>Kral İkili</t>
  </si>
  <si>
    <t xml:space="preserve">Big King® Sandviç + King Chicken® Sandviç + Büyük Boy Patates + 1 L. İçecek </t>
  </si>
  <si>
    <t>49,99 TL</t>
  </si>
  <si>
    <t>Beşiktaş Menüsü</t>
  </si>
  <si>
    <t xml:space="preserve">Etli Barbekü Deluxe Burger + Chicken Royale® + Büyük Boy Patates + 4'lü Soğan Halkası + 1 L. İçecek (Taşıma torbası seçimi siparişinizin doğru şekilde teslim edilebilmesi için eklenmiştir.) </t>
  </si>
  <si>
    <t>Fenerbahçe Menüsü</t>
  </si>
  <si>
    <t>Galatasaray Menüsü</t>
  </si>
  <si>
    <t>Trabzonspor Menüsü</t>
  </si>
  <si>
    <t>Plant Based Whopper® Menü</t>
  </si>
  <si>
    <t xml:space="preserve">BK Planty Whopper® + Büyük Boy Patates + Kutu İçecek </t>
  </si>
  <si>
    <t>Barbeko Burger Menü</t>
  </si>
  <si>
    <t xml:space="preserve">Barbeko Burger + Büyük Boy Patates Kızartması + Kutu İçecek </t>
  </si>
  <si>
    <t>Whopper Jr.® Menü</t>
  </si>
  <si>
    <t xml:space="preserve">Whopper Jr.® + Büyük Boy Patates + Kutu İçecek </t>
  </si>
  <si>
    <t>Whopper® Menü</t>
  </si>
  <si>
    <t xml:space="preserve">Whopper® + Büyük Boy Patates + Kutu İçecek </t>
  </si>
  <si>
    <t>Double Whopper® Menü</t>
  </si>
  <si>
    <t xml:space="preserve">Double Whopper® + Büyük Boy Patates + Kutu İçecek </t>
  </si>
  <si>
    <t>Triple Whopper® Menü</t>
  </si>
  <si>
    <t xml:space="preserve">Triple Whopper® + Büyük Boy Patates + Kutu İçecek </t>
  </si>
  <si>
    <t>Big King®Jr. Menü</t>
  </si>
  <si>
    <t xml:space="preserve">Big King®Jr. + Büyük Boy Patates + Kutu İçecek </t>
  </si>
  <si>
    <t>Big King® Menü</t>
  </si>
  <si>
    <t xml:space="preserve">Big King® + Büyük Boy Patates + Kutu İçecek </t>
  </si>
  <si>
    <t>Double Big King® Menü</t>
  </si>
  <si>
    <t xml:space="preserve">Double Big King® + Büyük Boy Patates + Kutu İçecek </t>
  </si>
  <si>
    <t>Big King XXL® Menü</t>
  </si>
  <si>
    <t xml:space="preserve">Big King XXL® + Büyük Boy Patates + Kutu İçecek </t>
  </si>
  <si>
    <t>BK Crispy Chicken Menü</t>
  </si>
  <si>
    <t xml:space="preserve">BK Crispy Chicken + Büyük Boy Patates + Kutu İçecek </t>
  </si>
  <si>
    <t>Chicken Royale® Menü</t>
  </si>
  <si>
    <t xml:space="preserve">Chicken Royale® + Büyük Boy Patates + Kutu İçecek </t>
  </si>
  <si>
    <t>King Chicken® Menü</t>
  </si>
  <si>
    <t xml:space="preserve">King Chicken® + Büyük Boy Patates + Kutu İçecek </t>
  </si>
  <si>
    <t>Double King Chicken® Menü</t>
  </si>
  <si>
    <t xml:space="preserve">Double King Chicken® + Büyük Boy Patates + Kutu İçecek </t>
  </si>
  <si>
    <t>Mangalda Izgara Tavuk Menü</t>
  </si>
  <si>
    <t xml:space="preserve">Mangalda Izgara Tavuk + Büyük Boy Patates + Kutu İçecek </t>
  </si>
  <si>
    <t>Klasik Gurme Tavuk® Menü</t>
  </si>
  <si>
    <t xml:space="preserve">Klasik Gurme Tavuk® + Büyük Boy Patates + Kutu İçecek </t>
  </si>
  <si>
    <t>Spicy Gurme Tavuk® Menü</t>
  </si>
  <si>
    <t xml:space="preserve">Spicy Gurme Tavuk® + Büyük Boy Patates + Kutu İçecek </t>
  </si>
  <si>
    <t>Double Cheeseburger Menü</t>
  </si>
  <si>
    <t xml:space="preserve">Double Cheeseburger + Büyük Boy Patates + Kutu İçecek </t>
  </si>
  <si>
    <t>Mega Double Cheeseburger Menü</t>
  </si>
  <si>
    <t xml:space="preserve">Mega Double Cheeseburger + Büyük Boy Patates + Kutu İçecek </t>
  </si>
  <si>
    <t>62,99 TL</t>
  </si>
  <si>
    <t>Etli Master Burger Menü</t>
  </si>
  <si>
    <t xml:space="preserve">Etli Master Burger + Büyük Boy Patates + Kutu İçecek </t>
  </si>
  <si>
    <t>Tavuklu Master Burger Menü</t>
  </si>
  <si>
    <t xml:space="preserve">Tavuklu Master Burger + Büyük Boy Patates + Kutu İçecek </t>
  </si>
  <si>
    <t>Etli Barbekü Brioche® Menü</t>
  </si>
  <si>
    <t xml:space="preserve">Etli Barbekü Brioche® + Büyük Boy Patates + Kutu İçecek </t>
  </si>
  <si>
    <t>Tavuklu Barbekü Brioche® Menü</t>
  </si>
  <si>
    <t xml:space="preserve">Tavuklu Barbekü Brioche® + Büyük Boy Patates + Kutu İçecek </t>
  </si>
  <si>
    <t>Rodeo Whopper® Menü</t>
  </si>
  <si>
    <t xml:space="preserve">Rodeo Whopper® + Büyük Boy Patates + Kutu İçecek (Bu ürünün garnitürlerinde değişiklik yapılamamaktadır.) </t>
  </si>
  <si>
    <t>BK Steakhouse Burger® Menü</t>
  </si>
  <si>
    <t xml:space="preserve">Steakhouse Burger® + Büyük Boy Patates + Kutu İçecek </t>
  </si>
  <si>
    <t>BK Kral Burger Menü</t>
  </si>
  <si>
    <t xml:space="preserve">BK Kral Burger + Büyük Boy Patates + Kutu İçecek </t>
  </si>
  <si>
    <t xml:space="preserve">Hamburger + Orta Boy Patates + Kutu İçecek </t>
  </si>
  <si>
    <t xml:space="preserve">Cheeseburger + Orta Boy Patates + Kutu İçecek </t>
  </si>
  <si>
    <t xml:space="preserve">Tavukburger® + Orta Boy Patates + Kutu İçecek </t>
  </si>
  <si>
    <t>Köfteburger® Menü</t>
  </si>
  <si>
    <t xml:space="preserve">Köfteburger® + Büyük Boy Patates + Kutu İçecek </t>
  </si>
  <si>
    <t>26,50 TL</t>
  </si>
  <si>
    <t>Double Köfteburger® Menü</t>
  </si>
  <si>
    <t xml:space="preserve">Double Köfteburger® + Büyük Boy Patates + Kutu İçecek </t>
  </si>
  <si>
    <t>Etli Barbekü Deluxe Burger Menü</t>
  </si>
  <si>
    <t xml:space="preserve">Etli Barbekü Deluxe Burger + Büyük Boy Patates + Kutu İçecek </t>
  </si>
  <si>
    <t>Tavuklu Barbekü Deluxe Burger Menü</t>
  </si>
  <si>
    <t xml:space="preserve">Tavuklu Barbekü Deluxe Burger + Büyük Boy Patates + Kutu İçecek </t>
  </si>
  <si>
    <t>Fish Royale® Menü</t>
  </si>
  <si>
    <t xml:space="preserve">Fish Royale® + Büyük Boy Patates + Kutu İçecek </t>
  </si>
  <si>
    <t>BK King Nuggets® Menü 6’ lı</t>
  </si>
  <si>
    <t xml:space="preserve">BK King Nuggets® 6’lı + Büyük Boy Patates + Kutu İçecek </t>
  </si>
  <si>
    <t>BK King Nuggets® Menü 9’ lu</t>
  </si>
  <si>
    <t xml:space="preserve">BK King Nuggets® 9’lu + Büyük Boy Patates + Kutu İçecek </t>
  </si>
  <si>
    <t>Chicken Tenders® Menü 6’ lı</t>
  </si>
  <si>
    <t xml:space="preserve">Chicken Tenders® 6’lı + Büyük Boy Patates + Kutu İçecek </t>
  </si>
  <si>
    <t>Chicken Tenders® Menü 9’ lu</t>
  </si>
  <si>
    <t xml:space="preserve">Chicken Tenders® 9’lu + Büyük Boy Patates + Kutu İçecek </t>
  </si>
  <si>
    <t>Bean Burger® Menü</t>
  </si>
  <si>
    <t xml:space="preserve">Bean Burger® + Büyük Boy Patates + Kutu İçecek </t>
  </si>
  <si>
    <t>Tavukburger® Cheese Menü</t>
  </si>
  <si>
    <t xml:space="preserve">Tavukburger® Cheese + Orta Boy Patates + Kutu İçecek </t>
  </si>
  <si>
    <t>Kids Hamburger Menü</t>
  </si>
  <si>
    <t xml:space="preserve">Kids Hamburger + Orta Boy Patates + Kutu İçecek + Sürpriz Oyuncak </t>
  </si>
  <si>
    <t xml:space="preserve">Kids Cheeseburger + Orta Boy Patates + Kutu İçecek + Sürpriz Oyuncak </t>
  </si>
  <si>
    <t>Kids Chicken Tenders® Menü</t>
  </si>
  <si>
    <t xml:space="preserve">4'lü Chicken Tenders® + Orta Boy Patates + Kutu İçecek + Sürpriz Oyuncak </t>
  </si>
  <si>
    <t>29,50 TL</t>
  </si>
  <si>
    <t>Tavuklu Kids Cheese Menü</t>
  </si>
  <si>
    <t xml:space="preserve">Tavuklu Kids Cheese + Orta Boy Patates + Kutu İçecek + Sürpriz Oyuncak </t>
  </si>
  <si>
    <t>Tavuklu Kids Menü</t>
  </si>
  <si>
    <t xml:space="preserve">Tavuklu Kids + Orta Boy Patates + Kutu İçecek + Sürpriz Oyuncak </t>
  </si>
  <si>
    <t>Plant Based Whopper®</t>
  </si>
  <si>
    <t xml:space="preserve">Sebze proteininden oluşan Planty Whopper®, 5'' ekmek, turşu, ketçap, mayonez, göbek salata, domates, soğan </t>
  </si>
  <si>
    <t>Barbeko Burger</t>
  </si>
  <si>
    <t xml:space="preserve">4,5'' patatesli ekmek, BK Kral Burger eti (dana), barbekü sos, mayonez, doğranmış marul, domates, soğan </t>
  </si>
  <si>
    <t>BK Crispy Chicken</t>
  </si>
  <si>
    <t xml:space="preserve">3,75" ekmek, crispy chicken eti, mayonez, marul, domates </t>
  </si>
  <si>
    <t>Whopper Jr.®</t>
  </si>
  <si>
    <t xml:space="preserve">Hamburger eti (dana), 4'' ekmek, turşu, ketçap, mayonez, göbek salata, domates, soğan </t>
  </si>
  <si>
    <t>Whopper®</t>
  </si>
  <si>
    <t xml:space="preserve">Whopper® eti (dana), 5'' ekmek, turşu, ketçap, mayonez, göbek salata, domates, soğan </t>
  </si>
  <si>
    <t>Double Whopper®</t>
  </si>
  <si>
    <t>Triple Whopper®</t>
  </si>
  <si>
    <t>Big King®Jr.</t>
  </si>
  <si>
    <t xml:space="preserve">Hamburger eti (dana), 3,75'' ekmek, 1 dilim peynir, turşu, Big King sosu, göbek salata, soğan </t>
  </si>
  <si>
    <t>Big King®</t>
  </si>
  <si>
    <t xml:space="preserve">Hamburger eti (dana), 4'' ekmek, 1 dilim peynir, turşu, Big King sosu, göbek salata, soğan </t>
  </si>
  <si>
    <t>Double Big King®</t>
  </si>
  <si>
    <t xml:space="preserve">4 adet hamburger eti (dana), 4'' ekmek, 1 dilim cheddar peyniri, turşu, Big King sosu, göbek salata, soğan </t>
  </si>
  <si>
    <t>Big King XXL®</t>
  </si>
  <si>
    <t xml:space="preserve">Whopper® eti (dana), 5'' ekmek, 4 dilim peynir, turşu, Big King sosu, göbek salata, soğan </t>
  </si>
  <si>
    <t>Chicken Royale®</t>
  </si>
  <si>
    <t xml:space="preserve">Chicken Royale® eti, 7'' ekmek, mayonez, göbek salata </t>
  </si>
  <si>
    <t>King Chicken®</t>
  </si>
  <si>
    <t xml:space="preserve">King Chicken® tavuk eti, 4,25'' ekmek, mayonez, göbek salata </t>
  </si>
  <si>
    <t>Double King Chicken®</t>
  </si>
  <si>
    <t xml:space="preserve">King Chicken tavuk eti, 4,25'' ekmek, mayonez, göbek salata </t>
  </si>
  <si>
    <t>Mangalda Izgara Tavuk</t>
  </si>
  <si>
    <t xml:space="preserve">4,5'' ekmek, kalça tavuk, mayonez, 2 dilim domates, göbek salata, 2 dilim cheddar peyniri, kızartılmış kaplamalı soğan, barbekü sos </t>
  </si>
  <si>
    <t>Klasik Gurme Tavuk®</t>
  </si>
  <si>
    <t xml:space="preserve">Klasik Gurme Tavuk® eti, 4,5'' ekmek, mayonez, göbek salata, domates </t>
  </si>
  <si>
    <t>Spicy Gurme Tavuk®</t>
  </si>
  <si>
    <t xml:space="preserve">Spicy Gurme Tavuk® eti, 4,5'' ekmek, spicy sos, göbek salata, domates </t>
  </si>
  <si>
    <t>Double Cheeseburger</t>
  </si>
  <si>
    <t xml:space="preserve">Hamburger eti (dana), 4'' ekmek, 2 dilim peynir, turşu, hardal, ketçap </t>
  </si>
  <si>
    <t>Mega Double Cheeseburger</t>
  </si>
  <si>
    <t xml:space="preserve">Hamburger eti (dana), 5'' ekmek, 4 dilim peynir, turşu, hardal, ketçap </t>
  </si>
  <si>
    <t>55,99 TL</t>
  </si>
  <si>
    <t>Etli Master Burger</t>
  </si>
  <si>
    <t xml:space="preserve">Whopper® eti (dana), 5'' ekmek, mantar sos, mozzarella peyniri, çıtır soğan, mayonez </t>
  </si>
  <si>
    <t>Tavuklu Master Burger</t>
  </si>
  <si>
    <t xml:space="preserve">Klasik Gurme Tavuk® eti, 5'' ekmek, mantar sos, çıtır soğan, mayonez </t>
  </si>
  <si>
    <t>Etli Barbekü Brioche®</t>
  </si>
  <si>
    <t xml:space="preserve">2 dilim peynir, marul, mayonez, barbekü sos, çıtır soğan </t>
  </si>
  <si>
    <t>Tavuklu Barbekü Brioche®</t>
  </si>
  <si>
    <t xml:space="preserve">2 dilim peynir, marul, mayonez, barbekü sos </t>
  </si>
  <si>
    <t>Rodeo Whopper®</t>
  </si>
  <si>
    <t xml:space="preserve">Whopper eti, 5" ekmek, mayonez, göbek salata, 4 adet soğan halkası, 2 dilim domates, barbekü sos, 2 dilim peynir (Bu ürünün garnitürlerinde değişiklik yapılamamaktadır.) </t>
  </si>
  <si>
    <t>BK Steakhouse Burger®</t>
  </si>
  <si>
    <t xml:space="preserve">Baharatlı biftek, 4,5'' ekmek, mayonez, domates, göbek salata, 2 dilim peynir, özel steak sos, kızartılmış kaplamalı soğan </t>
  </si>
  <si>
    <t>BK Kral Burger</t>
  </si>
  <si>
    <t xml:space="preserve">4,5'' patatesli ekmek, BK Kral Burger eti (dana), garlic sos, domates, göbek salata, 1 dilim peynir </t>
  </si>
  <si>
    <t xml:space="preserve">Hamburger eti (dana), 4'' ekmek, turşu, hardal, ketçap </t>
  </si>
  <si>
    <t xml:space="preserve">Tavukburger®, 4'' ekmek, mayonez, göbek salata </t>
  </si>
  <si>
    <t xml:space="preserve">Hamburger eti (dana), 4'' ekmek, 1 dilim peynir, turşu, hardal, ketçap </t>
  </si>
  <si>
    <t>Köfteburger®</t>
  </si>
  <si>
    <t xml:space="preserve">Turşu, ketçap, mayonez, göbek salata </t>
  </si>
  <si>
    <t>Double Köfteburger®</t>
  </si>
  <si>
    <t xml:space="preserve">1 dilim peynir, turşu, hardal, göbek salata, mayonez </t>
  </si>
  <si>
    <t>Etli Barbekü Deluxe Burger</t>
  </si>
  <si>
    <t xml:space="preserve">Hamburger eti (dana), 3,75'' ekmek, 1 cheddar peynir, mayonez, göbek salata, barbekü sos, çıtır soğan </t>
  </si>
  <si>
    <t>Tavuklu Barbekü Deluxe Burger</t>
  </si>
  <si>
    <t xml:space="preserve">Tavukburger eti, 3,75'' ekmek, 1 cheddar peynir, mayonez, göbek salata, barbekü sos, çıtır soğan </t>
  </si>
  <si>
    <t>Fish Royale®</t>
  </si>
  <si>
    <t xml:space="preserve">Fish Royale®, 4'' ekmek, tartar sos, göbek salata </t>
  </si>
  <si>
    <t>Tavukburger® Cheese</t>
  </si>
  <si>
    <t xml:space="preserve">Tavukburger®, 4'' ekmek, peynir, mayonez, göbek salata </t>
  </si>
  <si>
    <t>Kids Cheese</t>
  </si>
  <si>
    <t xml:space="preserve">Hamburger eti (dana), 4'' ekmek, 1 dilim peynir, ketçap </t>
  </si>
  <si>
    <t>Kids Hamburger</t>
  </si>
  <si>
    <t xml:space="preserve">Hamburger eti (dana), 4'' ekmek, ketçap </t>
  </si>
  <si>
    <t>Tavuklu Kids</t>
  </si>
  <si>
    <t xml:space="preserve">Tavukburger®, 4'' ekmek, ketçap </t>
  </si>
  <si>
    <t>Bean Burger®</t>
  </si>
  <si>
    <t xml:space="preserve">Bean Burger®, 4,5'' ekmek, 2 dilim peynir, ketçap, domates </t>
  </si>
  <si>
    <t>Hot Wrap</t>
  </si>
  <si>
    <t xml:space="preserve">Izgara tavuk but eti, tortilla ekmek, mayonez, göbek salata, domates </t>
  </si>
  <si>
    <t>King Delight® Akdeniz Salata</t>
  </si>
  <si>
    <t xml:space="preserve">Taze marul, kıvırcık salata, dilimli siyah zeytin, küp kesilmiş beyaz peynir parçaları, cherry domates </t>
  </si>
  <si>
    <t>King Delight® Izgara Tavuklu Salata</t>
  </si>
  <si>
    <t xml:space="preserve">Taze marul, kıvırcık salata, ızgara tavuk but eti, ince kaşar peyniri dilimleri, küp kesilmiş domates parçaları </t>
  </si>
  <si>
    <t>King Delight® Ton Balıklı Salata</t>
  </si>
  <si>
    <t xml:space="preserve">Taze marul, kıvırcık salata, ton balığı parçaları, tatlı mısır konservesi </t>
  </si>
  <si>
    <t>Mini Salata</t>
  </si>
  <si>
    <t xml:space="preserve">Akdeniz yeşilliği, cherry domates, salatalık </t>
  </si>
  <si>
    <t>BK King Nuggets® (6’lı)</t>
  </si>
  <si>
    <t>BK King Nuggets® (9’lu)</t>
  </si>
  <si>
    <t>Chicken Tenders® (4’lü)</t>
  </si>
  <si>
    <t>10,99 TL</t>
  </si>
  <si>
    <t>Chicken Tenders® (6’lı)</t>
  </si>
  <si>
    <t>12,99 TL</t>
  </si>
  <si>
    <t>Chicken Tenders® (9’lu)</t>
  </si>
  <si>
    <t>Çıtır Peynir (4'lü)</t>
  </si>
  <si>
    <t>11,99 TL</t>
  </si>
  <si>
    <t>Çıtır Peynir (6'lı)</t>
  </si>
  <si>
    <t>Çıtır Peynir (9'lu)</t>
  </si>
  <si>
    <t>6,99 TL</t>
  </si>
  <si>
    <t>Patates Kızartması (King)</t>
  </si>
  <si>
    <t>9,99 TL</t>
  </si>
  <si>
    <t>Patates Kızartması (Dev Kutu)</t>
  </si>
  <si>
    <t>Soğan Halkaları (12'li)</t>
  </si>
  <si>
    <t>Soğan Halkaları (16'lı)</t>
  </si>
  <si>
    <t>Soğan Halkaları (8'li)</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</si>
  <si>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</si>
  <si>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</si>
  <si>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</si>
  <si>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</si>
  <si>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</si>
  <si>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</si>
  <si>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Çokoburger</t>
  </si>
  <si>
    <t>Muffin</t>
  </si>
  <si>
    <t>Apple Pie</t>
  </si>
  <si>
    <t>Elmalı Tatlı</t>
  </si>
  <si>
    <t>Vişneli Tatlı</t>
  </si>
  <si>
    <t>Bkool</t>
  </si>
  <si>
    <t xml:space="preserve">Çikolata Parçacıklı / Renkli Çikolata Drajeli </t>
  </si>
  <si>
    <t>Sundae</t>
  </si>
  <si>
    <t xml:space="preserve">Sade / Çilekli / Böğürtlenli / Çikolatalı / Karamelli </t>
  </si>
  <si>
    <t>King Sundae</t>
  </si>
  <si>
    <t>Algida Maraş Usulü Cup Dondurma (100 ml.)</t>
  </si>
  <si>
    <t>Algida Mini Nogger (60 ml.)</t>
  </si>
  <si>
    <t>Algida Magnum Mini Cookie (58 ml.)</t>
  </si>
  <si>
    <t>Ayran (Küçük - 195 ml.)</t>
  </si>
  <si>
    <t>Cappy Elma Suyu (20 cl.)</t>
  </si>
  <si>
    <t>Cappy Atom (20 cl.)</t>
  </si>
  <si>
    <t>Sütaş Sade Süt (20 cl.)</t>
  </si>
  <si>
    <t>Sütaş Çikolatalı Süt (20 cl.)</t>
  </si>
  <si>
    <t>Su (0,5 L.)</t>
  </si>
  <si>
    <t>Zeytinyağı - Limon Sosu</t>
  </si>
  <si>
    <t>Pro Gamer Tavuklu BBQ Deluxe Menü</t>
  </si>
  <si>
    <t xml:space="preserve">2 Adet Tavuklu Barbekü Deluxe Burger + Büyük Boy Patates + 1 L. İçecek </t>
  </si>
  <si>
    <t>Pro Gamer Big King® Menü</t>
  </si>
  <si>
    <t xml:space="preserve">Big King® + Büyük Boy Patates + Soğan Halkaları (4'lü) + 1 L. İçecek </t>
  </si>
  <si>
    <t>Çıtır Çıtır Atıştır</t>
  </si>
  <si>
    <t xml:space="preserve">Çıtır Peynir (2'li) + BK King Nuggets® (2'li) + Soğan Halkaları (4'lü) </t>
  </si>
  <si>
    <t>Texas Smokehouse Burger® Menü</t>
  </si>
  <si>
    <t xml:space="preserve">Texas Smokehouse Burger® + Büyük Boy Patates + Kutu İçecek </t>
  </si>
  <si>
    <t>Double Texas Smokehouse Burger® Menü</t>
  </si>
  <si>
    <t xml:space="preserve">Double Texas Smokehouse Burger® + Büyük Boy Patates + Kutu İçecek </t>
  </si>
  <si>
    <t>63,99 TL</t>
  </si>
  <si>
    <t>Texas Smokehouse Burger®</t>
  </si>
  <si>
    <t xml:space="preserve">Texas Smokehouse Burger®, Whopper® eti (dana), 4,5” ekmek, 2 dilim cheddar peyniri, füme et, barbekü sos, çıtır soğan </t>
  </si>
  <si>
    <t>45,99 TL</t>
  </si>
  <si>
    <t>Double Texas Smokehouse Burger®</t>
  </si>
  <si>
    <t xml:space="preserve">Texas Smokehouse Burger®, 2 adet Whopper® eti (dana), 4,5” ekmek, 4 dilim cheddar peyniri, füme et, barbekü sos, çıtır soğan </t>
  </si>
  <si>
    <t>56,99 TL</t>
  </si>
  <si>
    <t>Vodafone Menüsü (Fıstıklı Baklava (500 gr.))</t>
  </si>
  <si>
    <t xml:space="preserve">Fıstıklı Baklava (500 gr.) + Kutu İçecek (Kampanya koşulları için restoranın Promosyonlar bölümüne göz atınız. İndirimli fiyat ürün sepete eklendikten sonra uygulanır.) </t>
  </si>
  <si>
    <t>Vodafone Menüsü (Fıstıklı Çıtır Kıvrım (500 gr.))</t>
  </si>
  <si>
    <t xml:space="preserve">Fıstıklı Çıtır Kıvrım (500 gr.) + Kutu İçecek (Kampanya koşulları için restoranın Promosyonlar bölümüne göz atınız. İndirimli fiyat ürün sepete eklendikten sonra uygulanır.) </t>
  </si>
  <si>
    <t>47,50 TL</t>
  </si>
  <si>
    <t>Su Böreği (1 kg.)</t>
  </si>
  <si>
    <t>Su Böreği (500 gr.)</t>
  </si>
  <si>
    <t>32,50 TL</t>
  </si>
  <si>
    <t>Fıstıklı Maraş Dürüm (1 kg.)</t>
  </si>
  <si>
    <t>Fıstıklı Maraş Dürüm (500 gr.)</t>
  </si>
  <si>
    <t>Special Kadayıf (500 gr.)</t>
  </si>
  <si>
    <t>Special Kadayıf (1 kg.)</t>
  </si>
  <si>
    <t>Mendil Tatlısı (1 kg.)</t>
  </si>
  <si>
    <t xml:space="preserve">Fıstık, kaymak </t>
  </si>
  <si>
    <t>115,00 TL</t>
  </si>
  <si>
    <t>Mendil Tatlısı (500 gr.)</t>
  </si>
  <si>
    <t>57,50 TL</t>
  </si>
  <si>
    <t>Cevizli Baklava (500 gr.)</t>
  </si>
  <si>
    <t>Cevizli Ev Baklavası (500 gr.)</t>
  </si>
  <si>
    <t>Fıstıklı Çıtır Kıvrım (1 kg.)</t>
  </si>
  <si>
    <t>Fıstıklı Çıtır Kıvrım (500 gr.)</t>
  </si>
  <si>
    <t>Fıstıklı Dilber Dudağı (500 gr.)</t>
  </si>
  <si>
    <t>Fıstıklı Gözde (1 kg.)</t>
  </si>
  <si>
    <t>Fıstıklı Gözde (500 gr.)</t>
  </si>
  <si>
    <t>Sade Dondurma (500 gr.)</t>
  </si>
  <si>
    <t>Sade Dondurma (1 kg.)</t>
  </si>
  <si>
    <t>Çikolatalı Dondurma (1 kg.)</t>
  </si>
  <si>
    <t xml:space="preserve">Salata, soğan </t>
  </si>
  <si>
    <t xml:space="preserve">Salata, pişmiş biber, pişmiş soğan, soğan söğüş ile </t>
  </si>
  <si>
    <t>50,25 TL</t>
  </si>
  <si>
    <t xml:space="preserve">Salata, soğan söğüş, közlenmiş biber, soğan ile </t>
  </si>
  <si>
    <t>Et Şiş - Şu anda mevcut değil.</t>
  </si>
  <si>
    <t>Et Şiş Dürüm - Şu anda mevcut değil.</t>
  </si>
  <si>
    <t>17,25 TL</t>
  </si>
  <si>
    <t>Pide (Adet)</t>
  </si>
  <si>
    <t>5,63 TL</t>
  </si>
  <si>
    <t xml:space="preserve">Acısız </t>
  </si>
  <si>
    <t xml:space="preserve">Domates, soğan, maydanoz. Turşu ile </t>
  </si>
  <si>
    <t>Tavuk Dürüm</t>
  </si>
  <si>
    <t xml:space="preserve">Domates, soğan, maydanoz salatası, soğan söğüş, közlenmiş biber, közlenmiş soğan ile </t>
  </si>
  <si>
    <t>Coca-Cola (45 cl.)</t>
  </si>
  <si>
    <t>Torku Şalgam Suyu Acılı (30 cl.)</t>
  </si>
  <si>
    <t>Adana Şalgam Suyu (30 cl.)</t>
  </si>
  <si>
    <t>Ev Yapımı Ayran (30 cl.)</t>
  </si>
  <si>
    <t>Torku Ayran (28,5 cl.)</t>
  </si>
  <si>
    <t>Torku Ayran (17 cl.)</t>
  </si>
  <si>
    <t>Sprite (1 L)</t>
  </si>
  <si>
    <t>Fanta (2.5 L)</t>
  </si>
  <si>
    <t>Yedigün (2,5 L.)</t>
  </si>
  <si>
    <t>Coca-Cola (2.5 L.)</t>
  </si>
  <si>
    <t>Karışık Sepet Menü</t>
  </si>
  <si>
    <t xml:space="preserve">Karışık Sepet (Soğan halkası, cajun baharatlı tavuk, kaşarlı mantarlı tavuk şiş, sosis, baharatlı patates kızartması, garlic sos, barbekü sos) + İçecek </t>
  </si>
  <si>
    <t>37,80 TL</t>
  </si>
  <si>
    <t xml:space="preserve">Cajun Baharatlı Tavuk Sepeti (250 gr.) + Baharatlı Patates Kızartması + Garlic Sos + Barbekü Sos + Ketçap &amp; Mayonez + Lavaş Ekmek + İçecek </t>
  </si>
  <si>
    <t>34,65 TL</t>
  </si>
  <si>
    <t xml:space="preserve">Cajun Baharatlı Tavuk Sepeti (500 gr.) + Baharatlı Patates Kızartması + Garlic Sos + Barbekü Sos + Ketçap &amp; Mayonez + Lavaş Ekmek + İçecek (1 L.) </t>
  </si>
  <si>
    <t>60,20 TL</t>
  </si>
  <si>
    <t>Cajun Chicken Cheeseburger Menü</t>
  </si>
  <si>
    <t xml:space="preserve">Cajun Chicken Cheeseburger (120 gr. cajun baharatlı tavuk, karamelize soğan, özel sos, cheddar peyniri, turşu, yeşillik) + Patates Kızartması + İçecek </t>
  </si>
  <si>
    <t>30,80 TL</t>
  </si>
  <si>
    <t xml:space="preserve">Cajun Baharatlı Tavuk Sepeti (750 gr.) + Baharatlı Patates Kızartması + Garlic Sos + Barbekü Sos + Ketçap &amp; Mayonez + Lavaş Ekmek + Pepsi (2 L.) </t>
  </si>
  <si>
    <t>86,80 TL</t>
  </si>
  <si>
    <t xml:space="preserve">Cajun Baharatlı Tavuk Sepeti (750 gr.) + Baharatlı Patates Kızartması + Garlic Sos + Barbekü Sos + Ketçap &amp; Mayonez + Lavaş Ekmek + Pepsi (2,5 L.) </t>
  </si>
  <si>
    <t>98,00 TL</t>
  </si>
  <si>
    <t>Kaşarlı Mantarlı Tavuklu Cajun Şiş Menü</t>
  </si>
  <si>
    <t xml:space="preserve">Kaşarlı Mantarlı Tavuklu Cajun Şiş + Baharatlı Patates Kızartması + Garlic Sos + Barbekü Sos + Ketçap + Mayonez + Lavaş Ekmek + İçecek </t>
  </si>
  <si>
    <t>36,40 TL</t>
  </si>
  <si>
    <t>Hot Wings Menü</t>
  </si>
  <si>
    <t xml:space="preserve">6 Adet Cajun Baharatlı Tavuk Kanat + Patates Kızartması + Garlic Sos + Barbekü Sos + Lavaş Ekmek + İçecek </t>
  </si>
  <si>
    <t>34,30 TL</t>
  </si>
  <si>
    <t xml:space="preserve">Hamburger (150 gr. dana köfte, cajun burger sos, karamelize soğan, turşu, domates, yeşillik) + Patates Kızartması + İçecek </t>
  </si>
  <si>
    <t>34,23 TL</t>
  </si>
  <si>
    <t xml:space="preserve">Cheeseburger (150 gr. dana köfte, cajun burger sos, karamelize soğan, turşu, cheddar peyniri, yeşillik) + Patates Kızartması + İçecek </t>
  </si>
  <si>
    <t>34,93 TL</t>
  </si>
  <si>
    <t>Cajun Chicken Burger Menü</t>
  </si>
  <si>
    <t xml:space="preserve">Cajun Chicken Burger (120 gr. cajun baharatlı tavuk, karamelize soğan, özel sos, domates, turşu, yeşillik) + Patates Kızartması + İçecek </t>
  </si>
  <si>
    <t>5,25 TL</t>
  </si>
  <si>
    <t>7UP (33 cl.)</t>
  </si>
  <si>
    <t>Tropicana Karışık (33 cl.)</t>
  </si>
  <si>
    <t>6,93 TL</t>
  </si>
  <si>
    <t xml:space="preserve">90 gr. Adana kebap, salata, közlenmiş biber </t>
  </si>
  <si>
    <t xml:space="preserve">Közlenmiş biber, salata, lavaş ile </t>
  </si>
  <si>
    <t xml:space="preserve">120 g. tavuk, salata, közlenmiş biber </t>
  </si>
  <si>
    <t>Avşar Dürüm</t>
  </si>
  <si>
    <t xml:space="preserve">130 gr. Avşar kebabı, salata, közlenmiş biber </t>
  </si>
  <si>
    <t>Avşar Kebabı</t>
  </si>
  <si>
    <t xml:space="preserve">(240 gr.) Salata, ekmek, közlenmiş biber, domates ile </t>
  </si>
  <si>
    <t xml:space="preserve">170 gr. Adana kebap. Salata, ekmek, közlenmiş biber ile </t>
  </si>
  <si>
    <t xml:space="preserve">170 gr. tereyağlı Urfa kebap. Salata, ekmek, közlenmiş biber ile </t>
  </si>
  <si>
    <t xml:space="preserve">170 gr. ızgara köfte. Salata, ekmek, közlenmiş biber ile </t>
  </si>
  <si>
    <t>Et Külbastı</t>
  </si>
  <si>
    <t xml:space="preserve">170 gr. et fileto. Salata, ekmek, közlenmiş biber ile </t>
  </si>
  <si>
    <t xml:space="preserve">170 gr. tavuk fileto. Salata, ekmek, közlenmiş biber ile </t>
  </si>
  <si>
    <t>Naneli Ayran</t>
  </si>
  <si>
    <t>Su (20 cl.)</t>
  </si>
  <si>
    <t>Avşar Kebabı (1 kg.)</t>
  </si>
  <si>
    <t xml:space="preserve">Salata, köz biber ile </t>
  </si>
  <si>
    <t>Tavuk İncik (1 kg.)</t>
  </si>
  <si>
    <t xml:space="preserve">Yeşillik, patates kızartması, mayonez, özel sos. Turşu ile </t>
  </si>
  <si>
    <t>Hatay Usulü Tavuk Döner</t>
  </si>
  <si>
    <t xml:space="preserve">Yeşillik, patates kızartması, turşu ile </t>
  </si>
  <si>
    <t>Hatay Usulü Zurna Tavuk Döner Dürüm - Şu anda mevcut değil.</t>
  </si>
  <si>
    <t>Ekmek Arası İri Kıyım Kokoreç(İzmir Usulü)</t>
  </si>
  <si>
    <t xml:space="preserve">Yarım ekmek arası iri kıyım kokoreç; kekik, kimyon ve pul biber. Yanında Salatalık ve biber turşusu </t>
  </si>
  <si>
    <t>Ekmek Arası İnce Kıyım Kokoreç</t>
  </si>
  <si>
    <t xml:space="preserve">Yarım ekmek arası ince kıyım kokoreç; kekik, kimyon ve pul biber. Yanında Salatalık ve biber turşusu </t>
  </si>
  <si>
    <t>Midye Dolma (10 Adet)</t>
  </si>
  <si>
    <t xml:space="preserve">Limon ile </t>
  </si>
  <si>
    <t>Ekmek Arası Köfte</t>
  </si>
  <si>
    <t xml:space="preserve">5 adet köfte, domates. Yanında salatalık, biber turşusu, ızgara domates, ızgara biber ile </t>
  </si>
  <si>
    <t xml:space="preserve">Salatalık ve biber turşusu ile </t>
  </si>
  <si>
    <t>Seçilmiş Menü (Ekmek Arası Kokoreç) - Şu anda mevcut değil.</t>
  </si>
  <si>
    <t xml:space="preserve">Ekmek Arası Kokoreç + Coca-Cola (33 cl.) </t>
  </si>
  <si>
    <t>Seçilmiş Menü (Ekmek Arası Köfte)</t>
  </si>
  <si>
    <t xml:space="preserve">Ekmek Arası Köfte + Coca-Cola (33 cl.) </t>
  </si>
  <si>
    <t>19,80 TL</t>
  </si>
  <si>
    <t>Zeki Müren(Porsiyon İri Kıyım Kokoreç) - Şu anda mevcut değil.</t>
  </si>
  <si>
    <t xml:space="preserve">İri Kıyım doğranmış kokoreç; kekik kimyon ve pul biber ile. Yanında salatalık ve biber turşusu </t>
  </si>
  <si>
    <t xml:space="preserve">8 adet ızgara köfte. Salatalık ve biber turşusu ile </t>
  </si>
  <si>
    <t>Izgara Sucuk</t>
  </si>
  <si>
    <t>Ekmek Arası Sucuk</t>
  </si>
  <si>
    <t>Yarım Ekmek Arası Bol Köfte</t>
  </si>
  <si>
    <t xml:space="preserve">8 adet ızgara köfte, közlenmiş biber, domates </t>
  </si>
  <si>
    <t>Midye Dolma (5 Adet)</t>
  </si>
  <si>
    <t>Serfressh Şalgam Suyu (20 cl.)</t>
  </si>
  <si>
    <t xml:space="preserve">Mevsim salata, soğan piyazı, ezme salata, közlenmiş biber, közlenmiş domates, közlenmiş soğan, yoğurtlu meze ile </t>
  </si>
  <si>
    <t xml:space="preserve">Közlenmiş biber. Közlenmiş domates, mevsim salata, ezme, soğan, piyaz ile </t>
  </si>
  <si>
    <t>Adana Kebap &amp; Kuşbaşı</t>
  </si>
  <si>
    <t xml:space="preserve">Mevsim salata, soğan piyaz, ezme salata, çiğ köfte, közlenmiş biber, közlenmiş domates ile </t>
  </si>
  <si>
    <t>Kuşbaşı Kebap</t>
  </si>
  <si>
    <t>Ciğer Kebap</t>
  </si>
  <si>
    <t>Adana Kebap &amp; Ciğer</t>
  </si>
  <si>
    <t>Adana Kebap &amp; Ciğer &amp; Kuşbaşı</t>
  </si>
  <si>
    <t xml:space="preserve">Mevsim salata, çiğ köfte, haydari, acılı ezme, ekmek ile </t>
  </si>
  <si>
    <t>Tereyağlı Domatesli Kebap</t>
  </si>
  <si>
    <t xml:space="preserve">Çiğ köfte, haydari, acılı ezme, mevsim salata, ekmek ile </t>
  </si>
  <si>
    <t xml:space="preserve">Kuzu pirzola, tavuk şiş, kuşbaşı, 1 adet köfte. Mevsim salata, çiğ köfte, haydari, acılı ezme, ekmek ile </t>
  </si>
  <si>
    <t xml:space="preserve">Yeşillik ile </t>
  </si>
  <si>
    <t xml:space="preserve">Mevsim salata, çiğ köfte ile </t>
  </si>
  <si>
    <t xml:space="preserve">Kıyma, sucuk, kaşar peyniri, kuşbaşı eti. Mevsim salata, çiğ köfte ile </t>
  </si>
  <si>
    <t>Mantarlı Kaşarlı Pide</t>
  </si>
  <si>
    <t>Kuzu Tandır</t>
  </si>
  <si>
    <t xml:space="preserve">Pirinç pilavı veya bulgur pilavı, mevsim salata, yeşillik ile </t>
  </si>
  <si>
    <t>Soya Soslu Kremalı Tavuk</t>
  </si>
  <si>
    <t>Köri Soslu Kremalı Tavuk</t>
  </si>
  <si>
    <t>Kağıt Kebabı</t>
  </si>
  <si>
    <t>Karışık Yöresel</t>
  </si>
  <si>
    <t xml:space="preserve">Ekşili köfte, analı kızlı, kiraz yaprağu, içli köte. Mevsim salata, haydari, ezme, çiğ köfte ile </t>
  </si>
  <si>
    <t>Kiraz Yaprağı</t>
  </si>
  <si>
    <t xml:space="preserve">Mevsim salata, haydari, ezme, çiğ köfte ile </t>
  </si>
  <si>
    <t>Ispanaklı Ekşili Köfte</t>
  </si>
  <si>
    <t>Bumbar Dolması</t>
  </si>
  <si>
    <t>Biber Dolması</t>
  </si>
  <si>
    <t>Patlıcan Dolması</t>
  </si>
  <si>
    <t>Üzüm Yaprağı Sarması</t>
  </si>
  <si>
    <t>Lahana Sarması</t>
  </si>
  <si>
    <t>Sac kavurma</t>
  </si>
  <si>
    <t xml:space="preserve">Bulgur pilavı veya pirinç pilavı, domates, maydanoz, biber ile </t>
  </si>
  <si>
    <t>Çoban Kavurma</t>
  </si>
  <si>
    <t>Mantarlı Et Sote</t>
  </si>
  <si>
    <t>Karışık Et Sote</t>
  </si>
  <si>
    <t xml:space="preserve">Bulgur pilavı veya pirinç pilavı, domates, maydanoz, biber, 1 adet kuzu pirzola ile </t>
  </si>
  <si>
    <t>Haşlama İçli Köfte</t>
  </si>
  <si>
    <t xml:space="preserve">Yeşillik, domates, soğan. Közlenmiş biber ile </t>
  </si>
  <si>
    <t>Kayısı Tatlısı</t>
  </si>
  <si>
    <t xml:space="preserve">Kaymak, ceviz </t>
  </si>
  <si>
    <t>Çınar Dürüm</t>
  </si>
  <si>
    <t xml:space="preserve">Kapya biber, yeşilbiber, tavuk göğüs, kaşar peyniri, baharat (Tost makinesinde kızartılarak servis edilir.) </t>
  </si>
  <si>
    <t xml:space="preserve">Közlenmiş biber, çemen </t>
  </si>
  <si>
    <t>Tam Ekmek Arası Karışık Tost</t>
  </si>
  <si>
    <t xml:space="preserve">Sucuk, kaşar peyniri, ketçap, mayonrez </t>
  </si>
  <si>
    <t>Karışık Tavuk (1 kg.)</t>
  </si>
  <si>
    <t xml:space="preserve">Tavuk kanat, tavuk şiş, tavuk kelebek, tavuk pirzola. Mevsim salata, karışık turşu, közlenmiş biber </t>
  </si>
  <si>
    <t>Seçilmiş Menü (Adana Kebap) - Şu anda mevcut değil.</t>
  </si>
  <si>
    <t xml:space="preserve">Adana Kebap + Coca-Cola (33 cl.) </t>
  </si>
  <si>
    <t xml:space="preserve">Yumurtalı </t>
  </si>
  <si>
    <t>Sade Menemen</t>
  </si>
  <si>
    <t xml:space="preserve">Sucuk, kaşar peyniri, ketçap, mayonez </t>
  </si>
  <si>
    <t>Kavurmalı Tost</t>
  </si>
  <si>
    <t>Sebzeli Tost</t>
  </si>
  <si>
    <t xml:space="preserve">Biber, domates, kaşar peyniri </t>
  </si>
  <si>
    <t>Yumurtalı Tost</t>
  </si>
  <si>
    <t>Tam Ekmek Arası Kaşarlı Tost</t>
  </si>
  <si>
    <t>Tam Ekmek Arası Sucuklu Tost</t>
  </si>
  <si>
    <t xml:space="preserve">Dana sucuk </t>
  </si>
  <si>
    <t>Tam Ekmek Arası Kavurmalı Tost</t>
  </si>
  <si>
    <t xml:space="preserve">Kaşar peyniri, kavurma, pul biber </t>
  </si>
  <si>
    <t>Tam Ekmeğe Sebzeli Tost</t>
  </si>
  <si>
    <t xml:space="preserve">Biber, domates, kaşar peyniri, ketçap, mayonez </t>
  </si>
  <si>
    <t>Tam Ekmek Arası Yumurtalı Tost</t>
  </si>
  <si>
    <t xml:space="preserve">Kaşar peyniri, yumurta, pul biber </t>
  </si>
  <si>
    <t>Kavurmalı Dürüm</t>
  </si>
  <si>
    <t>Yarım Ekmek Arası Sucuk</t>
  </si>
  <si>
    <t>Tam Ekmek Arası Sucuk</t>
  </si>
  <si>
    <t>Tereyağlı Mantarlı Kuşbaşı</t>
  </si>
  <si>
    <t xml:space="preserve">Közlenmiş domates, közlenmiş biber, soğan, çemen, acılı ezme, mevsim salata ile </t>
  </si>
  <si>
    <t xml:space="preserve">Közlenmiş domates, közlenmiş, biber, kıyma, tereyağı </t>
  </si>
  <si>
    <t>Tereyağlı Mantarlı Tavuk Şiş</t>
  </si>
  <si>
    <t>Tereyağlı Izgara Köfte</t>
  </si>
  <si>
    <t>Kıyma Kebap (1.5 Porsiyon)</t>
  </si>
  <si>
    <t>İç Bonfile Et Kuşbaşı (1.5 Porsiyon)</t>
  </si>
  <si>
    <t xml:space="preserve">Adana kebap, kuşbaşı şiş, tavuk şiş, et şiş. Közlenmiş domates, közlenmiş biber, soğan, çemen, acılı ezme, mevsim salata ile </t>
  </si>
  <si>
    <t>Sac Kavurma (200 gr.)</t>
  </si>
  <si>
    <t>Cevizli Baklava (6 Dilim)</t>
  </si>
  <si>
    <t>Sütlü Nuriye (6 Dilim)</t>
  </si>
  <si>
    <t>Şöbiyet (6 Dilim)</t>
  </si>
  <si>
    <t>Prenses Tatlısı (8 Dilim)</t>
  </si>
  <si>
    <t>Fırında Sütlaç</t>
  </si>
  <si>
    <t>Kestana (1 kg.)</t>
  </si>
  <si>
    <t>Pide Ekmeği</t>
  </si>
  <si>
    <t>Domates Soslu Makarna</t>
  </si>
  <si>
    <t>Kestane (1 kg.)</t>
  </si>
  <si>
    <t>Kremalı Mantarlı Tavuklu Penne</t>
  </si>
  <si>
    <t>Köri Soslu Penne</t>
  </si>
  <si>
    <t>Sade Kavurma</t>
  </si>
  <si>
    <t>Kestane (500 gr.)</t>
  </si>
  <si>
    <t>Coca-Cola (1,5 L.)</t>
  </si>
  <si>
    <t xml:space="preserve">Mevsim salata, karışık turşu, közlenmiş biber, </t>
  </si>
  <si>
    <t xml:space="preserve">Mevsim salata, karışık turşu, közlenmiş biber, Arnavut biberi ile </t>
  </si>
  <si>
    <t>Izgara Kuşbaşı Et (1 kg.)</t>
  </si>
  <si>
    <t>Izgara Ciğer (1 kg.)</t>
  </si>
  <si>
    <t>Kuşbaşı Tavuk (1 kg.)</t>
  </si>
  <si>
    <t>Karışık Tavuk (1.5 kg)</t>
  </si>
  <si>
    <t>Tavuk Kanat (1.5 kg)</t>
  </si>
  <si>
    <t>Tavuk Pirzola (1.5 kg)</t>
  </si>
  <si>
    <t>Tavuk Kelebek (1.5 kg)</t>
  </si>
  <si>
    <t>Tavuk Kuşbaşı (1.5 kg)</t>
  </si>
  <si>
    <t>Merdane Lahmacun (4 Adet)</t>
  </si>
  <si>
    <t xml:space="preserve">Mevsim salatası, turşu ile </t>
  </si>
  <si>
    <t>Patatesli Pide</t>
  </si>
  <si>
    <t>Ispanaklı Pide</t>
  </si>
  <si>
    <t xml:space="preserve">Domates, biber, kapya biber, kıyma, sucuk, kavurma. Mevsim salatası, turşu ile </t>
  </si>
  <si>
    <t>5,50 TL</t>
  </si>
  <si>
    <t xml:space="preserve">Limon, biber turşusu, turp </t>
  </si>
  <si>
    <t>Karışık Çiğ Köfte Dürüm</t>
  </si>
  <si>
    <t xml:space="preserve">Çiğ köfte, tavuk parçaları </t>
  </si>
  <si>
    <t>Çiğ Köfte (11 Sıkım)</t>
  </si>
  <si>
    <t xml:space="preserve">Yeşillik, limon, lavaş ile </t>
  </si>
  <si>
    <t xml:space="preserve">Yeşillik, limon </t>
  </si>
  <si>
    <t xml:space="preserve">Göbek marul, soğan, maydanoz, tere, limon, lavaş ile </t>
  </si>
  <si>
    <t>Et Tantuni Dürüm - Şu anda mevcut değil.</t>
  </si>
  <si>
    <t xml:space="preserve">Domates, soğan, maydanoz, limon, acı biber </t>
  </si>
  <si>
    <t>Somon Ekmek Arası Et Tantuni</t>
  </si>
  <si>
    <t>Et Tantuni - Şu anda mevcut değil.</t>
  </si>
  <si>
    <t xml:space="preserve">domates, soğan, maydanoz, tere, limon, acı biber </t>
  </si>
  <si>
    <t>Tavuk Tantuni</t>
  </si>
  <si>
    <t xml:space="preserve">Limon, biber turşusu, turp ile </t>
  </si>
  <si>
    <t>Yeşillik (1 Kişilik)</t>
  </si>
  <si>
    <t xml:space="preserve">Marul. maydanoz. tere. yeşilsoğan. limon. acı biber </t>
  </si>
  <si>
    <t>Antep Dolama</t>
  </si>
  <si>
    <t xml:space="preserve">Antep fıstıklı, kaymaklı </t>
  </si>
  <si>
    <t>Antep Katmer - Şu anda mevcut değil.</t>
  </si>
  <si>
    <t>Peynirli Ev Poğaçası (Adet)</t>
  </si>
  <si>
    <t>Simit Kurabiye (Adet)</t>
  </si>
  <si>
    <t>Elmalı Kurabiye (Adet)</t>
  </si>
  <si>
    <t>Patatesli Sigara Böreği (Adet)</t>
  </si>
  <si>
    <t>Çaylı Kurabiye (Adet)</t>
  </si>
  <si>
    <t xml:space="preserve">Seçeceğiniz Ana Yemek + Seçeceğiniz Yardımcı Yemek + Seçeceğiniz Yan Ürün + Kutu İçecek </t>
  </si>
  <si>
    <t>Salçalı Makarna Menü</t>
  </si>
  <si>
    <t xml:space="preserve">Salçalı Makarna + Salata </t>
  </si>
  <si>
    <t>Köfte &amp; Makarna Menü</t>
  </si>
  <si>
    <t xml:space="preserve">Izgara Köfte + Makarna + Patates Kızartması + Ayran (30 cl.) </t>
  </si>
  <si>
    <t>Kaşarlı Tost Menü</t>
  </si>
  <si>
    <t xml:space="preserve">Kaşarlı Tost + Patates Kızartması + Kutu İçecek </t>
  </si>
  <si>
    <t>Karışık Tost Menü</t>
  </si>
  <si>
    <t xml:space="preserve">Karışık Tost (Kaşar peyniri, sucuk) + Patates Kızartması + Kutu İçecek </t>
  </si>
  <si>
    <t>Şahane Menü 1</t>
  </si>
  <si>
    <t xml:space="preserve">İçli Köfte (2 Adet) + Kömbe (Dilim) + Yaprak Sarması (5 Adet) + Salata + Günün Tatlısı + Kutu İçecek </t>
  </si>
  <si>
    <t>Şahane Menü 2</t>
  </si>
  <si>
    <t xml:space="preserve">Analı Kızlı Çorba + Mantı + Salata + Günün Tatlısı + Kutu İçecek </t>
  </si>
  <si>
    <t>Şahane Menü 3</t>
  </si>
  <si>
    <t xml:space="preserve">Mantı + Kömbe (Dilim) + Günün Tatlısı + Kutu İçecek </t>
  </si>
  <si>
    <t>Şahane Menü 4</t>
  </si>
  <si>
    <t xml:space="preserve">Günün Çorbası + Kömbe (Dilim) + Zeytinyağlı Dolma (Adet) + Yaprak Sarması (5 Adet) + Salata + Günün Tatlısı + Kutu İçecek </t>
  </si>
  <si>
    <t>Haşhaşlı Mayalı Poğaça (Adet)</t>
  </si>
  <si>
    <t>Peynirli Sigara Böreği (Adet)</t>
  </si>
  <si>
    <t>Ispanaklı Gül Böreği (Adet)</t>
  </si>
  <si>
    <t>Peynirli Su Böreği (Adet)</t>
  </si>
  <si>
    <t xml:space="preserve">Kemik suyu ile yapılmaktadır. </t>
  </si>
  <si>
    <t xml:space="preserve">Yoğurt, sos </t>
  </si>
  <si>
    <t>Polat Usulü Haşlama İçli Köfte</t>
  </si>
  <si>
    <t xml:space="preserve">Kıyma </t>
  </si>
  <si>
    <t>Zerfet (Babuko Sir Kömbe)</t>
  </si>
  <si>
    <t xml:space="preserve">Patates, ıspanak </t>
  </si>
  <si>
    <t>Analı Kızlı</t>
  </si>
  <si>
    <t>Kremalı Makarna</t>
  </si>
  <si>
    <t>Zeytinyağlı Dolma Patlıcan</t>
  </si>
  <si>
    <t>Zeytinyağlı Sarma</t>
  </si>
  <si>
    <t>Etli Lahana Sarması</t>
  </si>
  <si>
    <t>Zeytinyağlı Dolma Biber</t>
  </si>
  <si>
    <t>Kiraz Yaprağı Sarması</t>
  </si>
  <si>
    <t xml:space="preserve">Mevsim yeşillikleri, ton balığı </t>
  </si>
  <si>
    <t>Tavuklu Salata</t>
  </si>
  <si>
    <t xml:space="preserve">Mevsim yeşillikleri, tavuk </t>
  </si>
  <si>
    <t>Tahıllı Salata</t>
  </si>
  <si>
    <t xml:space="preserve">Mevsim yeşillikleri, tahıl </t>
  </si>
  <si>
    <t>Cevizli Ev Baklavası</t>
  </si>
  <si>
    <t>Cevizli Midye Tatlısı</t>
  </si>
  <si>
    <t>Revani Tatlısı</t>
  </si>
  <si>
    <t>Kıbrıs Tatlısı</t>
  </si>
  <si>
    <t>Gelin Pastası</t>
  </si>
  <si>
    <t xml:space="preserve">Sütlü </t>
  </si>
  <si>
    <t>Köstebek Pasta</t>
  </si>
  <si>
    <t>Brownie Pasta</t>
  </si>
  <si>
    <t xml:space="preserve">Islak kek </t>
  </si>
  <si>
    <t>Karamelli Trileçe</t>
  </si>
  <si>
    <t>Lokum Pasta</t>
  </si>
  <si>
    <t>Fındık Kurabiye (Adet)</t>
  </si>
  <si>
    <t>Tuzlu Çubuk Kurabiye (Adet)</t>
  </si>
  <si>
    <t>Çörek Otlu Kurabiye (Adet)</t>
  </si>
  <si>
    <t>Anne Kurabiyesi (Adet)</t>
  </si>
  <si>
    <t>Tahinli Kurabiye (Adet)</t>
  </si>
  <si>
    <t>Pişmaniye Kurabiye (Adet)</t>
  </si>
  <si>
    <t>Brownie Kurabiye (Adet)</t>
  </si>
  <si>
    <t>Tırtıl Kurabiye (Adet)</t>
  </si>
  <si>
    <t>Mantar Kurabiye (Adet)</t>
  </si>
  <si>
    <t>İncirli Kurabiye (Adet)</t>
  </si>
  <si>
    <t xml:space="preserve">İncir, elma, kayısı </t>
  </si>
  <si>
    <t>Elmalı Top Kurabiye (Adet)</t>
  </si>
  <si>
    <t xml:space="preserve">Şerbetli </t>
  </si>
  <si>
    <t>Etli Lahana Sarması (1 kg.)</t>
  </si>
  <si>
    <t>Zeytinyağlı Dolma Biber (1 kg.)</t>
  </si>
  <si>
    <t>Haşlama İçli Köfte (1 kg.)</t>
  </si>
  <si>
    <t>Mantı (1 kg.)</t>
  </si>
  <si>
    <t>Zerfet (Babuko Sir Kömbe) (1 kg.)</t>
  </si>
  <si>
    <t>Zeytinyağlı Sarma (1 kg.)</t>
  </si>
  <si>
    <t>Polat Usulü Haşlama İçli Köfte (1 kg.)</t>
  </si>
  <si>
    <t>Kiraz Yaprağı Sarması (1 kg.)</t>
  </si>
  <si>
    <t>Patates Salatası (1 kg.)</t>
  </si>
  <si>
    <t>Mercimek Köftesi (1 kg.)</t>
  </si>
  <si>
    <t>Zeytinyağlı Dolma Patlıcan (1 kg.)</t>
  </si>
  <si>
    <t>Kısır (1 kg.)</t>
  </si>
  <si>
    <t>Analı Kızlı (1 kg.)</t>
  </si>
  <si>
    <t>Ispanaklı Gül Böreği (1 kg.)</t>
  </si>
  <si>
    <t>Patatesli Sigara Böreği (1 kg.)</t>
  </si>
  <si>
    <t>Peynirli Sigara Böreği (1 kg.)</t>
  </si>
  <si>
    <t>Haşhaşlı Mayalı Poğaça (1 kg.)</t>
  </si>
  <si>
    <t>Peynirli Poğaça (1 kg.)</t>
  </si>
  <si>
    <t>Simit (1 kg.)</t>
  </si>
  <si>
    <t>Browni Kurabiye (1 kg.)</t>
  </si>
  <si>
    <t>Pişmaniye Kurabiye (1 kg.)</t>
  </si>
  <si>
    <t>Tuzlu Çubuk Kurabiye (1 kg.)</t>
  </si>
  <si>
    <t>Anne Kurabiyesi (1 kg.)</t>
  </si>
  <si>
    <t>Tahinli Kurabiye (1 kg.)</t>
  </si>
  <si>
    <t>Elmalı Kurabiye (1 kg.)</t>
  </si>
  <si>
    <t>Fındık Kurabiye (1 kg.)</t>
  </si>
  <si>
    <t>İncirli Kurabiye (1 kg.)</t>
  </si>
  <si>
    <t>Çörek Otlu Kurabiye (1 kg.)</t>
  </si>
  <si>
    <t>Çaylı Kurabiye (1 kg.)</t>
  </si>
  <si>
    <t>Tırtıl Kurabiye (1 kg.)</t>
  </si>
  <si>
    <t>Mantar Kurabiye (1 kg.)</t>
  </si>
  <si>
    <t>Midye Tatlısı (1 kg.)</t>
  </si>
  <si>
    <t xml:space="preserve">Ceviz, şerbet </t>
  </si>
  <si>
    <t>Revani (1 kg.)</t>
  </si>
  <si>
    <t>Kıbrıs Tatlısı (1 kg.)</t>
  </si>
  <si>
    <t>Elmalı Top (1 kg.)</t>
  </si>
  <si>
    <t>Mozaik Pasta (1 kg.)</t>
  </si>
  <si>
    <t>Gelin Pastası (1 kg.)</t>
  </si>
  <si>
    <t>Köstebek Pasta (1 kg.)</t>
  </si>
  <si>
    <t>Brownie (1 kg.)</t>
  </si>
  <si>
    <t>Karamelli Trileçe (1 kg.)</t>
  </si>
  <si>
    <t>Lokum (1 kg.)</t>
  </si>
  <si>
    <t>Profiterol (1 kg.)</t>
  </si>
  <si>
    <t>Akçaabat Köfte Dürüm</t>
  </si>
  <si>
    <t xml:space="preserve">100 gr. köfte, domates, salatalık, maydanoz, soğan, sumak, pul biber, karabiber. Karışık turşu, cin biber ile </t>
  </si>
  <si>
    <t>Tekirdağ Köfte Dürüm</t>
  </si>
  <si>
    <t>Kasap Köfte Dürüm</t>
  </si>
  <si>
    <t>İnegöl Köfte Dürüm</t>
  </si>
  <si>
    <t>Akçaabat Köfte</t>
  </si>
  <si>
    <t xml:space="preserve">200 gr. köfte. Domates, marul, salatalık, sumak, pul biber, karabiber, karışık turşu, cin biber ile </t>
  </si>
  <si>
    <t>Tekirdağ Köfte</t>
  </si>
  <si>
    <t>Kasap Köfte</t>
  </si>
  <si>
    <t>İnegöl Köfte</t>
  </si>
  <si>
    <t>Dana Stroganoff</t>
  </si>
  <si>
    <t xml:space="preserve">200 gr. dana stroganoff. Domates, marul, salatalık, sumak, pul biber, karabiber, karışık turşu, cin biber ile </t>
  </si>
  <si>
    <t>Tavuk Schnitzel</t>
  </si>
  <si>
    <t xml:space="preserve">200 gr. tavuk schnitzel. Domates, marul, salatalık, sumak, pul biber, karabiber, karışık turşu, cin biber ile </t>
  </si>
  <si>
    <t>Tavuk Parmak Bonfile</t>
  </si>
  <si>
    <t xml:space="preserve">200 gr. tavuk parmak bonfile. Domates, marul, salatalık, sumak, pul biber, karabiber, karışık turşu, cin biber ile </t>
  </si>
  <si>
    <t>Dana Stroganoff Dürüm</t>
  </si>
  <si>
    <t xml:space="preserve">100 gr. dana stroganoff, domates, salatalık, maydanoz, soğan, sumak, pul biber, karabiber. Karışık turşu, cin biber ile </t>
  </si>
  <si>
    <t>Tavuk Schnitzel Dürüm</t>
  </si>
  <si>
    <t xml:space="preserve">100 gr. tavuk schnitzel, domates, salatalık, maydanoz, soğan, sumak, pul biber, karabiber. Karışık turşu, cin biber ile </t>
  </si>
  <si>
    <t>Tavuk Parmak Bonfile Dürüm</t>
  </si>
  <si>
    <t xml:space="preserve">100 gr. tavuk parmak bonfile, domates, salatalık, maydanoz, soğan, sumak, pul biber, karabiber. Karışık turşu, cin biber ile </t>
  </si>
  <si>
    <t>Izgara Uskumru</t>
  </si>
  <si>
    <t xml:space="preserve">Soğan, domates, marul. Turşu biberi ile </t>
  </si>
  <si>
    <t>Hamsi Tava (1 kg.)</t>
  </si>
  <si>
    <t>Hamsi Tava</t>
  </si>
  <si>
    <t xml:space="preserve">Közlenmiş biber, soğan, mevsim salatası, ekmek ile </t>
  </si>
  <si>
    <t>Tavuk Yaprak Kanat</t>
  </si>
  <si>
    <t>Izgara Alabalık</t>
  </si>
  <si>
    <t>İstavrit Tava</t>
  </si>
  <si>
    <t>Kıyma Kebap Dürüm</t>
  </si>
  <si>
    <t>Mevsim Salatası</t>
  </si>
  <si>
    <t xml:space="preserve">Mevsim yeşillikleri </t>
  </si>
  <si>
    <t>Ayran (1 L.)</t>
  </si>
  <si>
    <t xml:space="preserve">Közlenmiş biber, soğan, mevsim salatası ile </t>
  </si>
  <si>
    <t>İncik Kanat (1 kg.)</t>
  </si>
  <si>
    <t>Uç Tavuk Kanat (1 kg.)</t>
  </si>
  <si>
    <t>Ciğer Şiş (1 kg.)</t>
  </si>
  <si>
    <t>Izgara Alabalık (1 kg.)</t>
  </si>
  <si>
    <t>Izgara Uskumru (1 kg.)</t>
  </si>
  <si>
    <t>İstavrit Tava (1 kg.)</t>
  </si>
  <si>
    <t>Karma Pizza Menü</t>
  </si>
  <si>
    <t xml:space="preserve">Karma Pizza + Patates Kızartması + 3'lü Tavuk Nugget + 3'lü Soğan Halkası + İçecek </t>
  </si>
  <si>
    <t>Süper 4'lü Büyük Boy Karışık Pizza</t>
  </si>
  <si>
    <t xml:space="preserve">Karışık Pizza (Büyük) + 6'lı Tavuk Nugget + Patates Kızartması + İçecek </t>
  </si>
  <si>
    <t>62,50 TL</t>
  </si>
  <si>
    <t>Karışık Pizza (Orta) &amp; Patates Kızartması</t>
  </si>
  <si>
    <t xml:space="preserve">Patates Kızartması ile </t>
  </si>
  <si>
    <t>Pizza Menü</t>
  </si>
  <si>
    <t xml:space="preserve">Karma Pizza + Patates Kızartması + İçecek </t>
  </si>
  <si>
    <t>Süper 6'lı Orta Boy Karışık Pizza</t>
  </si>
  <si>
    <t xml:space="preserve">2 Adet Karışık Pizza (Orta) + 4'lü Soğan Halkası + Patates Kızartması + 4'lü Tavuk Nugget + İçecek </t>
  </si>
  <si>
    <t>Duble Hamburger Menü</t>
  </si>
  <si>
    <t xml:space="preserve">Duble Hamburger + Patates Kızartması + İçecek </t>
  </si>
  <si>
    <t>Tavuk Nugget Pizza Menü</t>
  </si>
  <si>
    <t xml:space="preserve">Karma Pizza + Patates Kızartması + 3'lü Tavuk Nugget + İçecek </t>
  </si>
  <si>
    <t xml:space="preserve">Cheeseburger (Ketçap, mayonez, marul, domates, turşu) + Patates Kızartması + İçecek </t>
  </si>
  <si>
    <t>Hamburger Menü 2</t>
  </si>
  <si>
    <t xml:space="preserve">Hamburger (90 gr.) + Patates Kızartması + İçecek </t>
  </si>
  <si>
    <t>Orta Boy Pizza Menü</t>
  </si>
  <si>
    <t xml:space="preserve">Orta Boy Pizza + Patates Kızartması + İçecek </t>
  </si>
  <si>
    <t>Karışık Kızartma Menü</t>
  </si>
  <si>
    <t xml:space="preserve">Patates Kızartması + 5'li Tavuk Nugget + Tavuk Şinitzel + 5'li Soğan Halkası + İçecek </t>
  </si>
  <si>
    <t>Karışık Pizza (Büyük) &amp; İçecek</t>
  </si>
  <si>
    <t xml:space="preserve">Karışık Pizza (Büyük) + İçecek </t>
  </si>
  <si>
    <t>52,00 TL</t>
  </si>
  <si>
    <t>Karışık Pizza (Orta) &amp; 2 Adet</t>
  </si>
  <si>
    <t xml:space="preserve">2. Orta Boy Pizza İle </t>
  </si>
  <si>
    <t>Karışık Pizza (Büyük) &amp; 2 Adet</t>
  </si>
  <si>
    <t xml:space="preserve">2. Büyük Boy Pizza İle </t>
  </si>
  <si>
    <t>78,00 TL</t>
  </si>
  <si>
    <t>Süper 4'lü Orta Boy Karışık Pizza</t>
  </si>
  <si>
    <t xml:space="preserve">Karışık Pizza (Orta) + 4'lü Tavuk Nugget + Patates Kızartması + İçecek </t>
  </si>
  <si>
    <t>Süper 6'lı Büyük Boy Karışık Pizza</t>
  </si>
  <si>
    <t xml:space="preserve">2 Adet Karışık Pizza (Büyük) + 6'lı Soğan Halkası + Patates Kızartması + 6'lı Tavuk Nugget + İçecek </t>
  </si>
  <si>
    <t>Sucuklu Pizza (Küçük)</t>
  </si>
  <si>
    <t xml:space="preserve">Pizza sosu, mozzarella peyniri, sucuk </t>
  </si>
  <si>
    <t>Karışık Kavurmalı Pizza (Küçük)</t>
  </si>
  <si>
    <t xml:space="preserve">Pizza sosu, mozzarella peyniri, kavurma, sucuk, mantar, zeytin, mısır, acı biber, kırmızıbiber </t>
  </si>
  <si>
    <t>Fix Pizza (Küçük)</t>
  </si>
  <si>
    <t xml:space="preserve">Pizza sosu, mozzarella peyniri, sucuk, salam, sosis, mantar, mısır, acı biber </t>
  </si>
  <si>
    <t>Ekstra Karışık Pizza (Küçük)</t>
  </si>
  <si>
    <t xml:space="preserve">Pizza sosu, mozzarella peyniri, sucuk, salam, sosis, mantar, zeytin, mısır, yeşilbiber </t>
  </si>
  <si>
    <t>İtalyano Pizza (Küçük)</t>
  </si>
  <si>
    <t xml:space="preserve">Pizza sosu, mozzarella peyniri, küp sucuk, zeytin, kırmızıbiber </t>
  </si>
  <si>
    <t>Delicious Pizza (Küçük)</t>
  </si>
  <si>
    <t xml:space="preserve">Pizza sosu, mozzarella peyniri, sucuk, salam, mantar, zeytin, mısır, kırmızıbiber, acı biber </t>
  </si>
  <si>
    <t>Special Pizza (Küçük)</t>
  </si>
  <si>
    <t xml:space="preserve">Pizza sosu, mozzarella peyniri, sosis, mantar, mısır </t>
  </si>
  <si>
    <t>Kavurmalı Pizza (Küçük)</t>
  </si>
  <si>
    <t xml:space="preserve">Pizza sosu, mozzarella peyniri, kavurma, soğan, acı biber, kırmızıbiber, mantar </t>
  </si>
  <si>
    <t>Vegi Pizza (Küçük)</t>
  </si>
  <si>
    <t xml:space="preserve">Pizza sosu, mozzarella peyniri, mantar, zeytin, mısır, yeşilbiber </t>
  </si>
  <si>
    <t>Favori Pizza (Küçük)</t>
  </si>
  <si>
    <t xml:space="preserve">Pizza sosu, mozzarella peyniri, sucuk, salam, mantar, zeytin </t>
  </si>
  <si>
    <t>Stake Pizza (Küçük)</t>
  </si>
  <si>
    <t xml:space="preserve">Mozzarella peyniri, mantar, kırmızı közlenmiş biber, acı biber, marine edilmiş biftek eti </t>
  </si>
  <si>
    <t>Margarita Pizza (Küçük)</t>
  </si>
  <si>
    <t xml:space="preserve">Pizza sosu, mozzarella peyniri, domates </t>
  </si>
  <si>
    <t>Turkish Pizza (Küçük)</t>
  </si>
  <si>
    <t xml:space="preserve">Pizza sosu, mozzarella peyniri, sucuk, mantar, mısır, yeşilbiber </t>
  </si>
  <si>
    <t>Anadolu Ateşi Pizza (Küçük)</t>
  </si>
  <si>
    <t xml:space="preserve">Pizza sosu, mozzarella peyniri, sucuk, domates, acı biber </t>
  </si>
  <si>
    <t>Kasap Pizza (Küçük)</t>
  </si>
  <si>
    <t xml:space="preserve">Pizza sosu, mozzarella peyniri, kasap sucuk, mantar, kırmızıbiber, acı biber </t>
  </si>
  <si>
    <t>Karışık Pizza (Küçük)</t>
  </si>
  <si>
    <t xml:space="preserve">Pizza sosu, mozzarella peyniri, sucuk, salam, mantar, zeytin, mısır </t>
  </si>
  <si>
    <t>Ton Balıklı Pizza (Küçük)</t>
  </si>
  <si>
    <t xml:space="preserve">Pizza sosu, mozzarella peyniri, ton balığı, mantar, kırmızıbiber, acı biber, soğan </t>
  </si>
  <si>
    <t>4 Mevsim Pizza (Küçük)</t>
  </si>
  <si>
    <t xml:space="preserve">Pizza sosu, mozzarella peyniri, sucuk, mantar </t>
  </si>
  <si>
    <t>Fix Pizza (Orta)</t>
  </si>
  <si>
    <t>Special Pizza (Orta)</t>
  </si>
  <si>
    <t>Ton Balıklı Pizza (Orta)</t>
  </si>
  <si>
    <t>4 Mevsim Pizza (Orta)</t>
  </si>
  <si>
    <t>Stake Pizza (Orta)</t>
  </si>
  <si>
    <t>Turkish Pizza (Orta)</t>
  </si>
  <si>
    <t>Sucuklu Pizza (Orta)</t>
  </si>
  <si>
    <t>Margarita Pizza (Orta)</t>
  </si>
  <si>
    <t>Vegi Pizza (Orta)</t>
  </si>
  <si>
    <t>Ekstra Karışık Pizza (Orta)</t>
  </si>
  <si>
    <t>Delicious Pizza (Orta)</t>
  </si>
  <si>
    <t>Anadolu Ateşi Pizza (Orta)</t>
  </si>
  <si>
    <t>İtalyano Pizza (Orta)</t>
  </si>
  <si>
    <t>Karışık Pizza (Orta)</t>
  </si>
  <si>
    <t>Kasap Pizza (Orta)</t>
  </si>
  <si>
    <t>Kavurmalı Pizza (Orta)</t>
  </si>
  <si>
    <t>Favori Pizza (Orta)</t>
  </si>
  <si>
    <t>Karışık Kavurmalı Pizza (Orta)</t>
  </si>
  <si>
    <t>Vegi Pizza (Büyük)</t>
  </si>
  <si>
    <t>İtalyano Pizza (Büyük)</t>
  </si>
  <si>
    <t>Stake Pizza (Büyük)</t>
  </si>
  <si>
    <t>Special Pizza (Büyük)</t>
  </si>
  <si>
    <t>Fix Pizza (Büyük)</t>
  </si>
  <si>
    <t>Kasap Pizza (Büyük)</t>
  </si>
  <si>
    <t>61,00 TL</t>
  </si>
  <si>
    <t>Karışık Pizza (Büyük)</t>
  </si>
  <si>
    <t>Anadolu Ateşi Pizza (Büyük)</t>
  </si>
  <si>
    <t>Karışık Kavurmalı Pizza (Büyük)</t>
  </si>
  <si>
    <t>Favori Pizza (Büyük)</t>
  </si>
  <si>
    <t>4 Mevsim Pizza (Büyük)</t>
  </si>
  <si>
    <t>Delicious Pizza (Büyük)</t>
  </si>
  <si>
    <t>Turkish Pizza (Büyük)</t>
  </si>
  <si>
    <t>Kavurmalı Pizza (Büyük)</t>
  </si>
  <si>
    <t>Sucuklu Pizza (Büyük)</t>
  </si>
  <si>
    <t>Ton Balıklı Pizza (Büyük)</t>
  </si>
  <si>
    <t>Margarita Pizza (Büyük)</t>
  </si>
  <si>
    <t>Ekstra Karışık Pizza (Büyük)</t>
  </si>
  <si>
    <t xml:space="preserve">Ketçap, mayonez, marul, domates, turşu </t>
  </si>
  <si>
    <t>8'li Soğan Halkası</t>
  </si>
  <si>
    <t>Kavurmalı Ekmek</t>
  </si>
  <si>
    <t>Sarımsaklı Ekmek</t>
  </si>
  <si>
    <t>Parmak Dilim Patates Kızartması</t>
  </si>
  <si>
    <t>Elma Dilim Patates Kızartması</t>
  </si>
  <si>
    <t>6'lı Tavuk Nugget</t>
  </si>
  <si>
    <t>Mevyeli Soda (20 cl.)</t>
  </si>
  <si>
    <t>2 Adet Tostilla, Dürümos veya Ekmek Arası</t>
  </si>
  <si>
    <t xml:space="preserve">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 </t>
  </si>
  <si>
    <t>Seçilmiş Menü (Küçük Boy Pizza)</t>
  </si>
  <si>
    <t xml:space="preserve">Küçük Boy Pizza + Seçeceğiniz Yan Ürün + Coca-Cola (33 cl.) Cazip pizzalar için geçerlidir. Özel pizzalar için 3 TL, Bol Malzeme pizzalar için 6 TL, Gurme pizzalar için 9 TL fiyat farkı alınmaktadır. </t>
  </si>
  <si>
    <t>Seçilmiş Menü (Orta Boy Pizza)</t>
  </si>
  <si>
    <t xml:space="preserve">Orta Boy Pizza + Seçeceğiniz Yan Ürün + Coca-Cola (33 cl.) Cazip pizzalar için geçerlidir. Özel pizzalar için 3 TL, Bol Malzeme pizzalar için 6 TL, Gurme pizzalar için 9 TL fiyat farkı alınmaktadır. </t>
  </si>
  <si>
    <t>50,99 TL</t>
  </si>
  <si>
    <t>Seçilmiş Menü (Büyük Boy Pizza)</t>
  </si>
  <si>
    <t xml:space="preserve">Büyük Boy Pizza + Seçeceğiniz Yan Ürün + Coca-Cola (1 L.) Cazip pizzalar için geçerlidir. Özel pizzalar için 3 TL, Bol Malzeme pizzalar için 6 TL, Gurme pizzalar için 9 TL fiyat farkı alınmaktadır. </t>
  </si>
  <si>
    <t>Seçilmiş Menü (Makarnos)</t>
  </si>
  <si>
    <t xml:space="preserve">Makarnos + Seçeceğiniz Yan Ürün + Coca-Cola (33 cl.) </t>
  </si>
  <si>
    <t>Algida Menüsü (Küçük Boy Pizza)</t>
  </si>
  <si>
    <t xml:space="preserve">Küçük Boy Pizza + Seçeceğiniz Yan Ürün + Seçeceğiniz Algida Dondurma </t>
  </si>
  <si>
    <t>Algida Menüsü (Orta Boy Pizza)</t>
  </si>
  <si>
    <t xml:space="preserve">Orta Boy Pizza + Seçeceğiniz Yan Ürün + Seçeceğiniz Algida Dondurma </t>
  </si>
  <si>
    <t>Algida Menüsü (Büyük Boy Pizza)</t>
  </si>
  <si>
    <t xml:space="preserve">Büyük Boy Pizza + Seçeceğiniz Yan Ürün + Seçeceğiniz Algida Dondurma </t>
  </si>
  <si>
    <t>Dijifest - 2 Orta Boy Pizza + Litrelik İçecek</t>
  </si>
  <si>
    <t xml:space="preserve">Cazip pizzalar için geçerlidir. Özel pizzalar için 3 TL, Bol Malzeme pizzalar için 6 TL, Gurme pizzalar için 9 TL fiyat farkı alınmaktadır. </t>
  </si>
  <si>
    <t>3 Al 1 Öde</t>
  </si>
  <si>
    <t>82,99 TL</t>
  </si>
  <si>
    <t>2 Adet Orta Boy Pizza</t>
  </si>
  <si>
    <t>Büyük Boy Pizza + Soslu Tavuk &amp; Patates</t>
  </si>
  <si>
    <t xml:space="preserve">Büyük Boy Pizza + Seçeceğiniz Tavuk + Gurme Patates (100 gr.) (Cazip pizzalar için geçerlidir. Özel pizzalar için 3 TL, Bol Malzeme pizzalar için 6 TL, Gurme pizzalar için 9 TL fiyat farkı alınmaktadır.) </t>
  </si>
  <si>
    <t>67,99 TL</t>
  </si>
  <si>
    <t>Orta Boy Paketos Menü</t>
  </si>
  <si>
    <t xml:space="preserve">Orta Boy Pizza + 20'li Çıtır Tavuk Topları + Gurme Patates (100 gr.) (Cazip pizzalar için geçerlidir. Özel pizzalar için 3 TL, Bol Malzeme pizzalar için 6 TL, Gurme pizzalar için 9 TL fiyat farkı alınmaktadır.) </t>
  </si>
  <si>
    <t>Büyük Boy Paketos Menü</t>
  </si>
  <si>
    <t xml:space="preserve">Büyük Boy Pizza + 30'lu Çıtır Tavuk Topları + Gurme Patates (100 gr.) (Cazip pizzalar için geçerlidir. Özel pizzalar için 3 TL, Bol Malzeme pizzalar için 6 TL, Gurme pizzalar için 9 TL fiyat farkı alınmaktadır.) </t>
  </si>
  <si>
    <t>Küçük Boy Paketos Menü</t>
  </si>
  <si>
    <t xml:space="preserve">Küçük Boy Pizza + 10'lu Çıtır Tavuk Topları + Gurme Patates (100 gr.) (Cazip pizzalar için geçerlidir. Özel pizzalar için 3 TL, Bol Malzeme pizzalar için 6 TL, Gurme pizzalar için 9 TL fiyat farkı alınmaktadır.) </t>
  </si>
  <si>
    <t>2 Adet Çokominos</t>
  </si>
  <si>
    <t>Büyük Boy Pizzalar</t>
  </si>
  <si>
    <t>Büyük Boy Bol Malzemos</t>
  </si>
  <si>
    <t>Büyük Boy Bol Malzemos + Litrelik İçecek</t>
  </si>
  <si>
    <t>60,99 TL</t>
  </si>
  <si>
    <t>Orta Boy Bol Malzemos + Kutu İçecek</t>
  </si>
  <si>
    <t>Orta Boy Bol Malzemos Fırsatı</t>
  </si>
  <si>
    <t>43,99 TL</t>
  </si>
  <si>
    <t>Orta Boy Pizzalar</t>
  </si>
  <si>
    <t>40,99 TL</t>
  </si>
  <si>
    <t>2 Adet Çikolatalı Sufle</t>
  </si>
  <si>
    <t>3 Adet Fırından Lezzet</t>
  </si>
  <si>
    <t xml:space="preserve">10'lu Çıtır Tavuk Topları, 4'lü Tavuk Parçaları, Gurme Patates (100 gr.) veya 6'lı Çıtır Tavuk Finger </t>
  </si>
  <si>
    <t>4 Adet Çikolatalı Sufle</t>
  </si>
  <si>
    <t>2'li Algida Dondurma</t>
  </si>
  <si>
    <t xml:space="preserve">2 Adet Seçeceğiniz Algida Dondurma </t>
  </si>
  <si>
    <t>4'lü Algida Dondurma</t>
  </si>
  <si>
    <t xml:space="preserve">4 Adet Seçeceğiniz Algida Dondurma </t>
  </si>
  <si>
    <t>Dilediğin Orta Boy Domisos'lu Pizza</t>
  </si>
  <si>
    <t xml:space="preserve">Ballı Hardal Soslu Tavuklu, Barbekü Soslu Sucuksever, Domino's Soslu Bol Malzemos pizzaları için geçerlidir. </t>
  </si>
  <si>
    <t>Dilediğin Orta Boy Domisos'lu Pizza + Kutu İçecek</t>
  </si>
  <si>
    <t>Dilediğin Büyük Boy Domisos'lu Pizza</t>
  </si>
  <si>
    <t>Dilediğin 2 Orta Boy Domisos'lu Pizza</t>
  </si>
  <si>
    <t>Dilediğin 2 Orta Boy Domisos'lu Pizza + Litrelik İçecek</t>
  </si>
  <si>
    <t>Dilediğin 3 Orta Boy Domisos'lu Pizza</t>
  </si>
  <si>
    <t>77,99 TL</t>
  </si>
  <si>
    <t>Ekonomik Tavuk Kova veya Makarnos veya Dürümos XL</t>
  </si>
  <si>
    <t xml:space="preserve">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 </t>
  </si>
  <si>
    <t>Küçük Boy Pizzalar</t>
  </si>
  <si>
    <t>Ekmek Arası veya Dürümos + Patates + Kutu İçecek</t>
  </si>
  <si>
    <t xml:space="preserve">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 </t>
  </si>
  <si>
    <t>Makarnos + Kutu İçecek</t>
  </si>
  <si>
    <t xml:space="preserve">Acılı Arabiata Makarnos için geçerlidir. Bol Peynirli Makarnos, Bol Malzemeli Makarnos için 3 TL, Tavuklu Mantarlı Makarnos için 5 TL fiyat farkı alınmaktadır. </t>
  </si>
  <si>
    <t>2 Adet Ekonomik Tavuk Kova veya Makarnos veya Dürümos XL</t>
  </si>
  <si>
    <t>Dilediğin Büyük Tavuk Kova</t>
  </si>
  <si>
    <t xml:space="preserve">Kanatlı Karışık Kova, Çıtır Karışık Kova, Tavuk Kanatları Kova ürünleri için geçerlidir. </t>
  </si>
  <si>
    <t>Çıtır Karışık Kova Fırsatı</t>
  </si>
  <si>
    <t xml:space="preserve">10 Adet Çıtır Tavuk Topları + 6 Adet Çıtır Tavuk Finger + 4 Adet Tavuk Parçaları + Gurme Patates (100 gr.) + Tereyağlı Ekmek + Yoğurtlu Sos </t>
  </si>
  <si>
    <t>Büyük Boy Pizza + Kutu İçecek</t>
  </si>
  <si>
    <t>2 Adet Orta Boy Bol Malzemos Pizza + Litrelik İçecek</t>
  </si>
  <si>
    <t>70,99 TL</t>
  </si>
  <si>
    <t>Büyük Boy Pizza + Tavuk veya Patates + Litrelik İçecek</t>
  </si>
  <si>
    <t xml:space="preserve">Büyük Boy Pizza + Gurme Patates (100 gr.) + Coca-Cola (1 L.) Cazip pizzalar için geçerlidir. Özel pizzalar için 3 TL, Bol Malzeme pizzalar için 6 TL, Gurme pizzalar için 9 TL fiyat farkı alınmaktadır. </t>
  </si>
  <si>
    <t>57,99 TL</t>
  </si>
  <si>
    <t>2 Adet Orta Boy Bol Malzemos Pizza Fırsatı</t>
  </si>
  <si>
    <t xml:space="preserve">Cazip pizzalar, Özel pizzalar ve Bol Malzeme pizzalar için geçerlidir. Gurme pizzalar için 3 TL fiyat farkı alınmaktadır. </t>
  </si>
  <si>
    <t>3 Adet Büyük Boy Pizza + 2 Adet Litrelik İçecek</t>
  </si>
  <si>
    <t>149,99 TL</t>
  </si>
  <si>
    <t>2 Adet Büyük Boy Pizza + Litrelik İçecek</t>
  </si>
  <si>
    <t>100,99 TL</t>
  </si>
  <si>
    <t>3 Adet Büyük Boy Pizza</t>
  </si>
  <si>
    <t>134,99 TL</t>
  </si>
  <si>
    <t>2 Adet Büyük Boy Pizza</t>
  </si>
  <si>
    <t>92,99 TL</t>
  </si>
  <si>
    <t>Kalabalık Menü</t>
  </si>
  <si>
    <t xml:space="preserve">3 Adet Orta Boy Pizza + 2 Adet Ekstra Lezzet + 2 Adet Litrelik İçecek (Cazip pizzalar için geçerlidir. Özel pizzalar için 3 TL, Bol Malzeme pizzalar için 6 TL, Gurme pizzalar için 9 TL fiyat farkı alınmaktadır. ) </t>
  </si>
  <si>
    <t>114,99 TL</t>
  </si>
  <si>
    <t>5 Adet Orta Boy Pizza</t>
  </si>
  <si>
    <t>139,99 TL</t>
  </si>
  <si>
    <t>Sucuksever Pizza (Orta)</t>
  </si>
  <si>
    <t>Sarımsak Soslu Sucuksever (Orta)</t>
  </si>
  <si>
    <t xml:space="preserve">Pizza sosu, mozzarella peyniri, sucuk, sarımsak sos (Sarımsak sos için malzeme değişimi yapılmamaktadır.) </t>
  </si>
  <si>
    <t>Süperos (Orta)</t>
  </si>
  <si>
    <t xml:space="preserve">Pizza sosu, mozzarella peyniri, sucuk, jambon, sosis, domates, siyah zeytin, kekik </t>
  </si>
  <si>
    <t>Barbekü Soslu Sucuksever (Orta)</t>
  </si>
  <si>
    <t xml:space="preserve">Pizza sosu, mozzarella peyniri, sucuk, barbekü sos </t>
  </si>
  <si>
    <t>Tavuklu Pizza (Orta)</t>
  </si>
  <si>
    <t xml:space="preserve">Pizza sosu, mozzarella peyniri, tavuk parçaları, mısır, köz biber, yeşilbiber, yöresel lezzetler baharatı </t>
  </si>
  <si>
    <t>85,99 TL</t>
  </si>
  <si>
    <t>Fit &amp; Fresh (Orta)</t>
  </si>
  <si>
    <t xml:space="preserve">Pizza sosu, mozzarella peyniri, beyaz peynir, yeşilbiber, domates, siyah zeytin </t>
  </si>
  <si>
    <t>Vegi (Orta)</t>
  </si>
  <si>
    <t xml:space="preserve">Pizza sosu, mozzarella peyniri, yeşilbiber, mantar, mısır, siyah zeytin, köz biber, domates, kekik, susam </t>
  </si>
  <si>
    <t>Sosyal Pizza (Orta)</t>
  </si>
  <si>
    <t xml:space="preserve">Pizza sosu, mozzarella peyniri, sucuk, mantar, mısır, domates, kekik </t>
  </si>
  <si>
    <t>Ballı Hardallı Tavuklu Pizza (Orta)</t>
  </si>
  <si>
    <t xml:space="preserve">Pizza sosu, mozzarella peyniri, tavuk parçaları, mantar, soğan, ballı hardal sos </t>
  </si>
  <si>
    <t>Domino's Soslu Bol Malzemos (Orta)</t>
  </si>
  <si>
    <t xml:space="preserve">Pizza sosu, mozzarella peyniri, sucuk, jambon, pepperoni, sosis, mısır, domates, mantar, yeşilbiber, siyah zeytin, susam, kekik, Dominos sos </t>
  </si>
  <si>
    <t>88,99 TL</t>
  </si>
  <si>
    <t>Dopdolu Extra (Orta)</t>
  </si>
  <si>
    <t xml:space="preserve">Pizza sosu, pepperoni, sucuk, jambon, sosis, yeşilbiber, mantar, köz biber, acı Meksika biberi, zeytin, mısır, beyaz peynir, mozzarella peyniri, domates, susam, yöresel lezzetler baharatı </t>
  </si>
  <si>
    <t>Bol Malzemos Pizza (Orta)</t>
  </si>
  <si>
    <t xml:space="preserve">Pizza sosu, mozzarella peyniri, pepperoni, sucuk, sosis, jambon, yeşilbiber, domates, mantar, siyah zeytin, mısır, kekik, susam </t>
  </si>
  <si>
    <t>Extravaganzza (Orta)</t>
  </si>
  <si>
    <t xml:space="preserve">Pizza sosu, mozzarella peyniri, pepperoni, jambon, sosis, soğan, yeşilbiber, mantar, siyah zeytin, mısır </t>
  </si>
  <si>
    <t xml:space="preserve">Pizza sosu, mozzarella peyniri, sucuk, sosis, yeşilbiber, mantar, mısır </t>
  </si>
  <si>
    <t>Italiano Pizza (Orta)</t>
  </si>
  <si>
    <t xml:space="preserve">Pizza sosu, mozzarella peyniri, küp sucuk, mantar, siyah zeytin, köz biber, kekik </t>
  </si>
  <si>
    <t>Dev Malzemos (Orta)</t>
  </si>
  <si>
    <t xml:space="preserve">Pizza sosu, mozzarella peyniri, mısır, dev sosis, sucuk, siyah zeytin </t>
  </si>
  <si>
    <t>Et Dönerli Pizza (Orta)</t>
  </si>
  <si>
    <t xml:space="preserve">Pizza sosu, mozzarella peyniri, et döner, domates, soğan, yeşilbiber, yöresel lezzetler baharatı </t>
  </si>
  <si>
    <t>Mangal Sucuklu Pizza (Orta)</t>
  </si>
  <si>
    <t xml:space="preserve">Pizza sosu, mozzarella peyniri, mangal sucuk, yeşilbiber, mantar </t>
  </si>
  <si>
    <t>91,99 TL</t>
  </si>
  <si>
    <t>Konyalım (Orta)</t>
  </si>
  <si>
    <t xml:space="preserve">Pizza sosu, mozzarella peyniri, kavurma, füme kaburga eti, soğan, köz biber, yöresel lezzetler baharatı </t>
  </si>
  <si>
    <t>Pastırma &amp; Sucuklu Pizza (Orta)</t>
  </si>
  <si>
    <t xml:space="preserve">Pizza sosu, mozzarella peyniri, pastırma, sucuk, yeşilbiber, mantar </t>
  </si>
  <si>
    <t>New York Pizza (Orta)</t>
  </si>
  <si>
    <t xml:space="preserve">Özel pizza sosu, mozzarella peyniri, New York pepperoni </t>
  </si>
  <si>
    <t>Dört Peynirli Pizza (Orta)</t>
  </si>
  <si>
    <t xml:space="preserve">Beyaz peynir, mozzarella peyniri, cheddar peyniri, pizza sosu, sarımsaklı sos, domates, parmesan peyniri </t>
  </si>
  <si>
    <t>Callypso (Orta)</t>
  </si>
  <si>
    <t xml:space="preserve">Pizza sosu, mozzarella peyniri, ton balığı, soğan, domates, mısır </t>
  </si>
  <si>
    <t>Margarita (Büyük)</t>
  </si>
  <si>
    <t xml:space="preserve">Özel pizza sosu ve mozzarella peyniri </t>
  </si>
  <si>
    <t>Sucuksever Pizza (Büyük)</t>
  </si>
  <si>
    <t>Sarımsak Soslu Sucuksever (Büyük)</t>
  </si>
  <si>
    <t>Süperos (Büyük)</t>
  </si>
  <si>
    <t>Barbekü Soslu Sucuksever (Büyük)</t>
  </si>
  <si>
    <t>Tavuklu Pizza (Büyük)</t>
  </si>
  <si>
    <t>107,99 TL</t>
  </si>
  <si>
    <t>Fit &amp; Fresh (Büyük)</t>
  </si>
  <si>
    <t>Vegi (Büyük)</t>
  </si>
  <si>
    <t>Sosyal Pizza (Büyük)</t>
  </si>
  <si>
    <t>Ballı Hardallı Tavuklu Pizza (Büyük)</t>
  </si>
  <si>
    <t>Domino's Soslu Bol Malzemos (Büyük)</t>
  </si>
  <si>
    <t>110,99 TL</t>
  </si>
  <si>
    <t>Dopdolu Extra (Büyük)</t>
  </si>
  <si>
    <t>Bol Malzemos Pizza (Büyük)</t>
  </si>
  <si>
    <t>Extravaganzza (Büyük)</t>
  </si>
  <si>
    <t>Italiano Pizza (Büyük)</t>
  </si>
  <si>
    <t>Dev Malzemos (Büyük)</t>
  </si>
  <si>
    <t>Et Dönerli Pizza (Büyük)</t>
  </si>
  <si>
    <t>Mangal Sucuklu Pizza (Büyük)</t>
  </si>
  <si>
    <t>113,99 TL</t>
  </si>
  <si>
    <t>Konyalım (Büyük)</t>
  </si>
  <si>
    <t xml:space="preserve">Pizza sosu, mozzarella peyniri, füme kaburga eti, kavurma, soğan, köz biber, yöresel lezzetler baharatı </t>
  </si>
  <si>
    <t>Pastırma &amp; Sucuklu Pizza (Büyük)</t>
  </si>
  <si>
    <t>New York Pizza (Büyük)</t>
  </si>
  <si>
    <t>Dört Peynirli Pizza (Büyük)</t>
  </si>
  <si>
    <t>Callypso (Büyük)</t>
  </si>
  <si>
    <t>Margarita (Küçük)</t>
  </si>
  <si>
    <t>Sucuksever Pizza (Küçük)</t>
  </si>
  <si>
    <t>Sarımsak Soslu Sucuksever (Küçük)</t>
  </si>
  <si>
    <t>Süperos (Küçük)</t>
  </si>
  <si>
    <t>Barbekü Soslu Sucuksever (Küçük)</t>
  </si>
  <si>
    <t>Tavuklu Pizza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</si>
  <si>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</si>
  <si>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</si>
  <si>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</si>
  <si>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</si>
  <si>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</si>
  <si>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</si>
  <si>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</si>
  <si>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</si>
  <si>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Italiano Pizza (Küçük)</t>
  </si>
  <si>
    <t>Dev Malzemos (Küçük)</t>
  </si>
  <si>
    <t>Et Dönerli Pizza (Küçük)</t>
  </si>
  <si>
    <t>Mangal Sucuklu Pizza (Küçük)</t>
  </si>
  <si>
    <t>53,99 TL</t>
  </si>
  <si>
    <t>Konyalım (Küçük)</t>
  </si>
  <si>
    <t>Pastırma &amp; Sucuklu Pizza (Küçük)</t>
  </si>
  <si>
    <t>Dört Peynirli Pizza (Küçük)</t>
  </si>
  <si>
    <t>Callypso (Küçük)</t>
  </si>
  <si>
    <t>Sucuk-Cheddar Tostilla</t>
  </si>
  <si>
    <t xml:space="preserve">Sucuk, mozzarella peyniri, cheddar peyniri, tereyağı sos, yöresel lezzetler baharatı, domates, mayonez </t>
  </si>
  <si>
    <t>Pastırma-Cheddar Tostilla</t>
  </si>
  <si>
    <t xml:space="preserve">Pastırma, mozzarella peyniri, cheddar peyniri, tereyağı sos, mayonez </t>
  </si>
  <si>
    <t>Kavurma-Cheddar Tostilla</t>
  </si>
  <si>
    <t xml:space="preserve">Kavurma, mozzarella peyniri, cheddar peyniri, tereyağı sos, mayonez </t>
  </si>
  <si>
    <t>Üç Peynirli Dürümos</t>
  </si>
  <si>
    <t xml:space="preserve">Mozzarella peyniri, cheddar peyniri, beyaz peynir, közlenmiş kırmızıbiber, siyah zeytin (Malzeme değişimi yapılmamaktadır.) </t>
  </si>
  <si>
    <t>Bol Malzemeli Dürümos</t>
  </si>
  <si>
    <t xml:space="preserve">Mozzarella peyniri, sucuk, sosis, jambon, mantar, mısır, siyah zeytin, mayonez (Malzeme değişimi yapılmamaktadır.) </t>
  </si>
  <si>
    <t>Tavuklu Dürümos</t>
  </si>
  <si>
    <t xml:space="preserve">Mozzarella peyniri, tavuk parçaları, cheddar peyniri, közlenmiş kırmızıbiber, mantar, yöresel lezzetler baharatı (Malzeme değişimi yapılmamaktadır.) </t>
  </si>
  <si>
    <t>Et Dönerli Dürümos</t>
  </si>
  <si>
    <t xml:space="preserve">Et döner, mayonez, patates, tereyağı sos (Malzeme değişimi yapılmamaktadır.) </t>
  </si>
  <si>
    <t>Üç Peynirli Dürümos XL</t>
  </si>
  <si>
    <t>Bol Malzemeli Dürümos XL</t>
  </si>
  <si>
    <t>Tavuklu Dürümos XL</t>
  </si>
  <si>
    <t>Et Dönerli Dürümos XL</t>
  </si>
  <si>
    <t>Sosisli</t>
  </si>
  <si>
    <t xml:space="preserve">Dev sosis, ketçap, mayonez </t>
  </si>
  <si>
    <t>Patso</t>
  </si>
  <si>
    <t xml:space="preserve">Patates, ketçap, mayonez </t>
  </si>
  <si>
    <t>Sosisli Patso</t>
  </si>
  <si>
    <t xml:space="preserve">Mozzarella peyniri, patates, sosis, mayonez, ketçap (Malzeme değişimi yapılmamaktadır.) </t>
  </si>
  <si>
    <t>Gurme Sosisli Ekmek Arası</t>
  </si>
  <si>
    <t xml:space="preserve">Dev sosis, mozzarella peyniri, mısır, mantar, domates, ketçap, mayonez (Malzeme değişimi yapılmamaktadır.) </t>
  </si>
  <si>
    <t>Üç Peynirli Ekmek Arası</t>
  </si>
  <si>
    <t xml:space="preserve">Mozzarella peyniri, cheddar, beyaz peynir, domates, kekik (Malzeme değişimi yapılmamaktadır.) </t>
  </si>
  <si>
    <t>Bol Malzemeli Ekmek Arası</t>
  </si>
  <si>
    <t xml:space="preserve">Mozzarella peyniri, sucuk, jambon, sosis, mantar, siyah zeytin, mısır, ketçap, mayonez (Malzeme değişimi yapılmamaktadır.) </t>
  </si>
  <si>
    <t>Mangal Sucuklu Ekmek Arası</t>
  </si>
  <si>
    <t xml:space="preserve">Mangal sucuk, mozzarella peyniri, dilimli cheddar peyniri, domates, ketçap, dilimli yeşilbiber (Malzeme değişimi yapılmamaktadır.) </t>
  </si>
  <si>
    <t>Ton Balıklı Ekmek Arası</t>
  </si>
  <si>
    <t xml:space="preserve">Mozzarella peyniri, ton balığı, mısır, domates, mayonez (Malzeme değişimi yapılmamaktadır.) </t>
  </si>
  <si>
    <t>Kavurmalı Ekmek Arası</t>
  </si>
  <si>
    <t xml:space="preserve">Kavurma, mozzarella peyniri, domates, köz kırmızıbiber, dilimli yeşilbiber, mayonez (Malzeme değişimi yapılmamaktadır.) </t>
  </si>
  <si>
    <t>6'lı Çıtır Tavuk Finger</t>
  </si>
  <si>
    <t xml:space="preserve">6 adet marine edilmiş tavuk parçaları </t>
  </si>
  <si>
    <t>10'lu Çıtır Tavuk Topları</t>
  </si>
  <si>
    <t xml:space="preserve">10 adet baharatlı ve lezzetli tavuk topları </t>
  </si>
  <si>
    <t>4'lü Tavuk Parçaları</t>
  </si>
  <si>
    <t xml:space="preserve">4 adet marine edilmiş tavuk parçaları </t>
  </si>
  <si>
    <t>8'li Tavuk Parçaları</t>
  </si>
  <si>
    <t xml:space="preserve">8 adet marine edilmiş tavuk parçaları </t>
  </si>
  <si>
    <t>12'li Çıtır Tavuk Finger</t>
  </si>
  <si>
    <t xml:space="preserve">12 adet çıtır tavuk finger </t>
  </si>
  <si>
    <t>20'li Çıtır Tavuk Topları</t>
  </si>
  <si>
    <t xml:space="preserve">20 adet baharatlı ve lezzetli tavuk topları </t>
  </si>
  <si>
    <t>18'li Çıtır Tavuk Finger</t>
  </si>
  <si>
    <t xml:space="preserve">18 adet çıtır tavuk finger </t>
  </si>
  <si>
    <t>30'lu Çıtır Tavuk Topları</t>
  </si>
  <si>
    <t xml:space="preserve">30 adet baharatlı ve lezzetli tavuk topları </t>
  </si>
  <si>
    <t>12'li Tavuk Parçaları</t>
  </si>
  <si>
    <t xml:space="preserve">12 adet marine edilmiş tavuk parçaları </t>
  </si>
  <si>
    <t>Tavuk Parçaları Ekonomik Kova</t>
  </si>
  <si>
    <t xml:space="preserve">12 Adet Tavuk Parçaları + 100 gr. Gurme Patates + Yoğurtlu Sos </t>
  </si>
  <si>
    <t>Barbekü Soslu Tavuk &amp; Patates</t>
  </si>
  <si>
    <t xml:space="preserve">12 adet çıtır tavuk finger, barbekü sos, mozzarella peyniri, acı Meksika biberi, gurme patates (100 gr.) </t>
  </si>
  <si>
    <t>Çıtır Tavuk Topları Ekonomik Kova</t>
  </si>
  <si>
    <t xml:space="preserve">30 Adet Çıtır Tavuk Topları + 100 gr. Gurme Patates + Meksika Sos </t>
  </si>
  <si>
    <t>Cheddar Peynirli Tavuk &amp; Patates</t>
  </si>
  <si>
    <t xml:space="preserve">12 adet çıtır tavuk finger, cheddar peyniri, mayonez, yöresel lezzetler baharatı, gurme patates (100 gr.) </t>
  </si>
  <si>
    <t>Acılı Arabiata Makarnos</t>
  </si>
  <si>
    <t xml:space="preserve">Makarnos, acı chili baharatı, mozzarella peyniri, sarımsak sos, pizza sosu </t>
  </si>
  <si>
    <t>Bol Peynirli Makarnos</t>
  </si>
  <si>
    <t xml:space="preserve">Makarnos, cheddar peyniri, mozzarella peyniri, parmesan peyniri, mayonez </t>
  </si>
  <si>
    <t>Bol Malzemeli Makarnos</t>
  </si>
  <si>
    <t xml:space="preserve">Makarnos, küp sucuk, sosis, mantar, siyah zeytin, kırmızı köz biber, mısır, mozzarella peyniri, pizza sosu, mayonez </t>
  </si>
  <si>
    <t>Tavuklu Mantarlı Makarnos</t>
  </si>
  <si>
    <t xml:space="preserve">Makarnos, çıtır tavuk finger, mantar, mozzarella peyniri, Domino's sos, mayonez </t>
  </si>
  <si>
    <t>Gurme Patates (100 gr.)</t>
  </si>
  <si>
    <t>Doritos Taco Süper Boy (116 gr.)</t>
  </si>
  <si>
    <t>Gurme Patates (200 gr.)</t>
  </si>
  <si>
    <t>Gurme Patates (300 gr.)</t>
  </si>
  <si>
    <t>Bol Peynirli Ekmek</t>
  </si>
  <si>
    <t xml:space="preserve">Cheddar peynirli ve mozzarellalı, sarımsaklı çeşnili dilimler </t>
  </si>
  <si>
    <t>Algida Carte d'or Mini Cup Meyve Rüyası</t>
  </si>
  <si>
    <t>Algida Carte d'or Mini Cup Çikolata Karnavalı</t>
  </si>
  <si>
    <t>Algida Magnum Mini Double Karamel Gold</t>
  </si>
  <si>
    <t xml:space="preserve">Sıcak akışkan çikolatalı sufle </t>
  </si>
  <si>
    <t>Çokominos</t>
  </si>
  <si>
    <t xml:space="preserve">Mozzarella peyniri, sütlü çikolata, tarçın &amp; toz şeker karışımı </t>
  </si>
  <si>
    <t>Cappy Portakal (33 cl.)</t>
  </si>
  <si>
    <t>Cappy Karışık (33 cl.)</t>
  </si>
  <si>
    <t>Sütaş Ayran (300 ml.)</t>
  </si>
  <si>
    <t>Ayran (200 ml.)</t>
  </si>
  <si>
    <t>Damla Su (500 ml.)</t>
  </si>
  <si>
    <t>Yoğurtlu Sos</t>
  </si>
  <si>
    <t>Meksika Sos</t>
  </si>
  <si>
    <t>Ocakbaşı Pizza (Orta)</t>
  </si>
  <si>
    <t xml:space="preserve">Pizza sosu, mozzarella peyniri, kavurma, pastırma, sucuk, füme kaburga eti, kırmızı köz biber, mantar </t>
  </si>
  <si>
    <t>Ocakbaşı Pizza (Büyük)</t>
  </si>
  <si>
    <t>Ocakbaşı Pizza (Küçük)</t>
  </si>
  <si>
    <t>Donas Et Döner Dürüm Menü 1</t>
  </si>
  <si>
    <t xml:space="preserve">Donas Et Döner Dürüm + Patates Kızartması + Ayran (22 cl.) </t>
  </si>
  <si>
    <t>Donas Et Döner Dürüm Menü 2</t>
  </si>
  <si>
    <t xml:space="preserve">Donas Et Döner Dürüm + Patates Kızartması + Kutu İçecek </t>
  </si>
  <si>
    <t>Donas Zurna Et Döner Dürüm Menü 1</t>
  </si>
  <si>
    <t xml:space="preserve">Donas Zurna Et Döner Dürüm + Patates Kızartması + Ayran (22 cl.) </t>
  </si>
  <si>
    <t>Donas Zurna Et Döner Dürüm Menü 2</t>
  </si>
  <si>
    <t xml:space="preserve">Donas Zurna Et Döner Dürüm + Patates Kızartması + Kutu İçecek </t>
  </si>
  <si>
    <t>Donas Tavuk Döner Dürüm Menü 1</t>
  </si>
  <si>
    <t xml:space="preserve">Donas Tavuk Döner Dürüm + Patates Kızartması + Ayran (22 cl.) </t>
  </si>
  <si>
    <t>Donas Tavuk Döner Dürüm Menü 2</t>
  </si>
  <si>
    <t xml:space="preserve">Donas Tavuk Döner Dürüm + Patates Kızartması + Kutu İçecek </t>
  </si>
  <si>
    <t>Donas Zurna Tavuk Döner Dürüm Menü 1</t>
  </si>
  <si>
    <t xml:space="preserve">Donas Zurna Tavuk Döner Dürüm + Patates Kızartması + Ayran (22 cl.) </t>
  </si>
  <si>
    <t>Donas Zurna Tavuk Döner Dürüm Menü 2</t>
  </si>
  <si>
    <t xml:space="preserve">Donas Zurna Tavuk Döner Dürüm + Patates Kızartması + Kutu İçecek </t>
  </si>
  <si>
    <t>Donas Tavuk Döner</t>
  </si>
  <si>
    <t xml:space="preserve">140 gr. tavuk döner. Patates kızartması, yeşillik, domates, salatalık turşusu, özel Hatay sos, mayonez ile </t>
  </si>
  <si>
    <t>Donas Bol Malzeme Tavuk Döner Dürüm</t>
  </si>
  <si>
    <t xml:space="preserve">90 gr. tavuk döner, patates kızartması, yeşillik, domates, salatalık turşusu, özel Hatay sos, mayonez </t>
  </si>
  <si>
    <t>Donas Tavuk Döner Dürüm</t>
  </si>
  <si>
    <t>Donas Zurna Tavuk Döner Dürüm</t>
  </si>
  <si>
    <t xml:space="preserve">110 gr. tavuk döner, patates kızartması, yeşillik, domates, salatalık turşusu, özel Hatay sos, mayonez </t>
  </si>
  <si>
    <t>Donas Special Zurna Tavuk Döner Dürüm</t>
  </si>
  <si>
    <t xml:space="preserve">110 gr. tavuk döner, maydanoz, nane, domates, turşu, Hatay sos, mayonez, isteğe göre soğan </t>
  </si>
  <si>
    <t>Donas Et Döner</t>
  </si>
  <si>
    <t xml:space="preserve">130 gr. et döner. Patates kızartması, yeşillik, domates, salatalık turşusu, özel Hatay sos, mayonez ile </t>
  </si>
  <si>
    <t>Donas Bol Malzeme Et Döner Dürüm</t>
  </si>
  <si>
    <t xml:space="preserve">75 gr. et döner, patates kızartması, yeşillik, domates, salatalık turşusu, özel Hatay sos, mayonez </t>
  </si>
  <si>
    <t>Donas Et Döner Dürüm</t>
  </si>
  <si>
    <t>Donas Zurna Et Döner Dürüm</t>
  </si>
  <si>
    <t xml:space="preserve">100 gr. et döner, patates kızartması, yeşillik, domates, salatalık turşusu, özel Hatay sos, mayonez </t>
  </si>
  <si>
    <t>Donas Special Zurna Et Döner Dürüm</t>
  </si>
  <si>
    <t xml:space="preserve">100 gr. et döner, maydanoz, nane, domates, turşu, Hatay sos, mayonez, isteğe göre soğan </t>
  </si>
  <si>
    <t>Donas Veggie</t>
  </si>
  <si>
    <t xml:space="preserve">Patates kızartması, yeşillik, domates, salatalık turşusu, özel Hatay sos, mayonez </t>
  </si>
  <si>
    <t>Ayran (22 cl.)</t>
  </si>
  <si>
    <t>Tavuk Döner Dürüm Menü</t>
  </si>
  <si>
    <t xml:space="preserve">Tavuk Döner Dürüm + Ayran (20 cl.) </t>
  </si>
  <si>
    <t>Et Döner (75 - 80 gr.)</t>
  </si>
  <si>
    <t xml:space="preserve">Ekmek arası veya lavaşa; yeşillik, soğan </t>
  </si>
  <si>
    <t>Et Döner (115 - 120 gr.)</t>
  </si>
  <si>
    <t>İskender (95 - 100 gr.) (Et Dönerden)</t>
  </si>
  <si>
    <t>Et Döner (195 - 200 gr.)</t>
  </si>
  <si>
    <t>Et Döner (55 - 60 gr.)</t>
  </si>
  <si>
    <t>Et Döner (95 - 100 gr.)</t>
  </si>
  <si>
    <t xml:space="preserve">Tabakta servis edilir. </t>
  </si>
  <si>
    <t>Et Döner (145 - 150 gr.)</t>
  </si>
  <si>
    <t>Çökertme (95 - 100 gr.) (Et Dönerden)</t>
  </si>
  <si>
    <t>Çökertme (145 - 150 gr.) (Et Dönerden)</t>
  </si>
  <si>
    <t>Çökertme (195 -200 gr.) (Et Dönerden)</t>
  </si>
  <si>
    <t>İskender (145 - 150 gr.) (Et Dönerden)</t>
  </si>
  <si>
    <t>İskender (195 - 200 gr.) (Et Dönerden)</t>
  </si>
  <si>
    <t>Pilav Üstü Et Döner (95 - 100 gr.)</t>
  </si>
  <si>
    <t>Pilav Üstü Et Döner (145 - 150 gr.)</t>
  </si>
  <si>
    <t>Pilav Üstü Et Döner (195 - 200 gr.)</t>
  </si>
  <si>
    <t>Et Döner Ekmek (95 -100 gr.)</t>
  </si>
  <si>
    <t>Et Döner Ekmek (145 - 150 gr.)</t>
  </si>
  <si>
    <t>Pilav Üstü Tavuk Döner (100 gr.)</t>
  </si>
  <si>
    <t>Lipton Ice Tea Şeftali (33 cl.)</t>
  </si>
  <si>
    <t>Şalgam Suyu Acısız (33 cl.)</t>
  </si>
  <si>
    <t>Et Döner (250 gr.)</t>
  </si>
  <si>
    <t>Et Döner (500 gr.)</t>
  </si>
  <si>
    <t>Et Döner (750 gr.)</t>
  </si>
  <si>
    <t>Et Döner (1 kg.)</t>
  </si>
  <si>
    <t xml:space="preserve">Soğan, marul, domates </t>
  </si>
  <si>
    <t xml:space="preserve">Közlenmiş domates, közlenmiş soğan, közlenmiş biber, çoban salata ile </t>
  </si>
  <si>
    <t>Domatesli Tereyağlı Urfa Kebap</t>
  </si>
  <si>
    <t xml:space="preserve">Közlenmiş domates, közlenmiş soğan, közlenmiş biber. çoban salata ile </t>
  </si>
  <si>
    <t>Ekmek (Adet)</t>
  </si>
  <si>
    <t>Seçilmiş Menü (Efsane)</t>
  </si>
  <si>
    <t xml:space="preserve">Mantı (200 gr.) + Kızartma İçli Köfte + Zeytinyağlı Yaprak Sarma (200 gr.) + Coca-Cola (1 L.) </t>
  </si>
  <si>
    <t>Seçilmiş Menü (Karışık Tost)</t>
  </si>
  <si>
    <t xml:space="preserve">Karışık Tost + Coca-Cola (33 cl.) </t>
  </si>
  <si>
    <t>17,75 TL</t>
  </si>
  <si>
    <t>Vodafone Menüsü (Karışık Tost)</t>
  </si>
  <si>
    <t xml:space="preserve">Karışık Tost + Patates Kızartması + Ayran (30 cl.) (Kampanya koşulları için restoranın Promosyonlar bölümüne göz atınız. İndirimli fiyat ürün sepete eklendikten sonra uygulanır.) </t>
  </si>
  <si>
    <t>30,98 TL</t>
  </si>
  <si>
    <t>Efsane Tantuni Menü</t>
  </si>
  <si>
    <t xml:space="preserve">Tavuk Tantuni + Patates Kızartması + İçecek </t>
  </si>
  <si>
    <t>İçli Köfte &amp; Çorba Menü</t>
  </si>
  <si>
    <t xml:space="preserve">Günün Çorbası + Yaprak Sarma (200 gr.) + 2 Adet İçli Köfte + Salata + Ekmek </t>
  </si>
  <si>
    <t>Zeytinyağlı Sarma &amp; Mantı Menü</t>
  </si>
  <si>
    <t xml:space="preserve">Zeytinyağlı Sarma (200 gr.) + Mantı (250 gr.) </t>
  </si>
  <si>
    <t>Sigara Böreği &amp; Tereyağlı Mercimek Çorbası Menü</t>
  </si>
  <si>
    <t xml:space="preserve">Sigara Böreği (10 Adet) + Tereyağlı Mercimek Çorbası + Yarım Ekmek + Limon </t>
  </si>
  <si>
    <t>Muhteşem İkili Menü</t>
  </si>
  <si>
    <t xml:space="preserve">Menemen + Patates Kızartması + Ekmek + Ayran </t>
  </si>
  <si>
    <t>Menemen Menü</t>
  </si>
  <si>
    <t xml:space="preserve">Menemen + Ayran (20 cl.) </t>
  </si>
  <si>
    <t>20,25 TL</t>
  </si>
  <si>
    <t>Tereyağlı Yumurtalı Vezir Tostu</t>
  </si>
  <si>
    <t xml:space="preserve">Tereyağlı Yumurtalı Vezir Tostu + Ayran (20 cl.) </t>
  </si>
  <si>
    <t>Efsane Menü</t>
  </si>
  <si>
    <t xml:space="preserve">Mantı (200 gr.) + Kızartma İçli Köfte + Zeytinyağlı Yaprak Sarma (200 gr.) + İçecek (1 L.) </t>
  </si>
  <si>
    <t>29,25 TL</t>
  </si>
  <si>
    <t>Ekonomik Aile Menü</t>
  </si>
  <si>
    <t xml:space="preserve">4 Adet Kızarmış İçli Köfte + Zeytinyağlı Yaprak Sarma (300 gr.) + Mantı + Mevsim Salata + İçecek (1 L.) </t>
  </si>
  <si>
    <t>Efsane Tereyağlı Kaşarlı Sahanda Yumurta</t>
  </si>
  <si>
    <t xml:space="preserve">2 adet kırılmış yumurta, kaşar peyniri, pulbiberi. Yarım somun ekmek ile </t>
  </si>
  <si>
    <t xml:space="preserve">Pide ekmeği ile </t>
  </si>
  <si>
    <t>Ev Yapımı Tarhana Çorbası</t>
  </si>
  <si>
    <t xml:space="preserve">Ekmek ile </t>
  </si>
  <si>
    <t>Tereyağlı Sebzeli Tost</t>
  </si>
  <si>
    <t xml:space="preserve">Kaşar peyniri, domates, biber, soğan, pul biber, ketçap, mayonez </t>
  </si>
  <si>
    <t>9,74 TL</t>
  </si>
  <si>
    <t>Bol Malzemeli Tereyağlı Tost</t>
  </si>
  <si>
    <t xml:space="preserve">Dana sucuk, kaşar peyniri, hindi salamı, sosis, domates, kornişon turşu, ketçap, mayonez </t>
  </si>
  <si>
    <t xml:space="preserve">Kasap sucuk, kaşar peyniri, tereyağı, domates, ketçap, mayonez. Biber turşusu ile </t>
  </si>
  <si>
    <t>Bol Malzemeli Karışık Tost</t>
  </si>
  <si>
    <t xml:space="preserve">Sucuk, domates, kaşar peyniri, ketçap, mayonez </t>
  </si>
  <si>
    <t>Bol Kaşarlı Tost</t>
  </si>
  <si>
    <t xml:space="preserve">Bol kaşar peyniri, domates, ketçap, mayonez </t>
  </si>
  <si>
    <t>Kızartma İçli Köfte</t>
  </si>
  <si>
    <t>14,63 TL</t>
  </si>
  <si>
    <t>Sigara Böreği</t>
  </si>
  <si>
    <t>Kızartma İçli Köfte (Adet)</t>
  </si>
  <si>
    <t>4,49 TL</t>
  </si>
  <si>
    <t xml:space="preserve">Karışık turşu, köy yoğurdu ile </t>
  </si>
  <si>
    <t xml:space="preserve">Turşu, köy yoğurdu ile </t>
  </si>
  <si>
    <t>18,75 TL</t>
  </si>
  <si>
    <t>Özel Soslu Tavuk Tantuni</t>
  </si>
  <si>
    <t xml:space="preserve">Domates, soğan, maydanoz, lavaş ekmegi, tursu ile </t>
  </si>
  <si>
    <t>12,75 TL</t>
  </si>
  <si>
    <t>Sütlaç (200 gr.)</t>
  </si>
  <si>
    <t xml:space="preserve">Tarçın, ceviz </t>
  </si>
  <si>
    <t>İrmik Helvası (250 gr.)</t>
  </si>
  <si>
    <t>4,88 TL</t>
  </si>
  <si>
    <t>2,24 TL</t>
  </si>
  <si>
    <t>Ev Yapımı Ayran (1 L.)</t>
  </si>
  <si>
    <t>Zeytinyağlı Yaprak Sarma (1 kg.) (Pişirilmiş)</t>
  </si>
  <si>
    <t>Mantı (1 kg.) (Pişirilmiş)</t>
  </si>
  <si>
    <t>32,24 TL</t>
  </si>
  <si>
    <t>Kızartma İçli Köfte (1 kg.) (Pişirilmiş)</t>
  </si>
  <si>
    <t>Sigara Böreği (1 kg.) (Pişirilmiş)</t>
  </si>
  <si>
    <t>Yarım Ekmek Arası Ciğer Kavurma</t>
  </si>
  <si>
    <t xml:space="preserve">Biber turşusu, közlenmiş biber </t>
  </si>
  <si>
    <t>Kelle Paça Çorbası</t>
  </si>
  <si>
    <t xml:space="preserve">Yeşil söğüş, biber turşusu ile </t>
  </si>
  <si>
    <t xml:space="preserve">Mevsim salata, meze, biber turşusu, közlenmiş biber ile </t>
  </si>
  <si>
    <t>Sac Tava</t>
  </si>
  <si>
    <t xml:space="preserve">Salata, meze ile </t>
  </si>
  <si>
    <t xml:space="preserve">Et şiş, tavuk şiş, ızgara köfte, Adana kebap. Mevsim salata, meze, biber turşusu, közlenmiş biber ile </t>
  </si>
  <si>
    <t>İskender (Adana Kebaptan)</t>
  </si>
  <si>
    <t xml:space="preserve">Lavaşa sarılı, soslu, yoğurtlu. Mevsim salata, meze, biber turşusu, közlenmiş biber ile </t>
  </si>
  <si>
    <t>Fıstıklı Kebap</t>
  </si>
  <si>
    <t>Sebzeli Tereyağlı Et Kuşbaşı Şiş</t>
  </si>
  <si>
    <t xml:space="preserve">Mevsim salata, közlenmiş biber, domates, sebzeli pilav ile </t>
  </si>
  <si>
    <t>Meksika Soslu Tavuk</t>
  </si>
  <si>
    <t>Pide Ekmek Arası Ciğer Kavurma</t>
  </si>
  <si>
    <t>Et Kuşbaşı Dürüm</t>
  </si>
  <si>
    <t>Et Köfte Dürüm</t>
  </si>
  <si>
    <t xml:space="preserve">Mevsim salata, biber turşusu ile </t>
  </si>
  <si>
    <t>Somun Ekmek</t>
  </si>
  <si>
    <t>Mevsim Salata (Küçük Boy)</t>
  </si>
  <si>
    <t>Urfa Kebap (1 kg.)</t>
  </si>
  <si>
    <t xml:space="preserve">Közlenmiş biber, domates, salata ile </t>
  </si>
  <si>
    <t>Tavuk Kanat (1,5 kg.)</t>
  </si>
  <si>
    <t xml:space="preserve">Salata, közlenmiş biber, domates, meze ile </t>
  </si>
  <si>
    <t>Tavuk Pirzola (1,5 kg.)</t>
  </si>
  <si>
    <t>67,50 TL</t>
  </si>
  <si>
    <t>Tavuk Kuşbaşı (1,5 kg.)</t>
  </si>
  <si>
    <t>Kanat (1,5 kg.)</t>
  </si>
  <si>
    <t>Pirzola (1,5 kg.)</t>
  </si>
  <si>
    <t>Alabalık (1 kg.)</t>
  </si>
  <si>
    <t xml:space="preserve">Mevsim salata, közlenmiş biber, 1 adet ekmek ile </t>
  </si>
  <si>
    <t>Hamsi (1 kg.)</t>
  </si>
  <si>
    <t>Uskumru (1 kg.)</t>
  </si>
  <si>
    <t>Tamek (33 cl.)</t>
  </si>
  <si>
    <t>7UP (1 L.)</t>
  </si>
  <si>
    <t>Duble İskender (Et Dönerden)</t>
  </si>
  <si>
    <t>Pilav Üstü Et Döner (100 gr.)</t>
  </si>
  <si>
    <t>Pilav Üstü Et Döner (120 gr.)</t>
  </si>
  <si>
    <t>Pilav Üstü Et Döner (150 gr.)</t>
  </si>
  <si>
    <t>Ekmek Arası Et Döner (55-60 gr.)</t>
  </si>
  <si>
    <t>Ekmek Arası Et Döner (75-80 gr.)</t>
  </si>
  <si>
    <t>Ekmek Arası Et Döner (95-100 gr.)</t>
  </si>
  <si>
    <t>Ekmek Arası Et Döner (115-120 gr.)</t>
  </si>
  <si>
    <t>Ekmek Arası Et Döner (145-150 gr.)</t>
  </si>
  <si>
    <t>Ekmek Arası Et Döner (195-200 gr.)</t>
  </si>
  <si>
    <t>Et Döner Dürüm (75-80 gr.)</t>
  </si>
  <si>
    <t>Et Döner Dürüm (95-100 gr.)</t>
  </si>
  <si>
    <t>Et Döner Dürüm (115-120 gr.)</t>
  </si>
  <si>
    <t>Et Döner Dürüm (145-150 gr.)</t>
  </si>
  <si>
    <t>Et Döner Dürüm (195-200 gr.)</t>
  </si>
  <si>
    <t>Şalgam Suyu (25 cl.)</t>
  </si>
  <si>
    <t>et döner</t>
  </si>
  <si>
    <t xml:space="preserve">Et Döner ( 1250 gr ) </t>
  </si>
  <si>
    <t>190,00 TL</t>
  </si>
  <si>
    <t>2'li Orta Pizza Menü</t>
  </si>
  <si>
    <t xml:space="preserve">2 Adet Seçeceğiniz Medium Pizza </t>
  </si>
  <si>
    <t>2'li Small Pizza Menü</t>
  </si>
  <si>
    <t xml:space="preserve">2 Adet Small Pizza + Patates Kızartması (Orta) + İçecek (1 L.) </t>
  </si>
  <si>
    <t>Combo Menü</t>
  </si>
  <si>
    <t xml:space="preserve">Tam Parça Pizza + Patates Kızartması + Kutu İçecek </t>
  </si>
  <si>
    <t>Double Wonder Menü</t>
  </si>
  <si>
    <t xml:space="preserve">Tam Parça Pizza + 3 Adet Nugget + Patates Kızartması + Kutu İçecek </t>
  </si>
  <si>
    <t>Extra Menü</t>
  </si>
  <si>
    <t xml:space="preserve">Tam Parça Pizza + 2 Adet Soğan Halkası + 3 Adet Nugget + Patates Kızartması + Kutu İçecek </t>
  </si>
  <si>
    <t>Mega Menü</t>
  </si>
  <si>
    <t xml:space="preserve">Tam Parça Pizza + 2 Adet Chicken Fingers + Patates Kızartması + Kutu İçecek </t>
  </si>
  <si>
    <t>Orta Pizza Menü</t>
  </si>
  <si>
    <t xml:space="preserve">Seçeceğiniz Orta Boy Pizza + Patates Kızartması + Kutu İçecek </t>
  </si>
  <si>
    <t>Pita Menü</t>
  </si>
  <si>
    <t xml:space="preserve">Tam Parça Pizza + 4 Adet Chicken Fileto + Kutu İçecek </t>
  </si>
  <si>
    <t>Ring Samba Menü</t>
  </si>
  <si>
    <t xml:space="preserve">Tam Parça Pizza + 6 Adet Soğan Halkası + Kutu İçecek </t>
  </si>
  <si>
    <t>Şampiyon Menü</t>
  </si>
  <si>
    <t xml:space="preserve">Tam Parça Pizza + 4 Adet Nugget + 4 Adet Soğan Halkası + 2 Adet Chicken Fingers + Patates Kızartması + Kutu İçecek </t>
  </si>
  <si>
    <t>Sucuklu Combo Menü</t>
  </si>
  <si>
    <t xml:space="preserve">Sucuklu Tam Parça Pizza + Patates Kızartması + Kutu İçecek </t>
  </si>
  <si>
    <t xml:space="preserve">Seçeceğiniz Small Pizza + Patates Kızartması + Kutu İçecek </t>
  </si>
  <si>
    <t>Süper Samba Menü</t>
  </si>
  <si>
    <t xml:space="preserve">Tam Parça Pizza + 3 Adet Soğan Halkası + Patates Kızartması + Kutu İçecek </t>
  </si>
  <si>
    <t>Tam Parçalı Süper Menü</t>
  </si>
  <si>
    <t xml:space="preserve">Tam Parça Pizza + 4 Adet Chicken Fingers + Patates Kızartması + Kutu İçecek </t>
  </si>
  <si>
    <t>Wonder Menü</t>
  </si>
  <si>
    <t xml:space="preserve">Tam Parça Pizza + 6 Adet Nugget + Kutu İçecek </t>
  </si>
  <si>
    <t>Tavuk Döner Menü</t>
  </si>
  <si>
    <t xml:space="preserve">Tavuk Döner + Patates Kızartması + Yayık Ayran </t>
  </si>
  <si>
    <t>Köfte Menü - Şu anda mevcut değil.</t>
  </si>
  <si>
    <t xml:space="preserve">Köfte Dürüm + Patates Kızartması + Yayık Ayran </t>
  </si>
  <si>
    <t xml:space="preserve">Hamburger + Patates Kızartması + Kutu İçecek </t>
  </si>
  <si>
    <t>Gençlik Menü</t>
  </si>
  <si>
    <t xml:space="preserve">5 Adet Soğan Halkası + 5 Adet Nugget + Patates Kızartması + Kutu İçecek </t>
  </si>
  <si>
    <t>Double Hamburger Menü</t>
  </si>
  <si>
    <t xml:space="preserve">Double Hamburger + Patates Kızartması + Kutu İçecek </t>
  </si>
  <si>
    <t>Double Chicken Burger Menü</t>
  </si>
  <si>
    <t xml:space="preserve">Double Chicken Burger + Patates Kızartması + Kutu İçecek </t>
  </si>
  <si>
    <t>Çıtır Menü</t>
  </si>
  <si>
    <t xml:space="preserve">2 Adet Nugget + 2 Adet Soslu Tavuk Kanat + 3 Adet Soğan Halkası + Patates Kızartması + Kutu İçecek </t>
  </si>
  <si>
    <t>Chicken Nuggets Menü</t>
  </si>
  <si>
    <t xml:space="preserve">6 Adet Nugget + Patates Kızartması + Kutu İçecek </t>
  </si>
  <si>
    <t xml:space="preserve">6 Adet Chicken Fingers + Patates Kızartması + Kutu İçecek </t>
  </si>
  <si>
    <t>Double Hamburger</t>
  </si>
  <si>
    <t>Double Chicken Burger</t>
  </si>
  <si>
    <t>Mushroom Pizza (Small)</t>
  </si>
  <si>
    <t xml:space="preserve">Özel sos, pizza peyniri, mantar </t>
  </si>
  <si>
    <t>Konyalım Pizza (Small)</t>
  </si>
  <si>
    <t xml:space="preserve">Özel sos, pizza peyniri, sucuk, mısır, domates, siyah zeytin, kekik, susam </t>
  </si>
  <si>
    <t>Kayseri Ateşi Pizza (Small)</t>
  </si>
  <si>
    <t xml:space="preserve">Özel sos, pizza peyniri, mantar, sucuk, siyah zeytin, yeşilbiber </t>
  </si>
  <si>
    <t>Marios Pizza (Small)</t>
  </si>
  <si>
    <t xml:space="preserve">Özel sos, pizza peyniri, sucuk, mantar </t>
  </si>
  <si>
    <t>Classic Pizza (Small)</t>
  </si>
  <si>
    <t xml:space="preserve">Özel sos, pizza peyniri, sucuk, salam, sosis </t>
  </si>
  <si>
    <t>Bol Peynirli Pizza (Small)</t>
  </si>
  <si>
    <t xml:space="preserve">Özel sos, çift kat pizza peyniri, salam, mantar, sosis </t>
  </si>
  <si>
    <t>Timo Pizza (Small)</t>
  </si>
  <si>
    <t xml:space="preserve">Özel sos, çift kat pizza peyniri, mantar, salam, kekik, ketçap, sosis </t>
  </si>
  <si>
    <t>Bol Sucuklu Pizza (Small)</t>
  </si>
  <si>
    <t xml:space="preserve">Özel sos, pizza peyniri, ekstra sucuk </t>
  </si>
  <si>
    <t>Kavurmalı Pizza (Small)</t>
  </si>
  <si>
    <t xml:space="preserve">Özel sos, pizza peyniri, kavurma, yeşilbiber, mantar, küp domates </t>
  </si>
  <si>
    <t>Tavuklum Pizza (Small)</t>
  </si>
  <si>
    <t xml:space="preserve">Özel sos, pizza peyniri, siyah zeytin, domates, tavuk fileto </t>
  </si>
  <si>
    <t>Vegetable Pizza (Small)</t>
  </si>
  <si>
    <t xml:space="preserve">Özel sos, pizza peyniri, yeşilbiber, domates, mısır, mantar, yeşil zeytin, siyah zeytin </t>
  </si>
  <si>
    <t>Sosyal Pizza (Small)</t>
  </si>
  <si>
    <t xml:space="preserve">Özel sos, pizza peyniri, mantar, yeşilbiber, salam, sucuk, sosis </t>
  </si>
  <si>
    <t>Margherita Pizza (Small)</t>
  </si>
  <si>
    <t xml:space="preserve">Özel sos, pizza peyniri, domates, kekik, fesleğen </t>
  </si>
  <si>
    <t>Special Pizza (Small)</t>
  </si>
  <si>
    <t xml:space="preserve">Özel sos, pizza peyniri, salam, mısır, sucuk, sosis, mantar, domates, zeytin </t>
  </si>
  <si>
    <t>Mexico Pizza (Small)</t>
  </si>
  <si>
    <t xml:space="preserve">Özel sos, pizza peyniri, sucuk, mantar, jalapeno biberi, küp domates </t>
  </si>
  <si>
    <t>Misto Pizza (Small)</t>
  </si>
  <si>
    <t xml:space="preserve">Özel sos, pizza peyniri, sosis, mantar </t>
  </si>
  <si>
    <t>Happy Pizza (Small)</t>
  </si>
  <si>
    <t xml:space="preserve">Özel sos, pizza peyniri, sucuk, mantar, yeşilbiber </t>
  </si>
  <si>
    <t>Konyalım Pizza (Medium)</t>
  </si>
  <si>
    <t>Happy Pizza (Medium)</t>
  </si>
  <si>
    <t>Timo Pizza (Medium)</t>
  </si>
  <si>
    <t>Mushroom Pizza (Medium)</t>
  </si>
  <si>
    <t>Bol Sucuklu Pizza (Medium)</t>
  </si>
  <si>
    <t>Kavurmalı Pizza (Medium)</t>
  </si>
  <si>
    <t>Tavuklum Pizza (Medium)</t>
  </si>
  <si>
    <t>Misto Pizza (Medium)</t>
  </si>
  <si>
    <t>Bol Peynirli Pizza (Medium)</t>
  </si>
  <si>
    <t>Marios Pizza (Medium)</t>
  </si>
  <si>
    <t>Kayseri Ateşi Pizza (Medium)</t>
  </si>
  <si>
    <t>Vegetable Pizza (Medium)</t>
  </si>
  <si>
    <t>Sosyal Pizza (Medium)</t>
  </si>
  <si>
    <t>Special Pizza (Medium)</t>
  </si>
  <si>
    <t>Mexico Pizza (Medium)</t>
  </si>
  <si>
    <t>Classic Pizza (Medium)</t>
  </si>
  <si>
    <t>Margherita Pizza (Medium)</t>
  </si>
  <si>
    <t>Happy Pizza (Large)</t>
  </si>
  <si>
    <t>Marios Pizza (Large)</t>
  </si>
  <si>
    <t>Misto Pizza (Large)</t>
  </si>
  <si>
    <t>Timo Pizza (Large)</t>
  </si>
  <si>
    <t>Bol Sucuklu Pizza (Large)</t>
  </si>
  <si>
    <t>Mushroom Pizza (Large)</t>
  </si>
  <si>
    <t>Kavurmalı Pizza (Large)</t>
  </si>
  <si>
    <t>57,00 TL</t>
  </si>
  <si>
    <t>Bol Peynirli Pizza (Large)</t>
  </si>
  <si>
    <t>Tavuklum Pizza (Large)</t>
  </si>
  <si>
    <t>Margherita Pizza (Large)</t>
  </si>
  <si>
    <t>Konyalım Pizza (Large)</t>
  </si>
  <si>
    <t>Kayseri Ateşi Pizza (Large)</t>
  </si>
  <si>
    <t>Special Pizza (Large)</t>
  </si>
  <si>
    <t>Classic Pizza (Large)</t>
  </si>
  <si>
    <t>Sosyal Pizza (Large)</t>
  </si>
  <si>
    <t>Vegetable Pizza (Large)</t>
  </si>
  <si>
    <t>Mexico Pizza (Large)</t>
  </si>
  <si>
    <t>Marios Pizza (XLarge)</t>
  </si>
  <si>
    <t>Bol Peynirli Pizza (XLarge)</t>
  </si>
  <si>
    <t>Happy Pizza (XLarge)</t>
  </si>
  <si>
    <t>Kayseri Ateşi Pizza (XLarge)</t>
  </si>
  <si>
    <t>Mushroom Pizza (XLarge)</t>
  </si>
  <si>
    <t>63,00 TL</t>
  </si>
  <si>
    <t>Bol Sucuklu Pizza (XLarge)</t>
  </si>
  <si>
    <t>Tavuklum Pizza (XLarge)</t>
  </si>
  <si>
    <t>86,00 TL</t>
  </si>
  <si>
    <t>Special Pizza (XLarge)</t>
  </si>
  <si>
    <t>Classic Pizza (XLarge)</t>
  </si>
  <si>
    <t>Margherita Pizza (XLarge)</t>
  </si>
  <si>
    <t>Vegetable Pizza (XLarge)</t>
  </si>
  <si>
    <t>Sosyal Pizza (XLarge)</t>
  </si>
  <si>
    <t>Timo Pizza (XLarge)</t>
  </si>
  <si>
    <t>67,00 TL</t>
  </si>
  <si>
    <t>Konyalım Pizza (XLarge)</t>
  </si>
  <si>
    <t>Mexico Pizza (XLarge)</t>
  </si>
  <si>
    <t>Kavurmalı Pizza (XLarge)</t>
  </si>
  <si>
    <t>Misto Pizza (XLarge)</t>
  </si>
  <si>
    <t>Vegetable Pizza (Jumbo)</t>
  </si>
  <si>
    <t xml:space="preserve">Özel sos, pizza peyniri, yeşilbiber, domates, mısır, mantar, yeşil zeytin, siyah zeytin. Büyük boy patates kızartması, 8 adet soğan halkası ile </t>
  </si>
  <si>
    <t>Margherita Pizza (Jumbo)</t>
  </si>
  <si>
    <t xml:space="preserve">Özel sos, pizza peyniri, domates, kekik, fesleğen. Büyük boy patates kızartması, 8 adet soğan halkası ile </t>
  </si>
  <si>
    <t>82,00 TL</t>
  </si>
  <si>
    <t>Konyalım Pizza (Jumbo)</t>
  </si>
  <si>
    <t xml:space="preserve">Özel sos, pizza peyniri, sucuk, mısır, domates, siyah zeytin, kekik, susam. Büyük boy patates kızartması, 8 adet soğan halkası ile </t>
  </si>
  <si>
    <t>88,00 TL</t>
  </si>
  <si>
    <t>Happy Pizza (Jumbo)</t>
  </si>
  <si>
    <t xml:space="preserve">Özel sos, pizza peyniri, sucuk, mantar, yeşilbiber. Büyük boy patates kızartması, 8 adet soğan halkası ile </t>
  </si>
  <si>
    <t>Special Pizza (Jumbo)</t>
  </si>
  <si>
    <t xml:space="preserve">Özel sos, pizza peyniri, salam, mısır, sucuk, sosis, mantar, domates, zeytin. Büyük boy patates kızartması, 8 adet soğan halkası ile </t>
  </si>
  <si>
    <t>Kayseri Ateşi Pizza (Jumbo)</t>
  </si>
  <si>
    <t xml:space="preserve">Özel sos, pizza peyniri, mantar, sucuk, siyah zeytin, yeşilbiber. Büyük boy patates kızartması, 8 adet soğan halkası ile </t>
  </si>
  <si>
    <t>Mushroom Pizza (Jumbo)</t>
  </si>
  <si>
    <t xml:space="preserve">Özel sos, pizza peyniri, mantar. Büyük boy patates kızartması, 8 adet soğan halkası ile </t>
  </si>
  <si>
    <t>Kavurmalı Pizza (Jumbo)</t>
  </si>
  <si>
    <t xml:space="preserve">Özel sos, pizza peyniri, kavurma, yeşilbiber, mantar, küp domates. Büyük boy patates kızartması, 8 adet soğan halkası ile </t>
  </si>
  <si>
    <t>Bol Peynirli Pizza (Jumbo)</t>
  </si>
  <si>
    <t xml:space="preserve">Özel sos, çift kat pizza peyniri, salam, mantar, sosis. Büyük boy patates kızartması, 8 adet soğan halkası ile </t>
  </si>
  <si>
    <t>Classic Pizza (Jumbo)</t>
  </si>
  <si>
    <t xml:space="preserve">Özel sos, pizza peyniri, sucuk, salam, sosis. Büyük boy patates kızartması, 8 adet soğan halkası ile </t>
  </si>
  <si>
    <t>Bol Sucuklu Pizza (Jumbo)</t>
  </si>
  <si>
    <t xml:space="preserve">Özel sos, pizza peyniri, ekstra sucuk. Büyük boy patates kızartması, 8 adet soğan halkası ile </t>
  </si>
  <si>
    <t>Timo Pizza (Jumbo)</t>
  </si>
  <si>
    <t xml:space="preserve">Özel sos, çift kat pizza peyniri, mantar, salam, kekik, ketçap, sosis. Büyük boy patates kızartması, 8 adet soğan halkası ile </t>
  </si>
  <si>
    <t>Marios Pizza (Jumbo)</t>
  </si>
  <si>
    <t xml:space="preserve">Özel sos, pizza peyniri, sucuk, mantar. Büyük boy patates kızartması, 8 adet soğan halkası ile </t>
  </si>
  <si>
    <t>Sosyal Pizza (Jumbo)</t>
  </si>
  <si>
    <t xml:space="preserve">Özel sos, pizza peyniri, mantar, yeşilbiber, salam, sucuk, sosis. Büyük boy patates kızartması, 8 adet soğan halkası ile </t>
  </si>
  <si>
    <t>Mexico Pizza (Jumbo)</t>
  </si>
  <si>
    <t xml:space="preserve">Özel sos, pizza peyniri, sucuk, mantar, jalapeno biberi, küp domates. Büyük boy patates kızartması, 8 adet soğan halkası ile </t>
  </si>
  <si>
    <t>Misto Pizza (Jumbo)</t>
  </si>
  <si>
    <t xml:space="preserve">Özel sos, pizza peyniri, sosis, mantar. Büyük boy patates kızartması, 8 adet soğan halkası ile </t>
  </si>
  <si>
    <t>Tavuklum Pizza (Jumbo)</t>
  </si>
  <si>
    <t xml:space="preserve">Özel sos, pizza peyniri, siyah zeytin, domates, tavuk fileto. Büyük boy patates kızartması, 8 adet soğan halkası ile </t>
  </si>
  <si>
    <t xml:space="preserve">Arnavut biberi ile </t>
  </si>
  <si>
    <t>Çıtır Soğan Halkası</t>
  </si>
  <si>
    <t>Parça Pizza</t>
  </si>
  <si>
    <t>Nugget</t>
  </si>
  <si>
    <t>Ciğer Şiş Menü</t>
  </si>
  <si>
    <t xml:space="preserve">Ciğer Şiş + Seçeceğiniz Pilav + Salata + Tel Kadayıf + Ayran (20 cl.) </t>
  </si>
  <si>
    <t>Kavurma Menü</t>
  </si>
  <si>
    <t xml:space="preserve">Kavurma + Seçeceğiniz Pilav + Salata + Tel Kadayıf + Ayran (20 cl.) </t>
  </si>
  <si>
    <t xml:space="preserve">Karışık Izgara (Adana kebap, tavuk şiş, kuşbaşı, tavuk kanat) + Seçeceğiniz Pilav + Salata + Tel Kadayıf + Ayran (20 cl.) </t>
  </si>
  <si>
    <t xml:space="preserve">Tavuk Kanat + Seçeceğiniz Pilav + Salata + Tel Kadayıf + Ayran (20 cl.) </t>
  </si>
  <si>
    <t>İskender Menü</t>
  </si>
  <si>
    <t xml:space="preserve">İskender (Et Dönerden) + Seçeceğiniz Pilav + Salata + Tel Kadayıf + Ayran (20 cl.) </t>
  </si>
  <si>
    <t>Kuzu Pirzola Menü</t>
  </si>
  <si>
    <t xml:space="preserve">Kuzu Pirzola + Seçeceğiniz Pilav + Salata + Tel Kadayıf + Ayran (20 cl.) </t>
  </si>
  <si>
    <t>Zırh Kebap Menü</t>
  </si>
  <si>
    <t xml:space="preserve">Zırh Kebap + Seçeceğiniz Pilav+ Salata + Tel Kadayıf + Ayran (20 cl.) </t>
  </si>
  <si>
    <t>Et Köfte Menü</t>
  </si>
  <si>
    <t xml:space="preserve">Et Köfte + Seçeceğiniz Pilav + Salata + Tel Kadayıf + Ayran (20 cl.) </t>
  </si>
  <si>
    <t xml:space="preserve">Tereyağlı Urfa Kebap + Seçeceğiniz Pilav + Salata + Tel Kadayıf + Ayran (20 cl.) </t>
  </si>
  <si>
    <t>Kuşbaşı Bonfile Menü</t>
  </si>
  <si>
    <t xml:space="preserve">Kuşbaşı Bonfile + Seçeceğiniz Pilav + Salata + Tel Kadayıf + Ayran (20 cl.) </t>
  </si>
  <si>
    <t>Yaprak Döner Menü</t>
  </si>
  <si>
    <t xml:space="preserve">Yaprak Et Döner + Seçeceğiniz Pilav + Salata + Tel Kadayıf + Ayran (20 cl.) </t>
  </si>
  <si>
    <t xml:space="preserve">Tavuk Şiş + Seçeceğiniz Pilav + Salata + Tel Kadayıf + Ayran (20 cl.) </t>
  </si>
  <si>
    <t xml:space="preserve">Domates, kıvırcık marul. Közlenmiş biber ile </t>
  </si>
  <si>
    <t xml:space="preserve">Salata </t>
  </si>
  <si>
    <t xml:space="preserve">Adana kebap, tavuk şiş, ciğer şiş. Salata, patlıcan söğürme, fırın soğan, bulgur pilavı, ezme ile </t>
  </si>
  <si>
    <t xml:space="preserve">Salata, patlıcan söğürme, fırın soğan, bulgur pilavı, ezme ile </t>
  </si>
  <si>
    <t>Adana Dürüm - Şu anda mevcut değil.</t>
  </si>
  <si>
    <t>Eymen Menü</t>
  </si>
  <si>
    <t xml:space="preserve">3 Adet Lahmacun + Ayran (30 cl.) </t>
  </si>
  <si>
    <t xml:space="preserve">Közlenmiş biber, acı biber ile </t>
  </si>
  <si>
    <t xml:space="preserve">Tavuk Şiş Dürüm + Açık Ayran (Kampanya koşulları için restoranın Promosyonlar bölümüne göz atınız. İndirimli fiyat ürün sepete eklendikten sonra uygulanır.) </t>
  </si>
  <si>
    <t>Bambu Lahmacun (Adet)</t>
  </si>
  <si>
    <t xml:space="preserve">Kıyma, kuşbaşı, kaşar peyniri </t>
  </si>
  <si>
    <t xml:space="preserve">Kıyma, kaşar peyniri, kuşbaşı, yumurta </t>
  </si>
  <si>
    <t>Eymen Spesiyal Pide</t>
  </si>
  <si>
    <t xml:space="preserve">Domates, yeşil biber, kıyma, kaşar peyniri, kuşbaşı, yumurta </t>
  </si>
  <si>
    <t xml:space="preserve">Mevsim salata, ezme, soğan, maydanoz, lavaş </t>
  </si>
  <si>
    <t>Diyarbakır Ciğer Şiş</t>
  </si>
  <si>
    <t>Çiğ Köfte (6 Sıkım)</t>
  </si>
  <si>
    <t xml:space="preserve">Lavaş, göbek marul, acı sos </t>
  </si>
  <si>
    <t>Çiğ Köfte (12 Sıkım)</t>
  </si>
  <si>
    <t>Ezme Salata</t>
  </si>
  <si>
    <t>Gul Katmeri</t>
  </si>
  <si>
    <t>Adanus Şalgam Suyu (30 cl.)</t>
  </si>
  <si>
    <t>Limonlu Soda</t>
  </si>
  <si>
    <t>Duble Tavuklu Pilav</t>
  </si>
  <si>
    <t xml:space="preserve">500 gr. pirinç pilavı, 100 gr. tavuk </t>
  </si>
  <si>
    <t>Tavuklu Pilav</t>
  </si>
  <si>
    <t xml:space="preserve">300 gr. pirinç pilavı, 50 gr. tavuk </t>
  </si>
  <si>
    <t>Tavuklu Pilav Menü 1</t>
  </si>
  <si>
    <t xml:space="preserve">Pirinç Pilavı (300 gr.) + Tavuk (50 gr.) + Ayran (17,5 cl.) </t>
  </si>
  <si>
    <t>Profiterol (100 gr.)</t>
  </si>
  <si>
    <t>Tavuklu Pilav Menü 3</t>
  </si>
  <si>
    <t xml:space="preserve">Pirinç Pilavı (300 gr.) + Tavuk (50 gr.) + Sütlaç (150 gr.) + Ayran (17 cl.) </t>
  </si>
  <si>
    <t>Tavuklu Pilav Menü 2</t>
  </si>
  <si>
    <t xml:space="preserve">Pirinç Pilavı (300 gr.) + Tavuk (50 gr.) + Ayran (28,5 cl.) </t>
  </si>
  <si>
    <t>Nohutlu Pilav</t>
  </si>
  <si>
    <t xml:space="preserve">300 gr. pirinç pilavı </t>
  </si>
  <si>
    <t>Duble Nohutlu Pilav</t>
  </si>
  <si>
    <t xml:space="preserve">500 gr. pirinç pilavı </t>
  </si>
  <si>
    <t>Tavuklu Pilav (5 Kişilik)</t>
  </si>
  <si>
    <t>Tavuklu Pilav (10 Kişilik)</t>
  </si>
  <si>
    <t>Sütlaç (150 gr.)</t>
  </si>
  <si>
    <t>Supangle (150 gr.)</t>
  </si>
  <si>
    <t>Çikolatalı Puding (100 gr.)</t>
  </si>
  <si>
    <t>Ayran (28,5 cl.)</t>
  </si>
  <si>
    <t>79,50 TL</t>
  </si>
  <si>
    <t>Havuç Dilim Baklava (500 gr.)</t>
  </si>
  <si>
    <t xml:space="preserve">4 - 5 dilim. </t>
  </si>
  <si>
    <t>99,00 TL</t>
  </si>
  <si>
    <t>Frambuazlı Red Velvet Cup</t>
  </si>
  <si>
    <t xml:space="preserve">Cam kavanoz </t>
  </si>
  <si>
    <t>Peynirli Poğaça</t>
  </si>
  <si>
    <t>Çikolata Kaplı Kuru Baklava (250 gr.)</t>
  </si>
  <si>
    <t>Mekik Dilim Fıstıklı Baklava</t>
  </si>
  <si>
    <t xml:space="preserve">4 dilim. </t>
  </si>
  <si>
    <t>Fındıklı Soğuk Kadayıf</t>
  </si>
  <si>
    <t>Cevizli Saray Sarması</t>
  </si>
  <si>
    <t>Fıstıklı Dürüm</t>
  </si>
  <si>
    <t>Fıstıklı Kuru Baklava</t>
  </si>
  <si>
    <t>Fıstıklı Midye Baklava</t>
  </si>
  <si>
    <t xml:space="preserve">3 dilim. </t>
  </si>
  <si>
    <t>Fıstıklı Özel Kare Baklava</t>
  </si>
  <si>
    <t xml:space="preserve">2 dilim. </t>
  </si>
  <si>
    <t>Fıstıklı Şöbiyet</t>
  </si>
  <si>
    <t>Fıstıklı Tel Kadayıf (150 gr.)</t>
  </si>
  <si>
    <t xml:space="preserve">1 dilim. </t>
  </si>
  <si>
    <t>Havuç Dilim Baklava (120 gr.)</t>
  </si>
  <si>
    <t>Kaymaklı Fıstıklı Burma Kadayıf (150 gr.)</t>
  </si>
  <si>
    <t>Kaymaklı Cevizli Kelebek</t>
  </si>
  <si>
    <t>Sütlü Nuriye</t>
  </si>
  <si>
    <t>Tahinli Cevizli Ev Baklavası</t>
  </si>
  <si>
    <t>Cevizli Baklava (Dilim)</t>
  </si>
  <si>
    <t>Cevizli Dürüm (Dilim)</t>
  </si>
  <si>
    <t>Cevizli Ev Baklavası (Dilim)</t>
  </si>
  <si>
    <t>Fıstıklı Baklava (Dilim)</t>
  </si>
  <si>
    <t xml:space="preserve">40 gr. </t>
  </si>
  <si>
    <t>Fıstıklı Dürüm (Dilim)</t>
  </si>
  <si>
    <t xml:space="preserve">33 gr. </t>
  </si>
  <si>
    <t>Fıstıklı Kuru Baklava (Dilim)</t>
  </si>
  <si>
    <t>Fıstıklı Midye Baklava (Dilim)</t>
  </si>
  <si>
    <t>Fıstıklı Şöbiyet (Dilim)</t>
  </si>
  <si>
    <t xml:space="preserve">50 gr. </t>
  </si>
  <si>
    <t>Kaymaklı Fıstıklı Burma Kadayıf (Dilim)</t>
  </si>
  <si>
    <t>10,45 TL</t>
  </si>
  <si>
    <t>Kaymaklı Cevizli Kelebek (Dilim)</t>
  </si>
  <si>
    <t>Mekik Dilim Fıstıklı Baklava (Dilim)</t>
  </si>
  <si>
    <t>Sütlü Nuriye (Dilim)</t>
  </si>
  <si>
    <t>Tahinli Cevizli Baklava (Dilim)</t>
  </si>
  <si>
    <t>Fıstık Rüyası</t>
  </si>
  <si>
    <t>Mono Siyah Profiterollü Pasta</t>
  </si>
  <si>
    <t>Muzlu Pasta</t>
  </si>
  <si>
    <t>Limonlu Cheesecake</t>
  </si>
  <si>
    <t>Frambuazlı Cheesecake</t>
  </si>
  <si>
    <t>Mono Frambuazlı Çikolatalı Pasta</t>
  </si>
  <si>
    <t>Nutellalı Çikolatalı Kek</t>
  </si>
  <si>
    <t>Red Velvet Naked Pasta</t>
  </si>
  <si>
    <t>Klasik Marlenka</t>
  </si>
  <si>
    <t>Yer Fıstıklı Karamelli Pasta</t>
  </si>
  <si>
    <t>Lotus Karamel Naked Pasta</t>
  </si>
  <si>
    <t>Rella Cocostar Pasta</t>
  </si>
  <si>
    <t>Mono Ananaslı Bademli Pasta</t>
  </si>
  <si>
    <t>Mono KitKat Parçalı Çikolatalı Pasta</t>
  </si>
  <si>
    <t>Çikolatalı Marlenka</t>
  </si>
  <si>
    <t>Krep Kırıklı Çikolatalı Pasta</t>
  </si>
  <si>
    <t xml:space="preserve">Cam kase </t>
  </si>
  <si>
    <t>Çikolatalı Profiterol - Şu anda mevcut değil.</t>
  </si>
  <si>
    <t>Yaban Mersinli Cup</t>
  </si>
  <si>
    <t>Böğürtlenli Red Velvet Cup</t>
  </si>
  <si>
    <t>Fıstıklı Çikolatalı Cup</t>
  </si>
  <si>
    <t>Frambuazlı Çikolatalı Cup</t>
  </si>
  <si>
    <t>Karamelli Çıtır Cup</t>
  </si>
  <si>
    <t>Peynirli Açma - Şu anda mevcut değil.</t>
  </si>
  <si>
    <t>Sade Poğaça</t>
  </si>
  <si>
    <t>Zeytinli Açma</t>
  </si>
  <si>
    <t>Patatesli Poğaça</t>
  </si>
  <si>
    <t>Dereotlu Peynirli Poğaça - Şu anda mevcut değil.</t>
  </si>
  <si>
    <t>Simit - Şu anda mevcut değil.</t>
  </si>
  <si>
    <t>Kaşarlı Poğaça</t>
  </si>
  <si>
    <t>Sade Açma - Şu anda mevcut değil.</t>
  </si>
  <si>
    <t>Kıymalı Poğaça - Şu anda mevcut değil.</t>
  </si>
  <si>
    <t>Zeytinli Poğaça - Şu anda mevcut değil.</t>
  </si>
  <si>
    <t>Elmalı Kurabiye - Şu anda mevcut değil.</t>
  </si>
  <si>
    <t>Tahinli Çörek</t>
  </si>
  <si>
    <t>Kıymalı Gül Böreği</t>
  </si>
  <si>
    <t>Peynirli Gül Böreği</t>
  </si>
  <si>
    <t>Peynirli Serpme Gül Böreği</t>
  </si>
  <si>
    <t>Patatesli Serpme Gül Böreği</t>
  </si>
  <si>
    <t>Peynirli Sarma Börek</t>
  </si>
  <si>
    <t>Kıymalı Serpme Gül Böreği</t>
  </si>
  <si>
    <t>Kıymalı Sarma Börek</t>
  </si>
  <si>
    <t>Peynirli Kol Böreği</t>
  </si>
  <si>
    <t>Antep Peynirli Su Böreği</t>
  </si>
  <si>
    <t>Kıymalı Kol Böreği</t>
  </si>
  <si>
    <t>Taze Kaşarlı Salamlı Karışık Sandviç</t>
  </si>
  <si>
    <t xml:space="preserve">Sandviç ekmeğinde; kaşar peyniri, salam, yeşilbiber, kırmızıbiber, mısır, zeytin, marul </t>
  </si>
  <si>
    <t>Jambonlu Sandviç</t>
  </si>
  <si>
    <t xml:space="preserve">Sandviç ekmeğinde; dana jambon, kaşar peyniri, yeşilbiber, kırmızıbiber, mısır, marul </t>
  </si>
  <si>
    <t>Beyaz Peynirli Sandviç</t>
  </si>
  <si>
    <t xml:space="preserve">Sandviç ekmeğinde; beyaz peynir, domates, mısır, zeytin, marul </t>
  </si>
  <si>
    <t>Dil Peynirli Sandviç</t>
  </si>
  <si>
    <t xml:space="preserve">Sandviç ekmeğinde; dil peyniri, kaşar peyniri, kırmızıbiber, mısır, marul </t>
  </si>
  <si>
    <t>Frambuazlı Çikolatalı Pasta (No.1)</t>
  </si>
  <si>
    <t>121,00 TL</t>
  </si>
  <si>
    <t>Çikolatalı Kare Pasta (No.1)</t>
  </si>
  <si>
    <t>Kestaneli Çikolatalı Pasta (No.1)</t>
  </si>
  <si>
    <t>Profiterollü Pasta (No.1) - Şu anda mevcut değil.</t>
  </si>
  <si>
    <t>116,00 TL</t>
  </si>
  <si>
    <t>Antep Fıstıklı Lokum (300 gr.)</t>
  </si>
  <si>
    <t>Antep Fıstıklı Lokum (750 gr.)</t>
  </si>
  <si>
    <t>Çikolata Kaplı Antep Fıstıklı Lokum (160 gr.)</t>
  </si>
  <si>
    <t>Çikolata Kaplı Antep Fıstıklı Lokum (400 gr.)</t>
  </si>
  <si>
    <t>Çikolata Kaplı Saray Helvası (190 gr.)</t>
  </si>
  <si>
    <t>Duble Antep Fıstıklı Lokum (200 gr.)</t>
  </si>
  <si>
    <t>Duble Antep Fıstıklı Lokum (400 gr.)</t>
  </si>
  <si>
    <t>83,00 TL</t>
  </si>
  <si>
    <t>Fındıklı Lokum (300 gr.)</t>
  </si>
  <si>
    <t>Fındıklı Lokum (750 gr.)</t>
  </si>
  <si>
    <t>Gül Aromalı Lokum (300 gr.)</t>
  </si>
  <si>
    <t>Gül Aromalı Lokum (750 gr.)</t>
  </si>
  <si>
    <t>İncirli Cevizli Lokum (300 gr.)</t>
  </si>
  <si>
    <t>İncirli Cevizli Lokum (750 gr.)</t>
  </si>
  <si>
    <t>77,00 TL</t>
  </si>
  <si>
    <t>Madlen Çikolata (384 gr.)</t>
  </si>
  <si>
    <t>79,00 TL</t>
  </si>
  <si>
    <t>Madlen Çikolata (672 gr.)</t>
  </si>
  <si>
    <t>Meyve Aromalı Karışık Sarma Lokum (650 gr.)</t>
  </si>
  <si>
    <t>Nar Aromalı Antep Fıstıklı Lokum (300 gr.)</t>
  </si>
  <si>
    <t>Nar Aromalı Antep Fıstıklı Lokum (750 gr.)</t>
  </si>
  <si>
    <t>Pişmaniye (200 gr.)</t>
  </si>
  <si>
    <t>Sarma Karışık Meyve Aromalı Lokum (250 gr.)</t>
  </si>
  <si>
    <t>Spesiyal Çikolata (300 gr.)</t>
  </si>
  <si>
    <t>93,50 TL</t>
  </si>
  <si>
    <t>Spesiyal Çikolata (600 gr.)</t>
  </si>
  <si>
    <t>154,00 TL</t>
  </si>
  <si>
    <t>Sultan Karışık Lokum (650 gr.)</t>
  </si>
  <si>
    <t>Sultan Lokum (250 gr.)</t>
  </si>
  <si>
    <t>Sade Kesme Dondurma (500 gr.)</t>
  </si>
  <si>
    <t xml:space="preserve">Cam Şişe </t>
  </si>
  <si>
    <t>İstanbul Şerbet</t>
  </si>
  <si>
    <t>Şıra</t>
  </si>
  <si>
    <t>Ev Yapımı Limonata</t>
  </si>
  <si>
    <t xml:space="preserve">Bardakta </t>
  </si>
  <si>
    <t>Demirhindi Şerbeti</t>
  </si>
  <si>
    <t>Kızılcık Şerbeti</t>
  </si>
  <si>
    <t>Karadut Şerbeti</t>
  </si>
  <si>
    <t>Kıymalı Kol Böreği (1 kg.)</t>
  </si>
  <si>
    <t>71,50 TL</t>
  </si>
  <si>
    <t>Kıymalı Kol Böreği (500 gr.)</t>
  </si>
  <si>
    <t>36,25 TL</t>
  </si>
  <si>
    <t>Kıymalı Su Böreği (1 kg.) - Şu anda mevcut değil.</t>
  </si>
  <si>
    <t>Kıymalı Su Böreği (500 gr.)</t>
  </si>
  <si>
    <t>44,50 TL</t>
  </si>
  <si>
    <t>Peynirli Su Böreği (1 kg.)</t>
  </si>
  <si>
    <t>Peynirli Su Böreği (500 gr.)</t>
  </si>
  <si>
    <t>Peynirli Kol Böreği (1 kg.) - Şu anda mevcut değil.</t>
  </si>
  <si>
    <t>Soğuk Baklava (250 gr.)</t>
  </si>
  <si>
    <t>39,75 TL</t>
  </si>
  <si>
    <t>Burma Kadayıf (250 gr.)</t>
  </si>
  <si>
    <t>Cevizli Baklava (250 gr.)</t>
  </si>
  <si>
    <t>Cevizli Ev Baklavası (250 gr.)</t>
  </si>
  <si>
    <t>Cevizli Saray Sarması (250 gr.)</t>
  </si>
  <si>
    <t>41,25 TL</t>
  </si>
  <si>
    <t>Cevizli Sarı Burma (250 gr.)</t>
  </si>
  <si>
    <t>Fıstıklı Baklava (250 gr.)</t>
  </si>
  <si>
    <t>Fıstıklı Kuru Baklava (250 gr.)</t>
  </si>
  <si>
    <t>Fıstıklı Midye Baklava (250 gr.)</t>
  </si>
  <si>
    <t>61,75 TL</t>
  </si>
  <si>
    <t>Fıstıklı Özel Kare Baklava (250 gr.)</t>
  </si>
  <si>
    <t>50,75 TL</t>
  </si>
  <si>
    <t>Fıstıklı Prenses (250 gr.)</t>
  </si>
  <si>
    <t>Fıstıklı Şöbiyet (250 gr.)</t>
  </si>
  <si>
    <t>Fıstıklı Tel Kadayıf (250 gr.)</t>
  </si>
  <si>
    <t>Havuç Dilim Baklava (250 gr.)</t>
  </si>
  <si>
    <t>Karışık Çerezli Kuş Yuvası (250 gr.)</t>
  </si>
  <si>
    <t>Kaymaklı Fıstıklı Burma Kadayıf (250 gr.) - Şu anda mevcut değil.</t>
  </si>
  <si>
    <t>46,75 TL</t>
  </si>
  <si>
    <t>Kaymaklı Cevizli Kelebek (250 gr.)</t>
  </si>
  <si>
    <t>Kuş Yuvası (250 gr.)</t>
  </si>
  <si>
    <t>Mekik Dilim Fıstıklı Baklava (250 gr.)</t>
  </si>
  <si>
    <t>Osmanlı Saray Kadayıfı (250 gr.)</t>
  </si>
  <si>
    <t>Rumeli Tulumbası (250 gr.) - Şu anda mevcut değil.</t>
  </si>
  <si>
    <t>Sultaniye (250 gr.)</t>
  </si>
  <si>
    <t xml:space="preserve">6 dilim. </t>
  </si>
  <si>
    <t>Sütlü Nuriye (250 gr.)</t>
  </si>
  <si>
    <t>Tahinli Cevizli Baklava (250 gr.)</t>
  </si>
  <si>
    <t>Asabi Fıstıklı (500 gr.)</t>
  </si>
  <si>
    <t>63,50 TL</t>
  </si>
  <si>
    <t>Billuriye (500 gr.)</t>
  </si>
  <si>
    <t>91,00 TL</t>
  </si>
  <si>
    <t>Bülbül Yuvası (500 gr.) - Şu anda mevcut değil.</t>
  </si>
  <si>
    <t>74,00 TL</t>
  </si>
  <si>
    <t>Burma Kadayıf (500 gr.)</t>
  </si>
  <si>
    <t>Cevizli Dürüm (500 gr.)</t>
  </si>
  <si>
    <t>Cevizli Saray Sarması (500 gr.)</t>
  </si>
  <si>
    <t>82,50 TL</t>
  </si>
  <si>
    <t>Cevizli Sarı Burma (500 gr.)</t>
  </si>
  <si>
    <t>Çikolata Kaplı Kuru Baklava (500 gr.)</t>
  </si>
  <si>
    <t>96,00 TL</t>
  </si>
  <si>
    <t>Fındıklı Baklava (500 gr.) - Şu anda mevcut değil.</t>
  </si>
  <si>
    <t xml:space="preserve">12 - 14 dilim. </t>
  </si>
  <si>
    <t>Fıstıklı Dürüm (500 gr.)</t>
  </si>
  <si>
    <t xml:space="preserve">14 - 16 dilim. </t>
  </si>
  <si>
    <t>123,50 TL</t>
  </si>
  <si>
    <t>Fıstıklı Kuru Baklava (500 gr.)</t>
  </si>
  <si>
    <t xml:space="preserve">9 - 11 dilim. </t>
  </si>
  <si>
    <t>Fıstıklı Özel Kare Baklava (500 gr.)</t>
  </si>
  <si>
    <t xml:space="preserve">7 - 8 dilim. </t>
  </si>
  <si>
    <t>101,50 TL</t>
  </si>
  <si>
    <t xml:space="preserve">9 - 10 dilim. </t>
  </si>
  <si>
    <t>Karışık Çerezli Kuş Yuvası (500 gr.)</t>
  </si>
  <si>
    <t>69,00 TL</t>
  </si>
  <si>
    <t>Kaymaklı Fıstıklı Burma Kadayıf (500 gr.) - Şu anda mevcut değil.</t>
  </si>
  <si>
    <t>Kaymaklı Cevizli Kelebek (500 gr.)</t>
  </si>
  <si>
    <t>Mekik Dilim Fıstıklı Baklava (500 gr.)</t>
  </si>
  <si>
    <t>Rumeli Tulumbası (500 gr.)</t>
  </si>
  <si>
    <t>Sultaniye (500 gr.)</t>
  </si>
  <si>
    <t>Sütlü Nuriye (500 gr.)</t>
  </si>
  <si>
    <t xml:space="preserve">10 - 12 dilim. </t>
  </si>
  <si>
    <t>Tahinli Cevizli Ev Baklavası (500 gr.)</t>
  </si>
  <si>
    <t>Billuriye (1 kg.)</t>
  </si>
  <si>
    <t>182,00 TL</t>
  </si>
  <si>
    <t>Burma Kadayıf (1 kg.)</t>
  </si>
  <si>
    <t>132,00 TL</t>
  </si>
  <si>
    <t xml:space="preserve">23 - 26 dilim. </t>
  </si>
  <si>
    <t>148,00 TL</t>
  </si>
  <si>
    <t>170,00 TL</t>
  </si>
  <si>
    <t>159,00 TL</t>
  </si>
  <si>
    <t>Cevizli Kaymaklı Kadayıf (1 kg.)</t>
  </si>
  <si>
    <t>Cevizli Saray Sarması (1 kg.)</t>
  </si>
  <si>
    <t>165,00 TL</t>
  </si>
  <si>
    <t>Cevizli Sarı Burma (1 kg.)</t>
  </si>
  <si>
    <t>Çikolata Kaplı Kuru Baklava (1 kg.)</t>
  </si>
  <si>
    <t>192,00 TL</t>
  </si>
  <si>
    <t xml:space="preserve">23 - 25 dilim. </t>
  </si>
  <si>
    <t>176,00 TL</t>
  </si>
  <si>
    <t>Fıstıklı Dürüm (1 kg.)</t>
  </si>
  <si>
    <t xml:space="preserve">28 - 30 dilim. </t>
  </si>
  <si>
    <t>247,00 TL</t>
  </si>
  <si>
    <t>Fıstıklı Halep Sarma (1 kg)</t>
  </si>
  <si>
    <t>214,00 TL</t>
  </si>
  <si>
    <t>Fıstıklı Kuru Baklava (1 kg.)</t>
  </si>
  <si>
    <t>Fıstıklı Midye Baklava (1 kg)</t>
  </si>
  <si>
    <t xml:space="preserve">18 - 22 dilim. </t>
  </si>
  <si>
    <t>Fıstıklı Özel Kare Baklava (1 kg.)</t>
  </si>
  <si>
    <t xml:space="preserve">14 - 15 dilim. </t>
  </si>
  <si>
    <t>203,00 TL</t>
  </si>
  <si>
    <t>Fıstıklı Prenses (1 kg.)</t>
  </si>
  <si>
    <t>286,00 TL</t>
  </si>
  <si>
    <t xml:space="preserve">19 - 20 dilim. </t>
  </si>
  <si>
    <t>Havuç Dilim Baklava (1 kg.)</t>
  </si>
  <si>
    <t>198,00 TL</t>
  </si>
  <si>
    <t>Karışık Çerezli Kuş Yuvası (1 kg.)</t>
  </si>
  <si>
    <t>137,50 TL</t>
  </si>
  <si>
    <t>Kaymaklı Fıstıklı Burma Kadayıf (1 kg.)</t>
  </si>
  <si>
    <t>187,00 TL</t>
  </si>
  <si>
    <t>Kaymaklı Cevizli Kelebek (1 kg.)</t>
  </si>
  <si>
    <t>Mekik Dilim Fıstıklı Baklava (1 kg.)</t>
  </si>
  <si>
    <t>Sütlü Nuriye (1 kg.)</t>
  </si>
  <si>
    <t xml:space="preserve">20 - 22 dilim. </t>
  </si>
  <si>
    <t>Tahinli Cevizli Ev Baklavası (1 kg.)</t>
  </si>
  <si>
    <t>Makaron (Porsiyon)</t>
  </si>
  <si>
    <t>Mini Ekler (Porsiyon) - Şu anda mevcut değil.</t>
  </si>
  <si>
    <t>Petifür (500 gr.) - Şu anda mevcut değil.</t>
  </si>
  <si>
    <t>Mini Ekler (250 gr.) - Şu anda mevcut değil.</t>
  </si>
  <si>
    <t>Mini Ekler (500 gr.) - Şu anda mevcut değil.</t>
  </si>
  <si>
    <t>Mini Ekler (1 kg.) - Şu anda mevcut değil.</t>
  </si>
  <si>
    <t>104,00 TL</t>
  </si>
  <si>
    <t>Tatlı Biber Reçeli (650 gr.) - Şu anda mevcut değil.</t>
  </si>
  <si>
    <t xml:space="preserve">Baklava ve yemeklere özel </t>
  </si>
  <si>
    <t>Fıstık (50 gr.)</t>
  </si>
  <si>
    <t>Acı Biber Reçeli (650 gr.) - Şu anda mevcut değil.</t>
  </si>
  <si>
    <t>Badem İçi (400 gr.)</t>
  </si>
  <si>
    <t xml:space="preserve">Karton kutu </t>
  </si>
  <si>
    <t>Kuşburnu Marmelatı (650 gr.) - Şu anda mevcut değil.</t>
  </si>
  <si>
    <t>Kuşburnu Marmelatı (420 gr.) - Şu anda mevcut değil.</t>
  </si>
  <si>
    <t>Kızılcık Marmelatı (650 gr.) - Şu anda mevcut değil.</t>
  </si>
  <si>
    <t>Kızılcık Marmelatı (420 gr.) - Şu anda mevcut değil.</t>
  </si>
  <si>
    <t>Alıç Marmelatı (600 gr.) - Şu anda mevcut değil.</t>
  </si>
  <si>
    <t>Alıç Marmelatı (400 gr.) - Şu anda mevcut değil.</t>
  </si>
  <si>
    <t>Yaban Eriği Marmelatı (650 gr.) - Şu anda mevcut değil.</t>
  </si>
  <si>
    <t>Kabuklu Tuzlu Antep Fıstığı (500 gr.)</t>
  </si>
  <si>
    <t>89,00 TL</t>
  </si>
  <si>
    <t>Kabuklu Tuzlu Antep Fıstığı (500 gr.) (Hediyelik Kutulu) - Şu anda mevcut değil.</t>
  </si>
  <si>
    <t>Kabuklu Tuzlu Antep Fıstığı (250 gr.)</t>
  </si>
  <si>
    <t>Süt Reçeli (220 gr.) - Şu anda mevcut değil.</t>
  </si>
  <si>
    <t>Süt Reçeli (350 gr.) - Şu anda mevcut değil.</t>
  </si>
  <si>
    <t>Ayva Reçeli (400 gr.) - Şu anda mevcut değil.</t>
  </si>
  <si>
    <t>Kış Reçeli (400 gr.) - Şu anda mevcut değil.</t>
  </si>
  <si>
    <t>Domates Reçeli (400 gr.) - Şu anda mevcut değil.</t>
  </si>
  <si>
    <t>Şeftali Reçeli (390 gr.) - Şu anda mevcut değil.</t>
  </si>
  <si>
    <t>İncir Reçeli (400 gr.) - Şu anda mevcut değil.</t>
  </si>
  <si>
    <t>Patlıcan Reçeli (400 gr.) - Şu anda mevcut değil.</t>
  </si>
  <si>
    <t>Kahvaltılık Tatlı Sos (360 gr.) - Şu anda mevcut değil.</t>
  </si>
  <si>
    <t>Kahvaltılık Acı Sos (360 gr.) - Şu anda mevcut değil.</t>
  </si>
  <si>
    <t>Kış Keyfi (100 gr.)</t>
  </si>
  <si>
    <t>Yeşil Çay (100 gr.)</t>
  </si>
  <si>
    <t>Adaçayı (50 gr.)</t>
  </si>
  <si>
    <t>Rezene Çayı (100 gr.)</t>
  </si>
  <si>
    <t>Nane Limon Çayı (75 gr.)</t>
  </si>
  <si>
    <t>Karışık Ihlamur (40 gr.) - Şu anda mevcut değil.</t>
  </si>
  <si>
    <t>Seçilmiş Menü (Muzlu Kakaolu Lokum (Dilim))</t>
  </si>
  <si>
    <t xml:space="preserve">Muzlu Kakaolu Lokum (Dilim) + Coca-Cola (33 cl.) </t>
  </si>
  <si>
    <t>Seçilmiş Menü (Köstebek Tatlısı (1 kg.))</t>
  </si>
  <si>
    <t xml:space="preserve">Köstebek Tatlısı (1 kg.) + Coca-Cola (1 L.) </t>
  </si>
  <si>
    <t>Seçilmiş Menü (Tereyağlı Bumbar (500 gr.))</t>
  </si>
  <si>
    <t xml:space="preserve">Tereyağlı Bumbar (500 gr.) + Coca-Cola (1 L.) </t>
  </si>
  <si>
    <t xml:space="preserve">Karışık Tost + Ayran (20 cl.) (Kampanya koşulları için restoranın Promosyonlar bölümüne göz atınız. İndirimli fiyat ürün sepete eklendikten sonra uygulanır.) </t>
  </si>
  <si>
    <t>Bumbar Menü</t>
  </si>
  <si>
    <t xml:space="preserve">Bumbar + Günün Çorbası + Salata + Günün Tatlısı </t>
  </si>
  <si>
    <t>Sucuklu Tost Menü</t>
  </si>
  <si>
    <t xml:space="preserve">Sucuklu Tost (Domates, pul biber) + Ayran (20 cl.) </t>
  </si>
  <si>
    <t>Faveran Özel Aile Boyu Menü 1</t>
  </si>
  <si>
    <t xml:space="preserve">4 Kişilik Çorba + 4 Adet Tereyağlı Kızartma İçli Köfte + Analı Kızlı (500 gr.) + Zeytinyağlı Yaprak Sarma (500 gr.) + Tatlı + Ayran (20 cl.) </t>
  </si>
  <si>
    <t>119,00 TL</t>
  </si>
  <si>
    <t>Faveran Özel Aile Boyu Menü 2</t>
  </si>
  <si>
    <t xml:space="preserve">Analı Kızlı (400 gr.) + Kiraz Yaprağı (300 gr.) + Sarma (250 gr.)+ Kömbe (3 dilim) + Günün Tatlısı + Ayran (20 cl.) </t>
  </si>
  <si>
    <t>Faveran Özel Aile Boyu Menü 3</t>
  </si>
  <si>
    <t xml:space="preserve">2 Kişilik Çorba + 4 Adet Tereyağlı Kızartma İçli Köfte + 2 Kişilik Kiraz Yaprağı) + Günün Tatlısı + Ayran (20 cl.) </t>
  </si>
  <si>
    <t>Faveran Özel Aile Boyu Menü</t>
  </si>
  <si>
    <t xml:space="preserve">Günün Çorbası (3 Kişilik) + Tereyağlı İçli Köfte (4 Adet) + Sarma (250gr) + Kömbe (3 Dilim) + Salata + Günün Tatlısı + Ayran (30 cl.) </t>
  </si>
  <si>
    <t>Etli Lahana Sarması &amp; Günün Çorbası</t>
  </si>
  <si>
    <t xml:space="preserve">Salata, tatlı ile </t>
  </si>
  <si>
    <t>Faveran Menü 1</t>
  </si>
  <si>
    <t xml:space="preserve">Kızartma İçli Köfte (5 Adet) + Günün Çorbası + Salata + Günün Tatlısı </t>
  </si>
  <si>
    <t>Faveran Menü 2</t>
  </si>
  <si>
    <t xml:space="preserve">Analı Kızlı + Günün Çorbası + Salata + Günün Tatlısı </t>
  </si>
  <si>
    <t>Faveran Menü 3</t>
  </si>
  <si>
    <t xml:space="preserve">Mantı + Salata + Günün Çorbası + Günün Tatlısı </t>
  </si>
  <si>
    <t>Faveran Menü 4</t>
  </si>
  <si>
    <t xml:space="preserve">Kavurma - Pirinç Pilav - Günün Çorbası - Salata - Günün Tatlısı + Ayran (20 cl.) </t>
  </si>
  <si>
    <t xml:space="preserve">Günün Çorbası + Günün Yemeği (Günlük olarak değişmektedir.) + Pilav + Günün Tatlısı + Ayran (20 cl.) </t>
  </si>
  <si>
    <t>Kömbe Menü</t>
  </si>
  <si>
    <t xml:space="preserve">Akçadağ Kömbe (3 Dilim) + Günün Çorbası + Domates + Salatalık + Ayran (20 cl.) </t>
  </si>
  <si>
    <t xml:space="preserve">Zeytinyağlı Sarma + Günün Çorbası + Salata + Günün Tatlısı </t>
  </si>
  <si>
    <t xml:space="preserve">Faveran Çiğ Köfte (12 Sıkım) + Günün Çorbası + Yeşillik + Günün Tatlısı + Ayran (20 cl.) </t>
  </si>
  <si>
    <t xml:space="preserve">Günün Çorbası + Kiraz Yaprağı + Salata + Günün Tatlısı </t>
  </si>
  <si>
    <t>Peynirli Poğaça (2 Adet)</t>
  </si>
  <si>
    <t>Peynirli Börek (Dilim)</t>
  </si>
  <si>
    <t>Kiraz Yaprağı (1 kg.)</t>
  </si>
  <si>
    <t>Tereyağlı Bumbar (1 kg.)</t>
  </si>
  <si>
    <t>Tereyağlı Bumbar (500 gr.)</t>
  </si>
  <si>
    <t>Tuzlu Karışık Kurabiye (500 gr.)</t>
  </si>
  <si>
    <t>Tatlı Karışık Kurabiye (500 gr.)</t>
  </si>
  <si>
    <t>Ağlayan Pasta (Dilim)</t>
  </si>
  <si>
    <t>Çikolatalı Kumlu Pasta (Dilim)</t>
  </si>
  <si>
    <t>Profiterol (3 Adet)</t>
  </si>
  <si>
    <t>Bol Cevizli Ev Baklavası (4 Adet)</t>
  </si>
  <si>
    <t>Kıbrıs Tatlısı (Dilim)</t>
  </si>
  <si>
    <t>Muzlu Kakaolu Lokum (Dilim)</t>
  </si>
  <si>
    <t>Sadrazam Lokumu (Dilim)</t>
  </si>
  <si>
    <t>Frambuazlı Trileçe (1 kg.)</t>
  </si>
  <si>
    <t>Ev Baklavası (500 gr.)</t>
  </si>
  <si>
    <t xml:space="preserve">Bol cevizli </t>
  </si>
  <si>
    <t>Ağlayan Pasta (1 kg.)</t>
  </si>
  <si>
    <t>Çikolatalı Kumlu Pasta (1 kg.)</t>
  </si>
  <si>
    <t xml:space="preserve">Bol çikolatalı </t>
  </si>
  <si>
    <t>Bol Cevizli Ev Baklavası (1 kg.)</t>
  </si>
  <si>
    <t>İmam Sarığı (1 kg.)</t>
  </si>
  <si>
    <t>Köstebek Tatlısı (1 kg.)</t>
  </si>
  <si>
    <t>Muzlu Kakaolu Lokum (1 kg.)</t>
  </si>
  <si>
    <t>Sadrazam Lokumu (1 kg.)</t>
  </si>
  <si>
    <t>Peynirli Tepsi Böreği (1 kg.)</t>
  </si>
  <si>
    <t>Kızartma İçli Köfte (1 kg.)</t>
  </si>
  <si>
    <t>Zeytinyağlı Sarma (1 kg.) (Pişirilmiş)</t>
  </si>
  <si>
    <t>Kiraz Yaprağı (1 kg.) (Pişirilmiş)</t>
  </si>
  <si>
    <t xml:space="preserve">Kiraz yaprağı, yoğurtlu soğanlı </t>
  </si>
  <si>
    <t>Kıymalı Kömbe (1 kg.)</t>
  </si>
  <si>
    <t>Ev Mantısı (1 kg.) (Pişirilmiş)</t>
  </si>
  <si>
    <t xml:space="preserve">Yoğurt, sos ile (Gramaj bilgisi ürünün çiğ halinin gramajıdır.) </t>
  </si>
  <si>
    <t>Peynirli Ev Poğaçası (1 kg.)</t>
  </si>
  <si>
    <t>Zeytinyağlı Yaprak Sarması (1 kg.)</t>
  </si>
  <si>
    <t>Seçilmiş Menü (Zeytinyağlı Yaprak Sarması)</t>
  </si>
  <si>
    <t xml:space="preserve">Zeytinyağlı Yaprak Sarması + Coca-Cola (33 cl.) </t>
  </si>
  <si>
    <t>Zeytinyağlı Yaprak Sarması</t>
  </si>
  <si>
    <t>Seçilmiş Menü (Mantı)</t>
  </si>
  <si>
    <t xml:space="preserve">Mantı + Coca-Cola (33 cl.) </t>
  </si>
  <si>
    <t>45,75 TL</t>
  </si>
  <si>
    <t>Vodafone Menüsü (Analı Kızlı)</t>
  </si>
  <si>
    <t xml:space="preserve">Analı Kızlı + Coca-Cola (33 cl.) (Kampanya koşulları için restoranın Promosyonlar bölümüne göz atınız. İndirimli fiyat ürün sepete eklendikten sonra uygulanır.) </t>
  </si>
  <si>
    <t xml:space="preserve">Günün Ana Yemeği + Günün Pilavı + Cacık + Salata </t>
  </si>
  <si>
    <t>Zeytinyağlı Sarma Menü</t>
  </si>
  <si>
    <t xml:space="preserve">Yaprak Sarma (500 gr.) + Günün Tatlısı + İçecek (1 L.) </t>
  </si>
  <si>
    <t>Mumbar Menü</t>
  </si>
  <si>
    <t xml:space="preserve">Tereyağlı Mumbar (300 gr.) + Günün Salatası + Günün Tatlısı (2 Adet ) + İçecek </t>
  </si>
  <si>
    <t>Kiraz Yaprağı Menü</t>
  </si>
  <si>
    <t xml:space="preserve">Kiraz Yaprağı (300 gr.) + Günün Salatası + Günün Tatlısı + İçecek </t>
  </si>
  <si>
    <t>Aile Boyu Menü 1</t>
  </si>
  <si>
    <t xml:space="preserve">Tereyağlı İçli Köfte (5 Adet) + Analı Kızlı (500 gr.) + Zeytinyağlı Yaprak Sarma (500 gr.) + 4 Kişilik Çorba veya Cacık + Günün Tatlısı + İçecek (1 L.) </t>
  </si>
  <si>
    <t>Mantı Menü</t>
  </si>
  <si>
    <t xml:space="preserve">Porsiyon Mantı + Zeytinyağlı Yaprak Sarma (280 gr.) + Günün Salatası + Günün Tatlısı + İçecek </t>
  </si>
  <si>
    <t>Etli Dolma</t>
  </si>
  <si>
    <t>Kömbe (3 Adet)</t>
  </si>
  <si>
    <t>Mevsim Salata (2 Kişilik)</t>
  </si>
  <si>
    <t>Mevsim Salata (3 Kişilik)</t>
  </si>
  <si>
    <t>Mevsim Salata (4 Kişilik)</t>
  </si>
  <si>
    <t>Mumbar Dolması</t>
  </si>
  <si>
    <t>Cevizli Mekik Tatlısı</t>
  </si>
  <si>
    <t>Cevizli Burma Tatlısı</t>
  </si>
  <si>
    <t>Cevizli Gazete Tatlısı</t>
  </si>
  <si>
    <t>İmam Sarığı</t>
  </si>
  <si>
    <t>Saray Lokumu</t>
  </si>
  <si>
    <t>Kadayıf</t>
  </si>
  <si>
    <t xml:space="preserve">Bol cevizli ev baklavası </t>
  </si>
  <si>
    <t>Patatesli Börek (1 kg.)</t>
  </si>
  <si>
    <t>Peynirli Börek (1 kg.)</t>
  </si>
  <si>
    <t>Kömbe (1 kg.)</t>
  </si>
  <si>
    <t>Mumbar Dolması (1 kg.)</t>
  </si>
  <si>
    <t>125,00 TL</t>
  </si>
  <si>
    <t>Etli Dolma (1 kg.)</t>
  </si>
  <si>
    <t>Mantı (1 kg.) (Çiğ)</t>
  </si>
  <si>
    <t>Cevizli Midye Tatlısı (1 kg.)</t>
  </si>
  <si>
    <t>Cevizli Mekik Tatlısı (1 kg.)</t>
  </si>
  <si>
    <t>Cevizli Burma Tatlısı (1 kg.)</t>
  </si>
  <si>
    <t>Cevizli Gazete Tatlısı (1 kg.)</t>
  </si>
  <si>
    <t>Saray Lokumu (1 kg.)</t>
  </si>
  <si>
    <t>Kadayıf (1 kg.)</t>
  </si>
  <si>
    <t xml:space="preserve">Kaşar peyniri, dana sucuk </t>
  </si>
  <si>
    <t xml:space="preserve">Patates kızartması, dana sosis </t>
  </si>
  <si>
    <t>Hot Dog Sandviç</t>
  </si>
  <si>
    <t xml:space="preserve">Patates kızartması, kaşar peyniri </t>
  </si>
  <si>
    <t xml:space="preserve">Burger köftesi, marul, domates, turşu. Özel baharatlı patates kızartması ile </t>
  </si>
  <si>
    <t xml:space="preserve">Tavuk burger köftesi, marul, domates, turşu. Özel baharatlı patates kızartması ile </t>
  </si>
  <si>
    <t>Islak Hamburger</t>
  </si>
  <si>
    <t xml:space="preserve">Islak burger sosu </t>
  </si>
  <si>
    <t>Goril Burger</t>
  </si>
  <si>
    <t xml:space="preserve">Double burger köftesi, karamelize soğan, cheddar peyniri. Özel baharatlı patates kızartması ile </t>
  </si>
  <si>
    <t xml:space="preserve">Tavuk burger köftesi, cheddar peyniri, marul, domates, turşu. Özel baharatlı patates kızartması ile </t>
  </si>
  <si>
    <t xml:space="preserve">Burger köftesi, cheddar peyniri, marul, domates, turşu. Özel baharatlı patates kızartması ile </t>
  </si>
  <si>
    <t xml:space="preserve">Domates, marul, salatalık, maydanoz, nar ekşisi, acı sos </t>
  </si>
  <si>
    <t>Doritoslu Çiğ Köfte Dürüm</t>
  </si>
  <si>
    <t xml:space="preserve">Yeşillik, lavaş ile </t>
  </si>
  <si>
    <t>Goril Tabağı</t>
  </si>
  <si>
    <t xml:space="preserve">Patates kızartması, sosis, tavuk nugget, soğan halkası </t>
  </si>
  <si>
    <t>Elmalı Kurabiye (1 Adet)</t>
  </si>
  <si>
    <t>Patatesli Kaşarlı Gözleme</t>
  </si>
  <si>
    <t xml:space="preserve">Peynir, zeytin, salatalık, domates ile </t>
  </si>
  <si>
    <t>Seçilmiş Menü (Peynirli Sigara Böreği (10 Adet))</t>
  </si>
  <si>
    <t xml:space="preserve">Peynirli Sigara Böreği (10 Adet) + Coca-Cola (33 cl.) </t>
  </si>
  <si>
    <t>Seçilmiş Menü (Patatesli Gözleme)</t>
  </si>
  <si>
    <t xml:space="preserve">Patatesli Gözleme + Coca-Cola (33 cl.) </t>
  </si>
  <si>
    <t>Seçilmiş Menü (Peynirli Tepsi Böreği (2 Dilim))</t>
  </si>
  <si>
    <t xml:space="preserve">Peynirli Tepsi Böreği (2 Dilim) + Coca-Cola (33 cl.) </t>
  </si>
  <si>
    <t>7 Pazar Günün Menüsü</t>
  </si>
  <si>
    <t xml:space="preserve">Çorba + Maraş Tava + Pilav + Salata + Yufka + Ayran (20 cl.) </t>
  </si>
  <si>
    <t>Ağlatan Menü</t>
  </si>
  <si>
    <t xml:space="preserve">Acı Soslu Et Köfte + Patates Kızartması + Pirinç Pilavı + Salata + Yufka + Ayran (20 cl.) </t>
  </si>
  <si>
    <t>Evde Kal Menüsü</t>
  </si>
  <si>
    <t xml:space="preserve">Mantı (2 Kişilik) + Salata + Turşu + Günün Tatlısı + Coca-Cola (1 L.) </t>
  </si>
  <si>
    <t>Gülümseten Menü 1</t>
  </si>
  <si>
    <t xml:space="preserve">Et Köfte + Patates Kızartması + Pirinç Pilavı + Salata + Yufka + Ayran (20 cl.) </t>
  </si>
  <si>
    <t>Gülümseten Menü 2</t>
  </si>
  <si>
    <t xml:space="preserve">Mantı + Salata + Turşu + Günün Tatlısı + Coca-Cola (20 cl.) </t>
  </si>
  <si>
    <t>Gülümseten Menü 3</t>
  </si>
  <si>
    <t xml:space="preserve">Tereyağında İçli Köfte (4 Adet) + Günün Çorbası + Yoğurtlu Garnitür + Salata + Ayran (20 cl.) </t>
  </si>
  <si>
    <t>Gülümseten Menü 4</t>
  </si>
  <si>
    <t xml:space="preserve">Analı Kızlı + Salata + Günün Tatlısı + Ayran (20 cl.) </t>
  </si>
  <si>
    <t>Ciğer Kavurma Menü</t>
  </si>
  <si>
    <t xml:space="preserve">Ciğer Kavurma + Pirinç Pilavı + Salata+ Yufka Ekmeği + Ayran (20 cl.) </t>
  </si>
  <si>
    <t xml:space="preserve">Bumbar + Salata + Yufka Ekmeği + Ayran (20 cl.) </t>
  </si>
  <si>
    <t xml:space="preserve">Kıymalı Kömbe (2 Dilim) + Domates + Salatalık + Ayran (20 cl.) </t>
  </si>
  <si>
    <t xml:space="preserve">Zeytinyağlı Sarma + Salata + Yufka Ekmeği + Ayran (20 cl.) </t>
  </si>
  <si>
    <t>Analı Kızlı Menü</t>
  </si>
  <si>
    <t xml:space="preserve">Analı Kızlı + Salata + Yufka Ekmeği + Ayran (20 cl.) </t>
  </si>
  <si>
    <t>Haşlama İçli Köfte Menü</t>
  </si>
  <si>
    <t xml:space="preserve">4 Adet Haşlama İçli Köfte + Salata + Yufka Ekmeği + Ayran (20 cl.) </t>
  </si>
  <si>
    <t>Çikolatalı Gözleme Menü</t>
  </si>
  <si>
    <t xml:space="preserve">Çikolatalı Gözleme + İçecek (20 cl.) </t>
  </si>
  <si>
    <t>Patatesli Kıymalı İçli Köfte Menü</t>
  </si>
  <si>
    <t xml:space="preserve">4 Adet Patatesli Kıymalı İçli Köfte + Salata veya Turşu + Ayran (20 cl.) </t>
  </si>
  <si>
    <t>Kıymalı Ispanaklı İçli Köfte Menü</t>
  </si>
  <si>
    <t xml:space="preserve">4 Adet Kıymalı Ispanaklı İçli Köfte + Turşu + Yufka + Ayran (20 cl.) </t>
  </si>
  <si>
    <t>Lahmacun Menü</t>
  </si>
  <si>
    <t xml:space="preserve">2 Adet Lahmacun + Ayran (20 cl.) </t>
  </si>
  <si>
    <t>Peynirli Tepsi Böreği Menü</t>
  </si>
  <si>
    <t xml:space="preserve">3 Dilim Peynirli Tepsi Böreği + Domates + Salatalık + Ayran (20 cl.) </t>
  </si>
  <si>
    <t>Kahvaltı Tabağı 1</t>
  </si>
  <si>
    <t xml:space="preserve">Seçeceğiniz gözleme, salatalık, domates, zeytin, peynir, peynirli poğaça </t>
  </si>
  <si>
    <t>Kahvaltı Tabağı 2</t>
  </si>
  <si>
    <t xml:space="preserve">Seçeceğiniz gözleme, domates, salatalık, peynir, zeytin, peynirli poğaça, üç çeşit reçel, haşlanmış yumurta, yufka ekmeği </t>
  </si>
  <si>
    <t xml:space="preserve">2 adet yumurta, kıyma </t>
  </si>
  <si>
    <t>Peynirli Sigara Böreği (10 Adet)</t>
  </si>
  <si>
    <t xml:space="preserve">2 adet yumurta </t>
  </si>
  <si>
    <t>Sebzeli Kaşarlı Omlet</t>
  </si>
  <si>
    <t xml:space="preserve">Yufka, domates, salatalık ile </t>
  </si>
  <si>
    <t>Kaşarlı Omlet</t>
  </si>
  <si>
    <t>Krep Sade</t>
  </si>
  <si>
    <t>Krep Nutella</t>
  </si>
  <si>
    <t>Kıymalı Gözleme - Şu anda mevcut değil.</t>
  </si>
  <si>
    <t>Kıymalı Kaşarlı Gözleme - Şu anda mevcut değil.</t>
  </si>
  <si>
    <t>Malatya Peynirli Gözleme</t>
  </si>
  <si>
    <t>Sucuklu Kaşarlı Gözleme</t>
  </si>
  <si>
    <t xml:space="preserve">Peynir, zeytin, domates, salatalık ile </t>
  </si>
  <si>
    <t>Ispanaklı Kaşarlı Gözleme</t>
  </si>
  <si>
    <t>Yarım Ekmek Arası Kaşarlı Tost</t>
  </si>
  <si>
    <t>Yarım Ekmek Arası Kaşarlı Sucuklu Tost</t>
  </si>
  <si>
    <t xml:space="preserve">Tam somun ekmeğine; kaşar peyniri, isteğe göre ketçap </t>
  </si>
  <si>
    <t>Tam Ekmek Arası Sucuklu Kaşarlı Tost</t>
  </si>
  <si>
    <t xml:space="preserve">Tam somun ekmeğine; kaşar peyniri, sucuk, isteğe göre ketçap </t>
  </si>
  <si>
    <t xml:space="preserve">Yeşillik, yufka ekmeği ile </t>
  </si>
  <si>
    <t>Yayla Çorbası</t>
  </si>
  <si>
    <t xml:space="preserve">Turşu, yufka ekmeği ile </t>
  </si>
  <si>
    <t>Paça Çorbası</t>
  </si>
  <si>
    <t xml:space="preserve">Yufka ekmeği ile </t>
  </si>
  <si>
    <t>Malatya Usulü Tarhana Çorbası</t>
  </si>
  <si>
    <t xml:space="preserve">Turşu, yufka ile </t>
  </si>
  <si>
    <t>Mantı (200 gr.)</t>
  </si>
  <si>
    <t xml:space="preserve">Yoğurt, sos ile </t>
  </si>
  <si>
    <t>Salçalı Mantı (200 gr.)</t>
  </si>
  <si>
    <t xml:space="preserve">Salçalı, sulu, yoğurt soslu </t>
  </si>
  <si>
    <t>Kıymalı Domatesli Makarna</t>
  </si>
  <si>
    <t>Cevizli Biber Yoğurtlaması (200 gr.)</t>
  </si>
  <si>
    <t>Çiğ Köfte (12 Adet)</t>
  </si>
  <si>
    <t>Çoban Salata (150 gr.)</t>
  </si>
  <si>
    <t>Ezme (150 gr.)</t>
  </si>
  <si>
    <t>Havuç Tarator (100 gr.)</t>
  </si>
  <si>
    <t>Haydari (200 gr.)</t>
  </si>
  <si>
    <t>Kısır (200 gr.)</t>
  </si>
  <si>
    <t>Mevsim Salata (150 gr.)</t>
  </si>
  <si>
    <t>Nohut Salatası (200 gr.)</t>
  </si>
  <si>
    <t>Patates Salatası (200 gr.)</t>
  </si>
  <si>
    <t>Rus Salatası (200 gr.)</t>
  </si>
  <si>
    <t>Şehriye Salatası (150 gr.)</t>
  </si>
  <si>
    <t>Tavuklu Erişteli Salata (200 gr.)</t>
  </si>
  <si>
    <t>Zeytinyağlı Kuru Dolma</t>
  </si>
  <si>
    <t xml:space="preserve">2 adet patlıcan, 2 adet biber </t>
  </si>
  <si>
    <t>Zeytinyağlı Sarma (12 Adet)</t>
  </si>
  <si>
    <t xml:space="preserve">Turşu, salata ile </t>
  </si>
  <si>
    <t>Yufka Ekmeği (10 Adet)</t>
  </si>
  <si>
    <t>Çiğ Köfte (10 Sıkım)</t>
  </si>
  <si>
    <t>Elma Dilim Patates Kızartması (Küçük)</t>
  </si>
  <si>
    <t>Elma Dilim Patates Kızartması (Orta)</t>
  </si>
  <si>
    <t>Elma Dilim Patates Kızartması (Büyük)</t>
  </si>
  <si>
    <t>Sebzeli Bulgur Pilavı</t>
  </si>
  <si>
    <t>Mayalı Ekmek (350 gr.)</t>
  </si>
  <si>
    <t>Böreklik Yufka (6 Adet) (1 kg.)</t>
  </si>
  <si>
    <t>Islak Kek (Adet)</t>
  </si>
  <si>
    <t>Kumlu Kek (Dilim)</t>
  </si>
  <si>
    <t>Köstebek Pasta (Dilim)</t>
  </si>
  <si>
    <t>Cevizli Baklava (3 Adet)</t>
  </si>
  <si>
    <t>Kurabiye (5 Adet)</t>
  </si>
  <si>
    <t>Burma Tatlısı (3 Adet)</t>
  </si>
  <si>
    <t>Cappy (1 L.)</t>
  </si>
  <si>
    <t>İçli Köfte (1 kg.)</t>
  </si>
  <si>
    <t>Zeytinyağlı Yaprak Sarma (1 kg.)</t>
  </si>
  <si>
    <t>Kiraz Yaprağı Sarması (1 kg.) (Pişirilmiş)</t>
  </si>
  <si>
    <t xml:space="preserve">Yoğurtlu &amp; soğanlı </t>
  </si>
  <si>
    <t>Erişte (1 kg .)</t>
  </si>
  <si>
    <t xml:space="preserve">Gramaj bilgisi ürünün çiğ halinin gramajıdır. </t>
  </si>
  <si>
    <t>Analı Kızlı (1 kg.) (Dondurulmuş)</t>
  </si>
  <si>
    <t xml:space="preserve">Yuvarlak köfte, nohut </t>
  </si>
  <si>
    <t>Bumbar (1 kg.) (Pişirilmiş)</t>
  </si>
  <si>
    <t>Zeytinyağlı Sarma (500 gr.)</t>
  </si>
  <si>
    <t>Mumbar Dolması (500 gr.)</t>
  </si>
  <si>
    <t>Analı Kızlı (500 gr.) (Pişirilmemiş)</t>
  </si>
  <si>
    <t>İçli Köfte (500 gr.)</t>
  </si>
  <si>
    <t>Mantı (500 gr.) (Pişirilmemiş)</t>
  </si>
  <si>
    <t>Peynirli Sigara Böreği (1 kg.) (Dondurulmuş)</t>
  </si>
  <si>
    <t>Peynirli Börek (1 kg.) (Pişirilmiş)</t>
  </si>
  <si>
    <t>Su Böreği (1 kg.) (Pişirilmiş)</t>
  </si>
  <si>
    <t>Su Böreği (500 gr.) (Pişirilmiş)</t>
  </si>
  <si>
    <t>Kıymalı Kömbe (500 gr.)</t>
  </si>
  <si>
    <t xml:space="preserve">10 katlı </t>
  </si>
  <si>
    <t>Cevizli Burma (1 kg.)</t>
  </si>
  <si>
    <t>Fıstıklı Soğuk Baklava (1 kg.)</t>
  </si>
  <si>
    <t>Fıstıklı Soğuk Baklava (500 gr.)</t>
  </si>
  <si>
    <t>Fıstıklı Dilberdudağı (500 gr.)</t>
  </si>
  <si>
    <t>Cevizli Diyarbakır Kadayıf (1 kg.)</t>
  </si>
  <si>
    <t>Fıstıklı Gülzade Baklava (1 kg.)</t>
  </si>
  <si>
    <t>Fıstıklı Gülzade Baklava (500 gr.)</t>
  </si>
  <si>
    <t>Fıstıklı Gözde Baklava (1 kg.)</t>
  </si>
  <si>
    <t>Fıstıklı Gözde Baklava (500 gr.)</t>
  </si>
  <si>
    <t>Fıstık Sarma (1 kg.)</t>
  </si>
  <si>
    <t>Fıstık Sarma (500 gr.)</t>
  </si>
  <si>
    <t>Fıstıklı Dilberdudağı (1 kg.)</t>
  </si>
  <si>
    <t>Fıstıklı Serpme Kadayıf (1 kg.)</t>
  </si>
  <si>
    <t>Fıstıklı Serpme Kadayıf (500 gr.)</t>
  </si>
  <si>
    <t>Fıstıklı Burma Kadayıf (1 kg.)</t>
  </si>
  <si>
    <t>Fıstıklı Burma Kadayıf (500 gr.)</t>
  </si>
  <si>
    <t>Fıstıklı Fincan Kadayıf (1 kg.)</t>
  </si>
  <si>
    <t>Fıstıklı Fincan Kadayıf (500 gr.)</t>
  </si>
  <si>
    <t>Fıstıklı Bülbülyuvası (1 kg.)</t>
  </si>
  <si>
    <t>Fıstıklı Bülbülyuvası (500 gr.)</t>
  </si>
  <si>
    <t>Fıstıklı Çimdik Baklava (1 kg.)</t>
  </si>
  <si>
    <t>Fıstıklı Çimdik Baklava (500 gr.)</t>
  </si>
  <si>
    <t>Cevizli Gülzade Baklava (1 kg.)</t>
  </si>
  <si>
    <t>Cevizli Gülzade Baklava (500 gr.)</t>
  </si>
  <si>
    <t>Cevizli Gözde Baklava (1 kg.)</t>
  </si>
  <si>
    <t>Cevizli Gözde Baklava (500 gr.)</t>
  </si>
  <si>
    <t>Cevizli Dilberdudağı (1 kg.)</t>
  </si>
  <si>
    <t>Cevizli Dilberdudağı (500 gr.)</t>
  </si>
  <si>
    <t>Antep Fıstığı (500 gr.)</t>
  </si>
  <si>
    <t>Antep Fıstığı (1 kg.)</t>
  </si>
  <si>
    <t xml:space="preserve">Mevsim salata, közlenmiş biber, Gürbey sos, ekmek ile </t>
  </si>
  <si>
    <t>Izgara Tavuk Kelebek</t>
  </si>
  <si>
    <t xml:space="preserve">Yeşillik, soğan. Mevsim salata, közlenmiş biber ile </t>
  </si>
  <si>
    <t>Pide Ekmek</t>
  </si>
  <si>
    <t xml:space="preserve">Mevsim salata, közlenmiş biber, Gürbey sos ile </t>
  </si>
  <si>
    <t>Yarım Somun Ekmek Arası Tavuk Tantuni</t>
  </si>
  <si>
    <t xml:space="preserve">Soğan, domates, maydanoz, tuz, sumak. İsteğe göre lahana turşusu, biber, limon ile </t>
  </si>
  <si>
    <t>Yarım Ekmeğe Karışık Tost</t>
  </si>
  <si>
    <t xml:space="preserve">Kaşar peyniri, domates, ketçap, mayonez, zeytin, sucuk </t>
  </si>
  <si>
    <t xml:space="preserve">Tam ekmek arası kaşar peyniri, sucuk, domates, zeytin, ketçap, acı </t>
  </si>
  <si>
    <t>Gözleme Menü</t>
  </si>
  <si>
    <t xml:space="preserve">Seçeceğiniz Gözleme + Söğüş + Ayran (20 cl.) </t>
  </si>
  <si>
    <t>Kaşarlı Et Tantuni Dürüm</t>
  </si>
  <si>
    <t>Kaşarlı Tavuk Tantuni Dürüm</t>
  </si>
  <si>
    <t xml:space="preserve">Tam ekmek arası kaşar peyniri, domates, zeytin, ketçap, acı </t>
  </si>
  <si>
    <t>Yarım Ekmeğe Kaşarlı Tost</t>
  </si>
  <si>
    <t xml:space="preserve">Kaşar peyniri, domates, ketçap, mayonez, zeytin </t>
  </si>
  <si>
    <t>Yumurtalı Karışık Tost</t>
  </si>
  <si>
    <t xml:space="preserve">Kaşar peyniri, dana sucuk, yumurta. Domates, biber, zeytin ile </t>
  </si>
  <si>
    <t>Antep Ezme</t>
  </si>
  <si>
    <t xml:space="preserve">Et, biber, domates, baharat, zeytinyağı </t>
  </si>
  <si>
    <t xml:space="preserve">Tavuk, biber, domates, baharat, tereyağı </t>
  </si>
  <si>
    <t>Karadut Şerbeti (5 L.)</t>
  </si>
  <si>
    <t xml:space="preserve">Balıkesir karadut şerbeti </t>
  </si>
  <si>
    <t xml:space="preserve">Domates, salatalık turşusu, göbek marul, limon, maydanoz, nane, acı sos, nar ekşisi, lavaş ile </t>
  </si>
  <si>
    <t xml:space="preserve">Domates, salatalık turşusu, göbek marul, nar ekşisi, acı sos </t>
  </si>
  <si>
    <t xml:space="preserve">Göbek marul, domates, salatalık, limon, nane, maydanoz, lavaş, acı sos, nar ekşisi, biber turşusu </t>
  </si>
  <si>
    <t xml:space="preserve">120 gr. çiğköfte, garnitür, 1 paket doritos </t>
  </si>
  <si>
    <t xml:space="preserve">Çift lavaşa; çiğ köfte, acı sos, nar ekşisi </t>
  </si>
  <si>
    <t xml:space="preserve">Lavaş, göbek marul, domates, salatalık, limon, acı sos, nar ekşisi ile </t>
  </si>
  <si>
    <t xml:space="preserve">2 adet lavaş, göbek marul, domates, salatalık, limon, maydanoz, turşu biberi,1 adet nar ekşisi, 1 adet acı sos ile </t>
  </si>
  <si>
    <t xml:space="preserve">8 adet lavaş göbek marul, domates, salatalık, limon, maydanoz, turşu biberi, 4 adet acı sos, 4 adet nar ekşisi ile </t>
  </si>
  <si>
    <t>Doyuran XL Menü</t>
  </si>
  <si>
    <t xml:space="preserve">Mega Çiğ Köfte Dürüm + Şalgam Suyu (25 cl.) </t>
  </si>
  <si>
    <t xml:space="preserve">6 adet lavaş, göbek marul, domates, salatalık, maydanoz, turşu biberi ile </t>
  </si>
  <si>
    <t>Coca-Cola (33 cl.) - Şu anda mevcut değil.</t>
  </si>
  <si>
    <t>Ev Yapımı Ayran</t>
  </si>
  <si>
    <t xml:space="preserve">125 gr. çiğ köfte, göbek marul, domates, salatalık, limon, nane, maydanoz </t>
  </si>
  <si>
    <t>Double Çiğ Köfte Dürüm (200 gr.)</t>
  </si>
  <si>
    <t xml:space="preserve">Göbek marul, domates, salatalık, limon, nane, maydanoz </t>
  </si>
  <si>
    <t xml:space="preserve">Göbek marul, domates, salatalık, limon, maydanoz, lavaş, turşu ile </t>
  </si>
  <si>
    <t xml:space="preserve">Göbek marul, domates, salatalık, limon, maydanoz, ekmek, turşu ile </t>
  </si>
  <si>
    <t>Vodafone Menüsü (2'li Çiğ Köfte Dürüm)</t>
  </si>
  <si>
    <t xml:space="preserve">Çiğ Köfte Dürüm (2 Adet) + Açık Ayran (2 Adet) (Kampanya koşulları için restoranın Promosyonlar bölümüne göz atınız. İndirimli fiyat ürün sepete eklendikten sonra uygulanır.) </t>
  </si>
  <si>
    <t>Seçilmiş Menü (Double Çiğ Köfte Dürüm (200 gr.))</t>
  </si>
  <si>
    <t xml:space="preserve">Double Çiğ Köfte Dürüm (200 gr.) + Coca-Cola (33 cl.) </t>
  </si>
  <si>
    <t>Çiğ Köfte (1,5 Porsiyon)</t>
  </si>
  <si>
    <t>Şalgam Suyu (2 L.)</t>
  </si>
  <si>
    <t>Şalgam Suyu (3 L.)</t>
  </si>
  <si>
    <t>İkili Piliç Burger Menü</t>
  </si>
  <si>
    <t xml:space="preserve">2 Adet Piliç Burger (50 gr.) + Patates Kızartması + Kutu İçecek </t>
  </si>
  <si>
    <t xml:space="preserve">Lahmacun (3 Adet) + Yeşillik + Ayran (17,5 cl) </t>
  </si>
  <si>
    <t xml:space="preserve">(120 gr.) Pilav, salata, biber turşusu, salatalık turşusu ile </t>
  </si>
  <si>
    <t xml:space="preserve">(120 gr.) Salata, biber, turşusu, salatalık turşusu ile </t>
  </si>
  <si>
    <t>Et Döner Sandviç (60 gr.)</t>
  </si>
  <si>
    <t xml:space="preserve">Biber turşusu, salatalık turşusu </t>
  </si>
  <si>
    <t>Eti Bol Et Döner Sandviç (90 gr.)</t>
  </si>
  <si>
    <t>Et Döner Dürüm (70 gr.)</t>
  </si>
  <si>
    <t>Eti Bol Et Döner Dürüm (100 gr.)</t>
  </si>
  <si>
    <t xml:space="preserve">(150 gr.) Pilav, salata, biber turşusu, salatalık turşusu ile </t>
  </si>
  <si>
    <t xml:space="preserve">(150 gr.) Salata, biber, turşusu, salatalık turşusu ile </t>
  </si>
  <si>
    <t>Tavuk Döner Sandviç (70 gr.)</t>
  </si>
  <si>
    <t>Tavuk Döner Dürüm (80 gr.)</t>
  </si>
  <si>
    <t>Tavuk Eti Bol Döner Sandviç (110 gr.)</t>
  </si>
  <si>
    <t>Tavuk Eti Bol Döner Dürüm (110 gr.)</t>
  </si>
  <si>
    <t>Sütlaç</t>
  </si>
  <si>
    <t xml:space="preserve">(240 gr.) </t>
  </si>
  <si>
    <t>Atom Patso</t>
  </si>
  <si>
    <t xml:space="preserve">Patates kızartması, sosis, kaşar peyniri, ketçap, mayonez </t>
  </si>
  <si>
    <t xml:space="preserve">Sosis, kaşar peyniri, sucuk, salam, domates, turşu, ketçap, mayonez </t>
  </si>
  <si>
    <t>Yengen Tost</t>
  </si>
  <si>
    <t xml:space="preserve">Sosis, sucuk, kaşar peyniri, ketçap, mayonez </t>
  </si>
  <si>
    <t>Patso Sandviç</t>
  </si>
  <si>
    <t>Et Burger</t>
  </si>
  <si>
    <t xml:space="preserve">90 gr. et burger köftesi, kıvırcık, salatalık turşusu, domates, ketçap, mayonez, patates kızartması </t>
  </si>
  <si>
    <t>Seçilmiş Menü (Tavuk Fajita Sandviç)</t>
  </si>
  <si>
    <t xml:space="preserve">Tavuk Fajita Sandviç + Coca-Cola (33 cl.) </t>
  </si>
  <si>
    <t>Seçilmiş Menü (Karışık Sandviç)</t>
  </si>
  <si>
    <t xml:space="preserve">Karışık Sandviç + Coca-Cola (33 cl.) </t>
  </si>
  <si>
    <t>Vodafone Menüsü (Çift Sosisli Hot Dog)</t>
  </si>
  <si>
    <t xml:space="preserve">Çift Sosisli Hot Dog + Ayran (30 cl.) (Kampanya koşulları için restoranın Promosyonlar bölümüne göz atınız. İndirimli fiyat ürün sepete eklendikten sonra uygulanır.) </t>
  </si>
  <si>
    <t>Chicken Press - Şu anda mevcut değil.</t>
  </si>
  <si>
    <t xml:space="preserve">120 gr. tavuk, domates, patates kızartması, ketçap, mayonez, isteğe bağlı acı sos </t>
  </si>
  <si>
    <t>Beef Press</t>
  </si>
  <si>
    <t xml:space="preserve">100 gr. köfte, domates, patates kızartması, ketçap, mayonez, isteğe bağlı acı sos </t>
  </si>
  <si>
    <t>Ciğer Fajita Sandviç</t>
  </si>
  <si>
    <t>Çift Sosisli Hot Dog</t>
  </si>
  <si>
    <t>Patates Cipsli Köfte Sandviç</t>
  </si>
  <si>
    <t>Sucuk Sandviç</t>
  </si>
  <si>
    <t>Et Fajita Sandviç</t>
  </si>
  <si>
    <t>Izgara Köfte Sandviç</t>
  </si>
  <si>
    <t>Tavuk Fajita Sandviç</t>
  </si>
  <si>
    <t>Karışık Sandviç</t>
  </si>
  <si>
    <t xml:space="preserve">Kaşar peyniri, salam, kıvırcık marul, domates, salatalık </t>
  </si>
  <si>
    <t>Ciğer Kavurma Sandviç</t>
  </si>
  <si>
    <t>Kaşarlı Sandviç</t>
  </si>
  <si>
    <t>Menemen Sandviç</t>
  </si>
  <si>
    <t xml:space="preserve">Domates, soğan, biber, yumurta </t>
  </si>
  <si>
    <t>Haşlanmış Yumurta Sandviç</t>
  </si>
  <si>
    <t>Omlet Sandviç</t>
  </si>
  <si>
    <t xml:space="preserve">100 gr. çıtır tavuk, kıvırcık marul, turşu, domates, ketçap, mayonez. Patates kızartması ile </t>
  </si>
  <si>
    <t>Atom Tost</t>
  </si>
  <si>
    <t xml:space="preserve">Sucuk, salam, sosis, yumurta, kaşar peyniri, ketçap, mayonez </t>
  </si>
  <si>
    <t xml:space="preserve">Sucuk, ketçap, mayonez </t>
  </si>
  <si>
    <t>Karışık Tost - Şu anda mevcut değil.</t>
  </si>
  <si>
    <t xml:space="preserve">Sucuk, kaşar peyniri, tereyağı, ketçap, mayonez </t>
  </si>
  <si>
    <t xml:space="preserve">Maydanoz, turşu, göbek marul, domates, acı sos, nar ekşisi </t>
  </si>
  <si>
    <t>Közde Bütün Tavuk Çevirme (1,5 kg.) Menü</t>
  </si>
  <si>
    <t xml:space="preserve">Közde Bütün Tavuk Çevirme (1,5 kg.) + Ekmek + Çiğ Köfte + Turşu + Baharatlar + İçecek (1 L.) </t>
  </si>
  <si>
    <t xml:space="preserve">200 gr. çiğ köfte, 2 adet lavaş, maydanoz, turşu, göbek marul, domates, acı sos, nar ekşisi ile </t>
  </si>
  <si>
    <t>Çiğ Köfte (1 Kg.)</t>
  </si>
  <si>
    <t xml:space="preserve">1000 gr. çiğ köfte, 10 adet lavaş, maydanoz, turşu, göbek marul, domates, acı sos, nar ekşisi ile </t>
  </si>
  <si>
    <t>Kızarmış Közde Tavuk (1,5 Kg.)</t>
  </si>
  <si>
    <t xml:space="preserve">(Pişirilmiş) 1500 gr. özel tavuk sos, 1 adet yöresel ekmek, 100 gr. çiğ köfte ile </t>
  </si>
  <si>
    <t>Vodafone Menüsü (Kızarmış Közde Tavuk (1,5 Kg.))</t>
  </si>
  <si>
    <t xml:space="preserve">Kızarmış Közde Tavuk (1,5 Kg.) + İçecek (1 L.) (Kampanya koşulları için restoranın Promosyonlar bölümüne göz atınız. İndirimli fiyat ürün sepete eklendikten sonra uygulanır.) </t>
  </si>
  <si>
    <t>Vodafone Menüsü (Çiğ Köfte Mega Dürüm)</t>
  </si>
  <si>
    <t xml:space="preserve">Çiğ Köfte Mega Dürüm + Ayran (30 cl.) (Kampanya koşulları için restoranın Promosyonlar bölümüne göz atınız. İndirimli fiyat ürün sepete eklendikten sonra uygulanır.) </t>
  </si>
  <si>
    <t xml:space="preserve">Çift lavaş, maydanoz, turşu, göbek marul, domates, acı sos, nar ekşisi </t>
  </si>
  <si>
    <t xml:space="preserve">400 gr. çiğ köfte, 4 adet lavaş, maydanoz, turşu, göbek marul, domates, acı sos, nar ekşisi ile </t>
  </si>
  <si>
    <t xml:space="preserve">600 gr. çiğ köfte, 6 adet lavaş, maydanoz, turşu, göbek marul, domates, acı sos, nar ekşisi ile </t>
  </si>
  <si>
    <t xml:space="preserve">800 gr. çiğ köfte, 8 adet lavaş, maydanoz, turşu, göbek marul, domates, acı sos, nar ekşisi ile </t>
  </si>
  <si>
    <t>Adana Şalgam Suyu (5 L.)</t>
  </si>
  <si>
    <t>İrmik Helvası (Küçük)</t>
  </si>
  <si>
    <t>Çikolatalı İrmik Helvası (Büyük)</t>
  </si>
  <si>
    <t>Çikolatalı İrmik Helvası (Küçük)</t>
  </si>
  <si>
    <t>İrmik Helvası (Büyük)</t>
  </si>
  <si>
    <t>Sade İrmik Helvası (1 kg.)</t>
  </si>
  <si>
    <t xml:space="preserve">Sıcak servis edilir. </t>
  </si>
  <si>
    <t>Çikolatalı İrmik Helvası (1 kg.)</t>
  </si>
  <si>
    <t>Dondurmalı İrmik Helvası (Büyük)</t>
  </si>
  <si>
    <t>Dondurmalı Fıstıklı İrmik Helvası (Küçük)</t>
  </si>
  <si>
    <t>Dondurmalı Karışık İrmik Helvası (Küçük)</t>
  </si>
  <si>
    <t>Dondurmalı Karışık İrmik Helvası (Büyük)</t>
  </si>
  <si>
    <t>Dondurmalı Çikolatalı İrmik Helvası (Büyük)</t>
  </si>
  <si>
    <t>Dondurmalı Çikolatalı İrmik Helvası (Küçük)</t>
  </si>
  <si>
    <t>Dondurmalı Fıstıklı İrmik Helvası (Büyük)</t>
  </si>
  <si>
    <t>Dondurmalı İrmik Helvası (Küçük)</t>
  </si>
  <si>
    <t>Kestane Şekeri (1 kg.)</t>
  </si>
  <si>
    <t>Kestane Şekeri (500 gr.)</t>
  </si>
  <si>
    <t>Spesiyal Waffle</t>
  </si>
  <si>
    <t xml:space="preserve">Beyaz çikolata, sütlü çikolata, fıstık, bonibon, Nutella, muz, çilek, kivi, fıstık, damla çikolata </t>
  </si>
  <si>
    <t>Seçilmiş Menü (Spesiyal Waffle)</t>
  </si>
  <si>
    <t xml:space="preserve">Spesiyal Waffle + Coca-Cola (33 cl.) </t>
  </si>
  <si>
    <t>Yarım Waffle</t>
  </si>
  <si>
    <t xml:space="preserve">Sütlü çikolata, muz, çilek, fıstık, damla çikolata </t>
  </si>
  <si>
    <t>2'li Hamburger</t>
  </si>
  <si>
    <t xml:space="preserve">Hamburger köftesi, patates kızartması, marul, domates, ketçap, mayonez </t>
  </si>
  <si>
    <t>Amerikan Waffle</t>
  </si>
  <si>
    <t xml:space="preserve">Sütlü çikolata, muz, çilek, fıstık, bonibon, damla çikolata </t>
  </si>
  <si>
    <t>Seçilmiş Menü (Pembe Rüya Waffle)</t>
  </si>
  <si>
    <t xml:space="preserve">Pembe Rüya Waffle + Coca-Cola (33 cl.) </t>
  </si>
  <si>
    <t>Seçilmiş Menü (Amerikan Waffle)</t>
  </si>
  <si>
    <t xml:space="preserve">Amerikan Waffle + Coca-Cola (33 cl.) </t>
  </si>
  <si>
    <t>Vodafone Menüsü (Tavuklu Tagliatelle)</t>
  </si>
  <si>
    <t xml:space="preserve">Tavuklu Tagliatelle + Kutu İçecek (Kampanya koşulları için restoranın Promosyonlar bölümüne göz atınız. İndirimli fiyat ürün sepete eklendikten sonra uygulanır.) </t>
  </si>
  <si>
    <t>Vodafone Menüsü (Karamelize Waffle)</t>
  </si>
  <si>
    <t xml:space="preserve">Karamelize Waffle + Taze Sıkma Portakal Suyu (Kampanya koşulları için restoranın Promosyonlar bölümüne göz atınız. İndirimli fiyat ürün sepete eklendikten sonra uygulanır.) </t>
  </si>
  <si>
    <t>Ekmek Arası Köfte Menü</t>
  </si>
  <si>
    <t xml:space="preserve">Ekmek Arası Köfte (Göbek marul, domates) + Patates Kızartması + İçecek </t>
  </si>
  <si>
    <t>Tost Menü</t>
  </si>
  <si>
    <t xml:space="preserve">Karışık Tost (Sucuk, kaşar peyniri) + Patates Kızartması + İçecek </t>
  </si>
  <si>
    <t>Anteplim Waffle</t>
  </si>
  <si>
    <t xml:space="preserve">Antep fıstığı, muz, kivi, parça fıstık, toz fıstık, kestane şekeri </t>
  </si>
  <si>
    <t>Double Waffle</t>
  </si>
  <si>
    <t xml:space="preserve">Çift waffle hamuru, sütlü beyaz çikolata, muz, çilek, kivi, fındık, fıstık, pasta süsü, çikolata sosu </t>
  </si>
  <si>
    <t>Karamelize Waffle</t>
  </si>
  <si>
    <t xml:space="preserve">Karamel Nutella, muz, çilek, fıstık, fındık, kestane şekeri, karamel sos, kivi </t>
  </si>
  <si>
    <t>Pembe Rüya Waffle</t>
  </si>
  <si>
    <t xml:space="preserve">Frambuaz, muz, çilek, pembe damla çikolata, frambuaz sos, kırmızı kiraz şekerleme </t>
  </si>
  <si>
    <t>Tropik Waffle</t>
  </si>
  <si>
    <t xml:space="preserve">Sütlü beyaz çikolata, muz, kivi, ananas, parça fındık, frambuaz sos </t>
  </si>
  <si>
    <t>Arrabbiata Soslu Makarna</t>
  </si>
  <si>
    <t xml:space="preserve">Domates sos, acı biber </t>
  </si>
  <si>
    <t>Bosco</t>
  </si>
  <si>
    <t xml:space="preserve">Fesleğen, mantar, domates sos </t>
  </si>
  <si>
    <t>Ev Usulü Makarna</t>
  </si>
  <si>
    <t xml:space="preserve">Yoğurt, tereyağlı sos </t>
  </si>
  <si>
    <t>Pollo</t>
  </si>
  <si>
    <t xml:space="preserve">Tavuk, soya sos, mantar sos </t>
  </si>
  <si>
    <t>Tonno</t>
  </si>
  <si>
    <t xml:space="preserve">Ton balığı, kaşar peyniri </t>
  </si>
  <si>
    <t>Domates Soslu Tortellini</t>
  </si>
  <si>
    <t xml:space="preserve">Domates sos, kaşar peyniri </t>
  </si>
  <si>
    <t>Chinese Soslu Makarna</t>
  </si>
  <si>
    <t xml:space="preserve">Mevsim sebzeleri, soya sosu </t>
  </si>
  <si>
    <t>Napolitan Soslu Makarna</t>
  </si>
  <si>
    <t>Tortellini</t>
  </si>
  <si>
    <t xml:space="preserve">Parmesan peyniri, mantar, krema </t>
  </si>
  <si>
    <t>Prima</t>
  </si>
  <si>
    <t xml:space="preserve">Krema, mantar, kaşar peyniri, domates sos </t>
  </si>
  <si>
    <t>Pesto Soslu Makarna</t>
  </si>
  <si>
    <t xml:space="preserve">Fesleğen sos, çam fıstığı, ceviz, krema, kaşar peyniri </t>
  </si>
  <si>
    <t>Tavuklu Tagliatelle</t>
  </si>
  <si>
    <t xml:space="preserve">Tavuk, krema, soya sosu </t>
  </si>
  <si>
    <t>Melanzane</t>
  </si>
  <si>
    <t xml:space="preserve">Közlenmiş patlıcan, közlenmiş biber, krema, kaşar peyniri </t>
  </si>
  <si>
    <t>Alfredo Soslu Makarna</t>
  </si>
  <si>
    <t xml:space="preserve">Tavuk, mantar, krema </t>
  </si>
  <si>
    <t>Bolognese Makarna</t>
  </si>
  <si>
    <t xml:space="preserve">Kıyma, domates sos </t>
  </si>
  <si>
    <t>Lacorne</t>
  </si>
  <si>
    <t xml:space="preserve">Mantar, bonfile, krema </t>
  </si>
  <si>
    <t>Bazlama Tost</t>
  </si>
  <si>
    <t xml:space="preserve">Kaşar peyniri, sucuk, sosis, turşu, mısır, sos, ketçap, mayonez </t>
  </si>
  <si>
    <t>Kumru Sandviç</t>
  </si>
  <si>
    <t xml:space="preserve">Sosis, kaşar peyniri, salatalık turşusu, ketçap, mayonez </t>
  </si>
  <si>
    <t>Ekmek Arası Tavuk</t>
  </si>
  <si>
    <t xml:space="preserve">Tavuk, patates kızartması, pul biber, tuz, ketçap, mayonez, domates, marul </t>
  </si>
  <si>
    <t>Ekmek Arası Cumhuriyet Sucuk</t>
  </si>
  <si>
    <t xml:space="preserve">Cumhuriyet sucuk, pişmiş biber, pişmiş domates, patates kızartması </t>
  </si>
  <si>
    <t>Ekmek Arası Kaşarlı Köfte</t>
  </si>
  <si>
    <t xml:space="preserve">Dana kıyma, kaşar peyniri, patates kızartması, pişmiş domates, pişmiş biber, pişmiş soğan </t>
  </si>
  <si>
    <t>Gavurdağı Salata</t>
  </si>
  <si>
    <t>Tavuklu Sezar Salata</t>
  </si>
  <si>
    <t xml:space="preserve">Göbek marul, roka, maydanoz, tavuk göğüs, Sezar sos </t>
  </si>
  <si>
    <t xml:space="preserve">Ton balığı, göbek marul, maydanoz, domates, mısır, isteğe göre soğan </t>
  </si>
  <si>
    <t>Tavuklu Café de Paris Soslu Salata</t>
  </si>
  <si>
    <t xml:space="preserve">Tavuk göğüs, Café de Paris sos, göbek marul, karalahana, isteğe göre soğan </t>
  </si>
  <si>
    <t>Etli Café de Paris Soslu Salata</t>
  </si>
  <si>
    <t xml:space="preserve">Bonfile dilimleri, Café de Paris sos, göbek marul, karalahana, isteğe göre soğan </t>
  </si>
  <si>
    <t>Atom</t>
  </si>
  <si>
    <t xml:space="preserve">Muz, ananas, elma, portakal, kivi, bal </t>
  </si>
  <si>
    <t xml:space="preserve">Kaşar peyniri, kıyma, kuşbaşı. Mevsim salata ile </t>
  </si>
  <si>
    <t>Pepsi (2 L.)</t>
  </si>
  <si>
    <t xml:space="preserve">Yeşillik, limon, nar ekşisi. Domates, salatalık, limon, acı sos </t>
  </si>
  <si>
    <t xml:space="preserve">Yeşillik, domates, salatalık, 10 adet lavaş, 3 adet acı sos, 3 adet nar ekşisi, limon ile </t>
  </si>
  <si>
    <t>Fıstıklı Sarma (500 gr.)</t>
  </si>
  <si>
    <t xml:space="preserve">Çift lavaşa; 120 gr. çiğ köfte, yeşillik, acı sos, nar ekşisi. Domates, salatalık, limon, acı sos </t>
  </si>
  <si>
    <t>XXL Çiğ Köfte Dürüm Menü</t>
  </si>
  <si>
    <t xml:space="preserve">XXL Çiğ Köfte Dürüm (çift lavaşa; 160 gr. çiğ köfte, yeşillik, acı sos, nar ekşisi) + 2 Dilim Cevizli Tatlı + Ayran (30 cl.) </t>
  </si>
  <si>
    <t>Aile Boyu Çiğ Köfte Menü</t>
  </si>
  <si>
    <t xml:space="preserve">Çiğ Köfte (1200 gr.) + 12 Adet Lavaş + Yeşillik + Acı Sos + Nar Ekşisi + Maraş Dondurma (500 gr.) + Açık Ayran (1 L.) </t>
  </si>
  <si>
    <t>2'li XXL Çiğ Köfte Menü</t>
  </si>
  <si>
    <t xml:space="preserve">2 Adet XXL Çiğ Köfte Dürüm + 4 Dilim Cevizli Baklava + 2 Adet Ayran (20 cl.) </t>
  </si>
  <si>
    <t>Çiğ Köfte (Porsiyon)</t>
  </si>
  <si>
    <t xml:space="preserve">Yeşillik, domates, salatalık, 3 adet lavaş, acı sos, 2 adet nar ekşisi, limon ile </t>
  </si>
  <si>
    <t xml:space="preserve">Yeşillik, domates, salatalık, 6 adet lavaş, 2 adet acı sos, 2 adet nar ekşisi, limon ile </t>
  </si>
  <si>
    <t xml:space="preserve">Yeşillik, domates, salatalık, 8 adet lavaş, 2 adet acı sos, 3 adet nar ekşisi, limon ile </t>
  </si>
  <si>
    <t>Fıstlıklı Sarma (6 Dilim)</t>
  </si>
  <si>
    <t>Fıstıklı Kadayıf (1 kg.) - Şu anda mevcut değil.</t>
  </si>
  <si>
    <t>Fıstıklı Kadayıf (500 gr.)</t>
  </si>
  <si>
    <t>Lokum (500 gr.)</t>
  </si>
  <si>
    <t>Kavrulmuş Siyah Çekirdek (500 gr.)</t>
  </si>
  <si>
    <t>Kabak Çekirdeği (500 gr.)</t>
  </si>
  <si>
    <t>Soslu Mısır (500 gr.)</t>
  </si>
  <si>
    <t>Soslu Fıstık (500 gr.)</t>
  </si>
  <si>
    <t>Tuzlu Kabuklu Fındık (500 gr.)</t>
  </si>
  <si>
    <t>Leblebi Şekeri (500 gr.)</t>
  </si>
  <si>
    <t>Kabuklu Badem (500 gr.)</t>
  </si>
  <si>
    <t>Yer Fıstığı (500 gr.)</t>
  </si>
  <si>
    <t>Badem İçi (500 gr.)</t>
  </si>
  <si>
    <t>Ekonomik Karışık Kuruyemiş (500 gr.)</t>
  </si>
  <si>
    <t>Orta Karışık Kuruyemiş (500 gr.)</t>
  </si>
  <si>
    <t>Lüks Karışık Kuruyemiş (500 gr.)</t>
  </si>
  <si>
    <t>Fındık İçi (500 gr.)</t>
  </si>
  <si>
    <t>Kavrulmuş Leblebi (500 gr.)</t>
  </si>
  <si>
    <t>Sprite (2.5 lt)</t>
  </si>
  <si>
    <t>Coca-Cola (1.5 L)</t>
  </si>
  <si>
    <t>Coca-Cola (2 L.)</t>
  </si>
  <si>
    <t>Karadut Suyu (5 L.)</t>
  </si>
  <si>
    <t xml:space="preserve">Dana sucuk, kaşar peyniri. Çıtır patates, domates, salatalık, karışık zeytin ile </t>
  </si>
  <si>
    <t>Karışık Pizza</t>
  </si>
  <si>
    <t xml:space="preserve">Mozzarella peyniri, mısır, mantar, dana sosis, dana sucuk, dana salam, paprika, yeşilbiber, dilim siyah zeytin, kokteyl domates </t>
  </si>
  <si>
    <t xml:space="preserve">Domates, salatalık, çıtır patates kızartması ile </t>
  </si>
  <si>
    <t xml:space="preserve">Çıtır patates, domates, salatalık, karışık zeytin ile </t>
  </si>
  <si>
    <t>Menemen</t>
  </si>
  <si>
    <t>Beyaz Peynirli Omlet</t>
  </si>
  <si>
    <t xml:space="preserve">Domates, salatalık, karışık zeytin ile </t>
  </si>
  <si>
    <t>Sebzeli Omlet</t>
  </si>
  <si>
    <t>Sade Omlet</t>
  </si>
  <si>
    <t>Patatesli Omlet</t>
  </si>
  <si>
    <t>Karışık Omlet</t>
  </si>
  <si>
    <t>Ispanaklı Peynirli Gözleme</t>
  </si>
  <si>
    <t>Beyaz Peynirli Gözleme</t>
  </si>
  <si>
    <t>25,50 TL</t>
  </si>
  <si>
    <t>Beyaz Peynirli Domatesli Tost</t>
  </si>
  <si>
    <t>Kaşarlı Sucuklu Bazlama Tost</t>
  </si>
  <si>
    <t xml:space="preserve">Kaşar peyniri, dana sucuk. Çıtır patates, domates, salatalık, karışık zeytin ile </t>
  </si>
  <si>
    <t>Gurme Tost</t>
  </si>
  <si>
    <t xml:space="preserve">Dana kavurma, dana sucuk, kaşar peyniri, cheddar peyniri, domates. Çıtır patates, domates, salatalık, karışık zeytin ile </t>
  </si>
  <si>
    <t>Üç Peynirli Tost</t>
  </si>
  <si>
    <t xml:space="preserve">Beyaz peynir, kaşar peyniri, cheddar peyniri. Çıtır patates, domates, salatalık, karışık zeytin ile </t>
  </si>
  <si>
    <t xml:space="preserve">Dana sucuk. Çıtır patates, domates, salatalık, karışık zeytin ile </t>
  </si>
  <si>
    <t xml:space="preserve">Beyaz peynir, domates, salatalık, kıvırcık marul </t>
  </si>
  <si>
    <t>Üç Peynirli Sandviç</t>
  </si>
  <si>
    <t xml:space="preserve">Beyaz peynir, kaşar peyniri, cheddar peyniri, kıvırcık marul, domates, salatalık </t>
  </si>
  <si>
    <t>Ton Balıklı Sandviç</t>
  </si>
  <si>
    <t xml:space="preserve">Ton balığı, kıvırcık marul, turşu, domates, kaşar peyniri, hardal, közlenmiş kırmızıbiber, soğan, binada sos </t>
  </si>
  <si>
    <t>Sebzeli Krep</t>
  </si>
  <si>
    <t xml:space="preserve">Krep hamuru arasına sarılmış paprika, yeşilbiber, havuç, mantar, patates, mısır, kabak, brokoli, karnıbahar. Cajun baharatlı parmak patates kızartması, bahçe yeşillikleri ile </t>
  </si>
  <si>
    <t>Tavuklu Krep</t>
  </si>
  <si>
    <t xml:space="preserve">Krep hamuru arasına sarılmış tavuk, paprika, krema, kaşar peyniri. Cajun baharatlı parmak patates kızartması, bahçe yeşillikleri ile </t>
  </si>
  <si>
    <t>Etli Krep</t>
  </si>
  <si>
    <t xml:space="preserve">Krep hamuru arasına sarılmış mantar, dana eti, paprika, krema, kaşar peyniri. Cajun baharatlı parmak patates kızartması, bahçe yeşillikleri ile </t>
  </si>
  <si>
    <t>Tavuklu Mantarlı Krep</t>
  </si>
  <si>
    <t xml:space="preserve">Krep hamuru arasına sarılmış tavuk, kremalı mantar sos, kaşar peyniri. Cajun baharatlı parmak patates kızartması, bahçe yeşillikleri ile </t>
  </si>
  <si>
    <t>Veggie Burger</t>
  </si>
  <si>
    <t xml:space="preserve">Sebze burger köftesi, göbek marul, domates, turşu, kıtır soğan, fesleğen pesto sos </t>
  </si>
  <si>
    <t xml:space="preserve">Burger köftesi, göbek marul, domates, turşu, kıtır soğan, mantar sos, göz yumurta, ranch sos, cheddar sos </t>
  </si>
  <si>
    <t xml:space="preserve">Burger köftesi, göbek marul, kıtır soğan, binada sos, domates, turşu </t>
  </si>
  <si>
    <t>Duraklatan Burger</t>
  </si>
  <si>
    <t xml:space="preserve">Burger köftesi, kıtır soğan, turşu, domates, göbek marul, picante sos </t>
  </si>
  <si>
    <t>New York Burger</t>
  </si>
  <si>
    <t xml:space="preserve">2 Adet burger köftesi, cheddar peyniri, kıtır soğan, turşu, relish sos </t>
  </si>
  <si>
    <t xml:space="preserve">Burger köftesi, kıtır soğan, cheddar sos, domates, turşu, göbek marul, buffalo sos </t>
  </si>
  <si>
    <t xml:space="preserve">Burger köftesi, göbek marul, kıtır soğan, domates, turşu, cheddar sos </t>
  </si>
  <si>
    <t xml:space="preserve">Mozzarella peyniri, mısır, mantar, kabak, brokoli, karnabahar, patlıcan, havuç, paprika, yeşilbiber, kokteyl domates, dilim siyah zeytin </t>
  </si>
  <si>
    <t>Tavuklu Durak Pizza</t>
  </si>
  <si>
    <t xml:space="preserve">Mozzarella peyniri, cheddar peynir, mısır, kokteyl domates, mantar, tavuk parçaları, dilim siyah zeytin, patlıcan beğendi </t>
  </si>
  <si>
    <t>Mantarlı Pizza</t>
  </si>
  <si>
    <t xml:space="preserve">Mozzarella peyniri, mantar, mısır, kokteyl domates </t>
  </si>
  <si>
    <t>Margherita Pizza</t>
  </si>
  <si>
    <t xml:space="preserve">Mozzarella peyniri, mısır, kokteyl domates </t>
  </si>
  <si>
    <t>Sucuklu Pizza</t>
  </si>
  <si>
    <t xml:space="preserve">Mozzarella peyniri, dana sucuk, mısır, kokteyl domates </t>
  </si>
  <si>
    <t>Üç Peynirli Pizza</t>
  </si>
  <si>
    <t xml:space="preserve">Mozzarella peyniri, cheddar peyniri, çeçil peyniri, mısır, kokteyl domates </t>
  </si>
  <si>
    <t>Etli Durak Pizza</t>
  </si>
  <si>
    <t xml:space="preserve">Mozzarella peyniri, cheddar peyniri, mısır, kokteyl domates, mantar, kavurma, dana sucuk, dilim siyah zeytin, patlıcan beğendi </t>
  </si>
  <si>
    <t xml:space="preserve">Mozzarella peyniri, dana kavurma, mısır, kokteyl domates </t>
  </si>
  <si>
    <t>Tavuklu Mantarlı Dürüm</t>
  </si>
  <si>
    <t xml:space="preserve">Julyen tavuk parçacıkları, binada sos, paprika biber, köy biberi, mantar, kaşar peyniri, göbek marul </t>
  </si>
  <si>
    <t>Sebzeli Dürüm</t>
  </si>
  <si>
    <t xml:space="preserve">Kabak, havuç, binada sos, paprika, köy biberi, hardallı patates, göbek marul </t>
  </si>
  <si>
    <t xml:space="preserve">Közlenmiş paprika, binada sos, göbek marul, turşu, kaşar peyniri </t>
  </si>
  <si>
    <t>Etli Taco - Şu anda mevcut değil.</t>
  </si>
  <si>
    <t xml:space="preserve">Mini tortilla ekmeği, özel baharatlarla tatlandırılmış küp doğranmış dana eti, paprika, mor soğan, sivri biber, meksika fasulyesi, jalapeno biber, cheddar peyniri. Guacamole sos, sriracha sos, sour cream sos ile </t>
  </si>
  <si>
    <t>Etli Nachos - Şu anda mevcut değil.</t>
  </si>
  <si>
    <t xml:space="preserve">Mısır cipsi, özel baharatlarla tatlandırılmış küp doğranmış dana eti, paprika, mor soğan, sivri biber, meksika fasulyesi, jalapeno biber, cheddar peyniri. Guacamole sos, sriracha sos, sour cream sos ile </t>
  </si>
  <si>
    <t>Körili Penne</t>
  </si>
  <si>
    <t xml:space="preserve">Tavuk, köri sosu, mantar </t>
  </si>
  <si>
    <t xml:space="preserve">Tavuk parçaları, kremalı mantar sos </t>
  </si>
  <si>
    <t>Tavuklu Kremalı Penne</t>
  </si>
  <si>
    <t xml:space="preserve">Penne makarna, tavuk parçaları, kremalı mantar sos </t>
  </si>
  <si>
    <t>Penne Arrabiatta</t>
  </si>
  <si>
    <t xml:space="preserve">Arrabiatta sos, mısır, dilim siyah zeytin </t>
  </si>
  <si>
    <t>Sebzeli Tagliatelle</t>
  </si>
  <si>
    <t xml:space="preserve">Brokoli, mantar, karnabahar, kabak, havuç, paprika, kokteyl domates, krema </t>
  </si>
  <si>
    <t>Spaghetti Bolonez</t>
  </si>
  <si>
    <t xml:space="preserve">Kıymalı bolonez sos </t>
  </si>
  <si>
    <t xml:space="preserve">Körili fesleğenli penne makarna, mevsim yeşillikler ile </t>
  </si>
  <si>
    <t>Durak Tava</t>
  </si>
  <si>
    <t>Köylüce</t>
  </si>
  <si>
    <t>Louisiana Soslu Tavuk</t>
  </si>
  <si>
    <t>Buffalo Soslu Tavuk</t>
  </si>
  <si>
    <t xml:space="preserve">Özel baharatlarla marine edilmiş küp doğranmış tavuk parçaları, paprika, Kaliforniya biber, yeşilbiber, arpacık soğan, mantar. Körili fesleğenli penne makarna, mevsim yeşillikler ile </t>
  </si>
  <si>
    <t>Izgara Tavuk</t>
  </si>
  <si>
    <t>Barbekü Soslu Tavuk</t>
  </si>
  <si>
    <t>Tavuk Kavurma</t>
  </si>
  <si>
    <t>Mantar Soslu Tavuk</t>
  </si>
  <si>
    <t>Tavuk Schnitzel - Şu anda mevcut değil.</t>
  </si>
  <si>
    <t>Chilli Tavuk</t>
  </si>
  <si>
    <t>Kekikli Kremalı Tavuk</t>
  </si>
  <si>
    <t xml:space="preserve">Közlenmiş domates, közlenmiş biber, közlenmiş soğan, cajun baharatlı elma dilim patates kızartması, red hot shot, pilav, mevsim yeşillikleri ile </t>
  </si>
  <si>
    <t>Kaşarlı Köfte</t>
  </si>
  <si>
    <t>Buffalo Beef</t>
  </si>
  <si>
    <t>Meksika Soslu Beef</t>
  </si>
  <si>
    <t>Durak Beef</t>
  </si>
  <si>
    <t>Et Schnitzel</t>
  </si>
  <si>
    <t>Soya Soslu Beef</t>
  </si>
  <si>
    <t>Beef Strogonof</t>
  </si>
  <si>
    <t>Barbekü Soslu Beef</t>
  </si>
  <si>
    <t>Mantar Soslu Beef</t>
  </si>
  <si>
    <t>Dağ Kekikli Beef</t>
  </si>
  <si>
    <t>Sucuk Ekmek</t>
  </si>
  <si>
    <t xml:space="preserve">Cheddar peyniri, domates, turşu, közlenmiş biber, soğan </t>
  </si>
  <si>
    <t xml:space="preserve">Göbek marul, domates, turşu, közlenmiş biber, kızarmış kıtır soğan, binada sos </t>
  </si>
  <si>
    <t xml:space="preserve">Göbek marul, domates, turşu, közlenmiş biber, kızarmış kıtır soğan, cheddar peynir sosu </t>
  </si>
  <si>
    <t>Köfte Kebabı</t>
  </si>
  <si>
    <t xml:space="preserve">Köfte ızgara, pide ekmeği, tereyağı, Napolitan sos, közlenmiş biber, közlenmiş domates ile </t>
  </si>
  <si>
    <t xml:space="preserve">Ton balığı, mevsim yeşillikleri, kokteyl domates, salatalık, mısır, köz paprika, kornişon turşu, salata sosu </t>
  </si>
  <si>
    <t>Durak Salata</t>
  </si>
  <si>
    <t xml:space="preserve">Göbek marul, roka, kokteyl domates, salatalık, chef spesiyal küp tavuk parçaları, paprika, yeşilbiber, sarı biber, arpacık soğan, salata sosu </t>
  </si>
  <si>
    <t xml:space="preserve">Mevsim yeşillikleri, dilimli siyah zeytin, kokteyl domates, salatalık, mısır, havuç, beyaz peynir, salata sosu </t>
  </si>
  <si>
    <t xml:space="preserve">Domates, salatalık, yeşilbiber, paprika, maydanoz, taze soğan, taze nane, mısır, siyah zeytin, beyaz peynir, salata sosu </t>
  </si>
  <si>
    <t xml:space="preserve">Mevsim yeşillikleri, kokteyl domates, salatalık, mısır, dilim siyah zeytin, köz paprika, kuru kayısı, ızgara hellim peyniri, pesto sos </t>
  </si>
  <si>
    <t xml:space="preserve">Göbek marul, mısır, ceviz, kruton ekmek, ızgara tavuk, kokteyl domates, salatalık, Sezar sos, parmesan peyniri </t>
  </si>
  <si>
    <t>Çıtır Tavuklu Salata</t>
  </si>
  <si>
    <t xml:space="preserve">Mevsim yeşillikleri, mısır, kokteyl domates, salata sosu, panelenmiş tavuk </t>
  </si>
  <si>
    <t>Çıtır Patates Sepeti</t>
  </si>
  <si>
    <t xml:space="preserve">Buffalo sos ile </t>
  </si>
  <si>
    <t>Soğan Halkası Sepeti</t>
  </si>
  <si>
    <t xml:space="preserve">Cajun baharatlı parmak patates üzerine soğan halkası, ranch sos ile </t>
  </si>
  <si>
    <t>Rulo Börek Sepeti</t>
  </si>
  <si>
    <t xml:space="preserve">Cajun baharatlı patates üzerine peynirli rulo börekler </t>
  </si>
  <si>
    <t>Mozzarella Sticks Sepeti</t>
  </si>
  <si>
    <t xml:space="preserve">Cajun baharatlı parmak patates üzerine mozeralla sticks, ranch sos ile </t>
  </si>
  <si>
    <t>Sosis Sepeti</t>
  </si>
  <si>
    <t xml:space="preserve">Cajun baharatlı parmak patates üzerine dana kokteyl sosis, buffalo sos ile </t>
  </si>
  <si>
    <t>Çıtır Tavuk Sepeti</t>
  </si>
  <si>
    <t xml:space="preserve">Çıtır patates üzerine küp çıtır tavuk dilimleri, picante sos, ballı hardal sos ile </t>
  </si>
  <si>
    <t>Doyumluk Sepet</t>
  </si>
  <si>
    <t xml:space="preserve">Cajun baharatlı elma dilim patates kızartması, soğan halkası, mozzarella sticks, çıtır tavuk, kokteyl dana sosis, kalem böreği, picante sos, ranch sos ile </t>
  </si>
  <si>
    <t>Ballı Cevizli Pasta</t>
  </si>
  <si>
    <t>Paris Brest</t>
  </si>
  <si>
    <t>Nugget &amp; Patates</t>
  </si>
  <si>
    <t>Köfte Patates</t>
  </si>
  <si>
    <t>Köfteli Spaghetti</t>
  </si>
  <si>
    <t>Sosis &amp; Patates</t>
  </si>
  <si>
    <t>Red Bull Energy Drink (25 cl.)</t>
  </si>
  <si>
    <t>Americano (Küçük)</t>
  </si>
  <si>
    <t xml:space="preserve">Özel harman çekirdekleri ile hazırlanan espresso suyla yumuşatılarak hazırlanır </t>
  </si>
  <si>
    <t>Americano (Orta)</t>
  </si>
  <si>
    <t>Americano (Büyük)</t>
  </si>
  <si>
    <t>Cappucino (Küçük)</t>
  </si>
  <si>
    <t xml:space="preserve">Özel harman çekirdekleri ile hazırlanan espresso, süt, ipeksi süt kreması ile hazırlanır </t>
  </si>
  <si>
    <t>Cappucino (Orta)</t>
  </si>
  <si>
    <t>Cappucino (Büyük)</t>
  </si>
  <si>
    <t>Caffe Latte (Küçük)</t>
  </si>
  <si>
    <t xml:space="preserve">Özel çekirdeklerle harmanlanan espresso, süt, ipeksi süt kreması ile hazırlanır </t>
  </si>
  <si>
    <t>Caffe Latte (Orta)</t>
  </si>
  <si>
    <t>Caffe Latte (Büyük)</t>
  </si>
  <si>
    <t>Fıstıklı Latte (Küçük)</t>
  </si>
  <si>
    <t xml:space="preserve">Kahve Dünyası'na özgü orijinal fıstık püresi ile hazırlanmaktadır </t>
  </si>
  <si>
    <t>Fıstıklı Latte (Orta)</t>
  </si>
  <si>
    <t>Fıstıklı Latte (Büyük)</t>
  </si>
  <si>
    <t>Zerdeçallı Latte (Küçük)</t>
  </si>
  <si>
    <t xml:space="preserve">Süt, süt kreması ve zerdeçallı özel baharat karışımı ile hazırlanır </t>
  </si>
  <si>
    <t>Zerdeçallı Latte (Orta)</t>
  </si>
  <si>
    <t>Zerdeçallı Latte (Büyük)</t>
  </si>
  <si>
    <t>Mocha (Küçük)</t>
  </si>
  <si>
    <t xml:space="preserve">Özel çekirdeklerle harmanlanan espresso, süt ve çikolata ile hazırlanır </t>
  </si>
  <si>
    <t>Mocha (Orta)</t>
  </si>
  <si>
    <t>Mocha (Büyük)</t>
  </si>
  <si>
    <t>Beyaz Çikolatalı Mocha (Küçük)</t>
  </si>
  <si>
    <t xml:space="preserve">Özel çekirdeklerle harmanlanan espresso, süt ve fildişi çikolata ile hazırlanır </t>
  </si>
  <si>
    <t>Beyaz Çikolatalı Mocha (Orta)</t>
  </si>
  <si>
    <t>Beyaz Çikolatalı Mocha (Büyük)</t>
  </si>
  <si>
    <t>Espresso (Küçük)</t>
  </si>
  <si>
    <t xml:space="preserve">Özel harman çekirdekleri ile hazırlanan espresso </t>
  </si>
  <si>
    <t>Double Espresso (Küçük)</t>
  </si>
  <si>
    <t>Espresso Con Panna (Küçük)</t>
  </si>
  <si>
    <t xml:space="preserve">Özel çekirdeklerle harmanlanan espresso ve krema ile hazırlanır </t>
  </si>
  <si>
    <t>Double Espresso Con Panna (Küçük)</t>
  </si>
  <si>
    <t>Espresso Lungo (Küçük)</t>
  </si>
  <si>
    <t>Espresso Lungo (Orta)</t>
  </si>
  <si>
    <t>Espresso Lungo (Büyük)</t>
  </si>
  <si>
    <t>Espresso Macchiato (Küçük)</t>
  </si>
  <si>
    <t xml:space="preserve">Özel çekirdeklerle harmanlanan espresso, ipeksi süt kreması ile hazırlanır </t>
  </si>
  <si>
    <t>Double Espresso Macchiato</t>
  </si>
  <si>
    <t>Karamelli Macchiato (Küçük)</t>
  </si>
  <si>
    <t xml:space="preserve">Özel çekirdeklerle harmanlanan espresso, ipeksi süt kreması ve karamel ile hazırlanır </t>
  </si>
  <si>
    <t>Karamelli Macchiato (Orta)</t>
  </si>
  <si>
    <t>Karamelli Macchiato (Büyük)</t>
  </si>
  <si>
    <t>Flat White (Küçük)</t>
  </si>
  <si>
    <t xml:space="preserve">Özel harman çekirdekleri ile hazırlanan ristretto ve ipeksi süt kreması ile hazırlanır </t>
  </si>
  <si>
    <t>Flat White (Orta)</t>
  </si>
  <si>
    <t>Flat White (Büyük)</t>
  </si>
  <si>
    <t>Ristretto (Küçük)</t>
  </si>
  <si>
    <t xml:space="preserve">Özel çekirdeklerle harmanlanan espressonun daha az suyla demlenmesi ile hazırlanır </t>
  </si>
  <si>
    <t>Filtre Kahve (Küçük)</t>
  </si>
  <si>
    <t xml:space="preserve">Özel harman çekirdekler ile hazırlanır </t>
  </si>
  <si>
    <t>Filtre Kahve (Orta)</t>
  </si>
  <si>
    <t>Filtre Kahve (Büyük)</t>
  </si>
  <si>
    <t>Sütlü Filtre Kahve (Küçük)</t>
  </si>
  <si>
    <t xml:space="preserve">Özel harman çekirdekler ve süt ile hazırlanır </t>
  </si>
  <si>
    <t>Sütlü Filtre Kahve (Orta)</t>
  </si>
  <si>
    <t>Sütlü Filtre Kahve (Büyük)</t>
  </si>
  <si>
    <t>Fındık Aromalı Filtre Kahve (Küçük)</t>
  </si>
  <si>
    <t xml:space="preserve">Özel harman çekirdekler ve fındık aroması ile hazırlanır </t>
  </si>
  <si>
    <t>Fındık Aromalı Filtre Kahve (Orta)</t>
  </si>
  <si>
    <t>Karamel Aromalı Filtre Kahve (Küçük)</t>
  </si>
  <si>
    <t xml:space="preserve">Özel harman çekirdekler ve karamel aroması ile hazırlanır </t>
  </si>
  <si>
    <t>Karamel Aromalı Filtre Kahve (Orta)</t>
  </si>
  <si>
    <t>Vanilya Aromalı Filtre Kahve (Küçük)</t>
  </si>
  <si>
    <t xml:space="preserve">Özel harman çekirdekler ve vanilya aroması ile hazırlanır </t>
  </si>
  <si>
    <t>Vanilya Aromalı Filtre Kahve (Orta)</t>
  </si>
  <si>
    <t>Filtre Kahve (Litrelik)</t>
  </si>
  <si>
    <t xml:space="preserve">Litrelik ambalajında servis edilir. Ambalaj içerisinde 6 adet bardak ve peçete mevcuttur </t>
  </si>
  <si>
    <t>Türk Kahvesi</t>
  </si>
  <si>
    <t xml:space="preserve">Türk kahvesi, su ile hazırlanır </t>
  </si>
  <si>
    <t>Double Türk Kahvesi</t>
  </si>
  <si>
    <t xml:space="preserve">Double Türk kahvesi, su ile hazırlanır </t>
  </si>
  <si>
    <t>Damla Sakızlı Türk Kahvesi</t>
  </si>
  <si>
    <t xml:space="preserve">Damla sakızlı Türk kahvesi, su ile hazırlanır </t>
  </si>
  <si>
    <t>Damla Sakızlı Double Türk Kahvesi</t>
  </si>
  <si>
    <t xml:space="preserve">Damla sakızlı double Türk kahvesi, su ile hazırlanır </t>
  </si>
  <si>
    <t>Sütlü Türk Kahvesi</t>
  </si>
  <si>
    <t xml:space="preserve">Türk kahvesi, süt, su ile hazırlanır </t>
  </si>
  <si>
    <t>Sütlü Double Türk Kahvesi</t>
  </si>
  <si>
    <t xml:space="preserve">Double Türk kahvesi, süt, su ile hazırlanır </t>
  </si>
  <si>
    <t>Soğuk Türk Kahvesi</t>
  </si>
  <si>
    <t xml:space="preserve">Soğuk Türk kahvesi, kaşık çikolata, soğuk süt, çikolatalı sos, buz ile hazırlanır </t>
  </si>
  <si>
    <t>Kolombiya (Küçük)</t>
  </si>
  <si>
    <t xml:space="preserve">Ağır kıvamlı tada ve yoğun ceviz aromasına sahip Kolombiya yöresel kahvesi ile hazırlanır </t>
  </si>
  <si>
    <t>Kolombiya (Orta)</t>
  </si>
  <si>
    <t>Kosta Rika (Küçük)</t>
  </si>
  <si>
    <t xml:space="preserve">Kosta Rika'nın orta derecede kıvamlı, fındığımsı, çiçeksi ve baharatımsı tatları içeren düşük asiditeye sahip kahvesi ile hazırlanır </t>
  </si>
  <si>
    <t>Kosta Rika (Orta)</t>
  </si>
  <si>
    <t>Guatemala (Küçük)</t>
  </si>
  <si>
    <t xml:space="preserve">Bol asitli, tropikal meyve tatlarını içeren orta kıvamlı ve yumuşak içimli, kendine özgü isli koku ve baharatlı tada sahip kahve ile hazırlanır </t>
  </si>
  <si>
    <t>Guatemala (Orta)</t>
  </si>
  <si>
    <t>Kenya (Küçük)</t>
  </si>
  <si>
    <t xml:space="preserve">Orta kıvamlı, üzümsü ve böğürtlenimsi tatlara sahip Kenya yöresel kahvesi ile hazırlanır </t>
  </si>
  <si>
    <t>Kenya (Orta)</t>
  </si>
  <si>
    <t>Santos (Küçük)</t>
  </si>
  <si>
    <t xml:space="preserve">Brezilya'nın düşük asidite ve fındığımsı tattaki yoğun aromalı yüksek kalite kahvesi ile hazırlanır </t>
  </si>
  <si>
    <t>Santos (Orta)</t>
  </si>
  <si>
    <t>Antigua (Küçük)</t>
  </si>
  <si>
    <t xml:space="preserve">Bitter çikolata ve topraksı, çiçeksi lezzetleri karamel tatlılığı barındıran düşük asidite ve yoğun aromaya sahip kahve ile hazırlanır </t>
  </si>
  <si>
    <t>Antigua (Orta)</t>
  </si>
  <si>
    <t>Antigua (Büyük)</t>
  </si>
  <si>
    <t>El Salvador (Küçük)</t>
  </si>
  <si>
    <t xml:space="preserve">Santa Ana Volcano'da yetişen, yüksek kaliteli, bal tatlılığı ve hafif baharat notaları içeren yüksek kıvamlı kahvesi ile hazırlanır </t>
  </si>
  <si>
    <t>El Salvador (Orta)</t>
  </si>
  <si>
    <t>El Salvador (Büyük)</t>
  </si>
  <si>
    <t>Etiyopya (Küçük)</t>
  </si>
  <si>
    <t xml:space="preserve">Oromia bölgesinde yetişen, cesur meyve notaları, şeker kamışı tatlığı, çiçeksi, yüksek gövdeli, uzun bitişli, nitelikli tür kahvesi ile hazırlanır </t>
  </si>
  <si>
    <t>Etiyopya (Orta)</t>
  </si>
  <si>
    <t>Etiyopya (Büyük)</t>
  </si>
  <si>
    <t>Sıcak Çikolata (Küçük)</t>
  </si>
  <si>
    <t xml:space="preserve">Kuvertür çikolata sıcak süt ile eritilerek hazırlanır </t>
  </si>
  <si>
    <t>Sıcak Çikolata (Orta)</t>
  </si>
  <si>
    <t>Kahveli Sıcak Çikolata (Küçük)</t>
  </si>
  <si>
    <t xml:space="preserve">Espresso, kuvertür çikolata, sıcak süt, krema ile hazırlanır </t>
  </si>
  <si>
    <t>Kahveli Sıcak Çikolata (Orta)</t>
  </si>
  <si>
    <t>Çokoliko Vitaminli Sıcak Çikolata (Küçük)</t>
  </si>
  <si>
    <t xml:space="preserve">Vitamin ve mineraller açısından zengin kakaolu özel karışım ile hazırlanır </t>
  </si>
  <si>
    <t>Çokoliko Vitaminli Sıcak Çikolata (Orta)</t>
  </si>
  <si>
    <t>Tuzlu Karamelli Beyaz Sıcak Çikolata (Küçük)</t>
  </si>
  <si>
    <t xml:space="preserve">Özel tuzlu karamelli spesiyal, beyaz çikolata, karamel sos ve süt ile hazırlanır </t>
  </si>
  <si>
    <t>Tuzlu Karamelli Beyaz Sıcak Çikolata (Orta)</t>
  </si>
  <si>
    <t>Tuzlu Karamelli Beyaz Sıcak Çikolata (Büyük)</t>
  </si>
  <si>
    <t>Salep (Küçük)</t>
  </si>
  <si>
    <t xml:space="preserve">Yabani orkide bitkisinin köklerinden üretilen salep </t>
  </si>
  <si>
    <t>Salep (Orta)</t>
  </si>
  <si>
    <t>Salepli Kahve (Küçük)</t>
  </si>
  <si>
    <t xml:space="preserve">Espresso ve yabani orkide bitkisinin köklerinden üretilen salep ile hazırlanır </t>
  </si>
  <si>
    <t>Salepli Kahve (Orta)</t>
  </si>
  <si>
    <t>Soğuk Salep</t>
  </si>
  <si>
    <t xml:space="preserve">Kahve Dünyası salebi, Kahve Dünyası özel kaymaklı dondurması, süt, tarçın ve buz içerir </t>
  </si>
  <si>
    <t>Protahin</t>
  </si>
  <si>
    <t xml:space="preserve">Protein tozu, badem sütü, tahin, muz, bal tarçın ve buz ile hazırlanır </t>
  </si>
  <si>
    <t>Promeyve</t>
  </si>
  <si>
    <t xml:space="preserve">Protein tozu, kırmızı meyveler, muz, laktozsuz yoğurt, bal, chia tohumu ve buz ile hazırlanır </t>
  </si>
  <si>
    <t>Probadem</t>
  </si>
  <si>
    <t xml:space="preserve">Özel hazırlanmış sütlü karışım, protein tozu, badem ezmesi ve buz ile hazırlanır </t>
  </si>
  <si>
    <t>Cold Brew</t>
  </si>
  <si>
    <t xml:space="preserve">Cold brew kahve, buz ile hazırlanır </t>
  </si>
  <si>
    <t>Cold Brew (Şişe)</t>
  </si>
  <si>
    <t>Cold Brew (Litrelik)</t>
  </si>
  <si>
    <t xml:space="preserve">Cold brew kahve, buz ile hazırlanır. Litrelik ambalajında servis edilir. Ambalaj içerisinde 4 adet bardak, kapak, peçete ve pipet mevcuttur. </t>
  </si>
  <si>
    <t>72,00 TL</t>
  </si>
  <si>
    <t>Draft Cold Brew</t>
  </si>
  <si>
    <t xml:space="preserve">Kahve çekirdekleri özel demleme yöntemi ile hazırlanır </t>
  </si>
  <si>
    <t>Draft Americano</t>
  </si>
  <si>
    <t xml:space="preserve">Özel harman çekirdekleri ile hazırlanan espressonun suyla yumuşatılarak fıçı içinde özel yöntemle hazırlanması </t>
  </si>
  <si>
    <t>Draft Latte</t>
  </si>
  <si>
    <t xml:space="preserve">Özel çekirdeklerle harmanlanan espresso, süt ile özel fıçı içerisinde hazırlanır </t>
  </si>
  <si>
    <t>Buzlu Americano</t>
  </si>
  <si>
    <t xml:space="preserve">Espresso, su ve buz ile hazırlanır </t>
  </si>
  <si>
    <t>Buzlu Americano (Şişe)</t>
  </si>
  <si>
    <t>Buzlu Caffe Latte</t>
  </si>
  <si>
    <t xml:space="preserve">Özel çekirdeklerle harmanlanan espresso, süt, ipeksi süt kreması ve buz ile hazırlanır </t>
  </si>
  <si>
    <t>Buzlu Caffe Latte (Şişe)</t>
  </si>
  <si>
    <t xml:space="preserve">Özel çekirdeklerle harmanlanan espresso, buz, soğuk süt, ipeksi süt kreması ile hazırlanır </t>
  </si>
  <si>
    <t>Buzlu Mocha</t>
  </si>
  <si>
    <t xml:space="preserve">Soğuk espresso, buz, süt, çikolata sosundan elde edilir </t>
  </si>
  <si>
    <t>Çokoliko Vitaminli Soğuk Çikolata</t>
  </si>
  <si>
    <t>Çilekli Frappe</t>
  </si>
  <si>
    <t xml:space="preserve">Soğuk espresso, buz, soğuk süt, çilek aroması ile hazırlanır </t>
  </si>
  <si>
    <t>Karamelli Frappe</t>
  </si>
  <si>
    <t xml:space="preserve">Soğuk espresso, buz, soğuk süt, karamel aroması ile hazırlanır </t>
  </si>
  <si>
    <t>Muzlu Frappe</t>
  </si>
  <si>
    <t xml:space="preserve">Soğuk espresso, buz, soğuk süt, muz aroması ile hazırlanır </t>
  </si>
  <si>
    <t>No.5</t>
  </si>
  <si>
    <t xml:space="preserve">Karpuz, çilek, nane, limon suyu ile hazırlanır </t>
  </si>
  <si>
    <t>Nane Limonlu Frozen</t>
  </si>
  <si>
    <t xml:space="preserve">Taze yaprak nane, taze limon, limonata, buz, limon aroması, nane aroması ile hazırlanır </t>
  </si>
  <si>
    <t xml:space="preserve">Taze limon, limon suyu, portakal suyu, portakal, şeker, su ile hazırlanır </t>
  </si>
  <si>
    <t>Premium Maden Suyu</t>
  </si>
  <si>
    <t xml:space="preserve">Susam, keten tohumu ve mavi haşhaş ile kaplı ekmek, zeytin ezmesi, koyun peyniri, cherry domates, salatalık </t>
  </si>
  <si>
    <t>Dana Jambonlu Sandviç</t>
  </si>
  <si>
    <t xml:space="preserve">Çıtır baget ekmeği, dana jambon, kaşar peyniri, Amerikan salatası, turşu, marul </t>
  </si>
  <si>
    <t>Mozzarellalı Sandviç</t>
  </si>
  <si>
    <t xml:space="preserve">Çıtır baget ekmeği, mozzarella peyniri, krem peynir, fesleğen sos, marul, nar ekşisi </t>
  </si>
  <si>
    <t>Hindi Füme Sandviç</t>
  </si>
  <si>
    <t xml:space="preserve">Susam, keten tohumu ve mavi haşhaş ile kaplı ekmek, avokado sos, mayonez, hindi füme, kaşar peyniri, cherry domates, marul </t>
  </si>
  <si>
    <t xml:space="preserve">Susam, keten tohumu ve mavi haşhaş ile kaplı ekmek, ton balığı harcı, marul, salatalık turşusu </t>
  </si>
  <si>
    <t>Tavuk Sezar Sandviç</t>
  </si>
  <si>
    <t xml:space="preserve">Baget ekmeği, toz parmesan peyniri, Sezar salata, domates, kıvırcık </t>
  </si>
  <si>
    <t>Kruvasan</t>
  </si>
  <si>
    <t xml:space="preserve">Tereyağı ile hazırlanmış özel kruvasan hamuru ile üretilmektedir. </t>
  </si>
  <si>
    <t>Çikolatalı Kruvasan</t>
  </si>
  <si>
    <t xml:space="preserve">Tereyağı ile hazırlanmış özel kruvasan hamuru içinde bitter çubuk çikolata ile hazılanmaktadır </t>
  </si>
  <si>
    <t>Peynirli Kruvasan</t>
  </si>
  <si>
    <t xml:space="preserve">Tereyağı ile hazırlanmış özel kruvasan hamuru içinde taze kaşar peyniri ile hazırlanmaktadır </t>
  </si>
  <si>
    <t>Kruvasantin</t>
  </si>
  <si>
    <t xml:space="preserve">Tereyağı ile hazırlanmış özel kruvasan hamuru içerisinde bademli krema ve dışarısında bol badem ile hazırlanmaktadır </t>
  </si>
  <si>
    <t xml:space="preserve">Tereyağı, süzme yoğurt, mahlep, kaşar peyniri, beyaz peynir, dereotu </t>
  </si>
  <si>
    <t>Karışık Simit</t>
  </si>
  <si>
    <t xml:space="preserve">Yulafla süslenmiş, tahıllı özel simit içinde krem peynir, dana jambon, Macar salamı, kaşar peyniri, burger peyniri </t>
  </si>
  <si>
    <t>Üç Peynirli Simit</t>
  </si>
  <si>
    <t xml:space="preserve">Üzeri havuçla süslenmiş, tahıllı özel pur pur simit içinde burger peyniri, kaşar peyniri, cheddar peyniri </t>
  </si>
  <si>
    <t>Patatesli Börekitas (2 Adet)</t>
  </si>
  <si>
    <t xml:space="preserve">Özel börekitas hamuru, beyaz peynir ve patates </t>
  </si>
  <si>
    <t>Közlenmiş Patlıcanlı Börekitas (2 Adet)</t>
  </si>
  <si>
    <t xml:space="preserve">Özel börekitas hamuru, beyaz peynir ve közlenmiş patlıcan </t>
  </si>
  <si>
    <t>Karışık Börekitas (2 Adet)</t>
  </si>
  <si>
    <t xml:space="preserve">Özel börekitas hamuru, patates ve patlıcan </t>
  </si>
  <si>
    <t>Peynirli Puf</t>
  </si>
  <si>
    <t xml:space="preserve">Kepekli puf hamuru, tulum peyniri, domates, kepek, lor peyniri, çarliston biber </t>
  </si>
  <si>
    <t>Tavuklu Puf</t>
  </si>
  <si>
    <t xml:space="preserve">Susamlı puf hamuru, tavuk but, light soya sos, karabiber, bezelye, havuç, patates garnitürü, susam ve krema </t>
  </si>
  <si>
    <t>Ispanaklı Kiş</t>
  </si>
  <si>
    <t xml:space="preserve">Milföy hamuru içinde beşamel sos, taze kaşar peyniri, eski kaşar peyniri, yumurta ve ıspanaklı iç harcı </t>
  </si>
  <si>
    <t>Üç Peynirli Kiş</t>
  </si>
  <si>
    <t xml:space="preserve">Milföy hamuru içinde beşamel sos, taze kaşar peyniri, eski kaşar peyniri, yumurta ve peynirli iç harcı </t>
  </si>
  <si>
    <t>İçi Dolgulu Çikolata Parçacıklı Cookie</t>
  </si>
  <si>
    <t xml:space="preserve">İçi çikolata dolgulu çikolata parçacıklı sade cookie </t>
  </si>
  <si>
    <t>İçi Dolgulu Bitter Çikolatalı Cookie</t>
  </si>
  <si>
    <t xml:space="preserve">Bitter çikolata, tereyağı ve kırıntı çikolata ile hazırlanır </t>
  </si>
  <si>
    <t xml:space="preserve">Sütlü krema ile doldurulmuş profiterol topları üzerinde Kahve Dünyası çikolata sosu ve krema </t>
  </si>
  <si>
    <t>Brownie</t>
  </si>
  <si>
    <t xml:space="preserve">Şeker ve yağ kullanılmadan, bitter çikolata, sütlü çikolata ve süt kullanırak hazırlanır </t>
  </si>
  <si>
    <t xml:space="preserve">Gerçek çikolatadan hazırlanan sufle. İçinde sıcak ve akışkan çikolata </t>
  </si>
  <si>
    <t>Kahve Dünyası Pastası</t>
  </si>
  <si>
    <t xml:space="preserve">Susamlı bademli kıtır kurabiye üzerinde kahve çekirdekleriyle tatlandırılan bitter, sütlü ve beyaz çikolata katları ile hazırlanır </t>
  </si>
  <si>
    <t>Elmalı Tarçınlı Ballı Kek (Dilim)</t>
  </si>
  <si>
    <t xml:space="preserve">Ballı kek, damla çikolata, tereyağı, esmer şeker, tarçın ve elma dilimleri </t>
  </si>
  <si>
    <t>Frambuazlı Cheesecake (Dilim)</t>
  </si>
  <si>
    <t xml:space="preserve">Tereyağı ve ceviz ile hazırlanmış bisküvi tabanı, cheesecake peyniri, taze frambuaz ile yapılmış sos </t>
  </si>
  <si>
    <t>Limonlu Cheesecake (Dilim)</t>
  </si>
  <si>
    <t xml:space="preserve">Tereyağı ve ceviz ile hazırlanmış bisküvi tabanı, cheesecake peyniri, limon ile yapılmış sos </t>
  </si>
  <si>
    <t>Kestaneli Cheesecake (Dilim)</t>
  </si>
  <si>
    <t xml:space="preserve">Tereyağı ve ceviz ile hazırlanmış bisküvi tabanı, cheesecake peyniri, çikolata ve kestane şekeri </t>
  </si>
  <si>
    <t>Havuçlu Kek (Dilim)</t>
  </si>
  <si>
    <t xml:space="preserve">Kepekli un, üzüm, havuç, tereyağı, esmer şeker ile hazırlanan kek. Pişirildikten sonra saf kepek ile kaplanarak servis edilir. </t>
  </si>
  <si>
    <t>Mozaik Pasta (Dilim)</t>
  </si>
  <si>
    <t xml:space="preserve">Çikolata, bisküvi parçaları, çikolata sos, badem taneleri </t>
  </si>
  <si>
    <t>Trüf Çikolatalı Pasta (Dilim)</t>
  </si>
  <si>
    <t xml:space="preserve">Kakaolu kek üzerinde bitter trüf çikolata, çikolata sos, bitter çakıl çikolata </t>
  </si>
  <si>
    <t>Karamelli Çikolatalı Pasta (Dilim)</t>
  </si>
  <si>
    <t xml:space="preserve">Kakaolu ve vanilyalı pandispanya arasında çikolatalı sos, karamelli krema </t>
  </si>
  <si>
    <t>Fındık Kremalı Top</t>
  </si>
  <si>
    <t xml:space="preserve">Tarçın ve vanilya kokulu hamurun içine %50 fındık kreması ile hazırlanmaktadır. </t>
  </si>
  <si>
    <t>Kuru Domatesli Kepekli Poğaça</t>
  </si>
  <si>
    <t xml:space="preserve">Kuru domates, lor peyniri </t>
  </si>
  <si>
    <t>Fındıklı &amp; Muzlu Poriç</t>
  </si>
  <si>
    <t xml:space="preserve">Süt, yulaf ezmesi, fındık kreması, muz ve fındık parçaları </t>
  </si>
  <si>
    <t>Yaban Mersinli Poriç</t>
  </si>
  <si>
    <t xml:space="preserve">Süt, yulaf ezmesi, yaban mersini, bal ve ceviz parçaları </t>
  </si>
  <si>
    <t>Hindistan Cevizli Poriç</t>
  </si>
  <si>
    <t xml:space="preserve">Süt, yulaf ezmesi, muz, çilek, bal, Hindistan cevizi </t>
  </si>
  <si>
    <t>Şeker İlavesiz Meyveli Yoğurtlu Granola</t>
  </si>
  <si>
    <t xml:space="preserve">Şeker ilavesiz granola, çilek, muz ve laktozsuz yoğurt </t>
  </si>
  <si>
    <t>Şeker İlavesiz Meyveli Yoğurtlu Müsli</t>
  </si>
  <si>
    <t xml:space="preserve">Buğday ezmesi, kuru meyve parçaları, mısır gevreği, çilek, muz ve laktozsuz yoğurt </t>
  </si>
  <si>
    <t>El Yapımı Şeker İlavesiz Granola (250 gr.)</t>
  </si>
  <si>
    <t xml:space="preserve">Yulaf ezmesi, ay çekirdek içi, fındık, badem, ceviz, hurma suyu, chia tohumu, keten tohumu, susam, tarçın çubuğu, portakal kabuğu </t>
  </si>
  <si>
    <t>El Yapımı Şeker İlavesiz Müsli (250 gr.)</t>
  </si>
  <si>
    <t xml:space="preserve">Tam tane yulaf ezmesi, kuru üzüm, tam tane buğday ezmesi, kurutulmuş armut parçaları, tam tane çavdar ezmesi, kurutulmuş çilek parçaları (%7) (Çilek, elma suyu konsantresi, pirinç unu), kurutulmuş papaya parçaları (%5) (Papaya, pirinç unu), kurutulmuş elma parçaları (%4) </t>
  </si>
  <si>
    <t>Fit Brownie</t>
  </si>
  <si>
    <t xml:space="preserve">Elma püresi, espresso, beyaz ve bitter çikolata </t>
  </si>
  <si>
    <t>Trüf Çikolatalı Pasta (Orta Boy)</t>
  </si>
  <si>
    <t xml:space="preserve">(6 Dilim) Kakaolu kek üzerinde bitter trüf çikolata, çikolata sos, bitter çakıl çikolata </t>
  </si>
  <si>
    <t>Karamelli Çikolatalı Pasta (Orta Boy)</t>
  </si>
  <si>
    <t xml:space="preserve">(8 Dilim) Kakaolu ve vanilyalı pandispanya arasında çikolatalı sos, karamelli krema </t>
  </si>
  <si>
    <t>Mozaik Pasta (Orta Boy)</t>
  </si>
  <si>
    <t xml:space="preserve">(6 Dilim) Çikolata, bisküvi parçaları, çikolata sos, badem taneleri </t>
  </si>
  <si>
    <t>Frambuazlı Cheesecake (Orta Boy)</t>
  </si>
  <si>
    <t xml:space="preserve">(6 Dilim) Tereyağı ve ceviz ile hazırlanmış bisküvi tabanı, cheesecake peyniri, taze frambuaz ile yapılmış sos </t>
  </si>
  <si>
    <t>Limonlu Cheesecake (Orta Boy)</t>
  </si>
  <si>
    <t xml:space="preserve">(6 Dilim) Tereyağı ve ceviz ile hazırlanmış bisküvi tabanı, cheesecake peyniri, limon ile yapılmış sos </t>
  </si>
  <si>
    <t>Elmalı Tarçınlı Ballı Kek (Orta Boy)</t>
  </si>
  <si>
    <t xml:space="preserve">(8 Dilim) Ballı kek, damla çikolata, tereyağı, esmer şeker, elma dilimleri </t>
  </si>
  <si>
    <t>Trüf Çikolatalı Pasta (Büyük Boy)</t>
  </si>
  <si>
    <t xml:space="preserve">(16 Dilim) Kakaolu kek üzerinde bitter trüf çikolata, çikolata sos, bitter çakıl çikolata </t>
  </si>
  <si>
    <t>Mozaik Pasta (Büyük Boy)</t>
  </si>
  <si>
    <t xml:space="preserve">(16 Dilim) Çikolata, bisküvi parçaları, çikolata sos, badem taneleri </t>
  </si>
  <si>
    <t>Frambuazlı Cheesecake (Büyük Boy)</t>
  </si>
  <si>
    <t xml:space="preserve">(12 Dilim) Tereyağı ve ceviz ile hazırlanmış bisküvi tabanı, cheesecake peyniri, taze frambuaz ile yapılmış sos </t>
  </si>
  <si>
    <t>155,00 TL</t>
  </si>
  <si>
    <t>Limonlu Cheesecake (Büyük Boy)</t>
  </si>
  <si>
    <t xml:space="preserve">(12 Dilim) Tereyağı ve ceviz ile hazırlanmış bisküvi tabanı, cheesecake peyniri, limon ile yapılmış sos </t>
  </si>
  <si>
    <t>Kestaneli Cheesecake (Büyük Boy)</t>
  </si>
  <si>
    <t xml:space="preserve">(12 Dilim) Tereyağı ve ceviz ile hazırlanmış bisküvi tabanı, cheesecake peyniri, çikolata ve kestane şekeri </t>
  </si>
  <si>
    <t>Havuçlu Kek (Büyük Boy)</t>
  </si>
  <si>
    <t xml:space="preserve">(14 Dilim) Kepekli un, üzüm, havuç, tereyağı, esmer şeker ile hazırlanan kek. Pişirildikten sonra saf kepek ile kaplanarak servis edilir. </t>
  </si>
  <si>
    <t>145,00 TL</t>
  </si>
  <si>
    <t>Dondurulmuş Baget Ekmek (5 Adet)</t>
  </si>
  <si>
    <t xml:space="preserve">Buğday unu ve çavdar unu ile el yapımı olarak hazırlanır </t>
  </si>
  <si>
    <t>Dondurulmuş Susamlı Ekmek (5 Adet)</t>
  </si>
  <si>
    <t xml:space="preserve">Haşhaş ve keten tohumu ile hazırlanır </t>
  </si>
  <si>
    <t>Dondurulmuş Purpur Baget Ekmek (5 Adet)</t>
  </si>
  <si>
    <t xml:space="preserve">Tam tahıl, mor kepekli buğday, kabak çekirdeği, ay çekirdeği, ceviz </t>
  </si>
  <si>
    <t>Dondurulmuş Kruvasan (5 Adet)</t>
  </si>
  <si>
    <t xml:space="preserve">Tereyağı ile hazırlanmış özel kruvasan hamuru ile üretilmektedir </t>
  </si>
  <si>
    <t>Dondurulmuş Çikolatalı Kruvasan (5 Adet)</t>
  </si>
  <si>
    <t>Dondurulmuş Peynirli Poğaça (5 Adet)</t>
  </si>
  <si>
    <t>Vanilyalı Dondurma (500 gr.)</t>
  </si>
  <si>
    <t xml:space="preserve">İnek sütü, keçi sütü, şeker, süt kreması, salep ve vanilya çubuğunun tohumları kullanılarak üretilir. Aromasını ve lezzetini vanilya çubuğu tohumlarından alır. Herhangi bir şekilde vanilya aroması kullanılmaz. Vanilya çubuğunun içi açılarak tohumları çıkartılır. Dondurma miksine ilave edilerek üretilir. </t>
  </si>
  <si>
    <t xml:space="preserve">Gerçek limon ile hazırlanmış olan bir üründür. Rengini ve tadını limonun kendisinden alır </t>
  </si>
  <si>
    <t xml:space="preserve">%9 Antep fıstığı, %78 süt </t>
  </si>
  <si>
    <t>Bal Badem Karamelli Dondurma (500 gr.)</t>
  </si>
  <si>
    <t xml:space="preserve">Badem parçaları karamel ile karıştırılarak dondurmaya eklenir. (%5 badem krokan parçacıkları, süt oranı %60) Doğal yöntemlerle karamelize edilmiş şeker ve badem parçacıklarının, keçi sütü, inek sütü karışımı ve salep ile birleşimi ile hazırlanmış olan dondurmadır </t>
  </si>
  <si>
    <t xml:space="preserve">İçerisinde keçi sütünün de bulunduğu özel dondurma karışımı içine gerçek damla sakızları koyularak üretilen dondurmadır </t>
  </si>
  <si>
    <t xml:space="preserve">Vişne suyu ve gerçek vişne ile üretilmektedir. Rengini ve tadını vişne meyvesinin kendisinden alır </t>
  </si>
  <si>
    <t>Kahveli Dondurma (500 gr.)</t>
  </si>
  <si>
    <t xml:space="preserve">Espresso ile demlenen sütle üretilir </t>
  </si>
  <si>
    <t>Sütlü Çikolatalı Dondurma (500 gr.)</t>
  </si>
  <si>
    <t xml:space="preserve">Kakao çekirdekleri kullanarak üretilen hazırlanan çikolatası ile üretilir. İçerisine altın brownie parçacıkları konulmaktadır </t>
  </si>
  <si>
    <t>Bitter Çikolatalı Dondurma (500 gr.)</t>
  </si>
  <si>
    <t xml:space="preserve">%70'lik çikolata ile üretilen bitter dondurma içerisine kırıntı beyaz çikolata, sütlü çikolata ve bitter çikolata parçaları </t>
  </si>
  <si>
    <t>Kaymaklı Dondurma (500 gr.)</t>
  </si>
  <si>
    <t xml:space="preserve">Keçi sütü, inek sütü, krema, şeker ve salep ürünlerinden üretilmiş olan dondurma. Katkı maddesi içermez </t>
  </si>
  <si>
    <t xml:space="preserve">Gerçek çilek kullanılarak üretilemektedir. Katkı maddesi içermez </t>
  </si>
  <si>
    <t>Yoğurtlu Dondurma (500 gr.)</t>
  </si>
  <si>
    <t xml:space="preserve">Günlük olarak light süt ve laktozsuz yoğurt ile hazırlanır </t>
  </si>
  <si>
    <t>Yoğurtlu Dondurma (1 kg.)</t>
  </si>
  <si>
    <t xml:space="preserve">Seçeceğiniz çeşitler ile </t>
  </si>
  <si>
    <t>Kapsül Kahve Classico</t>
  </si>
  <si>
    <t xml:space="preserve">(10 Adet) Çiçeksi tatların baskınlığı, limon ve yaban mersini tatlarını içeren espresso kahve </t>
  </si>
  <si>
    <t>Kapsül Kahve Colombia</t>
  </si>
  <si>
    <t xml:space="preserve">(10 Adet) Lavanta çiçeği aromalı, kestane ve fındık tadları içeren, yüksek gövdeli limon ve vişne notalarına sahip, dengeli bir asitlik içeren güçlü, kıvamlı kahve </t>
  </si>
  <si>
    <t>Kapsül Kahve Ristretto</t>
  </si>
  <si>
    <t xml:space="preserve">(10 Adet) İsli ve dumansı tadı ile güçlü bir gövde, narenciye ve greyfurt notaları ile net bir asitlik, bitter çikolata tatları ile sert içimli kahve </t>
  </si>
  <si>
    <t>Hazır Kahve Gold (200 gr.)</t>
  </si>
  <si>
    <t xml:space="preserve">Sıcak suyla karıştırılarak hazırlanan hazır kahve </t>
  </si>
  <si>
    <t>Filtre Kahve (250 gr.)</t>
  </si>
  <si>
    <t xml:space="preserve">(Kilitli Paket) Özel harman çekirdekler ile hazırlanmış filtre kahve </t>
  </si>
  <si>
    <t>Filtre Kahve (1 kg.)</t>
  </si>
  <si>
    <t xml:space="preserve">Özel harman çekirdekler ile hazırlanmış filtre kahve </t>
  </si>
  <si>
    <t>Fındık Aromalı Filtre Kahve (200 gr.)</t>
  </si>
  <si>
    <t xml:space="preserve">Özel harman çekirdekler ile hazırlanmış fındık aromalı filtre kahve </t>
  </si>
  <si>
    <t>Karamel Aromalı Filtre Kahve (200 gr.)</t>
  </si>
  <si>
    <t xml:space="preserve">Özel harman çekirdekler ile hazırlanmış karamel aromalı filtre kahve </t>
  </si>
  <si>
    <t>Vanilya Aromalı Filtre Kahve (200 gr.)</t>
  </si>
  <si>
    <t xml:space="preserve">Özel harman çekirdekler ile hazırlanmış vanilya aromalı filtre kahve </t>
  </si>
  <si>
    <t>Taze Çekilmiş Orta Kavrulmuş Türk Kahvesi (100 gr.)</t>
  </si>
  <si>
    <t xml:space="preserve">Acı, baharatımsı, odunumsu ve toprağımsı aroması, kendine has tadı, köpüğü ve kokusuyla orta kavrulmuş Türk kahvesi </t>
  </si>
  <si>
    <t>Taze Çekilmiş Çok Kavrulmuş Türk Kahvesi (100 gr.)</t>
  </si>
  <si>
    <t xml:space="preserve">Acı, baharatımsı, odunumsu ve toprağımsı aroması, kendine has tadı, köpüğü ve kokusuyla çok kavrulmuş Türk kahvesi </t>
  </si>
  <si>
    <t>Taze Çekilmiş Orta Kavrulmuş Türk Kahvesi (200 gr.)</t>
  </si>
  <si>
    <t>Taze Çekilmiş Çok Kavrulmuş Türk Kahvesi (200 gr.)</t>
  </si>
  <si>
    <t>Çok Kavrulmuş Türk Kahvesi (100 gr.)</t>
  </si>
  <si>
    <t>Çok Kavrulmuş Türk Kahvesi (250 gr.) (Teneke Kutu)</t>
  </si>
  <si>
    <t>Orta Kavrulmuş Türk Kahvesi (100 gr.)</t>
  </si>
  <si>
    <t xml:space="preserve">Baharatımsı, odunumsu, meyvemsi ve tütünümsü aroması, kendine has tadı, köpüğü ve kokusuyla orta kavrulmuş Türk kahvesi </t>
  </si>
  <si>
    <t>Orta Kavrulmuş Türk Kahvesi (250 gr.) (Teneke Kutu)</t>
  </si>
  <si>
    <t>Damla Sakız Aromalı Türk Kahvesi (100 gr.) (Paketli)</t>
  </si>
  <si>
    <t xml:space="preserve">Brezilya'nın Rio Minas bölgesinin arabica çekirdeği, damla sakızı ile aromalandırılır </t>
  </si>
  <si>
    <t>Damla Sakız Aromalı Türk Kahvesi (200 gr.)</t>
  </si>
  <si>
    <t>Damla Sakız Aromalı Türk Kahvesi (250 gr.) (Teneke Kutu)</t>
  </si>
  <si>
    <t>Kolombiya Yöresel Filtre Kahve (200 gr.)</t>
  </si>
  <si>
    <t xml:space="preserve">Ağır kıvamlı tada ve yoğun ceviz aromasına sahip Kolombiya yöresel kahvesi </t>
  </si>
  <si>
    <t>Kosta Rika Yöresel Filtre Kahve (200 gr.)</t>
  </si>
  <si>
    <t xml:space="preserve">Kosta Rika'nın orta derecede kıvamlı, fındığımsı, çiçeksi ve baharatımsı tatları içeren düşük asiditeye sahip kahvesi </t>
  </si>
  <si>
    <t>Guatemala Yöresel Filtre Kahve (200 gr.)</t>
  </si>
  <si>
    <t xml:space="preserve">Bol asitli, tropikal meyve tatlarını içeren orta kıvamlı ve yumuşak içimli, kendine özgü isli koku ve baharatlı tada sahip kahve </t>
  </si>
  <si>
    <t>Kenya Yöresel Filtre Kahve (200 gr.)</t>
  </si>
  <si>
    <t xml:space="preserve">Orta kıvamlı, üzümsü ve böğürtlenimsi tatlara sahip Kenya yöresel kahvesi </t>
  </si>
  <si>
    <t>Santos Yöresel Filtre Kahve (200 gr.)</t>
  </si>
  <si>
    <t xml:space="preserve">Brezilya'nın düşük asidite ve fındığımsı tattaki yoğun aromalı yüksek kalite kahvesi </t>
  </si>
  <si>
    <t>El Salvador Yöresel Filtre Kahve (200 gr.)</t>
  </si>
  <si>
    <t xml:space="preserve">Santa Ana Volcano'da yetişen, bal tatlılığı ve hafif baharat notalarını hissettiren yöresel kahve </t>
  </si>
  <si>
    <t>Antigua Yöresel Filtre Kahve (200 gr.)</t>
  </si>
  <si>
    <t xml:space="preserve">Bitter çikolata ve karamel tatlılığı ile narenciye notalarını barındıran Antigua bölgesinin yüksek rakımlı ve bereketli topraklarında yetişen kahveler </t>
  </si>
  <si>
    <t>Etiyopya Yöresel Filtre Kahve (200 gr.)</t>
  </si>
  <si>
    <t xml:space="preserve">Bölgesi Afrika, Oromia bölgesinde yetişen, büyük cesur meyve notaları, şeker kamışı tatlığı, çiçeksi, düşük asiditeye sahip, yüksek gövdeli, yüksek kıvamlı uzun bitişli nitelikli tür kahve </t>
  </si>
  <si>
    <t>2'si 1 Arada Klasik Kahve</t>
  </si>
  <si>
    <t xml:space="preserve">Kahve beyazlatıcılı, çözünebilir kahve karışımı </t>
  </si>
  <si>
    <t>2'si 1 Arada Damla Sakızı Aromalı Kahve</t>
  </si>
  <si>
    <t xml:space="preserve">Damla sakızı aromalı, kahve beyazlatıcılı, çözünebilir kahve karışımı </t>
  </si>
  <si>
    <t>2'si 1 Arada Fındık Aromalı Kahve</t>
  </si>
  <si>
    <t xml:space="preserve">Fındık aromalı, kahve beyazlatıcılı, çözünebilir kahve karışımı </t>
  </si>
  <si>
    <t>2'si 1 Arada Klasik Kahve (40'lı Kutu)</t>
  </si>
  <si>
    <t xml:space="preserve">Kahve ve kremanın uyumu ile harmanlanan 2'si 1 arada </t>
  </si>
  <si>
    <t>2'si 1 Arada Damla Sakızı Aromalı Kahve (40'lı Kutu)</t>
  </si>
  <si>
    <t xml:space="preserve">Kahve, krema ve damla sakızı aromasının uyumu ile harmanlanan 2'si 1 arada </t>
  </si>
  <si>
    <t>2'si 1 Arada Fındık Aromalı Kahve (40'lı Kutu)</t>
  </si>
  <si>
    <t xml:space="preserve">Kahve, krema ve fındık aromasının uyumu ile harmanlanan 2'si 1 arada </t>
  </si>
  <si>
    <t>3'ü 1 Arada Klasik Kahve</t>
  </si>
  <si>
    <t xml:space="preserve">Şekerli, kahve beyazlatıcılı, çözünebilir kahve karışımı </t>
  </si>
  <si>
    <t>3'ü 1 Arada Damla Sakızı Aromalı Kahve</t>
  </si>
  <si>
    <t xml:space="preserve">Damla sakızı aromalı, şekerli, kahve beyazlatıcılı, çözünebilir kahve karışımı </t>
  </si>
  <si>
    <t>3'ü 1 Arada Fındık Aromalı Kahve</t>
  </si>
  <si>
    <t xml:space="preserve">Fındık aromalı şekerli, kahve beyazlatıcılı, çözünebilir kahve karışımı </t>
  </si>
  <si>
    <t>3'ü 1 Arada Klasik Kahve (40'lı Kutu)</t>
  </si>
  <si>
    <t xml:space="preserve">Kahve ve kremanın uyumu ile harmanlanan 3'ü 1 arada </t>
  </si>
  <si>
    <t>3'ü 1 Arada Damla Sakızı Aromalı Kahve (40'lı Kutu)</t>
  </si>
  <si>
    <t xml:space="preserve">Kahve, krema ve damla sakızı aromasının uyumu ile harmanlanan 3'ü 1 arada </t>
  </si>
  <si>
    <t>3'ü 1 Arada Fındık Aromalı Kahve (40'lı Kutu)</t>
  </si>
  <si>
    <t xml:space="preserve">Kahve, krema ve fındık aromasının uyumu ile harmanlanan 3'ü 1 arada </t>
  </si>
  <si>
    <t>Gofrik Bitter</t>
  </si>
  <si>
    <t xml:space="preserve">Boz fıstık ve fıstık ezmeli </t>
  </si>
  <si>
    <t>Gofrik Sütlü</t>
  </si>
  <si>
    <t>Şemsiye Çikolata</t>
  </si>
  <si>
    <t xml:space="preserve">Patlayan şekerli sütlü şemsiye çikolata </t>
  </si>
  <si>
    <t>Popçik (40 gr.)</t>
  </si>
  <si>
    <t>Beyoğlu Bitter Çikolata (50 gr.)</t>
  </si>
  <si>
    <t xml:space="preserve">Bitter sade Beyoğlu çikolatası </t>
  </si>
  <si>
    <t>Beyoğlu Sütlü Çikolata (50 gr.)</t>
  </si>
  <si>
    <t xml:space="preserve">Sütlü sade Beyoğlu çikolatası </t>
  </si>
  <si>
    <t>Frutibon Çilek (150 gr.)</t>
  </si>
  <si>
    <t xml:space="preserve">Kurutulmuş çilek, bitter çikolata </t>
  </si>
  <si>
    <t>Frutibon Yaban Mersini (150 gr.)</t>
  </si>
  <si>
    <t xml:space="preserve">Kurutulmuş turna yemişi meyveleri, bitter çikolata </t>
  </si>
  <si>
    <t>Sütlü Çikolatalı Fındıklı Tablet Çikolata (150 gr.)</t>
  </si>
  <si>
    <t xml:space="preserve">Taze bütün fındıkların Kahve Dünyası'nın sütlü çikolatası ile bir araya geldiği el yapımı tablet çikolata </t>
  </si>
  <si>
    <t>Bitter Çikolatalı Fındıklı Tablet Çikolata (150 gr.)</t>
  </si>
  <si>
    <t xml:space="preserve">Taze bütün fındıkların Kahve Dünyası'nın bitter çikolatası ile bir araya geldiği el yapımı tablet çikolata </t>
  </si>
  <si>
    <t>Fildişi Çikolatalı Fındıklı Portakallı Tablet Çikolata (150 gr.)</t>
  </si>
  <si>
    <t xml:space="preserve">Taze bütün fındıkların Kahve Dünyası'nın beyaz çikolatası ve kurutulmuş portakal dilimleri ve üzümle bir araya geldiği el yapımı tablet çikolata </t>
  </si>
  <si>
    <t>Sütlü Çikolatalı Fındıklı Portakallı Tablet Çikolata (150 gr.)</t>
  </si>
  <si>
    <t xml:space="preserve">Taze bütün fındıkların Kahve Dünyası'nın sütlü çikolatası ve kurutulmuş portakal dilimleri ile bir araya geldiği el yapımı tablet çikolata </t>
  </si>
  <si>
    <t>Bitter Çikolatalı Fındıklı Portakallı Tablet Çikolata (150 gr.)</t>
  </si>
  <si>
    <t xml:space="preserve">Taze bütün fındıkların Kahve Dünyası'nın bitter çikolatası ve kurutulmuş portakal dilimleri ile bir araya geldiği el yapımı tablet çikolata </t>
  </si>
  <si>
    <t>Orijin Beyaz Çikolata</t>
  </si>
  <si>
    <t xml:space="preserve">(Şeker ilavesiz) Orijin / menşei kakao çekirdekleri kullanılarak üretilir </t>
  </si>
  <si>
    <t>Gana Fildişi Sahili %30 Sütlü El Yapımı Orijin Çikolata</t>
  </si>
  <si>
    <t>Gana Fildişi Sahili %52 Bitter El Yapımı Orijin Çikolata</t>
  </si>
  <si>
    <t>Venezuela %80 Bitter El Yapımı Orijin Çikolata</t>
  </si>
  <si>
    <t xml:space="preserve">Orijin / menşei kakao çekirdekleri kullanılarak üretilir </t>
  </si>
  <si>
    <t>Kolombiya %70 Bitter El Yapımı Orijin Çikolata</t>
  </si>
  <si>
    <t>Ekvador %75 Bitter El Yapımı Orijin Çikolata</t>
  </si>
  <si>
    <t>Madagaskar %65 Bitter El Yapımı Orijin Çikolata</t>
  </si>
  <si>
    <t>Tanzanya %75 Bitter El Yapımı Orijin Çikolata</t>
  </si>
  <si>
    <t>Gofrik Bitter Kutu (24 Adet)</t>
  </si>
  <si>
    <t>Gofrik Sütlü Kutu (24 Adet)</t>
  </si>
  <si>
    <t>Beyaz Badem Draje (200 gr.)</t>
  </si>
  <si>
    <t xml:space="preserve">Kahve Dünyası çikolatası ile kaplı çıtır atıştırmalık </t>
  </si>
  <si>
    <t>Bitter Bademli Draje (200 gr.)</t>
  </si>
  <si>
    <t xml:space="preserve">Badem taneleri bitter çikolata ile kaplanması ile hazırlanır </t>
  </si>
  <si>
    <t>Bitter Fındıklı Draje (200 gr.)</t>
  </si>
  <si>
    <t xml:space="preserve">Fındık taneleri bitter çikolata ile kaplanması ile hazırlanır </t>
  </si>
  <si>
    <t>Bitter Fıstıklı Draje (180 gr.)</t>
  </si>
  <si>
    <t xml:space="preserve">Fısktık taneleri bitter çikolata ile kaplanması ile hazırlanır </t>
  </si>
  <si>
    <t>Fındıklı Sütlü Draje (200 gr.)</t>
  </si>
  <si>
    <t xml:space="preserve">Fındık tanelerinin sütlü çikolata ile kaplanması ile hazırlanır </t>
  </si>
  <si>
    <t>Bademli Sütlü Draje (200 gr.)</t>
  </si>
  <si>
    <t xml:space="preserve">Badem tanelerinin sütlü çikolata ile kaplanması ile hazırlanır </t>
  </si>
  <si>
    <t>Fıstıklı Sütlü Draje (180 gr.)</t>
  </si>
  <si>
    <t xml:space="preserve">Fıstık tanelerinin sütlü çikolata ile kaplanması ile hazırlanır </t>
  </si>
  <si>
    <t>Üzümlü Sütlü Draje (200 gr.)</t>
  </si>
  <si>
    <t>Karışık Kahveli Draje (200 gr.)</t>
  </si>
  <si>
    <t xml:space="preserve">Kahve tanelerinin çikolata ile kaplanması ile hazırlanır </t>
  </si>
  <si>
    <t>Çikolatalı Portakallı Draje (230 gr.)</t>
  </si>
  <si>
    <t xml:space="preserve">Kahve Dünyası çikolatasıyla kaplı atıştırmalıklar </t>
  </si>
  <si>
    <t>Bonte Bitter (200 gr.)</t>
  </si>
  <si>
    <t xml:space="preserve">İçi çıtır, dışı sütlü çikolata kaplı Kahve Dünyası bonte </t>
  </si>
  <si>
    <t>Bonte Bitter (400 gr.)</t>
  </si>
  <si>
    <t>Bonte Sütlü Portakallı (200 gr.)</t>
  </si>
  <si>
    <t>Bonte Sütlü Portakallı (400 gr.)</t>
  </si>
  <si>
    <t>Bonte Sütlü (200 gr.)</t>
  </si>
  <si>
    <t>Bonte Sütlü (400 gr.)</t>
  </si>
  <si>
    <t>Lokum Bitter (250 gr.)</t>
  </si>
  <si>
    <t xml:space="preserve">Lokum, bitter çikolata ve çifte kavrulmuş fıstık </t>
  </si>
  <si>
    <t>Lokum Bitter (500 gr.)</t>
  </si>
  <si>
    <t>92,00 TL</t>
  </si>
  <si>
    <t>Lokum Sütlü (250 gr.)</t>
  </si>
  <si>
    <t xml:space="preserve">Lokum, sütlü çikolata ve çifte kavrulmuş fıstık </t>
  </si>
  <si>
    <t>Lokum Sütlü (500 gr.)</t>
  </si>
  <si>
    <t>Lavi (150 gr.)</t>
  </si>
  <si>
    <t xml:space="preserve">İçindeki yumuşak çikolata dolgulu, sütlü, bitter, karamelli, fındıklı, frambuazlı, kahveli ve Antep fıstıklı </t>
  </si>
  <si>
    <t>Lavi Karışık (400 gr.)</t>
  </si>
  <si>
    <t>Lavi Karışık Poşet (500 gr.)</t>
  </si>
  <si>
    <t>Lavi Karışık Kutu (500 gr.)</t>
  </si>
  <si>
    <t>Roche Sütlü &amp; Bitter Çikolata (200 gr.)</t>
  </si>
  <si>
    <t xml:space="preserve">Antep fıstığı, Kahve Dünyası'nın sütlü ve bitter çikolatası </t>
  </si>
  <si>
    <t>Roche Sütlü &amp; Bitter Çikolata (450 gr.)</t>
  </si>
  <si>
    <t>108,00 TL</t>
  </si>
  <si>
    <t>Roche Sütlü &amp; Bitter Çikolata (750 gr.)</t>
  </si>
  <si>
    <t>Madlen Çikolata (Küçük Boy)</t>
  </si>
  <si>
    <t xml:space="preserve">Sütlü ve bitter </t>
  </si>
  <si>
    <t>Madlen Çikolata (Orta Boy)</t>
  </si>
  <si>
    <t>Madlen Çikolata (Büyük Boy)</t>
  </si>
  <si>
    <t>Trüf Çikolata (16 Adet)</t>
  </si>
  <si>
    <t xml:space="preserve">Hindistan cevizli, bitter ve sütlü çikolata dolgulu </t>
  </si>
  <si>
    <t>Trüf Çikolata (25 Adet)</t>
  </si>
  <si>
    <t>Trüf Çikolata (Orta Boy) (Kutu)</t>
  </si>
  <si>
    <t>Trüf Çikolata (Büyük Kutu) (820 gr.)</t>
  </si>
  <si>
    <t>195,00 TL</t>
  </si>
  <si>
    <t>Spesiyal Çikolata (16 Adet)</t>
  </si>
  <si>
    <t xml:space="preserve">Kutu içerisinde gerçek kakao tanelerinden elde edilen 16 adet spesiyal çikolata </t>
  </si>
  <si>
    <t>Spesiyal Çikolata (25 Adet)</t>
  </si>
  <si>
    <t xml:space="preserve">Gerçek kakao tanelerinden elde edilen sütlü ve bitter çeşitleri ile 25 adet spesiyal çikolata </t>
  </si>
  <si>
    <t>Spesiyal Çikolata (385 gr.)</t>
  </si>
  <si>
    <t xml:space="preserve">Sütlü ve bitter çeşitleri ile 30 adet spesiyal hediyelik çikolata </t>
  </si>
  <si>
    <t>Spesiyal Çikolata (Büyük Kutu) (860 gr.)</t>
  </si>
  <si>
    <t xml:space="preserve">Sütlü ve bitter çeşitleri ile 66 adet spesiyal hediyelik çikolata </t>
  </si>
  <si>
    <t>Bitter Çikolata Kaplı Badem Ezmesi (500 gr.)</t>
  </si>
  <si>
    <t xml:space="preserve">Geleneksel badem ezmesi gerçek bitter çikolata ile kaplanarak hazırlanır </t>
  </si>
  <si>
    <t>Sütlü Çikolata Kaplı Badem Ezmesi (500 gr.)</t>
  </si>
  <si>
    <t xml:space="preserve">Geleneksel badem ezmesi gerçek sütlü çikolata ile kaplanarak hazırlanır </t>
  </si>
  <si>
    <t>Para Çikolata Bitter (500 gr.)</t>
  </si>
  <si>
    <t>Para Çikolata Fildişi (500 gr.)</t>
  </si>
  <si>
    <t>Para Çikolata Sütlü (500 gr.)</t>
  </si>
  <si>
    <t>Bitter Kaşık Çikolata (6'lı Kutu)</t>
  </si>
  <si>
    <t>Sütlü Kaşık Çikolata (6'lı Kutu)</t>
  </si>
  <si>
    <t>Sütlü Kuvertür Çikolata (1 kg.)</t>
  </si>
  <si>
    <t>Bitter Kuvertür Çikolata (1 kg.)</t>
  </si>
  <si>
    <t>Fildişi Kuvertür Çikolata (1 kg.)</t>
  </si>
  <si>
    <t>Çubuk Bitter Portakal</t>
  </si>
  <si>
    <t xml:space="preserve">Portakal dilimi şekerlemelerini bitter çikolata ile kaplanarak hazırlanır </t>
  </si>
  <si>
    <t>El Yapımı Fındık Kreması (380 gr.) (Cam Kavanoz)</t>
  </si>
  <si>
    <t xml:space="preserve">Yarısı taze ve çifte kavrulmuş fındıklardan oluşur. Kalan yarısı da şeker pancarından elde edilen şeker ve süt tozu ile tamamlanır </t>
  </si>
  <si>
    <t>Kahve Beyazlatıcısı</t>
  </si>
  <si>
    <t>Kakao Nibi (200 gr.)</t>
  </si>
  <si>
    <t xml:space="preserve">Lif kaynağı, bitkisel, şeker ilavesiz, katkı maddesiz, glutensiz kakao nibi </t>
  </si>
  <si>
    <t>Çokoliko (15 gr.)</t>
  </si>
  <si>
    <t xml:space="preserve">Vitaminli, mineralli kakaolu içecek tozu </t>
  </si>
  <si>
    <t>Çokoliko (100 gr.)</t>
  </si>
  <si>
    <t>Çokoliko (7'li Paket)</t>
  </si>
  <si>
    <t>Kakao Tozu (Teneke Kutu) (250 gr.)</t>
  </si>
  <si>
    <t>Salep (20 gr.)</t>
  </si>
  <si>
    <t>Salep Stick (40'lı Kutu)</t>
  </si>
  <si>
    <t>Salep (400 gr.) (Teneke Kutu)</t>
  </si>
  <si>
    <t>Salep (1 kg.)</t>
  </si>
  <si>
    <t>Sıcak Çikolata (25 gr.)</t>
  </si>
  <si>
    <t>Sıcak Çikolata (40'lı Kutu)</t>
  </si>
  <si>
    <t>Sıcak Çikolata (400 gr.) (Teneke Kutu)</t>
  </si>
  <si>
    <t>Sıcak Çikolata (1 kg.)</t>
  </si>
  <si>
    <t>Seçilmiş Menü (Köri Soslu Tavuk)</t>
  </si>
  <si>
    <t xml:space="preserve">Köri Soslu Tavuk + Coca-Cola (33 cl.) </t>
  </si>
  <si>
    <t>Seçilmiş Menü (Double Burger)</t>
  </si>
  <si>
    <t xml:space="preserve">Double Burger + Coca-Cola (33 cl.) </t>
  </si>
  <si>
    <t>Vodafone Menüsü (Fettuccine Alfredo)</t>
  </si>
  <si>
    <t xml:space="preserve">Fettuccine Alfredo + Ayran (20 cl.) (Kampanya koşulları için restoranın Promosyonlar bölümüne göz atınız. İndirimli fiyat ürün sepete eklendikten sonra uygulanır.) </t>
  </si>
  <si>
    <t>28,75 TL</t>
  </si>
  <si>
    <t>Vodafone Menüsü (Fondü)</t>
  </si>
  <si>
    <t xml:space="preserve">Fondü + Kutu İçecek (Kampanya koşulları için restoranın Promosyonlar bölümüne göz atınız. İndirimli fiyat ürün sepete eklendikten sonra uygulanır.) </t>
  </si>
  <si>
    <t>29,89 TL</t>
  </si>
  <si>
    <t xml:space="preserve">Hamburger + Patates Kızartması + Coca-Cola (20 cl.) </t>
  </si>
  <si>
    <t>33,75 TL</t>
  </si>
  <si>
    <t xml:space="preserve">Sucuk, kaşar peyniri. Patates kızartması ile </t>
  </si>
  <si>
    <t>1517 Tost</t>
  </si>
  <si>
    <t xml:space="preserve">Jambon, dana kavurma, domates, biber, kaşar peyniri </t>
  </si>
  <si>
    <t>30,60 TL</t>
  </si>
  <si>
    <t>20,20 TL</t>
  </si>
  <si>
    <t>Bazlama Ekmeğine Karışık Tost</t>
  </si>
  <si>
    <t xml:space="preserve">Deep sos, sucuk, kaşar peyniri. Patates kızartması ile </t>
  </si>
  <si>
    <t xml:space="preserve">Deep sos, kaşar peyniri. Patates kızartması ile </t>
  </si>
  <si>
    <t>Bazlama Ekmeğine Kavurmalı Kaşarlı Tost</t>
  </si>
  <si>
    <t xml:space="preserve">Deep sos, kavurma, kaşar peyniri. Patates kızartması ile </t>
  </si>
  <si>
    <t>1517 Bazlamam Tost</t>
  </si>
  <si>
    <t xml:space="preserve">Deep sos, sucuk, kavurma, domates, kaşar peyniri. Patates kızartması ile </t>
  </si>
  <si>
    <t>Peynirli Sandviç</t>
  </si>
  <si>
    <t xml:space="preserve">Yeşillik, beyaz peynir </t>
  </si>
  <si>
    <t>25,25 TL</t>
  </si>
  <si>
    <t xml:space="preserve">Yeşillik, ton balığı </t>
  </si>
  <si>
    <t>Tavuklu Sıcak Sandviç</t>
  </si>
  <si>
    <t xml:space="preserve">Yeşillik, tavuk </t>
  </si>
  <si>
    <t>Bonfile Kavurma</t>
  </si>
  <si>
    <t xml:space="preserve">120 gr. dana bonfile, yeşillik, soğan, domates, tortilla ekmek ile </t>
  </si>
  <si>
    <t>55,25 TL</t>
  </si>
  <si>
    <t>Dana Kavurma</t>
  </si>
  <si>
    <t xml:space="preserve">130 gr dana bonfile, yeşillik, domates, tortilla ekmeği ile </t>
  </si>
  <si>
    <t>44,25 TL</t>
  </si>
  <si>
    <t>Beğendili Köfte</t>
  </si>
  <si>
    <t xml:space="preserve">3 adet köfte, patates kızartması, biber, soğan, mantar, ekmek ile </t>
  </si>
  <si>
    <t xml:space="preserve">120 gr. bonfile, yeşillik, kibrit patates kızartması, domates sos, yoğurt, tortilla ekmeği ile </t>
  </si>
  <si>
    <t>47,25 TL</t>
  </si>
  <si>
    <t xml:space="preserve">130 gr. bonfile et, közlenmiş yeşilbiber, soğan, acı sos, yeşillik, ekmek ile </t>
  </si>
  <si>
    <t>46,25 TL</t>
  </si>
  <si>
    <t>38,25 TL</t>
  </si>
  <si>
    <t xml:space="preserve">Tavuk göğüs, biber, domates, soğan, patates kızartması ile </t>
  </si>
  <si>
    <t xml:space="preserve">150 gr. tavuk bonfile, közlenmiş yeşilbiber, soğan, acı sos, yeşillik, ekmek ile </t>
  </si>
  <si>
    <t>37,75 TL</t>
  </si>
  <si>
    <t xml:space="preserve">Tavuk bonfile, krema, patates kızartması ile </t>
  </si>
  <si>
    <t xml:space="preserve">Tavuk göğüs, krema, kekik, biber, patates kızartması, yeşillik </t>
  </si>
  <si>
    <t>32,25 TL</t>
  </si>
  <si>
    <t>Acılı Penne Arrabbiata</t>
  </si>
  <si>
    <t>28,25 TL</t>
  </si>
  <si>
    <t>Köri Soslu Fettuccine</t>
  </si>
  <si>
    <t>30,25 TL</t>
  </si>
  <si>
    <t>Ev Mantısı</t>
  </si>
  <si>
    <t xml:space="preserve">2 adet burger eti, soğan, domates, kornişon turşu, marul. Patates kızartması ile </t>
  </si>
  <si>
    <t>39,25 TL</t>
  </si>
  <si>
    <t xml:space="preserve">1 adet burger eti, soğan, domates, kornişon turşu, marul. Patates kızartması ile </t>
  </si>
  <si>
    <t xml:space="preserve">1 adet burger eti, soğan, domates, kornişon turşu, marul, cheddar peyniri. Patates kızartması ile </t>
  </si>
  <si>
    <t xml:space="preserve">Tavuk bonfile, tortilla ekmeği, soğan, biber, mantar, cahun baharatı, kaşar peyniri. Pattaes kızartması ile </t>
  </si>
  <si>
    <t>33,25 TL</t>
  </si>
  <si>
    <t xml:space="preserve">Dana bonfile, tortilla ekmeği, soğan, biber, mantar, cahun baharatı, kaşar peyniri. Pattaes kızartması ile </t>
  </si>
  <si>
    <t>37,25 TL</t>
  </si>
  <si>
    <t>Köfte Wrap</t>
  </si>
  <si>
    <t xml:space="preserve">Soğan, közlenmiş yeşilbiber, mantar, cajun baharatı, kaşar peyniri </t>
  </si>
  <si>
    <t xml:space="preserve">Dana bonfile, soğan, közlenmiş yeşilbiber, mantar, cajun baharatı, kaşar peyniri </t>
  </si>
  <si>
    <t>34,75 TL</t>
  </si>
  <si>
    <t xml:space="preserve">Tavuk bonfile, soğan, közlenmiş yeşilbiber, mantar, cajun baharatı, kaşar peyniri </t>
  </si>
  <si>
    <t>Kızartma Sepeti</t>
  </si>
  <si>
    <t xml:space="preserve">2 adet sigara böreği, paçanga böreği, patates kızartması, 2 adet soğan halkası </t>
  </si>
  <si>
    <t>Paçanga Böreği</t>
  </si>
  <si>
    <t xml:space="preserve">3 adet paçanga böreği, Yeşillik ile </t>
  </si>
  <si>
    <t>Tavuk Nugget (8 Adet)</t>
  </si>
  <si>
    <t>Elma Dilim Patates Kızartması - Şu anda mevcut değil.</t>
  </si>
  <si>
    <t>Sosis Sepeti (8 Adet)</t>
  </si>
  <si>
    <t xml:space="preserve">Patates kızartması </t>
  </si>
  <si>
    <t>Ketçap (10 gr.)</t>
  </si>
  <si>
    <t>Mayonez (9 gr.)</t>
  </si>
  <si>
    <t>Su Böreği (2 Dilim)</t>
  </si>
  <si>
    <t>Sigara Böreği (5 Adet)</t>
  </si>
  <si>
    <t xml:space="preserve">Mevsim yeşillikleri, Sezar sos, ızgara tavuk </t>
  </si>
  <si>
    <t>Hellim Peynirli Salata</t>
  </si>
  <si>
    <t xml:space="preserve">Mevsim yeşillikleri, hellim peyniri </t>
  </si>
  <si>
    <t>Bask Usulü Cheesecake</t>
  </si>
  <si>
    <t xml:space="preserve">Belçika çikolatası ile </t>
  </si>
  <si>
    <t>Fondü</t>
  </si>
  <si>
    <t xml:space="preserve">Muz, çilek, kivi, özel Belçika çikolatası, bebe bisküvisi </t>
  </si>
  <si>
    <t>Profiterol (5 Adet)</t>
  </si>
  <si>
    <t>Marlenka</t>
  </si>
  <si>
    <t>Fıstıklı Pasta</t>
  </si>
  <si>
    <t>Devil's Cake</t>
  </si>
  <si>
    <t>20,75 TL</t>
  </si>
  <si>
    <t>Kurabiye Tabağı</t>
  </si>
  <si>
    <t xml:space="preserve">2 adet tuzlu kurabiye, 2 adet şekerli kurabiye, çikolatalı kurabiye </t>
  </si>
  <si>
    <t>6,25 TL</t>
  </si>
  <si>
    <t>Meyve Tabağı</t>
  </si>
  <si>
    <t>Standart Waffle</t>
  </si>
  <si>
    <t xml:space="preserve">Çilek, muz, kivi </t>
  </si>
  <si>
    <t>Papatya Waffle</t>
  </si>
  <si>
    <t xml:space="preserve">Double mevsim meyveleri, duble çikolata </t>
  </si>
  <si>
    <t>Tek Meyveli Waffle</t>
  </si>
  <si>
    <t xml:space="preserve">Mevsim meyvesi </t>
  </si>
  <si>
    <t>Dondurmalı Waffle</t>
  </si>
  <si>
    <t xml:space="preserve">Muz, çikolata, dondurma </t>
  </si>
  <si>
    <t>Churchill</t>
  </si>
  <si>
    <t>Special Tavuk Kanat</t>
  </si>
  <si>
    <t xml:space="preserve">Közlenmiş biber, közlenmiş domates, mevsim salata, turşu, soğan piyazı ile </t>
  </si>
  <si>
    <t>Seçilmiş Menü (Special Tavuk Kanat)</t>
  </si>
  <si>
    <t xml:space="preserve">Special Tavuk Kanat + Coca-Cola (33 cl.) </t>
  </si>
  <si>
    <t>Vodafone Menüsü (Karışık Izgara) - Şu anda mevcut değil.</t>
  </si>
  <si>
    <t xml:space="preserve">Karışık Izgara + Kutu İçecek (Kampanya koşulları için restoranın Promosyonlar bölümüne göz atınız. İndirimli fiyat ürün sepete eklendikten sonra uygulanır.) </t>
  </si>
  <si>
    <t>Mercimek Çorbası - Şu anda mevcut değil.</t>
  </si>
  <si>
    <t>Paça Çorbası - Şu anda mevcut değil.</t>
  </si>
  <si>
    <t>Izgara Sucuk - Şu anda mevcut değil.</t>
  </si>
  <si>
    <t>Soslu Tavuk Kanat</t>
  </si>
  <si>
    <t xml:space="preserve">Adana kebap, kuzu ciğer, tavuk şiş. Soğan piyazı, közlenmiş biber, közlenmiş domates, salata ile </t>
  </si>
  <si>
    <t xml:space="preserve">Yeşillik, soğan, domates. Közlenmiş biber ile </t>
  </si>
  <si>
    <t xml:space="preserve">Üzeri fıstıklı </t>
  </si>
  <si>
    <t>Mevsim Salata (Büyük)</t>
  </si>
  <si>
    <t>Çoban Salata (Büyük)</t>
  </si>
  <si>
    <t>Köy Ayranı (30 cl.)</t>
  </si>
  <si>
    <t>Izgara Sucuk (1 kg.)</t>
  </si>
  <si>
    <t>Kasap Köfte (1 kg.)</t>
  </si>
  <si>
    <t xml:space="preserve">Mevsim salatası, biber turşusu ile </t>
  </si>
  <si>
    <t>Tavuk Kuşbaşı Dürüm - Şu anda mevcut değil.</t>
  </si>
  <si>
    <t>Ciğer Dürüm (150 gr.)</t>
  </si>
  <si>
    <t xml:space="preserve">Mevsim salatası. Biber turşusu ile </t>
  </si>
  <si>
    <t>Adana Kebap (150 gr.)</t>
  </si>
  <si>
    <t xml:space="preserve">Mevsim salata, biber, domates, lavaş, meze ile </t>
  </si>
  <si>
    <t xml:space="preserve">Mevsim salata, biber, domates, lavaş, 2 çeşit günlük meze ile </t>
  </si>
  <si>
    <t>Dana Kuşbaşı</t>
  </si>
  <si>
    <t>Tavuk Kuşbaşı</t>
  </si>
  <si>
    <t>Ciğer - Şu anda mevcut değil.</t>
  </si>
  <si>
    <t>Acılı Çiğ Köfte (1 kg.)</t>
  </si>
  <si>
    <t xml:space="preserve">1 adet göbek marul, nane, maydanoz, limon, domates, salatalık, turşu biberi, 3 adet sos,12 adet lavaş ile </t>
  </si>
  <si>
    <t>Az Acılı Çiğ Köfte (1 kg.)</t>
  </si>
  <si>
    <t xml:space="preserve">3 adet sos ile </t>
  </si>
  <si>
    <t>Az Acılı Çiğ Köfte (1 kg.) (Garnitürsüz) - Şu anda mevcut değil.</t>
  </si>
  <si>
    <t>Biber</t>
  </si>
  <si>
    <t xml:space="preserve">1 şiş biber </t>
  </si>
  <si>
    <t>Domates</t>
  </si>
  <si>
    <t xml:space="preserve">1 şiş domates </t>
  </si>
  <si>
    <t>Tarator (250 gr.)</t>
  </si>
  <si>
    <t>Rus Salatası (150 gr.)</t>
  </si>
  <si>
    <t>Kırmızı Sultan (250 gr.)</t>
  </si>
  <si>
    <t>Izgara Et Köfte (1 kg.)</t>
  </si>
  <si>
    <t>Kuşbaşı Et (1 kg.)</t>
  </si>
  <si>
    <t xml:space="preserve">İsteğe göre soğan. Közlenmiş biber, turşu ile </t>
  </si>
  <si>
    <t xml:space="preserve">Haydari, salata, közlenmiş biber, soğan ile </t>
  </si>
  <si>
    <t xml:space="preserve">1/2 Adana kebap, 1/2 kuşbaşı, 1/2 tereyağlı Urfa kebap, haydari, salata, közlenmiş biber, soğan ile </t>
  </si>
  <si>
    <t>53,00 TL</t>
  </si>
  <si>
    <t>Karışık Kebap 1 (2 Kişilik)</t>
  </si>
  <si>
    <t xml:space="preserve">1/2 çöp şiş, 1/2 pirzola, 1/2 tereyağlı Urfa kebap, 1/2 Adana kebap, ezme, haydari, salata, közlenmiş biber, soğan </t>
  </si>
  <si>
    <t>Karışık Kebap 2 (2 Kişilik)</t>
  </si>
  <si>
    <t xml:space="preserve">1/2 tavuk kanat, 1/2 Adana kebap, 1/2 kuşbaşı, 1/2 tereyağlı Urfa kebap, haydari, salata, közlenmiş biber, soğan ile </t>
  </si>
  <si>
    <t>Karışık Kebap 3</t>
  </si>
  <si>
    <t xml:space="preserve">1/2 ciğer, 1/2 uykuluk, 1/2 tereyağlı Urfa kebap, haydari, salata, közlenmiş biber, soğan ile </t>
  </si>
  <si>
    <t>Pirzola</t>
  </si>
  <si>
    <t>Uykuluk</t>
  </si>
  <si>
    <t>Double Adana Dürüm</t>
  </si>
  <si>
    <t xml:space="preserve">İsteğe göre soğan. Közlenmiş biber </t>
  </si>
  <si>
    <t>Double Kuşbaşı Dürüm</t>
  </si>
  <si>
    <t>Double Çöp Şiş Dürüm</t>
  </si>
  <si>
    <t>Double Ciğer Dürüm</t>
  </si>
  <si>
    <t>Double Köfte Dürüm</t>
  </si>
  <si>
    <t>Double Tavuk Şiş Dürüm</t>
  </si>
  <si>
    <t>Uykuluk Dürüm</t>
  </si>
  <si>
    <t>Double Uykuluk Dürüm</t>
  </si>
  <si>
    <t>Sporcu Dostu 2 (1 Kişilik)</t>
  </si>
  <si>
    <t xml:space="preserve">Az yağlı yarım tavuk şiş, tavuk biftek, ezme, haydari, salata, közlenmiş biber, soğan </t>
  </si>
  <si>
    <t>Sporcu Dostu 1 (1 Kişilik)</t>
  </si>
  <si>
    <t xml:space="preserve">Az yağlı yarım tavuk şiş, yarım kanat, yarım tavuk biftek, ezme, haydari, salata, közlenmiş biber, soğan </t>
  </si>
  <si>
    <t>Açık Ayran (25 cl.)</t>
  </si>
  <si>
    <t>Kuşbaşı (1 kg.)</t>
  </si>
  <si>
    <t xml:space="preserve">Tavuk kanat, tavuk şiş </t>
  </si>
  <si>
    <t>Seçilmiş Menü (3 Zinger Burger Menü)</t>
  </si>
  <si>
    <t xml:space="preserve">(3 Kişilik) 3 Adet Zinger Burger + 3 Adet Küçük Boy Patates Kızartması + İçecek (1 L.) + Ketçap + Mayonez </t>
  </si>
  <si>
    <t>Seçilmiş Menü (Avantajı Bol Menü)</t>
  </si>
  <si>
    <t xml:space="preserve">(2 Kişilik) Bi Burger + Twister Dürüm + 4'lü Hot Shots (Acılı) + 2 Adet Patates Püresi + Coca-Cola Zero Sugar (1 L.) + 2 Adet Ketçap + 2 Adet Mayonez </t>
  </si>
  <si>
    <t>Seçilmiş Menü (2 Double Zinger Burger Menü)</t>
  </si>
  <si>
    <t xml:space="preserve">(2 Kişilik) 2 Adet Double Zinger Burger + 2 Adet Patates Püresi + Coca-Cola (1 L.) + Ketçap + Mayonez </t>
  </si>
  <si>
    <t>Seçilmiş Menü 1 (2 KFC Tavuk Burger Menü)</t>
  </si>
  <si>
    <t xml:space="preserve">(2 Kişilik) 2 Adet KFC Tavuk Burger + 2 Adet Patates Püresi + Coca-Cola (1 L.) + 2 Adet Ketçap + 2 Adet Mayonez </t>
  </si>
  <si>
    <t>Seçilmiş Menü (KFC Tavuk Burger Kutu)</t>
  </si>
  <si>
    <t xml:space="preserve">KFC Tavuk Burger + 2 Adet Acılı Kanat + 4'lü Hot Shots (Acılı) + 1 Adet Patates Püresi + Coca-Cola (45 cl.) </t>
  </si>
  <si>
    <t>Vodafone Menüsü (2'li Menü)</t>
  </si>
  <si>
    <t xml:space="preserve">KFC Tavuk Burger + Twister Dürüm + Büyük Boy Patates Kızartması + 2 Adet Kutu İçecek (33 cl.) </t>
  </si>
  <si>
    <t>46,48 TL</t>
  </si>
  <si>
    <t>Vodafone Menüsü (Bi Burger &amp; KFC Tavuk Burger)</t>
  </si>
  <si>
    <t xml:space="preserve">Bi Burger + KFC Tavuk Burger + 2 Kemiksiz Çıtır + 8'lü Hot Shots (Acılı) + Büyük Boy Patates Kızartması + İçecek (1 L.) </t>
  </si>
  <si>
    <t>74,45 TL</t>
  </si>
  <si>
    <t>KFC Algida Menüsü</t>
  </si>
  <si>
    <t xml:space="preserve">(2 Kişilik) KFC Tavuk Burger + Bi Burger + Büyük Boy Patates Kızartması + 2 Adet Seçeceğiniz Algida Dondurma + İçecek (1 L.) </t>
  </si>
  <si>
    <t>KFC Algida Gold Menüsü</t>
  </si>
  <si>
    <t xml:space="preserve">(2 Kişilik) 2 Adet Zinger Burger + Orta Boy Patates Kızartması+ 2 Adet Magnum Mini Gold + İçecek (1 L.) </t>
  </si>
  <si>
    <t>46,99 TL</t>
  </si>
  <si>
    <t>Süper Fırsat</t>
  </si>
  <si>
    <t xml:space="preserve">KFC Tavuk Burger + 2 Adet Acılı Kanat + 2 Kemiksiz Çıtır + 4'lü Hot Shots + 1 Biscuit + Büyük Boy Patates Kızartması + İçecek (1 L.) </t>
  </si>
  <si>
    <t>Zinger Burger Süper Maç Menüsü</t>
  </si>
  <si>
    <t xml:space="preserve">(2 Kişilik) 2 Adet Zinger Burger + Orta Boy Patates Kızartması + 6'lı Hot Shots (Acılı) + 4'lü Soğan Halkası + Coca-Cola (1 L.) </t>
  </si>
  <si>
    <t>Maç Kovası</t>
  </si>
  <si>
    <t xml:space="preserve">(2 Kişilik) 2 Parça But + 6 Adet Acılı Kanat + 2 Adet Acısız Kemiksiz Çıtır + 2 Adet Acılı Kemiksiz Çıtır + 2 Adet Biscuit + Coca-Cola (1 L.) </t>
  </si>
  <si>
    <t>2 KFC Tavuk Burger Ekonomik Menü</t>
  </si>
  <si>
    <t xml:space="preserve">(2 Kişilik) 2 Adet KFC Tavuk Burger + Büyük Boy Patates Kızartması + 8'li Hot Shots (Acılı) + İçecek (1 L.) + 2 Adet Ketçap + 2 Adet Mayonez </t>
  </si>
  <si>
    <t>2'li Twister Dürüm Menü</t>
  </si>
  <si>
    <t xml:space="preserve">(2 Kişilik) 2 Adet Twister Dürüm + Büyük Boy Patates Kızartması + İçecek (1 L.) </t>
  </si>
  <si>
    <t>2'li KFC Tavuk Burger Menü</t>
  </si>
  <si>
    <t xml:space="preserve">(1 Kişilik) 2 Adet KFC Tavuk Burger + Küçük Boy Patates Kızartması + İçecek + 1 Adet Ketçap + 1 Adet Mayonez </t>
  </si>
  <si>
    <t>KFC Tavuk Burger Ekonomik Menü</t>
  </si>
  <si>
    <t xml:space="preserve">(1 Kişilik) KFC Tavuk Burger + Küçük Boy Patates Kızartması + 4'lü Hot Shots (Acılı) + İçecek + 1 Adet Ketçap + 1 Adet Mayonez </t>
  </si>
  <si>
    <t>Kafana Göre Kova</t>
  </si>
  <si>
    <t xml:space="preserve">Dilediğin lezzeti dilediğin kadar seç, kendi kovanı kendin yarat (En az 1 adet acılı kanat seçimi yapılmalıdır.) </t>
  </si>
  <si>
    <t>0,00 TL</t>
  </si>
  <si>
    <t>Gamer Kutu</t>
  </si>
  <si>
    <t xml:space="preserve">(1 Kişilik) KFC Tavuk Burger + 5'li Hot Shots + 2 Parça Kemiksiz Çıtır + 4'lü Soğan Halkası + Orta Boy Patates Kızartması + İçecek </t>
  </si>
  <si>
    <t>Gamer Kova</t>
  </si>
  <si>
    <t xml:space="preserve">(2 Kişilik) 2 Adet KFC Tavuk Burger + 10'lu Hot Shots + 4 Adet Kemiksiz Çıtır + 4'lü Soğan Halkası + 2 Adet Küçük Boy Patates Kızartması + 2 Adet Ketçap + 2 Adet Mayonez + Coca-Cola (1 L.) </t>
  </si>
  <si>
    <t>Kutlama Kovası</t>
  </si>
  <si>
    <t xml:space="preserve">(2 Kişilik) 2 Adet KFC Tavuk Burger + 2 Parça But + 2 Adet Kemiksiz Çıtır + 4'lü Hot Shots + 2 Adet Küçük Boy Patates Kızartması + Coca-Cola (1 L.) + 2 Adet Biscuit + 2 Adet Ketçap + 2 Adet Mayonez </t>
  </si>
  <si>
    <t>Tıka Basa Kova</t>
  </si>
  <si>
    <t xml:space="preserve">4 Adet Acılı Kanat + 2 Parça But + 2 Adet Acısız Kemiksiz Çıtır + 2 Adet Acılı Kemiksiz Çıtır + 4 Adet Hot Shots + 2 Adet Biscuit + Büyük Boy Patates Kızartması + Coca-Cola (1 L.) </t>
  </si>
  <si>
    <t>Kemiksiz Kova</t>
  </si>
  <si>
    <t xml:space="preserve">(2 kişilik) 12 Adet Kemiksiz Çıtır + 2 Adet Küçük Boy Patates Kızartması + Coca-Cola (1 L.) + 2 Adet Ketçap + 2 Adet Mayonez </t>
  </si>
  <si>
    <t>Kanat Eseri</t>
  </si>
  <si>
    <t xml:space="preserve">(2 Kişilik) 12 Adet Acılı Kanat + 2 Adet Küçük Boy Patates Kızartması + Coca-Cola (1 L.) + 2 Adet Ketçap + 2 Adet Mayonez </t>
  </si>
  <si>
    <t>Aile Kovası</t>
  </si>
  <si>
    <t xml:space="preserve">(4 Kişilik) 2 Adet Ekoburger + 4 Parça But + 4 Adet Acılı Kanat + 4 Parça Kemiksiz Çıtır + 2 Adet Biscuit + 4 Adet Küçük Boy Patates Kızartması + Coca-Cola (1 L.) + 4 Adet Ketçap + 4 Adet Mayonez </t>
  </si>
  <si>
    <t>Ziyafet Kovası</t>
  </si>
  <si>
    <t xml:space="preserve">(3 Kişilik) 3 Parça But + 3 Adet Kemiksiz Çıtır + 6 Adet Acılı Kanat + 3 Adet Biscuit + 3 Adet Küçük Boy Patates Kızartması + Coca-Cola (1 L.) + 3 Adet Ketçap + 3 Adet Mayonez </t>
  </si>
  <si>
    <t>79,99 TL</t>
  </si>
  <si>
    <t>4 Köşe Kova</t>
  </si>
  <si>
    <t xml:space="preserve">(4 Kişilik) 4 Adet Acılı Kanat + 8 Adet Kemiksiz Çıtır + 16'lı Hot Shots + 4’lü Soğan Halkası + 4 Adet Küçük Boy Patates Kızartması + 4 Biscuit + Coca-Cola (1 L.) </t>
  </si>
  <si>
    <t>Kanat Kova</t>
  </si>
  <si>
    <t xml:space="preserve">(4 Kişilik) 20 Adet Acılı Kanat + 2 Adet Küçük Boy Patates Kızartması + 4 Adet Biscuit + Coca-Cola (1 L.) + 2 Adet Ketçap + 2 Adet Mayonez </t>
  </si>
  <si>
    <t>109,99 TL</t>
  </si>
  <si>
    <t>Kemiksiz Büyük Kova</t>
  </si>
  <si>
    <t xml:space="preserve">(4 Kişilik) 20 Adet Kemiksiz Çıtır + 4 Adet Biscuit + 2 Adet Küçük Boy Patates Kızartması + Coca-Cola (1 L.) + 2 Adet Ketçap + 2 Adet Mayonez </t>
  </si>
  <si>
    <t>Karışık Kova</t>
  </si>
  <si>
    <t xml:space="preserve">(4 Kişilik) 10 Adet Acılı Kanat + 10 Adet Kemiksiz Çıtır + 4 Adet Biscuit + 2 Adet Küçük Boy Patates Kızartması + Coca-Cola (1 L.) </t>
  </si>
  <si>
    <t>Parti Menüsü</t>
  </si>
  <si>
    <t xml:space="preserve">(4 Kişilik) Seçeceğiniz 4 Menü (Zinger Burger / Twister / 5'li Acılı Kanat / 5'li Kemiksiz Çıtır) + 4 Adet Küçük Boy Patates Kızartması + Coca-Cola (1 L.) + 4 Adet Ketçap + 4 Adet Mayonez </t>
  </si>
  <si>
    <t>Xtreme Kutu</t>
  </si>
  <si>
    <t xml:space="preserve">(1 Kişilik) Zinger Burger + 4 Parça Hot Shots + 2 Adet Acılı Kanat + Coleslaw + Orta Boy Patates Kızartması + İçecek + 1 Adet Ketçap + 1 Adet Mayonez </t>
  </si>
  <si>
    <t>Kemiksiz Kutu</t>
  </si>
  <si>
    <t xml:space="preserve">(1 Kişilik) 5 Parça Kemiksiz Çıtır + 4'lü Hot Shots (Acılı) + 1 Adet Biscuit + 1 Adet Gravy Sos + Orta Boy Patates Kızartması + İçecek + 1 Adet Ketçap + 1 Adet Mayonez </t>
  </si>
  <si>
    <t>Twister Dürüm Kutu</t>
  </si>
  <si>
    <t xml:space="preserve">(1 Kişilik) Twister Dürüm + 2 Adet Acılı Kanat + 4' lü Hot Shots (Acılı) + Orta Boy Patates Kızartması + İçecek + 1 Adet Ketçap + 1 Adet Mayonez </t>
  </si>
  <si>
    <t>Aşırı Burger Kutu</t>
  </si>
  <si>
    <t xml:space="preserve">(1 Kişilik) Aşırı Burger + 2 Parça Kemiksiz Çıtır + 4'lü Hot Shots (Acılı) + 1 Adet Biscuit + Orta Boy Patates Kızartması + İçecek + 1 Adet Ketçap + 1 Adet Mayonez </t>
  </si>
  <si>
    <t>Best Of Kutu</t>
  </si>
  <si>
    <t xml:space="preserve">(1 Kişilik) 1 Parça But + 2 Adet Acılı Kanat + 2 Parça Kemiksiz Çıtır + 4'lü Hot Shots (Acılı) + 1 Adet Biscuit + Orta Boy Patates Kızartması + İçecek + 1 Adet Ketçap + 1 Adet Mayonez </t>
  </si>
  <si>
    <t>Double Xtreme Kutu</t>
  </si>
  <si>
    <t xml:space="preserve">(1 Kişilik) Double Zinger Burger + 2 Adet Acılı Kanat + 4'lü Hot Shots (Acılı) + Coleslaw + Orta Boy Patates Kızartması + İçecek + 1 Adet Ketçap + 1 Adet Mayonez </t>
  </si>
  <si>
    <t>Bi Burger Kutu</t>
  </si>
  <si>
    <t xml:space="preserve">(1 Kişilik) 1 Adet Bi Burger + 2 Adet Acılı Kanat + 4'lü Hot Shots (Acılı) + 1 Adet Orta Boy Patates Kızartması + İçecek + 1 Adet Ketçap + 1 Adet Mayonez </t>
  </si>
  <si>
    <t>Akıllı Seçim Kutu</t>
  </si>
  <si>
    <t xml:space="preserve">1 Parça But + 3 Adet Acılı Kanat + 1 Adet Biscuit + Orta Boy Patates Kızartması + İçecek + 1 Adet Ketçap + 1 Adet Mayonez </t>
  </si>
  <si>
    <t>Acısız Kutu</t>
  </si>
  <si>
    <t xml:space="preserve">KFC Tavuk Burger + 1 Parça But + 2 Parça Acısız Kemiksiz Çıtır + 1 Adet Gravy Sos + 1 Adet Orta Boy Patates Kızartması + İçecek </t>
  </si>
  <si>
    <t>Zinger Burger Menü</t>
  </si>
  <si>
    <t xml:space="preserve">(1 Kişilik) Zinger Burger + Orta Boy Patates Kızartması + İçecek + 1 Adet Ketçap + 1 Adet Mayonez </t>
  </si>
  <si>
    <t>Double Zinger Menü</t>
  </si>
  <si>
    <t xml:space="preserve">(1 Kişilik) Double Zinger + Orta Boy Patates Kızartması + İçecek + 1 Adet Ketçap + 1 Adet Mayonez </t>
  </si>
  <si>
    <t>Twister Dürüm Menü</t>
  </si>
  <si>
    <t xml:space="preserve">(1 Kişilik) Twister Dürüm + Orta Boy Patates Kızartması + İçecek + 1 Adet Ketçap + 1 Adet Mayonez </t>
  </si>
  <si>
    <t>Aşırı Burger Menü</t>
  </si>
  <si>
    <t xml:space="preserve">(1 Kişilik) Aşırı Burger + Orta Boy Patates Kızartması + İçecek + 1 Adet Ketçap + 1 Adet Mayonez </t>
  </si>
  <si>
    <t>Çocuk Burger Menü</t>
  </si>
  <si>
    <t xml:space="preserve">(1 Kişilik) Kids Burger + Orta Boy Patates Kızartması + Cappy (200 ml.) + 1 Adet Ketçap + 1 Adet Mayonez </t>
  </si>
  <si>
    <t>Çocuk Kemiksiz Çıtır Menü</t>
  </si>
  <si>
    <t xml:space="preserve">(1 Kişilik) 3 Parça Kemiksiz Çıtır + Orta Boy Patates Kızartması + Cappy (200 ml.) + 1 Adet Ketçap + 1 Adet Mayonez </t>
  </si>
  <si>
    <t>8'li Kanat Menü</t>
  </si>
  <si>
    <t xml:space="preserve">(1 Kişilik) 8 Adet Acılı Kanat + Orta Boy Patates Kızartması + İçecek + 1 Adet Ketçap + 1 Adet Mayonez </t>
  </si>
  <si>
    <t>8'li Kemiksiz Çıtır Menü</t>
  </si>
  <si>
    <t xml:space="preserve">(1 Kişilik) 8 Parça Kemiksiz Çıtır + Orta Boy Patates Kızartması + İçecek + 1 Adet Ketçap + 1 Adet Mayonez </t>
  </si>
  <si>
    <t>5'li Kemiksiz Çıtır Menü</t>
  </si>
  <si>
    <t xml:space="preserve">(1 Kişilik) 5 Parça Kemiksiz Çıtır + Orta Boy Patates Kızartması + İçecek + 1 Adet Ketçap + 1 Adet Mayonez </t>
  </si>
  <si>
    <t>5'li Acılı Kanat Menü</t>
  </si>
  <si>
    <t xml:space="preserve">(1 Kişilik) 5 Adet Acılı Kanat + Orta Boy Patates Kızartması + 1 Adet Ketçap + 1 Adet Mayonez </t>
  </si>
  <si>
    <t>Orijinal Tarif Menü</t>
  </si>
  <si>
    <t xml:space="preserve">(1 Kişilik) 3 Parça But + Orta Boy Patates Kızartması + İçecek + 1 Adet Ketçap + 1 Adet Mayonez </t>
  </si>
  <si>
    <t>Acı Mayonezli Zinger Burger</t>
  </si>
  <si>
    <t xml:space="preserve">Hamburger ekmeği, acılı mayonez sos, Zinger fileto, marul dilimleri </t>
  </si>
  <si>
    <t>Karabiberli Mayonezli Zinger Burger</t>
  </si>
  <si>
    <t xml:space="preserve">Hamburger ekmeği, karabiberli mayonez sos, Zinger fileto, marul dilimleri </t>
  </si>
  <si>
    <t>Acı Mayonezli Double Zinger Burger</t>
  </si>
  <si>
    <t xml:space="preserve">Hamburger ekmeği, acılı mayonez sos, marul dilimleri, 2 adet Zinger fileto, dilim peynir </t>
  </si>
  <si>
    <t>Karabiberli Mayonezli Double Zinger Burger</t>
  </si>
  <si>
    <t xml:space="preserve">Hamburger ekmeği, karabiberli mayonez sos, marul dilimleri, 2 adet Zinger fileto, dilim peynir </t>
  </si>
  <si>
    <t>Aşırı Burger</t>
  </si>
  <si>
    <t xml:space="preserve">Acılı mayonez, karabiberli mayonez, barbekü sos, Zinger fileto, patates pane, turşu, dilim peynir, marul </t>
  </si>
  <si>
    <t>KFC Tavuk Burger</t>
  </si>
  <si>
    <t xml:space="preserve">Hamburger ekmeği, karabiberli mayonez sosu, fileto, marul dilimleri </t>
  </si>
  <si>
    <t>Bi Burger</t>
  </si>
  <si>
    <t xml:space="preserve">Hamburger ekmeği, karabiberli mayonez sosu, fileto, dilimlenmiş domates, turşu, marul diimleri, ketçap </t>
  </si>
  <si>
    <t>Acılı Mayonezli Twister</t>
  </si>
  <si>
    <t xml:space="preserve">2 adet orijinal tarif kemiksiz çıtır, küp domates, göbek marul, acılı mayonez sos, tortilla ekmeği </t>
  </si>
  <si>
    <t>Karabiberli Mayonezli Twister</t>
  </si>
  <si>
    <t xml:space="preserve">2 adet orijinal tarif kemiksiz çıtır, küp domates, göbek marul, karabiberli mayonez sos, tortilla ekmeği </t>
  </si>
  <si>
    <t>1 Parça Acısız But</t>
  </si>
  <si>
    <t>1 Parça Acılı Kanat</t>
  </si>
  <si>
    <t>Acılı Kemiksiz Çıtır</t>
  </si>
  <si>
    <t>Acısız Kemiksiz Çıtır</t>
  </si>
  <si>
    <t>Patates Püresi</t>
  </si>
  <si>
    <t>Hot Shots 4'lü</t>
  </si>
  <si>
    <t>Patates Kızartması (Küçük Boy)</t>
  </si>
  <si>
    <t>Patates Kızartması (Orta Boy)</t>
  </si>
  <si>
    <t>Patates Kızartması (Büyük Boy)</t>
  </si>
  <si>
    <t>Patates Kızartması (Mega Boy)</t>
  </si>
  <si>
    <t>12'li Soğan Halkası</t>
  </si>
  <si>
    <t>Coleslaw Salata</t>
  </si>
  <si>
    <t>Gravy Sos</t>
  </si>
  <si>
    <t xml:space="preserve">KFC'nin gizli formülü ile üretilmiş taze tavuk sosu </t>
  </si>
  <si>
    <t>Biscuit</t>
  </si>
  <si>
    <t>Çikolatalı Cookie</t>
  </si>
  <si>
    <t>Magnum Mini Gold</t>
  </si>
  <si>
    <t>Algida Boom Boom (90 ml.)</t>
  </si>
  <si>
    <t>Coca-Cola Zero Sugar (45 cl.)</t>
  </si>
  <si>
    <t>Fanta (50 cl.)</t>
  </si>
  <si>
    <t>Cappy (200 ml.)</t>
  </si>
  <si>
    <t>İçim Ayran (22 cl.)</t>
  </si>
  <si>
    <t>Şişe Su</t>
  </si>
  <si>
    <t xml:space="preserve">(50 cl.) </t>
  </si>
  <si>
    <t>Sos Tabağı</t>
  </si>
  <si>
    <t xml:space="preserve">Seçeceğiniz 5 adet sos ile (Acı sos, sarımsaklı mayonez, ranch sos, acılı mayonez ve BBQ sos için geçerlidir.) </t>
  </si>
  <si>
    <t>Acılı Mayonez</t>
  </si>
  <si>
    <t>Sarımsaklı Mayonez</t>
  </si>
  <si>
    <t xml:space="preserve">Domates, soğan, maydanoz. Acı biber turşusu, limon ile </t>
  </si>
  <si>
    <t xml:space="preserve">Közlenmiş biber, soğan, domates, salata ile </t>
  </si>
  <si>
    <t>Et Dürüm</t>
  </si>
  <si>
    <t xml:space="preserve">Soğan, salata, közlenmiş biber </t>
  </si>
  <si>
    <t>Tavuk Kuşbaşı Şiş</t>
  </si>
  <si>
    <t xml:space="preserve">Tavuk kanat, pirzola, tavuk kelebek, special çıtır tavuk. Közlenmiş biber, soğan, domates, salata ile </t>
  </si>
  <si>
    <t>Çıtır Tavuk (1 kg.)</t>
  </si>
  <si>
    <t xml:space="preserve">Özel soslar ile </t>
  </si>
  <si>
    <t>Kuzu Çöp Şiş (1 kg.)</t>
  </si>
  <si>
    <t>Kuzu Pirzola (1 kg.)</t>
  </si>
  <si>
    <t xml:space="preserve">Seçeceğiniz pişirme seçimi </t>
  </si>
  <si>
    <t xml:space="preserve">Yeşillik, ekmek ile </t>
  </si>
  <si>
    <t xml:space="preserve">Adana kebap, tavuk şiş, ciğer şiş, ızgara köfte, kuşbaşı. Çemen, gendime çorbası, közlenmiş biber, közlenmiş soğan, közlenmiş domates, çiğ köfte, mevsim salata, roka salata, pilav, ekmek ile </t>
  </si>
  <si>
    <t xml:space="preserve">Közlenmiş biber, çemen ve set ile </t>
  </si>
  <si>
    <t xml:space="preserve">Çemen, gendime çorbası, közlenmiş biber, közlenmiş soğan, közlenmiş domates, çiğ köfte, mevsim salata, roka salata, pilav, ekmek ile </t>
  </si>
  <si>
    <t>Paça Çorba</t>
  </si>
  <si>
    <t>İskender (Kebaptan)</t>
  </si>
  <si>
    <t xml:space="preserve">Çemen, gendime çorbası, közlenmiş biber, közlenmiş soğan, közlenmiş domates, çiğ köfte, mevsim salata, roka salata, ekmek ile </t>
  </si>
  <si>
    <t xml:space="preserve">Lavaşa sarılı, soslu, yoğurtlu. Çemen, gendime çorbası, közlenmiş biber, közlenmiş soğan, közlenmiş domates, çiğ köfte, mevsim salata, roka salata, ekmek ile </t>
  </si>
  <si>
    <t xml:space="preserve">Urfa kebaptan. Çemen, gendime çorbası, közlenmiş biber, közlenmiş soğan, közlenmiş domates, çiğ köfte, mevsim salata, roka salata, ekmek ile </t>
  </si>
  <si>
    <t xml:space="preserve">Nar ekşi sos, biber turşusu </t>
  </si>
  <si>
    <t>Buğulama Kebap</t>
  </si>
  <si>
    <t xml:space="preserve">Nar ekşisi sos, salata, ekmek, yeşillik ile </t>
  </si>
  <si>
    <t>Kıyma</t>
  </si>
  <si>
    <t>Kavurma</t>
  </si>
  <si>
    <t>Maraş Usulü Özel Kesme Dondurma (100 gr.)</t>
  </si>
  <si>
    <t xml:space="preserve">Fıstık ile </t>
  </si>
  <si>
    <t>Maraş Usulü Sade Dondurma (480 gr.)</t>
  </si>
  <si>
    <t>Maraş Usulü Sade-Kakao (480 gr.)</t>
  </si>
  <si>
    <t>Maraş Usulü Kesme Sade Fıstıklı Dondurma (500 gr.)</t>
  </si>
  <si>
    <t>Maraş Usulü Özel Sade-Fıstık-Kakao (460 gr.)</t>
  </si>
  <si>
    <t>Maraş Usulü Özel Atom Fıstıklı (460 gr.)</t>
  </si>
  <si>
    <t>Fıstıklı Katmer Tatlısı</t>
  </si>
  <si>
    <t>Hasır Künefe</t>
  </si>
  <si>
    <t xml:space="preserve">Peynir, kaymak ve fıstıklı </t>
  </si>
  <si>
    <t>Fanta (2,5 L )</t>
  </si>
  <si>
    <t>Kıyma (1 kg.)</t>
  </si>
  <si>
    <t>Seçilmiş Menü (2 Çiğ Köfte Tako)</t>
  </si>
  <si>
    <t xml:space="preserve">2 Adet Çiğ Köfte Tako (Tako Lavaşı, Çiğ Köfte, Tako Peyniri, Meksika Fasulyesi, Burger Sos) + Coca-Cola (33 cl.) </t>
  </si>
  <si>
    <t>Seçilmiş Menü (Çiğ Köfte 200 gr.)</t>
  </si>
  <si>
    <t xml:space="preserve">Çiğ Köfte (200 gr.) + Coca-Cola (33 cl.) </t>
  </si>
  <si>
    <t>Seçilmiş Menü (Mega Çiğ Köfte Dürüm)</t>
  </si>
  <si>
    <t xml:space="preserve">Mega Çiğ Köfte Dürüm + Coca-Cola (33 cl.) </t>
  </si>
  <si>
    <t>Vodafone Menüsü (2 Ultra Mega Dürüm)</t>
  </si>
  <si>
    <t xml:space="preserve">2 Adet Ultra Mega Çiğ Köfte Dürüm + 2 Adet Komagene Ayran (29 cl.) (Kampanya koşulları için restoranın Promosyonlar bölümüne göz atınız. İndirimli fiyat ürün sepete eklendikten sonra uygulanır.) </t>
  </si>
  <si>
    <t>Maximum Menü (Mega Çiğ Köfte Dürüm)</t>
  </si>
  <si>
    <t xml:space="preserve">Mega Çiğ Köfte Dürüm + Komagene Ayran (29 cl.) (Maximum Menü indirimi, Maximum özellikli tüm kredi kartları ve İş Bankası Bankamatik Kartları ile yapılacak online ödemelerde ödeme anında uygulanacaktır.) </t>
  </si>
  <si>
    <t>13,25 TL</t>
  </si>
  <si>
    <t>Maximum Menü (Çiğ Köfte 400 gr.)</t>
  </si>
  <si>
    <t xml:space="preserve">Çiğ Köfte (400 gr.) + 2 Adet Komagene Ayran (29 cl.) (Maximum Menü indirimi, Maximum özellikli tüm kredi kartları ve İş Bankası Bankamatik Kartları ile yapılacak online ödemelerde ödeme anında uygulanacaktır.) </t>
  </si>
  <si>
    <t>Mega Doy! Menü</t>
  </si>
  <si>
    <t xml:space="preserve">2 Adet Mega Çiğ Köfte Dürüm + 2 Adet Komagene Ayran (19,5 cl.) </t>
  </si>
  <si>
    <t>Red Bull Sugarfree (25 cl.)</t>
  </si>
  <si>
    <t>Burger Sos (300 gr.)</t>
  </si>
  <si>
    <t>Doritos'lu Mini Menü</t>
  </si>
  <si>
    <t xml:space="preserve">Çiğ Köfte (200 gr.) + Seçeceğiniz Cips + Komagene Ayran (19,5 cl.) </t>
  </si>
  <si>
    <t>Doritos'lu Midi Menü</t>
  </si>
  <si>
    <t xml:space="preserve">Çiğ Köfte (400 gr.) + Seçeceğiniz Cips + 2 Adet Komagene Ayran (19,5 cl.) </t>
  </si>
  <si>
    <t>Doritos'lu Çiğ Köfte Dürüm Menü</t>
  </si>
  <si>
    <t xml:space="preserve">Doritos'lu Çiğ Köfte Dürüm + Komagene Ayran (19,5 cl.) </t>
  </si>
  <si>
    <t>Doritos'lu Double Dürüm Menü</t>
  </si>
  <si>
    <t xml:space="preserve">Doritos'lu Double Dürüm + Komagene Ayran (29 cl.) </t>
  </si>
  <si>
    <t>Doritos'lu Mega Çiğ Köfte Dürüm Menü</t>
  </si>
  <si>
    <t xml:space="preserve">Doritos'lu Mega Çiğ Köfte Dürüm + Komagene Ayran (29 cl.) </t>
  </si>
  <si>
    <t>Doritos'lu Ultra Mega Dürüm Menü</t>
  </si>
  <si>
    <t xml:space="preserve">Doritos'lu Ultra Mega Dürüm + Komagene Ayran (29 cl.) </t>
  </si>
  <si>
    <t>Doritoslu Çiğ Köfte Tako Menü 1</t>
  </si>
  <si>
    <t xml:space="preserve">2 Adet Doritoslu Çiğ Köfte Tako + Komagene Ayran (29 cl.) </t>
  </si>
  <si>
    <t>Doritoslu Çiğ Köfte Tako Menü 2</t>
  </si>
  <si>
    <t xml:space="preserve">4 Adet Doritoslu Çiğ Köfte Tako + Coca-Cola (1 L.) </t>
  </si>
  <si>
    <t>2 Mega Çiğ Köfte Dürüm Fırsatı 2</t>
  </si>
  <si>
    <t xml:space="preserve">2 Adet Mega Çiğ Köfte Dürüm + İçecek (1 L.) </t>
  </si>
  <si>
    <t>3'lü Mega Dürüm Menü</t>
  </si>
  <si>
    <t xml:space="preserve">3 Adet Mega Çiğ Köfte Dürüm + İçecek (1 L.) </t>
  </si>
  <si>
    <t>Acıktım Menü 1</t>
  </si>
  <si>
    <t xml:space="preserve">Mega Çiğ Köfte Dürüm + Seçeceğiniz Tatlı + Komagene Ayran (29 cl.) </t>
  </si>
  <si>
    <t>Acıktım Menü 2</t>
  </si>
  <si>
    <t xml:space="preserve">Ultra Mega Dürüm + Seçeceğiniz Tatlı + Komagene Ayran (29 cl.) </t>
  </si>
  <si>
    <t>Acıktım Menü 3</t>
  </si>
  <si>
    <t xml:space="preserve">Mega Çiğ Köfte Dürüm + Büyük İçli Köfte (Adet) + Komagene Ayran (29 cl.) </t>
  </si>
  <si>
    <t>Acıktım Menü 4</t>
  </si>
  <si>
    <t xml:space="preserve">Mega Çiğ Köfte Dürüm + Zeytinyağlı Yaprak Sarma (250 gr.) + Komagene Ayran (29 cl.) </t>
  </si>
  <si>
    <t>Double Dürüm Menü</t>
  </si>
  <si>
    <t xml:space="preserve">Double Dürüm + Komagene Ayran (29 cl.) </t>
  </si>
  <si>
    <t>Dürüm Menü</t>
  </si>
  <si>
    <t xml:space="preserve">Çiğ Köfte Dürüm + Komagene Ayran (19,5 cl.) </t>
  </si>
  <si>
    <t>Dürüm Menü 2</t>
  </si>
  <si>
    <t xml:space="preserve">Çiğ Köfte Dürüm + Komagene Ayran (29 cl.) </t>
  </si>
  <si>
    <t>Genç Menü</t>
  </si>
  <si>
    <t xml:space="preserve">Çiğ Köfte Dürüm + Seçeceğiniz Tatlı + Komagene Ayran (29 cl.) </t>
  </si>
  <si>
    <t>Kanka Menü 1</t>
  </si>
  <si>
    <t xml:space="preserve">2 Adet Çiğ Köfte Dürüm + Seçeceğiniz Tatlı + 2 Adet Komagene Ayran (29 cl.) </t>
  </si>
  <si>
    <t>Kanka Menü 2</t>
  </si>
  <si>
    <t xml:space="preserve">2 Adet Çiğ Köfte Dürüm + Büyük İçli Köfte (2 Adet) + 2 Adet Komagene Ayran (29 cl.) </t>
  </si>
  <si>
    <t>Mega Dürüm Menü</t>
  </si>
  <si>
    <t xml:space="preserve">Mega Çiğ Köfte Dürüm + Komagene Ayran (29 cl.) </t>
  </si>
  <si>
    <t>Süt Mısır &amp; Mega Dürüm Menü</t>
  </si>
  <si>
    <t xml:space="preserve">Mega Çiğ Köfte Dürüm + Haşlanmış Süt Mısır (100 gr.) + Komagene Ayran (29 cl.) </t>
  </si>
  <si>
    <t>Ultra Mega Dürüm Menü</t>
  </si>
  <si>
    <t xml:space="preserve">Ultra Mega Dürüm + Komagene Ayran (29 cl.) </t>
  </si>
  <si>
    <t>Çiğ Köfte Menü (200 gr.)</t>
  </si>
  <si>
    <t xml:space="preserve">Çiğ Köfte (200 gr.) + Seçeceğiniz Tatlı + Komagene Ayran (29 cl.) </t>
  </si>
  <si>
    <t>Çiğ Köfte Menü (600 gr.)</t>
  </si>
  <si>
    <t xml:space="preserve">Çiğ Köfte (600 gr.) + İçecek (1 L.) </t>
  </si>
  <si>
    <t>50,50 TL</t>
  </si>
  <si>
    <t>Hafif Menü</t>
  </si>
  <si>
    <t xml:space="preserve">Çiğ Köfte (200 gr.) + Büyük İçli Köfte (2 Adet) + İçecek (1 L.) </t>
  </si>
  <si>
    <t>Açız Menü 1</t>
  </si>
  <si>
    <t xml:space="preserve">Çiğ Köfte (400 gr.) + Seçeceğiniz 2 Adet Tatlı + İçecek (1 L.) </t>
  </si>
  <si>
    <t>Açız Menü 2</t>
  </si>
  <si>
    <t xml:space="preserve">Çiğ Köfte (400 gr.) + Büyük İçli Köfte (2 Adet) + İçecek (1 L.) </t>
  </si>
  <si>
    <t>Aile Menü 1</t>
  </si>
  <si>
    <t xml:space="preserve">Çiğ Köfte (1 kg.) + İçecek (1 L.) </t>
  </si>
  <si>
    <t>72,50 TL</t>
  </si>
  <si>
    <t>2’li Doritoslu Çiğ Köfte Tako Paketi</t>
  </si>
  <si>
    <t xml:space="preserve">2 Adet Doritoslu Çiğ Köfte Tako (Tako lavaşı, çiğ köfte, tako peyniri, Meksika fasulyesi, burger sos, Doritos taco) </t>
  </si>
  <si>
    <t>Çiğ Köfte Tako Menü 1</t>
  </si>
  <si>
    <t xml:space="preserve">2 Adet Çiğ Köfte Tako + Komagene Ayran (29 cl.) </t>
  </si>
  <si>
    <t>Çiğ Köfte Tako Menü 2</t>
  </si>
  <si>
    <t xml:space="preserve">4 Adet Çiğ Köfte Tako + Coca-Cola (1 L.) </t>
  </si>
  <si>
    <t>2’li Çiğ Köfte Tako Paketi</t>
  </si>
  <si>
    <t xml:space="preserve">2 Adet Çiğ Köfte Tako (Tako Lavaşı, Çiğ Köfte, Tako Peyniri, Meksika Fasulyesi, Burger Sos) </t>
  </si>
  <si>
    <t>Sıcak Sıcak Menü 1</t>
  </si>
  <si>
    <t xml:space="preserve">Tavuklu Pilav (300 gr.) + Komagene Ayran (29 cl.) </t>
  </si>
  <si>
    <t>Sıcak Sıcak Menü 2</t>
  </si>
  <si>
    <t xml:space="preserve">Tavuklu Pilav (300 gr.) + Seçeceğiniz Tatlı + Komagene Ayran (29 cl.) </t>
  </si>
  <si>
    <t>Sıcak Sıcak Menü 4</t>
  </si>
  <si>
    <t xml:space="preserve">Tavuklu Pilav (300 gr.) + Etli Kızartma İçli Köfte (Orta) + Seçeceğiniz Tatlı + Komagene Ayran (29 cl.) </t>
  </si>
  <si>
    <t>Sıcak Sıcak Menü 5</t>
  </si>
  <si>
    <t xml:space="preserve">Tavuklu Pilav (500 gr.) + Komagene Ayran (29 cl.) </t>
  </si>
  <si>
    <t>Ambalajında Çiğ Köfte (600 gr.)</t>
  </si>
  <si>
    <t xml:space="preserve">3 çeyrek göbek marul, limon, 6 adet lavaş, 3 adet çiğ köfte sosu, 3 adet nar ekşili sos </t>
  </si>
  <si>
    <t>41,50 TL</t>
  </si>
  <si>
    <t xml:space="preserve">Çeyrek göbek marul, limon, 2 adet lavaş, 1 adet çiğ köfte sosu, 1 adet nar ekşili sos </t>
  </si>
  <si>
    <t xml:space="preserve">Yarım göbek marul, limon, 4 adet lavaş, 2 adet çiğ köfte sosu, 2 adet nar ekşili sos </t>
  </si>
  <si>
    <t xml:space="preserve">1 adet göbek marul, limon, 8 adet lavaş, 4 adet çiğ köfte sosu, 4 adet nar ekşili sos </t>
  </si>
  <si>
    <t xml:space="preserve">5 çeyrek göbek marul, limon, 10 adet lavaş, 5 adet çiğ köfte sosu, 5 adet nar ekşili sos </t>
  </si>
  <si>
    <t>64,50 TL</t>
  </si>
  <si>
    <t xml:space="preserve">90 gr. çiğ köfte, tek lavaş </t>
  </si>
  <si>
    <t>Doritos'lu Mega Çiğ Köfte Dürüm</t>
  </si>
  <si>
    <t xml:space="preserve">125 gr. çiğ köfte, Doritos taco, çift lavaş </t>
  </si>
  <si>
    <t>Doritos'lu Çiğ Köfte Dürüm</t>
  </si>
  <si>
    <t xml:space="preserve">90 gr. çiğ Köfte, Doritos taco, tek lavaş </t>
  </si>
  <si>
    <t>Doritos'lu Double Dürüm</t>
  </si>
  <si>
    <t xml:space="preserve">175 gr. çiğ köfte, Doritos taco, çift lavaş </t>
  </si>
  <si>
    <t>Doritos'lu Ultra Mega Dürüm</t>
  </si>
  <si>
    <t xml:space="preserve">150 gr. çiğ köfte, Doritos taco, çift lavaş </t>
  </si>
  <si>
    <t>Double Dürüm</t>
  </si>
  <si>
    <t xml:space="preserve">Çok bol çiğ köfteli. 175 gr. çiğ köfte, çift lavaş </t>
  </si>
  <si>
    <t>İçli Köfte Dürüm</t>
  </si>
  <si>
    <t xml:space="preserve">İçli köfte, göbek marul, domates, turşu, roka, nane, maydanoz </t>
  </si>
  <si>
    <t xml:space="preserve">125 gr. çiğ köfte, çift lavaş </t>
  </si>
  <si>
    <t xml:space="preserve">60 gr. tavuk eti, göbek marul, domates, turşu </t>
  </si>
  <si>
    <t>Ultra Mega Dürüm</t>
  </si>
  <si>
    <t xml:space="preserve">Bol çiğ köfteli. 150 gr. çiğ köfte, çift lavaş </t>
  </si>
  <si>
    <t>Etli Kızartma İçli Köfte (Büyük)</t>
  </si>
  <si>
    <t>7,75 TL</t>
  </si>
  <si>
    <t>Etli Kızartma İçli Köfte (Küçük) (6'lı Paket)</t>
  </si>
  <si>
    <t>Etli Kızartma İçli Köfte (Büyük) (6'lı Paket)</t>
  </si>
  <si>
    <t>Etli Kızartma İçli Köfte (Orta)</t>
  </si>
  <si>
    <t>Etli Kızartma İçli Köfte (Küçük)</t>
  </si>
  <si>
    <t>2,75 TL</t>
  </si>
  <si>
    <t>Sade Haşlama İçli Köfte (Adet)</t>
  </si>
  <si>
    <t>Soslu Haşlama İçli Köfte (Adet)</t>
  </si>
  <si>
    <t>Sade Haşlama İçli Köfte (2'li Paket)</t>
  </si>
  <si>
    <t>Soslu Haşlama İçli Köfte (2'li Paket)</t>
  </si>
  <si>
    <t>Etli Kızartma İçli Köfte (Büyük) (2'li Paket)</t>
  </si>
  <si>
    <t>Etli Kızartma İçli Köfte (Orta) (4'lü Paket)</t>
  </si>
  <si>
    <t>Soya Soslu Tavuk (150 gr.) + Nohutlu Pilav (150 gr.)</t>
  </si>
  <si>
    <t>Köri Soslu Tavuk (150 gr.) + Nohutlu Pilav (150 gr.)</t>
  </si>
  <si>
    <t>Soya Soslu Tavuk (150 gr.) + Soslu Makarna (150 gr.)</t>
  </si>
  <si>
    <t>Köri Soslu Tavuk (150 gr.) + Soslu Makarna (150 gr.)</t>
  </si>
  <si>
    <t>Tavuk Sote (150 gr.) + Nohutlu Pilav (150 gr.)</t>
  </si>
  <si>
    <t>Yayla Çorbası (230 gr.)</t>
  </si>
  <si>
    <t>Tavuk Suyu Çorbası (230 gr.)</t>
  </si>
  <si>
    <t>Mercimek Çorbası (230 gr.)</t>
  </si>
  <si>
    <t>Ezogelin Çorbası (230 gr.)</t>
  </si>
  <si>
    <t>Antep Kuru Patlıcan Dolma (250 gr.)</t>
  </si>
  <si>
    <t>Antep Kuru Biber Dolması (250 gr.)</t>
  </si>
  <si>
    <t>Tavuk Ciğer Sote (200 gr.)</t>
  </si>
  <si>
    <t>Tavuk Sote (250 gr.)</t>
  </si>
  <si>
    <t>Soya Soslu Tavuk (250 gr.)</t>
  </si>
  <si>
    <t>Köri Soslu Tavuk (250 gr.)</t>
  </si>
  <si>
    <t>Peynirli Makarna (250 gr.)</t>
  </si>
  <si>
    <t>Penne Arrabbiata (250 gr.)</t>
  </si>
  <si>
    <t>Spaghetti Bolognese (250 gr.)</t>
  </si>
  <si>
    <t>Fırın Makarna (350 gr.)</t>
  </si>
  <si>
    <t>Fırın Mücver (250 gr.)</t>
  </si>
  <si>
    <t>Bademli Pilav (250 gr.)</t>
  </si>
  <si>
    <t>Sebzeli Pilav (250 gr.)</t>
  </si>
  <si>
    <t>Tavuklu Pilav (300 gr.)</t>
  </si>
  <si>
    <t xml:space="preserve">250 gr. pilav, 50 gr. tavuk </t>
  </si>
  <si>
    <t>Tavuklu Pilav (500 gr.)</t>
  </si>
  <si>
    <t xml:space="preserve">350 gr. pilav, 150 gr. tavuk </t>
  </si>
  <si>
    <t>Tavuklu Pilav (700 gr.)</t>
  </si>
  <si>
    <t xml:space="preserve">600 gr. pilav, 100 gr. tavuk </t>
  </si>
  <si>
    <t>Nohut Pilav (250 gr.)</t>
  </si>
  <si>
    <t>Pilav Üstü Et Kavurma (300 gr.)</t>
  </si>
  <si>
    <t xml:space="preserve">250 gr. pilav, 50 gr. kavurma </t>
  </si>
  <si>
    <t>Pilav Üstü Ciğer Kızartma (300 gr.)</t>
  </si>
  <si>
    <t xml:space="preserve">250 gr. pilav, 50 gr. ciğer </t>
  </si>
  <si>
    <t>Pilav Üstü Köfte (300 gr.)</t>
  </si>
  <si>
    <t xml:space="preserve">250 gr. pilav, 50 gr. köfte </t>
  </si>
  <si>
    <t>Acılı Ezme (200 gr.)</t>
  </si>
  <si>
    <t>Amerikan Salatası (200 gr.)</t>
  </si>
  <si>
    <t>Arnavut Ciğeri (150 gr.)</t>
  </si>
  <si>
    <t>Barbunya Pilaki (200 gr.)</t>
  </si>
  <si>
    <t>Havuç Tarator (200 gr.)</t>
  </si>
  <si>
    <t>Kadınbudu Köfte (3'lü Paket)</t>
  </si>
  <si>
    <t>Patlıcan Ezmesi (200 gr.)</t>
  </si>
  <si>
    <t>Patlıcan Salatası (200 gr.)</t>
  </si>
  <si>
    <t>Şakşuka (200 gr.)</t>
  </si>
  <si>
    <t>Zeytinyağlı Yaprak Sarma (250 gr.)</t>
  </si>
  <si>
    <t>Afrika Ateşi Sos (30 gr.)</t>
  </si>
  <si>
    <t>Burger Sos (30 gr.)</t>
  </si>
  <si>
    <t>Çiğ Köfte Sos (22 gr.)</t>
  </si>
  <si>
    <t>Çok Acı Sos (22 gr.)</t>
  </si>
  <si>
    <t>Paket Nar Ekşisi (15 gr.)</t>
  </si>
  <si>
    <t>Tako Lavaşı (10 Adet)</t>
  </si>
  <si>
    <t>Ekstra Limon (1 Adet)</t>
  </si>
  <si>
    <t>Yeşillik (Büyük)</t>
  </si>
  <si>
    <t>Yeşillik (Küçük)</t>
  </si>
  <si>
    <t>Bardakta Turşu</t>
  </si>
  <si>
    <t>Yoğurt (150 gr.)</t>
  </si>
  <si>
    <t>Haşlanmış Süt Mısır (100 gr.)</t>
  </si>
  <si>
    <t>Cornetto Rose Yaz - Mango Ahududu (130 ml.)</t>
  </si>
  <si>
    <t>Carte d'Or Mini Cup - Çilekli Yoğurtlu (110 ml.)</t>
  </si>
  <si>
    <t>Cornetto Rose İlk Bakışma - Karadut Çikolata (130 ml.)</t>
  </si>
  <si>
    <t>Cornetto Disc Milka (140 ml.)</t>
  </si>
  <si>
    <t>Cornetto Rose Sonsuz Aşk - Orman Meyveleri Lavanta (130 ml.)</t>
  </si>
  <si>
    <t>Cornetto Unicornetto (135 ml.)</t>
  </si>
  <si>
    <t>Magnum Double - Karamel Gold (90 ml.)</t>
  </si>
  <si>
    <t>Carte d'Or Mini Cup - Çikolata Karnavalı (110 ml.)</t>
  </si>
  <si>
    <t>Magnum Cookie (95 ml.)</t>
  </si>
  <si>
    <t>Magnum Classic (100 ml.)</t>
  </si>
  <si>
    <t>Magnum Badem (100 ml.)</t>
  </si>
  <si>
    <t>Magnum Beyaz (100 ml.)</t>
  </si>
  <si>
    <t>Magnum Antep Fıstık (100 ml.)</t>
  </si>
  <si>
    <t>Magnum Double Çikolata (95 ml.)</t>
  </si>
  <si>
    <t>Magnum Double Karadut &amp; Böğürtlen (95 ml.)</t>
  </si>
  <si>
    <t>Cornetto Disc Oreo (140 ml.)</t>
  </si>
  <si>
    <t>Cornetto Disc Vanilya Karamel (140 ml.)</t>
  </si>
  <si>
    <t>Cornetto Disc Antep Fıstık Çikolata (140 ml.)</t>
  </si>
  <si>
    <t>Cornetto Classico Çikolata (125 ml.)</t>
  </si>
  <si>
    <t>Cornetto Classico Kaymak (125 ml.)</t>
  </si>
  <si>
    <t>Algida Maraş Usulü Dilim Dondurma (82 ml.)</t>
  </si>
  <si>
    <t>Kadife Tatlısı (140 gr.)</t>
  </si>
  <si>
    <t>Kıbrıs Tatlısı (190 gr.)</t>
  </si>
  <si>
    <t>Peynir Tatlısı (3'lü Paket)</t>
  </si>
  <si>
    <t xml:space="preserve">(180 gr.) </t>
  </si>
  <si>
    <t>Peynir Tatlısı (5'li Paket)</t>
  </si>
  <si>
    <t xml:space="preserve">(300 gr.) </t>
  </si>
  <si>
    <t>Kemalpaşa Tatlısı (110 gr.)</t>
  </si>
  <si>
    <t>Klasik Peynir Helvası</t>
  </si>
  <si>
    <t>Portakallı Peynir Helvası</t>
  </si>
  <si>
    <t>Çilekli Peynir Helvası</t>
  </si>
  <si>
    <t>Yaban Mersinli Peynir Helvası</t>
  </si>
  <si>
    <t xml:space="preserve">3 dilim </t>
  </si>
  <si>
    <t>Fıstıklı Tel Kadayıf</t>
  </si>
  <si>
    <t>Höşmerim (120 gr.)</t>
  </si>
  <si>
    <t>İrmik Helvası (120 gr.)</t>
  </si>
  <si>
    <t>Şam Tatlısı (Adet)</t>
  </si>
  <si>
    <t>Tavukgöğsü</t>
  </si>
  <si>
    <t>Tepside Şam Tatlısı (15 Adet)</t>
  </si>
  <si>
    <t>Doritos Taco Mısır Cipsi (218 gr.)</t>
  </si>
  <si>
    <t>Doritos Taco Mısır Cipsi (69 gr.)</t>
  </si>
  <si>
    <t>Ruffles Sade (61 gr.)</t>
  </si>
  <si>
    <t>Lay's Klasik (61 gr.)</t>
  </si>
  <si>
    <t>Güllüoğlu Lalinella Tahinli Fındık Kreması (125 gr.)</t>
  </si>
  <si>
    <t>Elvan Today Donut Muzlu (50 gr.)</t>
  </si>
  <si>
    <t>Elvan Today Donut Kakaolu (50 gr.)</t>
  </si>
  <si>
    <t>Elvan Today Donut Çilekli (50 gr.)</t>
  </si>
  <si>
    <t>Today Snowball Kek (50 gr.)</t>
  </si>
  <si>
    <t>Eti Cin (25 gr.)</t>
  </si>
  <si>
    <t>Haribo Mini Altın Ayıcık (12,5 gr.)</t>
  </si>
  <si>
    <t>Çizmeci Time Rollstick (6 gr.)</t>
  </si>
  <si>
    <t>Çokomel Marshmallow Sade (12 gr.)</t>
  </si>
  <si>
    <t>Çokomel Marshmallow Çilekli (12 gr.)</t>
  </si>
  <si>
    <t>Kağıt Helva (45 gr.)</t>
  </si>
  <si>
    <t>Today Kruvasan Çikolata (50 gr.)</t>
  </si>
  <si>
    <t>Komagene Fıstık Krokan (10 gr.)</t>
  </si>
  <si>
    <t>Bahçeden Kavrulmuş Fındık (40 gr.)</t>
  </si>
  <si>
    <t>Nutzz Acılı (50 gr.)</t>
  </si>
  <si>
    <t>Nutzz Tuzlu (50 gr.)</t>
  </si>
  <si>
    <t>Çitliyo Kara Şimşek Klasik (80 gr.)</t>
  </si>
  <si>
    <t>Bahçeden Fındıklı Bar (30 gr.)</t>
  </si>
  <si>
    <t>Bahçeden Yer Fıstıklı Bar (30 gr.)</t>
  </si>
  <si>
    <t>3,25 TL</t>
  </si>
  <si>
    <t>Reyhanlı Beyoğlu Gazozu (25 cl.)</t>
  </si>
  <si>
    <t>Klasik Beyoğlu Gazozu (25 cl.)</t>
  </si>
  <si>
    <t>Zencefilli Beyoğlu Gazozu (25 cl.)</t>
  </si>
  <si>
    <t>Portakallı Beyoğlu Gazozu (25 cl.)</t>
  </si>
  <si>
    <t>Komagene Ayran (29 cl.)</t>
  </si>
  <si>
    <t>Komagene Ayran (19,5 cl.)</t>
  </si>
  <si>
    <t>Doğanay Şalgam Suyu (30 cl.)</t>
  </si>
  <si>
    <t>Sıfır Bir Şalgam Suyu (30 cl.)</t>
  </si>
  <si>
    <t>Organik Şalgam Suyu (25 cl.)</t>
  </si>
  <si>
    <t>Kızılay Sade Soda (20 cl.)</t>
  </si>
  <si>
    <t>Kızılay Meyveli Soda (20 cl.)</t>
  </si>
  <si>
    <t>Bardak Limonata (24 cl.)</t>
  </si>
  <si>
    <t>Serafresh Şalgam Suyu (30 cl.)</t>
  </si>
  <si>
    <t>Komagene Ayran (1 L.)</t>
  </si>
  <si>
    <t>Doğanay Şalgam Suyu (1 L.)</t>
  </si>
  <si>
    <t>Organik Şalgam Suyu (1 L.)</t>
  </si>
  <si>
    <t>Organik Şalgam Suyu (1 L.) (Kutulu)</t>
  </si>
  <si>
    <t xml:space="preserve">Domates, marul. İsteğe göre soğan, turşu </t>
  </si>
  <si>
    <t xml:space="preserve">Közlenmiş biber, salata, bulgur pilavı, közlenmiş domates, ekmek ile </t>
  </si>
  <si>
    <t>Karışık Izgara Tavuk (1 kg.) (Ekmeksiz)</t>
  </si>
  <si>
    <t xml:space="preserve">Tavuk kanat, tavuk kelebek, tavuk pirzola. Közlenmiş biber, salata ile </t>
  </si>
  <si>
    <t>15,25 TL</t>
  </si>
  <si>
    <t>Seçilmiş Menü (Karışık Izgara Tavuk)</t>
  </si>
  <si>
    <t xml:space="preserve">Karışık Izgara Tavuk + Coca-Cola (33 cl.) </t>
  </si>
  <si>
    <t>Seçilmiş Menü (Kuşbaşı Dürüm)</t>
  </si>
  <si>
    <t xml:space="preserve">Kuşbaşı Dürüm + Coca-Cola (33 cl.) </t>
  </si>
  <si>
    <t>Karışık Izgara Tavuk</t>
  </si>
  <si>
    <t xml:space="preserve">Tavuk kanat, tavuk kelebek, tavuk pirzola. Közlenmiş biber, salata, bulgur pilavı, közlenmiş domates, ekmek ile </t>
  </si>
  <si>
    <t>Urfa Kebap (Kıyma)</t>
  </si>
  <si>
    <t>Et Kuşbaşı Şiş</t>
  </si>
  <si>
    <t xml:space="preserve">10 adet köfte, közlenmiş biber, salata, bulgur pilavı, közlenmiş domates, ekmek ile </t>
  </si>
  <si>
    <t xml:space="preserve">Adana kebap, ciğer şiş, tavuk şiş, kuşbaşı et. Közlenmiş biber, salata, bulgur pilavı, közlenmiş domates, ekmek ile </t>
  </si>
  <si>
    <t>Dana Ciğer Şiş</t>
  </si>
  <si>
    <t xml:space="preserve">Domates, marul, salatalık. Nar ekşisi ile </t>
  </si>
  <si>
    <t xml:space="preserve">Yeşillik, lavaş, nar ekşisi, sos ile </t>
  </si>
  <si>
    <t>Kazandibi (180 gr.)</t>
  </si>
  <si>
    <t>Tavuk Pirzola (1 kg.) (Ekmeksiz)</t>
  </si>
  <si>
    <t xml:space="preserve">Közlenmiş biber, salata ile </t>
  </si>
  <si>
    <t>Tavuk Kanat (1 kg.) (Ekmeksiz)</t>
  </si>
  <si>
    <t>Tavuk Kelebek (1 kg.) (Ekmeksiz)</t>
  </si>
  <si>
    <t>Tavuk Şiş (1 kg.) (Ekmeksiz)</t>
  </si>
  <si>
    <t>Kebap (500 gr.) (Ekmeksiz)</t>
  </si>
  <si>
    <t xml:space="preserve">Salata, közlenmiş biber ile </t>
  </si>
  <si>
    <t>Izgara Köfte (500 gr.) (Ekmeksiz)</t>
  </si>
  <si>
    <t>Karışık Izgara Tavuk (1,5 kg.) (Ekmeksiz)</t>
  </si>
  <si>
    <t>Tavuk Kanat (1,5 kg.) (Ekmeksiz)</t>
  </si>
  <si>
    <t>Tavuk Kelebek (1,5 kg.) (Ekmeksiz)</t>
  </si>
  <si>
    <t>Tavuk Şiş (1,5 kg.) (Ekmeksiz)</t>
  </si>
  <si>
    <t>Tavuk Pirzola (1,5 kg.) (Ekmeksiz)</t>
  </si>
  <si>
    <t xml:space="preserve">Közlenmiş biber, biber turşusu, özel sos </t>
  </si>
  <si>
    <t xml:space="preserve">Mevsim salata, soğan piyazı, közlenmiş biber, közlenmiş domates, bulgur pilavı ile </t>
  </si>
  <si>
    <t>Somun Ekmek Arası Köfte</t>
  </si>
  <si>
    <t xml:space="preserve">Özel sos </t>
  </si>
  <si>
    <t>Double Somun Ekmek Arası Izgara Köfte</t>
  </si>
  <si>
    <t xml:space="preserve">Günün pilavı, közlenmiş biber, közlenmiş domates, haydari, çiğ köfte, salata, ezme ile </t>
  </si>
  <si>
    <t>Tereyeğlı Urfa Kebap</t>
  </si>
  <si>
    <t>Kıyma Şiş</t>
  </si>
  <si>
    <t xml:space="preserve">Izgara köfte, Adana kebap, kuşbaşı, biftek. Mevsim salata, soğan piyazı, közlenmiş biber, közlenmiş domates, bulgur pilavı ile </t>
  </si>
  <si>
    <t xml:space="preserve">Tavuk şiş, Adana kebap, kuşbaşı. Mevsim salata, soğan piyazı, közlenmiş biber, közlenmiş domates, bulgur pilavı ile </t>
  </si>
  <si>
    <t>Biftek Dürüm</t>
  </si>
  <si>
    <t>Double Şiş Adana Dürüm</t>
  </si>
  <si>
    <t xml:space="preserve">Közlenmiş biber, özel sos </t>
  </si>
  <si>
    <t>Kuzu Ciğer Şiş Dürüm</t>
  </si>
  <si>
    <t xml:space="preserve">Ketçap, mayonez </t>
  </si>
  <si>
    <t>Çiğ Köfte (220 gr.)</t>
  </si>
  <si>
    <t>Köz Biber (11 Adet)</t>
  </si>
  <si>
    <t>Köz Domates (10 Adet)</t>
  </si>
  <si>
    <t>Vodafone Menüsü (3/4 Ekmek Arası Köfte)</t>
  </si>
  <si>
    <t xml:space="preserve">3/4 Ekmek Arası Köfte + Ayran (30 cl.) (Kampanya koşulları için restoranın Promosyonlar bölümüne göz atınız. İndirimli fiyat ürün sepete eklendikten sonra uygulanır.) </t>
  </si>
  <si>
    <t xml:space="preserve">Sos, soğan </t>
  </si>
  <si>
    <t>Yarım Ekmek Arası Köfte</t>
  </si>
  <si>
    <t xml:space="preserve">5 adet köfte, soğan, salça sosu, maydanoz. Turşu biber ile </t>
  </si>
  <si>
    <t>3/4 Ekmek Arası Köfte</t>
  </si>
  <si>
    <t xml:space="preserve">8 adet köfte, soğan, salça sosu, maydanoz. Turşu biber ile </t>
  </si>
  <si>
    <t>Tam Ekmek Arası Köfte</t>
  </si>
  <si>
    <t xml:space="preserve">10 adet köfte, soğan, salça sosu, maydanoz. Turşu biber ile </t>
  </si>
  <si>
    <t>Çıtır Çıtır Tavuk</t>
  </si>
  <si>
    <t xml:space="preserve">80 gr. Adana kebap. İsteğe göre soğan. Sos, turş </t>
  </si>
  <si>
    <t xml:space="preserve">90 gr. tavuk şiş. İsteğe göre soğan. Sos, turşu </t>
  </si>
  <si>
    <t xml:space="preserve">100 gr. köfte. İsteğe göre soğan. Sos, turşu </t>
  </si>
  <si>
    <t>Somun Ekmek Arası Izgara Köfte</t>
  </si>
  <si>
    <t xml:space="preserve">İsteğe göre; soğan, sos, turşu </t>
  </si>
  <si>
    <t xml:space="preserve">200 gr. ızgara köfte. Mevsim salata, haydari, pilav, soğan, közlenmiş domates ve biber ile </t>
  </si>
  <si>
    <t xml:space="preserve">180 gr. tavuk şiş. Mevsim salata, haydari, pilav, soğan, közlenmiş domates ve biber ile </t>
  </si>
  <si>
    <t>Karışık Izgara (5 - 6 Kişilik)</t>
  </si>
  <si>
    <t xml:space="preserve">Adana kebap, ızgara köfte, kuşbaşı et, tauk kanat, ciğer şiş. Mevsim salata, soğan, haydari, közlenmiş domates, közlenmiş biber, pilav, turşu, pide ile </t>
  </si>
  <si>
    <t>210,00 TL</t>
  </si>
  <si>
    <t xml:space="preserve">(6 şiş) Mevsim salata, haydari, pilav, soğan, közlenmiş domates ve biber ile </t>
  </si>
  <si>
    <t xml:space="preserve">(6 adet) Mevsim salata, haydari, pilav, soğan, közlenmiş domates ve biber ile </t>
  </si>
  <si>
    <t xml:space="preserve">140 gr. Adana kebap. Mevsim salata, haydari, pilav, soğan, közlenmiş domates ve biber ile </t>
  </si>
  <si>
    <t xml:space="preserve">170 gr. kuşbaşı şiş. Mevsim salata, haydari, pilav, soğan, közlenmiş domates ve biber ile </t>
  </si>
  <si>
    <t>Karışık Izgara (1 Kişilik)</t>
  </si>
  <si>
    <t xml:space="preserve">Adana kebap, ciğer şiş, tavuk şiş, ızgara köfte. Mevsim salata, soğan, haydari, pilav, közlenmiş biber, közlenmiş domates, pide ile </t>
  </si>
  <si>
    <t xml:space="preserve">Adana kebap, ızgara köfte, kuşbaşı şiş, ciğer şiş, tavuk kanat. Mevsim salata, haydari, pilav, soğan, közlenmiş domates, biber, pide ile </t>
  </si>
  <si>
    <t>Karışık Izgara (3-4 Kişilik)</t>
  </si>
  <si>
    <t>Karışık Izgara (4 - 5 Kişilik)</t>
  </si>
  <si>
    <t>185,00 TL</t>
  </si>
  <si>
    <t>Duble Somun Ekmek Arası Izgara Köfte</t>
  </si>
  <si>
    <t>Torpilli Adana Dürüm</t>
  </si>
  <si>
    <t xml:space="preserve">120 gr. kebap, isteğe göre; soğan, sos, turşu </t>
  </si>
  <si>
    <t>Torpilli Köfte Dürüm</t>
  </si>
  <si>
    <t xml:space="preserve">150 gr. köfte, mevsim salata, isteğe göre; soğan, sos, turşu </t>
  </si>
  <si>
    <t xml:space="preserve">(3 şiş) İsteğe göre; soğan, sos, turşu </t>
  </si>
  <si>
    <t xml:space="preserve">90 gr. kuşbaşı et. İsteğe göre soğan. Sos, turşu </t>
  </si>
  <si>
    <t>Günün Pilavı</t>
  </si>
  <si>
    <t>Haydari</t>
  </si>
  <si>
    <t>Acılı Ayran (30 cl.)</t>
  </si>
  <si>
    <t xml:space="preserve">Mevsim salata, soğan, haydari, pilav, közlenmiş domates, biber, sos, turşu, pide ile </t>
  </si>
  <si>
    <t>Tavuk Kuşbaşı Dürüm</t>
  </si>
  <si>
    <t xml:space="preserve">Mevsim salata, közlenmiş biber, domates </t>
  </si>
  <si>
    <t>Tavuk Pirzola (1 kg.) (Pişirilmiş)</t>
  </si>
  <si>
    <t xml:space="preserve">Mevsim salata, közlenmiş biber </t>
  </si>
  <si>
    <t xml:space="preserve">Tavuk şiş, pirzola, kanat. Mevsim salata, közlenmiş biber </t>
  </si>
  <si>
    <t>Domatesli Kebap - Şu anda mevcut değil.</t>
  </si>
  <si>
    <t>Dana Biftek</t>
  </si>
  <si>
    <t>Dana Kuşbaşı Dürüm</t>
  </si>
  <si>
    <t>Pepsi (33 cl.) - Şu anda mevcut değil.</t>
  </si>
  <si>
    <t>Dana Kuşbaşı (1 kg.) (Pişirilmiş)</t>
  </si>
  <si>
    <t>Dana Biftek (1 kg.) (Pişirilmiş)</t>
  </si>
  <si>
    <t>Tavuk Kelebek (1 kg.) (Pişirilmiş)</t>
  </si>
  <si>
    <t>Tavuk Kanat (1 kg.) (Pişirilmiş)</t>
  </si>
  <si>
    <t>Tavuk Kuşbaşı (1 kg.) (Pişirilmiş)</t>
  </si>
  <si>
    <t>Tavuk Şiş (1 kg.) (Pişirilmiş)</t>
  </si>
  <si>
    <t>Karışık Tavuk</t>
  </si>
  <si>
    <t xml:space="preserve">Mevsim salata, közlenmiş biber, domates, soğan ile </t>
  </si>
  <si>
    <t>Dana Şiş Dürüm</t>
  </si>
  <si>
    <t>Coca-Cola (25 cl.)</t>
  </si>
  <si>
    <t>Dana Şiş (1 kg.) (Pişirilmiş)</t>
  </si>
  <si>
    <t>Karışık Tavuk Izgara</t>
  </si>
  <si>
    <t xml:space="preserve">Mevsim salata, közlenmiş biber ile </t>
  </si>
  <si>
    <t xml:space="preserve">125 gr. çiğ köfte, tek lavaş, yeşillik, acı sos, nar ekşisi </t>
  </si>
  <si>
    <t xml:space="preserve">Yeşillik, acı sos, nar ekşisi, 12 adet lavaş ile </t>
  </si>
  <si>
    <t xml:space="preserve">Yeşillik, acı sos, nar ekşisi, 3 adet lavaş ile </t>
  </si>
  <si>
    <t>Aile Boyu Çiğ Köfte (625 gr.)</t>
  </si>
  <si>
    <t xml:space="preserve">Yeşillik, acı sos, nar ekşisi, 8 adet lavaş ile </t>
  </si>
  <si>
    <t>Sütaş Ayran (28,5 cl.)</t>
  </si>
  <si>
    <t xml:space="preserve">Soğan, domates, biber </t>
  </si>
  <si>
    <t>Izgara Tavuk Pirzola (1 kg.)</t>
  </si>
  <si>
    <t xml:space="preserve">Közlenmiş biber, domates ile </t>
  </si>
  <si>
    <t xml:space="preserve">2 adet günün mezesi, ekmek, közlenmiş domates, biber ile </t>
  </si>
  <si>
    <t>Izgara Tavuk Kelebek (1 kg.)</t>
  </si>
  <si>
    <t>11,50 TL</t>
  </si>
  <si>
    <t>Peynirli Börek (500 gr.)</t>
  </si>
  <si>
    <t>Peynirli Börek</t>
  </si>
  <si>
    <t>Kıymalı Börek</t>
  </si>
  <si>
    <t>Çikolatalı Börek</t>
  </si>
  <si>
    <t>Seçilmiş Menü (Peynirli Börek - 500 gr.) - Şu anda mevcut değil.</t>
  </si>
  <si>
    <t xml:space="preserve">Peynirli Börek (500 gr.) + Coca-Cola (33 cl.) </t>
  </si>
  <si>
    <t>Seçilmiş Menü (Kıymalı Börek) - Şu anda mevcut değil.</t>
  </si>
  <si>
    <t xml:space="preserve">Kıymalı Börek + Coca-Cola (33 cl.) </t>
  </si>
  <si>
    <t>27,75 TL</t>
  </si>
  <si>
    <t>Seçilmiş Menü (Çikolatalı Börek) - Şu anda mevcut değil.</t>
  </si>
  <si>
    <t xml:space="preserve">Çikolatalı Börek + Coca-Cola (33 cl.) </t>
  </si>
  <si>
    <t>Ailem Boyu Menü 1</t>
  </si>
  <si>
    <t xml:space="preserve">Efsane Peynirli Börek (1 kg.) + Coca-Cola (1,5 L.) </t>
  </si>
  <si>
    <t>Ailem Boyu Menü 2</t>
  </si>
  <si>
    <t xml:space="preserve">Efsane Peynirli Börek (1 kg.) + Taze Söğüş Tabağı + Coca-Cola (1 L.) </t>
  </si>
  <si>
    <t>Ailem Boyu Menü 3</t>
  </si>
  <si>
    <t xml:space="preserve">Efsane Kıymalı Börek + Coca-Cola (1,5 L.) </t>
  </si>
  <si>
    <t>Ailem Boyu Menü 4</t>
  </si>
  <si>
    <t xml:space="preserve">Kıymalı Börek (500 gr.) + Peynirli Börek (500 gr.) + Taze Söğüş Tabağı </t>
  </si>
  <si>
    <t>Sosisli Börek - Şu anda mevcut değil.</t>
  </si>
  <si>
    <t>Zeytinli Börek</t>
  </si>
  <si>
    <t>Pastırmalı Börek - Şu anda mevcut değil.</t>
  </si>
  <si>
    <t>Ispanaklı Börek - Şu anda mevcut değil.</t>
  </si>
  <si>
    <t>Kavurmalı Börek</t>
  </si>
  <si>
    <t>Sucuklu Börek - Şu anda mevcut değil.</t>
  </si>
  <si>
    <t>Patatesli Börek - Şu anda mevcut değil.</t>
  </si>
  <si>
    <t>Et Dönerli Börek - Şu anda mevcut değil.</t>
  </si>
  <si>
    <t>Çıtır Mantı - Şu anda mevcut değil.</t>
  </si>
  <si>
    <t>Çikolatalı Börek (1 kg.) - Şu anda mevcut değil.</t>
  </si>
  <si>
    <t>Et Dönerli Börek (500 gr.) - Şu anda mevcut değil.</t>
  </si>
  <si>
    <t>Et Dönerli Börek (1 kg.) - Şu anda mevcut değil.</t>
  </si>
  <si>
    <t>93,00 TL</t>
  </si>
  <si>
    <t>Zeytinli Börek (500 gr.)</t>
  </si>
  <si>
    <t>Çikolatalı Börek (500 gr.) - Şu anda mevcut değil.</t>
  </si>
  <si>
    <t>Ispanaklı Börek (1 kg.) - Şu anda mevcut değil.</t>
  </si>
  <si>
    <t>Ispanaklı Börek (500 gr.) - Şu anda mevcut değil.</t>
  </si>
  <si>
    <t>Kavurmalı Börek (1 kg.)</t>
  </si>
  <si>
    <t>Kavurmalı Börek (500 gr.)</t>
  </si>
  <si>
    <t>Kıymalı Börek (1 kg.)</t>
  </si>
  <si>
    <t>Kıymalı Börek (500 gr.)</t>
  </si>
  <si>
    <t>46,50 TL</t>
  </si>
  <si>
    <t>Pastırmalı Börek (1 kg.) - Şu anda mevcut değil.</t>
  </si>
  <si>
    <t>Pastırmalı Börek (500 gr.) - Şu anda mevcut değil.</t>
  </si>
  <si>
    <t>Patatesli Börek (1 kg.) - Şu anda mevcut değil.</t>
  </si>
  <si>
    <t>Patatesli Börek (500 gr.) - Şu anda mevcut değil.</t>
  </si>
  <si>
    <t>Peynirli Börek (2 kg.)</t>
  </si>
  <si>
    <t>Peynirli Börek (3 kg.) (Tepside)</t>
  </si>
  <si>
    <t xml:space="preserve">Tepsi depozito bedeli 30 TL'dir. Tepsinin iadesi halinde depozito bedeli geri verilecektir. </t>
  </si>
  <si>
    <t>194,00 TL</t>
  </si>
  <si>
    <t>Peynirli Börek (4,5 kg.) (Tepside)</t>
  </si>
  <si>
    <t xml:space="preserve">Tepsi depozito bedeli 50 TL'dir. Tepsinin iadesi halinde depozito bedeli geri verilecektir. </t>
  </si>
  <si>
    <t>290,00 TL</t>
  </si>
  <si>
    <t>Sosisli Börek (1 kg.) - Şu anda mevcut değil.</t>
  </si>
  <si>
    <t>Sucuklu &amp; Pastırmalı &amp; Çikolatalı Börek (3 kg.) (Tepside)</t>
  </si>
  <si>
    <t>335,00 TL</t>
  </si>
  <si>
    <t>Sucuklu Börek (1 kg.) - Şu anda mevcut değil.</t>
  </si>
  <si>
    <t>Sucuklu Börek (500 gr.) - Şu anda mevcut değil.</t>
  </si>
  <si>
    <t>Zeytinli Börek (1 kg.)</t>
  </si>
  <si>
    <t>Atom - Şu anda mevcut değil.</t>
  </si>
  <si>
    <t>Künefe - Şu anda mevcut değil.</t>
  </si>
  <si>
    <t>Cevizli Çıtır - Şu anda mevcut değil.</t>
  </si>
  <si>
    <t>Fıstıkzade - Şu anda mevcut değil.</t>
  </si>
  <si>
    <t>Fıstık Rüyası (Dilim) - Şu anda mevcut değil.</t>
  </si>
  <si>
    <t>Karamelli Trileçe (Dilim) - Şu anda mevcut değil.</t>
  </si>
  <si>
    <t>Orman Meyveli Pasta (Dilim) - Şu anda mevcut değil.</t>
  </si>
  <si>
    <t>Çikolatalı Pasta (Dilim) - Şu anda mevcut değil.</t>
  </si>
  <si>
    <t xml:space="preserve">Çiğ köfte, mevsim salata, közlenmiş biber ile </t>
  </si>
  <si>
    <t xml:space="preserve">Tavuk pirzola, tavuk kelebek, tavuk şiş, tavuk biftek, tavuk kanat. Soğan, mevsim salata, közlenmiş domates, közlenmiş biber, çiğ köfte ile </t>
  </si>
  <si>
    <t>Tavuk Kelebek (1 kg.) Menü</t>
  </si>
  <si>
    <t xml:space="preserve">Tavuk Kelebek (1 kg.) (Pişirilmiş) + 2 Adet Ekmek + 2 Adet Ayran (33 cl.) </t>
  </si>
  <si>
    <t xml:space="preserve">Adana kebap, ciğer şiş, ızgara köfte, tavuk pirzola, tavuk kanat, tavuk şiş, tavuk kelebek. Soğan, mevsim salata, közlenmiş domates, közlenmiş biber, çiğ köfte ile </t>
  </si>
  <si>
    <t xml:space="preserve">Soğan, mevsim salata, közlenmiş domates, közlenmiş biber, çiğ köfte ile </t>
  </si>
  <si>
    <t xml:space="preserve">Günün Yemeği + Pirinç Pilavı + Salata + Ayran (20 cl.) </t>
  </si>
  <si>
    <t xml:space="preserve">Domates, soğan, yeşilik ile </t>
  </si>
  <si>
    <t>Avşar Kebap</t>
  </si>
  <si>
    <t xml:space="preserve">Acılı tavuk kıyma kebabı, Soğan, mevsim salata, közlenmiş domates, közlenmiş biber, çiğ köfte ile </t>
  </si>
  <si>
    <t>Patlıcanlı Urfa Kebap</t>
  </si>
  <si>
    <t>Dana Şiş</t>
  </si>
  <si>
    <t>Dana Pirzola - Şu anda mevcut değil.</t>
  </si>
  <si>
    <t>Çiğ Köfte (20 Sıkım)</t>
  </si>
  <si>
    <t xml:space="preserve">Yeşillik, lavaş ekmeği </t>
  </si>
  <si>
    <t>Ayran (33 cl.)</t>
  </si>
  <si>
    <t>Dana Pirzola (1 kg.) (Pişirilmiş)</t>
  </si>
  <si>
    <t>Urfa Kebap (1 kg.) (Pişirilmiş)</t>
  </si>
  <si>
    <t>Tereyağlı Urfa kebap (1 kg.) (Pişirilmiş)</t>
  </si>
  <si>
    <t>Patlıcanlı Kebap (1 kg.) (Pişirilmiş)</t>
  </si>
  <si>
    <t>Beyti Kebap (1 kg.) (Pişirilmiş)</t>
  </si>
  <si>
    <t>Beyti Sarma Kebap (1 kg.) (Pişirilmiş)</t>
  </si>
  <si>
    <t>Kuşbaşı (1 kg.) (Pişirilmiş)</t>
  </si>
  <si>
    <t>Çöp Şiş (1 kg.) (Pişirilmiş)</t>
  </si>
  <si>
    <t>Ciğer Şiş (1 kg.) (Pişirilmiş)</t>
  </si>
  <si>
    <t>Karışık Izgara (1 kg.) (Pişirilmiş)</t>
  </si>
  <si>
    <t xml:space="preserve">Adana kebap, Urfa kebap, ciğer şiş, ızgara köfte, dana şiş. Çiğ köfte, mevsim salata, közlenmiş biber ile </t>
  </si>
  <si>
    <t>Kıyma Kebap (1 kg.) (Pişirilmiş)</t>
  </si>
  <si>
    <t>Tavuk Biftek (1 kg.) (Pişirilmiş)</t>
  </si>
  <si>
    <t>Avşar Kebap (1 kg.) (Pişirilmiş)</t>
  </si>
  <si>
    <t xml:space="preserve">Acılı tavuk kıyma kebabı. Çiğ köfte, mevsim salata, közlenmiş biber ile </t>
  </si>
  <si>
    <t>Karışık Izgara Tavuk (1 kg.) (Pişirilmiş) - Şu anda mevcut değil.</t>
  </si>
  <si>
    <t xml:space="preserve">Tavuk pirzola, tavuk kelebek, tavuk şiş, tavuk biftek, tavuk kanat. Çiğ köfte, mevsim salata, közlenmiş biber ile </t>
  </si>
  <si>
    <t>Seçilmiş Menü (3'lü McChicken™)</t>
  </si>
  <si>
    <t xml:space="preserve">3 Adet McChicken™ + Patates Kızartması (Süper) + Çıtır Soğan (8'li) + Coca-Cola (1 L.) </t>
  </si>
  <si>
    <t>58,50 TL</t>
  </si>
  <si>
    <t>Seçilmiş Menü (Big Mac™ &amp; Daba Daba Burger)</t>
  </si>
  <si>
    <t xml:space="preserve">Big Mac™ + Daba Daba Burger + Patates Kızartması (Süper) + Çıtır Soğan (8'li) + Coca-Cola (1 L.) </t>
  </si>
  <si>
    <t>Seçilmiş Menü (Süperkıyak Burger Klasik + Süperkıyak Burger Barbekü Soslu)</t>
  </si>
  <si>
    <t xml:space="preserve">Süperkıyak Burger Klasik + Süperkıyak Burger (Barbekü soslu) + Patates Kızartması (Büyük) + Coca-Cola (1 L.) </t>
  </si>
  <si>
    <t>Vodafone Menüsü (2'li Çıtır Tavuk Ekstra)</t>
  </si>
  <si>
    <t xml:space="preserve">2 Adet Çıtır Tavuk Extra + Patates Kızartması (Süper) + 2 Adet Coca-Cola (Orta) (400 ml.) 63,48 TL yerine 39,99 TL (Kampanya koşulları için restoranın Promosyonlar bölümüne göz atınız.) </t>
  </si>
  <si>
    <t>63,48 TL</t>
  </si>
  <si>
    <t>Vodafone Menüsü (McChicken™ Menü &amp; Köfteburger)</t>
  </si>
  <si>
    <t xml:space="preserve">McChicken™ + Köfteburger + Patates Kızartması (Büyük) + Coca-Cola (Büyük) (500 ml.) 70,73 TL yerine 44,99 TL (Kampanya koşulları için restoranın Promosyonlar bölümüne göz atınız.) </t>
  </si>
  <si>
    <t>70,73 TL</t>
  </si>
  <si>
    <t>3’lü Big Mac™ Fırsatı</t>
  </si>
  <si>
    <t xml:space="preserve">3 Adet Big Mac™ + 1 Adet Mega Boy Patates + Çıtır Soğan (8'li) + 3 Adet Coca-Cola (Orta) (400 ml.) </t>
  </si>
  <si>
    <t>84,99 TL</t>
  </si>
  <si>
    <t>Bizim 4’lü Menü</t>
  </si>
  <si>
    <t xml:space="preserve">2 Adet Double Köfteburger + 2 Adet Daba Daba Burger + 2 Adet Patates (Orta) + Çıtır Soğan (8'li) + 4 Adet Coca-Cola (Orta) (400 ml.) </t>
  </si>
  <si>
    <t>79,96 TL</t>
  </si>
  <si>
    <t>Efsane 4’lü Menü</t>
  </si>
  <si>
    <t xml:space="preserve">2 Adet Big Mac™ + 2 Adet McChicken™ + 2 Adet Patates (Orta) + Çıtır Soğan (8'li) + 4 Adet Coca-Cola (Orta) (400 ml.) </t>
  </si>
  <si>
    <t>94,00 TL</t>
  </si>
  <si>
    <t>5’li Ortaya Karışık Menü</t>
  </si>
  <si>
    <t xml:space="preserve">1 Adet Süperkıyak Burger + 1 Adet Big Mac™ + 1 Adet McChicken + 1 Adet Double Cheeseburger + 1 Adet Daba Daba Burger + 3 Adet Patates (Orta) + McNuggets(6'lı) + Çıtır Soğan (8'li) + 5 Adet Coca-Cola (Orta) (400 ml.) </t>
  </si>
  <si>
    <t>BigMaç Menü</t>
  </si>
  <si>
    <t xml:space="preserve">2 Adet Big Mac™+ 2 Adet Patates (Orta) + Çıtır Soğan (8'li) + 2 Adet Coca-Cola (Orta) (400 ml.) 67,95 TL yerine 59,99 TL </t>
  </si>
  <si>
    <t>İkili Big Mac™ Menü</t>
  </si>
  <si>
    <t xml:space="preserve">2 Adet Big Mac™ + 2 Adet Patates (Orta) + 2 Adet Coca-Cola (Orta) (400 ml.) </t>
  </si>
  <si>
    <t>2'li McChicken™ Maç Menüsü</t>
  </si>
  <si>
    <t xml:space="preserve">2 Adet McChicken™ + 2 Adet Patates (Orta) + Çıtır Soğan (8'li) + 2 Adet Coca-Cola (Orta) (400 ml.) </t>
  </si>
  <si>
    <t>Efsane İkili (Big Mac™ + McChicken™ )</t>
  </si>
  <si>
    <t xml:space="preserve">Big Mac™ + McChicken™ + Patates Kızartması (Süper) + 2 Adet Coca-Cola (Orta) (400 ml.) </t>
  </si>
  <si>
    <t>Gamer Menü</t>
  </si>
  <si>
    <t xml:space="preserve">Big Mac™ + Patates Kızartması (Büyük) + Chicken McNuggets™ - 6 Parça + Coca-Cola (Büyük) (500 ml.) </t>
  </si>
  <si>
    <t>2’li McChicken™ Fırsatı</t>
  </si>
  <si>
    <t xml:space="preserve">2 Adet McChicken™ + 1 Adet Büyük Boy Patates + 2 Adet Coca-Cola (Orta) (400 ml.) </t>
  </si>
  <si>
    <t>2'li Double Köfteburger Menü</t>
  </si>
  <si>
    <t xml:space="preserve">2 Adet Double Köfteburger + 2 Adet Patates (Orta) + 2 Adet Coca-Cola (Orta) (400 ml.) </t>
  </si>
  <si>
    <t>20’li Nugget Kova Menü</t>
  </si>
  <si>
    <t xml:space="preserve">20’li Nugget + 2 Adet Çıtır Tavuk Extra + 2 Adet Coca-Cola (Orta) (400 ml.) </t>
  </si>
  <si>
    <t>Nuggetlı Karışık Kova Menü</t>
  </si>
  <si>
    <t xml:space="preserve">6’lı Nugget + 1 Adet Orta Boy Patates + Acılı Chicken McBites + 8’li Çıtır Soğan Halkası + 2 Adet Çıtır Tavuk Extra + 2 Adet Coca-Cola (Orta) (400 ml.) </t>
  </si>
  <si>
    <t>2'li Show Menü</t>
  </si>
  <si>
    <t xml:space="preserve">Louisiana Barbekü Soslu Show Burger + Buffalo Soslu Tavuklu Show Burger + 2 Adet Patates (Orta) + 2 Adet Coca-Cola (Orta) (400 ml.) </t>
  </si>
  <si>
    <t>Aile Menüsü</t>
  </si>
  <si>
    <t xml:space="preserve">Happy Meal™ - Etli Burger + McChicken™ Menü (Orta) + Big Mac™ Menü (Büyük) + Çıtır Soğan (8'li) </t>
  </si>
  <si>
    <t>Doğum Günü Menüsü</t>
  </si>
  <si>
    <t xml:space="preserve">Double Köfteburger + McChicken™ + Etli Burger + 2 Adet Orta Boy Patates + 2 Adet Coca-Cola (Orta) (400 ml.) + 1 Adet İçecek (Küçük) (250 ml.) + McFlurry™ - Böğürtlen + Sürpriz Oyuncak + Doğum Günü Seti </t>
  </si>
  <si>
    <t>Big Mac™ Menü</t>
  </si>
  <si>
    <t xml:space="preserve">Big Mac™ + Patates Kızartması (Büyük) + Coca-Cola (33 cl.) </t>
  </si>
  <si>
    <t>McChicken™ Menü</t>
  </si>
  <si>
    <t xml:space="preserve">McChicken + Patates Kızartması (Büyük) + Coca-Cola (33 cl.) </t>
  </si>
  <si>
    <t xml:space="preserve">Double Cheeseburger + Patates Kızartması (Büyük) + Coca-Cola (33 cl.) </t>
  </si>
  <si>
    <t>Double Quarter Pounder Menü</t>
  </si>
  <si>
    <t xml:space="preserve">Double Quarter Pounder + Patates Kızartması (Büyük) + Coca-Cola (33 cl.) </t>
  </si>
  <si>
    <t>Quarter Pounder Menü</t>
  </si>
  <si>
    <t xml:space="preserve">Quarter Pounder + Patates Kızartması (Büyük) + Coca-Cola (33 cl.) </t>
  </si>
  <si>
    <t>McRoyal™ Menü</t>
  </si>
  <si>
    <t xml:space="preserve">McRoyal + Patates Kızartması (Büyük) + Coca-Cola (33 cl.) </t>
  </si>
  <si>
    <t>Acılı Tavuk (Klasik) Menü</t>
  </si>
  <si>
    <t xml:space="preserve">Acılı Tavuk (Klasik) + Patates Kızartması (Büyük) + Coca-Cola (33 cl.) </t>
  </si>
  <si>
    <t>Daba Daba Burger Menü</t>
  </si>
  <si>
    <t xml:space="preserve">Daba Daba Burger + Patates Kızartması (Büyük) + Coca-Cola (33 cl.) </t>
  </si>
  <si>
    <t>Double McChicken Menü</t>
  </si>
  <si>
    <t xml:space="preserve">Double McChicken + Patates Kızartması (Büyük) + Coca-Cola (33 cl.) </t>
  </si>
  <si>
    <t>Louisiana Barbekü Soslu Show Burger Menü</t>
  </si>
  <si>
    <t xml:space="preserve">Louisiana Barbekü Soslu Show Burger + Patates Kızartması (Büyük) + Coca-Cola (33 cl.) </t>
  </si>
  <si>
    <t>Buffalo Soslu Tavuklu Show Burger Menü</t>
  </si>
  <si>
    <t xml:space="preserve">Buffalo Soslu Tavuklu Show Burger + Patates Kızartması (Büyük) + Coca-Cola (33 cl.) </t>
  </si>
  <si>
    <t>Double Köfteburger Menü</t>
  </si>
  <si>
    <t xml:space="preserve">Double Köfteburger + Patates Kızartması (Büyük) + Coca-Cola (33 cl.) </t>
  </si>
  <si>
    <t>Köfteburger Menü</t>
  </si>
  <si>
    <t xml:space="preserve">Köfteburger + Patates Kızartması (Orta) + Coca-Cola (33 cl.) </t>
  </si>
  <si>
    <t xml:space="preserve">Hamburger + Patates Kızartması (Orta) + Coca-Cola (33 cl.) </t>
  </si>
  <si>
    <t>Double Big Mac™ Menü</t>
  </si>
  <si>
    <t xml:space="preserve">Double Big Mac™ + Patates Kızartması (Büyük) + Coca-Cola (33 cl.) </t>
  </si>
  <si>
    <t>Çıtır Tavuk Ekstra Menü</t>
  </si>
  <si>
    <t xml:space="preserve">Çıtır Tavuk Ekstra + Patates Kızartması (Orta) + Coca-Cola (33 cl.) </t>
  </si>
  <si>
    <t>Happy Meal™ - Chicken McNuggets 4 Parça</t>
  </si>
  <si>
    <t xml:space="preserve">Chicken McNuggets 4 Parça + 6'lı Cherry Domates + Ayran (200 ml.) + Sürpriz Oyuncak </t>
  </si>
  <si>
    <t>Happy Meal™ - Etli Burger</t>
  </si>
  <si>
    <t xml:space="preserve">Etli Burger + 6'lı Cherry Domates + Ayran (200 ml.) + Sürpriz Oyuncak </t>
  </si>
  <si>
    <t>Happy Meal™ - Çıtır Tavuklu</t>
  </si>
  <si>
    <t xml:space="preserve">Çıtır Tavuklu Burger + 6'lı Cherry Domates + Ayran (200 ml.) + Sürpriz Oyuncak </t>
  </si>
  <si>
    <t>Acılı Tavuk (Klasik)</t>
  </si>
  <si>
    <t>Louisiana Barbekü Soslu Show Burger</t>
  </si>
  <si>
    <t>Buffalo Soslu Tavuklu Show Burger</t>
  </si>
  <si>
    <t xml:space="preserve">Peynir, marul, çıtır soğan, buffalo sos </t>
  </si>
  <si>
    <t>McChicken™</t>
  </si>
  <si>
    <t>Çıtır Tavuk Ekstra</t>
  </si>
  <si>
    <t>18,99 TL</t>
  </si>
  <si>
    <t>McRoyal™</t>
  </si>
  <si>
    <t>Quarter Pounder</t>
  </si>
  <si>
    <t>Double Köfteburger</t>
  </si>
  <si>
    <t>Köfteburger</t>
  </si>
  <si>
    <t>Daba Daba Burger</t>
  </si>
  <si>
    <t>Double Big Mac™</t>
  </si>
  <si>
    <t>Double McChicken</t>
  </si>
  <si>
    <t>Double Quarter Pounder</t>
  </si>
  <si>
    <t>Big Mac™</t>
  </si>
  <si>
    <t>Karışık Atıştırmalık Kova</t>
  </si>
  <si>
    <t xml:space="preserve">Chicken McNuggets™ 4 Parça + Çıtır Soğan (5'li) + Acılı Chicken McBites </t>
  </si>
  <si>
    <t>Chicken McNuggets™ - 6 Parça</t>
  </si>
  <si>
    <t>Chicken McNuggets™ - 9 Parça</t>
  </si>
  <si>
    <t>Patates Kızartması (Mega)</t>
  </si>
  <si>
    <t>Patates Kızartması (Süper)</t>
  </si>
  <si>
    <t>Çıtır Soğan (8'li)</t>
  </si>
  <si>
    <t>Çıtır Soğan (12'li)</t>
  </si>
  <si>
    <t>Çıtır Soğan (16'lı)</t>
  </si>
  <si>
    <t>Acılı Chicken McBites</t>
  </si>
  <si>
    <t>McFlurry™ - Dondurma</t>
  </si>
  <si>
    <t xml:space="preserve">Bonibon / Böğürtlen / Sade </t>
  </si>
  <si>
    <t>Çikolatalı Muffin</t>
  </si>
  <si>
    <t>Çikolatalı Donut</t>
  </si>
  <si>
    <t>Tarçınlı Donut</t>
  </si>
  <si>
    <t>Fındıklı Cookie</t>
  </si>
  <si>
    <t>Çuros Çikolata Soslu</t>
  </si>
  <si>
    <t>Çuros Karamel Soslu</t>
  </si>
  <si>
    <t>Coca-Cola</t>
  </si>
  <si>
    <t xml:space="preserve">Büyük Boy (500 ml.), Orta Boy (400 ml.), Küçük Boy (250 ml.), Süper Boy (750 ml.) </t>
  </si>
  <si>
    <t>8,75 TL</t>
  </si>
  <si>
    <t>Coca-Cola Light</t>
  </si>
  <si>
    <t>Fanta</t>
  </si>
  <si>
    <t>Sprite</t>
  </si>
  <si>
    <t>Fuse Tea</t>
  </si>
  <si>
    <t xml:space="preserve">Büyük Boy (500 ml.), Orta Boy (400 ml.), Küçük Boy (250 ml.), Süper Boy (750 ml.) (Limon / Şeftali) </t>
  </si>
  <si>
    <t>Milk Shake</t>
  </si>
  <si>
    <t xml:space="preserve">Büyük Boy (500 ml.), Orta Boy (400 ml.) (Çikolata / Çilek) </t>
  </si>
  <si>
    <t>10,75 TL</t>
  </si>
  <si>
    <t>Ayran</t>
  </si>
  <si>
    <t xml:space="preserve">200 ml. </t>
  </si>
  <si>
    <t xml:space="preserve">330 ml. </t>
  </si>
  <si>
    <t>UHT Süt (200 ml.)</t>
  </si>
  <si>
    <t>Hardal Sos</t>
  </si>
  <si>
    <t>Çikolatalı Soğuk Baklava (1 kg.)</t>
  </si>
  <si>
    <t>Sütlü Kadayıf</t>
  </si>
  <si>
    <t>Havuç Dilimi Baklava</t>
  </si>
  <si>
    <t>Çikolatalı Soğuk Baklava</t>
  </si>
  <si>
    <t>Dürüm Kadayıf</t>
  </si>
  <si>
    <t>Fıstıklı Kadayıf</t>
  </si>
  <si>
    <t>Katmerli Kadayıf</t>
  </si>
  <si>
    <t>Sade Dondurma (250 gr.)</t>
  </si>
  <si>
    <t>Sade Baton Dondurma (500 gr.)</t>
  </si>
  <si>
    <t>Sade &amp; Kakao Dondurma (500 gr.)</t>
  </si>
  <si>
    <t>Sade &amp; Kakao &amp; Antep Fıstıklı Dondurma (500 gr.)</t>
  </si>
  <si>
    <t>Kakaolu Dondurma (500 gr.)</t>
  </si>
  <si>
    <t>Sütlü Künefe</t>
  </si>
  <si>
    <t>Beyaz Çikolatalı Baklava</t>
  </si>
  <si>
    <t>Yaprak Sarma Baklava</t>
  </si>
  <si>
    <t>Kırışık Baklava</t>
  </si>
  <si>
    <t>Kuru Baklava</t>
  </si>
  <si>
    <t>MDK Özel Kesim Baklava</t>
  </si>
  <si>
    <t>Midye Dolma Baklava</t>
  </si>
  <si>
    <t>Sütlü Baklava</t>
  </si>
  <si>
    <t>Boz Antep Fıstığı (500 gr.)</t>
  </si>
  <si>
    <t>Kuşgözü Baklava</t>
  </si>
  <si>
    <t>Cevizli Kelebek</t>
  </si>
  <si>
    <t>Dilber Dudağı</t>
  </si>
  <si>
    <t>Fıstıkzade</t>
  </si>
  <si>
    <t>Saray Burma</t>
  </si>
  <si>
    <t>Şöbiyet</t>
  </si>
  <si>
    <t>Kayısı Kola (25 cl.)</t>
  </si>
  <si>
    <t>Kayısı Kola Sarı (25 cl.)</t>
  </si>
  <si>
    <t>Kayısı Kola Gazoz (25 cl.)</t>
  </si>
  <si>
    <t>Kırmızı Meyveli Soda (20 cl.)</t>
  </si>
  <si>
    <t>Dürüm Kadayıf (1 kg.)</t>
  </si>
  <si>
    <t>Fıstıklı Kadayıf (1 kg.)</t>
  </si>
  <si>
    <t>Katmerli Kadayıf (1 kg.)</t>
  </si>
  <si>
    <t>Sütlü Kadayıf (1 kg.)</t>
  </si>
  <si>
    <t>Beyaz Çikolatalı Baklava (1 kg.)</t>
  </si>
  <si>
    <t>Yaprak Sarma Baklava (1 kg.)</t>
  </si>
  <si>
    <t>Havuç Dilimi Baklava (1 kg.)</t>
  </si>
  <si>
    <t>Kırışık Baklava (1 kg.)</t>
  </si>
  <si>
    <t>MDK Özel Kesim Baklava (1 kg.)</t>
  </si>
  <si>
    <t>Midye Dolma Baklava (1 kg.)</t>
  </si>
  <si>
    <t>Sütlü Baklava (1 kg.)</t>
  </si>
  <si>
    <t>Cevizli Kelebek (1 kg.)</t>
  </si>
  <si>
    <t>Dilber Dudağı (1 kg.)</t>
  </si>
  <si>
    <t>Fıstıkzade (1 kg.)</t>
  </si>
  <si>
    <t>Saray Burma (1 kg.)</t>
  </si>
  <si>
    <t>Şöbiyet (1 kg.)</t>
  </si>
  <si>
    <t>Seçilmiş Menü (Hasır Kadayıf (2 Kişilik))</t>
  </si>
  <si>
    <t xml:space="preserve">Hasır Kadayıf (2 Kişilik) + Coca-Cola (33 cl.) </t>
  </si>
  <si>
    <t>Peynirli Fıstıklı Künefe</t>
  </si>
  <si>
    <t xml:space="preserve">Taze doğranmış kadayıfların arasına tuzsuz, yağlı peynir ve fıstık parçaları ilavesi ile kısık ateşte pişirilir. Özel kıvamlı şerbeti ve Antep fıstığı ile servis edilir. </t>
  </si>
  <si>
    <t xml:space="preserve">Taze doğranmış kadayıfların arasına tuzsuz, yağlı peynir ilavesi ile kısık ateşte pişirilir. Özel kıvamlı şerbeti ve Antep fıstığı ile servis edilir. </t>
  </si>
  <si>
    <t>Cennet Çamuru (2 Kişilik)</t>
  </si>
  <si>
    <t xml:space="preserve">Taze çekilmiş Antep fıstığı ve taze doğranmış kadayıfların arasına süt kaymağı ve iri fındık ilavesi ile kısık ateşte pişirilir. Özel kıvamlı şerbeti ile servis edilir. </t>
  </si>
  <si>
    <t xml:space="preserve">Taze doğranmış kadayıfların arasına Antep fıstığı ilave edilerek kısık ateşte pişirilir. Özel kıvamlı şerbeti ile servis edilir. </t>
  </si>
  <si>
    <t>Hasır Kadayıf (2 Kişilik)</t>
  </si>
  <si>
    <t xml:space="preserve">Hasır kadayıf arasına süt kaymağı ve tüm çekilmiş fıstık ilave edilerek kısık ateşte pişirilir. Özel kıvamlı şerbeti ile servis edilir. </t>
  </si>
  <si>
    <t>Edem Kaymaklım (2 kişilik )</t>
  </si>
  <si>
    <t xml:space="preserve">Taze doğranmış kadayıf, Antep fıstığı, süt kaymağı ile servis edilir. </t>
  </si>
  <si>
    <t>Fıstık Hasır Kadayıf (2 kişilik)</t>
  </si>
  <si>
    <t xml:space="preserve">Tüm Antep fıstığı ve hasır kadayıf arasına süt kaymağı ve fıstık konularak, kısık ateşte özenle pişirilir. Özel kıvamlı şerbeti ile servis edilir. </t>
  </si>
  <si>
    <t>Meyveli Karışık Dondurma 2 (500 gr.)</t>
  </si>
  <si>
    <t xml:space="preserve">Limonlu, çilekli, orman meyvesili, şirinler </t>
  </si>
  <si>
    <t>Kesme Dondurma</t>
  </si>
  <si>
    <t xml:space="preserve">Taze keçi ve inek sütlerinin şeker ve salep ile karışımında, geleneksel yöntemler ile imal edilmiştir. </t>
  </si>
  <si>
    <t>Külah (5 Adet)</t>
  </si>
  <si>
    <t>Kazandibi (150 gr.)</t>
  </si>
  <si>
    <t>Soda (20 cl)</t>
  </si>
  <si>
    <t>Baklava (500 gr.)</t>
  </si>
  <si>
    <t xml:space="preserve">Domates, maydanoz, isteğe göre soğan. Yeşillik, turşu, limon ile </t>
  </si>
  <si>
    <t xml:space="preserve">Ketçap ve mayonez ile </t>
  </si>
  <si>
    <t>Ekmek Arası Tavuk Tantuni Menü</t>
  </si>
  <si>
    <t xml:space="preserve">Ekmek Arası Tavuk Tantuni + Patates Kızartması (Orta) + Kutu İçecek </t>
  </si>
  <si>
    <t xml:space="preserve">Tavuk Tantuni Dürüm + Patates Kızartması (Orta) + Kutu İçecek </t>
  </si>
  <si>
    <t>Ekmek Arası Et Tantuni Menü</t>
  </si>
  <si>
    <t xml:space="preserve">Ekmek Arası Et Tantuni + Patates Kızartması (Orta) + Kutu İçecek </t>
  </si>
  <si>
    <t xml:space="preserve">Et Tantuni Dürüm + Patates Kızartması (Orta) + Kutu İçecek </t>
  </si>
  <si>
    <t>Aile Boyu Et Tantuni XL Menü</t>
  </si>
  <si>
    <t xml:space="preserve">5 Adet Et Tantuni + Yeşillik + Turşu + Limon + Coca-Cola (1 L.) </t>
  </si>
  <si>
    <t>6'lı Tavuk Tantuni</t>
  </si>
  <si>
    <t xml:space="preserve">Seçeceğiniz 6 Adet Tavuk Tantuni </t>
  </si>
  <si>
    <t xml:space="preserve">Domates, maydanoz, isteğe göre soğan, kaşar peyniri, turşu, limon, yeşillik ile </t>
  </si>
  <si>
    <t>Kaşarlı Somun Ekmek Arası Et Tantuni</t>
  </si>
  <si>
    <t>Double Et Tantuni Dürüm</t>
  </si>
  <si>
    <t>Double Tavuk Tantuni Dürüm</t>
  </si>
  <si>
    <t xml:space="preserve">Maydanoz, domates, soğan. Limon, roka, kuzu kulağı ve turşu ile </t>
  </si>
  <si>
    <t>Jumbo Tavuk Tantuni Menü</t>
  </si>
  <si>
    <t xml:space="preserve">Tavuk Tantuni + Patates Kızartması + Ayran (30 cl.) </t>
  </si>
  <si>
    <t>Patates Kızartması (Standart)</t>
  </si>
  <si>
    <t>Vodafone Menüsü (Tavuk Tantuni Dürüm) - Şu anda mevcut değil.</t>
  </si>
  <si>
    <t xml:space="preserve">Tavuk Tantuni Dürüm + Açık Ayran (20 cl.) (Kampanya koşulları için restoranın Promosyonlar bölümüne göz atınız. İndirimli fiyat ürün sepete eklendikten sonra uygulanır.) </t>
  </si>
  <si>
    <t>Vodafone Menüsü (Et Tantuni Dürüm) - Şu anda mevcut değil.</t>
  </si>
  <si>
    <t xml:space="preserve">Et Tantuni Dürüm + Açık Ayran (20 cl.) (Kampanya koşulları için restoranın Promosyonlar bölümüne göz atınız. İndirimli fiyat ürün sepete eklendikten sonra uygulanır.) </t>
  </si>
  <si>
    <t>XXL Süper Karışık Menü</t>
  </si>
  <si>
    <t xml:space="preserve">Seçeceğiniz Tavuk Tantuni (3 Adet) + Seçeceğiniz Et Tantuni (3 Adet) + Turşu + Coca-Cola (1 L.) </t>
  </si>
  <si>
    <t>XXL Jumbo Kasap Köfte Menü</t>
  </si>
  <si>
    <t xml:space="preserve">6 Adet Köfte Dürüm + Karışık Turşu + Limon + 6 Adet Ayran (17 cl.) </t>
  </si>
  <si>
    <t>XXL Tavuk Tantuni Burger Menü</t>
  </si>
  <si>
    <t xml:space="preserve">6 Adet Tavuk Burger + Duble Patates Kızartması + Karışık Turşu + Limon + Pepsi (1 L.) </t>
  </si>
  <si>
    <t>Jumbo Tavuk Malatyam Menü</t>
  </si>
  <si>
    <t xml:space="preserve">Tam Lavaş Ekmek Tavuk Tantuni + Tam Lavaş Ekmeği Çiğ Köfte Dürüm + Karışık Turşu + Ayran (17 cl.) </t>
  </si>
  <si>
    <t>XXL Et Tantuni Burger Menü</t>
  </si>
  <si>
    <t xml:space="preserve">6 Adet Et Burger + Duble Patates + Karışık Turşu + Pepsi (1 L.) </t>
  </si>
  <si>
    <t>Jumbo Çiğ Köfte Menü</t>
  </si>
  <si>
    <t xml:space="preserve">Çiğ Köfte + Salata + Karışık Turşu + Limon + Ekmek + Ayran (17 cl.) </t>
  </si>
  <si>
    <t xml:space="preserve">6 Adet Çiğ Köfte Dürüm + Karışık Turşu + Limon + Pepsi (1 L.) </t>
  </si>
  <si>
    <t>Jumbo Et Tantuni Menü</t>
  </si>
  <si>
    <t xml:space="preserve">Et Tantuni + Patates Kızartması + Ayran (30 cl.) </t>
  </si>
  <si>
    <t>Jumbo Tavuk XXL Menü</t>
  </si>
  <si>
    <t xml:space="preserve">6 Adet Tavuk Tantuni Dürüm + Pepsi (1 L.) </t>
  </si>
  <si>
    <t>Jumbo Et Tantuni XXL Menü</t>
  </si>
  <si>
    <t xml:space="preserve">6 Adet Et Tantuni Dürüm + Pepsi (1 L.) </t>
  </si>
  <si>
    <t>Jumbo Et Tantuni Menü 2</t>
  </si>
  <si>
    <t xml:space="preserve">Et Tantuni + Patates Kızartması + İçecek </t>
  </si>
  <si>
    <t>Jumbo Tavuk Tanuni Menü 2</t>
  </si>
  <si>
    <t>Chef'in Ekonomik Menüsü</t>
  </si>
  <si>
    <t xml:space="preserve">3 Adet Tavuk Tantuni + Et Tantuni + Duble Patates Kızartması + Limon + Biber + Turşu + Pepsi (1 L.) </t>
  </si>
  <si>
    <t>İkiz Burger Menü</t>
  </si>
  <si>
    <t xml:space="preserve">2 Adet Tavuk Tantuni Burger + Patates Kızartması (Orta) + İçecek </t>
  </si>
  <si>
    <t>Chef Ekoburger Menü</t>
  </si>
  <si>
    <t xml:space="preserve">2 Adet Tavuk Tantuni Burger + 2 Adet Et Tantuni Burger + Patates Kızartması (Büyük) + Biber Turşusu + Limon + Karışık Turşu + Pepsi (1 L.) </t>
  </si>
  <si>
    <t>Chef Et Tantuni Burger Menü</t>
  </si>
  <si>
    <t xml:space="preserve">Chef Et Tantuni Burger + Ayran (30 cl.) </t>
  </si>
  <si>
    <t>Chef Et Tantuni Cheeseburger Menü</t>
  </si>
  <si>
    <t xml:space="preserve">Chef Et Tantuni Cheeseburger + Kutu İçecek </t>
  </si>
  <si>
    <t>Chef Tavuk Tantuni Cheeseburger Menü</t>
  </si>
  <si>
    <t xml:space="preserve">Chef Tavuk Tantuni Cheeseburger + Ayran (30 cl.) </t>
  </si>
  <si>
    <t>Chef Tavuk Tantuni Burger Menü</t>
  </si>
  <si>
    <t xml:space="preserve">Chef Tavuk Tantuni Burger + Kutu İçecek </t>
  </si>
  <si>
    <t>Chef Et Tantuni Burger</t>
  </si>
  <si>
    <t xml:space="preserve">Marul, domates, soğan, maydanoz, mayonez, ketçap </t>
  </si>
  <si>
    <t>Chef Et Tantuni Cheeseburger</t>
  </si>
  <si>
    <t xml:space="preserve">Marul, domates, soğan, maydanoz, mayonez, ketçap, cheddar peyniri </t>
  </si>
  <si>
    <t>Et Tantuni Tabağı</t>
  </si>
  <si>
    <t xml:space="preserve">110 gr. et tantuni, salata, limon, karışık turşu </t>
  </si>
  <si>
    <t>Biftek Et Tantuni (Lavaş)</t>
  </si>
  <si>
    <t xml:space="preserve">Biber turşusu, karışık turşu, limon </t>
  </si>
  <si>
    <t>Biftek Et Tantuni (Somun)</t>
  </si>
  <si>
    <t>Kaşar Peynirli Et Tantuni</t>
  </si>
  <si>
    <t>Chef Tavuk Tantuni Burger</t>
  </si>
  <si>
    <t>Chef Tavuk Tantuni Cheeseburger</t>
  </si>
  <si>
    <t>Tavuk Tantuni Tabağı</t>
  </si>
  <si>
    <t xml:space="preserve">110 gr. tavuk tantuni, salata, limon, karışık turşu </t>
  </si>
  <si>
    <t>Kaşar Peynirli Tavuk Tantuni</t>
  </si>
  <si>
    <t>Patates Kızartması (Jumbo)</t>
  </si>
  <si>
    <t>Mevsim Salata (Standart)</t>
  </si>
  <si>
    <t>Colorado Ranch Sos</t>
  </si>
  <si>
    <t xml:space="preserve">20 gr. </t>
  </si>
  <si>
    <t>Colorado Barbeque Sos</t>
  </si>
  <si>
    <t xml:space="preserve">22 gr. </t>
  </si>
  <si>
    <t xml:space="preserve">Soğan, maydanoz, domates </t>
  </si>
  <si>
    <t>Somun Ekmek Arası Tavuk Tantuni Dürüm</t>
  </si>
  <si>
    <t>Vodafone Menüsü (Çiğ Köfte (750 gr.)) - Şu anda mevcut değil.</t>
  </si>
  <si>
    <t xml:space="preserve">Çiğ Köfte (750 gr.) + Ayran (20 cl.) (Kampanya koşulları için restoranın Promosyonlar bölümüne göz atınız. İndirimli fiyat ürün sepete eklendikten sonra uygulanır.) </t>
  </si>
  <si>
    <t>Vodafone Menüsü (Çiğ Köfte (1 kg.))</t>
  </si>
  <si>
    <t xml:space="preserve">Çiğ Köfte (1 kg.)) + Pepsi (1 L.) </t>
  </si>
  <si>
    <t>Çiğ Köfte Duble Dürüm</t>
  </si>
  <si>
    <t xml:space="preserve">150 gr. çiğ köfte, domates, salatalık, kıvırcık marul, limon, sos, nar ekşisi </t>
  </si>
  <si>
    <t xml:space="preserve">130 gr. çiğ köfte, domates, salatalık, kıvırcık marul, limon, sos, nar ekşisi </t>
  </si>
  <si>
    <t xml:space="preserve">100 gr. çiğ köfte, domates, salatalık, kıvırcık marul, limon, sos, nar ekşisi </t>
  </si>
  <si>
    <t xml:space="preserve">2 adet lavaş, kıvırcık marul, nane, maydanoz, turşu, limon, sos, nar ekşisi ile </t>
  </si>
  <si>
    <t xml:space="preserve">6 adet lavaş, kıvırcık marul, nane, maydanoz, sos, nar ekşisi ile </t>
  </si>
  <si>
    <t xml:space="preserve">8 adet lavaş, kıvırcık marul, nane, maydanoz, limon, sos, nar ekşisi ile </t>
  </si>
  <si>
    <t>İzmir Bomba Tatlısı (Adet)</t>
  </si>
  <si>
    <t>Ekler (Büyük)</t>
  </si>
  <si>
    <t>Fıstıklı Maraş Kadayıf (1 kg.)</t>
  </si>
  <si>
    <t>Mag</t>
  </si>
  <si>
    <t>Trileçe</t>
  </si>
  <si>
    <t>Ekler (Küçük)</t>
  </si>
  <si>
    <t>Kare Katmer</t>
  </si>
  <si>
    <t>Simit Katmer</t>
  </si>
  <si>
    <t>Meyveli Simit Katmer Tatlısı</t>
  </si>
  <si>
    <t xml:space="preserve">Meyvsim meyveleri </t>
  </si>
  <si>
    <t>Dondurmalı Çikolatalı İrmik Helvası</t>
  </si>
  <si>
    <t>Dondurmalı Fıstıklı İrmik Helvası</t>
  </si>
  <si>
    <t>Dondurmalı İrmik Helvası</t>
  </si>
  <si>
    <t>Baton Yaş Pasta</t>
  </si>
  <si>
    <t>Yaş Pasta (Tek Kişilik)</t>
  </si>
  <si>
    <t>Pizza (Orta)</t>
  </si>
  <si>
    <t xml:space="preserve">Sucuk, kaşar peyniri, zeytin, biber. Patates kızartması ile </t>
  </si>
  <si>
    <t xml:space="preserve">Marul, cheddar peyniri, domates Patates kızartması, soğan halkası ile </t>
  </si>
  <si>
    <t xml:space="preserve">Marul, cheddar peyniri, domates. Patates kızartması, soğan halkası ile </t>
  </si>
  <si>
    <t>Nugget Tabağı</t>
  </si>
  <si>
    <t>Şnitzel Tabağı</t>
  </si>
  <si>
    <t xml:space="preserve">Tavuk şnitzel, patates kızartması, soğan halkası, sosis </t>
  </si>
  <si>
    <t>Yaş Pasta (10 Kişilik)</t>
  </si>
  <si>
    <t>Billuriye Künefe (1 Kişilik)</t>
  </si>
  <si>
    <t>Bol Fıstıklı Künefe (1 Kişilik)</t>
  </si>
  <si>
    <t>Cennet Çamuru (1 Kişilik)</t>
  </si>
  <si>
    <t>Special Künefe (1 Kişilik)</t>
  </si>
  <si>
    <t>Hasır Künefe (1 Kişilik)</t>
  </si>
  <si>
    <t>Kaymaklı Künefe (1 Kişilik)</t>
  </si>
  <si>
    <t>Parça Fıstıklı Künefe (1 Kişilik)</t>
  </si>
  <si>
    <t>Peynirli Künefe (1 Kişilik)</t>
  </si>
  <si>
    <t>Billuriye Künefe (2 Kişilik)</t>
  </si>
  <si>
    <t>Bol Fıstıklı Künefe (2 Kişilik)</t>
  </si>
  <si>
    <t>Cevizzade Künefe (2 Kişilik)</t>
  </si>
  <si>
    <t>Hasır Künefe (2 Kişilik)</t>
  </si>
  <si>
    <t>Kaymaklı Künefe (2 Kişilik)</t>
  </si>
  <si>
    <t>Mozaik Künefe (2 Kişilik)</t>
  </si>
  <si>
    <t>Parça Fıstıklı Künefe (2 Kişilik)</t>
  </si>
  <si>
    <t>Peynirli Künefe (2 Kişilik)</t>
  </si>
  <si>
    <t>Special Künefe (2 Kişilik)</t>
  </si>
  <si>
    <t>Altısı Bir Arada Künefe (4 Kişilik)</t>
  </si>
  <si>
    <t>Billuriye Künefe (4 Kişilik)</t>
  </si>
  <si>
    <t>Bol Fıstıklı Künefe (4 Kişilik)</t>
  </si>
  <si>
    <t>Cennet Çamuru (4 Kişilik)</t>
  </si>
  <si>
    <t>Cevizzade Künefe (4 Kişilik)</t>
  </si>
  <si>
    <t>Hasır Künefe (4 Kişilik)</t>
  </si>
  <si>
    <t>Kaymaklı Künefe (4 Kişilik)</t>
  </si>
  <si>
    <t>Mozaik Künefe (4 Kişilik)</t>
  </si>
  <si>
    <t>Parça Fıstıklı Künefe (4 Kişilik)</t>
  </si>
  <si>
    <t>Peynirli Künefe (4 Kişilik)</t>
  </si>
  <si>
    <t>Special Künefe (4 Kişilik)</t>
  </si>
  <si>
    <t>Altısı Bir Arada Künefe (6 Kişilik)</t>
  </si>
  <si>
    <t>Billuriye Künefe (6 Kişilik)</t>
  </si>
  <si>
    <t>Bol Fıstıklı Künefe (6 Kişilik)</t>
  </si>
  <si>
    <t>Cennet Çamuru (6 Kişilik)</t>
  </si>
  <si>
    <t>Cevizzade Künefe (6 Kişilik)</t>
  </si>
  <si>
    <t>Hasır Künefe (6 Kişilik)</t>
  </si>
  <si>
    <t>Kaymaklı Künefe (6 Kişilik)</t>
  </si>
  <si>
    <t>Mozaik Künefe (6 Kişilik)</t>
  </si>
  <si>
    <t>Parça Fıstıklı Künefe (6 Kişilik</t>
  </si>
  <si>
    <t>Peynirli Künefe (6 Kişilik)</t>
  </si>
  <si>
    <t>Special Künefe (6 Kişilik)</t>
  </si>
  <si>
    <t>Ağın Leblebisi (500 gr.)</t>
  </si>
  <si>
    <t>Antep Fıstığı (250 gr.)</t>
  </si>
  <si>
    <t>Fındık İçi (250 gr.)</t>
  </si>
  <si>
    <t>Kaju Fıstığı (250 gr.)</t>
  </si>
  <si>
    <t>Maraş Çikolatalı &amp; Sade Dondurma (500 gr.)</t>
  </si>
  <si>
    <t>Maraş Meyveli Dondurma (500 gr.)</t>
  </si>
  <si>
    <t>Maraş Sade Dondurma (500 gr.)</t>
  </si>
  <si>
    <t>Ankara Dürüm (1 kg.)</t>
  </si>
  <si>
    <t>Bülbülyuvası (1 kg.)</t>
  </si>
  <si>
    <t>Cevizli Gözde (1 kg.)</t>
  </si>
  <si>
    <t>Cevizli Gülzade (1 kg.)</t>
  </si>
  <si>
    <t>Cevizli Kıvrım (1 kg.)</t>
  </si>
  <si>
    <t>Cevizli Örgü (1 kg.)</t>
  </si>
  <si>
    <t>Cevizli Şöbiyet (1 kg.)</t>
  </si>
  <si>
    <t>Cevizli Tel Kadayıf (1 kg.)</t>
  </si>
  <si>
    <t>Çimdik Baklava (1 kg.)</t>
  </si>
  <si>
    <t>Ev Baklavası (1 kg.)</t>
  </si>
  <si>
    <t>135,00 TL</t>
  </si>
  <si>
    <t>Fıstıklı Gülzade (1 kg.)</t>
  </si>
  <si>
    <t>Fıstıklı Kıvrım (1 kg.)</t>
  </si>
  <si>
    <t>Fıstıklı Örgü (1 kg.)</t>
  </si>
  <si>
    <t>Fıstıklı Sütlü Çikolatalı Baklava (1 kg.)</t>
  </si>
  <si>
    <t>Fıstıklı Sütlü Bitter Baklava (1 kg.)</t>
  </si>
  <si>
    <t>Hint Burması (1 kg.)</t>
  </si>
  <si>
    <t>Özel Şöbiyet (1 kg.)</t>
  </si>
  <si>
    <t>Şekerpare (1 kg.)</t>
  </si>
  <si>
    <t>Yeşil Gülzade (1 kg.)</t>
  </si>
  <si>
    <t>Küçük Un Kurabiyesi (1 kg.)</t>
  </si>
  <si>
    <t>Büyük Un Kurabiyesi (1 kg.)</t>
  </si>
  <si>
    <t>Elmalı Kuru Pasta (1 kg.)</t>
  </si>
  <si>
    <t>Kandil Simidi (1 kg.)</t>
  </si>
  <si>
    <t>Kuru Pasta (1 kg.)</t>
  </si>
  <si>
    <t>Tarsus Gevreği (1 kg.)</t>
  </si>
  <si>
    <t>İzmir Bombası (Adet)</t>
  </si>
  <si>
    <t>Kare Katmer Tatlısı</t>
  </si>
  <si>
    <t>Pizza (Orta Boy)</t>
  </si>
  <si>
    <t xml:space="preserve">Sucuk, kaşar peyniri, zeytin, biber, mısır. Patates kızartması </t>
  </si>
  <si>
    <t>Vodafone Menüsü (Pizza (Orta Boy))</t>
  </si>
  <si>
    <t xml:space="preserve">Pizza (Orta Boy) + Yedigün (33 cl.) (Kampanya koşulları için restoranın Promosyonlar bölümüne göz atınız. İndirimli fiyat ürün sepete eklendikten sonra uygulanır.) </t>
  </si>
  <si>
    <t>43,50 TL</t>
  </si>
  <si>
    <t xml:space="preserve">Marul, cheddar peyniri, domates, salatalık turşusu. Patates kızartması, soğan halkası ile </t>
  </si>
  <si>
    <t>Nugget Sepeti</t>
  </si>
  <si>
    <t>Lüks Kokteyl Kuruyemiş (250 gr.)</t>
  </si>
  <si>
    <t>Süper Lüks Kokteyl Kuruyemiş (250 gr.)</t>
  </si>
  <si>
    <t>Tuzlu Badem İçi (250 gr.)</t>
  </si>
  <si>
    <t>Salamura Beyaz Ay Çekirdeği (500 gr.)</t>
  </si>
  <si>
    <t>Tuzlu Siyah Çekirdek (500 gr.)</t>
  </si>
  <si>
    <t>Tuzsuz Kabak Çekirdeği (250 gr.)</t>
  </si>
  <si>
    <t>Tuzlu Kabak Çekirdeği (250 gr.)</t>
  </si>
  <si>
    <t>Leblebi (500 gr.)</t>
  </si>
  <si>
    <t>Tuzlu Yer Fıstığı (500 gr.)</t>
  </si>
  <si>
    <t>Soslu Çıtır Çubuk (500 gr.)</t>
  </si>
  <si>
    <t>Kuru Üzüm (250 gr.)</t>
  </si>
  <si>
    <t>Çikolatalı Pasta (Baton)</t>
  </si>
  <si>
    <t>Meyveli Pasta (Baton)</t>
  </si>
  <si>
    <t>Simit Katmer Tatlısı</t>
  </si>
  <si>
    <t>Çikolatalı Pasta (4 Kişilik)</t>
  </si>
  <si>
    <t>Meyveli Pasta (4 Kişilik)</t>
  </si>
  <si>
    <t>Çikolatalı Pasta (6 Kişilik)</t>
  </si>
  <si>
    <t>Meyveli Pasta (6 Kişilik)</t>
  </si>
  <si>
    <t>Çikolatalı Pasta (8 Kişilik)</t>
  </si>
  <si>
    <t>Meyveli Pasta (8 Kişilik)</t>
  </si>
  <si>
    <t>Meyveli Pasta (10 Kişilik)</t>
  </si>
  <si>
    <t>Çikolatalı Pasta (10 Kişilik)</t>
  </si>
  <si>
    <t xml:space="preserve">Toz Antep fıstığı, peynir, üzerinde parça Antep fıstığı </t>
  </si>
  <si>
    <t>Parça Fıstıklı Künefe (6 Kişilik)</t>
  </si>
  <si>
    <t xml:space="preserve">Hasır, peynir, parça Antep fıstığı </t>
  </si>
  <si>
    <t xml:space="preserve">Badem, toz Antep fıstık, parça Antep fıstığı, fındık, tane Antep fıstığı </t>
  </si>
  <si>
    <t>İsme Özel Künefe (6 Kişilik)</t>
  </si>
  <si>
    <t xml:space="preserve">(Lütfen sipariş notunda ismi belirtiniz.) </t>
  </si>
  <si>
    <t>İsme Özel Künefe (4 Kişilik)</t>
  </si>
  <si>
    <t xml:space="preserve">(Sipariş notunda ismi belirtiniz.) </t>
  </si>
  <si>
    <t>İsme Özel Künefe (2 Kişilik)</t>
  </si>
  <si>
    <t>Cevizzade Künefe (1 Kişilik)</t>
  </si>
  <si>
    <t>Fıstıklı Kıvrım Baklava (1 kg.)</t>
  </si>
  <si>
    <t>Fıstıklı Örgü Baklava (1 kg.)</t>
  </si>
  <si>
    <t>Yaprak Şöbiyet (1 kg.)</t>
  </si>
  <si>
    <t>Cevizli Kıvrım Baklava (1 kg.)</t>
  </si>
  <si>
    <t>Fıstıklı Sütlü Bitter (1 kg.)</t>
  </si>
  <si>
    <t>Sarı Şöbiyet (1 kg.)</t>
  </si>
  <si>
    <t>Cevizli Kuru Baklava (1 kg.)</t>
  </si>
  <si>
    <t>Piramit Baklava (1 kg.)</t>
  </si>
  <si>
    <t>Cevizli Dilber (1 kg.)</t>
  </si>
  <si>
    <t>Cevizli Piramit Baklava (1 kg.)</t>
  </si>
  <si>
    <t>Hint Fıstıklı Rütbe (1 kg.)</t>
  </si>
  <si>
    <t>Gelin Bohçası (1 kg.)</t>
  </si>
  <si>
    <t>Ankara Dürüm Baklava (1 kg.)</t>
  </si>
  <si>
    <t>Fıstıklı Dilber (1 kg.)</t>
  </si>
  <si>
    <t>Tatlı &amp; Tuzlu Kuru Pasta (1 kg.)</t>
  </si>
  <si>
    <t>Un Kurabityesi (Küçük) (1 kg.)</t>
  </si>
  <si>
    <t>Elmalı Pasta (1 kg.)</t>
  </si>
  <si>
    <t>Un Kurabiyesi (Büyük) (1 kg.)</t>
  </si>
  <si>
    <t>İzmir Bomba (Adet)</t>
  </si>
  <si>
    <t>Çikolatalı Yaş Pasta</t>
  </si>
  <si>
    <t>Malaga</t>
  </si>
  <si>
    <t>Meyveli Yaş Pasta</t>
  </si>
  <si>
    <t>Meyveli Mag</t>
  </si>
  <si>
    <t xml:space="preserve">Badem, toz Antep fıstığı, parça Antep fıstığı, fındık, tane Antep fıstığı </t>
  </si>
  <si>
    <t xml:space="preserve">Marul, cheddar peyniri, domates, salatalık turşusu, soğan. Patates kızartması, soğan halkası ile </t>
  </si>
  <si>
    <t>Çikolatalı Yaş Pasta (4 Kişilik)</t>
  </si>
  <si>
    <t>Meyveli Yaş Pasta (4 Kişilik)</t>
  </si>
  <si>
    <t>Çikolatalı Yaş Pasta (6 Kişilik)</t>
  </si>
  <si>
    <t>Meyveli Yaş Pasta (6 Kişilik)</t>
  </si>
  <si>
    <t>Çikolatalı Yaş Pasta (8 Kişilik)</t>
  </si>
  <si>
    <t>Meyveli Yaş Pasta (8 Kişilik)</t>
  </si>
  <si>
    <t>Çikolatalı Yaş Pasta (10 Kişilik)</t>
  </si>
  <si>
    <t>Meyveli Yaş Pasta (10 Kişilik)</t>
  </si>
  <si>
    <t>Karışık Kuru Pasta (1 kg.)</t>
  </si>
  <si>
    <t xml:space="preserve">Tatlı, tuzlu </t>
  </si>
  <si>
    <t>Un Kurabiyesi (Küçük) (1 kg.)</t>
  </si>
  <si>
    <t>Cimcik Baklava (1 kg.)</t>
  </si>
  <si>
    <t xml:space="preserve">2 Adet Dilim Pizza + Patates Kızartması + İçecek </t>
  </si>
  <si>
    <t>2'li Orta Boy Pizza 1</t>
  </si>
  <si>
    <t xml:space="preserve">2 Adet Orta Boy Seçeceğiniz Pizza </t>
  </si>
  <si>
    <t>Dip Dip Menü</t>
  </si>
  <si>
    <t xml:space="preserve">Tam Parça Pizza + 2 Adet Özel Soslu Kanat + Patates Kızartması + İçecek </t>
  </si>
  <si>
    <t xml:space="preserve">Tam Parça Pizza + Patates Kızartması + 3 Adet Soğan Halkası + İçecek </t>
  </si>
  <si>
    <t xml:space="preserve">Double Chicken Burger (Double tavuk, marul, domates) + Patates Kızartması + Kutu İçecek </t>
  </si>
  <si>
    <t>Seçilmiş Menü (Mexico Pizza (Small))</t>
  </si>
  <si>
    <t xml:space="preserve">Mexico Pizza (Small) + Coca-Cola (33 cl.) </t>
  </si>
  <si>
    <t>21,25 TL</t>
  </si>
  <si>
    <t>Vodafone Menüsü (Konyalım Pizza (Small))</t>
  </si>
  <si>
    <t xml:space="preserve">Konyalım Pizza (Small) + Coca-Cola (33 cl.) (Kampanya koşulları için restoranın Promosyonlar bölümüne göz atınız. İndirimli fiyat ürün sepete eklendikten sonra uygulanır.) </t>
  </si>
  <si>
    <t xml:space="preserve">2 Adet Seçeceğiniz Small Pizza + Patates Kızartması + Coca-Cola (1 L.) </t>
  </si>
  <si>
    <t xml:space="preserve">Seçeceğiniz Orta Boy Pizza + Patates Kızartması + İçecek </t>
  </si>
  <si>
    <t xml:space="preserve">2 Adet Hamburger + Büyük Boy Patates Kızartması + 3 Adet Nugget + 3 Adet Soğan Halkası + Coca-Cola (1 L.) </t>
  </si>
  <si>
    <t>2'li Orta Boy Pizza 2</t>
  </si>
  <si>
    <t xml:space="preserve">2 Adet Orta Boy Seçeceğiniz Pizza + Coca-Cola (1 L.) </t>
  </si>
  <si>
    <t>2'li Burger Menü</t>
  </si>
  <si>
    <t xml:space="preserve">2 Adet Hamburger + Patates Kızartması + İçecek </t>
  </si>
  <si>
    <t>2'li Large Pizza Kampanyası</t>
  </si>
  <si>
    <t xml:space="preserve">2 Adet Large Boy Seçeceğiniz Pizza </t>
  </si>
  <si>
    <t xml:space="preserve">Tam Parça Pizza + 3 Adet Nugget + İçecek </t>
  </si>
  <si>
    <t xml:space="preserve">Tam Parça Pizza + Patates Kızartması + 4 Adet Köfte + İçecek </t>
  </si>
  <si>
    <t xml:space="preserve">Tam Parça Pizza + 6 Adet Nugget + İçecek </t>
  </si>
  <si>
    <t xml:space="preserve">Tam Parça Pizza + 2 Adet Soğan Halkası + 3 Adet Nugget </t>
  </si>
  <si>
    <t xml:space="preserve">Tam Parça Pizza + 4 Adet Köfte + 4 Adet Soğan Halkası + 4 Adet Nugget </t>
  </si>
  <si>
    <t>Büyük Boy Pizza Menü</t>
  </si>
  <si>
    <t xml:space="preserve">Seçeceğiniz Large Boy Pizza + Coca-Cola (1 L.) </t>
  </si>
  <si>
    <t>Büyük Boy Pizza Menü 2</t>
  </si>
  <si>
    <t xml:space="preserve">Seçeceğiniz Büyük Large Pizza + Soğan Halkası (5 Adet) + Patates Kızartması + Coca-Cola (1 L.) </t>
  </si>
  <si>
    <t>Köfte Menü</t>
  </si>
  <si>
    <t xml:space="preserve">Izgara Köfte (6 Adet) + Patates Kızartması + Kutu İçecek </t>
  </si>
  <si>
    <t xml:space="preserve">Tavuk Nugget (6 Adet) + Patates Kızartması + Kutu İçecek </t>
  </si>
  <si>
    <t>Özel Soslu Kanat Menü</t>
  </si>
  <si>
    <t xml:space="preserve">Özel Soslu Tavuk Kanat (6 Adet) + Patates Kızartması + Kutu İçecek </t>
  </si>
  <si>
    <t xml:space="preserve">Hamburger (Burger köftesi, marul, domates) + Patates Kızartması + Kutu İçecek </t>
  </si>
  <si>
    <t xml:space="preserve">Double Hamburger (Double burger köftesi, marul, domates) + Patates Kızartması + Kutu İçecek </t>
  </si>
  <si>
    <t xml:space="preserve">Özel sos, pizza peyniri, sucuk </t>
  </si>
  <si>
    <t>Fiesta Pizza (Small)</t>
  </si>
  <si>
    <t xml:space="preserve">Özel sos, pizza peyniri, domates, beyaz peynir, salam, siyah zeytin, kekik </t>
  </si>
  <si>
    <t xml:space="preserve">Özel sos, pizza peyniri, yeşilbiber, mantar, kavurma, domates </t>
  </si>
  <si>
    <t xml:space="preserve">Özel sos, pizza peyniri, yeşilbiber, mantar, sucuk, siyah zeytin </t>
  </si>
  <si>
    <t>Klasik Pizza (Small)</t>
  </si>
  <si>
    <t>Margarita Pizza (Small)</t>
  </si>
  <si>
    <t xml:space="preserve">Özel sos, pizza peyniri, mantar, kaşar peyniri, sucuk, domates, jalapeno biberi </t>
  </si>
  <si>
    <t>Sebzeli Pizza (Small)</t>
  </si>
  <si>
    <t xml:space="preserve">Özel sos, pizza peyniri, yeşilbiber, domates, yeşilzeytin, siyah zeytin, mısır, mantar </t>
  </si>
  <si>
    <t xml:space="preserve">Özel sos, pizza peyniri, yeşilbiber, mantar, sucuk, salam, sosis </t>
  </si>
  <si>
    <t xml:space="preserve">Özel sos, pizza peyniri, salam, sucuk, sosis, mısır, mantar, domates, siyah zeytin </t>
  </si>
  <si>
    <t>Fiesta Pizza (Medium)</t>
  </si>
  <si>
    <t>Klasik Pizza (Medium)</t>
  </si>
  <si>
    <t>Margarita Pizza (Medium)</t>
  </si>
  <si>
    <t>Sebzeli Pizza (Medium)</t>
  </si>
  <si>
    <t>Fiesta Pizza (Large)</t>
  </si>
  <si>
    <t>Klasik Pizza (Large)</t>
  </si>
  <si>
    <t>Margarita Pizza (Large)</t>
  </si>
  <si>
    <t>Sebzeli Pizza (Large)</t>
  </si>
  <si>
    <t>Bol Sucuklu Pizza (XL)</t>
  </si>
  <si>
    <t>Fiesta Pizza (XL)</t>
  </si>
  <si>
    <t>Happy Pizza (XL)</t>
  </si>
  <si>
    <t>Kavurmalı Pizza (XL)</t>
  </si>
  <si>
    <t>Kayseri Ateşi Pizza (XL)</t>
  </si>
  <si>
    <t>Klasik Pizza (XL)</t>
  </si>
  <si>
    <t>Konyalım Pizza (XL)</t>
  </si>
  <si>
    <t>Margarita Pizza (XL)</t>
  </si>
  <si>
    <t>Marios Pizza (XL)</t>
  </si>
  <si>
    <t>Mexico Pizza (XL)</t>
  </si>
  <si>
    <t>Mushroom Pizza (XL)</t>
  </si>
  <si>
    <t>Sebzeli Pizza (XL)</t>
  </si>
  <si>
    <t>Sosyal Pizza (XL)</t>
  </si>
  <si>
    <t>62,00 TL</t>
  </si>
  <si>
    <t>Special Pizza (XL)</t>
  </si>
  <si>
    <t>73,00 TL</t>
  </si>
  <si>
    <t>Fiesta Pizza (Jumbo)</t>
  </si>
  <si>
    <t>Klasik Pizza (Jumbo)</t>
  </si>
  <si>
    <t>Margarita Pizza (Jumbo)</t>
  </si>
  <si>
    <t>Sebzeli Pizza (Jumbo)</t>
  </si>
  <si>
    <t>Soğan Halkası (3 Adet)</t>
  </si>
  <si>
    <t>Özel Soslu Tavuk Kanat (3 Adet)</t>
  </si>
  <si>
    <t>Özel Soslu Kanat Tavuk (6 Adet)</t>
  </si>
  <si>
    <t>Özel Soslu Kanat Tavuk (8 Adet)</t>
  </si>
  <si>
    <t>Nugget (3 Adet)</t>
  </si>
  <si>
    <t>Nugget (8 Adet)</t>
  </si>
  <si>
    <t xml:space="preserve">80 gr. Adana kebap, isteğe göre soğan. Közlenmiş biber ile </t>
  </si>
  <si>
    <t xml:space="preserve">Salata, közlenmiş biber, közlenmiş domates, meze ile </t>
  </si>
  <si>
    <t xml:space="preserve">130 gr. tavuk şiş, isteğe göre soğan. Közlenmiş biber ile </t>
  </si>
  <si>
    <t>Patlıcanlı Kebap - Şu anda mevcut değil.</t>
  </si>
  <si>
    <t>Tavuk Yaprak Kanat (400 gr.)</t>
  </si>
  <si>
    <t>Kuzu Şiş</t>
  </si>
  <si>
    <t xml:space="preserve">400 gr. tavuk kanat. Salata, közlenmiş biber, közlenmiş domates, meze ile </t>
  </si>
  <si>
    <t xml:space="preserve">400 gr. tavuk şiş. Salata, közlenmiş biber, közlenmiş domates, meze ile </t>
  </si>
  <si>
    <t xml:space="preserve">400 gr. tavuk pirzola. Salata, közlenmiş biber, közlenmiş domates, meze ile </t>
  </si>
  <si>
    <t xml:space="preserve">400 gr. tavuk kelebek. Salata, közlenmiş biber, közlenmiş domates, meze ile </t>
  </si>
  <si>
    <t xml:space="preserve">(400 gr.) Izgara tavuk, tavuk şiş. Salata, közlenmiş biber, közlenmiş domates, meze ile </t>
  </si>
  <si>
    <t xml:space="preserve">İsteğe göre soğan. Közlenmiş biber ile </t>
  </si>
  <si>
    <t xml:space="preserve">80 gr. Urfa kebap, isteğe göre soğan. Közlenmiş biber ile </t>
  </si>
  <si>
    <t xml:space="preserve">120 gr. Adana kebap, isteğe göre soğan. Közlenmiş biber ile </t>
  </si>
  <si>
    <t>Torpilli Urfa Dürüm</t>
  </si>
  <si>
    <t xml:space="preserve">120 gr. Urfa kebap, isteğe göre soğan. Közlenmiş biber ile </t>
  </si>
  <si>
    <t xml:space="preserve">Et şiş, isteğe göre soğan. Közlenmiş biber ile </t>
  </si>
  <si>
    <t xml:space="preserve">100 gr. ızgara köfte, isteğe göre soğan. Közlenmiş biber ile </t>
  </si>
  <si>
    <t>Közlenmiş Domates (1 Şiş)</t>
  </si>
  <si>
    <t>Közlenmiş Biber (1 Şiş)</t>
  </si>
  <si>
    <t>Yaprak Tavuk Kanat (1 kg.) (Pişirilmiş)</t>
  </si>
  <si>
    <t>Kıyma Kebabı (1 kg.)</t>
  </si>
  <si>
    <t>Karışık Izgara (1 kg.)</t>
  </si>
  <si>
    <t xml:space="preserve">Izgara tavuk, tavuk şiş. Mevsim salata ile </t>
  </si>
  <si>
    <t>Izgara Tavuk Köfte (1 kg.)</t>
  </si>
  <si>
    <t>Seçilmiş Menü (Kendi Waffle'ını Kendin Yarat)</t>
  </si>
  <si>
    <t xml:space="preserve">Kendi Waffle'ını Kendin Yarat + Coca-Cola (33 cl.) </t>
  </si>
  <si>
    <t>Muzlu Mualla</t>
  </si>
  <si>
    <t xml:space="preserve">Cam kavanozda servis edilir. Depozito bedeli 3 TL olup fiyata dahildir. Cam kavanozu iade etmeniz halinde depozito bedeli tarafınıza iade edilir. </t>
  </si>
  <si>
    <t>Oreolu Mualla</t>
  </si>
  <si>
    <t>Meftun</t>
  </si>
  <si>
    <t>Çilekli Mualla</t>
  </si>
  <si>
    <t>Meyveli Mualla</t>
  </si>
  <si>
    <t xml:space="preserve">Çilek, muz. Cam kavanozda servis edilir. Depozito bedeli 3 TL olup fiyata dahildir. Cam kavanozu iade etmeniz halinde depozito bedeli tarafınıza iade edilir. </t>
  </si>
  <si>
    <t>Sütlü Çikolatalı Mebrure</t>
  </si>
  <si>
    <t xml:space="preserve">Fransız bisküvisi üzerinde muz üzerine; Belçika çikolatası, toz Antep fıstığı ile </t>
  </si>
  <si>
    <t>Bitter Çikolatalı Mebrure</t>
  </si>
  <si>
    <t>Beyaz Çikolatalı Mebrure</t>
  </si>
  <si>
    <t>Sütlü Çikolata Münevver</t>
  </si>
  <si>
    <t>Bitter Çikolatalı Münevver</t>
  </si>
  <si>
    <t>Beyaz Çikolatalı Münevver</t>
  </si>
  <si>
    <t xml:space="preserve">Cam kavanozda servis edilir. Depozito bedeli 3 TL olup fiyata dahildir. Cam kavanozu iade etmeniz halinde depozito bedeli tarafınıza iade edilir. Fransız bisküvisi üzerinde muz üzerine Belçika çikolatası ve toz Antep fıstığı ile servis edilir. </t>
  </si>
  <si>
    <t>Sütlü Çikolatalı Saksı</t>
  </si>
  <si>
    <t>Bitter Çikolatalı Saksı</t>
  </si>
  <si>
    <t>Beyaz Çikolatalı Saksı</t>
  </si>
  <si>
    <t>Klasik Waffle</t>
  </si>
  <si>
    <t>Beyaz Çikolatalı Waffle</t>
  </si>
  <si>
    <t>Karamelli Waffle</t>
  </si>
  <si>
    <t>Gülpembe Waffle</t>
  </si>
  <si>
    <t>Tropikal Waffle</t>
  </si>
  <si>
    <t>Çikolatalı Waffle</t>
  </si>
  <si>
    <t>Karadeniz Waffle</t>
  </si>
  <si>
    <t>Oreolu Waffle</t>
  </si>
  <si>
    <t>Doğum Günü Waffle</t>
  </si>
  <si>
    <t>Dağ Waffle</t>
  </si>
  <si>
    <t>Çocuk Waffle</t>
  </si>
  <si>
    <t>Kendi Waffle'ını Kendin Yarat</t>
  </si>
  <si>
    <t>Klasik Pancake</t>
  </si>
  <si>
    <t>Beyaz Çikolatalı Pancake</t>
  </si>
  <si>
    <t>Karamelli Pancake</t>
  </si>
  <si>
    <t>Gülpembe Pancake</t>
  </si>
  <si>
    <t>Tropikal Pancake</t>
  </si>
  <si>
    <t>Çikolatalı Pancake</t>
  </si>
  <si>
    <t>Karadeniz Pancake</t>
  </si>
  <si>
    <t>Oreolu Pancake</t>
  </si>
  <si>
    <t>Dağ Pancake</t>
  </si>
  <si>
    <t>Kendi Pancake'ni Kendin Yarat</t>
  </si>
  <si>
    <t>Meyveli Soda (30 cl.)</t>
  </si>
  <si>
    <t>Soda (30 cl.)</t>
  </si>
  <si>
    <t xml:space="preserve">Tavuk kanat, tavuk pirzola, tavuk kelebek, salata, 1 adet ekmek ile </t>
  </si>
  <si>
    <t xml:space="preserve">Mevsim salata, közlenmiş biber, közlenmiş domates, bulgur pilavı veya pirinç pilavı ile </t>
  </si>
  <si>
    <t xml:space="preserve">Közlenmiş biber, turşu ile </t>
  </si>
  <si>
    <t xml:space="preserve">Salata, 1 adet ekmek ile </t>
  </si>
  <si>
    <t xml:space="preserve">Yoğurtlu, soslu, sarma. Mevsim salata, közlenmiş biber, közlenmiş domates, bulgur pilavı veya pirinç pilavı ile </t>
  </si>
  <si>
    <t>Patlıcan Kebabı</t>
  </si>
  <si>
    <t>Karışık Kebap (Tek Kişilik)</t>
  </si>
  <si>
    <t xml:space="preserve">Adana kebap, çöp şiş, tavuk şiş, ciğer şiş, kuzu şiş. Mevsim salata, közlenmiş biber, közlenmiş domates, bulgur pilavı veya pirinç pilavı ile </t>
  </si>
  <si>
    <t>Tavuk Fileto</t>
  </si>
  <si>
    <t xml:space="preserve">Tavuk kelebek, tavuk pirzola, tavuk kanat. Mevsim salata, közlenmiş biber, közlenmiş domates, bulgur pilavı veya pirinç pilavı ile </t>
  </si>
  <si>
    <t xml:space="preserve">Soğan, domates, maydanoz </t>
  </si>
  <si>
    <t>Cappy Vişne (1 L.)</t>
  </si>
  <si>
    <t>Fanta (1,5 L.)</t>
  </si>
  <si>
    <t>Fanta (2.5 L.)</t>
  </si>
  <si>
    <t>Kuşbaşı (500 gr.)</t>
  </si>
  <si>
    <t>Tavuk Fileto (1 kg.)</t>
  </si>
  <si>
    <t>Fıstıkzade (2 Kişilik)</t>
  </si>
  <si>
    <t xml:space="preserve">Tane fıstıklı </t>
  </si>
  <si>
    <t>Fıstıkzade &amp; Cennet Çamuru (2 Kişilik)</t>
  </si>
  <si>
    <t xml:space="preserve">Yarı fıstıkzade, yarı cennet çamuru </t>
  </si>
  <si>
    <t>Çıtır Hasır (2 Kişilik)</t>
  </si>
  <si>
    <t xml:space="preserve">Kaymak, tane fıstık </t>
  </si>
  <si>
    <t>Hasır Special (2 Kişilik)</t>
  </si>
  <si>
    <t>Ballızade Künefe (2 Kişilik)</t>
  </si>
  <si>
    <t xml:space="preserve">Toz fıstık, bal </t>
  </si>
  <si>
    <t xml:space="preserve">Fıstıkzade, hasır künefe, klasik künefe </t>
  </si>
  <si>
    <t>Hasır Special (4 Kişilik)</t>
  </si>
  <si>
    <t>Fıstıkzade &amp; Cennet Çamuru (4 Kişilik)</t>
  </si>
  <si>
    <t>Fıstıkzade (4 Kişilik)</t>
  </si>
  <si>
    <t>Çıtır Hasır (4 Kişilik)</t>
  </si>
  <si>
    <t>Ballızade Künefe (4 Kişilik)</t>
  </si>
  <si>
    <t>Fıstıkzade (6 Kişilik)</t>
  </si>
  <si>
    <t>Fıstıkzade &amp; Cennet Çamuru (6 Kişilik)</t>
  </si>
  <si>
    <t>Hasır Special (6 Kişilik)</t>
  </si>
  <si>
    <t>Ballızade Künefe (6 Kişilik)</t>
  </si>
  <si>
    <t>Çıtır Hasır (6 Kişilik)</t>
  </si>
  <si>
    <t>Ballızade (2 Kişilik)</t>
  </si>
  <si>
    <t>Ballızade (4 Kişilik)</t>
  </si>
  <si>
    <t>Ballızade (6 Kişilik)</t>
  </si>
  <si>
    <t xml:space="preserve">Marul, domates, limon, acı sos, nar ekşisi </t>
  </si>
  <si>
    <t xml:space="preserve">Lavaş, domates, salatalık, göbek marul ile </t>
  </si>
  <si>
    <t>Ayran (Açık)</t>
  </si>
  <si>
    <t>Şalgam Suyu (5 L.)</t>
  </si>
  <si>
    <t>Karışık Pizza (Orta Boy)</t>
  </si>
  <si>
    <t xml:space="preserve">Özel pizza sosu, mozzarella peyniri, küp sucuk, mantar, yeşilbiber, kırmızıbiber, siyah zeytin, mısır </t>
  </si>
  <si>
    <t>Neşe Menü</t>
  </si>
  <si>
    <t xml:space="preserve">Seçeceğiniz Orta Boy Pizza + Patates Kızartması + Soğan Halkası (4 Adet) + Kutu İçecek </t>
  </si>
  <si>
    <t>Neşe Menü 3</t>
  </si>
  <si>
    <t xml:space="preserve">Seçeceğiniz Orta boy Pizza + Tavuk Nugget (2 Adet) + Soğan Halkası (2 Adet) Patates Kızartması + Kutu İçecek </t>
  </si>
  <si>
    <t>Neşe Menü 2</t>
  </si>
  <si>
    <t xml:space="preserve">Seçeceğiniz Orta boy Pizza + Tavuk Nugget (4 Adet) + Patates Kızartması + Kutu İçecek </t>
  </si>
  <si>
    <t>Süper 2'li Orta Boy Menü</t>
  </si>
  <si>
    <t xml:space="preserve">Seçeceğiniz Orta Boy Pizza + Patates Kızartması (Orta Boy) + İçecek (1 L.) </t>
  </si>
  <si>
    <t>Seçilmiş Menü (Kavurmalım Pizza (Orta Boy))</t>
  </si>
  <si>
    <t xml:space="preserve">Kavurmalım Pizza (Orta Boy) + Coca-Cola (1 L.) </t>
  </si>
  <si>
    <t>51,29 TL</t>
  </si>
  <si>
    <t>Seçilmiş Menü (Süper Sosisli Pizza (Orta Boy))</t>
  </si>
  <si>
    <t xml:space="preserve">Süper Sosisli Pizza (Orta Boy) + Coca-Cola (1 L.) </t>
  </si>
  <si>
    <t>Seçilmiş Menü (Karışık Pizza (Jumbo Boy))</t>
  </si>
  <si>
    <t xml:space="preserve">Karışık Pizza (Jumbo Boy) + Coca-Cola (1 L.) </t>
  </si>
  <si>
    <t>71,90 TL</t>
  </si>
  <si>
    <t>Vodafone Menüsü (Karışık Pizza (Büyük Boy))</t>
  </si>
  <si>
    <t xml:space="preserve">Karışık Pizza (Büyük Boy) + Patates Kızartması (Büyük) + Soğan Halkası (9 Adet) + Coca-Cola (1 L.) (Kampanya koşulları için restoranın Promosyonlar bölümüne göz atınız. İndirimli fiyat ürün sepete eklendikten sonra uygulanır.) </t>
  </si>
  <si>
    <t>102,99 TL</t>
  </si>
  <si>
    <t>3'lü Orta Boy Pizza Menü</t>
  </si>
  <si>
    <t xml:space="preserve">Seçeceğiniz 3 Adet Orta Boy Pizza + Patates Kızartması (Büyük Boy) </t>
  </si>
  <si>
    <t>Arkadaş Menü</t>
  </si>
  <si>
    <t xml:space="preserve">Seçeceğiniz 3 Orta boy Pizza + Tavuk Nugget (4 Adet) + Soğan Halkası (4 Adet) Patates Kızartması (Büyük Boy) + İçecek (1 L.) </t>
  </si>
  <si>
    <t>138,00 TL</t>
  </si>
  <si>
    <t>Eko Menü</t>
  </si>
  <si>
    <t xml:space="preserve">Seçeceğiniz Büyük Boy Pizza + İçecek (1 L.) </t>
  </si>
  <si>
    <t>Jumbo Menü</t>
  </si>
  <si>
    <t xml:space="preserve">Seçeceğiniz Jumbo Boy Pizza + Patates Kızartması + İçecek (1 L.) </t>
  </si>
  <si>
    <t>Mega İkili Menü</t>
  </si>
  <si>
    <t xml:space="preserve">Seçeceğiniz 2 Adet Jumbo Boy Pizza </t>
  </si>
  <si>
    <t>Neşeli Aile Boy Menü</t>
  </si>
  <si>
    <t xml:space="preserve">Seçeceğiniz Jumbo Pizza + Soğan Halkası (8 Adet) + Tavuk Nugget (4 Adet) + Patates Kızartması (Büyük Boy) + Közlenmiş Biber + İçecek (1 L.) </t>
  </si>
  <si>
    <t>114,00 TL</t>
  </si>
  <si>
    <t>Neşeli Jumbo Menü</t>
  </si>
  <si>
    <t xml:space="preserve">Seçeceğiniz Jumbo Boy Pizza + Soğan Halkası (8 Adet) + Patates Kızartması (Büyük Boy) + İçecek (1 L.) </t>
  </si>
  <si>
    <t>86,99 TL</t>
  </si>
  <si>
    <t>Sade 2'li Orta Boy Menü</t>
  </si>
  <si>
    <t xml:space="preserve">Seçeceğiniz 2 Adet Orta Boy Pizza </t>
  </si>
  <si>
    <t>Süper İkili Menü</t>
  </si>
  <si>
    <t xml:space="preserve">Seçeceğiniz 2 Adet Büyük Boy Pizza + İçecek (1 L.) </t>
  </si>
  <si>
    <t>Süper Sosisli Pizza (Orta Boy)</t>
  </si>
  <si>
    <t xml:space="preserve">Özel pizza sosu, mozzarella peyniri, sosis, mantar. cheddar peyniri </t>
  </si>
  <si>
    <t>Urfa Pizza (Orta Boy)</t>
  </si>
  <si>
    <t xml:space="preserve">Özel pizza sosu, mozzarella peyniri, sucuk, mantar, jalapeno biberi. acı köz biber </t>
  </si>
  <si>
    <t>Pepperoni Pizza (Orta Boy)</t>
  </si>
  <si>
    <t xml:space="preserve">Özel pizza sosu, mozzarella peyniri, dana kasap sucuk, mantar, cheddar peyniri, yeşilbiber </t>
  </si>
  <si>
    <t>Mantar Sever Pizza (Orta Boy)</t>
  </si>
  <si>
    <t xml:space="preserve">Özel pizza sosu, mozzarella peyniri, mantar </t>
  </si>
  <si>
    <t>Marios Pizza (Orta Boy)</t>
  </si>
  <si>
    <t xml:space="preserve">Özel pizza sosu, mozzarella peyniri, sucuk, mantar </t>
  </si>
  <si>
    <t>Mix Vegeterian Pizza (Orta Boy)</t>
  </si>
  <si>
    <t xml:space="preserve">Özel pizza sosu, mozzarella peyniri, yeşilbiber, kırmızıbiber, domates, siyah zeytin, mantar, mısır </t>
  </si>
  <si>
    <t>Napoli İtalya Pizza (Orta Boy)</t>
  </si>
  <si>
    <t xml:space="preserve">Özel pizza sosu, mozzarella peyniri, domates </t>
  </si>
  <si>
    <t>Tonno Pizza (Orta Boy)</t>
  </si>
  <si>
    <t xml:space="preserve">Özel pizza sosu, ton balığı, mantar, kırmızıbiber, yeşilbiber </t>
  </si>
  <si>
    <t>Pastırmalı Pizza (Orta Boy)</t>
  </si>
  <si>
    <t xml:space="preserve">Özel pizza sosu, mozzarella peyniri, pastırma, mısır, közlenmiş kapya biber </t>
  </si>
  <si>
    <t>Süper Sucuk Pizza (Orta Boy)</t>
  </si>
  <si>
    <t xml:space="preserve">Özel pizza sosu, mozzarella peyniri, kasap sucuk, mantar, mısır, kırmızıbiber </t>
  </si>
  <si>
    <t>Kavurmalım Pizza (Orta Boy)</t>
  </si>
  <si>
    <t xml:space="preserve">Özel pizza sosu, mozzarella peyniri, kavurma, mantar, domates, kırmızıbiber </t>
  </si>
  <si>
    <t>Neşe Special Pizza (Orta Boy)</t>
  </si>
  <si>
    <t xml:space="preserve">Özel pizza sosu, mozzarella peyniri, dana kasap sucuk, pastırma, kavurma, cheddar peyniri, kırmzııbiber, yeşilbiber </t>
  </si>
  <si>
    <t>Tereyağlı Dönerli Pizza (Orta Boy)</t>
  </si>
  <si>
    <t xml:space="preserve">Özel pizza sosu, mozzarella peyniri, et döner, mantar, domates, kırmızıbiber </t>
  </si>
  <si>
    <t>Karışık Pizza (Büyük Boy)</t>
  </si>
  <si>
    <t>Süper Sosisli Pizza (Büyük Boy)</t>
  </si>
  <si>
    <t>Urfa Pizza (Büyük Boy)</t>
  </si>
  <si>
    <t>Pepperoni Pizza (Büyük Boy)</t>
  </si>
  <si>
    <t>Mantar Sever Pizza (Büyük Boy)</t>
  </si>
  <si>
    <t>Marios Pizza (Büyük Boy)</t>
  </si>
  <si>
    <t>Mix Vegeterian Pizza (Büyük Boy)</t>
  </si>
  <si>
    <t>Napoli İtalya Pizza (Büyük Boy)</t>
  </si>
  <si>
    <t>Tonno Pizza (Büyük Boy)</t>
  </si>
  <si>
    <t>Pastırmalı Pizza (Büyük Boy)</t>
  </si>
  <si>
    <t>Süper Sucuk Pizza (Büyük Boy)</t>
  </si>
  <si>
    <t>Kavurmalım Pizza (Büyük Boy)</t>
  </si>
  <si>
    <t>Neşe Special Pizza (Büyük Boy)</t>
  </si>
  <si>
    <t>Tereyağlı Dönerli Pizza (Büyük Boy)</t>
  </si>
  <si>
    <t>Karışık Pizza (Jumbo Boy)</t>
  </si>
  <si>
    <t>Süper Sosisli Pizza (Jumbo Boy)</t>
  </si>
  <si>
    <t>Urfa Pizza (Jumbo Boy)</t>
  </si>
  <si>
    <t>Pepperoni Pizza (Jumbo Boy)</t>
  </si>
  <si>
    <t>Mantar Sever Pizza (Jumbo Boy)</t>
  </si>
  <si>
    <t>66,99 TL</t>
  </si>
  <si>
    <t>Marios Pizza (Jumbo Boy)</t>
  </si>
  <si>
    <t>Mix Vegeterian Pizza (Jumbo Boy)</t>
  </si>
  <si>
    <t>Napoli İtalya Pizza (Jumbo Boy)</t>
  </si>
  <si>
    <t>Tonno Pizza (Jumbo Boy)</t>
  </si>
  <si>
    <t>Pastırmalı Pizza (Jumbo Boy)</t>
  </si>
  <si>
    <t>Süper Sucuk Pizza (Jumbo Boy)</t>
  </si>
  <si>
    <t>77,50 TL</t>
  </si>
  <si>
    <t>Kavurmalım Pizza (Jumbo Boy)</t>
  </si>
  <si>
    <t>Neşe Special Pizza (Jumbo Boy)</t>
  </si>
  <si>
    <t>Tereyağlı Dönerli Pizza (Jumbo Boy)</t>
  </si>
  <si>
    <t>Közlenmiş Kapya Biberi (Adet)</t>
  </si>
  <si>
    <t>Közlenmiş Yeşilbiber (Adet)</t>
  </si>
  <si>
    <t>Tavuk Nugget (3 Adet)</t>
  </si>
  <si>
    <t>Tavuk Nugget (9 Adet)</t>
  </si>
  <si>
    <t>Soğan Halkası (9 Adet)</t>
  </si>
  <si>
    <t>Ballı Hardallı Sos</t>
  </si>
  <si>
    <t xml:space="preserve">Soğan, yeşillik, domates, isteğe göre biber turşusu veya közlenmiş biber </t>
  </si>
  <si>
    <t>Kuzu Kebap Dürüm</t>
  </si>
  <si>
    <t xml:space="preserve">Közlenmiş biber, közlenmiş soğan, çoban salata, 2 adet meze ile </t>
  </si>
  <si>
    <t>Kuzu Sarma</t>
  </si>
  <si>
    <t>Kuzu Kuşbaşı</t>
  </si>
  <si>
    <t>Kuzu Çöp Şiş</t>
  </si>
  <si>
    <t>Kuzu Köfte</t>
  </si>
  <si>
    <t>Kuzu Kebap (Kıymadan)</t>
  </si>
  <si>
    <t>Kuzu Köfte Dürüm</t>
  </si>
  <si>
    <t>Kuzu Kuşbaşı Dürüm</t>
  </si>
  <si>
    <t>Kuzu Çöp Şiş Dürüm</t>
  </si>
  <si>
    <t xml:space="preserve">Salata, ekmek ile </t>
  </si>
  <si>
    <t>Köy Ayranı</t>
  </si>
  <si>
    <t>Köy Ayranı (1 L.)</t>
  </si>
  <si>
    <t>Kuzu Sarma (1 kg.) (Pişirilmiş)</t>
  </si>
  <si>
    <t>Uç Kanat (Yaprak) (1 kg.) (Pişirilmiş)</t>
  </si>
  <si>
    <t xml:space="preserve">Pişmiş biber, közlenmiş soğan, salata ile </t>
  </si>
  <si>
    <t>Kanat (1,5 kg.) (Pişirilmiş)</t>
  </si>
  <si>
    <t>Tavuk Pirzola (1,5 kg.) (Pişirilmiş)</t>
  </si>
  <si>
    <t>Tavuk Kuşbaşı (1,5 kg.) (Pişirilmiş)</t>
  </si>
  <si>
    <t>Tavuk Kelebek (1,5 kg.) (Pişirilmiş)</t>
  </si>
  <si>
    <t>Kuzu Pirzola (1 kg.) (Pişirilmiş) - Şu anda mevcut değil.</t>
  </si>
  <si>
    <t>Kuzu Çöp Şiş (1 kg.) (Pişirilmiş)</t>
  </si>
  <si>
    <t>Kuzu Kebap (1 kg.) (Pişirilmiş)</t>
  </si>
  <si>
    <t>Kuzu Kuşbaşı (1 kg.) (Pişirilmiş)</t>
  </si>
  <si>
    <t>Kuzu Köfte (1 kg.) (Pişirilmiş)</t>
  </si>
  <si>
    <t>Tavuk İncik Pirzola (1 kg.) (Pişirilmiş)</t>
  </si>
  <si>
    <t xml:space="preserve">Cheeseburger + Patates Kızartması + Coca-Cola (33 cl.) </t>
  </si>
  <si>
    <t>2'li Orta Boy Pizza Menü</t>
  </si>
  <si>
    <t xml:space="preserve">Seçeceğiniz 2 Adet Orta Boy Pizza + Coca-Cola (1 L.) </t>
  </si>
  <si>
    <t>Chıcken Fingers Menü</t>
  </si>
  <si>
    <t xml:space="preserve">6 Adet Chicken Fleto + Patates Kızartması + Coca-Cola (33 cl.) </t>
  </si>
  <si>
    <t xml:space="preserve">6 Adet Nugget + Patates Kızartması + Coca-Cola (33 cl.) </t>
  </si>
  <si>
    <t xml:space="preserve">Tam Parça Pizza + Patates Kızartması + Coca-Cola (33 cl.) </t>
  </si>
  <si>
    <t xml:space="preserve">Double Chicken Burger + Patates Kızartması + Coca-Cola (33 cl.) </t>
  </si>
  <si>
    <t xml:space="preserve">Double Hamburger + Patates Kızartması + Coca-Cola (33 cl.) </t>
  </si>
  <si>
    <t xml:space="preserve">Tam Parça Pizza + 3 Adet Nugget + Patates Kızartması + Coca-Cola (33 cl.) </t>
  </si>
  <si>
    <t>Ekstra Menü</t>
  </si>
  <si>
    <t xml:space="preserve">Tam Parça Pizza + 2 Adet Soğan Halkası + 3 Adet Nugget + Coca-Cola (33 cl.) </t>
  </si>
  <si>
    <t xml:space="preserve">Hamburger + Patates Kızartması + Coca-Cola (33 cl.) </t>
  </si>
  <si>
    <t>Large Pizza Menü</t>
  </si>
  <si>
    <t xml:space="preserve">Large Pizza + Coca-Cola (1 L.) </t>
  </si>
  <si>
    <t xml:space="preserve">Tam Parça Pizza + 2 Adet Chicken Fleto + Patates Kızartması + Coca-Cola (33 cl.) </t>
  </si>
  <si>
    <t xml:space="preserve">Tam Parça Pizza + 2 adet Chıcken Fleto + 4 Adet Soğan Halkası + 4 Adet Nugget + Patates Kızartması + Coca-Cola (33 cl.) </t>
  </si>
  <si>
    <t>Süper 3'lü Pizza Menü</t>
  </si>
  <si>
    <t xml:space="preserve">Small Pizza + Patates Kızartması + Kutu İçecek </t>
  </si>
  <si>
    <t xml:space="preserve">Tam Parça Pizza + 3 Adet Soğan Halkası + Patates Kızartması + Coca-Cola (33 cl.) </t>
  </si>
  <si>
    <t>Tam Parça Süper Menü</t>
  </si>
  <si>
    <t xml:space="preserve">Tam Parça Pizza + 4 Adet Chıcken Fleto + Patates Kızartması + Coca-Cola (33 cl.) </t>
  </si>
  <si>
    <t xml:space="preserve">Tam Parça Pizza + 6 Adet Nugget + Coca-Cola (33 cl.) </t>
  </si>
  <si>
    <t>Veggie Pizza (Small)</t>
  </si>
  <si>
    <t>Tavuklu Pizza (Small)</t>
  </si>
  <si>
    <t xml:space="preserve">Özel sos, pizza peyniri, tavuk fileto, siyah zeytin, domates, biber </t>
  </si>
  <si>
    <t xml:space="preserve">Özel sos, pizza peyniri, kaşar peyniri, sucuk, mantar, domates, jalapeno biberi </t>
  </si>
  <si>
    <t xml:space="preserve">Özel sos, pizza peyniri, yeşilbiber, mantar, kavurma, küp domates </t>
  </si>
  <si>
    <t>Veggie Pizza (Medium)</t>
  </si>
  <si>
    <t xml:space="preserve">Özel sos, pizza peyniri, domates, beyaz peynir, susam, siyah zeytin, kekik </t>
  </si>
  <si>
    <t>Tavuklu Pizza (Medium)</t>
  </si>
  <si>
    <t>Tavuklu Pizza (Large)</t>
  </si>
  <si>
    <t>Veggie Pizza (Large)</t>
  </si>
  <si>
    <t>Margherita Pizza (XL)</t>
  </si>
  <si>
    <t>Veggie Pizza (XL)</t>
  </si>
  <si>
    <t>Tavuklu Pizza (XL)</t>
  </si>
  <si>
    <t>Veggie Pizza (Jumbo)</t>
  </si>
  <si>
    <t>Tavuklu Pizza (Jumbo)</t>
  </si>
  <si>
    <t>Chicken Fileto (3 Adet)</t>
  </si>
  <si>
    <t>Chicken Fileto (6 Adet)</t>
  </si>
  <si>
    <t>Chicken Fileto (8 Adet)</t>
  </si>
  <si>
    <t xml:space="preserve">Büyük Parça Pizza + Patates Kızartması + Kutu İçecek </t>
  </si>
  <si>
    <t xml:space="preserve">Büyük Parça Pizza + Patates Kızartması + Chicken Fingers (2 Adet) + Soğan Halkası (4 Adet) + Tavuk Nugget (4 Adet) + Kutu İçecek </t>
  </si>
  <si>
    <t xml:space="preserve">Seçeceğiniz Jumbo Boy Pizza + Patates Kızartması + 3 Adet Nugget + 3 Adet Soğan Halkası + İçecek (1 L.) </t>
  </si>
  <si>
    <t>Orta Boy Pizza Menü (1+1)</t>
  </si>
  <si>
    <t xml:space="preserve">Seçeceğiniz 2 Adet Orta Boy Pizza (Kavurmalı, pastırmalı, ton balıklı, tavuklu, delüx, special, Meksika, extra, mezzeluna, suprame pizza kampanyaya dahil değildir.) + Coca-Cola (1 L.) </t>
  </si>
  <si>
    <t xml:space="preserve">Hamburger (90 gr.) + Patates Kızartması + Kutu İçecek </t>
  </si>
  <si>
    <t>Seçilmiş Menü (Yarım Dilim Pizza) - Şu anda mevcut değil.</t>
  </si>
  <si>
    <t xml:space="preserve">Yarım Dilim Pizza + Soslu Kanat (3 Adet) + Patates Kızartması (Orta Boy) + Coca-Cola (33 cl.) </t>
  </si>
  <si>
    <t>Seçilmiş Menü (Büyük)</t>
  </si>
  <si>
    <t xml:space="preserve">Süper Pizza (Büyük) + Patates Kızartması + Soğan Halkası (3 Adet) + Coca-Cola (1 L.) </t>
  </si>
  <si>
    <t>Küçük Boy Pizza Menü (1+1)</t>
  </si>
  <si>
    <t xml:space="preserve">Seçeceğiniz 2 Adet Küçük Boy Pizza + Patates Kızartması + Coca-Cola (1 L.) </t>
  </si>
  <si>
    <t>Pizza (Orta) Menü</t>
  </si>
  <si>
    <t xml:space="preserve">Seçeceğiniz Orta Boy Pizza (Kavurmalı pizza, pastırmalı pizza, ton balıklı pizza, tavuklu pizza kampanyaya dahil değildir.) + Patates Kızartması + Kutu İçecek </t>
  </si>
  <si>
    <t xml:space="preserve">Küçük Boy Pizza + Patates Kızartması + Kutu İçecek (Kavurmalı, pastırmalı, ton balıklı, tavuklu pizza dahil değildir.) </t>
  </si>
  <si>
    <t xml:space="preserve">Seçeceğiniz 3 Adet Orta Boy Pizza + İçecek (1 L.) </t>
  </si>
  <si>
    <t>Büyük Boy Pizza Kampanya Menü</t>
  </si>
  <si>
    <t xml:space="preserve">Seçeceğiniz Büyük Boy Pizza + Patates Kızartması + İçecek (1 L.) </t>
  </si>
  <si>
    <t>Parti Zamanı Menü</t>
  </si>
  <si>
    <t xml:space="preserve">Seçeceğiniz Büyük Boy Pizza + Chicken Fingers (2 Adet) + Nugget (2 Adet) + Patates Kızartması + Çıtır Soğan (2 Adet) + Coca-Cola (1 L.) </t>
  </si>
  <si>
    <t xml:space="preserve">Cheeseburger (90 gr.) + Patates Kızartması + Kutu İçecek </t>
  </si>
  <si>
    <t>Soslu Kanat (5 Adet) Menü</t>
  </si>
  <si>
    <t xml:space="preserve">Soslu Kanat (5 Adet) + Patates Kızartması + Kutu İçecek </t>
  </si>
  <si>
    <t>Chicken Menü</t>
  </si>
  <si>
    <t xml:space="preserve">Chicken Fingers (6 Adet) + Patates Kızartması + Kutu İçecek </t>
  </si>
  <si>
    <t>Chicken Nut Menü</t>
  </si>
  <si>
    <t xml:space="preserve">Tavuk Nugget (6 Adet) + Elma Dilim Patates + Sarımsaklı Ekmek + Kutu İçecek </t>
  </si>
  <si>
    <t xml:space="preserve">Nuggets (3 Adet) + Chicken Fleto (2 Adet) + Soslu Kanat (2 Adet) + Soğan Halkası (3 Adet) + Elma Dilim Patates Kızartması + Kutu İçecek </t>
  </si>
  <si>
    <t>Çocuk Hamburger Menüsü</t>
  </si>
  <si>
    <t xml:space="preserve">Hamburger + Patates Kızartması + Kutu İçecek + Oyuncak </t>
  </si>
  <si>
    <t>Çocuk Pizza Menüsü</t>
  </si>
  <si>
    <t xml:space="preserve">Dilim Pizza + Patates Kızartması + Tavuk Nugget (3 Adet) + Kutu İçecek + Oyuncak </t>
  </si>
  <si>
    <t>Dap Dip Menü</t>
  </si>
  <si>
    <t xml:space="preserve">Tam Dilim Pizza + Soslu Kanat (2 Adet) + Kutu İçecek </t>
  </si>
  <si>
    <t xml:space="preserve">Tam Dilim Pizza + Chicken Fingers (4 Adet) + Kutu İçecek </t>
  </si>
  <si>
    <t xml:space="preserve">Double Cheeseburger + Patates Kızartması + Kutu İçecek </t>
  </si>
  <si>
    <t>Duble Burger Menü</t>
  </si>
  <si>
    <t xml:space="preserve">Duble Burger + Patates Kızartması + Kutu İçecek </t>
  </si>
  <si>
    <t>Duble Wonder Menü</t>
  </si>
  <si>
    <t xml:space="preserve">Tam Dilim Pizza + Patates Kızartması + Tavuk Nugget (5 Adet) + Kutu İçecek </t>
  </si>
  <si>
    <t xml:space="preserve">Nuggets (4 Adet) + Çıtır Soğan (4 Adet) + Patates Kızartması + Kutu İçecek </t>
  </si>
  <si>
    <t>Nuggets Menü</t>
  </si>
  <si>
    <t xml:space="preserve">Nuggets (6 Adet) + Patates Kızartması + Kutu İçecek </t>
  </si>
  <si>
    <t>Orient Menü</t>
  </si>
  <si>
    <t xml:space="preserve">Soğan Halkası (3 Adet) + Nuggets (3 Adet) + Soslu Kanat (2 Adet) + Patates Kızartması + Kutu İçecek </t>
  </si>
  <si>
    <t>Özel Menü</t>
  </si>
  <si>
    <t xml:space="preserve">Dilim Pizza + Patates Kızartması + Chicken Fingers (3 Adet) + Kutu İçecek </t>
  </si>
  <si>
    <t>Samba Menü</t>
  </si>
  <si>
    <t xml:space="preserve">Dilim Pizza + Patates Kızartması + Çıtır Soğan (3 Adet) + Kutu İçecek </t>
  </si>
  <si>
    <t>Süper Combo Menü</t>
  </si>
  <si>
    <t xml:space="preserve">Süper Dilim Pizza + Patates Kızartması + Kutu İçecek </t>
  </si>
  <si>
    <t xml:space="preserve">Tam Dilim Pizza + Patates Kızartması + Soğan Halkası (5 Adet) + Kutu İçecek </t>
  </si>
  <si>
    <t>Tam Parça Özel Menü</t>
  </si>
  <si>
    <t xml:space="preserve">Tam Dilim Pizza + Patates Kızartması + Chicken Fingers (4 Adet) + Kutu İçecek </t>
  </si>
  <si>
    <t xml:space="preserve">Dilim Pizza + Patates Kızartması + Tavuk Nugget (3 Adet) + Kutu İçecek </t>
  </si>
  <si>
    <t xml:space="preserve">90 gr. burger köftesi </t>
  </si>
  <si>
    <t xml:space="preserve">90 gr. tavuk </t>
  </si>
  <si>
    <t xml:space="preserve">180 gr. burger köftesi </t>
  </si>
  <si>
    <t>Extra Extra Pizza (Küçük)</t>
  </si>
  <si>
    <t xml:space="preserve">Extra Extra Pizza (Pizza sosu, mozzarella peyniri, sosis, sucuk, salam, mantar, zeytin, mısır, domates, dana jambon) </t>
  </si>
  <si>
    <t>Suprame Pizza (Küçük)</t>
  </si>
  <si>
    <t xml:space="preserve">Suprame Pizza (Pizza sosu, mozzarella peyniri, kırmızıbiber, yeşilbiber, sucuk, mantar, zeytin) </t>
  </si>
  <si>
    <t>Mushroom Pizza (Küçük)</t>
  </si>
  <si>
    <t xml:space="preserve">Mushroom Pizza (Pizza sosu, mozzarella peyniri, mantar) </t>
  </si>
  <si>
    <t xml:space="preserve">Margarita Pizza (Pizza sosu, mozzarella peyniri, domates, extra mozzarella peyniri) </t>
  </si>
  <si>
    <t>Vegeterian Pizza (Küçük)</t>
  </si>
  <si>
    <t xml:space="preserve">Vegeterian Pizza (Pizza sosu, mozzarella peyniri, mantar, mısır, siyah zeytin, domates) </t>
  </si>
  <si>
    <t>Fiesta Pizza (Küçük)</t>
  </si>
  <si>
    <t xml:space="preserve">Fiesta Pizza (Pizza sosu, mozzarella peyniri, küp domates, siyah zeytin, beyaz peynir, kekik) </t>
  </si>
  <si>
    <t>Light Pizza (Küçük)</t>
  </si>
  <si>
    <t xml:space="preserve">Light Pizza (Pizza sosu, mozzarella peyniri, tavuk salam, küp biber, küp domates, mantar) </t>
  </si>
  <si>
    <t>Gino Pizza (Küçük)</t>
  </si>
  <si>
    <t xml:space="preserve">Gino Pizza (Pizza sosu, mozzarella peyniri, sucuk) </t>
  </si>
  <si>
    <t>Marios Pizza (Küçük)</t>
  </si>
  <si>
    <t xml:space="preserve">Marios Pizza (Pizza sosu, mozzarella peyniri, sucuk, mantar) </t>
  </si>
  <si>
    <t>Orient Pizza (Küçük)</t>
  </si>
  <si>
    <t xml:space="preserve">Orient Pizza (Pizza sosu, mozzarella peyniri, sosis, mantar) </t>
  </si>
  <si>
    <t>Süper Pizza (Küçük)</t>
  </si>
  <si>
    <t xml:space="preserve">Süper Pizza (Pizza sosu, mozzarella peyniri, sucuk, mantar, yeşilbiber) </t>
  </si>
  <si>
    <t>Mexico Pizza (Küçük)</t>
  </si>
  <si>
    <t xml:space="preserve">Mexico Pizza (Bbq sos, mozzarella peyniri, sucuk, mantar, jalapeno biber, kırmızıbiber) </t>
  </si>
  <si>
    <t>Mezzeluna Pizza (Küçük)</t>
  </si>
  <si>
    <t xml:space="preserve">Mezzeluna Pizza (Pizza sosu, mozzarella peyniri, salam, sosis, mantar, extra mozzarella peyniri) </t>
  </si>
  <si>
    <t>Delux Pizza (Küçük)</t>
  </si>
  <si>
    <t xml:space="preserve">Delux Pizza (Pizza sosu, mozzarella peyniri, mantar, sucuk, salam, sosis, yeşilbiber) </t>
  </si>
  <si>
    <t>Spesiyal Pizza (Küçük)</t>
  </si>
  <si>
    <t xml:space="preserve">Spesiyal Pizza (Pizza sosu, mozzarella peyniri, sucuk, salam, sosis, mantar, dana jambon, domates) </t>
  </si>
  <si>
    <t xml:space="preserve">Kavurmalı Pizza (Pizza sosu, mozzarella peyniri, mantar, kavurma, yeşilbiber, domates) </t>
  </si>
  <si>
    <t xml:space="preserve">Tavuklu Pizza (Pizza sosu, mozzarella peyniri, tavuk dilimleri, kırmızıbiber, mantar, mısır, zeytin) </t>
  </si>
  <si>
    <t xml:space="preserve">Ton Balıklı Pizza (Pizza sosu, mozzarella peyniri, mantar, ton balığı, mısır, yeşilbiber) </t>
  </si>
  <si>
    <t>Pastırmalı Pizza (Küçük)</t>
  </si>
  <si>
    <t xml:space="preserve">Pastırmalı Pizza (Pizza sosu, mozzarella peyniri, bol pastırma, jalapeno biber) </t>
  </si>
  <si>
    <t>Extra Extra Pizza (Orta)</t>
  </si>
  <si>
    <t>Suprame Pizza (Orta)</t>
  </si>
  <si>
    <t>Mushroom Pizza (Orta)</t>
  </si>
  <si>
    <t>Vegeterian Pizza (Orta)</t>
  </si>
  <si>
    <t>Fiesta Pizza (Orta)</t>
  </si>
  <si>
    <t>Light Pizza (Orta)</t>
  </si>
  <si>
    <t>Gino Pizza (Orta)</t>
  </si>
  <si>
    <t>Marios Pizza (Orta)</t>
  </si>
  <si>
    <t>Orient Pizza (Orta)</t>
  </si>
  <si>
    <t>Süper Pizza (Orta)</t>
  </si>
  <si>
    <t>Mexico Pizza (Orta)</t>
  </si>
  <si>
    <t>Mezzeluna Pizza (Orta)</t>
  </si>
  <si>
    <t>Delux Pizza (Orta)</t>
  </si>
  <si>
    <t>Spesiyal Pizza (Orta)</t>
  </si>
  <si>
    <t>Pastırmalı Pizza (Orta)</t>
  </si>
  <si>
    <t>Delux Pizza (Büyük)</t>
  </si>
  <si>
    <t xml:space="preserve">Pizza sosu, mozzarella peyniri, mantar, sucuk, salam, sosis, yeşilbiber </t>
  </si>
  <si>
    <t>Extra Extra Pizza (Büyük)</t>
  </si>
  <si>
    <t xml:space="preserve">Pizza sosu, mozzarella peyniri, sosis, sucuk, salam, mantar, zeytin, mısır, domates, dana jambon </t>
  </si>
  <si>
    <t>Fiesta Pizza (Büyük)</t>
  </si>
  <si>
    <t xml:space="preserve">Pizza sosu, mozzarella peyniri, küp domates, siyah zeytin, beyaz peynir, kekik </t>
  </si>
  <si>
    <t>Gino Pizza (Büyük)</t>
  </si>
  <si>
    <t xml:space="preserve">Pizza sosu, mozzarella peyniri, mantar, kavurma, yeşilbiber, domates </t>
  </si>
  <si>
    <t>Light Pizza (Büyük)</t>
  </si>
  <si>
    <t xml:space="preserve">Pizza sosu, mozzarella peyniri, tavuk salam, küp biber, küp domates, mantar </t>
  </si>
  <si>
    <t xml:space="preserve">Pizza sosu, mozzarella peyniri, domates, extra mozzarella peyniri </t>
  </si>
  <si>
    <t>Marios Pizza (Büyük)</t>
  </si>
  <si>
    <t>Mexico Pizza (Büyük)</t>
  </si>
  <si>
    <t xml:space="preserve">Bbq sos, mozzarella peyniri, sucuk, mantar, jalapeno biber, kırmızıbiber </t>
  </si>
  <si>
    <t>Mezzeluna Pizza (Büyük)</t>
  </si>
  <si>
    <t xml:space="preserve">Pizza sosu, mozzarella peyniri, salam, sosis, mantar, extra mozzarella peyniri </t>
  </si>
  <si>
    <t>Mushroom Pizza (Büyük)</t>
  </si>
  <si>
    <t xml:space="preserve">Pizza sosu, mozzarella peyniri, mantar </t>
  </si>
  <si>
    <t>Orient Pizza (Büyük)</t>
  </si>
  <si>
    <t xml:space="preserve">Pizza sosu, mozzarella peyniri, sosis, mantar </t>
  </si>
  <si>
    <t>Pastırmalı Pizza (Büyük)</t>
  </si>
  <si>
    <t xml:space="preserve">Pizza sosu, mozzarella peyniri, bol pastırma, jalapeno biber </t>
  </si>
  <si>
    <t>Spesiyal Pizza (Büyük)</t>
  </si>
  <si>
    <t xml:space="preserve">Pizza sosu, mozzarella peyniri, sucuk, salam, sosis, mantar, dana jambon, domates </t>
  </si>
  <si>
    <t>Süper Pizza (Büyük)</t>
  </si>
  <si>
    <t xml:space="preserve">Pizza sosu, mozzarella peyniri, sucuk, mantar, yeşilbiber </t>
  </si>
  <si>
    <t>Suprame Pizza (Büyük)</t>
  </si>
  <si>
    <t xml:space="preserve">Pizza sosu, mozzarella peyniri, kırmızıbiber, yeşilbiber, sucuk, mantar, zeytin </t>
  </si>
  <si>
    <t xml:space="preserve">Pizza sosu, mozzarella peyniri, tavuk dilimleri, kırmızıbiber, mantar, mısır, zeytin </t>
  </si>
  <si>
    <t xml:space="preserve">Pizza sosu, mozzarella peyniri, mantar, ton balığı, mısır, yeşilbiber </t>
  </si>
  <si>
    <t>Vegeterian Pizza (Büyük)</t>
  </si>
  <si>
    <t xml:space="preserve">Pizza sosu, mozzarella peyniri, mantar, mısır, siyah zeytin, domates </t>
  </si>
  <si>
    <t>Delux Pizza (Jumbo)</t>
  </si>
  <si>
    <t>Extra Extra Pizza (Jumbo)</t>
  </si>
  <si>
    <t>Gino Pizza (Jumbo)</t>
  </si>
  <si>
    <t>Light Pizza (Jumbo)</t>
  </si>
  <si>
    <t>Mezzeluna Pizza (Jumbo)</t>
  </si>
  <si>
    <t>Orient Pizza (Jumbo)</t>
  </si>
  <si>
    <t>Pastırmalı Pizza (Jumbo)</t>
  </si>
  <si>
    <t>Spesiyal Pizza (Jumbo)</t>
  </si>
  <si>
    <t>Süper Pizza (Jumbo)</t>
  </si>
  <si>
    <t>Suprame Pizza (Jumbo)</t>
  </si>
  <si>
    <t>Ton Balıklı Pizza (Jumbo)</t>
  </si>
  <si>
    <t>Vegeterian Pizza (Jumbo)</t>
  </si>
  <si>
    <t>Chicken Fingers (3 Adet)</t>
  </si>
  <si>
    <t>Chicken Fingers (6 Adet)</t>
  </si>
  <si>
    <t>Chicken Fingers (9 Adet)</t>
  </si>
  <si>
    <t>Tavuk Nugget (6 Adet)</t>
  </si>
  <si>
    <t>Sarımsaklı Ekmek (2 Adet)</t>
  </si>
  <si>
    <t>Elma Dilim Patates (Orta)</t>
  </si>
  <si>
    <t>Elma Dilim Patates (Büyük) - Şu anda mevcut değil.</t>
  </si>
  <si>
    <t>Tam Dilim Pizza</t>
  </si>
  <si>
    <t>Yarım Dilim Pizza</t>
  </si>
  <si>
    <t>Soslu Kanat (3 Adet)</t>
  </si>
  <si>
    <t>Soslu Kanat (6 Adet)</t>
  </si>
  <si>
    <t>Soslu Kanat (9 Adet)</t>
  </si>
  <si>
    <t>Çıtır Peynir (3 Adet)</t>
  </si>
  <si>
    <t>Çıtır Peynir (6 Adet)</t>
  </si>
  <si>
    <t>Çıtır Peynir (9 Adet)</t>
  </si>
  <si>
    <t>Sufle</t>
  </si>
  <si>
    <t>Sarımsak Sosu</t>
  </si>
  <si>
    <t>0,50 TL</t>
  </si>
  <si>
    <t>Mega Çiğ Köfte Dürüm (150 gr.)</t>
  </si>
  <si>
    <t xml:space="preserve">Lütfen, dürüm içerisine malzeme seçiminizi malzeme seçimi bölümünden yapınız. </t>
  </si>
  <si>
    <t>Vodafone Menüsü (Çiğ Köfte 300 gr.)</t>
  </si>
  <si>
    <t xml:space="preserve">Çiğ Köfte (300 gr.) + 2 Adet Ayran (17 cl.) (Kampanya koşulları için restoranın Promosyonlar bölümüne göz atınız. İndirimli fiyat ürün sepete eklendikten sonra uygulanır.) </t>
  </si>
  <si>
    <t>26,40 TL</t>
  </si>
  <si>
    <t>Vodafone Menüsü (Çiğ Köfte 500 gr.)</t>
  </si>
  <si>
    <t xml:space="preserve">Çiğ Köfte (500 gr.) + Ayran (1 L.) (Kampanya koşulları için restoranın Promosyonlar bölümüne göz atınız. İndirimli fiyat ürün sepete eklendikten sonra uygulanır.) </t>
  </si>
  <si>
    <t>37,60 TL</t>
  </si>
  <si>
    <t>Seçilmiş Menü (2 Mega Çiğ Köfte Dürüm)</t>
  </si>
  <si>
    <t xml:space="preserve">2 Adet Mega Çiğ Köfte Dürüm + 2 Adet Coca-Cola (33 cl.) </t>
  </si>
  <si>
    <t>34,40 TL</t>
  </si>
  <si>
    <t>Seçilmiş Menü (Çiğ Köfte 750 gr.)</t>
  </si>
  <si>
    <t xml:space="preserve">Çiğ Köfte (750 gr.) + Coca-Cola (1 L.) </t>
  </si>
  <si>
    <t>47,20 TL</t>
  </si>
  <si>
    <t>Seçilmiş Menü (Mega Çiğ Köfte Dürüm (150 gr.))</t>
  </si>
  <si>
    <t xml:space="preserve">Mega Çiğ Köfte Dürüm (150 gr.) + Coca-Cola (30 cl.) </t>
  </si>
  <si>
    <t xml:space="preserve">(Lütfen, dürüm içerisine malzeme seçiminizi malzeme seçimi bölümünden yapınız.) Çiğ Köfte Dürüm + Ayran (17 cl.) </t>
  </si>
  <si>
    <t>Çiğ Köfte Dürüm &amp; Tatlı Menü</t>
  </si>
  <si>
    <t xml:space="preserve">(Lütfen, dürüm içerisine malzeme seçiminizi malzeme seçimi bölümünden yapınız.) Çiğ Köfte Dürüm + Ayran (17 cl.) + Tatlı </t>
  </si>
  <si>
    <t>Çiğ Köfte Dürüm &amp; Turşu Suyu Menü</t>
  </si>
  <si>
    <t xml:space="preserve">(Lütfen, dürüm içerisine malzeme seçiminizi malzeme seçimi bölümünden yapınız.) Çiğ Köfte Dürüm + Ayran (17 cl.) + Oses Turşu Suyu </t>
  </si>
  <si>
    <t xml:space="preserve">(Lütfen, dürüm içerisine malzeme seçiminizi malzeme seçimi bölümünden yapınız.) Mega Çiğ Köfte Dürüm + Ayran (17 cl.) </t>
  </si>
  <si>
    <t>Mega Çiğ Köfte Dürüm &amp; Tatlı Menü</t>
  </si>
  <si>
    <t xml:space="preserve">(Lütfen, dürüm içerisine malzeme seçiminizi malzeme seçimi bölümünden yapınız.) Mega Çiğ Köfte Dürüm + Ayran (30 cl.) + Tatlı </t>
  </si>
  <si>
    <t>2'li Çiğ Köfte Dürüm Menü</t>
  </si>
  <si>
    <t xml:space="preserve">2 Adet Çiğ Köfte Dürüm + 2 Adet Ayran (17 cl.) </t>
  </si>
  <si>
    <t>Çiğ Köfte (300 gr.) &amp; Turşu Suyu Menü</t>
  </si>
  <si>
    <t xml:space="preserve">Çiğ Köfte (300 gr.) + 2 Adet Oses Turşu Suyu </t>
  </si>
  <si>
    <t>Çiğ Köfte (300 gr.) &amp; Tatlı Menü</t>
  </si>
  <si>
    <t xml:space="preserve">Çiğ Köfte (300 gr.) + 2 Adet Tatlı </t>
  </si>
  <si>
    <t>3'lü Çiğ Köfte Dürüm Menü</t>
  </si>
  <si>
    <t xml:space="preserve">(Lütfen, dürüm içerisine malzeme seçiminizi malzeme seçimi bölümünden yapınız.) 3 Adet Çiğ Köfte Dürüm + 3 Adet Ayran (17 cl.) </t>
  </si>
  <si>
    <t>Çiğ Köfte (300 gr.) &amp; Tatlı &amp; İçecek Menü</t>
  </si>
  <si>
    <t xml:space="preserve">Çiğ Köfte (300 gr.) + 2 Adet Tatlı + İçecek (1 L.) </t>
  </si>
  <si>
    <t>Çiğ Köfte (300 gr.) &amp; Turşu Suyu &amp; Litrelik İçecek Menü</t>
  </si>
  <si>
    <t xml:space="preserve">Çiğ Köfte (300 gr.) + 2 Adet Oses Turşu Suyu + İçecek (1 L.) </t>
  </si>
  <si>
    <t>4'lü Çiğ Köfte Dürüm Menü</t>
  </si>
  <si>
    <t xml:space="preserve">(Lütfen, dürüm içerisine malzeme seçiminizi malzeme seçimi bölümünden yapınız.) 4 Adet Çiğ Köfte Dürüm + 4 Adet Ayran (17 cl.) </t>
  </si>
  <si>
    <t>3'lü Çiğ Köfte Dürüm &amp; Şam Tatlısı Menü</t>
  </si>
  <si>
    <t xml:space="preserve">(Lütfen, dürüm içerisine malzeme seçiminizi malzeme seçimi bölümünden yapınız.) 3 Adet Çiğ Köfte Dürüm + 3 Adet Ayran (17 cl.) + 3 Adet Şam Tatlısı </t>
  </si>
  <si>
    <t>5'li Çiğ Köfte Dürüm Menü</t>
  </si>
  <si>
    <t xml:space="preserve">(Lütfen, dürüm içerisine malzeme seçiminizi malzeme seçimi bölümünden yapınız.) 5 Adet Çiğ Köfte Dürüm + 5 Adet Ayran (17 cl.) </t>
  </si>
  <si>
    <t>4'lü Çiğ Köfte Dürüm &amp; Şam Tatlısı Menü</t>
  </si>
  <si>
    <t xml:space="preserve">(Lütfen, dürüm içerisine malzeme seçiminizi malzeme seçimi bölümünden yapınız.) 4 Adet Çiğ Köfte Dürüm + 4 Adet Ayran (17 cl.) + 4 Adet Şam Tatlısı </t>
  </si>
  <si>
    <t>5'li Çiğ Köfte Dürüm &amp; Şam Tatlısı Menü</t>
  </si>
  <si>
    <t xml:space="preserve">(Lütfen, dürüm içerisine malzeme seçiminizi malzeme seçimi bölümünden yapınız.) 5 Adet Çiğ Köfte Dürüm + 5 Adet Ayran (17 cl.) + 5 Adet Şam Tatlısı </t>
  </si>
  <si>
    <t>Çiğ Köfte (500 gr.) &amp; Litrelik İçecek Menü</t>
  </si>
  <si>
    <t xml:space="preserve">Çiğ Köfte (500 gr.) + İçecek (1 L.) </t>
  </si>
  <si>
    <t>Çiğ Köfte (500 gr.) &amp; Tatlı &amp; Litrelik İçecek Menü 1</t>
  </si>
  <si>
    <t xml:space="preserve">Çiğ Köfte (500 gr.) + 3 Adet Tatlı + İçecek (1 L.) </t>
  </si>
  <si>
    <t>Çiğ Köfte (500 gr.) &amp; Tatlı &amp; Litrelik İçecek Menü 2</t>
  </si>
  <si>
    <t xml:space="preserve">Çiğ Köfte (500 gr.) + 4 Adet Tatlı + İçecek (1 L.) </t>
  </si>
  <si>
    <t>Çiğ Köfte (750 gr.) &amp; Litrelik İçecek Menü</t>
  </si>
  <si>
    <t xml:space="preserve">Çiğ Köfte (750 gr.) + İçecek (1 L.) </t>
  </si>
  <si>
    <t>59,00 TL</t>
  </si>
  <si>
    <t>Çiğ Köfte (750 gr.) &amp; Tatlı Menü 1</t>
  </si>
  <si>
    <t xml:space="preserve">Çiğ Köfte (750 gr.) + 3 Adet Tatlı </t>
  </si>
  <si>
    <t>Çiğ Köfte (750 gr.) &amp; Tatlı Menü 2</t>
  </si>
  <si>
    <t xml:space="preserve">Çiğ Köfte (750 gr.) + 4 Adet Tatlı </t>
  </si>
  <si>
    <t>Çiğ Köfte (750 gr.) &amp; Tatlı &amp; Litrelik İçecek Menü 1</t>
  </si>
  <si>
    <t xml:space="preserve">Çiğ Köfte (750 gr.) + 3 Adet Tatlı + İçecek (1 L.) </t>
  </si>
  <si>
    <t>Çiğ Köfte (750 gr.) &amp; Tatlı &amp; Litrelik İçecek Menü 2</t>
  </si>
  <si>
    <t xml:space="preserve">Çiğ Köfte (750 gr.) + 4 Adet Tatlı + İçecek (1 L.) </t>
  </si>
  <si>
    <t>Çiğ Köfte (1 kg.) &amp; Litrelik İçecek Menü</t>
  </si>
  <si>
    <t>Çiğ Köfte (1 kg.) &amp; Tatlı Menü 1</t>
  </si>
  <si>
    <t xml:space="preserve">Çiğ Köfte (1 kg.) + 4 Adet Tatlı </t>
  </si>
  <si>
    <t>Çiğ Köfte (1 kg.) &amp; Tatlı Menü 2</t>
  </si>
  <si>
    <t xml:space="preserve">Çiğ Köfte (1 kg.) + 5 Adet Tatlı </t>
  </si>
  <si>
    <t>Çiğ Köfte (1 kg) &amp; Tatlı &amp; Litrelik İçecek Menü 1</t>
  </si>
  <si>
    <t xml:space="preserve">Çiğ Köfte (1 kg.) + 4 Adet Tatlı + İçecek (1 L.) </t>
  </si>
  <si>
    <t>Çiğ Köfte (1 kg) &amp; Tatlı &amp; Litrelik İçecek Menü 2</t>
  </si>
  <si>
    <t xml:space="preserve">Çiğ Köfte (1 kg.) + 5 Adet Tatlı + İçecek (1 L.) </t>
  </si>
  <si>
    <t>101,00 TL</t>
  </si>
  <si>
    <t>Çiğ Köfte Dürüm (100 gr.)</t>
  </si>
  <si>
    <t xml:space="preserve">2 adet lavaş, yeşillik, acı sos, nar ekşisi </t>
  </si>
  <si>
    <t xml:space="preserve">4 adet lavaş, yeşillik, 2 adet acı sos, 2 adet nar ekşisi </t>
  </si>
  <si>
    <t xml:space="preserve">6 adet lavaş, yeşillik, 3 adet acı sos, 3 adet nar ekşisi </t>
  </si>
  <si>
    <t xml:space="preserve">8 adet lavaş, yeşillik, 3 adet acı sos, 3 adet nar ekşisi </t>
  </si>
  <si>
    <t>Ekstra Limon (Adet)</t>
  </si>
  <si>
    <t>Ekstra Maydanoz (Demet)</t>
  </si>
  <si>
    <t>Ekstra Roka (Demet)</t>
  </si>
  <si>
    <t>Ekstra Iceberg Marul (Adet)</t>
  </si>
  <si>
    <t>Şekerpare (250 gr.)</t>
  </si>
  <si>
    <t>Güveçte Sütlaç</t>
  </si>
  <si>
    <t>Keşkül</t>
  </si>
  <si>
    <t>Maraş Dondurma (250 gr.)</t>
  </si>
  <si>
    <t>Eker Tavukgöğsü (100 gr.)</t>
  </si>
  <si>
    <t>Eker Sütlaç (100 gr.)</t>
  </si>
  <si>
    <t>Eker Kazandibi (100 gr.)</t>
  </si>
  <si>
    <t>Eker Çikolatalı Puding (80 gr.)</t>
  </si>
  <si>
    <t>Eker Keşkül (100 gr.)</t>
  </si>
  <si>
    <t>Eker Çikolatalı Puding (100 gr.)</t>
  </si>
  <si>
    <t>Eker Profiterol (100 gr.)</t>
  </si>
  <si>
    <t>Eker Supangle (150 gr.)</t>
  </si>
  <si>
    <t>Eker Höşmerim (150 gr.)</t>
  </si>
  <si>
    <t>Eker Fındıklı Krem Şokola (150 gr.)</t>
  </si>
  <si>
    <t>Eker Profiterol (80 gr.)</t>
  </si>
  <si>
    <t>Eker Kazandibi (150 gr.)</t>
  </si>
  <si>
    <t>Coca-Cola Light (30 cl.)</t>
  </si>
  <si>
    <t>Coca-Cola Light (25 cl.)</t>
  </si>
  <si>
    <t>Coca-Cola Şekersiz (30 cl.)</t>
  </si>
  <si>
    <t>Coca-Cola Şekersiz (25 cl.)</t>
  </si>
  <si>
    <t>Coca-Cola Şekersiz (20 cl.)</t>
  </si>
  <si>
    <t>Coca-Cola Energy (25 cl.)</t>
  </si>
  <si>
    <t>Coca-Cola Coffee (25 cl.)</t>
  </si>
  <si>
    <t>Fuse Tea (25 cl.)</t>
  </si>
  <si>
    <t>Cappy (20 cl.)</t>
  </si>
  <si>
    <t>Cappy (25 cl.)</t>
  </si>
  <si>
    <t>Fanta (33 cl.) (Cam Şişe)</t>
  </si>
  <si>
    <t>Fanta (30 cl.)</t>
  </si>
  <si>
    <t>Sprite (20 cl.)</t>
  </si>
  <si>
    <t>Çamlıca Gazozu (25 cl.)</t>
  </si>
  <si>
    <t>Uludağ Frutti Extra (25 cl.)</t>
  </si>
  <si>
    <t>Şalgam Suyu (33 cl.) (Cam Şişe)</t>
  </si>
  <si>
    <t>Eker Ayran (20 cl.)</t>
  </si>
  <si>
    <t>Eker Ayran (33 cl.)</t>
  </si>
  <si>
    <t>Ayran (17 cl.)</t>
  </si>
  <si>
    <t>Şalgam Suyu (1 L.) (Cam Şişe)</t>
  </si>
  <si>
    <t>Limonata (1 L.)</t>
  </si>
  <si>
    <t>Su (1 L.)</t>
  </si>
  <si>
    <t>Fuse Tea (1,5 L.)</t>
  </si>
  <si>
    <t>Cappy (1,5 L.)</t>
  </si>
  <si>
    <t>Eker Ayran (1,5 L.)</t>
  </si>
  <si>
    <t>Fanta (2 L.)</t>
  </si>
  <si>
    <t>Su (5 L.)</t>
  </si>
  <si>
    <t>Maraş Dondurma (1 kg.)</t>
  </si>
  <si>
    <t>Maraş Dondurma (500 gr.)</t>
  </si>
  <si>
    <t>Ekstra Stick Acı Sos</t>
  </si>
  <si>
    <t>Ekstra Stick Nar Ekşisi</t>
  </si>
  <si>
    <t>Nar Ekşisi (500 gr.)</t>
  </si>
  <si>
    <t>Acı Sos (540 gr.)</t>
  </si>
  <si>
    <t>Nar Ekşisi (1 L.)</t>
  </si>
  <si>
    <t>2’li Dürüm Menü Olsa da Yesek</t>
  </si>
  <si>
    <t xml:space="preserve">2 Adet Çiğ Köfte Dürüm (100 gr.) + 2 Adet Ayran (17 cl.) </t>
  </si>
  <si>
    <t>Halka Tatlısı (Orta)</t>
  </si>
  <si>
    <t>39,60 TL</t>
  </si>
  <si>
    <t>53,10 TL</t>
  </si>
  <si>
    <t>2'li Çiğ Köfte Dürüm &amp; Şam Tatlısı Menü</t>
  </si>
  <si>
    <t xml:space="preserve">(Lütfen, dürüm içerisine malzeme seçiminizi malzeme seçimi bölümünden yapınız.) 2 Adet Çiğ Köfte Dürüm + 2 Adet Şam Tatlısı + 2 Adet Ayran (17 cl.) </t>
  </si>
  <si>
    <t>Çiğ Köfte (500 gr.) &amp; Tatlı Menü 1</t>
  </si>
  <si>
    <t xml:space="preserve">Çiğ Köfte (500 gr.) + 3 Adet Tatlı </t>
  </si>
  <si>
    <t>Çiğ Köfte (500 gr.) &amp; Tatlı Menü 2</t>
  </si>
  <si>
    <t xml:space="preserve">Çiğ Köfte (500 gr.) + 4 Adet Tatlı </t>
  </si>
  <si>
    <t>106,00 TL</t>
  </si>
  <si>
    <t>Yeşillik Tabağı (Küçük)</t>
  </si>
  <si>
    <t xml:space="preserve">Iceberg marul, maydanoz, limon </t>
  </si>
  <si>
    <t>Yeşillik Tabağı (Büyük)</t>
  </si>
  <si>
    <t>Tereyağlı Fıstıklı Baklava (250 gr.)</t>
  </si>
  <si>
    <t>Fındıklı Baklava (250 gr.) - Şu anda mevcut değil.</t>
  </si>
  <si>
    <t>Oses Şam Tatlısı</t>
  </si>
  <si>
    <t>Burma Kadayıf (Adet)</t>
  </si>
  <si>
    <t>Muzlu Mag (Cam Kavanoz)</t>
  </si>
  <si>
    <t>Oreolu Mag (Cam Kavanoz)</t>
  </si>
  <si>
    <t>Çikolatalı Mag (Cam Kavanoz)</t>
  </si>
  <si>
    <t>Çilekli Mag (Cam Kavanoz)</t>
  </si>
  <si>
    <t>Vanilyalı Mag (Cam Kavanoz)</t>
  </si>
  <si>
    <t>Supangle (Cam Kavanoz)</t>
  </si>
  <si>
    <t>Profiterol (Cam Kavanoz)</t>
  </si>
  <si>
    <t>Burma Kadayıf (200 gr.)</t>
  </si>
  <si>
    <t>Niğde Gazozu (25 cl.)</t>
  </si>
  <si>
    <t>Acılı Ayran (25 cl.)</t>
  </si>
  <si>
    <t>Eker Ayran (1 L.)</t>
  </si>
  <si>
    <t>Oses Helva Sade (500 gr.)</t>
  </si>
  <si>
    <t>Ekler (1 kg.)</t>
  </si>
  <si>
    <t>Ekler (500 gr.) - Şu anda mevcut değil.</t>
  </si>
  <si>
    <t>Kadayıf (500 gr.)</t>
  </si>
  <si>
    <t>Maraş Dondurma (1 kg.) - Şu anda mevcut değil.</t>
  </si>
  <si>
    <t>Şekerpare (500 gr.)</t>
  </si>
  <si>
    <t>Şöbiyet (500 gr.)</t>
  </si>
  <si>
    <t>Tereyağlı Fıstıklı Baklava (500 gr.)</t>
  </si>
  <si>
    <t>Tulumba (500 gr.)</t>
  </si>
  <si>
    <t>Halka Tatlısı (Büyük) - Şu anda mevcut değil.</t>
  </si>
  <si>
    <t>Çikolatalı Mag (Cam Kavanoz) - Şu anda mevcut değil.</t>
  </si>
  <si>
    <t>Çilekli Mag (Cam Kavanoz) - Şu anda mevcut değil.</t>
  </si>
  <si>
    <t>Profiterol (Cam Kavanoz) - Şu anda mevcut değil.</t>
  </si>
  <si>
    <t>Oses Helva Sade (100 gr.)</t>
  </si>
  <si>
    <t>Oses Helva Sade (150 gr.)</t>
  </si>
  <si>
    <t>Oses Helva Sade (300 gr.)</t>
  </si>
  <si>
    <t>Oses Helva Fıstıklı (100 gr.)</t>
  </si>
  <si>
    <t>Oses Helva Fıstıklı (150 gr.)</t>
  </si>
  <si>
    <t>Oses Helva Fıstıklı (300 gr.)</t>
  </si>
  <si>
    <t>Eker Sütlaç (150 gr.)</t>
  </si>
  <si>
    <t>Oses Helva Sade (1 kg.)</t>
  </si>
  <si>
    <t>Oses Helva Fıstıklı (500 gr.)</t>
  </si>
  <si>
    <t>Oses Helva Fıstıklı (1 kg.)</t>
  </si>
  <si>
    <t>Çiğ Köfte (500 gr.) &amp; Turşu Suyu Menü 1</t>
  </si>
  <si>
    <t xml:space="preserve">Çiğ Köfte (500 gr.) + 3 Adet Oses Turşu Suyu </t>
  </si>
  <si>
    <t>Çiğ Köfte (500 gr.) &amp; Turşu Suyu Menü 2</t>
  </si>
  <si>
    <t xml:space="preserve">Çiğ Köfte (500 gr.) + 4 Adet Oses Turşu Suyu </t>
  </si>
  <si>
    <t>Çiğ Köfte (500 gr.) &amp; Turşu Suyu &amp; Litrelik İçecek Menü 1</t>
  </si>
  <si>
    <t xml:space="preserve">Çiğ Köfte (500 gr.) + 3 Adet Oses Turşu Suyu + İçecek (1 L.) </t>
  </si>
  <si>
    <t>Çiğ Köfte (500 gr.) &amp; Turşu Suyu &amp; Litrelik İçecek Menü 2</t>
  </si>
  <si>
    <t xml:space="preserve">Çiğ Köfte (500 gr.) + 4 Adet Oses Turşu Suyu + İçecek (1 L.) </t>
  </si>
  <si>
    <t>Çiğ Köfte (750 gr.) &amp; Turşu Suyu Menü 1</t>
  </si>
  <si>
    <t xml:space="preserve">Çiğ Köfte (750 gr.) + 3 Adet Oses Turşu Suyu </t>
  </si>
  <si>
    <t>Çiğ Köfte (750 gr.) &amp; Turşu Suyu Menü 2</t>
  </si>
  <si>
    <t xml:space="preserve">Çiğ Köfte (750 gr.) + 4 Adet Oses Turşu Suyu </t>
  </si>
  <si>
    <t>Çiğ Köfte (750 gr.) &amp; Turşu Suyu &amp; Litrelik İçecek Menü 1</t>
  </si>
  <si>
    <t xml:space="preserve">Çiğ Köfte (750 gr.) + 3 Adet Oses Turşu Suyu + İçecek (1 L.) </t>
  </si>
  <si>
    <t>Çiğ Köfte (750 gr.) &amp; Turşu Suyu &amp; Litrelik İçecek Menü 2</t>
  </si>
  <si>
    <t xml:space="preserve">Çiğ Köfte (750 gr.) + 4 Adet Oses Turşu Suyu + İçecek (1 L.) </t>
  </si>
  <si>
    <t>Çiğ Köfte (1 kg.) &amp; Turşu Suyu Menü 1</t>
  </si>
  <si>
    <t xml:space="preserve">Çiğ Köfte (1 kg.) + 4 Adet Oses Turşu Suyu </t>
  </si>
  <si>
    <t>Çiğ Köfte (1 kg.) &amp; Turşu Suyu Menü 2</t>
  </si>
  <si>
    <t xml:space="preserve">Çiğ Köfte (1 kg.) + 5 Adet Oses Turşu Suyu </t>
  </si>
  <si>
    <t>Çiğ Köfte (1 kg) &amp; Turşu Suyu &amp; Litrelik İçecek Menü 1</t>
  </si>
  <si>
    <t xml:space="preserve">Çiğ Köfte (1 kg.) + 4 Adet Oses Turşu Suyu + İçecek (1 L.) </t>
  </si>
  <si>
    <t>Çiğ Köfte (1 kg) &amp; Turşu Suyu &amp; Litrelik İçecek Menü 2</t>
  </si>
  <si>
    <t xml:space="preserve">Çiğ Köfte (1 kg.) + 5 Adet Oses Turşu Suyu + İçecek (1 L.) </t>
  </si>
  <si>
    <t>Acılı Ayran (20 cl.)</t>
  </si>
  <si>
    <t xml:space="preserve">Biber turşusu, isteğe göre soğan </t>
  </si>
  <si>
    <t>Zurna Tavuk Döner Dürüm</t>
  </si>
  <si>
    <t>Avantaj Menü</t>
  </si>
  <si>
    <t xml:space="preserve">Tavuk Döner Dürüm + Tatlı veya Patates Kızartması + Ayran (28,5 cl.) </t>
  </si>
  <si>
    <t>Tavuk Combo Menü</t>
  </si>
  <si>
    <t xml:space="preserve">Tavuk Döner Dürüm + Tatlı veya Patates Kızartması + Kutu İçecek </t>
  </si>
  <si>
    <t xml:space="preserve">Yeşillik, biber turşusu, domates, isteğe göre soğan </t>
  </si>
  <si>
    <t>Kazandıran Menü</t>
  </si>
  <si>
    <t xml:space="preserve">2 Adet Tavuk Döner + 2 Adet Patates Kızartması + Pepsi (1 L.) </t>
  </si>
  <si>
    <t>Et Combo Menü</t>
  </si>
  <si>
    <t xml:space="preserve">Et Döner Dürüm + Tatlı veya Patates Kızartması + Kutu İçecek </t>
  </si>
  <si>
    <t>Et Avantaj Menü</t>
  </si>
  <si>
    <t xml:space="preserve">Et Döner Dürüm + Patates Kızartması veya Tatlı + Ayran (28,5 cl.) </t>
  </si>
  <si>
    <t>3'lü Öncü Dürüm Menü</t>
  </si>
  <si>
    <t xml:space="preserve">3 Adet Tavuk Döner Dürüm + Pepsi (2,5 L.) </t>
  </si>
  <si>
    <t>4'lü Öncü Dürüm Menü</t>
  </si>
  <si>
    <t xml:space="preserve">4 Adet Tavuk Döner Dürüm + Pepsi (2,5 L.) </t>
  </si>
  <si>
    <t>5'li Öncü Dürüm Menü</t>
  </si>
  <si>
    <t xml:space="preserve">5 Adet Tavuk Döner Dürüm + Pepsi (2,5 L.) </t>
  </si>
  <si>
    <t>2'li Üniversiteli Menü</t>
  </si>
  <si>
    <t xml:space="preserve">2 Adet Tavuk Döner Dürüm + 2 Adet Patates Kızartması + 2 Adet Tatlı + Pepsi (2,5 L.) + 5 Adet Bardak </t>
  </si>
  <si>
    <t>3'lü Üniversiteli Menü</t>
  </si>
  <si>
    <t xml:space="preserve">3 Adet Tavuk Döner Dürüm + 3 Adet Patates Kızartması + 3 Adet Tatlı + Pepsi (2,5 L.) + 10 Adet Bardak </t>
  </si>
  <si>
    <t>5'li Üniversiteli Menü</t>
  </si>
  <si>
    <t xml:space="preserve">5 Adet Tavuk Döner Dürüm + 5 Adet Patates Kızartması + 5 Adet Tatlı + Pepsi (2,5 L.) + 10 Adet Bardak </t>
  </si>
  <si>
    <t>103,00 TL</t>
  </si>
  <si>
    <t xml:space="preserve">Yeşillik, acı biber turşusu, salatalık turşusu, domates, biber, isteğe göre soğan </t>
  </si>
  <si>
    <t>Ekmek Arası Et Döner</t>
  </si>
  <si>
    <t xml:space="preserve">Yeşillik tabağı, mevsim salata, limon ile </t>
  </si>
  <si>
    <t xml:space="preserve">Közlenmiş biber </t>
  </si>
  <si>
    <t>Tuzlama Çorbası</t>
  </si>
  <si>
    <t>Güveç Kavurma</t>
  </si>
  <si>
    <t>Fuse Tea Karpuz (33 cl.)</t>
  </si>
  <si>
    <t xml:space="preserve">Közlenmiş domates, közlenmiş acı biber, közlenmiş tatlı biber, közlenmiş domates, salata, yeşillik ile </t>
  </si>
  <si>
    <t>Adana Dürüm (75 gr.)</t>
  </si>
  <si>
    <t xml:space="preserve">Domates, mevsim yeşilliği, isteğe göre soğan </t>
  </si>
  <si>
    <t>Duble Adana Kebap</t>
  </si>
  <si>
    <t>Duble Tavuk Şiş</t>
  </si>
  <si>
    <t>Duble Urfa Kebap</t>
  </si>
  <si>
    <t>Urfa Dürüm (75 gr.)</t>
  </si>
  <si>
    <t>Tavuk Şiş Dürüm (100 gr.)</t>
  </si>
  <si>
    <t>Şeftali Meyve Suyu (33 cl.)</t>
  </si>
  <si>
    <t xml:space="preserve">Mevsim yeşillikleri, ketçap, mayonez </t>
  </si>
  <si>
    <t xml:space="preserve">Soğan, domates, maydanoz, roka, limon, turşu ile </t>
  </si>
  <si>
    <t>Zurna Tavuk Döner Dürüm Menü</t>
  </si>
  <si>
    <t xml:space="preserve">Zurna Tavuk Döner Dürüm + Patates Kızartması + Coca-Cola (20 cl.) </t>
  </si>
  <si>
    <t>Somun Ekmek Arası Tavuk Döner</t>
  </si>
  <si>
    <t>Vodafone Menüsü (Pilav Üstü Tavuk Döner) - Şu anda mevcut değil.</t>
  </si>
  <si>
    <t xml:space="preserve">Pilav Üstü Tavuk Döner + Kutu İçecek (Kampanya koşulları için restoranın Promosyonlar bölümüne göz atınız. İndirimli fiyat ürün sepete eklendikten sonra uygulanır.) </t>
  </si>
  <si>
    <t>Seçilmiş Menü (Tavuk Döner) - Şu anda mevcut değil.</t>
  </si>
  <si>
    <t xml:space="preserve">Tavuk Döner + Coca-Cola (33 cl.) </t>
  </si>
  <si>
    <t>2'li Tavuk Döner Menü</t>
  </si>
  <si>
    <t xml:space="preserve">2 Porsiyon Tavuk Döner + Patates Kızartması + 2 Porsiyon Mevsim Salata + 2 Adet Pide + İçecek (1 L.) </t>
  </si>
  <si>
    <t xml:space="preserve">Tavuk Döner Dürüm + Patates Kızartması + Coca-Cola (20 cl.) </t>
  </si>
  <si>
    <t xml:space="preserve">Tavuk Tantuni Dürüm + Patates Kızartması + Coca-Cola (20 cl.) </t>
  </si>
  <si>
    <t xml:space="preserve">Et Tantuni Dürüm + Patates Kızartması + Coca-Cola (20 cl.) </t>
  </si>
  <si>
    <t xml:space="preserve">Tavuk Döner (Mevsim yeşillikleri, ketçap, mayonez) + Yayık Ayran </t>
  </si>
  <si>
    <t>Yoğutlu Et Tantuni</t>
  </si>
  <si>
    <t xml:space="preserve">Soğan, domates, maydanoz. Roka, limon, turşu </t>
  </si>
  <si>
    <t xml:space="preserve">Mevsim salata, patates kızartması, turşu </t>
  </si>
  <si>
    <t>Duble Tavuk Döner Dürüm</t>
  </si>
  <si>
    <t>Duble Somun Ekmek Arası Döner Dürüm</t>
  </si>
  <si>
    <t>Pilav Üstü Tavuk Döner - Şu anda mevcut değil.</t>
  </si>
  <si>
    <t xml:space="preserve">Pirinç pilavı, mevsim salatası, ketçap, mayonez, turşu ile </t>
  </si>
  <si>
    <t>Yayık Ayranı (30 cl.)</t>
  </si>
  <si>
    <t>Tavuk Döner (1 kg.) - Şu anda mevcut değil.</t>
  </si>
  <si>
    <t xml:space="preserve">Mevsim salatası, ketçap, mayonez, turşu, pide ile </t>
  </si>
  <si>
    <t>Profiterol Şöleni (6 Kişilik)</t>
  </si>
  <si>
    <t xml:space="preserve">Kakaolu genoise kek, bitter çikolatalı mus, badem, çikolatalı vanilyalı özel krema ile doldurulmuş profiterol topları. </t>
  </si>
  <si>
    <t>Profiterol Şöleni (Dilim) Menü</t>
  </si>
  <si>
    <t xml:space="preserve">Profiterol Şöleni (Dilim) + Americano </t>
  </si>
  <si>
    <t>Pratik Kahvaltı</t>
  </si>
  <si>
    <t xml:space="preserve">Söğüş (Domates, salatalık), beyaz peynir, yeşilzeytin, siyah zeytin, salam, haşlanmış yumurta veya sahanda sade yumurta, bal, kaymak, roka, roll ekmek, simit </t>
  </si>
  <si>
    <t>Özsüt Serpme Kahvaltı</t>
  </si>
  <si>
    <t xml:space="preserve">Peynir tabağı (Çeçil peyniri, tulum peyniri, Ezine peyniri), zeytin tabağı (Yeşilzeytin, siyah zeytin), soğuk şarküteri tabağı (Macar salamı, hindi füme, pastırma), Zeytinyağlı söğüş tabağı, İzmir tulum peyniri, Ezine beyaz peynir, panelenmiş çeçil peyniri, Macar salamı, bal-kaymak, cevizli yörük ezmesi, Özsüt reçel çeşitleri, yeşilzeytin, siyah zeytin, peynirli börek, Ege çöreği yanında krem peyniri ve vişne reçeli, yoğurtlu şakşuka, sahanda yumurta </t>
  </si>
  <si>
    <t>117,00 TL</t>
  </si>
  <si>
    <t>Haşlanmış Yumurta</t>
  </si>
  <si>
    <t>Zeytinyağlı Söğüş Tabağı</t>
  </si>
  <si>
    <t>Peynir Tabağı</t>
  </si>
  <si>
    <t>Zeytin Tabağı</t>
  </si>
  <si>
    <t>Cevizli Yörük Ezmesi</t>
  </si>
  <si>
    <t>Yoğurtlu Şakşuka</t>
  </si>
  <si>
    <t>Bal-Kaymak</t>
  </si>
  <si>
    <t>Tereyağı</t>
  </si>
  <si>
    <t>Ege Çöreği</t>
  </si>
  <si>
    <t>Özsüt Ayva Reçeli (Porsiyon)</t>
  </si>
  <si>
    <t>Özsüt Turunç Reçeli (Porsiyon)</t>
  </si>
  <si>
    <t>Özsüt Çilek Reçeli (Porsiyon)</t>
  </si>
  <si>
    <t>Özsüt Karadut Reçeli (Porsiyon)</t>
  </si>
  <si>
    <t>Özsüt Mandalina Reçeli (Porsiyon)</t>
  </si>
  <si>
    <t>Özsüt Frambuaz Reçeli (Porsiyon)</t>
  </si>
  <si>
    <t>Özsüt Vişne Reçeli (Porsiyon)</t>
  </si>
  <si>
    <t>3 Peynirli Omlet</t>
  </si>
  <si>
    <t>Sahanda Sade Yumurta</t>
  </si>
  <si>
    <t>Sahanda Sucuklu Yumurta</t>
  </si>
  <si>
    <t>Sahanda Peynirli Yumurta</t>
  </si>
  <si>
    <t>Şarküteri Omlet</t>
  </si>
  <si>
    <t>Cheddar Peynirli &amp; Mantarlı Omlet</t>
  </si>
  <si>
    <t>Ananaslı Danish (Adet)</t>
  </si>
  <si>
    <t>Beyaz Parça Çikolatalı Kurabiye</t>
  </si>
  <si>
    <t xml:space="preserve">Beyaz çikolata parçalı tereyağlı kakaolu kurabiye </t>
  </si>
  <si>
    <t>Fındık Çikolatalı Danish (Adet)</t>
  </si>
  <si>
    <t>Çok Tahıllı Simit (Adet)</t>
  </si>
  <si>
    <t>Frambuazlı Kruvasan</t>
  </si>
  <si>
    <t xml:space="preserve">Frambuaz sos dolgulu kruvasan </t>
  </si>
  <si>
    <t xml:space="preserve">El açması yufka ile yapılmış peynirli çıtır börek </t>
  </si>
  <si>
    <t>Ponçik (Adet)</t>
  </si>
  <si>
    <t xml:space="preserve">El açması yufka ile yapılmış kıymalı çıtır börek </t>
  </si>
  <si>
    <t>Bademli Mini Kek (Adet)</t>
  </si>
  <si>
    <t>Tahinli Cevizli Çörek (Adet)</t>
  </si>
  <si>
    <t>Tahinli Çörek (Adet)</t>
  </si>
  <si>
    <t>Kruvasan Sandviç</t>
  </si>
  <si>
    <t xml:space="preserve">Kaşar peyniri, domates </t>
  </si>
  <si>
    <t>Tahinli Vişneli Çörek (Adet)</t>
  </si>
  <si>
    <t>Parça Çikolatalı Kurabiye</t>
  </si>
  <si>
    <t xml:space="preserve">Bitter çikolata parçalı tereyağlı kurabiye </t>
  </si>
  <si>
    <t>Üzümlü Danish</t>
  </si>
  <si>
    <t>Çikolatalı Vişneli Mini Kek (Adet)</t>
  </si>
  <si>
    <t>Selanik Gevreği</t>
  </si>
  <si>
    <t>Brownie Kek (Adet)</t>
  </si>
  <si>
    <t>Ay Çekirdekli Simit (Adet)</t>
  </si>
  <si>
    <t>Sade Kruvasan</t>
  </si>
  <si>
    <t>Bol Çikolatalı Kurabiye (120 gr.)</t>
  </si>
  <si>
    <t>Tereyağlı Su Böreği</t>
  </si>
  <si>
    <t>Simit (Adet)</t>
  </si>
  <si>
    <t>Boyoz (Adet)</t>
  </si>
  <si>
    <t>Açma (Adet)</t>
  </si>
  <si>
    <t>Zeytinli Açma (Adet)</t>
  </si>
  <si>
    <t>Sade Ev Poğaçası (Adet)</t>
  </si>
  <si>
    <t>Zeytinli Ev Poğaçası (Adet)</t>
  </si>
  <si>
    <t>Kaşarlı Ev Poğaçası (Adet)</t>
  </si>
  <si>
    <t>Dereotlu Ev Poğaçası (Adet)</t>
  </si>
  <si>
    <t>Çikolata Dolgulu Kurabiye (120 gr.)</t>
  </si>
  <si>
    <t>Elmalı Kurabiye (120 gr.)</t>
  </si>
  <si>
    <t>Kaşarlı Mayalı Poğaça (120 gr.)</t>
  </si>
  <si>
    <t>Maydanozlu Mayalı Poğaça (120 gr.)</t>
  </si>
  <si>
    <t>Orman Meyveli Kurabiye (120 gr.)</t>
  </si>
  <si>
    <t>Patatesli Ay Poğaça (120 gr.)</t>
  </si>
  <si>
    <t>Peynirli Oval Poğaça (120 gr.)</t>
  </si>
  <si>
    <t>Sakızlı Kurabiye (120 gr.)</t>
  </si>
  <si>
    <t>Selanik Kurabiye (120 gr.)</t>
  </si>
  <si>
    <t>Sosis &amp; Mantarlı Rulo (120 gr.)</t>
  </si>
  <si>
    <t>Susamlı Kandil Simidi (120 gr.)</t>
  </si>
  <si>
    <t>Tarçınlı Kurabiye (120 gr.)</t>
  </si>
  <si>
    <t>Yoğun Çikolatalı Kurabiye (120 gr.)</t>
  </si>
  <si>
    <t>Zeytin Rulo (120 gr.)</t>
  </si>
  <si>
    <t>Klasik Ekmek (750 gr.)</t>
  </si>
  <si>
    <t xml:space="preserve">Ekşi mayalı artizan ekmek </t>
  </si>
  <si>
    <t>Cevizli Ekmek (750 gr.)</t>
  </si>
  <si>
    <t xml:space="preserve">Ekşi mayalı cevizli ekmek </t>
  </si>
  <si>
    <t>Zeytinli Ekmek (750 gr.)</t>
  </si>
  <si>
    <t xml:space="preserve">Ekşi mayalı zeytinli ekmek </t>
  </si>
  <si>
    <t>Tam Buğday Ekmeği (750 gr.)</t>
  </si>
  <si>
    <t xml:space="preserve">Ekşi mayalı tam buğdaylı ekmek </t>
  </si>
  <si>
    <t>Fransız Baget Ekmeği (330 gr.)</t>
  </si>
  <si>
    <t xml:space="preserve">Ekşi mayalı Fransız bageti </t>
  </si>
  <si>
    <t>Siyez Ekmeği (770 gr.)</t>
  </si>
  <si>
    <t xml:space="preserve">Ekşi mayalı siyez unundan ekmek </t>
  </si>
  <si>
    <t>Çavdar Ekmeği (810 gr.)</t>
  </si>
  <si>
    <t xml:space="preserve">Çavdar unundan ekşi mayalı ekmek </t>
  </si>
  <si>
    <t>Ay Çekirdekli Çavdar Ekmeği (810 gr.)</t>
  </si>
  <si>
    <t xml:space="preserve">Ekşi mayalı ay çekirdekli çavdar ekmeği </t>
  </si>
  <si>
    <t>Cevizli Çavdar Ekmeği (810 gr.)</t>
  </si>
  <si>
    <t xml:space="preserve">Ekşi mayalı cevizli çavdar ekmeği </t>
  </si>
  <si>
    <t>Mısır Unlu Ekmek (810 gr.)</t>
  </si>
  <si>
    <t xml:space="preserve">Mısır unlu ekşi maya ekmek </t>
  </si>
  <si>
    <t>Çok Tahıllı Alman Ekmeği (810 gr.)</t>
  </si>
  <si>
    <t xml:space="preserve">Ekşi mayalı Alman usulü çok tahıllı ekmek </t>
  </si>
  <si>
    <t>Karakılçık Ekmeği (810 gr.)</t>
  </si>
  <si>
    <t xml:space="preserve">Karakılçık unundan ekşi mayalı ekmek </t>
  </si>
  <si>
    <t>Karakılçık Ekmeği (1 kg.)</t>
  </si>
  <si>
    <t xml:space="preserve">Dekorunda mavi haşhaş, keten tohumu, mısır unu, susam, kepek, ekşi mayalı ekmek </t>
  </si>
  <si>
    <t>Acılı Ezogelin Çorbası</t>
  </si>
  <si>
    <t xml:space="preserve">Buğday, nohut, yoğurt, tavuk suyu, kuru soğan, sarımsak, zerdeçal, kekik, taze nane </t>
  </si>
  <si>
    <t>İspanyol Domates Çorbası</t>
  </si>
  <si>
    <t xml:space="preserve">Havuç, çarliston biber, kırmızıbiber, domates suyu, taze soğan, kuru soğan, taze kekik, maydanoz </t>
  </si>
  <si>
    <t>Brokoli Çorbası</t>
  </si>
  <si>
    <t xml:space="preserve">Havuç, brokoli, süt, tavuk suyu, kuru soğan, sarımsak, maydanoz </t>
  </si>
  <si>
    <t>Selanik Çorbası</t>
  </si>
  <si>
    <t>Mantar Çorbası</t>
  </si>
  <si>
    <t xml:space="preserve">Mantar, tavuk suyu, süt, krema, maydanoz, taze kekik </t>
  </si>
  <si>
    <t>Acılı Domatesli Fettuccine</t>
  </si>
  <si>
    <t xml:space="preserve">Güneşte kururulmuş sebzeler, acılı Meksika biberli sos ile hazırlanmış ev yapımı domatesli fettuccine. İsteğe göre kremalı mantarlı sos veya Napolitan sos ile </t>
  </si>
  <si>
    <t>Napolitan Soslu Fettuccine</t>
  </si>
  <si>
    <t xml:space="preserve">Geleneksel İtalyan domates sosu, ev yapımı zerdeçallı fettuccine. İsteğe göre kremalı mantarlı sos, Acılı Meksika biberli sos ile </t>
  </si>
  <si>
    <t>Kremalı Mantarlı Ispanaklı Penne</t>
  </si>
  <si>
    <t xml:space="preserve">Kremalı mantarlı sos ile hazırlanmış ev yapımı ıspanaklı penne. İsteğe göre acılı Meksika biberli sos veya Napolitan sos ile </t>
  </si>
  <si>
    <t>Kaşarlı Salamlı Sandviç</t>
  </si>
  <si>
    <t xml:space="preserve">Özel tereyağlı brioche ekmeği içerisine; salam dilimleri, kaşar peyniri, domates, çıtır taze biber </t>
  </si>
  <si>
    <t>Ege Sandviç</t>
  </si>
  <si>
    <t xml:space="preserve">Ciabatta ekmeği içerisine; Ezine peyniri, İzmir tulum peyniri, domates, çıtır taze biber </t>
  </si>
  <si>
    <t>Hindi Fümeli Sandviç</t>
  </si>
  <si>
    <t xml:space="preserve">Ekşi mayalı ciabatta ekmeği içerisine; hindi füme dilimleri, Amerikan cheddar peyniri, salatalık turşusu, kaşar peyniri, domates </t>
  </si>
  <si>
    <t>Sebzeli Sandviç</t>
  </si>
  <si>
    <t xml:space="preserve">Ekşi mayalı ciabatta ekmeği içerisine; özel pesto sos, fırında pişirilmiş karışık sebzeler, domates, çıtır taze biber, kaşar peyniri </t>
  </si>
  <si>
    <t xml:space="preserve">Ekşi mayalı ciabatta ekmeği içerisine; Amerikan cheddar, üçgen peynir, kaşar peyniri </t>
  </si>
  <si>
    <t>Anadolu Sandviç</t>
  </si>
  <si>
    <t xml:space="preserve">Ekşi mayalı ciabatta ekmeği içerisine; sucuklu çırpılmış yumurta, kaşar peyniri, domates </t>
  </si>
  <si>
    <t>Dil Füme Kaşarlı Sandviç</t>
  </si>
  <si>
    <t xml:space="preserve">Ciabatta ekmeğine; özel yapılmış hardal sos, marul, domates, turşu, dana dil füme, eritilmiş kaşar peyniri </t>
  </si>
  <si>
    <t>Ayvalık Şarküteri Sandviç</t>
  </si>
  <si>
    <t xml:space="preserve">Ciabatta ekmeğine; özel yapılmış hardal sos, marul, domates, turşu, ızgara sucuk, sosis, eritilmiş kaşar peyniri </t>
  </si>
  <si>
    <t>Tavuklu Sandviç</t>
  </si>
  <si>
    <t xml:space="preserve">Özel yapılmış tereyağlı brioche sandviç ekmeğine; hardal sos, marul, turşu, haşlanmış tavuk, Rus salatası </t>
  </si>
  <si>
    <t>Peynirli Sucuklu Tost</t>
  </si>
  <si>
    <t xml:space="preserve">Ekşi mayalı sandviç ekmeği içerisine; tereyağı, ev salçası, beyaz peynir, sucuk, kaşar peyniri </t>
  </si>
  <si>
    <t>Ay Pizza</t>
  </si>
  <si>
    <t xml:space="preserve">Mozzarella peyniri, macar salam, sucuk, sosis, mantar, siyah zeytin, domates sosu </t>
  </si>
  <si>
    <t xml:space="preserve">Mozzarella peyniri, cheddar peyniri, parmesan peyniri, fesleğen sosu, domates sosu </t>
  </si>
  <si>
    <t>Sebzeli Pizza</t>
  </si>
  <si>
    <t xml:space="preserve">Mozzarella peyniri, brokoli, mantar, siyah zeytin, mısır, yeşilbiber, kırmızıbiber, domates sosu </t>
  </si>
  <si>
    <t>BBQ Tavuklu Pizza</t>
  </si>
  <si>
    <t xml:space="preserve">Mozzarella peyniri, tavuk bonfile, bbq sos, kırmızı soğan, kırmızıbiber, siyah zeytin, domates sosu </t>
  </si>
  <si>
    <t>Bolonez Soslu Pizza</t>
  </si>
  <si>
    <t xml:space="preserve">Mozzarella peyniri, kıymalı bolonez sos, domates sosu </t>
  </si>
  <si>
    <t>51,50 TL</t>
  </si>
  <si>
    <t xml:space="preserve">Akdeniz yeşillikleri, ton balığı, cherry domates, siyah zeytin, Fransız sos </t>
  </si>
  <si>
    <t xml:space="preserve">Akdeniz yeşillikleri, haşlanmış tavuk bonfile, cherry domates, cheddar peyniri, Fransız sos </t>
  </si>
  <si>
    <t>Cevizli Köy Salata</t>
  </si>
  <si>
    <t xml:space="preserve">Domates, salatalık, roka, siyah zeytin, yeşilbiber, taze nane, ceviz, beyaz peynir, Fransız sos </t>
  </si>
  <si>
    <t>Çıtır Peynirli Salata</t>
  </si>
  <si>
    <t xml:space="preserve">Akdeniz yeşillikleri, mısır, panelenmiş kaşar peyniri, cherry domates, tulum peyniri, Fransız sos </t>
  </si>
  <si>
    <t>Tavukgöğsü Kazandibi</t>
  </si>
  <si>
    <t xml:space="preserve">Tavukgöğsünün dibinin özel ocaklarda karamelize edilmesiyle hazırlanmaktadır. Süt, süt kreması, şeker, sübye, tavuk eti </t>
  </si>
  <si>
    <t>Aşure</t>
  </si>
  <si>
    <t xml:space="preserve">Buğday, fasulye, nohut, şeker, incir, kuş üzümü, susam, ceviz, pirinç unu </t>
  </si>
  <si>
    <t xml:space="preserve">Krema ve süt karışımı ile ıslatılmış, fındıklı özel kek, karamel sos ile </t>
  </si>
  <si>
    <t xml:space="preserve">Süt, şeker, sübye, yumurtai pirinç </t>
  </si>
  <si>
    <t xml:space="preserve">Süt, şeker, sübye, süt kreması </t>
  </si>
  <si>
    <t xml:space="preserve">Süt, şeker, sübye, badem, vanilya, yumurta </t>
  </si>
  <si>
    <t>Sakızlı Muhallebi</t>
  </si>
  <si>
    <t xml:space="preserve">Süt, şeker, sübye, sakız, nişasta </t>
  </si>
  <si>
    <t xml:space="preserve">Günlük çiftlik sütü ile hazırlanmaktadır. Süt, süt kreması, şeker, sübye, haşlanmış ve dövülmüş lif tavuk göğüs eti </t>
  </si>
  <si>
    <t xml:space="preserve">Özel çikolata sosu, şu hamuru, süt kreması, süt </t>
  </si>
  <si>
    <t xml:space="preserve">Kakaolu kek, damla çikolata, özel çikolatalı supangle kreması </t>
  </si>
  <si>
    <t>Çikolatalı Panna Cotta</t>
  </si>
  <si>
    <t xml:space="preserve">Taze vanilya, özel krema ile </t>
  </si>
  <si>
    <t xml:space="preserve">Özel çikolatası ile hızlıca hazırlanır, pudra şekeri, krema ile servis edilir </t>
  </si>
  <si>
    <t>Peynir Tatlısı</t>
  </si>
  <si>
    <t xml:space="preserve">Günlük çiftlik sütüyle özel olarak hazırlanan ve lezzetini peynirinden alan geleneksel şerbetli tatlı. Görselde belirtilen kaymak ilavedir. </t>
  </si>
  <si>
    <t>Nostalji</t>
  </si>
  <si>
    <t xml:space="preserve">Peynir tatlısı üzerine yarım porsiyon kazandibi, 2 top kaymaklı dondurma </t>
  </si>
  <si>
    <t>Asansör</t>
  </si>
  <si>
    <t xml:space="preserve">Ekmek kadayıfı üzerine yarım porsiyon kazandibi, 2 top kaymaklı dondurma </t>
  </si>
  <si>
    <t>Ekmek Kadayıfı</t>
  </si>
  <si>
    <t xml:space="preserve">En kaliteli malzemelerle ve geleneksel yöntemlerle hazırlanan Osmanlı saraylısı. Görselde belirtilen kaymak ilavedir. </t>
  </si>
  <si>
    <t>Kaymak (40 gr.)</t>
  </si>
  <si>
    <t xml:space="preserve">Günlük çiftlik sütünden </t>
  </si>
  <si>
    <t xml:space="preserve">Waffle hamuru, mevsim meyveleri, çikolata kreması </t>
  </si>
  <si>
    <t>Karaorman Frambuaz (Glutensiz) (6-8 Kişilik)</t>
  </si>
  <si>
    <t xml:space="preserve">Ürünlerin hazırlanma süresi 1-2 gün olarak değişim göstermektedir. Teslim günleri Salı, Perşembe ve Cumartesi günleridir. </t>
  </si>
  <si>
    <t>188,50 TL</t>
  </si>
  <si>
    <t>Karaorman Muz (Glutensiz) (6-8 Kişilik)</t>
  </si>
  <si>
    <t>Karaorman Vişne (Glutensiz) (6-8 Kişilik)</t>
  </si>
  <si>
    <t>Özsüt Çilekli Mag (Bardak)</t>
  </si>
  <si>
    <t xml:space="preserve">Vanilyalı özel mag kreması, bisküvi parçaları ve taze çilek dilimleri </t>
  </si>
  <si>
    <t>Meyveli (Bardak)</t>
  </si>
  <si>
    <t xml:space="preserve">Sade kek katlarıyla özel Özsüt kreması, şeftali, ananas, armut parçaları, beyaz çikolatalı sos </t>
  </si>
  <si>
    <t>Frambuazlı (Bardak)</t>
  </si>
  <si>
    <t xml:space="preserve">Frambuazlı şurup ile ıslatılmış kakaolu genoise kek, çikolatalı pastacı kreması, frambuaz sos, frambuaz </t>
  </si>
  <si>
    <t>Krokanlı (Bardak)</t>
  </si>
  <si>
    <t xml:space="preserve">Kakaolu genoise kek, çikolatalı pastacı kreması, toffee karamel sos, fındık krokan </t>
  </si>
  <si>
    <t>Özsüt Muzlu Mag (Bardak)</t>
  </si>
  <si>
    <t xml:space="preserve">Vanilyalı özel mag kreması, bisküvi parçaları, taze muz dilimleri </t>
  </si>
  <si>
    <t>Çikolatalı (Bardak)</t>
  </si>
  <si>
    <t xml:space="preserve">Çikolatalı sos ile ıslatılmış kakaolu genoise kek, çikolatalı pastacı kreması, bol kakaolu özel sos, çikolata dilimleri </t>
  </si>
  <si>
    <t>Tiramisu (Bardak)</t>
  </si>
  <si>
    <t xml:space="preserve">Kahveli şurup ile ıslatılmış tiramisu keki, özel Mascarpone peyniri ile hazırlanan krema, kakao dekoru </t>
  </si>
  <si>
    <t>Ananaslı Bademli (Bardak)</t>
  </si>
  <si>
    <t xml:space="preserve">Ananaslı şurup ile ıslatılmış sade kek katları arasında ananaslı vanilyalı krema, ananas dilimleri, badem ve üzerine beyaz çikolatalı sos </t>
  </si>
  <si>
    <t>Sakızlı Markiz (Bardak)</t>
  </si>
  <si>
    <t xml:space="preserve">Sade kek katları arasında damla sakızı, pişirilmiş özel Özsüt kreması ve ceviz parçaları </t>
  </si>
  <si>
    <t>Bal Kabaklı (Bardak)</t>
  </si>
  <si>
    <t xml:space="preserve">Özel şurup ile ıslatılmış sade kek katları arasında balkabağı püresi, Mascarpone peynirli beyaz çikolatalı krema ile çıtır kabak ve ceviz </t>
  </si>
  <si>
    <t>Kestaneli Mag (Bardak)</t>
  </si>
  <si>
    <t xml:space="preserve">Vanilyalı kremsi özel puding, bisküvi parçaları ve kestaneli krema </t>
  </si>
  <si>
    <t>Yer Fıstıklı Çikolatalı (Bardak)</t>
  </si>
  <si>
    <t xml:space="preserve">Çikolatalı sos üzerine özel şurupla ıslatılmış kakaolu kek yer fıstığı ezmeli krema, karamel sos ve kavrulmuş yer fıstığı </t>
  </si>
  <si>
    <t>Çikolata Kestane (Adet)</t>
  </si>
  <si>
    <t xml:space="preserve">Kakaolu kek katları arasında çikoltalı ve kestaneli krema ile çikolata parçaları </t>
  </si>
  <si>
    <t>Thomas (Adet)</t>
  </si>
  <si>
    <t xml:space="preserve">Fıstıklı kek, özel Thomas kreması, fıstık nugat ve ganajdan oluşan lezzet </t>
  </si>
  <si>
    <t>Çikolata Muz (Adet)</t>
  </si>
  <si>
    <t xml:space="preserve">Kakaolu kek katları arasında çikolatalı ve muzlu mus, parça çikolata ve muz dilimleri </t>
  </si>
  <si>
    <t>Çikolatalı Fondü (Adet)</t>
  </si>
  <si>
    <t xml:space="preserve">Bademli özel kek ve bitter çikolatalı fondü kreması </t>
  </si>
  <si>
    <t>Frambuaz Küpü (Adet)</t>
  </si>
  <si>
    <t xml:space="preserve">Frambuaz sosuyla ıslatılmış kakaolu kek katları arasında çikolatalı krema ve frambuaz parçaları </t>
  </si>
  <si>
    <t>Gülücük (Adet)</t>
  </si>
  <si>
    <t xml:space="preserve">Çocuklar için; alt kısmında kakaolu kek, üzerine muzlu mus, üst kısımda kakaolu kek ile çikolatalı fındık krema ve çikolatalı mus </t>
  </si>
  <si>
    <t>Meyve Küpü (Adet)</t>
  </si>
  <si>
    <t xml:space="preserve">Sade kek katları arasında özel Özsüt kreması, şeftali, ananas, armut parçaları, fildişi çikolatalı kaplama sosu, kırık badem </t>
  </si>
  <si>
    <t>Mozaik Pasta (Adet)</t>
  </si>
  <si>
    <t xml:space="preserve">Çifte kavrulmuş bisküvi, bitter çikolatalı özel sos ve portakal parçaları </t>
  </si>
  <si>
    <t>Özsüt'ün Aynası (Adet)</t>
  </si>
  <si>
    <t xml:space="preserve">Kakaolu kek, yaban mersinli özel mus, yaban mersini kreması ve şeftali parçaları </t>
  </si>
  <si>
    <t>Balım (Adet)</t>
  </si>
  <si>
    <t xml:space="preserve">Sade kek katları arasında karamel sos, karamel çikolatalı mus, bal ile karamelize edilmiş badem ve özel parfe </t>
  </si>
  <si>
    <t>Elmalı &amp; Bademli Tart (Dilim)</t>
  </si>
  <si>
    <t xml:space="preserve">Tart hamuru, bademli krema, elma, file badem </t>
  </si>
  <si>
    <t>Özsüt Sade Cheesecake (Dilim)</t>
  </si>
  <si>
    <t xml:space="preserve">Özel peyniri, yumuşacık kremamsı kıvamı ile İspanya’nın Bask Bölgesi’ne ait tekniklerle farklılaşan cheesecake </t>
  </si>
  <si>
    <t>Crystalline (Dilim)</t>
  </si>
  <si>
    <t xml:space="preserve">Kıtır taban üzerinde bademli özel kek, frambuaz dolgulu beyaz çikolatalı özel sos, Hindistan cevizi </t>
  </si>
  <si>
    <t>Fıstıklı Charlotte (Dilim)</t>
  </si>
  <si>
    <t xml:space="preserve">Özel charlotte keki ile dekore edilmiş sade kek katları arasında İngiliz kreması ve Fransız sütlacı, Antep fıstığı nuga </t>
  </si>
  <si>
    <t>Profiterol Şöleni (Dilim)</t>
  </si>
  <si>
    <t>Vişneli Cheesecake (Dilim)</t>
  </si>
  <si>
    <t xml:space="preserve">Bademli kıtır sable üstüne özel krema, vişne sosu </t>
  </si>
  <si>
    <t xml:space="preserve">Bademli kıtır sable üstüne özel krema, limon sosu </t>
  </si>
  <si>
    <t xml:space="preserve">Bademli kıtır sable üstüne özel krema, frambuaz sosu </t>
  </si>
  <si>
    <t>Çikolatalı Cheesecake (Dilim)</t>
  </si>
  <si>
    <t xml:space="preserve">Bademli kıtır sable üstüne özel krema, çikolata sosu </t>
  </si>
  <si>
    <t>Çikolata Trio (Dilim)</t>
  </si>
  <si>
    <t xml:space="preserve">Kakaolu kek katları arasında bitter, sütlü ve fildişi çikolatalı 3 kat krema </t>
  </si>
  <si>
    <t>Kanaş (Dilim)</t>
  </si>
  <si>
    <t xml:space="preserve">Kakaolu kek katları arasında bitter çikolatalı özel krema ve çikolata parçacıkları </t>
  </si>
  <si>
    <t>Karaorman Fıstık (Dilim)</t>
  </si>
  <si>
    <t xml:space="preserve">Bitter çikolata ve Antep fıstığı ile süslenmiş kakaolu genoise kek katları arasında enfes çikolatalı mus, Antep fıstıklı nugat ve özel Antep fıstık ezmesi </t>
  </si>
  <si>
    <t>Karaorman Krokan (Dilim)</t>
  </si>
  <si>
    <t xml:space="preserve">Fındıklı çikolata ile kaplı, kakaolu genoise kek katları arasında çikolatalı mus, özel fındık krokan ve karamel sos ile hazırlanan lezzet </t>
  </si>
  <si>
    <t>Karaorman Muz (Dilim)</t>
  </si>
  <si>
    <t xml:space="preserve">Beyaz rende çikolata ve muzla süslenmiş, muzlu şurupla lezzetlendirilmiş kakaolu genoise kek katları arasında çikolatalı mus, çikolata parçacıkları ve muz </t>
  </si>
  <si>
    <t>Karaorman Vişne (Dilim)</t>
  </si>
  <si>
    <t xml:space="preserve">Bitter çikolata ve vişne taneleri ile süslenmiş, vişne suyu ile lezzetlendirilmiş, çikolata kaplı kakaolu genoise kek katları arasında çikolatalı mus, vişne taneleri </t>
  </si>
  <si>
    <t>Meyve Bahçesi (Dilim)</t>
  </si>
  <si>
    <t xml:space="preserve">Sade kek katları arasında özel Özsüt kreması ve mevsim meyveleri </t>
  </si>
  <si>
    <t>Özsüt'ün Aynası (Dilim)</t>
  </si>
  <si>
    <t xml:space="preserve">Kakaolu kek katları arasında yaban mersini ile hazırlanmış özel mus, yaban mersini kreması ve şeftali parçaları </t>
  </si>
  <si>
    <t>Tiramisu (Dilim)</t>
  </si>
  <si>
    <t xml:space="preserve">Kahveli şurup ile ıslatılmış sade tiramisu keki, orijinal mascarpone peyniri ile hazırlanmış krema, üzerine serpilmiş kakao tozu süslemesiyle </t>
  </si>
  <si>
    <t>Sonbahar (Dilim)</t>
  </si>
  <si>
    <t xml:space="preserve">Fındıklı özel sable üzerinde bitter çikolata sosuyla kaplanmış bademli kek katları, kestaneli yumuşak krema, sütlü çikolatalı parfe </t>
  </si>
  <si>
    <t>Bonata (Dilim)</t>
  </si>
  <si>
    <t xml:space="preserve">Fındıklı özel sable üzerinde kakaolu kek katları, muzlu parfe, beyaz çikolatalı mus </t>
  </si>
  <si>
    <t>Clementin (Dilim)</t>
  </si>
  <si>
    <t xml:space="preserve">Özel sable üzerinde sütlü çikolatalı mus, sütlü çikolatalı parfe, taze portakallı parfe </t>
  </si>
  <si>
    <t>Gato Diable (Dilim)</t>
  </si>
  <si>
    <t xml:space="preserve">Tereyağlı kakaolu kek katları arasında ceviz, pudra şekerli çikolatalı krema (Servis öncesi fırında 25 saniye ısıtılarak tüketilmesi önerilir.) </t>
  </si>
  <si>
    <t>Karamello (Dilim)</t>
  </si>
  <si>
    <t xml:space="preserve">Badem, Antep fıstığı, fındık, karamelli taban kek, yoğun çikolata ile lezzetlendirilmiş kek, karamel, beyaz çikolatalı mus, krokan </t>
  </si>
  <si>
    <t>Çikolatalı Crystalline (6 Kişilik)</t>
  </si>
  <si>
    <t xml:space="preserve">Kıtır taban üzerinde özel kek, frambuaz dolgulu çikolatalı özel sos </t>
  </si>
  <si>
    <t>163,50 TL</t>
  </si>
  <si>
    <t>Özsüt Sade Cheesecake (6 Kişilik)</t>
  </si>
  <si>
    <t>Kanaş (6 Kişilik)</t>
  </si>
  <si>
    <t>146,50 TL</t>
  </si>
  <si>
    <t>Karaorman Vişne (6 Kişilik)</t>
  </si>
  <si>
    <t>134,00 TL</t>
  </si>
  <si>
    <t>Fıstıklı Charlotte (6 Kişilik)</t>
  </si>
  <si>
    <t>162,00 TL</t>
  </si>
  <si>
    <t>Crystalline (6 Kişilik)</t>
  </si>
  <si>
    <t>Vişneli Cheesecake (6 Kişilik)</t>
  </si>
  <si>
    <t xml:space="preserve">Bademli kıtır hamur üstünde özel krema ve enfes vişne sosu ile hazırlanmış Fransız usulü cheesecake </t>
  </si>
  <si>
    <t>Limonlu Cheesecake (6 Kişilik)</t>
  </si>
  <si>
    <t>Çikolata Trio (6 Kişilik)</t>
  </si>
  <si>
    <t>Çikolatalı Trio (4 Kişilik)</t>
  </si>
  <si>
    <t>118,00 TL</t>
  </si>
  <si>
    <t>Karaorman Fıstık (4 Kişilik)</t>
  </si>
  <si>
    <t>136,50 TL</t>
  </si>
  <si>
    <t>Karaorman Fıstık (6 Kişilik)</t>
  </si>
  <si>
    <t>Karaorman Frambuaz (4 Kişilik)</t>
  </si>
  <si>
    <t xml:space="preserve">Yaprak beyaz çikolata ile süslenmiş, sade genoise kek katları arasında frambuazlı özel krema, fambuazlı sos ve frambuaz parçaları </t>
  </si>
  <si>
    <t>Karaorman Krokan (4 Kişilik)</t>
  </si>
  <si>
    <t>Karaorman Krokan (6 Kişilik)</t>
  </si>
  <si>
    <t>156,50 TL</t>
  </si>
  <si>
    <t>Karaorman Muz (6 Kişilik)</t>
  </si>
  <si>
    <t>Meyve Bahçesi (6 Kişilik)</t>
  </si>
  <si>
    <t xml:space="preserve">Sade kek katları arasında özel Özsüt Kreması ve mevsim meyveleri </t>
  </si>
  <si>
    <t>Özsütün Aynası (4 Kişilik)</t>
  </si>
  <si>
    <t>Tiramisu (6 Kişilik)</t>
  </si>
  <si>
    <t>Sonbahar (8 Kişilik)</t>
  </si>
  <si>
    <t>172,50 TL</t>
  </si>
  <si>
    <t>Bonata (8 Kişilik)</t>
  </si>
  <si>
    <t>Clementin (6 Kişilik)</t>
  </si>
  <si>
    <t>Gato Diable (6 Kişilik)</t>
  </si>
  <si>
    <t>Elmalı &amp; Bademli Tart (6 Kişilik)</t>
  </si>
  <si>
    <t>Karamello (6 Kişilik)</t>
  </si>
  <si>
    <t>Çikolatalı Mini Ekler (3 Adet)</t>
  </si>
  <si>
    <t xml:space="preserve">Özsüt kreması ile </t>
  </si>
  <si>
    <t>Sade Grissini</t>
  </si>
  <si>
    <t xml:space="preserve">Kıtır İtalyan ekmek çubukları </t>
  </si>
  <si>
    <t>Özsüt Karadut Reçeli</t>
  </si>
  <si>
    <t>Özsüt Turunç Reçeli</t>
  </si>
  <si>
    <t>Parmesanlı Grissini</t>
  </si>
  <si>
    <t xml:space="preserve">Parmesanlı kıtır İtalyan ekmek çubukları </t>
  </si>
  <si>
    <t>Özsüt Çilek Reçeli</t>
  </si>
  <si>
    <t>Özsüt Ayva Reçeli</t>
  </si>
  <si>
    <t>Özsüt Frambuaz Reçeli</t>
  </si>
  <si>
    <t>Özsüt Vişne Reçeli</t>
  </si>
  <si>
    <t>Özsüt Mandalina Reçeli</t>
  </si>
  <si>
    <t>Dondurma (Top)</t>
  </si>
  <si>
    <t xml:space="preserve">Seçeceğiniz çeşit ile </t>
  </si>
  <si>
    <t>3 Top Dondurmalı Waffle</t>
  </si>
  <si>
    <t xml:space="preserve">Waffle hamuru, mevsim meyveleri, çikolata kreması, seçeceğiniz 3 top dondurma </t>
  </si>
  <si>
    <t>Schweppes (25 cl.)</t>
  </si>
  <si>
    <t xml:space="preserve">(Bardakta) </t>
  </si>
  <si>
    <t>Yaban Mersini Şerbeti</t>
  </si>
  <si>
    <t>Frenk Üzümü Şerbeti</t>
  </si>
  <si>
    <t>Böğürtlen Şerbeti</t>
  </si>
  <si>
    <t>Frenk Üzümü Şerbeti (1 L.)</t>
  </si>
  <si>
    <t>Yaban Mersini Şerbeti (1 L.)</t>
  </si>
  <si>
    <t>Karadut Şerbeti (1 L.)</t>
  </si>
  <si>
    <t>Böğürtlen Şerbeti (1 L.)</t>
  </si>
  <si>
    <t>Chai Tea Latte</t>
  </si>
  <si>
    <t xml:space="preserve">Chai Masala karışımı, Özsüt çayı ve krema kıvamında süt ile oluşan lezzet </t>
  </si>
  <si>
    <t>Yeşil Çay</t>
  </si>
  <si>
    <t>Ihlamur</t>
  </si>
  <si>
    <t>Ada Çayı</t>
  </si>
  <si>
    <t>Kuşburnu</t>
  </si>
  <si>
    <t>Nane Limon</t>
  </si>
  <si>
    <t>Sıcak Çikolata</t>
  </si>
  <si>
    <t>Salep</t>
  </si>
  <si>
    <t>Orange &amp; Strawberry Frozen</t>
  </si>
  <si>
    <t>Lementa Frozen</t>
  </si>
  <si>
    <t>Red Berries Frozen</t>
  </si>
  <si>
    <t>Vanilyalı Milkshake</t>
  </si>
  <si>
    <t>Çilekli Milkshake</t>
  </si>
  <si>
    <t>Muzlu Milkshake</t>
  </si>
  <si>
    <t>Çikolatalı Milkshake</t>
  </si>
  <si>
    <t>Çilekli Smoothie</t>
  </si>
  <si>
    <t>Ahududulu Smoothie</t>
  </si>
  <si>
    <t>Yaban Mersinli Smoothie</t>
  </si>
  <si>
    <t>Karpuzlu Çilekli Frozen</t>
  </si>
  <si>
    <t>Sour Power</t>
  </si>
  <si>
    <t>Affogato</t>
  </si>
  <si>
    <t xml:space="preserve">Espresso ile 1 top süper vanilya dondurma </t>
  </si>
  <si>
    <t>Filtre Kahve</t>
  </si>
  <si>
    <t>Cafe Mocha</t>
  </si>
  <si>
    <t>Frutti Cappuccino</t>
  </si>
  <si>
    <t>White Chocolate Mocha</t>
  </si>
  <si>
    <t>Mocha Mint</t>
  </si>
  <si>
    <t>Cappuccino</t>
  </si>
  <si>
    <t>Espresso Macchiato</t>
  </si>
  <si>
    <t>Flat White</t>
  </si>
  <si>
    <t>Cookie Ccino</t>
  </si>
  <si>
    <t>Bal Badem Latte</t>
  </si>
  <si>
    <t>Americano</t>
  </si>
  <si>
    <t>Single Espresso</t>
  </si>
  <si>
    <t>Double Espresso</t>
  </si>
  <si>
    <t>Latte Macchiato</t>
  </si>
  <si>
    <t>Salted Caramel Latte</t>
  </si>
  <si>
    <t>Espresso Con Panna</t>
  </si>
  <si>
    <t>Café Au Lait</t>
  </si>
  <si>
    <t>Cafe Latte</t>
  </si>
  <si>
    <t>Iced Cafe Mocha</t>
  </si>
  <si>
    <t>Frappe Latte</t>
  </si>
  <si>
    <t>Özsüt Salted Caramel Frappe</t>
  </si>
  <si>
    <t>Iced Cappuccino</t>
  </si>
  <si>
    <t>Iced Caramel Mocha</t>
  </si>
  <si>
    <t>Iced Latte</t>
  </si>
  <si>
    <t>Iced Americano</t>
  </si>
  <si>
    <t>Özsüt Cookie Frappe</t>
  </si>
  <si>
    <t>Spesiyal Çikolata Salted Caramel (1 kg.)</t>
  </si>
  <si>
    <t>277,00 TL</t>
  </si>
  <si>
    <t>Spesiyal Çikolata Madagascar Finger (1 kg.)</t>
  </si>
  <si>
    <t>Spesiyal Çikolata Coco (1 kg.)</t>
  </si>
  <si>
    <t>302,00 TL</t>
  </si>
  <si>
    <t>Spesiyal Çikolata Mystique (1 kg.)</t>
  </si>
  <si>
    <t>Spesiyal Çikolata Natural Noir (1 kg.)</t>
  </si>
  <si>
    <t>Spesiyal Çikolata Mendiant (1 kg.)</t>
  </si>
  <si>
    <t>Spesiyal Çikolata Bitter Truf (1 kg.)</t>
  </si>
  <si>
    <t>Spesiyal Çikolata Oranjet (1 kg.)</t>
  </si>
  <si>
    <t>Madlen Sütlü Çikolata (1 kg.)</t>
  </si>
  <si>
    <t>197,00 TL</t>
  </si>
  <si>
    <t>Madlen Bitter Çikolata (1 kg.)</t>
  </si>
  <si>
    <t>Sable Cookie (1 kg.)</t>
  </si>
  <si>
    <t>Fıstıklı Kazandibi (1 kg.)</t>
  </si>
  <si>
    <t>Kazandibi (1 kg.)</t>
  </si>
  <si>
    <t>110,50 TL</t>
  </si>
  <si>
    <t>Ekmek Kadayıfı (1 kg.)</t>
  </si>
  <si>
    <t>Kaymak (1 kg.)</t>
  </si>
  <si>
    <t>119,50 TL</t>
  </si>
  <si>
    <t>Mini Ekler (1 kg.)</t>
  </si>
  <si>
    <t>104,50 TL</t>
  </si>
  <si>
    <t>Çikolata Dolgulu Kurabiye (1 kg.)</t>
  </si>
  <si>
    <t>Tarçınlı Kurabiye (1 kg.)</t>
  </si>
  <si>
    <t>Orman Meyveli Kurabiye (1 kg.)</t>
  </si>
  <si>
    <t>Sakızlı Kurabiye (1 kg.)</t>
  </si>
  <si>
    <t>Selanik Kurabiyesi (1 kg.)</t>
  </si>
  <si>
    <t>Bol Çikolatalı Kurabiye (1 kg.)</t>
  </si>
  <si>
    <t>Yoğun Çikolatalı Kurabiye (1 kg.)</t>
  </si>
  <si>
    <t>Patatesli Ay Poğaça (1 kg.)</t>
  </si>
  <si>
    <t>90,50 TL</t>
  </si>
  <si>
    <t>Susamlı Kandil Simidi (1 kg.)</t>
  </si>
  <si>
    <t>Zeytin Rulo (1 kg.)</t>
  </si>
  <si>
    <t>Peynirli Oval Poğaça (1 kg.)</t>
  </si>
  <si>
    <t>Kaşarlı Mayalı Poğaça (1 kg.)</t>
  </si>
  <si>
    <t>Sosis Mantarlı Rulo (1 kg.)</t>
  </si>
  <si>
    <t>Maydanozlu Mayalı Poğaça (1 kg.)</t>
  </si>
  <si>
    <t>Tereyağlı Su Böreği (1 kg.)</t>
  </si>
  <si>
    <t>Selanik Gevreği (1 kg.)</t>
  </si>
  <si>
    <t>Beyaz Bademli Biscotti (1 kg.)</t>
  </si>
  <si>
    <t>121,50 TL</t>
  </si>
  <si>
    <t>Çikolatalı Fıstıklı Biscotti (1 kg.)</t>
  </si>
  <si>
    <t>Cevizli Çikolatalı Kurabiye (1 kg.)</t>
  </si>
  <si>
    <t>Limonlu Biscotti (1 kg.)</t>
  </si>
  <si>
    <t>Çikolatalı Biscotti (1 kg.)</t>
  </si>
  <si>
    <t>Limonlu Hindistan Cevizli Kurabiye (1 kg.)</t>
  </si>
  <si>
    <t>Zencefilli Kurabiye (1 kg.)</t>
  </si>
  <si>
    <t>Yulaflı Hindistan Cevizli Kurabiye (1 kg.)</t>
  </si>
  <si>
    <t>Kahveli Kremalı Sandviç Kurabiye (1 kg.)</t>
  </si>
  <si>
    <t>84,00 TL</t>
  </si>
  <si>
    <t xml:space="preserve">Yeşillik, nane, maydanoz, turp, limon </t>
  </si>
  <si>
    <t xml:space="preserve">Mevsim salata, pilav </t>
  </si>
  <si>
    <t xml:space="preserve">Mevsim salata </t>
  </si>
  <si>
    <t xml:space="preserve">Maydanoz, nane, limon, lavaş ekmeği </t>
  </si>
  <si>
    <t>Vodafone Menüsü (Kıymalı Pide) - Şu anda mevcut değil.</t>
  </si>
  <si>
    <t xml:space="preserve">Kıymalı Pide + Kutu İçecek (Kampanya koşulları için restoranın Promosyonlar bölümüne göz atınız. İndirimli fiyat ürün sepete eklendikten sonra uygulanır.) </t>
  </si>
  <si>
    <t>3 'lü Lahmacun Menü - Şu anda mevcut değil.</t>
  </si>
  <si>
    <t xml:space="preserve">3 Adet Lahmacun + Coca-Cola (33 cl.) </t>
  </si>
  <si>
    <t>Beyti Kebap - Şu anda mevcut değil.</t>
  </si>
  <si>
    <t xml:space="preserve">Kuzu şiş, Adana kebap, tavuk şiş, fındık lahmacun, kaşarlı mini pide, mevsim salata, pilav </t>
  </si>
  <si>
    <t>Izgara Et Köfte</t>
  </si>
  <si>
    <t>Kuzu Şiş Dürüm</t>
  </si>
  <si>
    <t xml:space="preserve">Kuşbaşı, kıyma, kaşar peyniri </t>
  </si>
  <si>
    <t xml:space="preserve">Maydanoz, nane, limon </t>
  </si>
  <si>
    <t>Paper’s Breakfast</t>
  </si>
  <si>
    <t xml:space="preserve">Tereyağlı kruvasan içerisine; eritilmiş kaşar peyniri, dana sosis, göz yumurta, Ezine peyniri, zeytin, top peynir, bal, kaymak, reçel, acılı ezme, cherry domates, Çengelköy salatalık, mevsim meyveleri </t>
  </si>
  <si>
    <t>Scrambled Egg Bowl</t>
  </si>
  <si>
    <t xml:space="preserve">Kızarmış dana bacon, çırpılmış yumurta, dilim avokado, eski kaşar peyniri, zeytin, mevsim meyvesi </t>
  </si>
  <si>
    <t>Madama Croque</t>
  </si>
  <si>
    <t xml:space="preserve">Fırınlanmış hardal soslu, Premium tost ekmeğine; emmental peyniri, kaşar peyniri, dana füme </t>
  </si>
  <si>
    <t>Mantarlı Kuru Domatesli Omlet</t>
  </si>
  <si>
    <t xml:space="preserve">Cherry domates, Çengelköy salatalık, zeytin ile </t>
  </si>
  <si>
    <t>Guacamole (Vegan)</t>
  </si>
  <si>
    <t xml:space="preserve">İki dilim kızartılmış tam buğday ekmeği üzerine; avokado, Guacamole, zeytin, cherry domates, Çengelköy salatalık </t>
  </si>
  <si>
    <t>Izgara Tavuklu Tabule Salata</t>
  </si>
  <si>
    <t xml:space="preserve">Soya soslu tavuk, pancar ile pişirilmiş bulgur, mor lahana, göbek marul salata, turşu, mısır, baby turp, sarımsaklı kıtır ekmek </t>
  </si>
  <si>
    <t>Chocalate Bowl</t>
  </si>
  <si>
    <t xml:space="preserve">(Soğuk servis edilir.) Granola, muz, hurma, fıstık ezmesi, ceviz, ham kakao, süt </t>
  </si>
  <si>
    <t>Blueberry Bowl</t>
  </si>
  <si>
    <t xml:space="preserve">(Soğuk servis edilir.) Granola, blueberry, karadut, muz, hurma, süt </t>
  </si>
  <si>
    <t>Kırmızı Bowl</t>
  </si>
  <si>
    <t xml:space="preserve">(Soğuk servis edilir.) Granola, çilek, böğürtlen, hurma, muz </t>
  </si>
  <si>
    <t>Big Beef Sandviç</t>
  </si>
  <si>
    <t xml:space="preserve">Tam buğday sandviç ekmeğine; zeytin ezmesi, dana füme, turşu, cheddar peyniri, kaşar peyniri, fajita, sos </t>
  </si>
  <si>
    <t xml:space="preserve">Tam buğday sandviç ekmeğine; pesto sos, domates kurusu, cheddar peyniri, kaşar peyniri, tulum peyniri </t>
  </si>
  <si>
    <t>Paper Sandviç</t>
  </si>
  <si>
    <t xml:space="preserve">Tam buğday sandviç ekmeğine; cheddar peyniri, kaşar peyniri, dana füme, kekik </t>
  </si>
  <si>
    <t>Roll Sandviç</t>
  </si>
  <si>
    <t xml:space="preserve">Tam buğday sandviç ekmeğine; cheddar peyniri, kaşar peyniri, zeytin ezmesi </t>
  </si>
  <si>
    <t>Balkan Çöreği</t>
  </si>
  <si>
    <t xml:space="preserve">Domates soslu, peynirli </t>
  </si>
  <si>
    <t>Kruvasan Beef Sandviç</t>
  </si>
  <si>
    <t xml:space="preserve">Tereyağlı sandviç ekmeğine; dana füme, cheddar peyniri, kaşar peyniri </t>
  </si>
  <si>
    <t>Roast Beef Kruvasan Burger</t>
  </si>
  <si>
    <t xml:space="preserve">Tereyağlı kruvasan arasına; barbakü sos ile hazırlanmış roast beef üzerine karamelize soğan, dijen hardal, turşu, eritilmiş cheddar peyniri. Küp patates kızartması ile </t>
  </si>
  <si>
    <t>Lotus Kruvasan</t>
  </si>
  <si>
    <t xml:space="preserve">Tereyağlı kruvasan arasına; Lotus bisküvili beyaz çikolata ganaj, taze çilek </t>
  </si>
  <si>
    <t>Sütlü Kahveli Trüf Çikolata (Adet)</t>
  </si>
  <si>
    <t>Sütlü Frambuaz Trüf Çikolata (Adet)</t>
  </si>
  <si>
    <t>Sütlü Fıstık Trüf Çikolata (Adet)</t>
  </si>
  <si>
    <t>Sütlü Tuzlu Karamel Trüf Çikolata (Adet)</t>
  </si>
  <si>
    <t>Sütlü Limon Trüf Çikolata (Adet)</t>
  </si>
  <si>
    <t>Bitter Nane Trüf Çikolata (Adet)</t>
  </si>
  <si>
    <t>Fildişi Lavanta Trüf Çikolata (Adet)</t>
  </si>
  <si>
    <t>Fildişi &amp; Fındık Kreması &amp; Karamel Trüf Çikolata (Adet)</t>
  </si>
  <si>
    <t>Ruby Çilek Trüf Çikolata (Adet)</t>
  </si>
  <si>
    <t>Lime Trüf Çikolata (Adet)</t>
  </si>
  <si>
    <t>Gün Kurusu Kayısı (Adet)</t>
  </si>
  <si>
    <t>Kuru Portakal (Adet)</t>
  </si>
  <si>
    <t>Kuru Armut (Adet)</t>
  </si>
  <si>
    <t>Kuru Elma (Adet)</t>
  </si>
  <si>
    <t>Sütlü Fındıklı Beyoğlu Çikolata (50 gr.)</t>
  </si>
  <si>
    <t>Bitter Fındıklı Beyoğlu Çikolata (50 gr.)</t>
  </si>
  <si>
    <t>Fildişi &amp; Hindistan Cevizi &amp; Fransız Krep Kırığı Beyoğlu Çikolata (50 gr.)</t>
  </si>
  <si>
    <t>Lime &amp; Kuru Lime Beyoğlu Çikolata (50 gr.)</t>
  </si>
  <si>
    <t>Stick Bitter Cevizli (90 gr.)</t>
  </si>
  <si>
    <t>Bonibonlu &amp; Patlayan Şekerli &amp; Sütlü</t>
  </si>
  <si>
    <t>Kuru Meyveli Bitter Çikolata (100 gr.)</t>
  </si>
  <si>
    <t>Sütlü Çikolata (85 gr.)</t>
  </si>
  <si>
    <t>Fildişi Çikolata (85 gr.)</t>
  </si>
  <si>
    <t>Bitter Çikolata (85 gr.)</t>
  </si>
  <si>
    <t>Yanık Cheesecake</t>
  </si>
  <si>
    <t>Orijinal Lotus Cheesecake</t>
  </si>
  <si>
    <t>Lavantalı Cheesecake</t>
  </si>
  <si>
    <t>White Chocalate Brownie</t>
  </si>
  <si>
    <t>Chocalate Cookie</t>
  </si>
  <si>
    <t>Belçikalı Tatlı</t>
  </si>
  <si>
    <t>Hollandalı Tatlı</t>
  </si>
  <si>
    <t>İtalyan Tatlı</t>
  </si>
  <si>
    <t>Espresso</t>
  </si>
  <si>
    <t>Cortado</t>
  </si>
  <si>
    <t>Macchiato</t>
  </si>
  <si>
    <t>Latte Nuts</t>
  </si>
  <si>
    <t>Mocha</t>
  </si>
  <si>
    <t>White Mocha</t>
  </si>
  <si>
    <t>Blackberry Mocha</t>
  </si>
  <si>
    <t>Zebra Mocha</t>
  </si>
  <si>
    <t>Caramel Macchiato</t>
  </si>
  <si>
    <t>Chemex</t>
  </si>
  <si>
    <t>V60</t>
  </si>
  <si>
    <t>Delter Coffee Press</t>
  </si>
  <si>
    <t>Aeropress</t>
  </si>
  <si>
    <t>Cold Drip Brew</t>
  </si>
  <si>
    <t>Süper Special Beans</t>
  </si>
  <si>
    <t>Blueberry Gronala</t>
  </si>
  <si>
    <t xml:space="preserve">Balla kızartılmış yulaf, kuru muz, ceviz, gojiberry </t>
  </si>
  <si>
    <t>Gojiberry Gronala</t>
  </si>
  <si>
    <t xml:space="preserve">Balla kızartılmış yulaf, badem, ceviz, gojiberry, siyah üzüm </t>
  </si>
  <si>
    <t>Iced Türk Kahvesi</t>
  </si>
  <si>
    <t>Iced Cafe Latte</t>
  </si>
  <si>
    <t>Iced Flat White</t>
  </si>
  <si>
    <t>Iced Latte Nuts</t>
  </si>
  <si>
    <t>Iced Mocha</t>
  </si>
  <si>
    <t>Iced White Mocha</t>
  </si>
  <si>
    <t>Iced Blackberry Mocha</t>
  </si>
  <si>
    <t>Iced Zebra Mocha</t>
  </si>
  <si>
    <t>Iced Caramel Macchiato</t>
  </si>
  <si>
    <t>Iced Chemex</t>
  </si>
  <si>
    <t>Iced V60</t>
  </si>
  <si>
    <t>Iced Süper Special Beans</t>
  </si>
  <si>
    <t>Jasmin Green Tea</t>
  </si>
  <si>
    <t>Milk Oolong</t>
  </si>
  <si>
    <t>Tropical Mate</t>
  </si>
  <si>
    <t>Berry Punch</t>
  </si>
  <si>
    <t>Chai Masala</t>
  </si>
  <si>
    <t>Siyah Çay</t>
  </si>
  <si>
    <t>Matcha Tea</t>
  </si>
  <si>
    <t>Mullberry Tea</t>
  </si>
  <si>
    <t>Coco Latte</t>
  </si>
  <si>
    <t xml:space="preserve">Hindistan cevizi, espresso </t>
  </si>
  <si>
    <t>Virgin Pina Colada</t>
  </si>
  <si>
    <t>Lavander Latte</t>
  </si>
  <si>
    <t>Orange &amp; Spice</t>
  </si>
  <si>
    <t xml:space="preserve">Portakal, baharat uyumu </t>
  </si>
  <si>
    <t>Salty Caramel</t>
  </si>
  <si>
    <t xml:space="preserve">Tatlıyla, tuzlunun kahveyle birleşimi </t>
  </si>
  <si>
    <t>Bean Island</t>
  </si>
  <si>
    <t xml:space="preserve">Portakal suyu, çikolata, espresso, buz </t>
  </si>
  <si>
    <t>Kata Noi</t>
  </si>
  <si>
    <t xml:space="preserve">Aromatik çaylar, buz, limonata </t>
  </si>
  <si>
    <t>Las Palmas</t>
  </si>
  <si>
    <t xml:space="preserve">Taze ananas suyu, cold drip, buz </t>
  </si>
  <si>
    <t>Smoothie</t>
  </si>
  <si>
    <t>Frozen</t>
  </si>
  <si>
    <t>Uludağ Premium Soda (20 cl.)</t>
  </si>
  <si>
    <t>Uludağ Premium Su (50 cl.)</t>
  </si>
  <si>
    <t>Matcha Latte</t>
  </si>
  <si>
    <t>Mullberry Latte</t>
  </si>
  <si>
    <t>Portakallı Meyve Suyu</t>
  </si>
  <si>
    <t>Paper’s Hot Chocalate</t>
  </si>
  <si>
    <t>Seçilmiş Menü (Küp Tavuk)</t>
  </si>
  <si>
    <t xml:space="preserve">Tam Parça Pizza + Küp Tavuk (6 Adet) + Çıtır Patates + Coca-Cola (33 cl.) </t>
  </si>
  <si>
    <t>36,75 TL</t>
  </si>
  <si>
    <t>Seçilmiş Menü (Şampiyon)</t>
  </si>
  <si>
    <t xml:space="preserve">Tam Parça Pizza + Küp Tavuk (6 Adet) + Nugget (3 Adet) + Soğan Halkası (3 Adet) + Çıtır Patates + Coca-Cola (33 cl.) </t>
  </si>
  <si>
    <t>40,25 TL</t>
  </si>
  <si>
    <t>Seçilmiş Menü (İzmir Karışık)</t>
  </si>
  <si>
    <t xml:space="preserve">İzmir Karışık (Orta) + Coca-Cola (33 cl.) </t>
  </si>
  <si>
    <t xml:space="preserve">Seçeceğiniz Küçük Boy Pizza + Coca-Cola (33 cl.) </t>
  </si>
  <si>
    <t>28,72 TL</t>
  </si>
  <si>
    <t>Vodafone Menüsü (Orta Boy Pizza)</t>
  </si>
  <si>
    <t xml:space="preserve">Seçeceğiniz Orta Boy Pizza + Çıtır Patates + İçecek (1 L.) </t>
  </si>
  <si>
    <t>61,50 TL</t>
  </si>
  <si>
    <t>Vodafone Menüsü (İzmir Karışık)</t>
  </si>
  <si>
    <t xml:space="preserve">İzmir Karışık (Büyük) + İçecek (1 L.) </t>
  </si>
  <si>
    <t>73,40 TL</t>
  </si>
  <si>
    <t xml:space="preserve">Seçeceğiniz Küçük Boy Pizza + Çıtır Patates + Algida Maraş Usulü Cup Dondurma (100 ml.) + Kutu İçecek </t>
  </si>
  <si>
    <t>Çıtır Lezzet Kovası</t>
  </si>
  <si>
    <t xml:space="preserve">(2 - 3 Kişilik) 4 Adet Çıtır Tavuk + 8 Adet Küp Tavuk + 8 Adet Soğan Halkası + 8 Adet Nugget + Elma Dilim Patates + İçecek (1 L.) </t>
  </si>
  <si>
    <t>74,90 TL</t>
  </si>
  <si>
    <t>2'li Büyük Boy Pizza Fırsatı 2</t>
  </si>
  <si>
    <t xml:space="preserve">Seçeceğiniz 2 Adet Büyük Boy Pizza + Soğan Halkası (6 Adet) + Nugget (6 Adet) + Çıtır Patates + İçecek (1 L.) (Gurme pizzalar için 9,9 TL fark uygulanmaktadır.) </t>
  </si>
  <si>
    <t>109,90 TL</t>
  </si>
  <si>
    <t xml:space="preserve">2 Adet Hamburger + Çıtır Patates + Litrelik İçecek </t>
  </si>
  <si>
    <t>64,90 TL</t>
  </si>
  <si>
    <t>2'li Küçük Boy Pizza Menü</t>
  </si>
  <si>
    <t xml:space="preserve">Seçeceğiniz 2 Adet Küçük Boy Pizza + Litrelik İçecek (Gurme pizzalar için 9,9 TL fark uygulanmaktadır.) </t>
  </si>
  <si>
    <t>2'li Orta Boy Fırsat</t>
  </si>
  <si>
    <t xml:space="preserve">Seçeceğiniz 2 Adet Orta Boy Pizza (Gurme pizzalar için 9,9 TL fark uygulanmaktadır.) </t>
  </si>
  <si>
    <t>2'li Orta Boy Fırsat 1</t>
  </si>
  <si>
    <t xml:space="preserve">Seçeceğiniz 2 Adet Orta Boy Pizza + Soğan Halkası (10 Adet) + Nugget (6 Adet) + Çıtır Patates + İçecek (1 L.) (Gurme pizzalar için 9,9 TL fark uygulanmaktadır.) </t>
  </si>
  <si>
    <t>2'li Orta Boy Pizza Fırsatı 2</t>
  </si>
  <si>
    <t xml:space="preserve">Seçeceğiniz 2 Adet Orta Boy Pizza + Soğan Halkası (4 Adet) + Nugget (4 Adet) + Çıtır Patates + İçecek (1 L.) (Gurme pizzalar için 9,9 TL fark uygulanmaktadır.) </t>
  </si>
  <si>
    <t>2'li Orta Boy Pizza Fırsatı 3</t>
  </si>
  <si>
    <t xml:space="preserve">Seçeceğiniz 2 Adet Orta Boy Pizza + İçecek (1 L.) (Gurme pizzalar için 9,9 TL fark uygulanmaktadır.) </t>
  </si>
  <si>
    <t>2'li Tavuk Burger Menü</t>
  </si>
  <si>
    <t xml:space="preserve">2 Adet Tavuk Burger + Çıtır Patates + Litrelik İçecek </t>
  </si>
  <si>
    <t>3'lü Burger Menü</t>
  </si>
  <si>
    <t xml:space="preserve">3 Adet Hamburger + İçecek (1 L.) </t>
  </si>
  <si>
    <t>3'lü Büyük Boy Pizza Menü Fırsatı</t>
  </si>
  <si>
    <t xml:space="preserve">3 Adet Büyük Boy Pizza + İçecek (1 L.) (Gurme pizzalar için 9,9 TL fark uygulanmaktadır.) </t>
  </si>
  <si>
    <t>3'lü Orta Boy Pizza Fırsatı</t>
  </si>
  <si>
    <t xml:space="preserve">Seçeceğiniz 3 Adet Orta Boy Pizza (Gurme pizzalar için 9,9 TL fark uygulanmaktadır.) </t>
  </si>
  <si>
    <t>3'lü Tavuk Burger Menü</t>
  </si>
  <si>
    <t xml:space="preserve">3 Adet Tavuk Burger + İçecek (1 L.) </t>
  </si>
  <si>
    <t>4'lü Orta Boy Pizza Menü Fırsatı</t>
  </si>
  <si>
    <t xml:space="preserve">Seçeceğiniz 4 Adet Orta Boy Pizza + 2 Adet Çıtır Patates + 2 Adet İçecek (1 L.) (Gurme pizzalar için 9,9 TL fark uygulanmaktadır.) </t>
  </si>
  <si>
    <t>Aile Menü</t>
  </si>
  <si>
    <t xml:space="preserve">Seçeceğiniz En Büyük Boy Pizza + Çıtır Patates + Soğan Halkası (10 Adet) + Küp Tavuk (10 Adet) + İçecek (1 L.) (Gurme pizzalar için 9,9 TL fark uygulanmaktadır.) </t>
  </si>
  <si>
    <t>Burger Menü</t>
  </si>
  <si>
    <t xml:space="preserve">Hamburger + Tavuk Burger + Çıtır Patates + İçecek (1 L.) </t>
  </si>
  <si>
    <t>Büyük Boy Pizza Fırsatı</t>
  </si>
  <si>
    <t xml:space="preserve">Seçeceğiniz Büyük Boy Pizza (Gurme pizzalar için 9,9 TL fark uygulanmaktadır.) </t>
  </si>
  <si>
    <t xml:space="preserve">Seçeceğiniz Orta Boy Pizza + Çıtır Patates + 3 Adet Soğan Halkası + 3 Adet Nugget + 3 Adet Küp Tavuk + İçecek (1 L.) (Gurme pizzalar için 9,9 TL fark uygulanmaktadır.) </t>
  </si>
  <si>
    <t>Gurme Günleri</t>
  </si>
  <si>
    <t xml:space="preserve">Seçeceğiniz Orta Boy Pizza + Çıtır Patates + Kutu İçecek (Gurme pizzalar için geçerlidir.) </t>
  </si>
  <si>
    <t>Orta Boy Pizza &amp; Patates Menü</t>
  </si>
  <si>
    <t xml:space="preserve">Seçeceğiniz Orta Boy Pizza + Çıtır Patates + Kutu İçecek (Gurme pizzalar için 9,9 TL fark uygulanmaktadır.) </t>
  </si>
  <si>
    <t>Ortaya Karışık</t>
  </si>
  <si>
    <t xml:space="preserve">Seçeceğiniz 2 Adet Orta Boy Pizza + Çıtır Patates + İçecek (1 L.) (Gurme pizzalar için 9,9 TL fark uygulanmaktadır.) </t>
  </si>
  <si>
    <t>2'li Büyük Boy Pizza Fırsatı 1</t>
  </si>
  <si>
    <t xml:space="preserve">Seçeceğiniz 2 Adet Büyük Boy Pizza (Gurme pizzalar için 9,9 TL fark uygulanmaktadır.) </t>
  </si>
  <si>
    <t>2'li Büyük Menü</t>
  </si>
  <si>
    <t xml:space="preserve">Seçeceğiniz 2 Adet Büyük Boy Pizza + İçecek (1 L.) (Gurme pizzalar için 9,9 TL fark uygulanmaktadır.) </t>
  </si>
  <si>
    <t>Avantajlı Menü</t>
  </si>
  <si>
    <t xml:space="preserve">Seçeceğiniz 2 Adet Orta Boy Pizza + Çıtır Patates + Küp Tavuk (6 Adet) + Soğan Halkası (6 Adet) + İçecek (1 L.) (Gurme pizzalar için 9,9 TL fark uygulanmaktadır.) </t>
  </si>
  <si>
    <t>Çılgın Ortalar Menü</t>
  </si>
  <si>
    <t xml:space="preserve">Seçeceğiniz 3 Adet Orta Boy Pizza + İçecek (1 L.) (Gurme pizzalar için 9,9 TL fark uygulanmaktadır.) </t>
  </si>
  <si>
    <t>Kanka Menü (2 Kişilik)</t>
  </si>
  <si>
    <t xml:space="preserve">Seçeceğiniz 2 Adet Küçük Boy Pizza + Çıtır Patates + İçecek (1 L.) (Gurme pizzalar için 9,9 TL fark uygulanmaktadır.) </t>
  </si>
  <si>
    <t>Taraftar Menü (Orta) (1 Kişilik)</t>
  </si>
  <si>
    <t xml:space="preserve">Cheeseburger (90 gr.) + Çıtır Patates + Kutu İçecek </t>
  </si>
  <si>
    <t>Çıtır Tavuk Menü</t>
  </si>
  <si>
    <t xml:space="preserve">Çıtır Tavuk (5 Adet) + Çıtır Patates + Kutu İçecek </t>
  </si>
  <si>
    <t>Çocuk Menü</t>
  </si>
  <si>
    <t xml:space="preserve">Parça Pizza + Küp Tavuk (2 Adet) + Çıtır Patates + Kutu İçecek + Sürpriz Oyuncak </t>
  </si>
  <si>
    <t xml:space="preserve">Tam Parça Pizza + Çıtır Patates + Kutu İçecek </t>
  </si>
  <si>
    <t>Doy Doy Menü</t>
  </si>
  <si>
    <t xml:space="preserve">Tam Parça Pizza + Soğan Halkası (2 Adet) + Küp Tavuk (3 Adet) + Çıtır Patates + Kutu İçecek </t>
  </si>
  <si>
    <t xml:space="preserve">Hamburger (90 gr.) + Çıtır Patates + Kutu İçecek </t>
  </si>
  <si>
    <t>Küp Tavuk Menü</t>
  </si>
  <si>
    <t xml:space="preserve">Tam Parça Pizza + Küp Tavuk (6 Adet) + Çıtır Patates + Kutu İçecek </t>
  </si>
  <si>
    <t xml:space="preserve">Tam Parça Pizza + Küp Tavuk (6 Adet) + Nugget (3 Adet) + Soğan Halkası (3 Adet) + Çıtır Patates + Kutu İçecek </t>
  </si>
  <si>
    <t>Süper Menü</t>
  </si>
  <si>
    <t xml:space="preserve">Tam Parça Pizza + Çıtır Tavuk (3 Adet) + Çıtır Patates + Kutu İçecek </t>
  </si>
  <si>
    <t xml:space="preserve">Tavuk Burger (90 gr.) + Çıtır Patates + Kutu İçecek </t>
  </si>
  <si>
    <t>Akdeniz (Küçük)</t>
  </si>
  <si>
    <t xml:space="preserve">Özel pizza sosu, pizza peyniri, beyaz peynir, siyah zeytin, küp domates, maydanoz </t>
  </si>
  <si>
    <t>Dream (Küçük)</t>
  </si>
  <si>
    <t xml:space="preserve">Özel pizza sosu, çift kat pizza peyniri, salam, sosis, mantar </t>
  </si>
  <si>
    <t>Ege (Küçük)</t>
  </si>
  <si>
    <t xml:space="preserve">Özel pizza sosu, pizza peyniri, tulum peyniri, kırmızı şerit biber, yeşilzeytin, siyah zeytin, kekik </t>
  </si>
  <si>
    <t>Füme Kaburga (Küçük)</t>
  </si>
  <si>
    <t xml:space="preserve">Özel pizza sosu, pizza peyniri, füme kaburga, cheddar peyniri </t>
  </si>
  <si>
    <t>Kapadokya (Küçük)</t>
  </si>
  <si>
    <t xml:space="preserve">Özel pizza sosu, pizza peyniri, pastırma, sucuk, mantar, yeşilbiber </t>
  </si>
  <si>
    <t>Kavurmalım (Küçük)</t>
  </si>
  <si>
    <t xml:space="preserve">Özel pizza sosu, pizza peyniri, kavurma eti, küp domates, yeşilbiber </t>
  </si>
  <si>
    <t>Luna (Küçük)</t>
  </si>
  <si>
    <t xml:space="preserve">Özel pizza sosu, pizza peyniri, sucuk </t>
  </si>
  <si>
    <t>Mantarlı &amp; Sosisli (Küçük)</t>
  </si>
  <si>
    <t xml:space="preserve">Özel pizza sosu, pizza peyniri, sosis, mantar </t>
  </si>
  <si>
    <t xml:space="preserve">Özel pizza sosu, pizza peyniri, domates </t>
  </si>
  <si>
    <t>Ton Balıklı (Küçük)</t>
  </si>
  <si>
    <t xml:space="preserve">Özel pizza sosu, pizza peyniri, soğan, ton balığı, mantar, mısır </t>
  </si>
  <si>
    <t>Mexican (Küçük)</t>
  </si>
  <si>
    <t xml:space="preserve">Özel pizza sosu, pizza peyniri, sucuk, mantar, kırmızı şerit biber, jalapeno biberi </t>
  </si>
  <si>
    <t>Mix (Küçük)</t>
  </si>
  <si>
    <t xml:space="preserve">Özel pizza sosu, pizza peyniri, sucuk, salam, sosis, yeşilbiber, mantar </t>
  </si>
  <si>
    <t>Somon Füme (Küçük)</t>
  </si>
  <si>
    <t xml:space="preserve">Özel pizza sosu, pizza peyniri, somon füme, kırmızı soğan, dereotu </t>
  </si>
  <si>
    <t>Special (Küçük)</t>
  </si>
  <si>
    <t xml:space="preserve">Özel pizza sosu, pizza peyniri, sucuk, salam, sosis, mantar, mısır, siyah zeytin </t>
  </si>
  <si>
    <t>Vegetarian (Küçük)</t>
  </si>
  <si>
    <t xml:space="preserve">Özel pizza sosu, pizza peyniri, yeşilzeytin, siyah zeytin, mantar, mısır, soğan, domates, yeşilbiber </t>
  </si>
  <si>
    <t>4 Peynirli (Küçük)</t>
  </si>
  <si>
    <t xml:space="preserve">Özel pizza sosu, mozzarella peyniri, beyaz peynir, tulum peyniri, cheddar peyniri </t>
  </si>
  <si>
    <t>İzmir Karışık (Küçük)</t>
  </si>
  <si>
    <t xml:space="preserve">Özel pizza sosu, şerit sosis, küp sucuk, cheddar peyniri </t>
  </si>
  <si>
    <t>Akdeniz (Orta)</t>
  </si>
  <si>
    <t>Dream (Orta)</t>
  </si>
  <si>
    <t>Ege (Orta)</t>
  </si>
  <si>
    <t>Füme Kaburga (Orta)</t>
  </si>
  <si>
    <t>Kapadokya (Orta)</t>
  </si>
  <si>
    <t>Kavurmalım (Orta)</t>
  </si>
  <si>
    <t>Luna (Orta)</t>
  </si>
  <si>
    <t>Mantarlı &amp; Sosisli (Orta)</t>
  </si>
  <si>
    <t>Margarita (Orta)</t>
  </si>
  <si>
    <t>Ton Balıklı (Orta)</t>
  </si>
  <si>
    <t>Mexican (Orta)</t>
  </si>
  <si>
    <t>Mix (Orta)</t>
  </si>
  <si>
    <t>Somon Füme (Orta)</t>
  </si>
  <si>
    <t>Special (Orta)</t>
  </si>
  <si>
    <t>Vegetarian (Orta)</t>
  </si>
  <si>
    <t>4 Peynirli (Orta)</t>
  </si>
  <si>
    <t>İzmir Karışık (Orta)</t>
  </si>
  <si>
    <t>Akdeniz (Büyük)</t>
  </si>
  <si>
    <t>48,50 TL</t>
  </si>
  <si>
    <t>İzmir Karışık (Büyük)</t>
  </si>
  <si>
    <t>Dream (Büyük)</t>
  </si>
  <si>
    <t>Ege (Büyük)</t>
  </si>
  <si>
    <t>Füme Kaburga (Büyük)</t>
  </si>
  <si>
    <t>Kapadokya (Büyük)</t>
  </si>
  <si>
    <t>Kavurmalım (Büyük)</t>
  </si>
  <si>
    <t>Luna (Büyük)</t>
  </si>
  <si>
    <t>Mantarlı &amp; Sosisli (Büyük)</t>
  </si>
  <si>
    <t>Ton Balıklı (Büyük)</t>
  </si>
  <si>
    <t>Mexican (Büyük)</t>
  </si>
  <si>
    <t>Mix (Büyük)</t>
  </si>
  <si>
    <t>Somon Füme (Büyük)</t>
  </si>
  <si>
    <t>Special (Büyük)</t>
  </si>
  <si>
    <t>Vegetarian (Büyük)</t>
  </si>
  <si>
    <t>4 Peynirli (Büyük)</t>
  </si>
  <si>
    <t>4 Peynirli (En Büyük)</t>
  </si>
  <si>
    <t>84,50 TL</t>
  </si>
  <si>
    <t>İzmir Karışık (En Büyük)</t>
  </si>
  <si>
    <t>Çıtır Dürüm</t>
  </si>
  <si>
    <t xml:space="preserve">Çıtır patates, çıtır tavuk, turşu, ketçap, mayonez </t>
  </si>
  <si>
    <t>Çıtır Dürüm Menü</t>
  </si>
  <si>
    <t xml:space="preserve">3 Adet Çıtır Dürüm + İçecek (1 L.) </t>
  </si>
  <si>
    <t>Çıtır Tavuk (3 Adet)</t>
  </si>
  <si>
    <t>Çıtır Tavuk (6 Adet)</t>
  </si>
  <si>
    <t>Elma Dilim Patates</t>
  </si>
  <si>
    <t xml:space="preserve">90 gr. </t>
  </si>
  <si>
    <t>Küp Tavuk (12 Adet)</t>
  </si>
  <si>
    <t>Küp Tavuk (6 Adet)</t>
  </si>
  <si>
    <t>Küp Tavuk (9 Adet)</t>
  </si>
  <si>
    <t>Nugget (12 Adet)</t>
  </si>
  <si>
    <t>Parmak Çıtır Patates</t>
  </si>
  <si>
    <t>Tam Parça Pizza</t>
  </si>
  <si>
    <t xml:space="preserve">(21 cm.) Mantar, sosis </t>
  </si>
  <si>
    <t>Algida Milka Cup (105 ml.)</t>
  </si>
  <si>
    <t>Algida Oreo Cup Dondurma (105 ml.)</t>
  </si>
  <si>
    <t xml:space="preserve">Marul, domates, karalahana, maydanoz, limon ile </t>
  </si>
  <si>
    <t>6,38 TL</t>
  </si>
  <si>
    <t xml:space="preserve">Tavuk döner, patates kızartması, ketçap, turşu </t>
  </si>
  <si>
    <t xml:space="preserve">Yeşillik, domates, isteğe göre Arnavut biberi veya turşu </t>
  </si>
  <si>
    <t xml:space="preserve">Adana Dürüm + Patates Kızartması + Köy Ayranı (30 cl.) </t>
  </si>
  <si>
    <t>16,88 TL</t>
  </si>
  <si>
    <t xml:space="preserve">Közlenmiş domates, biber, mevsim salata, Arnavut biberi veya turşu ile </t>
  </si>
  <si>
    <t>26,25 TL</t>
  </si>
  <si>
    <t>Algida Menüsü (Adana Kebap)</t>
  </si>
  <si>
    <t xml:space="preserve">Adana Kebap + Algida Maraş Usulü Cup Dondurma (100 ml.) + Köy Ayranı </t>
  </si>
  <si>
    <t>Seçilmiş Menü (Kuşbaşılı Kaşarlı Pide)</t>
  </si>
  <si>
    <t xml:space="preserve">Kuşbaşılı Kaşarlı Pide + Coca-Cola (33 cl.) </t>
  </si>
  <si>
    <t>Seçilmiş Menü (Kuşbaşı Et)</t>
  </si>
  <si>
    <t xml:space="preserve">Kuşbaşı Et + Coca-Cola (33 cl.) </t>
  </si>
  <si>
    <t>Seçilmiş Menü (Adana Kebap)</t>
  </si>
  <si>
    <t>10'lu Lahmacun Menü</t>
  </si>
  <si>
    <t xml:space="preserve">10 Adet Lahmacun + Coca-Cola (1 L.) (Lütfen acı durumunu sipariş notu kısmında belirtiniz.) </t>
  </si>
  <si>
    <t>67,43 TL</t>
  </si>
  <si>
    <t>Karışık Izgara Menü (4 Kişilik)</t>
  </si>
  <si>
    <t xml:space="preserve">6 Adet Lahmacun + Kaşarlı Kuşbaşılı Pide + Adana Kebap + İçecek (1 L.) (Lütfen lahmacun acı seçiminizi sipariş notunda belirtiniz.) </t>
  </si>
  <si>
    <t>93,68 TL</t>
  </si>
  <si>
    <t>Karışık Izgara Menü (3 Kişilik)</t>
  </si>
  <si>
    <t xml:space="preserve">3 Adet Lahmacun + Kaşarlı Kuşbaşılı Pide + Adana Kebap + İçecek (1 L.) (Lütfen lahmacun acı seçiminizi sipariş notunda belirtiniz.) </t>
  </si>
  <si>
    <t>78,68 TL</t>
  </si>
  <si>
    <t>Karışık Izgara Menü (2 Kişilik)</t>
  </si>
  <si>
    <t xml:space="preserve">3 Adet Lahmacun + Kaşarlı Kuşbaşılı Pide veya Adana Kebap + İçecek (1 L.) (Lütfen lahmacun acı seçiminizi sipariş notunda belirtiniz.) </t>
  </si>
  <si>
    <t>63,75 TL</t>
  </si>
  <si>
    <t xml:space="preserve">Tavuk Kanat + Kuşbaşı Şiş + Ciğer Şiş + Adana Kebap + Tavuk Şiş + 3 Adet Lahmacun + İçecek (1 L.) (Lütfen lahmacun acı seçiminizi sipariş notunda belirtiniz.) </t>
  </si>
  <si>
    <t>119,93 TL</t>
  </si>
  <si>
    <t>Kuşbaşı Et</t>
  </si>
  <si>
    <t>Izgara Ciğer</t>
  </si>
  <si>
    <t>Sade Kıyma Kebabı</t>
  </si>
  <si>
    <t xml:space="preserve">Lavaşa sarılı, yoğurtlu. soslu. Közlenmiş domates, biber, mevsim salata, Arnavut biberi veya turşu ile </t>
  </si>
  <si>
    <t>28,13 TL</t>
  </si>
  <si>
    <t xml:space="preserve">Biber, mevsim salata, Arnavut biberi veya turşu ile </t>
  </si>
  <si>
    <t>25,13 TL</t>
  </si>
  <si>
    <t>Kıymalı Yumurtalı Pide</t>
  </si>
  <si>
    <t>Sucuklu Kaşarlı Yumurtalı Pide</t>
  </si>
  <si>
    <t xml:space="preserve">Pirinç pilavı, patates kızartması, turşu, salata </t>
  </si>
  <si>
    <t>Sade Kıyma Dürüm</t>
  </si>
  <si>
    <t xml:space="preserve">125 gr. çiğ köfte, yeşillik, acı sos </t>
  </si>
  <si>
    <t>1,88 TL</t>
  </si>
  <si>
    <t xml:space="preserve">Tam Pizza + Patates Kızartması + Kutu İçecek </t>
  </si>
  <si>
    <t xml:space="preserve">Tam Pizza + 2 Adet Soğan Halkası + 3 Adet Nugget + Patates Kızartması + Coca-Cola (30 cl.) </t>
  </si>
  <si>
    <t xml:space="preserve">Tam Pizza + 4 Adet Nugget + 4 Adet Soğan Halkası + 2 Adet Chicken Fileto + Patates Kızartması + Coca-Cola (30 cl.) </t>
  </si>
  <si>
    <t xml:space="preserve">Seçeceğiniz 2 Adet Medium Pizza </t>
  </si>
  <si>
    <t xml:space="preserve">Hamburger (90 gr. köfte, göbek marul, domates, turşu) + Patates Kızartması + Kutu İçecek </t>
  </si>
  <si>
    <t>Neşeli Pizza (Large) Menü</t>
  </si>
  <si>
    <t xml:space="preserve">Neşeli Pizza (Large) + Patates Kızartması (Orta Boy) + Nugget (3 Adet) + Soğan Halkası (3 Adet) + İçecek (1 L.) </t>
  </si>
  <si>
    <t>Bol Bol Menü</t>
  </si>
  <si>
    <t xml:space="preserve">2 Adet Soslu Kanat + 2 Adet Nugget + 3 Adet Soğan Halkası + 2 Adet Chicken Fingers + Patates Kızartması + Coca-Cola (30 cl.) </t>
  </si>
  <si>
    <t xml:space="preserve">Chicken Burger + Patates Kızartması + Coca-Cola (30 cl.) </t>
  </si>
  <si>
    <t xml:space="preserve">6 Adet Chicken Fingers + Patates Kızartması + Coca-Cola (30 cl.) </t>
  </si>
  <si>
    <t xml:space="preserve">6 Adet Chicken Nugget + Patates Kızartması + Coca-Cola (30 cl.) </t>
  </si>
  <si>
    <t xml:space="preserve">2 Adet Nugget + 2 Adet Soslu Kanat + 3 Adet Soğan Halkası + Patates Kızartması + Coca-Cola (30 cl.) </t>
  </si>
  <si>
    <t xml:space="preserve">Tam Pizza + 3 Adet Nugget + Patates Kızartması + Meyve Suyu </t>
  </si>
  <si>
    <t xml:space="preserve">Tam Pizza + 2 Adet Soslu Kanat + Patates Kızartması + Coca-Cola (30 cl.) </t>
  </si>
  <si>
    <t>Doble Wonder Menü</t>
  </si>
  <si>
    <t xml:space="preserve">Tam Pizza + 3 Adet Nugget + Patates Kızartması + Coca-Cola (30 cl.) </t>
  </si>
  <si>
    <t xml:space="preserve">Double Chicken Burger + Patates Kızartması + Coca-Cola (30 cl.) </t>
  </si>
  <si>
    <t xml:space="preserve">Double Hamburger + Patates Kızartması + Coca-Cola (30 cl.) </t>
  </si>
  <si>
    <t xml:space="preserve">Tam Pizza + 2 Adet Chicken Fileto + Patates Kızartması + Coca-Cola (30 cl.) </t>
  </si>
  <si>
    <t xml:space="preserve">5 Adet Soğan Halkası + 5 Adet Nugget + Patates Kızartması + Coca-Cola (30 cl.) </t>
  </si>
  <si>
    <t>Hamburgerli Çocuk Menü</t>
  </si>
  <si>
    <t xml:space="preserve">Hamburger (90 gr. köfte, isteğe göre göbek marul) + Patates Kızartması + Tavuk Nugget (3 Adet) + Meyve Suyu </t>
  </si>
  <si>
    <t>Hayat Menü</t>
  </si>
  <si>
    <t xml:space="preserve">2 Adet Hamburger + Patates Kızartması + Nugget (3 Adet) + Soğan Halkası (3 Adet) + İçecek (1 L.) </t>
  </si>
  <si>
    <t>Jumbo Pizza Menü (6 - 7 Kişilik)</t>
  </si>
  <si>
    <t xml:space="preserve">Seçeceğiniz Jumbo Pizza + Patates Kızartması + Soğan Halkası (8 Adet) + İçecek (1 L.) </t>
  </si>
  <si>
    <t>Junior Menü</t>
  </si>
  <si>
    <t>Kanatlı Menü</t>
  </si>
  <si>
    <t xml:space="preserve">4 Adet Soslu Kanat + Patates Kızartması + Coca-Cola (30 cl.) </t>
  </si>
  <si>
    <t>Köfteli Menü</t>
  </si>
  <si>
    <t xml:space="preserve">Tam Pizza + 3 Adet Köfte + Patates Kızartması + Coca-Cola (30 cl.) </t>
  </si>
  <si>
    <t>Large Pizza Menü (2 - 3 Kişilik)</t>
  </si>
  <si>
    <t xml:space="preserve">Seçeceğiniz Large Pizza + İçecek (1 L.) </t>
  </si>
  <si>
    <t>Medium Pizza Menü (1 - 2 Kişilik)</t>
  </si>
  <si>
    <t xml:space="preserve">Seçeceğiniz Medium Pizza + Patates Kızartması + Coca-Cola (30 cl.) </t>
  </si>
  <si>
    <t xml:space="preserve">Tam Pizza + 4 Adet Chicken Fileto + Coca-Cola (30 cl.) </t>
  </si>
  <si>
    <t>Pizzalı Hayat Menü</t>
  </si>
  <si>
    <t xml:space="preserve">Tam Pizza + 2 Adet Soslu Kanat + 2 Adet Nugget + 2 Adet Soğan Halkası + 2 Adet Chicken Fileto + Patates Kızartması + Coca-Cola (30 cl.) </t>
  </si>
  <si>
    <t>Small Pizza Menü</t>
  </si>
  <si>
    <t xml:space="preserve">2 Adet Seçeceğiniz Small Pizza + Patates Kızartması + İçecek (1 L.) </t>
  </si>
  <si>
    <t xml:space="preserve">Sucuklu Tam Pizza + Patates Kızartması + Coca-Cola (30 cl.) </t>
  </si>
  <si>
    <t xml:space="preserve">Tam Pizza + 4 Adet Chicken Fingers + Elma Dilim Patates Kızartması + Coca-Cola (30 cl.) </t>
  </si>
  <si>
    <t>Süper Samba Pizza</t>
  </si>
  <si>
    <t xml:space="preserve">Tam Pizza + 3 Adet Soğan Halkası + Patates Kızartması + Coca-Cola (30 cl.) </t>
  </si>
  <si>
    <t xml:space="preserve">Tam Pizza + 4 Adet Chicken Fileto + Patates Kızartması + Coca-Cola (30 cl.) </t>
  </si>
  <si>
    <t>XLarge Menü (3 - 4 Kişilik)</t>
  </si>
  <si>
    <t xml:space="preserve">Seçeceğiniz XLarge Pizza + Patates Kızartması + 5 Adet Soğan Halkası + İçecek (1 L.) </t>
  </si>
  <si>
    <t>Tost</t>
  </si>
  <si>
    <t xml:space="preserve">Hamburger ekmeği arasına; kaşar peyniri, sucuk </t>
  </si>
  <si>
    <t xml:space="preserve">Özel sos, pizza peyniri, sucuk, mısır, domates, siyah zeytin, kekik </t>
  </si>
  <si>
    <t>Bol Sucuk Pizza (Small)</t>
  </si>
  <si>
    <t xml:space="preserve">Özel sos, pizza peyniri, bol sucuk </t>
  </si>
  <si>
    <t>Yöresel Pizza (Small)</t>
  </si>
  <si>
    <t xml:space="preserve">Özel sos, pizza peyniri, beyaz peynir, mısır, susam, domates, zeytin, kekik, közlenmiş biber </t>
  </si>
  <si>
    <t>Ton Balıklı Pizza (Small)</t>
  </si>
  <si>
    <t xml:space="preserve">Özel sos, pizza peyniri, ton balığı, mantar, mısır, kırmızıbiber </t>
  </si>
  <si>
    <t xml:space="preserve">Özel sos, pizza peyniri, yeşilbiber, domates, mısır, mantar, yeşilzeytin, siyah zeytin </t>
  </si>
  <si>
    <t xml:space="preserve">Özel sos, pizza peyniri, domates, kekik </t>
  </si>
  <si>
    <t xml:space="preserve">Özel sos, pizza peyniri, domates, siyah zeytin, beyaz peynir, susam, kekik </t>
  </si>
  <si>
    <t xml:space="preserve">Özel sos, pizza peyniri, kavurma, yeşilbiber, mantar, domates </t>
  </si>
  <si>
    <t>Meksixo Pizza (Small)</t>
  </si>
  <si>
    <t xml:space="preserve">Özel sos, pizza peyniri, sucuk, mantar, jalapeno biberi, domates </t>
  </si>
  <si>
    <t>Yöresel Pizza (Medium)</t>
  </si>
  <si>
    <t>Bol Sucuk Pizza (Medium)</t>
  </si>
  <si>
    <t>Ton Balıklı Pizza (Medium)</t>
  </si>
  <si>
    <t>Meksixo Pizza (Medium)</t>
  </si>
  <si>
    <t>Yöresel Pizza (Large)</t>
  </si>
  <si>
    <t>Bol Sucuk Pizza (Large)</t>
  </si>
  <si>
    <t>Ton Balıklı Pizza (Large)</t>
  </si>
  <si>
    <t>Peynirli Pizza (Large)</t>
  </si>
  <si>
    <t>Meksixo Pizza (Large)</t>
  </si>
  <si>
    <t>Yöresel Pizza (X Large)</t>
  </si>
  <si>
    <t>Bol Sucuk Pizza (X Large)</t>
  </si>
  <si>
    <t>Misto Pizza (X Large)</t>
  </si>
  <si>
    <t>Konyalım Pizza (X Large)</t>
  </si>
  <si>
    <t>Kayseri Ateşi Pizza (X Large)</t>
  </si>
  <si>
    <t>Sosyal Pizza (X Large)</t>
  </si>
  <si>
    <t>Mushroom Pizza (X Large)</t>
  </si>
  <si>
    <t>Ton Balıklı Pizza (X Large)</t>
  </si>
  <si>
    <t>Veggie Pizza (X Large)</t>
  </si>
  <si>
    <t>Margherita Pizza (X Large)</t>
  </si>
  <si>
    <t>Timo Pizza (X Large)</t>
  </si>
  <si>
    <t>Fiesta Pizza (X Large)</t>
  </si>
  <si>
    <t>Happy Pizza (X Large)</t>
  </si>
  <si>
    <t>Peynirli Pizza (X Large)</t>
  </si>
  <si>
    <t>Kavurmalı Pizza (X Large)</t>
  </si>
  <si>
    <t>Marios Pizza (X Large)</t>
  </si>
  <si>
    <t>Tavuklum Pizza (X Large)</t>
  </si>
  <si>
    <t>Special Pizza (X Large)</t>
  </si>
  <si>
    <t>Meksixo Pizza (X Large)</t>
  </si>
  <si>
    <t>Classic Pizza (X Large)</t>
  </si>
  <si>
    <t>Yöresel Pizza (Jumbo)</t>
  </si>
  <si>
    <t>Bol Sucuk Pizza (Jumbo)</t>
  </si>
  <si>
    <t>Peynirli Pizza (Jumbo)</t>
  </si>
  <si>
    <t>Meksixo Pizza (Jumbo)</t>
  </si>
  <si>
    <t xml:space="preserve">Hamburger köftesi, yeşillik </t>
  </si>
  <si>
    <t xml:space="preserve">Çift tavuk burger köftesi, yeşillik </t>
  </si>
  <si>
    <t xml:space="preserve">Tavuk burger köftesi, yeşillik </t>
  </si>
  <si>
    <t>Çiğ Köfte Dürüm - Şu anda mevcut değil.</t>
  </si>
  <si>
    <t xml:space="preserve">Göbek marul, nar ekşisi, limon </t>
  </si>
  <si>
    <t>Süper Parça Pizza</t>
  </si>
  <si>
    <t>Chicken Fingers (8 Adet)</t>
  </si>
  <si>
    <t>Özel Soslu Kanat (6 Adet)</t>
  </si>
  <si>
    <t>Özel Soslu Kanat (8 Adet)</t>
  </si>
  <si>
    <t>Izgara Köfte (6 Adet)</t>
  </si>
  <si>
    <t>Izgara Köfte (3 Adet)</t>
  </si>
  <si>
    <t>Özel Soslu Kanat (3 Adet)</t>
  </si>
  <si>
    <t>Izgara Köfte (8 Adet)</t>
  </si>
  <si>
    <t xml:space="preserve">Kemiksiz tavuk </t>
  </si>
  <si>
    <t>Soda (20 cl.) - Şu anda mevcut değil.</t>
  </si>
  <si>
    <t xml:space="preserve">1/2 Dilim Pizza + Patates Kızartması (Küçük) + Kutu İçecek </t>
  </si>
  <si>
    <t>Açılışa Özel Menü</t>
  </si>
  <si>
    <t xml:space="preserve">Sucuklu Pizza (Orta) + Patates Kızartması (Küçük) + 2 Adet Ketçap + 2 Adet Mayonez + Kutu İçecek </t>
  </si>
  <si>
    <t>Special Pizza Menü (Orta)</t>
  </si>
  <si>
    <t xml:space="preserve">Special Pizza (Orta) (Pizza sosu, mozzarella peyniri, sucuk, salam, sosis, mantar) + Patates Kızartması (Orta) + Kutu İçecek </t>
  </si>
  <si>
    <t xml:space="preserve">Dilim Pizza + Patates Kızartması (Küçük) + Chicken Fingers (2 Adet) + Soğan Halkası (4 Adet) + Nugget (4 Adet) + Kutu İçecek </t>
  </si>
  <si>
    <t>Süper Marino Pizza Menü (Orta)</t>
  </si>
  <si>
    <t xml:space="preserve">Süper Marino Pizza (Orta) (Pizza sosu, mozzarella peyniri, sucuk, mantar, yeşilbiber) + Patates Kızartması (Orta) + Kutu İçecek </t>
  </si>
  <si>
    <t xml:space="preserve">2 Adet Küçük Boy Pizza + 4 Adet Ketçap + 4 Adet Mayonez + Coca-Cola (1 L.) </t>
  </si>
  <si>
    <t xml:space="preserve">2 Adet Orta Boy Pizza + 4 Adet Ketçap + 4 Adet Mayonez + Coca-Cola (1 L.) </t>
  </si>
  <si>
    <t>5'li Combo Pizza Menü</t>
  </si>
  <si>
    <t xml:space="preserve">5 Adet Combo Pizza + Patates Kızartması + İçecek (1 L.) </t>
  </si>
  <si>
    <t>Marino Sub Sandviç Menü</t>
  </si>
  <si>
    <t xml:space="preserve">Sub Sandviç + Patates Kızartması (Küçük) + Kutu İçecek </t>
  </si>
  <si>
    <t>Hot Dog Sandviç Menü</t>
  </si>
  <si>
    <t xml:space="preserve">Hot Dog Sandviç + Patates Kızartması (Küçük) + Kutu İçecek </t>
  </si>
  <si>
    <t>Marino Genç Menü</t>
  </si>
  <si>
    <t xml:space="preserve">Nugget (4 Adet) + Soğan Halkası (4 Adet) + Patates Kızartması (Küçük) + Kutu İçecek </t>
  </si>
  <si>
    <t>Sanba Menü</t>
  </si>
  <si>
    <t xml:space="preserve">1/2 Dilim Pizza + Patates Kızartması (Küçük) + Soğan Halkası (5 Adet) + Kutu İçecek </t>
  </si>
  <si>
    <t xml:space="preserve">Süper Dilim Pizza + Patates Kızartması (Küçük) + Kutu İçecek </t>
  </si>
  <si>
    <t xml:space="preserve">Dilim Pizza + Patates Kızartması (Küçük) + Nugget (5 Adet) + Kutu İçecek </t>
  </si>
  <si>
    <t xml:space="preserve">Dilim Pizza + Patates Kızartması (Küçük) + Chicken Fingers (3 Adet) + Sarımsaklı Ekmek + Kutu İçecek </t>
  </si>
  <si>
    <t xml:space="preserve">Hamburger + Patates Kızartması (Küçük) + Kutu İçecek </t>
  </si>
  <si>
    <t xml:space="preserve">Chicken Burger + Patates Kızartması (Küçük) + Kutu İçecek </t>
  </si>
  <si>
    <t xml:space="preserve">Cheeseburger + Patates Kızartması (Küçük) + Kutu İçecek </t>
  </si>
  <si>
    <t xml:space="preserve">Chicken Fingers (6 Adet) + Patates Kızartması (Küçük) + Kutu İçecek </t>
  </si>
  <si>
    <t xml:space="preserve">Nugget (6 Adet) + Elma Dilim Patates Kızartması (Küçük) + Sarımsaklı Ekmek + Kutu İçecek </t>
  </si>
  <si>
    <t>Special Burger Menü</t>
  </si>
  <si>
    <t xml:space="preserve">Chicken Burger + Nugget (3 Adet) + Soğan Halkası (3 Adet) + Patates Kızartması (Küçük) + Kutu İçecek </t>
  </si>
  <si>
    <t>3'lü Genova Menü</t>
  </si>
  <si>
    <t xml:space="preserve">Seçeceğiniz Küçük Boy Pizza + Patates Kızartması + Nugget (2 Adet) + 2 Adet Ketçap + 2 Adet Mayonez + Kutu İçecek </t>
  </si>
  <si>
    <t>Margherita Pizza Menü (Küçük)</t>
  </si>
  <si>
    <t xml:space="preserve">Margherita Pizza (Küçük) (Pizza sosu, mozzarella peyniri, domates) + Patates Kızartması (Küçük) + Kutu İçecek </t>
  </si>
  <si>
    <t>Vegetali Pizza Menü (Küçük)</t>
  </si>
  <si>
    <t xml:space="preserve">Vegetali Pizza (Küçük) (Pizza sosu, mozzarella peyniri, mantar, yeşilbiber, yeşilzeytin, domates, soğan) + Patates Kızartması (Küçük) + Kutu İçecek </t>
  </si>
  <si>
    <t>Fiesta Pizza Menü (Küçük)</t>
  </si>
  <si>
    <t xml:space="preserve">Fiesta Pizza (Küçük) (Pizza sosu, mozzarella peyniri, küp domates, siyah zeytin, beyaz peynir, kekik) + Patates Kızartması (Küçük) + Kutu İçecek </t>
  </si>
  <si>
    <t>Luce Light Pizza Menü (Küçük)</t>
  </si>
  <si>
    <t xml:space="preserve">Luce Light Pizza (Küçük) (Pizza sosu, mozzarella peyniri, tavuk salam, küp biber, küp domates, mantar) + Patates Kızartması (Küçük) + Kutu İçecek </t>
  </si>
  <si>
    <t>Cino Pizza Menü (Küçük)</t>
  </si>
  <si>
    <t xml:space="preserve">Cino Pizza (Küçük) (Pizza sosu, mozzarella peyniri, sucuk) + Patates Kızartması (Küçük) + Kutu İçecek </t>
  </si>
  <si>
    <t>Marios Pizza Menü (Küçük)</t>
  </si>
  <si>
    <t xml:space="preserve">Marios Pizza (Küçük) (Pizza sosu, mozzarella peyniri, sucuk, mantar) + Patates Kızartması (Küçük) + Kutu İçecek </t>
  </si>
  <si>
    <t>Marino Pizza Menü (Küçük)</t>
  </si>
  <si>
    <t xml:space="preserve">Marino Pizza (Küçük) (Pizza sosu, mozzarella peyniri, sosis, mantar) + Patates Kızartması (Küçük) + Kutu İçecek </t>
  </si>
  <si>
    <t>Süper Marino Pizza Menü (Küçük)</t>
  </si>
  <si>
    <t xml:space="preserve">Süper Marino Pizza (Küçük) (Pizza sosu, mozzarella peyniri, sucuk, mantar, yeşilbiber) + Patates Kızartması (Küçük) + Kutu İçecek </t>
  </si>
  <si>
    <t>Messico Pizza Menü (Küçük)</t>
  </si>
  <si>
    <t xml:space="preserve">Messico Pizza (Küçük) (Barbekü sos, mozzarella peyniri, sucuk, mantar, jalapeno biber, kırmızıbiber) + Patates Kızartması (Küçük) + Kutu İçecek </t>
  </si>
  <si>
    <t>Messalina Pizza Menü (Küçük)</t>
  </si>
  <si>
    <t xml:space="preserve">Messalina Pizza (Küçük) (Pizza sosu, mozzarella peyniri, salam, sosis, mantar) + Patates Kızartması (Küçük) + Kutu İçecek </t>
  </si>
  <si>
    <t>Deluxe Pizza Menü (Küçük)</t>
  </si>
  <si>
    <t xml:space="preserve">Deluxe Pizza (Küçük) (Pizza sosu, mozzarella peyniri, mantar, sucuk, salam, sosis, yeşilbiber) + Patates Kızartması (Küçük) + Kutu İçecek </t>
  </si>
  <si>
    <t>Special Pizza Menü (Küçük)</t>
  </si>
  <si>
    <t xml:space="preserve">Special Pizza (Küçük) (Pizza sosu, mozzarella peyniri, sucuk, salam, sosis, mantar, dana jambon, domates) + Patates Kızartması (Küçük) + Kutu İçecek </t>
  </si>
  <si>
    <t>Saltati Pizza Menü (Küçük)</t>
  </si>
  <si>
    <t xml:space="preserve">Saltati Pizza (Küçük) (Pizza sosu, mozzarella peyniri, mantar, kavurma, yeşilbiber, domates) + Patates Kızartması (Küçük) + Kutu İçecek </t>
  </si>
  <si>
    <t>Pollo Pizza Menü (Küçük)</t>
  </si>
  <si>
    <t xml:space="preserve">Pollo Pizza (Küçük) (Pizza sosu, mozzarella peyniri, tavuk, kırmızıbiber, mantar, mısır, siyah zeytin) + Patates Kızartması (Küçük) + Kutu İçecek </t>
  </si>
  <si>
    <t>Tonno Pizza Menü (Küçük)</t>
  </si>
  <si>
    <t xml:space="preserve">Tonno Pizza (Küçük) (Pizza sosu, mozzarella peyniri, mantar, ton balığı, mısır, yeşilbiber) + Patates Kızartması (Küçük) + Kutu İçecek </t>
  </si>
  <si>
    <t>Pastrami Pizza Menü (Küçük)</t>
  </si>
  <si>
    <t xml:space="preserve">Pastrami Pizza (Küçük) (Pizza sosu, mozzarella peyniri, pastırma, jalapeno biberi) + Patates Kızartması (Küçük) + Kutu İçecek </t>
  </si>
  <si>
    <t>Margherita Pizza Menü (Orta)</t>
  </si>
  <si>
    <t xml:space="preserve">Margherita Pizza (Orta) (Pizza sosu, mozzarella peyniri, domates) + Patates Kızartması (Orta) + Kutu İçecek </t>
  </si>
  <si>
    <t>Fiesta Pizza Menü (Orta)</t>
  </si>
  <si>
    <t xml:space="preserve">Fiesta Pizza (Orta) (Pizza sosu, mozzarella peyniri, küp domates, siyah zeytin, beyaz peynir, kekik) + Patates Kızartması (Orta) + Kutu İçecek </t>
  </si>
  <si>
    <t>Vegetali Pizza Menü (Orta)</t>
  </si>
  <si>
    <t xml:space="preserve">Vegetali Pizza (Orta) (Pizza sosu, mozzarella peyniri, mantar, yeşilbiber, yeşilzeytin, domates, soğan) + Patates Kızartması (Orta) + Kutu İçecek </t>
  </si>
  <si>
    <t>Luce Light Pizza Menü (Orta)</t>
  </si>
  <si>
    <t xml:space="preserve">Luce Light Pizza (Orta) (Pizza sosu, mozzarella peyniri, tavuk salam, küp biber, küp domates, mantar) + Patates Kızartması (Orta) + Kutu İçecek </t>
  </si>
  <si>
    <t>Cino Pizza Menü (Orta)</t>
  </si>
  <si>
    <t xml:space="preserve">Cino Pizza (Orta) (Pizza sosu, mozzarella peyniri, sucuk) + Patates Kızartması (Orta) + Kutu İçecek </t>
  </si>
  <si>
    <t>Marino Pizza Menü (Orta)</t>
  </si>
  <si>
    <t xml:space="preserve">Marino Pizza (Orta) (Pizza sosu, mozzarella peyniri, sosis, mantar) + Patates Kızartması (Orta) + Kutu İçecek </t>
  </si>
  <si>
    <t>Messico Pizza Menü (Orta)</t>
  </si>
  <si>
    <t xml:space="preserve">Messico Pizza (Orta) (Barbekü sos, mozzarella peyniri, sucuk, mantar, jalapeno biber, kırmızıbiber) + Patates Kızartması (Orta) + Kutu İçecek </t>
  </si>
  <si>
    <t>Deluxe Pizza Menü (Orta)</t>
  </si>
  <si>
    <t xml:space="preserve">Deluxe Pizza (Orta) (Pizza sosu, mozzarella peyniri, mantar, sucuk, salam, sosis, yeşilbiber) + Patates Kızartması (Orta) + Kutu İçecek </t>
  </si>
  <si>
    <t>Messalina Pizza Menü (Orta)</t>
  </si>
  <si>
    <t xml:space="preserve">Messalina Pizza (Orta) (Pizza sosu, mozzarella peyniri, salam, sosis, mantar) + Patates Kızartması (Orta) + Kutu İçecek </t>
  </si>
  <si>
    <t>Saltati Pizza Menü (Orta)</t>
  </si>
  <si>
    <t xml:space="preserve">Saltati Pizza (Orta) (Pizza sosu, mozzarella peyniri, mantar, kavurma, yeşilbiber, domates) + Patates Kızartması (Orta) + Kutu İçecek </t>
  </si>
  <si>
    <t>Tonno Pizza Menü (Orta)</t>
  </si>
  <si>
    <t xml:space="preserve">Tonno Pizza (Orta) (Pizza sosu, mozzarella peyniri, mantar, ton balığı, mısır, yeşilbiber) + Patates Kızartması (Orta) + Kutu İçecek </t>
  </si>
  <si>
    <t>Pollo Pizza Menü (Orta)</t>
  </si>
  <si>
    <t xml:space="preserve">Pollo Pizza (Orta) (Pizza sosu, mozzarella peyniri, tavuk, kırmızıbiber, mantar, mısır, siyah zeytin) + Patates Kızartması (Orta) + Kutu İçecek </t>
  </si>
  <si>
    <t>Pastrami Pizza Menü (Orta)</t>
  </si>
  <si>
    <t xml:space="preserve">Pastrami Pizza (Orta) (Pizza sosu, mozzarella peyniri, pastırma, jalapeno biber) + Patates Kızartması (Orta) + Kutu İçecek </t>
  </si>
  <si>
    <t>Margherita Pizza Menü (Büyük)</t>
  </si>
  <si>
    <t xml:space="preserve">Margherita Pizza (Büyük) (Pizza sosu, mozzarella peyniri, domates) + Patates Kızartması (Orta) + Soğan Halkası (2 Adet) + Nugget (2 Adet) + İçecek (1 L.) </t>
  </si>
  <si>
    <t>Vegetali Pizza Menü (Büyük)</t>
  </si>
  <si>
    <t xml:space="preserve">Vegetali Pizza (Büyük) (Pizza sosu, mozzarella peyniri, mantar, yeşilbiber, yeşilzeytin, domates, soğan) + Patates Kızartması (Orta) + Soğan Halkası (2 Adet) + Nugget (2 Adet) + İçecek (1 L.) </t>
  </si>
  <si>
    <t>Fiesta Pizza Menü (Büyük)</t>
  </si>
  <si>
    <t xml:space="preserve">Fiesta Pizza (Büyük) (Pizza sosu, mozzarella peyniri, küp domates, siyah zeytin, beyaz peynir, kekik) + Patates Kızartması (Orta) + Soğan Halkası (2 Adet) + Nugget (2 Adet) + İçecek (1 L.) </t>
  </si>
  <si>
    <t>Luce Light Pizza Menü (Büyük)</t>
  </si>
  <si>
    <t xml:space="preserve">Luce Light Pizza (Büyük) (Pizza sosu, mozzarella peyniri, tavuk salam, küp biber, küp domates, mantar) + Patates Kızartması (Orta) + Soğan Halkası (2 Adet) + Nugget (2 Adet) + İçecek (1 L.) </t>
  </si>
  <si>
    <t>Cino Pizza Menü (Büyük)</t>
  </si>
  <si>
    <t xml:space="preserve">Cino Pizza (Büyük) (Pizza sosu, mozzarella peyniri, sucuk) + Patates Kızartması (Orta) + Soğan Halkası (2 Adet) + Nugget (2 Adet) + İçecek (1 L.) </t>
  </si>
  <si>
    <t>Marios Pizza Menü (Büyük)</t>
  </si>
  <si>
    <t xml:space="preserve">Marios Pizza (Büyük) (Pizza sosu, mozzarella peyniri, sucuk, mantar) + Patates Kızartması (Orta) + Soğan Halkası (2 Adet) + Nugget (2 Adet) + İçecek (1 L.) </t>
  </si>
  <si>
    <t>Marino Pizza Menü (Büyük)</t>
  </si>
  <si>
    <t xml:space="preserve">Marino Pizza (Büyük) (Pizza sosu, mozzarella peyniri, sosis, mantar) + Patates Kızartması (Orta) + Soğan Halkası (2 Adet) + Nugget (2 Adet) + İçecek (1 L.) </t>
  </si>
  <si>
    <t>Süper Marino Pizza Menü (Büyük)</t>
  </si>
  <si>
    <t xml:space="preserve">Süper Marino Pizza (Büyük) (Pizza sosu, mozzarella peyniri, sucuk, mantar, yeşilbiber) + Patates Kızartması (Orta) + Soğan Halkası (2 Adet) + Nugget (2 Adet) + İçecek (1 L.) </t>
  </si>
  <si>
    <t>Messico Pizza Menü (Büyük)</t>
  </si>
  <si>
    <t xml:space="preserve">Messico Pizza (Büyük) (Barbekü sos, mozzarella peyniri, sucuk, mantar, jalapeno biber, kırmızıbiber) + Patates Kızartması (Orta) + Soğan Halkası (2 Adet) + Nugget (2 Adet) + İçecek (1 L.) </t>
  </si>
  <si>
    <t>Messalina Pizza Menü (Büyük)</t>
  </si>
  <si>
    <t xml:space="preserve">Messalina Pizza (Büyük) (Pizza sosu, mozzarella peyniri, salam, sosis, mantar) + Patates Kızartması (Orta) + Soğan Halkası (2 Adet) + Nugget (2 Adet) + İçecek (1 L.) </t>
  </si>
  <si>
    <t>Deluxe Pizza Menü (Büyük)</t>
  </si>
  <si>
    <t xml:space="preserve">Deluxe Pizza (Büyük) (Pizza sosu, mozzarella peyniri, mantar, sucuk, salam, sosis, yeşilbiber) + Patates Kızartması (Orta) + Soğan Halkası (2 Adet) + Nugget (2 Adet) + İçecek (1 L.) </t>
  </si>
  <si>
    <t>Special Pizza Menü (Büyük)</t>
  </si>
  <si>
    <t xml:space="preserve">Special Pizza (Büyük) (Pizza sosu, mozzarella peyniri, sucuk, salam, sosis, mantar, dana jambon, domates) + Patates Kızartması (Orta) + Soğan Halkası (2 Adet) + Nugget (2 Adet) + İçecek (1 L.) </t>
  </si>
  <si>
    <t>Saltati Pizza Menü (Büyük)</t>
  </si>
  <si>
    <t xml:space="preserve">Saltati Pizza (Büyük) (Pizza sosu, mozzarella peyniri, mantar, kavurma, yeşilbiber, domates) + Patates Kızartması (Orta) + Soğan Halkası (2 Adet) + Nugget (2 Adet) + İçecek (1 L.) </t>
  </si>
  <si>
    <t>Pollo Pizza Menü (Büyük)</t>
  </si>
  <si>
    <t xml:space="preserve">Pollo Pizza (Büyük) (Pizza sosu, mozzarella peyniri, tavuk, kırmızıbiber, mantar, mısır, siyah zeytin) + Patates Kızartması (Orta) + Soğan Halkası (2 Adet) + Nugget (2 Adet) + İçecek (1 L.) </t>
  </si>
  <si>
    <t>Tonno Pizza Menü (Büyük)</t>
  </si>
  <si>
    <t xml:space="preserve">Tonno Pizza (Büyük) (Pizza sosu, mozzarella peyniri, mantar, ton balığı, mısır, yeşilbiber) + Patates Kızartması (Orta) + Soğan Halkası (2 Adet) + Nugget (2 Adet) + İçecek (1 L.) </t>
  </si>
  <si>
    <t>Pastrami Pizza Menü (Büyük)</t>
  </si>
  <si>
    <t xml:space="preserve">Pastrami Pizza (Büyük) (Pizza sosu, mozzarella peyniri, pastırma, jalapeno biber) + Patates Kızartması (Orta) + Soğan Halkası (2 Adet) + Nugget (2 Adet) + İçecek (1 L.) </t>
  </si>
  <si>
    <t>Margherita Pizza Menü (Jumbo)</t>
  </si>
  <si>
    <t xml:space="preserve">Margherita Pizza (Jumbo) (Pizza sosu, mozzarella peyniri, domates) + Patates Kızartması (Büyük) + Soğan Halkası (4 Adet) + Nugget (4 Adet) + İçecek (1 L.) </t>
  </si>
  <si>
    <t>Vegetali Pizza Menü (Jumbo)</t>
  </si>
  <si>
    <t xml:space="preserve">Vegetali Pizza (Jumbo) (Pizza sosu, mozzarella peyniri, mantar, yeşilbiber, yeşilzeytin, domates, soğan) + Patates Kızartması (Büyük) + Soğan Halkası (4 Adet) + Nugget (4 Adet) + İçecek (1 L.) </t>
  </si>
  <si>
    <t>Fiesta Pizza Menü (Jumbo)</t>
  </si>
  <si>
    <t xml:space="preserve">Fiesta Pizza (Jumbo) (Pizza sosu, mozzarella peyniri, küp domates, siyah zeytin, beyaz peynir, kekik) + Patates Kızartması (Büyük) + Soğan Halkası (4 Adet) + Nugget (4 Adet) + İçecek (1 L.) </t>
  </si>
  <si>
    <t>Luce Light Pizza Menü (Jumbo)</t>
  </si>
  <si>
    <t xml:space="preserve">Luce Light Pizza (Jumbo) (Pizza sosu, mozzarella peyniri, tavuk salam, küp biber, küp domates, mantar) + Patates Kızartması (Büyük) + Soğan Halkası (4 Adet) + Nugget (4 Adet) + İçecek (1 L.) </t>
  </si>
  <si>
    <t>Cino Pizza Menü (Jumbo)</t>
  </si>
  <si>
    <t xml:space="preserve">Cino Pizza (Jumbo) (Pizza sosu, mozzarella peyniri, sucuk) + Patates Kızartması (Büyük) + Soğan Halkası (4 Adet) + Nugget (4 Adet) + İçecek (1 L.) </t>
  </si>
  <si>
    <t>Marios Pizza Menü (Jumbo)</t>
  </si>
  <si>
    <t xml:space="preserve">Marios Pizza (Jumbo) (Pizza sosu, mozzarella peyniri, sucuk, mantar) + Patates Kızartması (Büyük) + Soğan Halkası (4 Adet) + Nugget (4 Adet) + İçecek (1 L.) </t>
  </si>
  <si>
    <t>Marino Pizza Menü (Jumbo)</t>
  </si>
  <si>
    <t xml:space="preserve">Marino Pizza (Jumbo) (Pizza sosu, mozzarella peyniri, sosis, mantar) + Patates Kızartması (Büyük) + Soğan Halkası (4 Adet) + Nugget (4 Adet) + İçecek (1 L.) </t>
  </si>
  <si>
    <t>Süper Marino Pizza Menü (Jumbo)</t>
  </si>
  <si>
    <t xml:space="preserve">Süper Marino Pizza (Jumbo) (Pizza sosu, mozzarella peyniri, sucuk, mantar, yeşilbiber) + Patates Kızartması (Büyük) + Soğan Halkası (4 Adet) + Nugget (4 Adet) + İçecek (1 L.) </t>
  </si>
  <si>
    <t>Messico Pizza Menü (Jumbo)</t>
  </si>
  <si>
    <t xml:space="preserve">Messico Pizza (Jumbo) (Barbekü sos, mozzarella peyniri, sucuk, mantar, jalapeno biber, kırmızıbiber) + Patates Kızartması (Büyük) + Soğan Halkası (4 Adet) + Nugget (4 Adet) + İçecek (1 L.) </t>
  </si>
  <si>
    <t>Messalina Pizza Menü (Jumbo)</t>
  </si>
  <si>
    <t xml:space="preserve">Messalina Pizza (Jumbo) (Pizza sosu, mozzarella peyniri, salam, sosis, mantar) + Patates Kızartması (Büyük) + Soğan Halkası (4 Adet) + Nugget (4 Adet) + İçecek (1 L.) </t>
  </si>
  <si>
    <t>Deluxe Pizza Menü (Jumbo)</t>
  </si>
  <si>
    <t xml:space="preserve">Deluxe Pizza (Jumbo) (Pizza sosu, mozzarella peyniri, mantar, sucuk, salam, sosis, yeşilbiber) + Patates Kızartması (Büyük) + Soğan Halkası (4 Adet) + Nugget (4 Adet) + İçecek (1 L.) </t>
  </si>
  <si>
    <t>Special Pizza Menü (Jumbo)</t>
  </si>
  <si>
    <t xml:space="preserve">Special Pizza (Jumbo) (Pizza sosu, mozzarella peyniri, sucuk, salam, sosis, mantar, dana jambon, domates) + Patates Kızartması (Büyük) + Soğan Halkası (4 Adet) + Nugget (4 Adet) + İçecek (1 L.) </t>
  </si>
  <si>
    <t>Saltati Pizza Menü (Jumbo)</t>
  </si>
  <si>
    <t xml:space="preserve">Saltati Pizza (Jumbo) (Pizza sosu, mozzarella peyniri, mantar, kavurma, yeşilbiber, domates) + Patates Kızartması (Büyük) + Soğan Halkası (4 Adet) + Nugget (4 Adet) + İçecek (1 L.) </t>
  </si>
  <si>
    <t>Pollo Pizza Menü (Jumbo)</t>
  </si>
  <si>
    <t xml:space="preserve">Pollo Pizza (Jumbo) (Pizza sosu, mozzarella peyniri, tavuk, kırmızıbiber, mantar, mısır, yeşilzeytin) + Patates Kızartması (Büyük) + Soğan Halkası (4 Adet) + Nugget (4 Adet) + İçecek (1 L.) </t>
  </si>
  <si>
    <t>Tonno Pizza Menü (Jumbo)</t>
  </si>
  <si>
    <t xml:space="preserve">Tonno Pizza (Jumbo) (Pizza sosu, mozzarella peyniri, mantar, ton balığı, mısır, yeşilbiber) + Patates Kızartması (Büyük) + Soğan Halkası (4 Adet) + Nugget (4 Adet) + İçecek (1 L.) </t>
  </si>
  <si>
    <t>Pastrami Pizza Menü (Jumbo)</t>
  </si>
  <si>
    <t xml:space="preserve">Pastrami Pizza (Jumbo) (Pizza sosu, mozzarella peyniri, pastırma, jalapeno biber) + Patates Kızartması (Büyük) + Soğan Halkası (4 Adet) + Nugget (4 Adet) + İçecek (1 L.) </t>
  </si>
  <si>
    <t>Dilim Pizza</t>
  </si>
  <si>
    <t xml:space="preserve">Mozzarella peyniri, sosis, mantar </t>
  </si>
  <si>
    <t>Süper Dilim Pizza</t>
  </si>
  <si>
    <t xml:space="preserve">Mozzarella peyniri, sucuk, yeşilbiber </t>
  </si>
  <si>
    <t xml:space="preserve">45 gr. tavuk köftesi, domates, marul, turşu, isteğe göre soğan </t>
  </si>
  <si>
    <t xml:space="preserve">45 gr. hamburger köftesi, turşu, marul, domates, kaşar peyniri, isteğe göre soğan </t>
  </si>
  <si>
    <t>Chicken Fingers - Şu anda mevcut değil.</t>
  </si>
  <si>
    <t>2'li Orta Boy Kampanyası</t>
  </si>
  <si>
    <t xml:space="preserve">2 Adet Orta Boy Pizza (Kavurmalı pizza, Pastırmalı pizza, Tonno pizza kampanyaya dahil değildir.) </t>
  </si>
  <si>
    <t>My Marios Menü</t>
  </si>
  <si>
    <t xml:space="preserve">Tam Parça Pizza + 2 Adet Soslu Kanat + 2 Adet Nugget + 2 Adet Soğan Halkası + Patates Kızartması + Kutu İçecek </t>
  </si>
  <si>
    <t>Seçilmiş Menü (My Marios Pizza (Small))</t>
  </si>
  <si>
    <t xml:space="preserve">My Marios Pizza (Small) + Coca-Cola (33 cl.) </t>
  </si>
  <si>
    <t>Jumbo Boy Kampanyası</t>
  </si>
  <si>
    <t xml:space="preserve">Seçeceğiniz Jumbo Pizza (Kavurmalı pizza, Pastırmalı pizza, Tonno pizza kampanyaya dahil değildir) + 3 Adet Soğan Halkası + 3 Adet Nugget + Patates Kızartması (Büyük) + Coca-Cola (1 L.) </t>
  </si>
  <si>
    <t>Vodafone Menüsü (Tam Parça Piza) - Şu anda mevcut değil.</t>
  </si>
  <si>
    <t xml:space="preserve">Tam Parça Pizza + 3 Adet Soğan Halkası + Patates Kızartması + Kutu İçecek (Kampanya koşulları için restoranın Promosyonlar bölümüne göz atınız. İndirimli fiyat ürün sepete eklendikten sonra uygulanır.) </t>
  </si>
  <si>
    <t>Tekli Orta Boy Kampanyası - Şu anda mevcut değil.</t>
  </si>
  <si>
    <t xml:space="preserve">Seçeceğiniz Orta Boy Pizza (Kavurmalı Pizza, Pastırmalı Pizza, Tonno Pizza kampanyaya dahil değildir.) + Patates Kızartması + Kutu İçecek </t>
  </si>
  <si>
    <t xml:space="preserve">hamburger + Patates Kızartması + Kutu İçecek </t>
  </si>
  <si>
    <t>Çerezim Mix Menü</t>
  </si>
  <si>
    <t xml:space="preserve">Tam Parça Pizza + 3 Adet Chicken Fileto + Patates Kızartması + Kutu İçecek </t>
  </si>
  <si>
    <t>Tekli Small Kampanyası</t>
  </si>
  <si>
    <t xml:space="preserve">My Marios Pizza + İçecek </t>
  </si>
  <si>
    <t>Halkalı Menü</t>
  </si>
  <si>
    <t xml:space="preserve">1/2 Parça Pizza + 3 Adet Nugget + Patates Kızartması + Kutu İçecek </t>
  </si>
  <si>
    <t xml:space="preserve">4 Adet Soslu Kanat + Patates Kızartması + Kutu İçecek </t>
  </si>
  <si>
    <t>King Menü</t>
  </si>
  <si>
    <t xml:space="preserve">Tam Parça Pizza + 3 Adet Nugget + 3 Adet Soğan Halkası + Patates Kızartması + Kutu İçecek </t>
  </si>
  <si>
    <t>Klasik Menü</t>
  </si>
  <si>
    <t>Protein Menü</t>
  </si>
  <si>
    <t xml:space="preserve">2 Adet Soslu Kanat + 2 Adet Nugget + 2 Adet Soğan Halkası + 2 Adet Chicken Fingers + Kutu İçecek </t>
  </si>
  <si>
    <t>Trend Menü</t>
  </si>
  <si>
    <t xml:space="preserve">Tam Parça Pizza + 2 Adet Soslu Kanat + Patates Kızartması + Kutu İçecek </t>
  </si>
  <si>
    <t>Akdenizli Pizza (Small)</t>
  </si>
  <si>
    <t xml:space="preserve">Özel sos, pizza peyniri, kavurma, yeşilbiber, mantar, kiraz domates </t>
  </si>
  <si>
    <t xml:space="preserve">Özel sos, pizza peyniri, sucuk, mantar, jalapeno biberi, kiraz domates </t>
  </si>
  <si>
    <t>My Marios Pizza (Small)</t>
  </si>
  <si>
    <t>Pastırmalı Pizza (Small)</t>
  </si>
  <si>
    <t xml:space="preserve">Özel sos, pizza peyniri, pastırma, mantar, kırmızıbiber </t>
  </si>
  <si>
    <t>Sosito Pizza (Small)</t>
  </si>
  <si>
    <t>Spesiyal Pizza (Small)</t>
  </si>
  <si>
    <t xml:space="preserve">Özel sos, pizza peyniri, salam, mısır, sucuk, sosis, mantar, domates, zeytin, biber </t>
  </si>
  <si>
    <t>Sucuklum Pizza (Small)</t>
  </si>
  <si>
    <t xml:space="preserve">Özel sos, pizza peyniri, mantar, mısır, domates, tavuk fileto </t>
  </si>
  <si>
    <t>Tonno Pizza (Small)</t>
  </si>
  <si>
    <t>Akdenizli Pizza (Medium)</t>
  </si>
  <si>
    <t>My Marios Pizza (Medium)</t>
  </si>
  <si>
    <t>Pastırmalı Pizza (Medium)</t>
  </si>
  <si>
    <t>Sosito Pizza (Medium)</t>
  </si>
  <si>
    <t>Spesiyal Pizza (Medium)</t>
  </si>
  <si>
    <t>Sucuklum Pizza (Medium)</t>
  </si>
  <si>
    <t>Tonno Pizza (Medium)</t>
  </si>
  <si>
    <t>Akdenizli Pizza (Large)</t>
  </si>
  <si>
    <t>My Marios Pizza (Large)</t>
  </si>
  <si>
    <t>Pastırmalı Pizza (Large)</t>
  </si>
  <si>
    <t>Sosito Pizza (Large)</t>
  </si>
  <si>
    <t>Spesiyal Pizza (Large)</t>
  </si>
  <si>
    <t>Sucuklum Pizza (Large)</t>
  </si>
  <si>
    <t>Tonno Pizza (Large)</t>
  </si>
  <si>
    <t>Akdenizli Pizza (X Large)</t>
  </si>
  <si>
    <t>Mexico Pizza (X Large)</t>
  </si>
  <si>
    <t>My Marios Pizza (X Large)</t>
  </si>
  <si>
    <t>Pastırmalı Pizza (X Large)</t>
  </si>
  <si>
    <t>Sosito Pizza (X Large)</t>
  </si>
  <si>
    <t>Spesiyal Pizza (X Large)</t>
  </si>
  <si>
    <t>Sucuklum Pizza (X Large)</t>
  </si>
  <si>
    <t>Tavuklu Pizza (X Large)</t>
  </si>
  <si>
    <t>Tonno Pizza (X Large)</t>
  </si>
  <si>
    <t>Akdenizli Pizza (Jumbo)</t>
  </si>
  <si>
    <t>74,50 TL</t>
  </si>
  <si>
    <t>My Marios Pizza (Jumbo)</t>
  </si>
  <si>
    <t>59,50 TL</t>
  </si>
  <si>
    <t>73,50 TL</t>
  </si>
  <si>
    <t>Sosito Pizza (Jumbo)</t>
  </si>
  <si>
    <t>Sucuklum Pizza (Jumbo)</t>
  </si>
  <si>
    <t>66,50 TL</t>
  </si>
  <si>
    <t>Tonno Pizza (Jumbo)</t>
  </si>
  <si>
    <t>Tekli Hamburger</t>
  </si>
  <si>
    <t>Tekli Chicken Burger</t>
  </si>
  <si>
    <t>Özel Soslu Tavuk Kanat (6 Adet)</t>
  </si>
  <si>
    <t>Özel Soslu Tavuk Kanat (8 Adet)</t>
  </si>
  <si>
    <t>Tekli Parça Pizza</t>
  </si>
  <si>
    <t>Real Menü</t>
  </si>
  <si>
    <t xml:space="preserve">Tam Parça Pizza + Soslu Kanat (2 Adet) + Nugget (2 Adet) + Soğan Halkası (2 Adet) + Tavuk Fileto (2 Adet) + Patates Kızartması + Kutu İçecek </t>
  </si>
  <si>
    <t xml:space="preserve">Mozzarella peyniri, sos, salam, sucuk, mantar, sosis, mısır, siyah zeytin </t>
  </si>
  <si>
    <t>Hürrem Pizza (Medium)</t>
  </si>
  <si>
    <t xml:space="preserve">Mozzarella peyniri, sos, sucuk, mısır, domates, siyah zeytin, kekik, susam </t>
  </si>
  <si>
    <t>Süper Samba Menü (Tam Parça)</t>
  </si>
  <si>
    <t xml:space="preserve">Tam Parça Pizza + Patates Kızartması + Soğan Halkası (3 Adet) + Kutu İçecek </t>
  </si>
  <si>
    <t xml:space="preserve">Nugget (2 Adet) + Soğan Halkası (3 Adet) + Soslu Tavuk (2 Adet) + Patates Kızartması + Kutu İçecek </t>
  </si>
  <si>
    <t xml:space="preserve">Yarım Parça Pizza + Nugget (3 Adet) + Patates Kızartması + Kutu İçecek + Oyuncak </t>
  </si>
  <si>
    <t xml:space="preserve">Tam Parça Pizza + Soslu Kanat (2 Adet) + Patates Kızartması + Kutu İçecek </t>
  </si>
  <si>
    <t xml:space="preserve">Tam Parça Pizza + Nugget (3 Adet) + Patates Kızartması + Kutu İçecek </t>
  </si>
  <si>
    <t xml:space="preserve">Tam Parça Pizza + Tavuk Fileto (2 Adet) + Patates Kızartması + Kutu İçecek </t>
  </si>
  <si>
    <t xml:space="preserve">Tam Parça Pizza + Tavuk Fileto (4 Adet) + Kutu İçecek </t>
  </si>
  <si>
    <t xml:space="preserve">Tam Parça Pizza + Soğan Halkası (6 Adet) + Kutu İçecek </t>
  </si>
  <si>
    <t xml:space="preserve">Tam Parça Pizza + Soğan Halkası (4 Adet) + Tavuk Fileto (2 Adet) + Patates Kızartması + Kutu İçecek </t>
  </si>
  <si>
    <t xml:space="preserve">Yarım Parça Pizza + Tavuk Fileto (4 Adet) + Patates Kızartması + Kutu İçecek </t>
  </si>
  <si>
    <t>Süper Samba Menü (Parça Pizza)</t>
  </si>
  <si>
    <t xml:space="preserve">Parça Pizza + Patates Kızartması + Kutu İçecek </t>
  </si>
  <si>
    <t>Süper Wing Menü</t>
  </si>
  <si>
    <t xml:space="preserve">Tam Parça Pizza + Patates Kızartması + Tavuk Fileto (4 Adet) + Kutu İçecek </t>
  </si>
  <si>
    <t xml:space="preserve">Tam Parça Pizza + Nugget (6 Adet) + Kutu İçecek </t>
  </si>
  <si>
    <t xml:space="preserve">Soğan Halkası (3 Adet) + Nugget (3 Adet) + Patates Kroket (2 Adet) + Patates Kızartması + Kutu İçecek </t>
  </si>
  <si>
    <t>Double Menü</t>
  </si>
  <si>
    <t xml:space="preserve">Soslu Kanat (2 Adet) + Nugget (2 Adet) + Soğan Halkası (3 Adet) + Tavuk Fileto (2 Adet) + Elma Dilim Patates Kızartması + Kutu İçecek </t>
  </si>
  <si>
    <t>Real Wing Menü - Şu anda mevcut değil.</t>
  </si>
  <si>
    <t xml:space="preserve">Sarımsaklı Ekmek + Tavuk Fileto (4 Adet) + Elma Dilim Patates Kızartması + Kutu İçecek </t>
  </si>
  <si>
    <t xml:space="preserve">Nugget (6 Adet) + Patates Kızartması + Kutu İçecek </t>
  </si>
  <si>
    <t>Özel Soslu Tavuk Kanat Menü</t>
  </si>
  <si>
    <t xml:space="preserve">Soslu Kanat (4 Adet) + Patates Kızartması + Kutu İçecek </t>
  </si>
  <si>
    <t xml:space="preserve">Tam Parça Pizza + Patates Kızartması + Soğan Halkası (2 Adet) + Nugget (3 Adet) + Kutu İçecek </t>
  </si>
  <si>
    <t xml:space="preserve">Tam Parça Pizza + Köfte (3 Adet) + Patates Kızartması + Kutu İçecek </t>
  </si>
  <si>
    <t>Dream Pizza (Small)</t>
  </si>
  <si>
    <t xml:space="preserve">Double mozzarella peyniri, sos, salam, mantar, sosis </t>
  </si>
  <si>
    <t>Etien Pizza (Small)</t>
  </si>
  <si>
    <t xml:space="preserve">Mozzarella peyniri, sos, sucuk, salam, sosis </t>
  </si>
  <si>
    <t xml:space="preserve">Mozzarella peyniri, sos, domates, beyaz peynir, siyah zeytin, kekik </t>
  </si>
  <si>
    <t xml:space="preserve">Mozzarella peyniri, sos, sucuk, mantar, yeşilbiber </t>
  </si>
  <si>
    <t>Hürrem Pizza (Small)</t>
  </si>
  <si>
    <t>Carnaval Pizza (Small)</t>
  </si>
  <si>
    <t xml:space="preserve">Mozzarella peyniri, sos, yeşilbiber, mantar, sucuk, siyah zeytin </t>
  </si>
  <si>
    <t>Köylüm Pizza (Small)</t>
  </si>
  <si>
    <t xml:space="preserve">Mozzarella peyniri, sos, beyaz peynir, közlenmiş kırmızıbiber, domates, mısır, zeytin, kekik </t>
  </si>
  <si>
    <t>Luna Pizza (Small)</t>
  </si>
  <si>
    <t xml:space="preserve">Mozzarella peyniri, sucuk, özel sos </t>
  </si>
  <si>
    <t xml:space="preserve">Mozzarella peyniri, sos, domates, fesleğen </t>
  </si>
  <si>
    <t xml:space="preserve">Mozzarella peyniri, sos, sucuk, mantar </t>
  </si>
  <si>
    <t xml:space="preserve">Mozzarella peyniri, sos, sucuk, mantar, küp domates, jalapeno biberi, kaşar peyniri </t>
  </si>
  <si>
    <t xml:space="preserve">Mozzarella peyniri, sosis, mantar, özel sos </t>
  </si>
  <si>
    <t>Mix Pizza (Small)</t>
  </si>
  <si>
    <t xml:space="preserve">Mozzarella peyniri, sos, yeşilbiber, mantar, sucuk, salam, sosis </t>
  </si>
  <si>
    <t xml:space="preserve">Mozzarella peyniri, sos, mantar </t>
  </si>
  <si>
    <t xml:space="preserve">Mozzarella peyniri, sos, pastırma, mantar, karabiber </t>
  </si>
  <si>
    <t>Real Special Pizza (Small)</t>
  </si>
  <si>
    <t xml:space="preserve">Mozzarella peyniri, sos, yeşilbiber, mantar, kavurma, küp domates </t>
  </si>
  <si>
    <t xml:space="preserve">Double mozzarella peyniri, sos, mantar, salam, sosis, kekik, ketçap </t>
  </si>
  <si>
    <t xml:space="preserve">Mozzarella peyniri, sos, ton balığı, mantar, mısır, karabiber </t>
  </si>
  <si>
    <t>Vejetaryen Pizza (Small)</t>
  </si>
  <si>
    <t xml:space="preserve">Mozzarella peyniri, sos, yeşilbiber, domates, siyah zeytin, mısır, mantar </t>
  </si>
  <si>
    <t>White Pizza (Small)</t>
  </si>
  <si>
    <t xml:space="preserve">Mozzarella peyniri, sos, tavuk fileto, siyah zeytin, domates, karabiber </t>
  </si>
  <si>
    <t>Dream Pizza (Medium)</t>
  </si>
  <si>
    <t>Etien Pizza (Medium)</t>
  </si>
  <si>
    <t>Carnaval Pizza (Medium)</t>
  </si>
  <si>
    <t>Köylüm Pizza (Medium)</t>
  </si>
  <si>
    <t>Luna Pizza (Medium)</t>
  </si>
  <si>
    <t>Mix Pizza (Medium)</t>
  </si>
  <si>
    <t>Real Special Pizza (Medium)</t>
  </si>
  <si>
    <t>Vejetaryen Pizza (Medium)</t>
  </si>
  <si>
    <t>White Pizza (Medium)</t>
  </si>
  <si>
    <t>Dream Pizza (Large)</t>
  </si>
  <si>
    <t>Etien Pizza (Large)</t>
  </si>
  <si>
    <t>Hürrem Pizza (Large)</t>
  </si>
  <si>
    <t>Carnaval Pizza (Large)</t>
  </si>
  <si>
    <t>Köylüm Pizza (Large)</t>
  </si>
  <si>
    <t>Luna Pizza (Large)</t>
  </si>
  <si>
    <t>Mix Pizza (Large)</t>
  </si>
  <si>
    <t>Real Special Pizza (Large)</t>
  </si>
  <si>
    <t>Vejetaryen Pizza (Large)</t>
  </si>
  <si>
    <t>White Pizza (Large)</t>
  </si>
  <si>
    <t>Dream Pizza (XLarge)</t>
  </si>
  <si>
    <t>Etien Pizza (XLarge)</t>
  </si>
  <si>
    <t>Fiesta Pizza (XLarge)</t>
  </si>
  <si>
    <t>Hürrem Pizza (XLarge)</t>
  </si>
  <si>
    <t>Carnaval Pizza (XLarge)</t>
  </si>
  <si>
    <t>Köylüm Pizza (XLarge)</t>
  </si>
  <si>
    <t>Luna Pizza (XLarge)</t>
  </si>
  <si>
    <t>Mix Pizza (XLarge)</t>
  </si>
  <si>
    <t>Pastırmalı Pizza (XLarge)</t>
  </si>
  <si>
    <t>Real Special Pizza (XLarge)</t>
  </si>
  <si>
    <t>Tonno Pizza (XLarge)</t>
  </si>
  <si>
    <t>Vejetaryen Pizza (XLarge)</t>
  </si>
  <si>
    <t>White Pizza (XLarge)</t>
  </si>
  <si>
    <t>Dream Pizza (Jumbo)</t>
  </si>
  <si>
    <t>Etien Pizza (Jumbo)</t>
  </si>
  <si>
    <t>Hürrem Pizza (Jumbo)</t>
  </si>
  <si>
    <t>Carnaval Pizza (Jumbo)</t>
  </si>
  <si>
    <t>Köylüm Pizza (Jumbo)</t>
  </si>
  <si>
    <t>Luna Pizza (Jumbo)</t>
  </si>
  <si>
    <t>Mix Pizza (Jumbo)</t>
  </si>
  <si>
    <t>Real Special Pizza (Jumbo)</t>
  </si>
  <si>
    <t>Vejetaryen Pizza (Jumbo)</t>
  </si>
  <si>
    <t>White Pizza (Jumbo)</t>
  </si>
  <si>
    <t>Patates Kızartması (Large)</t>
  </si>
  <si>
    <t>Özel Soslu Kanat</t>
  </si>
  <si>
    <t>Akdeniz Salatası</t>
  </si>
  <si>
    <t xml:space="preserve">Iceberg marul, domates, salatalık, beyaz peynir, mısır, siyah zeytin </t>
  </si>
  <si>
    <t xml:space="preserve">Iceberg marul, domates, salatalık, mısır, siyah zeytin, tavuk </t>
  </si>
  <si>
    <t xml:space="preserve">Iceberg marul, domates, salatalık, mısır, yeşilzeytin </t>
  </si>
  <si>
    <t>Ton Balıklı Salata - Şu anda mevcut değil.</t>
  </si>
  <si>
    <t xml:space="preserve">Iceberg marul, domates, salatalık, kırmızıbiber, mısır, siyah zeytin, ton balığı </t>
  </si>
  <si>
    <t>Nestea (33 cl.)</t>
  </si>
  <si>
    <t>Sarımsaklı Sos</t>
  </si>
  <si>
    <t xml:space="preserve">Yarım Parça Pizza + Nugget (3 Adet) + Patates Kızartması + Kutu İçecek </t>
  </si>
  <si>
    <t>Izgara Köfte - Şu anda mevcut değil.</t>
  </si>
  <si>
    <t>Medium Pizza Menü</t>
  </si>
  <si>
    <t xml:space="preserve">Seçeceğiniz Medium Pizza + Patates Kızartması + Kutu İçecek </t>
  </si>
  <si>
    <t>Delüx Menü</t>
  </si>
  <si>
    <t xml:space="preserve">Orta Boy Hürrem Pizza + Patates Kroket + Soğan Halkası (2 Adet) + Nugget (2 Adet) + Kutu İçecek </t>
  </si>
  <si>
    <t>3'ü 1 Arada Menü</t>
  </si>
  <si>
    <t xml:space="preserve">3 Adet Orta Boy Pizza + İçecek (1 L.) </t>
  </si>
  <si>
    <t xml:space="preserve">Seçeceğiniz 2 Adet Küçük Boy Pizza + Coca- Cola (1 L.) </t>
  </si>
  <si>
    <t xml:space="preserve">Seçeceğiniz Büyük Boy Pizza + Patates Kızartması + Soğan Halkası (5 Adet) + Coca-Cola (1 L.) </t>
  </si>
  <si>
    <t xml:space="preserve">Small Pizza (Sucuk, kaşar peyniri, mantar) + Patates Kızartması + Kutu İçecek </t>
  </si>
  <si>
    <t>Special Pizza Menü</t>
  </si>
  <si>
    <t xml:space="preserve">Special Pizza (Medium) + Patates Kızartması (Small) + Kutu İçecek </t>
  </si>
  <si>
    <t>87,00 TL</t>
  </si>
  <si>
    <t>102,00 TL</t>
  </si>
  <si>
    <t>97,00 TL</t>
  </si>
  <si>
    <t>Patates Kızartması (Small)</t>
  </si>
  <si>
    <t>Kids Menü</t>
  </si>
  <si>
    <t xml:space="preserve">Yarım Parça Pizza + Patates Kroket (2 Adet) + Patates Kızartması + Kutu İçecek </t>
  </si>
  <si>
    <t xml:space="preserve">Seçeceğiniz Large Pizza + Coca-Cola (1 L.) </t>
  </si>
  <si>
    <t>Real Wing Menü</t>
  </si>
  <si>
    <t xml:space="preserve">1/3 Dilim Pizza + 4 Adet Nugget + 4 Adet Soğan Halkası + Patates Kızartması + Coca Cola (200ml) </t>
  </si>
  <si>
    <t xml:space="preserve">Seçeceğiniz XL Pizza + Nugget (5 Adet) + Soğan Halkası (5 Adet) + Patates Kızartması (Büyük) + Coca-Cola (1 L.) (Mix, Pepperoni) </t>
  </si>
  <si>
    <t>Diavolo Menü</t>
  </si>
  <si>
    <t xml:space="preserve">2 Adet Orta Boy Pizza (Sucuk, domates, mantar, biber, mısır, zeytin, pizza sosu, mozzarella peyniri) + Patates Kızartması (Büyük) </t>
  </si>
  <si>
    <t xml:space="preserve">Özel pizza sosu, mozzarella peyniri, dana sucuk, dana salam, dana sosis, domates, biber, mantar, mısır, zeytin </t>
  </si>
  <si>
    <t>Mix Pizza (X-Large)</t>
  </si>
  <si>
    <t>Barko Menü</t>
  </si>
  <si>
    <t xml:space="preserve">1/2 Dilim Pizza + Patates Kızartması + Coca-Cola (20 cl.) </t>
  </si>
  <si>
    <t>Hamburger Menü - Şu anda mevcut değil.</t>
  </si>
  <si>
    <t xml:space="preserve">Hamburger (100 gr.) + Patates Kızartması + Coca-Cola (20 cl.) </t>
  </si>
  <si>
    <t xml:space="preserve">Seçeceğiniz Peperoni Veya Mix Pizza (Small) + Patates Kızartması (Büyük) + 2 Adet Nugget + 2 Adet Soğan Halkası + Coca-Cola (20 cl.) </t>
  </si>
  <si>
    <t>Kanka Menü</t>
  </si>
  <si>
    <t xml:space="preserve">2 Adet Seçeceğiniz Peperoni Veya Mix Pizza (Small) + Patates Kızartması (Büyük) </t>
  </si>
  <si>
    <t>Small Menü</t>
  </si>
  <si>
    <t xml:space="preserve">Seçeceğiniz Small Pizza + Patates Kızartması + Coca Cola (20 cl) </t>
  </si>
  <si>
    <t>Medium Menü</t>
  </si>
  <si>
    <t xml:space="preserve">Seçeceğiniz Medium Pizza + Kutu İçecek </t>
  </si>
  <si>
    <t xml:space="preserve">Özel pizza sosu, mozzarella peyniri, beyaz peynir, biber, zeytin, domates </t>
  </si>
  <si>
    <t>BBQ Pizza (Small)</t>
  </si>
  <si>
    <t xml:space="preserve">Ozel pizza sosu, mozzarella peyniri, nugget parçaları, barbekü sos </t>
  </si>
  <si>
    <t>Sweat Pizza (Small)</t>
  </si>
  <si>
    <t xml:space="preserve">Özel pizza sosu, mozzarella peyniri, nugget parçaları, soğan, biber </t>
  </si>
  <si>
    <t>Kayseri Pizza (Small)</t>
  </si>
  <si>
    <t xml:space="preserve">Özel pizza sosu, mozzarella peyniri, sucuk, beyaz peynir, maydanoz, yumurta </t>
  </si>
  <si>
    <t>Bodrum Çökertme Pizza (Small)</t>
  </si>
  <si>
    <t xml:space="preserve">Özel pizza sosu, mozzarella peyniri, özel sos, bonfile et, kibrit patates kızartması </t>
  </si>
  <si>
    <t>KC Çökertme Pizza (Small)</t>
  </si>
  <si>
    <t xml:space="preserve">ozel pızza sosu mozarella pızzatala sosu bonfıle kıbrıt patates </t>
  </si>
  <si>
    <t>Beef Pizza (Small)</t>
  </si>
  <si>
    <t xml:space="preserve">Özel pizza sosu, mozzarella peyniri, ev yapımı dana kavurma, mantar, domates, zeytin, mısır </t>
  </si>
  <si>
    <t>Bi Mare Pizza (Small)</t>
  </si>
  <si>
    <t xml:space="preserve">Özel pizza sosu, mozzarella peyniri, ton balığı, kuru soğan, zeytin </t>
  </si>
  <si>
    <t>Funghi Pizza (Small)</t>
  </si>
  <si>
    <t xml:space="preserve">Özel pizza sosu, mozzarella peyniri, mantar, domates </t>
  </si>
  <si>
    <t>Mega Mix Pizza (Small)</t>
  </si>
  <si>
    <t xml:space="preserve">Özel pizza sosu, mozzarella peyniri, dana jambon, dana pastırma, dana sucuk, biber, mantar, mısır, zeyin </t>
  </si>
  <si>
    <t xml:space="preserve">Özel pizza sosu, mozzarella peyniri, dana sucuk, dana salam, dana sosis, domates,biber, mantar, mısır, zeytin </t>
  </si>
  <si>
    <t>Pepperoni Pizza (Small)</t>
  </si>
  <si>
    <t xml:space="preserve">Özel pizza sosu ,mozzarella peyniri, dana sucuk, mantar, biber, mısır, zeytin </t>
  </si>
  <si>
    <t>BBQ Pizza (Medium)</t>
  </si>
  <si>
    <t>Sweat Pizza (Medium)</t>
  </si>
  <si>
    <t>Kayseri Pizza (Medium)</t>
  </si>
  <si>
    <t>Bodrum Çökertme Pizza (Medium)</t>
  </si>
  <si>
    <t>Calzone Pizza (Medium)</t>
  </si>
  <si>
    <t xml:space="preserve">Özel pizza sosu, mozzarella peyniri, kavurma, mantar, biber, mısır, zeytin </t>
  </si>
  <si>
    <t>Beef Pizza (Medium)</t>
  </si>
  <si>
    <t>Bi Mare Pizza (Medium)</t>
  </si>
  <si>
    <t>Funghi Pizza (Medium)</t>
  </si>
  <si>
    <t>Mega Mix Pizza (Medium)</t>
  </si>
  <si>
    <t xml:space="preserve">Özel pizza sosu, mozzarella peyniri, dana jambon, dana pastırma, dana sucuk, biber, mantar, mısır, zeytin </t>
  </si>
  <si>
    <t>Pepperoni Pizza (Medium)</t>
  </si>
  <si>
    <t>BBQ Pizza (Large)</t>
  </si>
  <si>
    <t>Sweat Pizza (Large)</t>
  </si>
  <si>
    <t>Kayseri Pizza (Large)</t>
  </si>
  <si>
    <t>Bodrum Çökertme Pizza (Large)</t>
  </si>
  <si>
    <t>Beef Pizza (Large)</t>
  </si>
  <si>
    <t>Bi Mare Pizza (Large)</t>
  </si>
  <si>
    <t>Funghi Pizza (Large)</t>
  </si>
  <si>
    <t>Mega Mix Pizza (Large)</t>
  </si>
  <si>
    <t xml:space="preserve">Özel pizza sosu, mozzarella peyniri, dana jambon, kavurma, dana pastırma, dana sucuk, biber, mantar, mısır, zeytin </t>
  </si>
  <si>
    <t>Pepperoni Pizza (Large)</t>
  </si>
  <si>
    <t xml:space="preserve">Özel pizza sosu, mozzarella peyniri, dana sucuk, mantar, biber, mısır, zeytin </t>
  </si>
  <si>
    <t>Fiesta Pizza (X-Large)</t>
  </si>
  <si>
    <t>BBQ Pizza (X-Large)</t>
  </si>
  <si>
    <t>Sweat Pizza (X-Large)</t>
  </si>
  <si>
    <t>Kayseri Pizza (X-Large)</t>
  </si>
  <si>
    <t>Bodrum Çökertme Pizza (X-Large)</t>
  </si>
  <si>
    <t>Beef Pizza (X-Large)</t>
  </si>
  <si>
    <t xml:space="preserve">Özel pizza sosu, mozzarella peyniri, ev yapımı dana kavurma, cheddar peyniri, közlenmiş biber </t>
  </si>
  <si>
    <t>Bi Mare Pizza (X-Large)</t>
  </si>
  <si>
    <t>Funghi Pizza (X-Large)</t>
  </si>
  <si>
    <t>Mega Mix Pizza (X-Large)</t>
  </si>
  <si>
    <t>Pepperoni Pizza (X-Large)</t>
  </si>
  <si>
    <t xml:space="preserve">Salam, domates, kaşar peyniri, salatalık, kıvırcık marul </t>
  </si>
  <si>
    <t xml:space="preserve">Kaşar peyniri, domates, salatalık, kıvırcık marul </t>
  </si>
  <si>
    <t xml:space="preserve">Ton balığı, kıvırcık marul, domates, turşu </t>
  </si>
  <si>
    <t>Karışık Sandviç &amp; Patates Kızartması</t>
  </si>
  <si>
    <t>Kaşarlı Sandviç &amp; Patates Kızartması</t>
  </si>
  <si>
    <t>Ton Balıklı Sandviç &amp; Patates Kızartması</t>
  </si>
  <si>
    <t>Sarımsak Sos</t>
  </si>
  <si>
    <t xml:space="preserve">Köy peyniri, kaşar peyniri </t>
  </si>
  <si>
    <t>Paçanga Böreği (5 Adet)</t>
  </si>
  <si>
    <t xml:space="preserve">Pastırma, kaşar peyniri, domates, biber </t>
  </si>
  <si>
    <t>Atıştırmalık Tabak</t>
  </si>
  <si>
    <t xml:space="preserve">Elma dilim patates, parmak patates, 2 adet nugget, 2 adet soğan halkası, 2 adet sigara böreği </t>
  </si>
  <si>
    <t>Seçilmiş Menü (3 Kişilik Fanatik Kova)</t>
  </si>
  <si>
    <t xml:space="preserve">3 Adet Popchicken + 18'li Nuggets + Mega Boy Patates + 1 L. İçecek + Seçeceğiniz 3 Adet Sos (Popchicken seçimleri için geçerlidir. Chicken Cheese Deluxe Sandviç seçimlerinde 3 TL, Panini Gusto ve Popeyes® XL Sandviç seçimlerinde 6 TL fark alınmaktadır.) </t>
  </si>
  <si>
    <t>76,50 TL</t>
  </si>
  <si>
    <t>Seçilmiş Menü (3 Kişilik Doyuran Kova)</t>
  </si>
  <si>
    <t xml:space="preserve">3 Adet Tavukburger® + 10’lu Nuggets + 4 Dip’n Chicken + Büyük Boy Patates Kızartması + Coca-Cola (1 L.) (Tavukburger® seçimleri için geçerlidir. Popchicken seçimlerinde 3 TL, Chicken Cheese Deluxe Sandviç seçimlerinde 4 TL ve Popeyes® XL Sandviç seçimlerinde 6,95 TL fark alınmaktadır.) </t>
  </si>
  <si>
    <t>65,99 TL</t>
  </si>
  <si>
    <t xml:space="preserve">Tavukburger® + 5'li Nuggets + 8'li Soğan Halkası + Büyük Boy Patates Kızartması + Coca-Cola (1 L.) (Tavukburger® seçimleri için geçerlidir. Popchicken seçimlerinde 3 TL, Chicken Cheese Deluxe Sandviç seçimlerinde 4 TL ve Popeyes® XL Sandviç seçimlerinde 6,95 TL fark alınmaktadır.) </t>
  </si>
  <si>
    <t>Vodafone Menüsü 1</t>
  </si>
  <si>
    <t xml:space="preserve">Tavukburger® + 8'li Nuggets + Orta Boy Patates + Seçeceğiniz 2 Adet Sos + 1 L. İçecek (Kampanya koşulları için restoranın Promosyonlar bölümüne göz atınız. İndirimli fiyat ürün sepete eklendikten sonra uygulanır.) </t>
  </si>
  <si>
    <t>41,96 TL</t>
  </si>
  <si>
    <t>Vodafone Menüsü 2</t>
  </si>
  <si>
    <t xml:space="preserve">1 Parça Golden But + 10'lu Nuggets + Orta Boy Patates + Seçeceğiniz 2 Adet Sos + 1 L. İçecek (Kampanya koşulları için restoranın Promosyonlar bölümüne göz atınız. İndirimli fiyat ürün sepete eklendikten sonra uygulanır.) </t>
  </si>
  <si>
    <t>Popeyes® Algida Menüsü</t>
  </si>
  <si>
    <t xml:space="preserve">Chicken Cheese Deluxe Sandviç + Tavukburger® + 5'li Nuggets + Büyük Boy Patates Kızartması + 2 Adet Algida Mini Nogger Sandwich (60 ml.) + 1 L. İçecek </t>
  </si>
  <si>
    <t>Popeyes® Algida Menüsü 2</t>
  </si>
  <si>
    <t xml:space="preserve">Tavukburger® + 4 Dip’n Chicken + Orta Boy Patates Kızartması + 1 Adet Algida Mini Nogger Sandwich (60 ml.) + Seçeceğiniz 2 Adet Sos + Kutu İçecek </t>
  </si>
  <si>
    <t>Maximum Menü (Popchicken Sandviç)</t>
  </si>
  <si>
    <t xml:space="preserve">Popchicken Sandviç + 1 Parça Tenders + 5'li Nuggets + Gravy Sos + Orta Boy Patates + Seçeceğiniz 2 Adet Sos + 1 L. İçecek (Maximum Menü indirimi, Maximum özellikli tüm kredi kartları ve İş Bankası Bankamatik Kartları ile yapılacak online ödemelerde ödeme anında uygulanacaktır.) </t>
  </si>
  <si>
    <t>Müthiş 3'lü Menü</t>
  </si>
  <si>
    <t xml:space="preserve">3 Adet Tavukburger® + Büyük Boy Patates Kızartması + 1 L. İçecek (Tavukburger® seçimleri için geçerlidir. Popchicken seçimlerinde 3 TL, Chicken Cheese Deluxe Sandviç seçimlerinde 4 TL ve Popeyes® XL Sandviç seçimlerinde 6,95 TL fark alınmaktadır.) </t>
  </si>
  <si>
    <t>Müthiş 4'lü Menü</t>
  </si>
  <si>
    <t xml:space="preserve">4 Adet Tavukburger® + Büyük Boy Patates Kızartması + 1 L. İçecek (Tavukburger® seçimleri için geçerlidir. Popchicken seçimlerinde 3 TL, Chicken Cheese Deluxe Sandviç seçimlerinde 4 TL ve Popeyes® XL Sandviç seçimlerinde 6,95 TL fark alınmaktadır.) </t>
  </si>
  <si>
    <t>2 Kişilik Fırsat Menüsü</t>
  </si>
  <si>
    <t xml:space="preserve">2 Adet Tavukburger® + 4’lü Nuggets + 4’lü Soğan Halkası + 2 Adet Tenders + Büyük Boy Patates Kızartması + 1 L. İçecek (Tavukburger® seçimleri için geçerlidir. Popchicken seçimlerinde 3 TL, Chicken Cheese Deluxe Sandviç seçimlerinde 4 TL fark alınmaktadır.) </t>
  </si>
  <si>
    <t>Ekonomix Menü</t>
  </si>
  <si>
    <t xml:space="preserve">2 Adet Tavukburger® + Büyük Boy Patates + Seçeceğiniz 2 Adet Sos + 1 L. İçecek (Tavukburger® seçimleri için geçerlidir. Popchicken seçimlerinde 3 TL, Chicken Cheese Deluxe Sandviç seçimlerinde 4 TL ve Popeyes® XL Sandviç seçimlerinde 6,95 TL fark alınmaktadır.) </t>
  </si>
  <si>
    <t>2 Kişilik Ekonomik Menü</t>
  </si>
  <si>
    <t xml:space="preserve">2 Adet Popchicken Sandviç + Büyük Boy Patates + 10'lu Nuggets + Seçeceğiniz 4 Adet Sos + 1 L. İçecek (Popchicken seçimleri için geçerlidir. Chicken Cheese Deluxe Sandviç seçimlerinde 3 TL, Panini Gusto ve Popeyes® XL Sandviç seçimlerinde 6 TL fark alınmaktadır.) </t>
  </si>
  <si>
    <t>2'li Sufle</t>
  </si>
  <si>
    <t>Müthiş Fırsat Menü</t>
  </si>
  <si>
    <t xml:space="preserve">2 Adet Tavukburger® + Küçük Boy Patates Kızartması + Küçük Boy Ayran </t>
  </si>
  <si>
    <t>Hayallerimin Kovası</t>
  </si>
  <si>
    <t xml:space="preserve">But seçimi zorunludur. </t>
  </si>
  <si>
    <t>Beşiktaş Maxi Taraftar Menüsü</t>
  </si>
  <si>
    <t xml:space="preserve">4'lü Nuggets + 4 Dip'n Chicken + 1 Tenders (Kemiksiz) + Tavukburger® + Orta Boy Patates Kızartması + Seçeceğiniz 2 Adet Sos + Orta Boy (Kutu) İçecek (Taşıma torbası seçimi siparişinizin doğru şekilde teslim edilebilmesi için eklenmiştir.) </t>
  </si>
  <si>
    <t>Fenerbahçe Maxi Taraftar Menüsü</t>
  </si>
  <si>
    <t>Galatasaray Maxi Taraftar Menüsü</t>
  </si>
  <si>
    <t>Trabzonspor Maxi Taraftar Menüsü</t>
  </si>
  <si>
    <t>Eko Kova Menü</t>
  </si>
  <si>
    <t xml:space="preserve">5 Dip'n Chicken + 5'li Nuggets + Tenders (Kemiksiz) + Biscuit + Orta Boy Patates + Seçeceğiniz 2 Adet Sos + Kutu İçecek </t>
  </si>
  <si>
    <t>2 Kişilik Ekonomix Karışık Kova Menü</t>
  </si>
  <si>
    <t xml:space="preserve">2 Parça Tavuk veya But + 4 Nuggets + 4 Dip'n Chicken + 2 Acılı Kanat + Büyük Boy Patates + Seçeceğiniz 4 Adet Sos + 1 L. İçecek </t>
  </si>
  <si>
    <t>2 Kişilik Sandviçli Kova Menü</t>
  </si>
  <si>
    <t xml:space="preserve">2 Tavukburger® + 8 Nuggets + 4 Tenders (Kemiksiz) + Büyük Boy Patates + Seçeceğiniz 4 Adet Sos + 1 L. İçecek (Tavukburger® seçimleri için geçerlidir. Popchicken seçimlerinde 3 TL, Chicken Cheese Deluxe Sandviç seçimlerinde 4 TL ve Popeyes® XL Sandviç seçimlerinde 6 TL fark alınmaktadır.) </t>
  </si>
  <si>
    <t>2 Kişilik Kanat Kova Menü</t>
  </si>
  <si>
    <t xml:space="preserve">10 Acılı Kanat + Büyük Boy Patates + Seçeceğiniz 4 Adet Sos + 1 L. İçecek </t>
  </si>
  <si>
    <t>2 Kişilik Kemiksiz Kova Menü</t>
  </si>
  <si>
    <t xml:space="preserve">28 Parça Nuggets + 2 Tenders (Kemiksiz) + Büyük Boy Patates + Seçeceğiniz 4 Adet Sos + 1 L. İçecek </t>
  </si>
  <si>
    <t>68,99 TL</t>
  </si>
  <si>
    <t>3 Kişilik Efsane Kova Menü</t>
  </si>
  <si>
    <t xml:space="preserve">30 Nuggets + 6 Acılı Kanat + Mega Boy Patates + Seçeceğiniz 4 Adet Sos + 1 L. İçecek </t>
  </si>
  <si>
    <t>4 Kişilik Süper Kova Menü</t>
  </si>
  <si>
    <t xml:space="preserve">4 Tavukburger® + 4 Tender (Kemiksiz) + 4 Acılı Kanat + Kova Boy Patates + Seçeceğiniz 4 Adet Sos + 1 L. İçecek (Tavukburger® seçimleri için geçerlidir. Popchicken seçimlerinde 3 TL, Chicken Cheese Deluxe Sandviç seçimlerinde 4 TL fark alınmaktadır.) </t>
  </si>
  <si>
    <t>119,99 TL</t>
  </si>
  <si>
    <t>4 Kişilik Kanat Kova Menü</t>
  </si>
  <si>
    <t xml:space="preserve">20 Acılı Kanat + Mega Boy Patates + Seçeceğiniz 4 Adet Sos + 1 L. İçecek </t>
  </si>
  <si>
    <t>4 Kişilik Parça Tavuk Kova Menü</t>
  </si>
  <si>
    <t xml:space="preserve">8 Parça Tavuk (2 Parça Göğüs + 2 Parça Kaburga + 2 Parça Kalça + 2 Parça But) + Kova Boy Patates + Seçeceğiniz 4 Adet Sos + 1 L. İçecek </t>
  </si>
  <si>
    <t>Kemiksiz Maxi Menü</t>
  </si>
  <si>
    <t xml:space="preserve">2 Tenders (Kemiksiz) + 4'lü Nuggets + 4 Dip'n Chicken + Orta Boy Patates + 1 Adet Biscuit + Gravy Sos + Kutu İçecek </t>
  </si>
  <si>
    <t>Golden Maxi Menü</t>
  </si>
  <si>
    <t xml:space="preserve">1 Parça Golden But + 1 Tender (Kemiksiz) + 4’lü Nuggets + 2 Parça Acılı Kanat + Orta Boy Patates + 1 Adet Biscuit + Kutu İçecek </t>
  </si>
  <si>
    <t>Maxi Doyuran Menü</t>
  </si>
  <si>
    <t xml:space="preserve">Tavukburger® + 1 Acılı Kanat + 3’lü Nugget + 4’lü Soğan Halkası + Orta Boy Patates Kızartması + Kutu İçecek </t>
  </si>
  <si>
    <t>Maxi XL Menü</t>
  </si>
  <si>
    <t xml:space="preserve">Chicken Cheese Deluxe Sandviç + 2'li Acılı Kanat + 4'lü Nuggets + Orta Boy Patates + Kutu İçecek + Seçeceğiniz 2 Adet Sos </t>
  </si>
  <si>
    <t>Maxi Tavukburger® Menü</t>
  </si>
  <si>
    <t xml:space="preserve">Tavukburger® + 4'lü Nuggets + 2 Parça Acılı Kanat + Orta Boy Patates + Kutu İçecek + Seçeceğiniz 2 Adet Sos </t>
  </si>
  <si>
    <t>Maxi Ekonomix Menü</t>
  </si>
  <si>
    <t xml:space="preserve">4 Dip’n Chicken + Poppy Sandviç + 4'lü Nuggets + Orta Boy Patates + Kutu İçecek + Seçeceğiniz 2 Adet Sos </t>
  </si>
  <si>
    <t>Popeyes® XL Sandviç Menü</t>
  </si>
  <si>
    <t xml:space="preserve">Popeyes® XL Sandviç + Orta Boy Patates + Kutu İçecek + Seçeceğiniz 2 Adet Sos </t>
  </si>
  <si>
    <t>Maxi Dürüm Menü</t>
  </si>
  <si>
    <t xml:space="preserve">Maxi Dürüm + Orta Boy Patates + Seçeceğiniz 2 Adet Sos + Kutu İçecek </t>
  </si>
  <si>
    <t>Popchicken Menü</t>
  </si>
  <si>
    <t xml:space="preserve">Popchicken + Orta Boy Patates + Seçeceğiniz 2 Adet Sos + Kutu İçecek </t>
  </si>
  <si>
    <t>Double Popchicken Menü</t>
  </si>
  <si>
    <t xml:space="preserve">Double Popchicken + Orta Boy Patates + Seçeceğiniz 2 Adet Sos + Kutu İçecek </t>
  </si>
  <si>
    <t xml:space="preserve">Tavukburger® + Orta Boy Patates + Seçeceğiniz 2 Adet Sos + Kutu İçecek </t>
  </si>
  <si>
    <t>Chicken Cheese Deluxe Sandviç Menü</t>
  </si>
  <si>
    <t xml:space="preserve">Chicken Cheese Deluxe Sandviç + Orta Boy Patates + Seçeceğiniz 2 Adet Sos + Kutu İçecek </t>
  </si>
  <si>
    <t>Panini Gusto Menü</t>
  </si>
  <si>
    <t xml:space="preserve">Panini Gusto + Orta Boy Patates + Seçeceğiniz 2 Adet Sos + Kutu İçecek </t>
  </si>
  <si>
    <t>3 Parça Tavuk Menü</t>
  </si>
  <si>
    <t xml:space="preserve">3 Parça Tavuk (But, kalça, kaburga veya kemikli göğüs) + Orta Boy Patates + Seçeceğiniz 2 Adet Sos + Kutu İçecek </t>
  </si>
  <si>
    <t>4 Parça Tavuk Menü</t>
  </si>
  <si>
    <t xml:space="preserve">4 Parça Golden Tavuk (But, kalça, kaburga veya kemikli göğüs) + Orta Boy Patates + Seçeceğiniz 2 Adet Sos + Kutu İçecek </t>
  </si>
  <si>
    <t>48,99 TL</t>
  </si>
  <si>
    <t>5 Parça Acılı Kanat Menü</t>
  </si>
  <si>
    <t xml:space="preserve">5 Parça Acılı Kanat + Orta Boy Patates + Seçeceğiniz 2 Adet Sos + Kutu İçecek </t>
  </si>
  <si>
    <t>8 Parça Acılı Kanat Menü</t>
  </si>
  <si>
    <t xml:space="preserve">8 Parça Acılı Kanat + Orta Boy Patates + Seçeceğiniz 2 Adet Sos + Kutu İçecek </t>
  </si>
  <si>
    <t>10'lu Nuggets Menü</t>
  </si>
  <si>
    <t xml:space="preserve">10'lu Nuggets + Orta Boy Patates + Seçeceğiniz 2 Adet Sos + Kutu İçecek </t>
  </si>
  <si>
    <t>15'li Nuggets Menü</t>
  </si>
  <si>
    <t xml:space="preserve">15'li Nuggets + Orta Boy Patates + Seçeceğiniz 2 Adet Sos + Kutu İçecek </t>
  </si>
  <si>
    <t>20'li Nuggets Menü</t>
  </si>
  <si>
    <t xml:space="preserve">20'li Nuggets + Orta Boy Patates + Seçeceğiniz 2 Adet Sos + Kutu İçecek </t>
  </si>
  <si>
    <t>10'lu Dip’n Chicken Menü</t>
  </si>
  <si>
    <t xml:space="preserve">10'lu Dip’n Chicken + Orta Boy Patates + Seçeceğiniz 2 Adet Sos + Kutu İçecek </t>
  </si>
  <si>
    <t>15'li Dip’n Chicken Menü</t>
  </si>
  <si>
    <t xml:space="preserve">15'li Dip’n Chicken + Orta Boy Patates + Seçeceğiniz 2 Adet Sos + Kutu İçecek </t>
  </si>
  <si>
    <t>20'li Dip’n Chicken Menü</t>
  </si>
  <si>
    <t xml:space="preserve">20'li Dip’n Chicken + Orta Boy Patates + Seçeceğiniz 2 Adet Sos + Kutu İçecek </t>
  </si>
  <si>
    <t>3'lü Tenders Menü (Kemiksiz)</t>
  </si>
  <si>
    <t xml:space="preserve">3'lü Tenders + Orta Boy Patates + Seçeceğiniz 2 Adet Sos + Kutu İçecek </t>
  </si>
  <si>
    <t>Çocuk Tavukburger Menü</t>
  </si>
  <si>
    <t xml:space="preserve">Çocuk Tavukburger® + Küçük Boy Patates + Seçeceğiniz 2 Adet Sos + İçecek </t>
  </si>
  <si>
    <t>Çocuk 5’li Nuggets Menü</t>
  </si>
  <si>
    <t xml:space="preserve">5'li Nuggets + Küçük Boy Patates + Seçeceğiniz 2 Adet Sos + İçecek </t>
  </si>
  <si>
    <t>1 Adet Golden But</t>
  </si>
  <si>
    <t>2 Adet Golden But</t>
  </si>
  <si>
    <t>1 Parça But</t>
  </si>
  <si>
    <t>1 Parça Kaburga</t>
  </si>
  <si>
    <t>1 Parça Kalça</t>
  </si>
  <si>
    <t>1 Parça Tavuk Göğüs</t>
  </si>
  <si>
    <t>1 Parça Tender (Kemiksiz)</t>
  </si>
  <si>
    <t>1 Parça Acılı Kanat (Wings)</t>
  </si>
  <si>
    <t>10'lu Dip’n Chicken</t>
  </si>
  <si>
    <t>15'li Dip’n Chicken</t>
  </si>
  <si>
    <t>20'li Dip’n Chicken</t>
  </si>
  <si>
    <t>10'lu Nuggets</t>
  </si>
  <si>
    <t>15'li Nuggets</t>
  </si>
  <si>
    <t>20'li Nuggets</t>
  </si>
  <si>
    <t>Popeyes® XL Sandviç</t>
  </si>
  <si>
    <t xml:space="preserve">Mayonez, turşu, dev çıtır fileto eti, 4.25 tereyağlı sandviç ekmeği, turşu, mayonez </t>
  </si>
  <si>
    <t>Panini Gusto Sandviç</t>
  </si>
  <si>
    <t xml:space="preserve">Özel panini ekmeği, mayonez, marine edilmiş çıtır çıtır fileto eti, rende kaşar ve salatalık turşusu </t>
  </si>
  <si>
    <t>Chicken Cheese Deluxe Sandviç</t>
  </si>
  <si>
    <t xml:space="preserve">Salata, domates, mayonez ile </t>
  </si>
  <si>
    <t xml:space="preserve">Salata, mayonez ile </t>
  </si>
  <si>
    <t>Çocuk Tavukburger®</t>
  </si>
  <si>
    <t xml:space="preserve">Ketçap ile </t>
  </si>
  <si>
    <t>Maxi Dürüm</t>
  </si>
  <si>
    <t xml:space="preserve">(Dürüm) Salata, domates, mayonez ile </t>
  </si>
  <si>
    <t>Double Popchicken</t>
  </si>
  <si>
    <t xml:space="preserve">Popchicken filetosu, çörekotlu 4,25’’ ekmek, mayonez ve salata </t>
  </si>
  <si>
    <t>Popchicken</t>
  </si>
  <si>
    <t xml:space="preserve">Popchicken filetosu, çörekotlu 4,25’’ ekmek, mayonez, domates ve salata </t>
  </si>
  <si>
    <t>Nuggets Salata Menü</t>
  </si>
  <si>
    <t xml:space="preserve">Nuggets Salata + Normal Seçim + Kutu İçecek + 2 Adet Salata Sosu </t>
  </si>
  <si>
    <t>Nuggets Salata</t>
  </si>
  <si>
    <t xml:space="preserve">Nuggets, domates, mısır, havuç, göbek salata, kaşar peyniri </t>
  </si>
  <si>
    <t>Normal Dilim Patates Kızartması (Mega Boy)</t>
  </si>
  <si>
    <t>Normal Dilim Patates Kızartması (Büyük Boy)</t>
  </si>
  <si>
    <t>Normal Dilim Patates Kızartması (Orta Boy)</t>
  </si>
  <si>
    <t>Normal Dilim Patates Kızartması (Küçük Boy)</t>
  </si>
  <si>
    <t>Cage Fries Patates Kızartması (Mega Boy)</t>
  </si>
  <si>
    <t>Cage Fries Patates Kızartması (Büyük Boy)</t>
  </si>
  <si>
    <t>Cage Fries Patates Kızartması (Orta Boy)</t>
  </si>
  <si>
    <t>Cage Fries Patates Kızartması (Küçük Boy)</t>
  </si>
  <si>
    <t>Kova Boy Cage Fries Patates Kızartması</t>
  </si>
  <si>
    <t>Kova Boy Normal Dilim Patates Kızartması</t>
  </si>
  <si>
    <t>Gravy Soslu Patates Püresi (Orta Boy)</t>
  </si>
  <si>
    <t>Gravy Soslu Patates Püresi (Büyük Boy)</t>
  </si>
  <si>
    <t>Coleslaw (Orta Boy)</t>
  </si>
  <si>
    <t>Coleslaw (Büyük Boy)</t>
  </si>
  <si>
    <t>Mısır (Orta Boy)</t>
  </si>
  <si>
    <t>Mısır (Büyük Boy)</t>
  </si>
  <si>
    <t>Gravy Sos (Orta Boy)</t>
  </si>
  <si>
    <t>Gravy Sos (Büyük Boy)</t>
  </si>
  <si>
    <t>Biscuit (6 Adet)</t>
  </si>
  <si>
    <t>Biscuit (12 Adet)</t>
  </si>
  <si>
    <t>Soğan Halkası (16 Adet)</t>
  </si>
  <si>
    <t>7,95 TL</t>
  </si>
  <si>
    <t>Küçük Ayran (200 ml.)</t>
  </si>
  <si>
    <t>Büyük Ayran (300 ml.)</t>
  </si>
  <si>
    <t>Sade Soda</t>
  </si>
  <si>
    <t xml:space="preserve">(20 cl.) </t>
  </si>
  <si>
    <t>Creole</t>
  </si>
  <si>
    <t>Chipotle Sos</t>
  </si>
  <si>
    <t>Acılı Barbekü Sos</t>
  </si>
  <si>
    <t>Blackened Ranch Sos</t>
  </si>
  <si>
    <t xml:space="preserve">Tam Parça Pizza + Patatas Kızartması + 2 Adet Chicken Fingers + 4 Adet Chicken Nuggets + 4 Adet Soğan Halkası + Kutu İçecek </t>
  </si>
  <si>
    <t>Double Burger Menü</t>
  </si>
  <si>
    <t xml:space="preserve">Double Burger (Marul, domates, turşu) + Patates Kızartması + Kutu İçecek </t>
  </si>
  <si>
    <t>2 Orta Boy Pizza Menü</t>
  </si>
  <si>
    <t xml:space="preserve">Seçeceğiniz 2 Adet Pizza (Orta) </t>
  </si>
  <si>
    <t xml:space="preserve">Hamburger (Marul, domates, turşu) + Patates Kızartması + Kutu İçecek </t>
  </si>
  <si>
    <t>Büyük Pizza Menü</t>
  </si>
  <si>
    <t xml:space="preserve">Seçeceğiniz Pizza (Büyük) + Patates Kızartması + İçecek (1 L.) </t>
  </si>
  <si>
    <t>2 Small Pizza Menü</t>
  </si>
  <si>
    <t xml:space="preserve">Seçeceğiniz 2 Adet Pizza (Küçük) + Patates Kızartması + İçecek (1 L.) </t>
  </si>
  <si>
    <t xml:space="preserve">Seçeceğiniz Pizza (Küçük) + Patates Kızartması + Kutu İçecek </t>
  </si>
  <si>
    <t xml:space="preserve">Seçeceğiniz Pizza (Orta) + Patates Kızartması + Kutu İçecek </t>
  </si>
  <si>
    <t>Jumbo Pizza Menü</t>
  </si>
  <si>
    <t xml:space="preserve">Seçeceğiniz Pizza (Jumbo) + Chicken Nuggets (3 Adet) + Soğan Halkası (3 Adet) + Patates Kızartması + İçecek (1 L.) </t>
  </si>
  <si>
    <t xml:space="preserve">Double Chicken Burger (Marul, domates, turşu) + Patates Kızartması + Kutu İçecek </t>
  </si>
  <si>
    <t>Tam Parçalı Özel Menü</t>
  </si>
  <si>
    <t xml:space="preserve">Tam Parça Pizza + Chicken Fingers (4 Adet) + Patatas Kızartması + Kutu İçecek </t>
  </si>
  <si>
    <t xml:space="preserve">Double Cheeseburger (Marul, double cheddar peyniri, domates, turşu) + Patates Kızartması + Kutu İçecek </t>
  </si>
  <si>
    <t xml:space="preserve">Chicken Hamburger (Marul, domates, turşu) + Patates Kızartması + Kutu İçecek </t>
  </si>
  <si>
    <t xml:space="preserve">Tam Parça Pizza + Soğan Halkası (5 Adet) + Patatas Kızartması + Kutu İçecek </t>
  </si>
  <si>
    <t xml:space="preserve">Cheeseburger (Marul, domates, turşu) + Patates Kızartması + Kutu İçecek </t>
  </si>
  <si>
    <t xml:space="preserve">Soslu Tavuk Kanat (2 Adet) + Chicken Nuggets (3 Adet) + Chicken Fleto (2 Adet) + Soğan Halkası (3 Adet) + Kutu İçecek </t>
  </si>
  <si>
    <t xml:space="preserve">Tam Parça Pizza + Chicken Nuggets (5 Adet) + Patatas Kızartması + Kutu İçecek </t>
  </si>
  <si>
    <t xml:space="preserve">Pizza sosu, mozzarella peyniri, küp tavuk salam, küp biber, küp domates, küp mantar </t>
  </si>
  <si>
    <t>Tuna Pizza (Küçük)</t>
  </si>
  <si>
    <t xml:space="preserve">Pizza sosu, mozzarella peyniri, ton balığı, yeşilbiber, mısır, mantar </t>
  </si>
  <si>
    <t>Margherita (Küçük)</t>
  </si>
  <si>
    <t xml:space="preserve">Pizza sosu, mozzarella peyniri, pastırma, jalapeno biberi </t>
  </si>
  <si>
    <t xml:space="preserve">Pizza sosu, mozzarella peyniri, sucuk, salam, sosis, domates, mantar </t>
  </si>
  <si>
    <t>Ekstra Ekstra Pizza (Küçük)</t>
  </si>
  <si>
    <t xml:space="preserve">Pizza sosu, mozzarella peyniri, sucuk, salam, sosis, mısır, zeytin, domates, mantar </t>
  </si>
  <si>
    <t xml:space="preserve">Pizza sosu, mozzarella peyniri, sucuk, salam, sosis, yeşilbiber, mantar </t>
  </si>
  <si>
    <t>Royal Pizza (Küçük)</t>
  </si>
  <si>
    <t xml:space="preserve">Pizza sosu, mozzarella peyniri, tavuk salam, siyah zeytin, küp domates, beyaz peynir, kekik </t>
  </si>
  <si>
    <t>Meksika Pizza (Küçük)</t>
  </si>
  <si>
    <t xml:space="preserve">Barbekü sos, mozzarella peyniri, sucuk, jalapeno biberi, mantar </t>
  </si>
  <si>
    <t xml:space="preserve">Pizza sosu, mozzarella peyniri, sucuk, yeşilbiber, zeytin, mantar, mısır </t>
  </si>
  <si>
    <t>Veggie Pizza (Küçük)</t>
  </si>
  <si>
    <t xml:space="preserve">Pizza sosu, mozzarella peyniri, domates, yeşilbiber, mısır, mantar </t>
  </si>
  <si>
    <t xml:space="preserve">Pizza sosu, mozzarella peyniri, kavurma, yeşilbiber, domates, mantar </t>
  </si>
  <si>
    <t xml:space="preserve">Pizza sosu, mozzarella peyniri, tavuk parçaları, yeşilbiber, mısır, mantar, zeytin </t>
  </si>
  <si>
    <t>Mezeluna Pizza (Küçük)</t>
  </si>
  <si>
    <t xml:space="preserve">Pizza sosu, ekstra mozzarella peyniri, salam, sosis, mantar </t>
  </si>
  <si>
    <t>Tuna Pizza (Orta)</t>
  </si>
  <si>
    <t>Margherita (Orta)</t>
  </si>
  <si>
    <t>Mezeluna Pizza (Orta)</t>
  </si>
  <si>
    <t>Veggie Pizza (Orta)</t>
  </si>
  <si>
    <t>Ekstra Ekstra Pizza (Orta)</t>
  </si>
  <si>
    <t xml:space="preserve">Pizza sosu, mozzarella peyniri, siyah zeytin, küp domates, beyaz peynir, kekik </t>
  </si>
  <si>
    <t>Royal Pizza (Orta)</t>
  </si>
  <si>
    <t>Meksika Pizza (Orta)</t>
  </si>
  <si>
    <t>Veggie Pizza (Büyük)</t>
  </si>
  <si>
    <t>Tuna Pizza (Büyük)</t>
  </si>
  <si>
    <t>Margherita (Büyük)</t>
  </si>
  <si>
    <t>Ekstra Ekstra Pizza (Büyük)</t>
  </si>
  <si>
    <t>Mezeluna Pizza (Büyük)</t>
  </si>
  <si>
    <t>Royal Pizza (Büyük)</t>
  </si>
  <si>
    <t>Meksika Pizza (Büyük)</t>
  </si>
  <si>
    <t xml:space="preserve">Mozzarella peyniri, sucuk, jalapeno biberi, mantar </t>
  </si>
  <si>
    <t>Tuna Pizza (Jumbo)</t>
  </si>
  <si>
    <t>Margherita (Jumbo)</t>
  </si>
  <si>
    <t>Royal Pizza (Jumbo)</t>
  </si>
  <si>
    <t>Mezeluna Pizza (Jumbo)</t>
  </si>
  <si>
    <t>Meksika Pizza (Jumbo)</t>
  </si>
  <si>
    <t>Ekstra Ekstra Pizza (Jumbo)</t>
  </si>
  <si>
    <t>Çıtır Soğan</t>
  </si>
  <si>
    <t>Chicken Nuggets</t>
  </si>
  <si>
    <t>Chicken Fingers</t>
  </si>
  <si>
    <t>Royal Soslu Kanat</t>
  </si>
  <si>
    <t>Saka Bardak Su (20 cl.) (180 Adet )</t>
  </si>
  <si>
    <t>Saka Pet Su (1.5 L.) (12 Adet)</t>
  </si>
  <si>
    <t>Saka Damacana Su &amp; 24'lü Soda (20 cl.)</t>
  </si>
  <si>
    <t>Saka Su (33 cl.) (12 Adet)</t>
  </si>
  <si>
    <t>Saka Damacana Su Pompası</t>
  </si>
  <si>
    <t>Saka Su (1,5 L.) (24 Adet)</t>
  </si>
  <si>
    <t>Saka Su (5 L.) (8 Adet)</t>
  </si>
  <si>
    <t>Saka Damacana Su (19 L.) (Depozitolu)</t>
  </si>
  <si>
    <t xml:space="preserve">Depozito bedeli 30 TL olup ücrete dahildir. Farklı marka damacana değişimi ücretsizdir. </t>
  </si>
  <si>
    <t>Saka Damacana Su (19 L.) (Depozitosuz)</t>
  </si>
  <si>
    <t xml:space="preserve">Depozito bedeli ücrete dahil değildir. Depozito bedeli 30 TL'dir. Farklı marka damacana değişimi ücretsizdir. </t>
  </si>
  <si>
    <t>Saka Su (50 cl.) (72 Adet)</t>
  </si>
  <si>
    <t>Saka Su (1,5 L.) (36 Adet)</t>
  </si>
  <si>
    <t>Saka Su (5 L.) (12 Adet)</t>
  </si>
  <si>
    <t>Saka Bardak Su (20 cl.) (60 Adet)</t>
  </si>
  <si>
    <t>Saka Soda (20 cl.) (24 Adet)</t>
  </si>
  <si>
    <t>Saka Limonlu Soda (20 cl.) (24 Adet)</t>
  </si>
  <si>
    <t>Saka Limonlu Soda (20 cl.) (48 Adet)</t>
  </si>
  <si>
    <t>Saka Limonlu Soda (20 cl.) (6 Adet)</t>
  </si>
  <si>
    <t>Saka Elmalı Soda (20 cl.) (6 Adet)</t>
  </si>
  <si>
    <t>Saka Elmalı Soda (20 cl.) (24 Adet)</t>
  </si>
  <si>
    <t>Saka Soda (20 cl.) (6 Adet)</t>
  </si>
  <si>
    <t xml:space="preserve">Roka salatası, limon, 2 adet ekmek ile </t>
  </si>
  <si>
    <t>Seçilmiş Menü (Adana Dürüm (100 gr.)) - Şu anda mevcut değil.</t>
  </si>
  <si>
    <t xml:space="preserve">Adana Dürüm (100 gr.) + Coca-Cola (33 cl.) </t>
  </si>
  <si>
    <t>Vodafone Menüsü (Izgara Alabalık) - Şu anda mevcut değil.</t>
  </si>
  <si>
    <t xml:space="preserve">Izgara Alabalık + Kutu İçecek (Kampanya koşulları için restoranın Promosyonlar bölümüne göz atınız. İndirimli fiyat ürün sepete eklendikten sonra uygulanır.) </t>
  </si>
  <si>
    <t>Izgara Alabalık - Şu anda mevcut değil.</t>
  </si>
  <si>
    <t xml:space="preserve">Roka salatası, limon, lavaş ile </t>
  </si>
  <si>
    <t>Izgara Çipura (300 - 400 gr.) - Şu anda mevcut değil.</t>
  </si>
  <si>
    <t xml:space="preserve">Roka salatası, limon, lavaş, çupra sos ile </t>
  </si>
  <si>
    <t>Izgara Levrek (300 - 400 gr.) - Şu anda mevcut değil.</t>
  </si>
  <si>
    <t xml:space="preserve">Roka salatası, limon, lavaş, levrek sos ile </t>
  </si>
  <si>
    <t>Izgara Kaya Levreği - Şu anda mevcut değil.</t>
  </si>
  <si>
    <t>Balık Ekmek - Şu anda mevcut değil.</t>
  </si>
  <si>
    <t xml:space="preserve">Günün balığı. İsteğe göre soğan </t>
  </si>
  <si>
    <t>Şalgam Suyu (25 cl.) (Cam Şişe)</t>
  </si>
  <si>
    <t>Izgara Sarıkanat (500 gr.)</t>
  </si>
  <si>
    <t>Izgara Sarıkanat (1 kg.)</t>
  </si>
  <si>
    <t>Hamsi Tava (500 gr.) - Şu anda mevcut değil.</t>
  </si>
  <si>
    <t>Mezgit Tava (1 kg.) (Pişirilmiş)</t>
  </si>
  <si>
    <t>İstavrit Tava (500 gr.) - Şu anda mevcut değil.</t>
  </si>
  <si>
    <t>Mezgit Tava (500 gr.)</t>
  </si>
  <si>
    <t>Sarıkanat Tava (500 gr.)</t>
  </si>
  <si>
    <t>Sarıkanat Tava (1 kg.)</t>
  </si>
  <si>
    <t>Tavuk Kanat (500 gr.) - Şu anda mevcut değil.</t>
  </si>
  <si>
    <t xml:space="preserve">Mevsim salata, ekmek, soğan söğüş ile </t>
  </si>
  <si>
    <t>Tavuk Pirzola (500 gr.) - Şu anda mevcut değil.</t>
  </si>
  <si>
    <t>Adana Kebap (1 kg.) - Şu anda mevcut değil.</t>
  </si>
  <si>
    <t xml:space="preserve">3 Adet Lahmacun (Maydanoz, nane, limon ile) + Kutu İçecek </t>
  </si>
  <si>
    <t xml:space="preserve">Mevsim salata, limon ile </t>
  </si>
  <si>
    <t xml:space="preserve">Kuşbaşı, kıyma, kaşar peyniri. Mevsim salata, limon ile </t>
  </si>
  <si>
    <t>24,25 TL</t>
  </si>
  <si>
    <t>Vodafone Menüsü (Etli Ekmek)</t>
  </si>
  <si>
    <t xml:space="preserve">Etli Ekmek + Açık Ayran (30 cl.) (Kampanya koşulları için restoranın Promosyonlar bölümüne göz atınız. İndirimli fiyat ürün sepete eklendikten sonra uygulanır) </t>
  </si>
  <si>
    <t>Karışık Pide Menü</t>
  </si>
  <si>
    <t xml:space="preserve">Karışık Pide + Salata + Kutu İçecek </t>
  </si>
  <si>
    <t>Etli Ekmek</t>
  </si>
  <si>
    <t xml:space="preserve">Közlenmiş biber, közlenmiş domates, pilav, mevsim salatası ile </t>
  </si>
  <si>
    <t xml:space="preserve">(Acısız) Közlenmiş biber, közlenmiş domates, pilav, mevsim salatası ile </t>
  </si>
  <si>
    <t xml:space="preserve">Közlenmiş biber, közlenmiş domates, mevsim salata ile </t>
  </si>
  <si>
    <t xml:space="preserve">Yarım kuşbaşı, yarım tavuk şiş, yarım Adana kebap, yarım tereyağlı Urfa kebap, 2 adet kanat, fındık lahmacun, közlenmiş domates, közlenmiş biber, pilav, mevsim salatası ile </t>
  </si>
  <si>
    <t xml:space="preserve">(Acısız) Közlenmiş biber, isteğe göre soğan </t>
  </si>
  <si>
    <t>Seçilmiş Menü (Köfte Dürüm)</t>
  </si>
  <si>
    <t xml:space="preserve">Köfte Dürüm + Coca-Cola (33 cl.) </t>
  </si>
  <si>
    <t>16,25 TL</t>
  </si>
  <si>
    <t xml:space="preserve">Tavuk Şiş Dürüm + Kutu İçecek (Kampanya koşulları için restoranın Promosyonlar bölümüne göz atınız. İndirimli fiyat ürün sepete eklendikten sonra uygulanır.) </t>
  </si>
  <si>
    <t xml:space="preserve">Ezme, salata, çiğ köfte, Arnavut biberi, közde biber, pişmiş soğan, pişmiş domates ile </t>
  </si>
  <si>
    <t>Sarma Bonfile</t>
  </si>
  <si>
    <t>Tereyağlı Biftek</t>
  </si>
  <si>
    <t xml:space="preserve">Adana kebap, kuşbaşı ciğer şiş, tavuk şiş. Ezme, salata, çiğ köfte, Arnavut biberi, közde biber, pişmiş soğan, pişmiş domates ile </t>
  </si>
  <si>
    <t xml:space="preserve">Biber, soğan, maydanoz </t>
  </si>
  <si>
    <t>Kıyma Şiş Dürüm</t>
  </si>
  <si>
    <t xml:space="preserve">Ezme, salata, cacık, çiğ köfte, Arnavut biberi ile </t>
  </si>
  <si>
    <t>Çöp Şiş (1 kg.)</t>
  </si>
  <si>
    <t xml:space="preserve">190 gr. ızgara köfte. Çoban salata, mevsim salata, soğan salatası, acı biber turşusu, sos, haydari ile </t>
  </si>
  <si>
    <t xml:space="preserve">90 gr. köfte, domates, soğan, marul </t>
  </si>
  <si>
    <t>Yarım Somun Emek Arası Izgara Köfte</t>
  </si>
  <si>
    <t xml:space="preserve">90 gr. ızgara köfte, domates, marul, isteğe göre soğan </t>
  </si>
  <si>
    <t>Izgara Biftek Et</t>
  </si>
  <si>
    <t xml:space="preserve">300 gr. ızgara biftek. Çoban salata, mevsim salata, soğan salatası, acı biber turşusu, sos, haydari ile </t>
  </si>
  <si>
    <t xml:space="preserve">Izgara köfte, Adana kebap, tavuk biftek, et biftek. Çoban salata, mevsim salata, soğan salatası, acı biber turşusu, sos, haydari ile </t>
  </si>
  <si>
    <t>Izgara Tavuk Biftek - Şu anda mevcut değil.</t>
  </si>
  <si>
    <t xml:space="preserve">200 gr. Izgara tavuk biftek. Çoban salata, mevsim salata, soğan salatası, acı biber turşusu, sos, haydari ile </t>
  </si>
  <si>
    <t xml:space="preserve">180 gr. Adana kebap. Çoban salata, mevsim salata, soğan salatası, acı biber turşusu, sos, haydari ile </t>
  </si>
  <si>
    <t>Yaprak Et Döner - Şu anda mevcut değil.</t>
  </si>
  <si>
    <t xml:space="preserve">130 gr. et döner, çoban salata, mevsim salatası, soğan salatası, biber, domates </t>
  </si>
  <si>
    <t>Yaprak Et Döner Dürüm - Şu anda mevcut değil.</t>
  </si>
  <si>
    <t xml:space="preserve">70 gr. yaprak et döner, domates, soğan, marul </t>
  </si>
  <si>
    <t xml:space="preserve">90 gr. Adana kebap, domates, soğan, marul </t>
  </si>
  <si>
    <t>Et Biftek Dürüm</t>
  </si>
  <si>
    <t xml:space="preserve">90 gr. et biftek, domates, soğan, marul </t>
  </si>
  <si>
    <t>Tavuk Biftek Dürüm</t>
  </si>
  <si>
    <t xml:space="preserve">100 gr. tavuk biftek, domates, soğan, marul </t>
  </si>
  <si>
    <t>Tam Somun Ekmek Arası Izgara Köfte</t>
  </si>
  <si>
    <t xml:space="preserve">120 gr. ızgara köfte, domates, soğan, marul </t>
  </si>
  <si>
    <t>Kebap Dürüm Ayran</t>
  </si>
  <si>
    <t xml:space="preserve">Kebap Dürüm (Domates, salatalık isteğe göre soğan, közlenmiş biber) + Ayran (20 cl.) </t>
  </si>
  <si>
    <t xml:space="preserve">Et Döner Dürüm (Domatesi, salatalık isteğe göre soğan, közlenmiş biber) + Ayran (20 cl.) </t>
  </si>
  <si>
    <t>Tavuk Şiş Dürüm Ayran</t>
  </si>
  <si>
    <t xml:space="preserve">Tavuk Şiş Dürüm (Domates, salatalık isteğe göre soğan, közlenmiş biber) + Ayran (20 cl.) </t>
  </si>
  <si>
    <t xml:space="preserve">Soslu, yoğurtlu. Salata ile </t>
  </si>
  <si>
    <t xml:space="preserve">Salata, ekmek, közlenmiş biber, közlenmiş domates ile </t>
  </si>
  <si>
    <t>Döner Dürüm</t>
  </si>
  <si>
    <t xml:space="preserve">Domates, salatalık, isteğe göre soğan, közlenmiş biber ile </t>
  </si>
  <si>
    <t>Kebap Dürüm</t>
  </si>
  <si>
    <t xml:space="preserve">Domates, salatalık isteğe göre soğan, közlenmiş biber ile </t>
  </si>
  <si>
    <t>Limonata (33 cl.)</t>
  </si>
  <si>
    <t>Lavaş Ekmeği (Adet)</t>
  </si>
  <si>
    <t>Kahvaltı Tabağı</t>
  </si>
  <si>
    <t xml:space="preserve">Zeytin, peynir, reçel, patates kızartması, sigara böreği, sosis, salam, közlenmiş biber, közlenmiş patlıcan, yumurta, ekmek </t>
  </si>
  <si>
    <t xml:space="preserve">Yeşillik, domates, soğan, patates kızartması </t>
  </si>
  <si>
    <t xml:space="preserve">Hamburger (90 gr. hamburger köftesi, göbek marul, domates, salatalık turşusu, ketçap, mayonez) + Patates Kızartması + Kutu İçecek </t>
  </si>
  <si>
    <t xml:space="preserve">2 yumurta ile </t>
  </si>
  <si>
    <t>Ayvalık Tostu</t>
  </si>
  <si>
    <t xml:space="preserve">Dana sucuk, dana salam, dana sosis, kaşar peynir, domates, kornişon turşu </t>
  </si>
  <si>
    <t>İzmir Kumrıu Sandviç</t>
  </si>
  <si>
    <t xml:space="preserve">Dana sosis, dana salam, kaşar peynir, göbek marul, domates, kornişon turşu </t>
  </si>
  <si>
    <t>Klasik Sandviç</t>
  </si>
  <si>
    <t xml:space="preserve">Dana salam, beyaz peynir veya kaşar peynir, domates, salatalık, göbek marul </t>
  </si>
  <si>
    <t>Patatesli Peynirli Gözleme</t>
  </si>
  <si>
    <t xml:space="preserve">Hamburger köftesi, cheddar peynir, göbek marul, kornişon turşu, domates </t>
  </si>
  <si>
    <t>Cordon Blue</t>
  </si>
  <si>
    <t xml:space="preserve">Patates kızartması, domates, salatalık, ekmek ile </t>
  </si>
  <si>
    <t>Köri Soslu Makarna</t>
  </si>
  <si>
    <t>Ordövr Tabağı</t>
  </si>
  <si>
    <t xml:space="preserve">Sigara böreği, soğan halkası, patates kızartması </t>
  </si>
  <si>
    <t xml:space="preserve">8 sıkım </t>
  </si>
  <si>
    <t xml:space="preserve">Sade dondurma ile </t>
  </si>
  <si>
    <t>Soykan Tavuk Dürüm</t>
  </si>
  <si>
    <t xml:space="preserve">Tavuk, kırmızıbiber, yeşilbiber, soğan, turşu, kaşar peyniri, fajita baharatı </t>
  </si>
  <si>
    <t>Köri Soslu &amp; Tavuklu &amp; Mantarlı Makarna</t>
  </si>
  <si>
    <t>Tavuklu &amp; Mantarlı &amp; Kremalı Makarna</t>
  </si>
  <si>
    <t xml:space="preserve">Marul, domates, soğan </t>
  </si>
  <si>
    <t xml:space="preserve">Günün Ana Yemeği + Pilav + Salata + Açık Ayran </t>
  </si>
  <si>
    <t xml:space="preserve">7 çeşit peynir, çilek reçeli, tereyağı, bal, 2 çeşit zeytin, domates, salatalık, yeşillik, salam, omlet, ekmek </t>
  </si>
  <si>
    <t>Sahanda Yumurta</t>
  </si>
  <si>
    <t>Sahanda Dana Sucuklu Yumurta</t>
  </si>
  <si>
    <t>Sahanda Kavurmalı Yumurta</t>
  </si>
  <si>
    <t>Domatesli Omlet</t>
  </si>
  <si>
    <t>Soğanlı Omlet</t>
  </si>
  <si>
    <t>Mantarlı Omlet</t>
  </si>
  <si>
    <t>Sucuklu Omlet</t>
  </si>
  <si>
    <t xml:space="preserve">Sucuk ve kaşar peyniri </t>
  </si>
  <si>
    <t>Kavurmalı Omlet</t>
  </si>
  <si>
    <t>Kıymalı Omlet</t>
  </si>
  <si>
    <t>Sade Yumurtalı Menemen</t>
  </si>
  <si>
    <t>Sucuklu Yumurtalı Menemen</t>
  </si>
  <si>
    <t>Kaşarlı Yumurtalı Menemen</t>
  </si>
  <si>
    <t>Karışık Yumurtalı Menemen</t>
  </si>
  <si>
    <t>Kıymalı Yumurtalı Menemen</t>
  </si>
  <si>
    <t>Kavurmalı Yumurtalı Menemen</t>
  </si>
  <si>
    <t>Dana Sucuklu Yumurtalı Menemen</t>
  </si>
  <si>
    <t>Sucuklu Kaşarlı Yumurtalı Menemen</t>
  </si>
  <si>
    <t>Sebzeli Karışık Tost</t>
  </si>
  <si>
    <t xml:space="preserve">Sucuk, kaşar peyniri, domates, biber, turşu, ketçap, mayonez </t>
  </si>
  <si>
    <t>Dana Sucuklu Tost</t>
  </si>
  <si>
    <t>Ağa Tostu</t>
  </si>
  <si>
    <t xml:space="preserve">Sucuk, kaşar peyniri, salatalık turşusu, domates, ketçap, mayonez </t>
  </si>
  <si>
    <t>Ayvalık Tostu - Şu anda mevcut değil.</t>
  </si>
  <si>
    <t xml:space="preserve">Sucuk, salam, kaşar peyniri, domates, patates kızartması, turşu, ketçap </t>
  </si>
  <si>
    <t>Patlıcan Yemeği - Şu anda mevcut değil.</t>
  </si>
  <si>
    <t>Kayseri Tava - Şu anda mevcut değil.</t>
  </si>
  <si>
    <t>İslim Kebabı - Şu anda mevcut değil.</t>
  </si>
  <si>
    <t>Sebzeli Köfte - Şu anda mevcut değil.</t>
  </si>
  <si>
    <t>Sebzeli Tava - Şu anda mevcut değil.</t>
  </si>
  <si>
    <t>Kekik Kebabı - Şu anda mevcut değil.</t>
  </si>
  <si>
    <t xml:space="preserve">Közlenmiş domates, közlenmiş biber, mevsim salata veya isteğe göre turşu </t>
  </si>
  <si>
    <t>Ciğer Şİş</t>
  </si>
  <si>
    <t>Beyti Sarma</t>
  </si>
  <si>
    <t xml:space="preserve">Tavuk kanat, tavuk şiş, Adana kebap, Urfa kebap, ciğer şiş, közlenmiş domates, közlenmiş biber, mevsim salata, pilav </t>
  </si>
  <si>
    <t>Kıyma Şiş Kebap Dürüm</t>
  </si>
  <si>
    <t>Tereyağlı Urfa Dürüm</t>
  </si>
  <si>
    <t>Somun Soykan Dürüm</t>
  </si>
  <si>
    <t xml:space="preserve">Somun ekmek arası tavuk, kırmızıbiber, yeşilbiber, soğan, turşu, kaşar peyniri, fajita baharatı </t>
  </si>
  <si>
    <t>Somun Soykan Dürüm (Yarım)</t>
  </si>
  <si>
    <t xml:space="preserve">Yarım somun ekmek arası tavuk, kırmızıbiber, yeşilbiber, soğan, turşu, kaşar peyniri, fajita baharatı </t>
  </si>
  <si>
    <t>Köri Soslu Kremalı Makarna</t>
  </si>
  <si>
    <t>Domatesli Makarna</t>
  </si>
  <si>
    <t>Kremalı Tavuklu Makarna</t>
  </si>
  <si>
    <t>Salçalı &amp; Kıymalı Makarna</t>
  </si>
  <si>
    <t>Domatesli &amp; Kıymalı Makarna</t>
  </si>
  <si>
    <t>Köri Soslu &amp; Mantarlı Makarna</t>
  </si>
  <si>
    <t>Kremalı &amp; Mantarlı Makarna</t>
  </si>
  <si>
    <t>Sebzeli Makarna</t>
  </si>
  <si>
    <t>Kavurmalı Makarna</t>
  </si>
  <si>
    <t>Cevizli Çiğ Köfte Dürüm</t>
  </si>
  <si>
    <t xml:space="preserve">Marul, domates, salatalık </t>
  </si>
  <si>
    <t>Cevizli Çiğ Köfte (Tam)</t>
  </si>
  <si>
    <t xml:space="preserve">12 sıkım cevizli çiğ köfte, marul, domates, salatalık, limon </t>
  </si>
  <si>
    <t>Cevizli Çiğ Köfte (Yarım)</t>
  </si>
  <si>
    <t xml:space="preserve">6 sıkım cevizli çiğ köfte, marul, domates, salatalık, limon </t>
  </si>
  <si>
    <t>Patates Kızartması - Şu anda mevcut değil.</t>
  </si>
  <si>
    <t>Çoban Salatası</t>
  </si>
  <si>
    <t>Orman Meyveli Pasta (Dilim)</t>
  </si>
  <si>
    <t>Dağ Meyveli Pasta (Dilim)</t>
  </si>
  <si>
    <t>Meyve Salatası</t>
  </si>
  <si>
    <t xml:space="preserve">Mevsim meyveleri ile </t>
  </si>
  <si>
    <t>Mono Mozaik Pasta</t>
  </si>
  <si>
    <t>Sade Dondurma</t>
  </si>
  <si>
    <t>Tatlı Dondurma</t>
  </si>
  <si>
    <t>Fıstık Dalgası</t>
  </si>
  <si>
    <t>Mayhoş (50 cl.)</t>
  </si>
  <si>
    <t xml:space="preserve">Elma, nar, erik, portakal </t>
  </si>
  <si>
    <t>Taze Sıkma Ananas &amp; Elma &amp; Kivi &amp; Muz &amp; Çilek Suyu (50 cl.)</t>
  </si>
  <si>
    <t>Taze Sıkma Şeftali Suyu (50 cl.)</t>
  </si>
  <si>
    <t>Taze Sıkma Çilek &amp; Elma &amp; Portakal Suyu (50 cl.)</t>
  </si>
  <si>
    <t>Taze Sıkma Nar &amp; Portakal &amp; Muz &amp; Elma &amp; Armut Suyu (50 cl.)</t>
  </si>
  <si>
    <t>Tatlı Meyve Suyu (50 cl.)</t>
  </si>
  <si>
    <t xml:space="preserve">Muz, armut, elma, ayva, ananas, kivi </t>
  </si>
  <si>
    <t>Taze Sıkma Kivi &amp; Elma &amp; Zencefil &amp; Limon &amp; Bal &amp; Portakal Suyu (50 cl.)</t>
  </si>
  <si>
    <t>Taze Sıkma Üzüm &amp; Çilek &amp; Kivi Suyu (50 cl.)</t>
  </si>
  <si>
    <t>Taze Sıkma Nar &amp; Portakal &amp; Havuç &amp; Elma Suyu (50 cl.)</t>
  </si>
  <si>
    <t>Taze Sıkma Nar &amp; Portakal &amp; Elma Suyu (50 cl.)</t>
  </si>
  <si>
    <t>Taze Sıkma Kivi Suyu (50 cl.)</t>
  </si>
  <si>
    <t>Taze Sıkma Üzüm &amp; Portakal &amp; Erik Suyu (50 cl.)</t>
  </si>
  <si>
    <t>Taze Sıkma Mandalina Suyu (50 cl.)</t>
  </si>
  <si>
    <t>Taze Sıkma Zencefil &amp; Elma &amp; Havuç &amp; Portakal Suyu (50 cl.)</t>
  </si>
  <si>
    <t>Taze Sıkma Zencefil &amp; Kivi &amp; Portakal &amp; Elma Suyu (50 cl.)</t>
  </si>
  <si>
    <t>Taze Sıkma Greyfurt &amp; Limon &amp; Kivi Suyu (50 cl.)</t>
  </si>
  <si>
    <t>Taze Sıkma Armut &amp; Portakal &amp; Muz Suyu (50 cl.)</t>
  </si>
  <si>
    <t>Taze Sıkma Karpuz &amp; Armut &amp; Portakal Suyu (50 cl.)</t>
  </si>
  <si>
    <t>Taze Sıkma Pepino Suyu (50 cl.)</t>
  </si>
  <si>
    <t>Taze Sıkma Pancar Suyu (50 cl.)</t>
  </si>
  <si>
    <t>Taze Sıkma Nar &amp; Portakal &amp; Ananas Suyu (50 cl.)</t>
  </si>
  <si>
    <t>Süt &amp; Bal &amp; Muz (50 cl.)</t>
  </si>
  <si>
    <t>Taze Sıkma Çilek &amp; Kavun &amp; Portakal Suyu (50 cl.)</t>
  </si>
  <si>
    <t>Taze Sıkma Greyfurt Suyu (50 cl.)</t>
  </si>
  <si>
    <t>Taze Sıkma Ananas Suyu (50 cl.)</t>
  </si>
  <si>
    <t>Taze Sıkma Havuç Suyu (50 cl.)</t>
  </si>
  <si>
    <t>Taze Sıkma Kavun Suyu (50 cl.)</t>
  </si>
  <si>
    <t>Taze Sıkma Şeftali &amp; Elma &amp; Portakal Suyu (50 cl.)</t>
  </si>
  <si>
    <t>Taze Sıkma Havuç &amp; Zencefil &amp; Portakal Suyu (50 cl.)</t>
  </si>
  <si>
    <t>Taze Sıkma Armut Suyu (50 cl.)</t>
  </si>
  <si>
    <t>Taze Sıkma Siyah Havuç Suyu (50 cl.)</t>
  </si>
  <si>
    <t>Taze Sıkma Portakal &amp; Havuç &amp; Elma Suyu (50 cl.)</t>
  </si>
  <si>
    <t>Atom (50 cl.)</t>
  </si>
  <si>
    <t xml:space="preserve">Muz, elma, havuç, bal, süt, fındık, fıstık, çikolata </t>
  </si>
  <si>
    <t>Taze Sıkma Limon &amp; Greyfurt Suyu (50 cl.)</t>
  </si>
  <si>
    <t>C Vitamini (50 cl.)</t>
  </si>
  <si>
    <t xml:space="preserve">Greyfurt, portakal, limon, nar </t>
  </si>
  <si>
    <t>Taze Sıkma Elma Suyu (50 cl.)</t>
  </si>
  <si>
    <t>Taze Sıkma Elma &amp; Siyah Havuç &amp; Portakal Suyu (50 cl.)</t>
  </si>
  <si>
    <t>Taze Sıkma Ananas &amp; Kivi &amp; Elma &amp; Muz &amp; Süt &amp; Bal &amp; Fındık &amp; Fıstık (50 cl.)</t>
  </si>
  <si>
    <t>Taze Sıkma Portakal Suyu (50 cl.)</t>
  </si>
  <si>
    <t>Taze Sıkma Üzüm Suyu (50 cl.)</t>
  </si>
  <si>
    <t>Taze Sıkma Karpuz Suyu (50 cl.)</t>
  </si>
  <si>
    <t>Zaza Special (50 cl.)</t>
  </si>
  <si>
    <t xml:space="preserve">Muz, ananas, armut, elma, süt, bal, fındık, fıstık </t>
  </si>
  <si>
    <t>Taze Sıkma Greyfurt &amp; Nar &amp; Havuç Suyu (50 cl.)</t>
  </si>
  <si>
    <t>Taze Sıkma Portakal &amp; Elma &amp; Ananas Suyu (50 cl.)</t>
  </si>
  <si>
    <t>Taze Sıkma Şeftali &amp; Kivi &amp; Üzüm Suyu (50 cl.)</t>
  </si>
  <si>
    <t>Taze Sıkma Greyfurt &amp; Nar &amp; Portakal Suyu (50 cl.)</t>
  </si>
  <si>
    <t>Taze Sıkma Ayva Suyu (50 cl.)</t>
  </si>
  <si>
    <t>Taze Sıkma Ananas &amp; Elma &amp; Kivi Suyu (50 cl.)</t>
  </si>
  <si>
    <t>Taze Sıkma Şeftali &amp; Üzüm &amp; Ananas Suyu (50 cl.)</t>
  </si>
  <si>
    <t>Taze Sıkma Ananas &amp; Kivi &amp; Portakal Suyu (50 cl.)</t>
  </si>
  <si>
    <t>Ekşi Meyve Suyu (50 cl.)</t>
  </si>
  <si>
    <t xml:space="preserve">Limon, portakal, nar, elma </t>
  </si>
  <si>
    <t>Taze Sıkma Çilek &amp; Ananas &amp; Elma &amp; Portakal Suyu (50 cl.)</t>
  </si>
  <si>
    <t>Taze Sıkma Ananas &amp; Havuç &amp; Portakal Suyu (50 cl.)</t>
  </si>
  <si>
    <t>Taze Sıkma Nar Suyu (50 cl.)</t>
  </si>
  <si>
    <t>C Vitamini &amp; Keçi Boynuzu Zencefil (50 cl.)</t>
  </si>
  <si>
    <t>Taze Sıkma Limon Suyu (50 cl.)</t>
  </si>
  <si>
    <t>Taze Sıkma Limon &amp; Greyfurt &amp; Portakal Suyu (50 cl.)</t>
  </si>
  <si>
    <t>Tatlı Meyve Suyu (1 L.)</t>
  </si>
  <si>
    <t>Taze Sıkma Portakal Suyu (1 L.)</t>
  </si>
  <si>
    <t>Taze Sıkma Nar Suyu (1 L.)</t>
  </si>
  <si>
    <t>C Vitamini (1 L.)</t>
  </si>
  <si>
    <t>Didi (50 cl.)</t>
  </si>
  <si>
    <t>Didi (25 cl.)</t>
  </si>
  <si>
    <t>Kayısı Kola (20 cl.)</t>
  </si>
  <si>
    <t>Acılı Açık Ayran (36 cl.)</t>
  </si>
  <si>
    <t>Açık Ayran (36 cl.)</t>
  </si>
  <si>
    <t>Fresher (25 cl.)</t>
  </si>
  <si>
    <t>Sade Soda (20 cl.)</t>
  </si>
  <si>
    <t>Soğuk Nescafe (25 cl.)</t>
  </si>
  <si>
    <t>Chocofreddo (36 cl.)</t>
  </si>
  <si>
    <t>Şeftali Frozen</t>
  </si>
  <si>
    <t>Karpuz Frozen</t>
  </si>
  <si>
    <t>Kivi Frozen</t>
  </si>
  <si>
    <t>Çilek Frozen</t>
  </si>
  <si>
    <t>Kırmızı Meyveli Milkshake</t>
  </si>
  <si>
    <t>Kavunlu Milkshake</t>
  </si>
  <si>
    <t>Mangolu Milkshake</t>
  </si>
  <si>
    <t>Narlı Milkshake</t>
  </si>
  <si>
    <t>Karamelli Milkshake</t>
  </si>
  <si>
    <t>Ananas &amp; Elma &amp; Kivi &amp; Muz &amp; Çilek Suyu (1 L.)</t>
  </si>
  <si>
    <t>Taze Sıkma Ananas &amp; Elma &amp; Kivi Suyu (1 L.)</t>
  </si>
  <si>
    <t>Taze Sıkma Ananas &amp; Havuç &amp; Portakal Suyu (1 L.)</t>
  </si>
  <si>
    <t>Ananas Kivi Elma Muz Süt Bal Fındık Fıstık (1 L.)</t>
  </si>
  <si>
    <t>Taze Sıkma Ananas &amp; Kivi &amp; Portakal Suyu (1 L.)</t>
  </si>
  <si>
    <t>Taze Sıkma Armut &amp; Portakal &amp; Muz Suyu (1 L.)</t>
  </si>
  <si>
    <t>Çilek &amp; Ananas &amp; Elma &amp; Portakal Suyu (1 L.)</t>
  </si>
  <si>
    <t>Çilek &amp; Kavun &amp; Portakal (1 L.)</t>
  </si>
  <si>
    <t>Çilek &amp; Elma &amp; Portakal Suyu (1 L.)</t>
  </si>
  <si>
    <t>Elma &amp; Siyah Havuç &amp; Portakal Suyu (1 L.)</t>
  </si>
  <si>
    <t>Greyfurt &amp; Limon &amp; Kivi Suyu (1 L.)</t>
  </si>
  <si>
    <t>Greyfurt &amp; Nar &amp; Havuç Suyu (1 L.)</t>
  </si>
  <si>
    <t>Greyfurt &amp; Nar &amp; Portakal (1 L.)</t>
  </si>
  <si>
    <t>Havuç &amp; Zencefil &amp; Portakal Suyu (1 L.)</t>
  </si>
  <si>
    <t>Karpuz &amp; Armut &amp; Portakal Suyu (1 L.</t>
  </si>
  <si>
    <t>Limon &amp; Greyfurt &amp; Portakal Suyu (1 L.)</t>
  </si>
  <si>
    <t>Nar &amp; Portakal &amp; Ananas Suyu (1 L.)</t>
  </si>
  <si>
    <t>Nar &amp; Portakal &amp; Elma Suyu (1 L.)</t>
  </si>
  <si>
    <t>Nar &amp; Portakal &amp; Havuç &amp; Elma Suyu (1 L.)</t>
  </si>
  <si>
    <t>Nar &amp; Portakal &amp; Muz &amp; Elma &amp; Armut Suyu (1 L.)</t>
  </si>
  <si>
    <t>Nescafe Express (25 cl.)</t>
  </si>
  <si>
    <t>2’li Çekirdek Kahve Kampanyası</t>
  </si>
  <si>
    <t xml:space="preserve">2 adet Çekirdek Kahve alana 20 TL indirim! </t>
  </si>
  <si>
    <t>139,80 TL</t>
  </si>
  <si>
    <t>Tall Boy 2’li Yeni Yıl İçecekleri Kampanyası</t>
  </si>
  <si>
    <t xml:space="preserve">2 gün boyunca Toffee Nut Latte, Gingerbread Latte ve Chocolatey Gingerbread Latte alana aynı boy 2. yeni yıl içeceğinin %40’ı indirimli! </t>
  </si>
  <si>
    <t>Grande Boy 2’li Yeni Yıl İçecekleri Kampanyası</t>
  </si>
  <si>
    <t>40,40 TL</t>
  </si>
  <si>
    <t>Venti Boy 2’li Yeni Yıl İçecekleri Kampanyası</t>
  </si>
  <si>
    <t>44,80 TL</t>
  </si>
  <si>
    <t>Mini Brownies &amp; Iced Caffè Latte</t>
  </si>
  <si>
    <t>34,25 TL</t>
  </si>
  <si>
    <t>Mini Cookies &amp; Iced Caffè Americano</t>
  </si>
  <si>
    <t>Caramel Waffle &amp; Blonde Latte</t>
  </si>
  <si>
    <t>31,75 TL</t>
  </si>
  <si>
    <t>Brownie Cheesecake &amp; Caffè Latte</t>
  </si>
  <si>
    <t>Kremalı Havuçlu Kek &amp; Caffè Americano</t>
  </si>
  <si>
    <t>Limonlu Cheesecake &amp; Caffè Latte</t>
  </si>
  <si>
    <t>Misto Cookie &amp; Caffè Latte</t>
  </si>
  <si>
    <t>Triple Chocolate Cookie &amp; Caffè Latte</t>
  </si>
  <si>
    <t>Starbucks® Christmas Blend</t>
  </si>
  <si>
    <t xml:space="preserve">Karmaşık bitkisel notalar ve fırınlanmış baharatlar ile hafif bir asidite. Yoğun kavrulmuş </t>
  </si>
  <si>
    <t>Starbucks® Christmas Blonde Espresso Roast</t>
  </si>
  <si>
    <t xml:space="preserve">Baharatlı fındık ve pişmiş meyve kompostosu ile karanfil portakal notaları. Hafif kavrulmuş. </t>
  </si>
  <si>
    <t>Starbucks Blonde Espresso Roast (250 gr.)</t>
  </si>
  <si>
    <t xml:space="preserve">Hafif tatlı lezzet ve turunçgil aromalarına sahiptir. Hafif kavrulmuş </t>
  </si>
  <si>
    <t>Veranda Blend (250 gr.)</t>
  </si>
  <si>
    <t xml:space="preserve">Yumuşak kakao ve hafif kavrulmuş fındık lezzetleri. Hafif kavrulmuş </t>
  </si>
  <si>
    <t>House Blend (250 gr.)</t>
  </si>
  <si>
    <t xml:space="preserve">Fındık ve kakao lezzetlerine sahiptir. Orta kavrulmuş </t>
  </si>
  <si>
    <t>Ethiopia (250 gr.)</t>
  </si>
  <si>
    <t xml:space="preserve">Turunçgil ve kakao aromalarına sahiptir. Orta kavrulmuş </t>
  </si>
  <si>
    <t>Pike Place® Roast (250 gr.)</t>
  </si>
  <si>
    <t xml:space="preserve">Hafif kakao ve kavrulmuş fındık aromalarına sahiptir. Orta kavrulmuş </t>
  </si>
  <si>
    <t>Sumatra (250 gr.)</t>
  </si>
  <si>
    <t xml:space="preserve">Toprak ve bitki aromalarına sahiptir. Yoğun kavrulmuş </t>
  </si>
  <si>
    <t>Guatemala Antigua (250 gr.)</t>
  </si>
  <si>
    <t xml:space="preserve">Limon, çikolata ve baharat lezzetlerine sahiptir. Orta kavrulmuş </t>
  </si>
  <si>
    <t>Kenya (250 gr.)</t>
  </si>
  <si>
    <t xml:space="preserve">Turunçgil aroması ve ekşi lezzetlere sahiptir. Orta kavrulmuş </t>
  </si>
  <si>
    <t>Colombia Nariño (250 gr.)</t>
  </si>
  <si>
    <t xml:space="preserve">Bitki aromaları ve ceviz lezzetine sahiptir. Orta kavrulmuş </t>
  </si>
  <si>
    <t>Caffé Verona™ (250 gr.)</t>
  </si>
  <si>
    <t xml:space="preserve">Yoğun kakao ve çikolata lezzetlerine sahiptir. Yoğun kavrulmuş </t>
  </si>
  <si>
    <t>Starbucks Espresso Roast (250 gr.)</t>
  </si>
  <si>
    <t xml:space="preserve">Karamelsi ve yoğun bir lezzete sahiptir. Yoğun kavrulmuş </t>
  </si>
  <si>
    <t>Starbucks Decaf Espresso Roast (250 gr.)</t>
  </si>
  <si>
    <t>Strawberry Açai Refresha®</t>
  </si>
  <si>
    <t xml:space="preserve">(Çilek ve Açai Meyve Özlü Refresha™) Meyve özleri ve çilek dilimlerinin yeşil çekirdek kahve özü ile buluşması (Bu ürün pipetsiz kapakla servis edilmektedir. İhtiyacın yoksa, yeşili koru!) </t>
  </si>
  <si>
    <t>19,75 TL</t>
  </si>
  <si>
    <t>Cool Lime Refresha®</t>
  </si>
  <si>
    <t xml:space="preserve">(Misket Limonu Özlü Refresha™) Meyve özleri ve lime diliminin yeşil çekirdek kahve özü ile buluşması (Bu ürün pipetsiz kapakla servis edilmektedir. İhtiyacın yoksa, yeşili koru!) </t>
  </si>
  <si>
    <t>Berry Hibiscus Refresha®</t>
  </si>
  <si>
    <t xml:space="preserve">(Kırmızı Meyve Özlü Refresha™) Meyve özleri, böğürtlen ve ahududu parçalarının yeşil çekirdek kahve özü ile buluşması (Bu ürün pipetsiz kapakla servis edilmektedir. İhtiyacın yoksa, yeşili koru!) </t>
  </si>
  <si>
    <t>Lemon Iced Tea</t>
  </si>
  <si>
    <t xml:space="preserve">(Turunçgil ve Limonata Aromalı Buzlu Yeşil Çay) Turunçgil aromalı şurup, yeşil çay, limonata özü ve buzun buluşması (Bu ürün pipetsiz kapakla servis edilmektedir. İhtiyacın yoksa, yeşili koru!) </t>
  </si>
  <si>
    <t>Toffee Nut Latte</t>
  </si>
  <si>
    <t xml:space="preserve">Espresso ve toffee nut şurubunun buharda ısıtılmış kadifemsi süt ile buluştuğu favori Yeni Yıl lezzeti geri döndü! </t>
  </si>
  <si>
    <t>Iced Toffee Nut Latte</t>
  </si>
  <si>
    <t xml:space="preserve">(Buzlu Toffee Nut Latte) Espresso ve toffee nut şurubunun süt ve buz ile buluştuğu, krema ve esmer şeker süslemesiyle sunulan favori Yeni Yıl lezzetinin buzlu hali! </t>
  </si>
  <si>
    <t>Gingerbread Latte</t>
  </si>
  <si>
    <t xml:space="preserve">Espresso ve gingerbread şurubunun buharda ısıtılmış kadifemsi süt ile buluştuğu ve çıtır gofret süslemesiyle sunulan Gingerbread lezzeti geri döndü! </t>
  </si>
  <si>
    <t>Iced Gingerbread Latte</t>
  </si>
  <si>
    <t xml:space="preserve">(Buzlu Gingerbread Latte) Espresso ve gingerbread şurubunun süt ve buz ile buluştuğu, zencefil aromalı krema ve çıtır gofret süslemesiyle sunulan Gingerbread lezzetinin buzlu hali! </t>
  </si>
  <si>
    <t>Chocolatey Gingerbread Latte</t>
  </si>
  <si>
    <t xml:space="preserve">Espresso, gingerbread şurubu ve mocha sosun (çikolata sos) buharda ısıtılmış kadifemsi süt ile buluştuğu ve mocha sos ile birlikte çıtır gofret süslemesiyle sunulan yeni dönem lezzeti! </t>
  </si>
  <si>
    <t>Pumpkin Spice Latte</t>
  </si>
  <si>
    <t xml:space="preserve">Espresso, buharla ısıtılmış süt ve bal kabağı sosuyla buluştu. Sonbaharın dönemsel içeceği Pumpkin Spice Latte geri döndü. (Soya veya badem sütü alternatifleri ile vegan olarak tercih edebilirsiniz.) </t>
  </si>
  <si>
    <t>Iced Pumpkin Spice Latte</t>
  </si>
  <si>
    <t xml:space="preserve">(Buzlu Pumpkin Spice Latte) Espresso, bal kabağı sosuyla, sütle ve buzla buluşuyor, krema ve baharatlarla süslenerek sunuluyor. (Soya veya badem sütü alternatifleri ile ve kremasız seçimi yaparak vegan olarak tercih edebilirsiniz.) </t>
  </si>
  <si>
    <t>Caffè Latte</t>
  </si>
  <si>
    <t xml:space="preserve">Zengin espresso, buharla ısıtılmış kadifemsi süt ve süt köpüğünün buluşması </t>
  </si>
  <si>
    <t>Iced Caffè Latte</t>
  </si>
  <si>
    <t xml:space="preserve">(Buzlu Caffè Latte) Zengin espresso, soğuk süt ve buzun soğuk kahve severlerle buluşması (Bu ürün pipetsiz kapakla servis edilmektedir. İhtiyacın yoksa, yeşili koru!) </t>
  </si>
  <si>
    <t>Vanilla Latte</t>
  </si>
  <si>
    <t xml:space="preserve">Zengin espresso, vanilya şurubu, buharla ısıtılmış kadifemsi süt ve süt köpüğünün buluşması </t>
  </si>
  <si>
    <t>Iced Vanilla Latte</t>
  </si>
  <si>
    <t xml:space="preserve">(Vanilya Aromalı Buzlu Latte) Zengin espresso, vanilya şurubu, soğuk süt ve buzun soğuk kahve severlerle buluşması (Bu ürün pipetsiz kapakla servis edilmektedir. İhtiyacın yoksa, yeşili koru!) </t>
  </si>
  <si>
    <t>Caramel Latte</t>
  </si>
  <si>
    <t xml:space="preserve">Zengin espresso, karamel şurubu, buharla ısıtılmış kadifemsi süt ve süt köpüğünün buluşması </t>
  </si>
  <si>
    <t>Iced Caramel Latte</t>
  </si>
  <si>
    <t xml:space="preserve">(Karamel Aromalı Buzlu Latte) Zengin espresso, karamel şurubu, soğuk süt ve buzun soğuk kahve severlerle buluşması (Bu ürün pipetsiz kapakla servis edilmektedir. İhtiyacın yoksa, yeşili koru!) </t>
  </si>
  <si>
    <t>Blonde Latte</t>
  </si>
  <si>
    <t xml:space="preserve">Hafif kavrulmuş (yumuşak içimli) Starbucks Blonde® espresso, buharla ısıtılmış kadifemsi süt ve süt köpüğünün dengeli buluşması </t>
  </si>
  <si>
    <t>19,25 TL</t>
  </si>
  <si>
    <t>Iced Blonde Latte</t>
  </si>
  <si>
    <t xml:space="preserve">(Buzlu Blonde Latte) Hafif kavrulmuş (yumuşak içimli) Starbucks Blonde® espresso, soğuk süt ve buzun soğuk kahve severlerle buluşması (Bu ürün pipetsiz kapakla servis edilmektedir. İhtiyacın yoksa, yeşili koru!) </t>
  </si>
  <si>
    <t xml:space="preserve">(Beyaz Çikolatalı Mocha) Espresso, beyaz çikolata sosu ve buharla ısıtılmış süt kahvesini tatlı sevenler için buluştu </t>
  </si>
  <si>
    <t>22,25 TL</t>
  </si>
  <si>
    <t>Iced White Chocolate Mocha</t>
  </si>
  <si>
    <t xml:space="preserve">(Beyaz Çikolatalı Buzlu Mocha) Espresso, beyaz çikolata sosu, soğuk süt ve buzun buluşması, krema ile tamamlanarak süslenir </t>
  </si>
  <si>
    <t>Caffè Mocha</t>
  </si>
  <si>
    <t xml:space="preserve">Espresso, mocha sos (çikolata sos) ve buharla ısıtılmış sütün birleşimi </t>
  </si>
  <si>
    <t>Iced Caffè Mocha</t>
  </si>
  <si>
    <t xml:space="preserve">(Buzlu Caffè Mocha) Espresso, mocha sos (çikolata sos), soğuk süt ve buz parçalarının buluşması, krema ile tamamlanarak sunulur </t>
  </si>
  <si>
    <t xml:space="preserve">(Karamelli Macchiato) Vanilya şurubu, buharla ısıtılmış kadifemsi süt, süt köpüğü ve espresso dokunuşu üzerine karamel sosla süslenerek sunulur </t>
  </si>
  <si>
    <t xml:space="preserve">(Buzlu Karamelli Macchiato) Vanilya şurubu, soğuk süt, buz, espresso ve üzerine karamel sosla sunulur </t>
  </si>
  <si>
    <t>Caffè Americano</t>
  </si>
  <si>
    <t xml:space="preserve">Sıcak su ile inceltilmiş yoğun espresso lezzeti </t>
  </si>
  <si>
    <t>Iced Caffè Americano</t>
  </si>
  <si>
    <t xml:space="preserve">(Buzlu Caffè Americano) Su ile inceltilmiş yoğun espressonun buzlu sunumu (Bu ürün pipetsiz kapakla servis edilmektedir. İhtiyacın yoksa, yeşili koru!) </t>
  </si>
  <si>
    <t>Classic Hot Chocolate</t>
  </si>
  <si>
    <t xml:space="preserve">(Klasik Sıcak Çikolata) Buharla ısıtılmış sütün mocha sosu ile buluşması </t>
  </si>
  <si>
    <t>Fresh Filter Coffee</t>
  </si>
  <si>
    <t xml:space="preserve">(Filtre Kahve) Demlenmiş, dengeli, yoğun filtre kahve </t>
  </si>
  <si>
    <t>Caffè Misto</t>
  </si>
  <si>
    <t xml:space="preserve">(Sütlü Filtre Kahve) Demlenmiş, dengeli, yoğun filtre kahve ve süt </t>
  </si>
  <si>
    <t xml:space="preserve">(Soğuk Demleme Kahve) İri çekilmiş kahve çekirdeklerinin 20 saat boyunca soğuk suda demlenmesiyle hazırlanmış soğuk kahve (Bu ürün pipetsiz kapakla servis edilmektedir. İhtiyacın yoksa, yeşili koru!) </t>
  </si>
  <si>
    <t>Cold Brew Latte</t>
  </si>
  <si>
    <t xml:space="preserve">(Soğuk Demleme Kahveli Latte) İri çekilmiş kahve çekirdeklerinin 20 saat boyunca soğuk suda demlenmesiyle hazırlanmış soğuk kahvenin sütle buluşması (Bu ürün pipetsiz kapakla servis edilmektedir. İhtiyacın yoksa, yeşili koru!) </t>
  </si>
  <si>
    <t>18,25 TL</t>
  </si>
  <si>
    <t xml:space="preserve">(Baharatlı Siyah Çay Özlü Latte) Baharatlar ve siyah çay karışımının su ile inceltilmesi ardından buharla ısıtılmış süt ile buluşması </t>
  </si>
  <si>
    <t>Iced Chai Tea Latte</t>
  </si>
  <si>
    <t xml:space="preserve">(Baharatlı Siyah Çay Özlü Buzlu Latte) Baharatlar ve siyah çay karışımının soğuk süt ve buz parçaları ile buluşması (Bu ürün pipetsiz kapakla servis edilmektedir. İhtiyacın yoksa, yeşili koru!) </t>
  </si>
  <si>
    <t>Tropical Mango Frozen Iced Tea</t>
  </si>
  <si>
    <t xml:space="preserve">Mango &amp; ananas püresi, siyah çay harmanı ve kar haline getirilmiş buz parçalarının buluşması </t>
  </si>
  <si>
    <t>Toffee Nut Frappuccino®</t>
  </si>
  <si>
    <t xml:space="preserve">Kahve, süt, toffee nut şurubu ve kar haline getirilmiş buz karışımı, krema ve esmer şeker süslemesiyle sunulur. </t>
  </si>
  <si>
    <t>23,75 TL</t>
  </si>
  <si>
    <t>Gingerbread Frappuccino®</t>
  </si>
  <si>
    <t xml:space="preserve">Kahve, süt, gingerbread şurubu ve kar haline getirilmiş buz karışımı, zencefil aromalı krema ve çıtır gofret süslemesiyle sunulur. </t>
  </si>
  <si>
    <t>Chocolatey Gingerbread Frappuccino®</t>
  </si>
  <si>
    <t xml:space="preserve">Kahve, süt, gingerbread şurubu, mocha sosu (çikolata sos) ve kar haline getirilmiş buz karışımı, zencefil aromalı krema, çıtır gofret ve mocha sos süslemesiyle sunulur. </t>
  </si>
  <si>
    <t>Pumpkin Spice Frappuccino®</t>
  </si>
  <si>
    <t xml:space="preserve">Bal kabağı ve sonbahar aromaları kahve, süt ve buzla harmanlanır, üzeri krema ve baharatlarla süslenerek sunulur. Sonbaharın dönemsel içeceği Frappuccino formunda. (Soya veya badem sütü alternatifleri ile ve kremasız seçimi yaparak vegan olarak tercih edebilirsiniz.) </t>
  </si>
  <si>
    <t>Caramel Frappuccino®</t>
  </si>
  <si>
    <t xml:space="preserve">(Karamelli Frappuccino®) Kahve, süt, karamel şurubu ve kar haline getirilmiş buz karışımı, krema ve karamel sos ile süslenerek hazırlanır. Daha fazla karamel sos ile yenilendi! </t>
  </si>
  <si>
    <t>White Chocolate Mocha Frappuccino®</t>
  </si>
  <si>
    <t xml:space="preserve">(Beyaz Çikolatalı Mocha Frappuccino®) Kahve, süt, beyaz çikolata sosu ve kar haline getirilmiş buz karışımı, krema ile sunulur </t>
  </si>
  <si>
    <t>23,25 TL</t>
  </si>
  <si>
    <t>Mocha Frappuccino®</t>
  </si>
  <si>
    <t xml:space="preserve">Kahve, süt, mocha sosu ve kar haline getirilmiş buz karışımı krema ile süslenir </t>
  </si>
  <si>
    <t>Java Chip Frappuccino®</t>
  </si>
  <si>
    <t xml:space="preserve">(Çikolata Parçacıklı Frappucino®) Kahve, süt, mocha sosu, Frappuccino® tanecikleri ve kar haline getirilmiş buz karışımı, krema ve çikolata sos ile süslenir </t>
  </si>
  <si>
    <t>Espresso Frappuccino®</t>
  </si>
  <si>
    <t xml:space="preserve">Kahve, espresso ve süt, kar haline getirilmiş buz ile buluşur </t>
  </si>
  <si>
    <t>Coffee Frappuccino®</t>
  </si>
  <si>
    <t xml:space="preserve">(Kahveli Frappuccino®) Kahve ve sütün kar haline getirilmiş buz ile buluşması. Krema süslemesi ile yenilendi! </t>
  </si>
  <si>
    <t>Pumpkin Spice Cream Frappuccino®</t>
  </si>
  <si>
    <t xml:space="preserve">Bal kabağı ve sonbahar aromaları süt ve buzla harmanlanır, üzeri krema ve baharatlarla süslenerek sunulur. (Soya veya badem sütü alternatifleri ile ve kremasız seçimi yaparak vegan olarak tercih edebilirsiniz.) </t>
  </si>
  <si>
    <t>Caramel Cream Frappuccino®</t>
  </si>
  <si>
    <t xml:space="preserve">(Krema Bazlı Karamel Frappuccino®) Süt, karamel şurubu ve kar haline getirilmiş buz, krema ve karamel sos ile süslenir. Daha fazla karamel ile yenilendi! </t>
  </si>
  <si>
    <t>Chocolate Cream Frappuccino®</t>
  </si>
  <si>
    <t xml:space="preserve">(Krema Bazlı Çikolatalı Frappuccino®) Süt, çikolata sosu ve kar haline getirilmiş buz karışımı, krema ve üzerine çikolata sosu ile süslenir </t>
  </si>
  <si>
    <t>Java Chip Chocolate Cream Frappuccino®</t>
  </si>
  <si>
    <t xml:space="preserve">(Krema Bazlı Çikolata Parçacıklı Frappucino®) Süt, çikolata sosu, Frappuccino® tanecikleri ve kar haline getirilmiş buz karışımı, krema ve çikolata sos ile süslenir </t>
  </si>
  <si>
    <t>Strawberries &amp; Cream Frappuccino®</t>
  </si>
  <si>
    <t xml:space="preserve">(Krema Bazlı Çilekli Frappuccino®) Süt, çilek sosu ve kar haline getirilmiş buz karışımı, krema ile tamamlanır </t>
  </si>
  <si>
    <t>Vanilla Cream Frappuccino®</t>
  </si>
  <si>
    <t xml:space="preserve">(Krema Bazlı Vanilya Frappuccino®) Süt, vanilya şurubu ve kar haline getirilmiş buz karışımı, krema ile süslenir </t>
  </si>
  <si>
    <t>White Chocolate Cream Frappuccino®</t>
  </si>
  <si>
    <t xml:space="preserve">(Krema Bazlı Beyaz Çikolatalı Frappuccino®) Süt, beyaz çikolata sosu, kar haline getirilmiş buz karışımı, krema ile tamamlanır </t>
  </si>
  <si>
    <t>Chai Cream Frappuccino®</t>
  </si>
  <si>
    <t xml:space="preserve">(Krema Bazlı Baharatlı Siyah Çay Karışımlı Frappuccino®) Süt, baharatlar ve siyah çay karışımı içeren chai tea konsantresi, kar haline getirilmiş buz karışımı, krema ile tamamlanır </t>
  </si>
  <si>
    <t>Peynirli Simit</t>
  </si>
  <si>
    <t xml:space="preserve">Zeytinli ve cevizli burgulu haşhaşlı simit içerisinde labne peyniri </t>
  </si>
  <si>
    <t>11,75 TL</t>
  </si>
  <si>
    <t xml:space="preserve">Ev yapımı tadında zeytin ezmeli açma </t>
  </si>
  <si>
    <t>9,25 TL</t>
  </si>
  <si>
    <t xml:space="preserve">Klasik çikolatalı kruvasan lezzeti </t>
  </si>
  <si>
    <t xml:space="preserve">Balkan soslu, peynirli çörek </t>
  </si>
  <si>
    <t>Patatesli &amp; Peynirli Açma</t>
  </si>
  <si>
    <t xml:space="preserve">Patates ve peynir ile hazırlanmış ev tipi açma </t>
  </si>
  <si>
    <t xml:space="preserve">İçerisinde kaşar peyniri bulunan klasik kruvasan lezzeti </t>
  </si>
  <si>
    <t>Fiesta</t>
  </si>
  <si>
    <t xml:space="preserve">Yulaf ezmesi ile süslenmiş ekmek içerisinde tavuk harcı, mantar ve kaşar peyniri ile hazırlanmış sandviç </t>
  </si>
  <si>
    <t>Mistik</t>
  </si>
  <si>
    <t xml:space="preserve">Bol peynirli ve kurutulmuş domatesli sandviç </t>
  </si>
  <si>
    <t>Hindi Füme Jambonlu</t>
  </si>
  <si>
    <t xml:space="preserve">Tahıllı ekmek içerisinde kaşar peyniri, cheddar, füme hindi ve dana jambonlu sandviç </t>
  </si>
  <si>
    <t>Haşhaşlı Üç Peynirli</t>
  </si>
  <si>
    <t xml:space="preserve">Haşhaşlı ekşi mayalı ekmek arasında beyaz peynir, cheddar ve kaşar peynirli sandviç </t>
  </si>
  <si>
    <t>Jambonlu Peynirli Tost</t>
  </si>
  <si>
    <t xml:space="preserve">Zeytinli tost ekmeği içerisinde dana jambonlu, kaşar peynirli ve eritme peynirli tost </t>
  </si>
  <si>
    <t>Reyhanlı Peynirli Tost</t>
  </si>
  <si>
    <t xml:space="preserve">Beyaz peynir, kaşar peyniri, sürülebilir peynir, reyhan ve domates sosuyla hazırlanan tost </t>
  </si>
  <si>
    <t>Jambonlu Füme Etli Açma Sandviç</t>
  </si>
  <si>
    <t xml:space="preserve">İçerisinde labne, kaşar peyniri, tulum peyniri, emmental peyniri, dana jambon ve füme etli tahıllı haşhaşlı açma sandviç </t>
  </si>
  <si>
    <t>Mozzarella Sandviç</t>
  </si>
  <si>
    <t xml:space="preserve">Ekşi mayalı, domatesli ve zeytinli ekmeğin içerisinde mozzarella peyniri, kuru domates ve zeytin ezmesi içeren sandviç </t>
  </si>
  <si>
    <t>16,75 TL</t>
  </si>
  <si>
    <t>Very Berry Muffin</t>
  </si>
  <si>
    <t xml:space="preserve">Yaban mersini, ahududu ve böğürtlenli muffin </t>
  </si>
  <si>
    <t>Belçika Çikolatalı Muffin</t>
  </si>
  <si>
    <t xml:space="preserve">Belçika çikolatasıyla hazırlanmış muffin </t>
  </si>
  <si>
    <t>Fındıklı Kakaolu Kurabiye</t>
  </si>
  <si>
    <t xml:space="preserve">Yumuşak yapılı, dolgulu kurabiye </t>
  </si>
  <si>
    <t>Misto Cookie</t>
  </si>
  <si>
    <t xml:space="preserve">Kavrulmuş fındık ve bitter çikolatalı cookie </t>
  </si>
  <si>
    <t>Triple Chocolate Cookie</t>
  </si>
  <si>
    <t xml:space="preserve">Bitter, sütlü ve beyaz çikolata parçalı tereyağlı cookie </t>
  </si>
  <si>
    <t>Dopdolu Fit Cookie</t>
  </si>
  <si>
    <t xml:space="preserve">Kuru meyveler ve hurma püresi ile hazırlanmış bademli yulaflı kurabiye </t>
  </si>
  <si>
    <t>Limonlu Kek</t>
  </si>
  <si>
    <t xml:space="preserve">Dilimlenmiş, içerisinde rende limon kabuğu bulunan, icing ile kaplanmış dilim kek </t>
  </si>
  <si>
    <t>Starbucks Brownie</t>
  </si>
  <si>
    <t xml:space="preserve">Tereyağlı ve bitter çikolatalı klasik brownie </t>
  </si>
  <si>
    <t>Mozaik Kek</t>
  </si>
  <si>
    <t xml:space="preserve">Kakao ve vanilyalı mozaik kek </t>
  </si>
  <si>
    <t xml:space="preserve">Bisküvi parçacıklı ve çikolatalı mozaik pasta </t>
  </si>
  <si>
    <t>Belçika Çikolatalı Pasta</t>
  </si>
  <si>
    <t xml:space="preserve">Belçika çikolatalı krema ve çikolata parçaları ile kaplı pasta </t>
  </si>
  <si>
    <t>Kremalı Havuçlu Kek</t>
  </si>
  <si>
    <t xml:space="preserve">Havuçlu kek katları arasında peynirli krema bulunan ve ceviz parçaları ile süslenmiş kek </t>
  </si>
  <si>
    <t>Kremalı Cheesecake</t>
  </si>
  <si>
    <t xml:space="preserve">Bisküvi tabanlı, üzeri koyu kahverengi, kremalı, yumuşak cheesecake </t>
  </si>
  <si>
    <t>Brownie Cheesecake</t>
  </si>
  <si>
    <t xml:space="preserve">Brownie tabanı ve özel çikolata sosu ile hazırlanmış cheesecake </t>
  </si>
  <si>
    <t xml:space="preserve">Çıtır bisküvi tabanıyla birleşen özel peynir dolgusu ve limon sosu ile süslenmiş cheesecake </t>
  </si>
  <si>
    <t>Ahududulu Cheesecake</t>
  </si>
  <si>
    <t xml:space="preserve">Tereyağlı bisküvi tabanı ve özel peynir dolgusu ile hazırlanmış, ahududu sos ile süslenmiş cheesecake </t>
  </si>
  <si>
    <t>Granola Bar</t>
  </si>
  <si>
    <t xml:space="preserve">Bademli, tahıllı granola bar </t>
  </si>
  <si>
    <t>Caramel Waffle</t>
  </si>
  <si>
    <t xml:space="preserve">Karamel waffle </t>
  </si>
  <si>
    <t>Wasa</t>
  </si>
  <si>
    <t xml:space="preserve">Krem peynirli wasa sandviç </t>
  </si>
  <si>
    <t>Starbucks Milk Chocolate</t>
  </si>
  <si>
    <t xml:space="preserve">Starbucks sütlü tablet çikolata </t>
  </si>
  <si>
    <t>9,75 TL</t>
  </si>
  <si>
    <t>Starbucks Dark Chocolate</t>
  </si>
  <si>
    <t xml:space="preserve">Starbucks bitter tablet çikolata </t>
  </si>
  <si>
    <t>Glutensiz Chia Tohumlu Grissini</t>
  </si>
  <si>
    <t xml:space="preserve">Kıtır ve hafif, yıldız şeklinde uzun grissini </t>
  </si>
  <si>
    <t>Mini Brownies</t>
  </si>
  <si>
    <t>Mini Cookies</t>
  </si>
  <si>
    <t>Glutensiz Bitter Çikolatalı Brownie</t>
  </si>
  <si>
    <t xml:space="preserve">Belçika çikolatalı glutensiz brownie </t>
  </si>
  <si>
    <t>Çikolatalı Glutensiz Kurabiye</t>
  </si>
  <si>
    <t>Fellas Hindistan Cevizi &amp; Kakao Protein Bar</t>
  </si>
  <si>
    <t>Karışık Kuruyemiş</t>
  </si>
  <si>
    <t xml:space="preserve">Kuru yaban mersini, ceviz, Antep fıstığı, çiğ badem, kuru üzüm bulunan karışık kuruyemiş </t>
  </si>
  <si>
    <t>Çiğ Badem</t>
  </si>
  <si>
    <t>Eti Wafe'up Gofret</t>
  </si>
  <si>
    <t xml:space="preserve">Kakao kremalı yer fıstığı parçacıklı gofret </t>
  </si>
  <si>
    <t>Akmina Mineralli Su (25 cl.)</t>
  </si>
  <si>
    <t>Sırma Su (50 cl.)</t>
  </si>
  <si>
    <t>4,75 TL</t>
  </si>
  <si>
    <t>San Pellegrino (25 cl.)</t>
  </si>
  <si>
    <t>Feel More Limonata (25 cl.)</t>
  </si>
  <si>
    <t>Feel More Karışık Meyve Suyu (25 cl.)</t>
  </si>
  <si>
    <t xml:space="preserve">Portakal, elma, nar, greyfurt, mandalina, siyah havuç suyu </t>
  </si>
  <si>
    <t>Feel More Nar Suyu (25 cl.)</t>
  </si>
  <si>
    <t>Feel More Üzüm Suyu (25 cl.)</t>
  </si>
  <si>
    <t>San Pellegrino Limonata</t>
  </si>
  <si>
    <t>San Pellegrino Aranciata</t>
  </si>
  <si>
    <t>Mint Blend</t>
  </si>
  <si>
    <t xml:space="preserve">(12'li kutu) Nane ve yeşil nane aromalı bitki çayı </t>
  </si>
  <si>
    <t>Midye Dolma (Adet)</t>
  </si>
  <si>
    <t>Yarım Ekmek Arası İzmir Kokoreç</t>
  </si>
  <si>
    <t>Yarım Ekmek Arası Sebzeli Kokoreç</t>
  </si>
  <si>
    <t xml:space="preserve">Domates, yeşillik </t>
  </si>
  <si>
    <t>Çeyrek Ekmek Arası İzmir Kokoreç</t>
  </si>
  <si>
    <t xml:space="preserve">Yarım Ekmek Arası Kokoreç + Patates Kızartması + Pepsi (20 cl.) </t>
  </si>
  <si>
    <t xml:space="preserve">Yarım Ekmek Arası Kokoreç + Midye Dolma (6 Adet) + Ayran (20 cl.) </t>
  </si>
  <si>
    <t>Sebzeli Kokoreç</t>
  </si>
  <si>
    <t xml:space="preserve">Domates, yeşillik ile </t>
  </si>
  <si>
    <t>Çeyrek Ekmek Arası Sebzeli Kokoreç</t>
  </si>
  <si>
    <t>İzmir Kokoreç</t>
  </si>
  <si>
    <t>Yarım Ekmek Arası Tavuk Şiş</t>
  </si>
  <si>
    <t>Çeyrek Ekmek Arası Tavuk Şiş</t>
  </si>
  <si>
    <t xml:space="preserve">Patates kızartması, yeşillik, domates ile </t>
  </si>
  <si>
    <t>Yarım Ekmek Arası Izgara Köfte</t>
  </si>
  <si>
    <t>Çeyrek Ekmek Arası Izgara Köfte</t>
  </si>
  <si>
    <t xml:space="preserve">Yeşillik, biber ile </t>
  </si>
  <si>
    <t>Yarım Ekmek Arası Izgara Sucuk</t>
  </si>
  <si>
    <t xml:space="preserve">Yeşillik, biber </t>
  </si>
  <si>
    <t>Çeyrek Ekmek Arası Izgara Sucuk</t>
  </si>
  <si>
    <t>Et Tantuni</t>
  </si>
  <si>
    <t xml:space="preserve">Yeşillik, soğan </t>
  </si>
  <si>
    <t>Yarım Ekmek Arası Midye Tava - Şu anda mevcut değil.</t>
  </si>
  <si>
    <t xml:space="preserve">Salata, közlenmiş biber, çiğ köfte ile </t>
  </si>
  <si>
    <t xml:space="preserve">Közlenmiş domates, közlenmiş biber ile </t>
  </si>
  <si>
    <t>Tavuk Şiş (Kemikli)</t>
  </si>
  <si>
    <t>Tavuk Şiş (Kemiksiz)</t>
  </si>
  <si>
    <t xml:space="preserve">Yarım tavuk pirzola, yarım tavuk şiş, yarım tavuk kanat. Közlenmiş domates, közlenmiş biber ile </t>
  </si>
  <si>
    <t>Izgara Et Pirzola</t>
  </si>
  <si>
    <t>Kiremitte Kavurma</t>
  </si>
  <si>
    <t xml:space="preserve">Yarım Adana kebap, yarım kuşbaşı, yarım tavuk, 1 adet fındık lahmacun. Közlenmiş domates, közlenmiş biber ile </t>
  </si>
  <si>
    <t>Zırh Kebap</t>
  </si>
  <si>
    <t xml:space="preserve">Kuşbaşı, kaşar peyniri, domates, biber </t>
  </si>
  <si>
    <t>Adana Kebap (175 gr.)</t>
  </si>
  <si>
    <t xml:space="preserve">Yoğurtlu çorba, çoban salata, sıcak salata, Arnavut biberi ile </t>
  </si>
  <si>
    <t>Tavuk Şiş (200 gr.)</t>
  </si>
  <si>
    <t>Adana Kebap (1,5)</t>
  </si>
  <si>
    <t xml:space="preserve">Çoban salata, yoğurtlu çorba, sıcak salata, Arnavut biberi ile </t>
  </si>
  <si>
    <t>Adıyaman Çiğ Köfte (Yarım Porsiyon)</t>
  </si>
  <si>
    <t xml:space="preserve">Marul, limon, domates, lavaş ekmek ile </t>
  </si>
  <si>
    <t>Ciğer Şiş (200 gr.)</t>
  </si>
  <si>
    <t>Tavuk Kanat (500 gr.)</t>
  </si>
  <si>
    <t>Urfa Kebap (175 gr.)</t>
  </si>
  <si>
    <t>Kuşbaşı İç Bonfile (180 gr.)</t>
  </si>
  <si>
    <t>Tavuk Şiş (1,5)</t>
  </si>
  <si>
    <t>Tavuk Kanat (1,5)</t>
  </si>
  <si>
    <t>Ciğer Şiş (1,5)</t>
  </si>
  <si>
    <t>Kuşbaşı (İç Bonfile) (1,5)</t>
  </si>
  <si>
    <t>Adana Dürüm (87 gr.)</t>
  </si>
  <si>
    <t xml:space="preserve">Çoban salata, Arnavut biberi ile </t>
  </si>
  <si>
    <t>Urfa Dürüm (87 gr.)</t>
  </si>
  <si>
    <t>Ciğer Şiş Dürüm (100 gr.)</t>
  </si>
  <si>
    <t>Adana Dürüm (175 gr.)</t>
  </si>
  <si>
    <t xml:space="preserve">Yoğurtlu çorba, çoban salata, Arnavut biberi ile </t>
  </si>
  <si>
    <t>Ciğer Şiş Dürüm (200 gr.)</t>
  </si>
  <si>
    <t>Tavuk Şiş Dürüm (200 gr.)</t>
  </si>
  <si>
    <t>Adıyaman Çiğ Köfte</t>
  </si>
  <si>
    <t>Coca Cola (33 cl.)</t>
  </si>
  <si>
    <t>Fanta (33 cl)</t>
  </si>
  <si>
    <t>Ev Yapımı Acılı Şalgam</t>
  </si>
  <si>
    <t>Seçilmiş Menü (Karışık Pizza (Orta Boy))</t>
  </si>
  <si>
    <t xml:space="preserve">Karışık Pizza (Orta Boy) + Coca-Cola (33 cl.) </t>
  </si>
  <si>
    <t>Vodafone Menüsü (Köri Soslu Karışık Sebzeli Tavuk)</t>
  </si>
  <si>
    <t xml:space="preserve">Köri Soslu Karışık Sebzeli Tavuk + Kutu İçecek (Kampanya koşulları için restoranın Promosyonlar bölümüne göz atınız. İndirimli fiyat ürün sepete eklendikten sonra uygulanır.) </t>
  </si>
  <si>
    <t xml:space="preserve">Peynir çeşitleri, biberli siyah zeytin, biberli yeşil zeytin, vişne reçeli, ceviz reçeli, bal, tereyağı, sahanda göz yumurta, patates kızartması, çarliston biber, sosis, ekmek </t>
  </si>
  <si>
    <t xml:space="preserve">Domates, patates kızartması ile </t>
  </si>
  <si>
    <t xml:space="preserve">Yeşillik, domates, patates kızartması ile </t>
  </si>
  <si>
    <t>Köri Soslu Karışık Sebzeli Tavuk</t>
  </si>
  <si>
    <t xml:space="preserve">Jülyen tavuk dilimleri, kapya biberi, çarliston biber, mantar, soğan, köri baharatı, krema, parmak patates kızartması ve yeşillik ile </t>
  </si>
  <si>
    <t xml:space="preserve">Lavaş ekmeği arasında jülyen tavuk dilimleri, kapya biberi, çarliston biber, soğan, kaşar peyniri. Patates kızartması ile </t>
  </si>
  <si>
    <t xml:space="preserve">Lavaş ekmeği içerisinde tavada kızartılmış bonfile dilimleri, soğan, baharat, eritilmiş kaşar peyniri. Patates kızartması ile </t>
  </si>
  <si>
    <t xml:space="preserve">Jülyen tavuk dilimleri, kapya biberi, barbekü sos, patates kızartması ile </t>
  </si>
  <si>
    <t xml:space="preserve">Bonfile kuşbaşı parçaları, kapya biberi, çarliston biber, sarımsak, tuz, baharat çeşitleri, patates kızartması, yeşillik ile </t>
  </si>
  <si>
    <t xml:space="preserve">Antrikot kuşbaşı parçaları, arpacık soğan, kapya biberi, çarliston biber, domates, sarımsak, baharat çeşitleri </t>
  </si>
  <si>
    <t xml:space="preserve">Jülyen bonfile eti, kapya biberi, çarliston biber, soğan, kaşar peyniri, patates kızartması, yeşillik ile </t>
  </si>
  <si>
    <t>Bonfile Wrap</t>
  </si>
  <si>
    <t xml:space="preserve">Tavada kızartılmış bonfile et, soğan, baharat çeşitleri, eritilmiş kaşar peyniri. Patates kızartması ile </t>
  </si>
  <si>
    <t xml:space="preserve">Bonfile kuşbaşı parçaları, kapya biberi, çarliston biber, mantar, soğan, baharat çeşitleri, patates kızartması, yeşillik ile </t>
  </si>
  <si>
    <t xml:space="preserve">2 adet et burger köftesi, yeşillik, turşu, domates. Patates kızartması ile </t>
  </si>
  <si>
    <t xml:space="preserve">Et burger köftesi, yeşillik, turşu, domates. Patates kızartması ile </t>
  </si>
  <si>
    <t xml:space="preserve">Et burger köftesi, cheddar peyniri, yeşillik, turşu, domates. Patates kızartması ile </t>
  </si>
  <si>
    <t xml:space="preserve">Et burger köftesi, cheddar peyniri, yeşillik, domates, acı sos. Patates kızartması ile </t>
  </si>
  <si>
    <t xml:space="preserve">Tavuk parçaları, kapya biberi, yeşilbiber, soğan, kaşar peyniri. Patates kızartması ile </t>
  </si>
  <si>
    <t xml:space="preserve">Ton balığı, turşu, yeşillik, domates, salatalık. Patates kızartması ile </t>
  </si>
  <si>
    <t xml:space="preserve">Peynir, domates, salatalık, yeşillik. Patates kızartması ile </t>
  </si>
  <si>
    <t xml:space="preserve">Yeşillik, domates </t>
  </si>
  <si>
    <t>Ekmek Arası Izgara Sucuk</t>
  </si>
  <si>
    <t xml:space="preserve">Patates, kuru soğan, yeşilbiber, maydanoz </t>
  </si>
  <si>
    <t xml:space="preserve">Sucuk, kaşar peyniri </t>
  </si>
  <si>
    <t xml:space="preserve">Ispanak, kuru soğan, tuz, karabiber, pul biber </t>
  </si>
  <si>
    <t xml:space="preserve">Dana kuşbaşı parçaları, domates, yeşilbiber, maydanoz, tereyağı, tuz, karabiber, kimyon, kekik, kuru soğan, kaşar peyniri, sarımsak </t>
  </si>
  <si>
    <t>Şems Pide</t>
  </si>
  <si>
    <t xml:space="preserve">Kıyma, kaşar peyniri, pastırma, kuşbaşı, çarliston biber, kapya biberi </t>
  </si>
  <si>
    <t xml:space="preserve">Malatya peyniri, maydanoz, kuru soğan, yumurta, karabiber </t>
  </si>
  <si>
    <t>Kaşarlı Sade Pide</t>
  </si>
  <si>
    <t>Tavuk Pide</t>
  </si>
  <si>
    <t xml:space="preserve">Tavuk bonfile, domates, yeşilbiber, kekik, tuz, tatlı toz biber, sebze çeşnisi, soğan, maydanoz, sarımsak </t>
  </si>
  <si>
    <t xml:space="preserve">Dana kıyma, domates, kuru soğan, yeşilbiber, tuz, karabiber, kekik, maydanoz, sarımsak, kaşar peyniri </t>
  </si>
  <si>
    <t>Sebzeli Pide</t>
  </si>
  <si>
    <t xml:space="preserve">Kaşar peyniri, çarliston biberi, kapya biberi, mantar, mısır, kuru soğan, maydanoz </t>
  </si>
  <si>
    <t>Şems Malatya Pizza (Orta Boy)</t>
  </si>
  <si>
    <t xml:space="preserve">Pizza sosu, mozzarella peyniri, domates, kavurma </t>
  </si>
  <si>
    <t>Türkiye Pizza (Orta Boy)</t>
  </si>
  <si>
    <t xml:space="preserve">Pizza sosu, mozzarella peyniri, kapya biberi, çarliston biber, domates, bonfile eti </t>
  </si>
  <si>
    <t>Vejetaryen Pizza (Orta Boy)</t>
  </si>
  <si>
    <t xml:space="preserve">Pizza sosu, mozzarella peyniri, mısır, ıspanak, mantar, kapya biberi, çarliston biber, domates </t>
  </si>
  <si>
    <t>Funni Pizza (Orta Boy)</t>
  </si>
  <si>
    <t xml:space="preserve">Pizza sosu, mantar, mozzarella peyniri </t>
  </si>
  <si>
    <t>Venedik Pizza (Orta Boy)</t>
  </si>
  <si>
    <t xml:space="preserve">Pizza sosu, mozzarella peyniri, siyah zeytin, sosis </t>
  </si>
  <si>
    <t>Şems 1554 Pizza (Orta Boy)</t>
  </si>
  <si>
    <t xml:space="preserve">Pizza sosu, mozzarella peyniri, kaşar, cheddar peyniri, Malatya peyniri </t>
  </si>
  <si>
    <t xml:space="preserve">Pizza sosu, mozzarella peyniri, sucuk, salam, sosis, mısır, siyah zeytin, domates, çarliston biber, mantar </t>
  </si>
  <si>
    <t xml:space="preserve">Pizza sosu, mozzarella peyniri, sucuk, kekik, mısır </t>
  </si>
  <si>
    <t>Tonna Pizza (Orta Boy)</t>
  </si>
  <si>
    <t xml:space="preserve">Pizza sosu, mozzarella peyniri, ton balığı, soğan </t>
  </si>
  <si>
    <t>Bolognese Pizza (Orta Boy)</t>
  </si>
  <si>
    <t xml:space="preserve">Pizza sosu, mozzarella peyniri, kıyma </t>
  </si>
  <si>
    <t>Margherita Pizza (Orta Boy)</t>
  </si>
  <si>
    <t xml:space="preserve">Pizza sosu, mozzarella peyniri, kekik </t>
  </si>
  <si>
    <t>Şems Barbekü Pizza (Orta Boy)</t>
  </si>
  <si>
    <t xml:space="preserve">Pizza sosu, mozzarella peyniri, tavuk, kapya biberi, çarliston biber, barbekü sosu, mantar </t>
  </si>
  <si>
    <t>Şems Tost</t>
  </si>
  <si>
    <t xml:space="preserve">Kaşar peyniri, sucuk, jambon. Patates kızartması, salata ile </t>
  </si>
  <si>
    <t xml:space="preserve">Kaşar peyniri, sucuk, jambon, sosis. Patates kızartması, salata ile </t>
  </si>
  <si>
    <t xml:space="preserve">Kaşar peyniri, sucuk. Patates kızartması, salata ile </t>
  </si>
  <si>
    <t xml:space="preserve">Kavurma, kaşar peyniri. Patates kızartması, salata ile </t>
  </si>
  <si>
    <t xml:space="preserve">Patates kızartması, salata ile </t>
  </si>
  <si>
    <t xml:space="preserve">10 Adet </t>
  </si>
  <si>
    <t>Şems Kızartma Sepeti</t>
  </si>
  <si>
    <t xml:space="preserve">2 adet sigara böreği, paçanga böreği, 2 adet sosis, 3 adet soğan halkası, elma dilim patates kızartması </t>
  </si>
  <si>
    <t xml:space="preserve">(8 Adet) Yeşillik ile </t>
  </si>
  <si>
    <t xml:space="preserve">(3 Adet) Yeşillik ile </t>
  </si>
  <si>
    <t>Fıstık Rüyası (Dilim)</t>
  </si>
  <si>
    <t xml:space="preserve">Bitter çikolatalı muss üzerinde yoğun fıstık dolgusu </t>
  </si>
  <si>
    <t>Profiterollü Pasta (Dilim)</t>
  </si>
  <si>
    <t xml:space="preserve">Bİtter çikolata krema içerisinde profiterol topları </t>
  </si>
  <si>
    <t xml:space="preserve">Beyaz çikolatalı hafif muss üzerinde orman meyveli </t>
  </si>
  <si>
    <t>Karaorman Pasta</t>
  </si>
  <si>
    <t xml:space="preserve">Bitter çikolatalı hafif muss üzerinde orman meyveleri </t>
  </si>
  <si>
    <t xml:space="preserve">Bal ve cevizli keki süt kreması </t>
  </si>
  <si>
    <t>Limonu Cheescake</t>
  </si>
  <si>
    <t>Red Velvet Cheesecake</t>
  </si>
  <si>
    <t xml:space="preserve">Kırmızı kadife kek </t>
  </si>
  <si>
    <t>Mono Latte</t>
  </si>
  <si>
    <t>Brownie (Dilim)</t>
  </si>
  <si>
    <t xml:space="preserve">Bitter çikolata, ceviz, tereyağı </t>
  </si>
  <si>
    <t>Frambuazlı Kalpli Pasta</t>
  </si>
  <si>
    <t xml:space="preserve">Frambuaz, beyaz çikolata </t>
  </si>
  <si>
    <t>Biber Sos</t>
  </si>
  <si>
    <t xml:space="preserve">110 gr. çiğ köfte, mevsim yeşillikleri, domates, salatalık, nar ekşisi, nane </t>
  </si>
  <si>
    <t xml:space="preserve">110 gr. çiğ köfte, mevsim yeşillikleri, Doritos, domates, salatalık, nar ekşisi, nane </t>
  </si>
  <si>
    <t xml:space="preserve">Mevsim yeşillikleri, domates, salatalık, nar ekşisi, nane, acı sos, lavaş ile </t>
  </si>
  <si>
    <t>Cevizli Çiğ Köfte (300 gr.)</t>
  </si>
  <si>
    <t>Cevizli Çiğ Köfte (500 gr.)</t>
  </si>
  <si>
    <t>Cevizli Çiğ Köfte (1 kg.)</t>
  </si>
  <si>
    <t>16,13 TL</t>
  </si>
  <si>
    <t xml:space="preserve">Pesto soslu erişte, salata ile </t>
  </si>
  <si>
    <t>35,18 TL</t>
  </si>
  <si>
    <t>Vodafone Menüsü (Köri Soslu Tavuk)</t>
  </si>
  <si>
    <t xml:space="preserve">Köri Soslu Tavuk + Pepsi (33 cl.) (Kampanya koşulları için restoranın Promosyonlar bölümüne göz atınız. İndirimli fiyat ürün sepete eklendikten sonra uygulanır.) </t>
  </si>
  <si>
    <t>45,65 TL</t>
  </si>
  <si>
    <t>Demi-Glace Soslu Tavuk</t>
  </si>
  <si>
    <t>Kekikli Tavuk</t>
  </si>
  <si>
    <t>Mantarlı Tavuk</t>
  </si>
  <si>
    <t>Sezar Soslu Tavuk</t>
  </si>
  <si>
    <t>33,68 TL</t>
  </si>
  <si>
    <t xml:space="preserve">5 adet ızgara köfte. Patates kızartması, acı sos, barbekü sos, yoğurtlu sos, salata ile </t>
  </si>
  <si>
    <t>46,13 TL</t>
  </si>
  <si>
    <t>Izgara Tavuk Bonfile</t>
  </si>
  <si>
    <t>Izgara Köfte (Çocuk) (3 Adet)</t>
  </si>
  <si>
    <t xml:space="preserve">Patates kızartması, makarna ile </t>
  </si>
  <si>
    <t>29,18 TL</t>
  </si>
  <si>
    <t xml:space="preserve">Patates kızartması, acı sos, et sos, yoğurtlu sos, salata ile </t>
  </si>
  <si>
    <t>50,18 TL</t>
  </si>
  <si>
    <t>21,68 TL</t>
  </si>
  <si>
    <t>6,56 TL</t>
  </si>
  <si>
    <t xml:space="preserve">Domates, yeşillik, soğan </t>
  </si>
  <si>
    <t xml:space="preserve">Tereyağı, sos ile </t>
  </si>
  <si>
    <t xml:space="preserve">Kuşbaşı et, Adana kebap, domatesli kebap, tavuk şiş, tavuk kanat, yaprak et döner. Mevsim salata ile </t>
  </si>
  <si>
    <t>Domatesli Urfa Kebap</t>
  </si>
  <si>
    <t xml:space="preserve">Günün pilavı, yoğurt, mevsim salata ile </t>
  </si>
  <si>
    <t>Izgara Köfte (150 gr.)</t>
  </si>
  <si>
    <t xml:space="preserve">Mevsim salata, soğan, pişmiş biber, domates ile </t>
  </si>
  <si>
    <t>Sebzeli Kebap</t>
  </si>
  <si>
    <t xml:space="preserve">Kuşbaşı, Adana kebap, tavuk şiş, tavuk kanat, domatesli kebap, yaprak döner. Mevsim salata ile </t>
  </si>
  <si>
    <t xml:space="preserve">Marul, yeşillik, nar ekşisi </t>
  </si>
  <si>
    <t xml:space="preserve">Marul, yeşillik, nar ekşisi, lavaş ile </t>
  </si>
  <si>
    <t xml:space="preserve">Pilav, salata ile </t>
  </si>
  <si>
    <t xml:space="preserve">Pirinç pilavı, salata ile </t>
  </si>
  <si>
    <t xml:space="preserve">Mevsim salata, pilav, salata ile </t>
  </si>
  <si>
    <t>İdeal Menü</t>
  </si>
  <si>
    <t xml:space="preserve">Tam Parça Pizza + 2 Adet Özel Soslu Kanat + 4 Adet Nugget + 4 Adet Soğan Halkası + Patates Kızartması + Kutu İçecek </t>
  </si>
  <si>
    <t xml:space="preserve">2 Adet Orta Boy Pizza + Patates Kızartması (Küçük) + İçecek (1 L.) </t>
  </si>
  <si>
    <t xml:space="preserve">Domates, salatalık, göbek marul, isteğe göre soğan </t>
  </si>
  <si>
    <t xml:space="preserve">Tam Parça Pizza + Pagtates Kızartması + 5 Adet Çıtır Soğan Halkası + Kutu İçecek </t>
  </si>
  <si>
    <t xml:space="preserve">Tam Parça Pizza + 4 Adet Özel Soslu Kanat + Kutu İçecek </t>
  </si>
  <si>
    <t>Tat Menü</t>
  </si>
  <si>
    <t xml:space="preserve">3 Adet Çıtır Soğan Halkası + 3 Adet Nugget + 2 Adet Soslu Tavuk Kanat + Patates Kızartması + Kutu İçecek </t>
  </si>
  <si>
    <t xml:space="preserve">6 Adet Chicken Nut + Elma Dilim Patates Kızartması + Kutu İçecek </t>
  </si>
  <si>
    <t>Tam Parçalı Pizza Menü</t>
  </si>
  <si>
    <t xml:space="preserve">Tam Parça Pizza + 3 Adet Özel Soslu Kanat + Patates Kızartması + Kutu İçecek </t>
  </si>
  <si>
    <t>Çocuk Hamburger Menü</t>
  </si>
  <si>
    <t xml:space="preserve">Hamburger + Patates Kızartması + 2 Adet Chicken Nugget + Kutu İçecek </t>
  </si>
  <si>
    <t xml:space="preserve">Parça Pizza + Patates Kızartması + 3 Adet Chicken Nugget + Kutu İçecek </t>
  </si>
  <si>
    <t xml:space="preserve">Parça Pizza + Patates Kızartması + 3 Adet Özel Soslu Kanat + Kutu İçecek </t>
  </si>
  <si>
    <t xml:space="preserve">Süper Parça Pizza + Patates Kızartması + Kutu İçecek </t>
  </si>
  <si>
    <t xml:space="preserve">Tam Parça Pizza + Patates Kızartması + 5 Adet Chciken Nugget + Kutu İçecek </t>
  </si>
  <si>
    <t xml:space="preserve">Parça Pizza + Patates Kızartması + 3 Adet Çıtır Soğan Halkası + Kutu İçecek </t>
  </si>
  <si>
    <t xml:space="preserve">4 Adet Chicken Nugget + 4 Adet Çıtır Soğan Halkası + Patates Kızartması + Kutu İçecek </t>
  </si>
  <si>
    <t>Ayvalık Tostu Menü</t>
  </si>
  <si>
    <t xml:space="preserve">Ayvalık Tostu (Mozzarella peyniri, sucuk, salatalık turşusu) + Patates Kızartması + Kutu İçecek </t>
  </si>
  <si>
    <t xml:space="preserve">Cheeseburger (Hamburger köftesi, domates, göbek marul, kaşar peyniri, salatalık turşusu) + Patates Kızartması + Kutu İçecek </t>
  </si>
  <si>
    <t xml:space="preserve">2 Adet Küçük Boy Pizza + 5 Adet Nugget + Patates Kızartması + İçecek (1 L.) </t>
  </si>
  <si>
    <t>Delux Pizza (Büyük) Menü</t>
  </si>
  <si>
    <t xml:space="preserve">(Pizza sosu, mozzarella peyniri, sucuk, mantar, yeşilbiber, salam, sosis) + Patates Kızartması + İçecek (1 L.) </t>
  </si>
  <si>
    <t>Extra Pizza (Büyük) Menü</t>
  </si>
  <si>
    <t xml:space="preserve">(Pizza sosu, mozzarella peyniri, sucuk, salam, sosis, mantar, zeytin, domates, mısır) + Patates Kızartması + İçecek (1 L.) </t>
  </si>
  <si>
    <t>Gino Pizza (Büyük) Menü</t>
  </si>
  <si>
    <t xml:space="preserve">(Pizza sosu, mozzarella peyniri, sucuk) + Patates Kızartması + İçecek (1 L.) </t>
  </si>
  <si>
    <t>Kavurmalı Pizza (Büyük) Menü</t>
  </si>
  <si>
    <t xml:space="preserve">(Pizza sosu, mozzarella peyniri, kavurma, yeşilbiber, domates, mantar) + Patates Kızartması + İçecek (1 L.) </t>
  </si>
  <si>
    <t>Margherita Pizza (Büyük) Menü</t>
  </si>
  <si>
    <t xml:space="preserve">(Pizza sosu, mozzarella peyniri, domates) + Patates Kızartması + İçecek (1 L.) </t>
  </si>
  <si>
    <t>Marios Pizza (Büyük) Menü</t>
  </si>
  <si>
    <t xml:space="preserve">(Pizza sosu, mozzarella peyniri, sucuk, mantar) + Patates Kızartması + İçecek (1 L.) </t>
  </si>
  <si>
    <t>Mezzeluna Pizza (Büyük) Menü</t>
  </si>
  <si>
    <t>Pastırmalı Pizza (Büyük) Menü</t>
  </si>
  <si>
    <t xml:space="preserve">(Pizza sosu, mozzarella peyniri, pastırma, jalapeno biber) + Patates Kızartması + İçecek (1 L.) </t>
  </si>
  <si>
    <t>Sebzeli Pizza (Büyük) Menü</t>
  </si>
  <si>
    <t xml:space="preserve">(Pizza sosu, mozzarella peyniri, domates, siyah zeytin, mısır, mantar) + Patates Kızartması + İçecek (1 L.) </t>
  </si>
  <si>
    <t>Spesiyal Pizza (Büyük) Menü</t>
  </si>
  <si>
    <t xml:space="preserve">(Pizza sosu, mozzarella peyniri, sucuk, salam, sosis, mantar, domates) + Patates Kızartması + İçecek (1 L.) </t>
  </si>
  <si>
    <t>Meksika Pizza (Büyük) Menü</t>
  </si>
  <si>
    <t xml:space="preserve">(Bbq sos, mozzarella peyniri, sucuk, mantar, jalepeno biber) + Patates Kızartması + İçecek (1 L.) </t>
  </si>
  <si>
    <t>Süper Pizza (Büyük) Menü</t>
  </si>
  <si>
    <t xml:space="preserve">(Pizza sosu, mozzarella peyniri, sucuk, mantar, yeşilbiber) + Patates Kızartması + İçecek (1 L.) </t>
  </si>
  <si>
    <t>Supreme Pizza (Büyük) Menü</t>
  </si>
  <si>
    <t xml:space="preserve">(Pizza sosu, mozzarella peyniri, sosis, mantar) + Patates Kızartması + İçecek (1 L.) </t>
  </si>
  <si>
    <t>Tavuklu Pizza (Büyük) Menü</t>
  </si>
  <si>
    <t xml:space="preserve">(Pizza sosu, mozzarella peyniri, tavuk parçaları, kırmızıbiber, mantar, mısır, zeytin) + Patates Kızartması + İçecek (1 L.) </t>
  </si>
  <si>
    <t>Tuna Pizza (Büyük) Menü</t>
  </si>
  <si>
    <t xml:space="preserve">(Pizza sosu, mozzarella peyniri, ton balığı, mısır, mantar, yeşilbiber) + Patates Kızartması + İçecek (1 L.) </t>
  </si>
  <si>
    <t>Delux Pizza (Küçük) Menü</t>
  </si>
  <si>
    <t xml:space="preserve">(Pizza sosu, mozzarella peyniri, sucuk, mantar, yeşilbiber, salam, sosis) + Patates Kızartması + Kutu İçecek </t>
  </si>
  <si>
    <t>Extra Pizza (Küçük) Menü</t>
  </si>
  <si>
    <t xml:space="preserve">(Pizza sosu, mozzarella peyniri, sucuk, salam, sosis, mantar, zeytin, domates, mısır) + Patates Kızartması + Kutu İçecek </t>
  </si>
  <si>
    <t>Gino Pizza (Küçük) Menü</t>
  </si>
  <si>
    <t xml:space="preserve">(Pizza sosu, mozzarella peyniri, sucuk) + Patates Kızartması + Kutu İçecek </t>
  </si>
  <si>
    <t>Kavurmalı Pizza (Küçük) Menü</t>
  </si>
  <si>
    <t xml:space="preserve">(Pizza sosu, mozzarella peyniri, kavurma, yeşilbiber, domates, mantar) + Patates Kızartması + Kutu İçecek </t>
  </si>
  <si>
    <t>Margherita Pizza (Küçük) Menü</t>
  </si>
  <si>
    <t xml:space="preserve">(Pizza sosu, mozzarella peyniri, domates) + Patates Kızartması + Kutu İçecek </t>
  </si>
  <si>
    <t>Marios Pizza (Küçük) Menü</t>
  </si>
  <si>
    <t xml:space="preserve">(Pizza sosu, mozzarella peyniri, sucuk, mantar) + Patates Kızartması + Kutu İçecek </t>
  </si>
  <si>
    <t>Mezzeluna Pizza (Küçük) Menü</t>
  </si>
  <si>
    <t>Pastırmalı Pizza (Küçük) Menü</t>
  </si>
  <si>
    <t xml:space="preserve">(Pizza sosu, mozzarella peyniri, pastırma, jalapeno biber) + Patates Kızartması + Kutu İçecek </t>
  </si>
  <si>
    <t>Sebzeli Pizza (Küçük) Menü</t>
  </si>
  <si>
    <t xml:space="preserve">(Pizza sosu, mozzarella peyniri, domates, siyah zeytin, mısır, mantar) + Patates Kızartması + Kutu İçecek </t>
  </si>
  <si>
    <t>Spesiyal Pizza (Küçük) Menü</t>
  </si>
  <si>
    <t xml:space="preserve">(Pizza sosu, mozzarella peyniri, sucuk, salam, sosis, mantar, domates) + Patates Kızartması + Kutu İçecek </t>
  </si>
  <si>
    <t>Süper Pizza (Küçük) Menü</t>
  </si>
  <si>
    <t xml:space="preserve">(Pizza sosu, mozzarella peyniri, sucuk, mantar, yeşilbiber) + Patates Kızartması + Kutu İçecek </t>
  </si>
  <si>
    <t>Supreme Pizza (Küçük) Menü</t>
  </si>
  <si>
    <t xml:space="preserve">(Pizza sosu, mozzarella peyniri, sosis, mantar) + Patates Kızartması + Kutu İçecek </t>
  </si>
  <si>
    <t>Tavuklu Pizza (Küçük) Menü</t>
  </si>
  <si>
    <t xml:space="preserve">(Pizza sosu, mozzarella peyniri, tavuk parçaları, kırmızıbiber, mantar, mısır, zeytin) + Patates Kızartması + Kutu İçecek </t>
  </si>
  <si>
    <t>Tuna Pizza (Küçük) Menü</t>
  </si>
  <si>
    <t xml:space="preserve">(Pizza sosu, mozzarella peyniri, ton balığı, mısır, mantar, yeşilbiber) + Patates Kızartması + Kutu İçecek </t>
  </si>
  <si>
    <t>Meksika Pizza (Küçük) Menü</t>
  </si>
  <si>
    <t xml:space="preserve">(Bbq sos, mozzarella peyniri, sucuk, mantar, jalepeno biber) + Patates Kızartması + Kutu İçecek </t>
  </si>
  <si>
    <t xml:space="preserve">Pizza sosu, mozzarella peyniri, sucuk, mantar, yeşilbiber, salam, sosis </t>
  </si>
  <si>
    <t>Extra Pizza (Orta)</t>
  </si>
  <si>
    <t xml:space="preserve">Pizza sosu, mozzarella peyniri, sucuk, salam, sosis, mantar, zeytin, domates, mısır </t>
  </si>
  <si>
    <t>Margherita Pizza (Orta)</t>
  </si>
  <si>
    <t xml:space="preserve">Bbq sos, mozzarella peyniri, sucuk, mantar, jalepeno biber </t>
  </si>
  <si>
    <t xml:space="preserve">Pizza sosu, mozzarella peyniri, pastırma, jalapeno biber </t>
  </si>
  <si>
    <t>Sebzeli Pizza (Orta)</t>
  </si>
  <si>
    <t xml:space="preserve">Pizza sosu, mozzarella peyniri, domates, siyah zeytin, mısır, mantar </t>
  </si>
  <si>
    <t xml:space="preserve">Pizza sosu, mozzarella peyniri, sucuk, salam, sosis, mantar, domates </t>
  </si>
  <si>
    <t>Supreme Pizza (Orta)</t>
  </si>
  <si>
    <t xml:space="preserve">Pizza sosu, mozzarella peyniri, tavuk parçaları, kırmızıbiber, mantar, mısır, zeytin </t>
  </si>
  <si>
    <t xml:space="preserve">Pizza sosu, mozzarella peyniri, ton balığı, mısır, mantar, yeşilbiber </t>
  </si>
  <si>
    <t>Extra Pizza (Jumbo)</t>
  </si>
  <si>
    <t>Supreme Pizza (Jumbo)</t>
  </si>
  <si>
    <t xml:space="preserve">Pizza sosu, mozzarella peyniri, sucuk, mantar, biber </t>
  </si>
  <si>
    <t xml:space="preserve">Mevsim salata, közlenmiş biber, közlenmiş domates, günün pilavı, çiğ köfte ile </t>
  </si>
  <si>
    <t xml:space="preserve">Marul, havuç, karalahana, nar ekşisi, limon </t>
  </si>
  <si>
    <t xml:space="preserve">Göbek marul, domates, salatalık turşusu </t>
  </si>
  <si>
    <t xml:space="preserve">Mevsim yeşillikleri, yufka ekmeği, nar ekşisi, limon ile </t>
  </si>
  <si>
    <t>Chicken Nugget</t>
  </si>
  <si>
    <t xml:space="preserve">Göbek marul, ton balığı, mısır </t>
  </si>
  <si>
    <t xml:space="preserve">Göbek marul, siyah zeytin, beyaz peynir, göbek marul, domates, salatalık </t>
  </si>
  <si>
    <t xml:space="preserve">Mevsim sebzeleri ile </t>
  </si>
  <si>
    <t xml:space="preserve">Göbek marul, zeytin, kırmızılahana, havuç, domates, salatalık, tavuk parçaları </t>
  </si>
  <si>
    <t xml:space="preserve">Mevsim salata, közlenmiş biber, çiğ köfte ile </t>
  </si>
  <si>
    <t xml:space="preserve">Adana kebap, Urfa kebap, tavuk şiş, ızgara köfte. Mevsim salata, közlenmiş biber, çiğ köfte ile </t>
  </si>
  <si>
    <t xml:space="preserve">Tavuk pirzola, tavuk kanat, tavuk şiş. Mevsim salata, közlenmiş biber, çiğ köfte ile </t>
  </si>
  <si>
    <t>Dana Ciğer Şiş (1 kg.)</t>
  </si>
  <si>
    <t>Patlıcan Çorbası</t>
  </si>
  <si>
    <t>Anadolu Ateşi</t>
  </si>
  <si>
    <t xml:space="preserve">Acılı Anadolu sos, California biberi ile marine edilmiş tavuk bonfile. Makarna, salata ile </t>
  </si>
  <si>
    <t>Acılı Köri Soslu Tavuk</t>
  </si>
  <si>
    <t xml:space="preserve">Acılı köri sos, California biberi ile marine edilmiş tavuk bonfile. Makarna, salata ile </t>
  </si>
  <si>
    <t>Çıtır Tavuk Şnitzel</t>
  </si>
  <si>
    <t>Lezzetli Tavuk Topları</t>
  </si>
  <si>
    <t>Çıtır Tavuk</t>
  </si>
  <si>
    <t>Çocuk Çıtır Tavuk</t>
  </si>
  <si>
    <t>Dem Dem Tavuk</t>
  </si>
  <si>
    <t xml:space="preserve">Tavuk bonfile. Makarna, salata ile </t>
  </si>
  <si>
    <t>Cheddar Soslu Tavuk</t>
  </si>
  <si>
    <t xml:space="preserve">Cheddar sos, California biberi ile marine edilmiş tavuk bonfile. Makarna, salata ile </t>
  </si>
  <si>
    <t xml:space="preserve">Dağ kekiği, kremalı peynir sos ile marine edilmiş tavuk bonfile. Makarna, salata ile </t>
  </si>
  <si>
    <t>Domatesli Fesleğenli Tavuk</t>
  </si>
  <si>
    <t xml:space="preserve">Domates, fesleğen ile marine edilmiş tavuk bonfile. Makarna, salata ile </t>
  </si>
  <si>
    <t xml:space="preserve">Barbekü sos, California biberi ile marine edilmiş tavuk bonfile. Makarna, salata ile </t>
  </si>
  <si>
    <t>Café de Paris Soslu Tavuk</t>
  </si>
  <si>
    <t xml:space="preserve">Café de Paris sos, California biberi ile marine edilmiş tavuk bonfile. Makarna, salata ile </t>
  </si>
  <si>
    <t xml:space="preserve">Acılı Meksika sos, California biberi ile marine edilmiş tavuk bonfile. Makarna, salata ile </t>
  </si>
  <si>
    <t>Cheese Chicken</t>
  </si>
  <si>
    <t xml:space="preserve">Kaşar peyniri, California biberi ile marine edilmiş tavuk bonfile. Makarna, salata ile </t>
  </si>
  <si>
    <t xml:space="preserve">Makarna, salata ile </t>
  </si>
  <si>
    <t xml:space="preserve">Soya sosu ile marine edilmiş tavuk bonfile. Makarna, salata ile </t>
  </si>
  <si>
    <t xml:space="preserve">Kremalı mantar sos ile marine edilmiş tavuk bonfile. Makarna, salata ile </t>
  </si>
  <si>
    <t xml:space="preserve">Köri sos, mantar, California biberi ile marine edilmiş tavuk bonfile. Makarna, salata ile </t>
  </si>
  <si>
    <t>Çocuk Izgara Köfte</t>
  </si>
  <si>
    <t>Cheddar Soslu Köfte</t>
  </si>
  <si>
    <t xml:space="preserve">Cheddar sos, California biberi ile marine edilmiş köfte. Patates kızartması, salata ile </t>
  </si>
  <si>
    <t>Barbekü Soslu Köfte</t>
  </si>
  <si>
    <t xml:space="preserve">Barbekü sos, California biberi ile marine edilmiş köfte. Patates kızartması, salata ile </t>
  </si>
  <si>
    <t>Kekikli Kremalı Köfte</t>
  </si>
  <si>
    <t>Anadolu Ateşi Köfte</t>
  </si>
  <si>
    <t>Tavuklu Sac Tava</t>
  </si>
  <si>
    <t>Etli Sac Tava</t>
  </si>
  <si>
    <t>49,09 TL</t>
  </si>
  <si>
    <t xml:space="preserve">Marul, domates, turşu. Patates kızartması ile </t>
  </si>
  <si>
    <t xml:space="preserve">Marul, domates, turşu, cheddar peyniri. Patates kızartması ile </t>
  </si>
  <si>
    <t>Mantar Burger</t>
  </si>
  <si>
    <t xml:space="preserve">Marul, domates, turşu, mantar. Patates kızartması ile </t>
  </si>
  <si>
    <t xml:space="preserve">Marul, domates, turşu, acı sos. Patates kızartması ile </t>
  </si>
  <si>
    <t>Kremalı Kekikli Mantar</t>
  </si>
  <si>
    <t>Falafel</t>
  </si>
  <si>
    <t>Beğendi</t>
  </si>
  <si>
    <t>Yoğurtlu Patlıcan</t>
  </si>
  <si>
    <t>Karışık Sepet</t>
  </si>
  <si>
    <t xml:space="preserve">Soğan halkası, patates kızartması, çıtır tavuk topları </t>
  </si>
  <si>
    <t xml:space="preserve">Mevsim yeşillikleri, çıtır lezzet topları, havuç, domates, salatalık </t>
  </si>
  <si>
    <t xml:space="preserve">Mevsim yeşillikleri, havuç, domates, salatalık, Sezar sos </t>
  </si>
  <si>
    <t>Falafel Salata</t>
  </si>
  <si>
    <t xml:space="preserve">Mevsim yeşillikleri, havuç, domates, salatalık </t>
  </si>
  <si>
    <t>Kızarmış Dondurma</t>
  </si>
  <si>
    <t>Kabak Tatlısı</t>
  </si>
  <si>
    <t>Ayva Tatlısı</t>
  </si>
  <si>
    <t>Seçilmiş Menü (Çifte Lezzet Menüsü)</t>
  </si>
  <si>
    <t xml:space="preserve">2 Adet Seçeceğiniz Tavuk + Beş Baharatlı Patates Kızartması (Orta) + Coca-Cola (1 L.) </t>
  </si>
  <si>
    <t>105,90 TL</t>
  </si>
  <si>
    <t>Seçilmiş Menü (Akılalmaz Lezzet Üçlüsü)</t>
  </si>
  <si>
    <t xml:space="preserve">3 Adet Seçeceğiniz Tavuk + Beş Baharatlı Patates Kızartması (Büyük) + Coca-Cola (1 L.) </t>
  </si>
  <si>
    <t>143,85 TL</t>
  </si>
  <si>
    <t>Seçilmiş Menü (Tek Kişilik Ziyafet Menüsü)</t>
  </si>
  <si>
    <t xml:space="preserve">Seçeceğiniz Çorba + Seçeceğiniz Tavuk + Coca-Cola (33 cl.) </t>
  </si>
  <si>
    <t>59,95 TL</t>
  </si>
  <si>
    <t xml:space="preserve">4 Adet Seçeceğiniz Tavuk + Coca-Cola (1 L.) </t>
  </si>
  <si>
    <t>167,80 TL</t>
  </si>
  <si>
    <t>Doyuran Fit Menü</t>
  </si>
  <si>
    <t xml:space="preserve">Seçeceğiniz Çorba + Seçeceğiniz Salata + Sütaş Ayran (30 cl.) </t>
  </si>
  <si>
    <t>49,95 TL</t>
  </si>
  <si>
    <t>10,95 TL</t>
  </si>
  <si>
    <t>Domates Çorbası</t>
  </si>
  <si>
    <t>Tavuk Suyu Çorba</t>
  </si>
  <si>
    <t>12,95 TL</t>
  </si>
  <si>
    <t>Peynir Çubukları (6 Adet)</t>
  </si>
  <si>
    <t>14,95 TL</t>
  </si>
  <si>
    <t>Beş Baharatlı Patates Kızartması (Orta)</t>
  </si>
  <si>
    <t>11,95 TL</t>
  </si>
  <si>
    <t>Beş Baharatlı Patates Kızartması (Büyük)</t>
  </si>
  <si>
    <t>Karışık Başlangıç Tabağı</t>
  </si>
  <si>
    <t xml:space="preserve">4 parça çıtır tavuk, mozzarella sticks, cheddarlı patates topları, patates kızartması </t>
  </si>
  <si>
    <t>26,95 TL</t>
  </si>
  <si>
    <t>Çıtır Tavuk Küpleri</t>
  </si>
  <si>
    <t>Klasik Patates Kızartması (Orta)</t>
  </si>
  <si>
    <t>Klasik Patates Kızartması (Büyük)</t>
  </si>
  <si>
    <t>Alinazik</t>
  </si>
  <si>
    <t>Tikka Masala Soslu Tavuk</t>
  </si>
  <si>
    <t xml:space="preserve">Tikka masala soslu tavuk, özel soslu makarna, Akdeniz salatası ile </t>
  </si>
  <si>
    <t>46,95 TL</t>
  </si>
  <si>
    <t>Baharatlım (Acılı)</t>
  </si>
  <si>
    <t xml:space="preserve">Baharatlım soslu tavuk, özel soslu makarna, Akdeniz salatası ile </t>
  </si>
  <si>
    <t>Acılı But</t>
  </si>
  <si>
    <t xml:space="preserve">Acılı but, özel soslu makarna, Akdeniz salatası ile </t>
  </si>
  <si>
    <t>Balkan Rüzgarı</t>
  </si>
  <si>
    <t xml:space="preserve">Balkan sos üzerinde özel soslu tavuk, özel soslu makarna, Akdeniz salatası ile </t>
  </si>
  <si>
    <t>Acılı Bi'Köri</t>
  </si>
  <si>
    <t xml:space="preserve">Acılı Bi'Köri soslu tavuk, özel soslu makarna, Akdeniz salatası ile </t>
  </si>
  <si>
    <t>Alinazik Tavuk</t>
  </si>
  <si>
    <t xml:space="preserve">Alinazik sos üzerinde özel soslu tavuk, çıtır patates ve Akdeniz salatası ile </t>
  </si>
  <si>
    <t>Barbeküs</t>
  </si>
  <si>
    <t xml:space="preserve">Barbeküs soslu tavuk, özel soslu makarna, Akdeniz salatası ile </t>
  </si>
  <si>
    <t>Bi'Köri</t>
  </si>
  <si>
    <t xml:space="preserve">Bi'Köri soslu tavuk, özel soslu makarna, Akdeniz salatası ile </t>
  </si>
  <si>
    <t xml:space="preserve">Café de Paris soslu tavuk, özel soslu makarna, Akdeniz salatası ile </t>
  </si>
  <si>
    <t>Chili Lokumu</t>
  </si>
  <si>
    <t xml:space="preserve">Chili lokumu, özel soslu makarna, Akdeniz salatası ile </t>
  </si>
  <si>
    <t>Efsane Buffalo (Acılı)</t>
  </si>
  <si>
    <t xml:space="preserve">Efsane buffalo soslu tavuk, özel soslu makarna, Akdeniz salatası ile </t>
  </si>
  <si>
    <t>Fülfül (Çok Acılı)</t>
  </si>
  <si>
    <t xml:space="preserve">Fülfül soslu tavuk, özel soslu makarna, Akdeniz salatası ile </t>
  </si>
  <si>
    <t>Kekiklim</t>
  </si>
  <si>
    <t xml:space="preserve">Kekiklim soslu tavuk, özel soslu makarna, Akdeniz salatası ile </t>
  </si>
  <si>
    <t>Kendini Beğenmiş Tavuk</t>
  </si>
  <si>
    <t xml:space="preserve">Beğendi sos üzerinde özel soslu tavuk, çıtır patates ve Akdeniz salatası ile </t>
  </si>
  <si>
    <t>Közlüce</t>
  </si>
  <si>
    <t xml:space="preserve">Közlüce soslu tavuk, özel soslu makarna, Akdeniz salatası ile </t>
  </si>
  <si>
    <t>Kremantar</t>
  </si>
  <si>
    <t xml:space="preserve">Kremantar soslu tavuk, özel soslu makarna, Akdeniz salatası ile </t>
  </si>
  <si>
    <t>Labiate</t>
  </si>
  <si>
    <t xml:space="preserve">Labiate soslu tavuk, özel soslu makarna, Akdeniz salatası ile </t>
  </si>
  <si>
    <t>Şefin Tavası</t>
  </si>
  <si>
    <t xml:space="preserve">Şefin tavası, özel soslu makarna, Akdeniz salatası ile </t>
  </si>
  <si>
    <t>Soslu Tavuk</t>
  </si>
  <si>
    <t xml:space="preserve">Mucidinden soslu tavuk, özel soslu makarna, Akdeniz salatası ile </t>
  </si>
  <si>
    <t>Kendini Beğenmiş Köfte</t>
  </si>
  <si>
    <t xml:space="preserve">Patlıcanlı beğendi üzerinde ızgara köfte, çıtır patates, Akdeniz salatası ile </t>
  </si>
  <si>
    <t>Mangal Köfte</t>
  </si>
  <si>
    <t xml:space="preserve">Izgara köfte, özel soslu makarna, Akdeniz salatası ile </t>
  </si>
  <si>
    <t>İspanyol Cream Cheesecake</t>
  </si>
  <si>
    <t>Fındıklı Fırın Sütlaç</t>
  </si>
  <si>
    <t>5,95 TL</t>
  </si>
  <si>
    <t>Damla Meyveli Soda (20 cl.)</t>
  </si>
  <si>
    <t>4,45 TL</t>
  </si>
  <si>
    <t>3,45 TL</t>
  </si>
  <si>
    <t>Akdenizlim Salata</t>
  </si>
  <si>
    <t xml:space="preserve">Akdeniz yeşillikleri, çeri domates, siyah zeytin, tane mısır, havuç ve özel sos ile hazırlanmış beyaz peynirli Akdeniz salata </t>
  </si>
  <si>
    <t>36,95 TL</t>
  </si>
  <si>
    <t>Sezarım Tavuklu Salata</t>
  </si>
  <si>
    <t xml:space="preserve">Taze göbek marul, Sezar sos, kruton ekmeği, çeri domates, parmesan peyniri ve sote jülyen tavuk parçaları ile hazırlanmış Sezar salata </t>
  </si>
  <si>
    <t>39,95 TL</t>
  </si>
  <si>
    <t xml:space="preserve">Akdeniz yeşillikleri, çeri domates, rende kaşar peyniri, tane mısır, rende havuç, çıtır tavuk parçaları ve özel sos ile harmanlanmış çıtır tavuk salata </t>
  </si>
  <si>
    <t>Şefin Salatası</t>
  </si>
  <si>
    <t xml:space="preserve">Akdeniz yeşillikleri, çeri domates, rende kaşar peyniri, tane mısır, rende havuç, şefin tavası tavuk parçaları ve özel sos ile harmanlanmış şefin salatası </t>
  </si>
  <si>
    <t>Seçilmiş Menü (Bol Bol Küçük)</t>
  </si>
  <si>
    <t xml:space="preserve">Bol Bol (Küçük) + Coca-Cola (33 cl.) </t>
  </si>
  <si>
    <t>Seçilmiş Menü (2'li Orta Boy Pizza)</t>
  </si>
  <si>
    <t xml:space="preserve">Seçeceğiniz 2 Adet Orta Boy Pizza + Ekosandviç + Patates Kızartması + Coca-Cola Şekersiz (1 L.) </t>
  </si>
  <si>
    <t>Seçilmiş Menü (Bol Bol Büyük)</t>
  </si>
  <si>
    <t xml:space="preserve">Bol Bol (Büyük) + Coca-Cola (1 L.) </t>
  </si>
  <si>
    <t>Vodafone Menüsü (Efsane 5'li - Küçük)</t>
  </si>
  <si>
    <t xml:space="preserve">2 Adet Efsane 5'li (Küçük) + Patates Kızartması + Litrelik İçecek (Kampanya koşulları için restoranın Promosyonlar bölümüne göz atınız. İndirimli fiyat ürün sepete eklendikten sonra uygulanır.) </t>
  </si>
  <si>
    <t>72,98 TL</t>
  </si>
  <si>
    <t xml:space="preserve">2 Adet Seçeceğiniz Orta Boy Pizza + Patates Kızartması (Kampanya koşulları için restoranın Promosyonlar bölümüne göz atınız. İndirimli fiyat ürün sepete eklendikten sonra uygulanır.) </t>
  </si>
  <si>
    <t>Vodafone Menüsü (Efsane 5'li - Büyük)</t>
  </si>
  <si>
    <t xml:space="preserve">2 Adet Efsane 5'li (Büyük) (Kampanya koşulları için restoranın Promosyonlar bölümüne göz atınız. İndirimli fiyat ürün sepete eklendikten sonra uygulanır.) </t>
  </si>
  <si>
    <t>105,99 TL</t>
  </si>
  <si>
    <t>Maximum Menü (Orta Boy Favoriterra Pizza)</t>
  </si>
  <si>
    <t xml:space="preserve">Orta Boy Favoriterra Pizza + 10'lu Çıtır Tavuk Topları + Kutu İçecek (Maximum Menü indirimi, Maximum özellikli tüm kredi kartları ve İş Bankası Bankamatik Kartları ile yapılacak online ödemelerde ödeme anında uygulanacaktır.) </t>
  </si>
  <si>
    <t>2'li Efsane 5'li (Orta) Pizza</t>
  </si>
  <si>
    <t xml:space="preserve">2 Adet Efsane 5'li (Orta) Pizza </t>
  </si>
  <si>
    <t>Orta Boy Bol Bol Menü</t>
  </si>
  <si>
    <t xml:space="preserve">Orta Boy Bol Bol Pizza + Litrelik İçecek </t>
  </si>
  <si>
    <t>Orta Boy &amp; Patates Menü</t>
  </si>
  <si>
    <t xml:space="preserve">Seçeceğiniz Orta Boy Pizza + Patates Kızartması + Kutu İçecek (Ekoterra pizzalar için geçerlidir. Favoriterra pizzalar için 3 TL, Şefterra pizzalar için 6 TL, Gurmeterra pizzalar için 9 TL fark uygulanmaktadır.) </t>
  </si>
  <si>
    <t>Büyük Boy Pizza</t>
  </si>
  <si>
    <t xml:space="preserve">Seçeceğiniz Büyük Boy Pizza (Ekoterra pizzalar için geçerlidir. Favoriterra pizzalar için 3 TL, Şefterra pizzalar için 6 TL, Gurmeterra pizzalar için 9 TL fark uygulanmaktadır.) </t>
  </si>
  <si>
    <t>Büyük Boy Menü</t>
  </si>
  <si>
    <t xml:space="preserve">Seçeceğiniz Büyük Boy Pizza + Litrelik İçecek (Ekoterra pizzalar için geçerlidir. Favoriterra pizzalar için 3 TL, Şefterra pizzalar için 6 TL, Gurmeterra pizzalar için 9 TL fark uygulanmaktadır.) </t>
  </si>
  <si>
    <t>Büyük Boy &amp; Patates Menü</t>
  </si>
  <si>
    <t xml:space="preserve">Seçeceğiniz Büyük Boy Pizza + Patates Kızartması + Litrelik İçecek (Ekoterra pizzalar için geçerlidir. Favoriterra pizzalar için 3 TL, Şefterra pizzalar için 6 TL, Gurmeterra pizzalar için 9 TL fark uygulanmaktadır.) </t>
  </si>
  <si>
    <t>2 Orta Boy Menü</t>
  </si>
  <si>
    <t xml:space="preserve">Seçeceğiniz 2 Adet Orta Boy Pizza (Ekoterra pizzalar için geçerlidir. Favoriterra pizzalar için 3 TL, Şefterra pizzalar için 6 TL, Gurmeterra pizzalar için 9 TL fark uygulanmaktadır.) </t>
  </si>
  <si>
    <t xml:space="preserve">Seçeceğiniz 2 Adet Orta Boy Pizza + Litrelik İçecek (Ekoterra pizzalar için geçerlidir. Favoriterra pizzalar için 3 TL, Şefterra pizzalar için 6 TL, Gurmeterra pizzalar için 9 TL fark uygulanmaktadır.) </t>
  </si>
  <si>
    <t>2 Orta Boy &amp; Patates Menü</t>
  </si>
  <si>
    <t xml:space="preserve">Seçeceğiniz 2 Adet Orta Boy Pizza + Patates Kızartması + Litrelik İçecek (Ekoterra pizzalar için geçerlidir. Favoriterra pizzalar için 3 TL, Şefterra pizzalar için 6 TL, Gurmeterra pizzalar için 9 TL fark uygulanmaktadır.) </t>
  </si>
  <si>
    <t>3 Orta Boy Pizza Menü</t>
  </si>
  <si>
    <t xml:space="preserve">Seçeceğiniz 3 Adet Orta Boy Pizza (Ekoterra pizzalar için geçerlidir. Favoriterra pizzalar için 3 TL, Şefterra pizzalar için 6 TL, Gurmeterra pizzalar için 9 TL fark uygulanmaktadır.) </t>
  </si>
  <si>
    <t>72,99 TL</t>
  </si>
  <si>
    <t>2'li Büyük Boy &amp; Patates Menü</t>
  </si>
  <si>
    <t xml:space="preserve">2 Adet Büyük Boy Pizza + Patates Kızartması + Litrelik İçecek (Ekoterra pizzalar için geçerlidir. Favoriterra pizzalar için 3 TL, Şefterra pizzalar için 6 TL, Gurmeterra pizzalar için 9 TL fark uygulanmaktadır.) </t>
  </si>
  <si>
    <t>2'li Büyük Boy &amp; Çıtır Kova Menü</t>
  </si>
  <si>
    <t xml:space="preserve">Seçeceğiniz 2 Adet Büyük Boy Pizza + Çıtır Kovası + Litrelik İçecek (Ekoterra pizzalar için geçerlidir. Favoriterra pizzalar için 3 TL, Şefterra pizzalar için 6 TL, Gurmeterra pizzalar için 9 TL fark uygulanmaktadır.) </t>
  </si>
  <si>
    <t>99,99 TL</t>
  </si>
  <si>
    <t>2'li Büyük Boy &amp; Patates Kova Menü</t>
  </si>
  <si>
    <t xml:space="preserve">2 Adet Büyük Boy Pizza + Patates Kovasıı + Litrelik İçecek (Ekoterra pizzalar için geçerlidir. Favoriterra pizzalar için 3 TL, Şefterra pizzalar için 6 TL, Gurmeterra pizzalar için 9 TL fark uygulanmaktadır.) </t>
  </si>
  <si>
    <t>2'li Orta Boy &amp; Çıtır Kutusu Menü</t>
  </si>
  <si>
    <t xml:space="preserve">Seçeceğiniz 2 Adet Orta Boy Pizza + Çıtır Kutusu + Litrelik İçecek (Ekoterra pizzalar için geçerlidir. Favoriterra pizzalar için 3 TL, Şefterra pizzalar için 6 TL, Gurmeterra pizzalar için 9 TL fark uygulanmaktadır.) </t>
  </si>
  <si>
    <t>Orta Boy Pizza &amp; İçecek Menü</t>
  </si>
  <si>
    <t xml:space="preserve">Seçeceğiniz Orta Boy Pizza + Kutu İçecek (Ekoterra pizzalar için geçerlidir. Favoriterra pizzalar için 3 TL, Şefterra pizzalar için 6 TL, Gurmeterra pizzalar için 9 TL fark uygulanmaktadır.) </t>
  </si>
  <si>
    <t xml:space="preserve">Seçeceğiniz 3 Adet Orta Boy Pizza + Litrelik İçecek (Ekoterra pizzalar için geçerlidir. Favoriterra pizzalar için 3 TL, Şefterra pizzalar için 6 TL, Gurmeterra pizzalar için 9 TL fark uygulanmaktadır.) </t>
  </si>
  <si>
    <t>5 Orta Boy Pizza Menü</t>
  </si>
  <si>
    <t xml:space="preserve">Seçeceğiniz 5 Adet Orta Boy Pizza (Ekoterra pizzalar için geçerlidir. Favoriterra pizzalar için 3 TL, Şefterra pizzalar için 6 TL, Gurmeterra pizzalar için 9 TL fark uygulanmaktadır.) </t>
  </si>
  <si>
    <t>5'li Orta Boy Pizza Menü</t>
  </si>
  <si>
    <t xml:space="preserve">Seçeceğiniz 5 Adet Orta Boy Pizza + 2 Adet Litrelik İçecek (Ekoterra pizzalar için geçerlidir. Favoriterra pizzalar için 3 TL, Şefterra pizzalar için 6 TL, Gurmeterra pizzalar için 9 TL fark uygulanmaktadır.) </t>
  </si>
  <si>
    <t>148,99 TL</t>
  </si>
  <si>
    <t>2 Büyük Boy Pizza Menü</t>
  </si>
  <si>
    <t xml:space="preserve">Seçeceğiniz 2 Adet Büyük Boy Pizza (Ekoterra pizzalar için geçerlidir. Favoriterra pizzalar için 3 TL, Şefterra pizzalar için 6 TL, Gurmeterra pizzalar için 9 TL fark uygulanmaktadır.) </t>
  </si>
  <si>
    <t>2'li Büyük Boy Pizza Menü</t>
  </si>
  <si>
    <t xml:space="preserve">Seçeceğiniz 2 Adet Büyük Boy Pizza + Litrelik İçecek (Ekoterra pizzalar için geçerlidir. Favoriterra pizzalar için 3 TL, Şefterra pizzalar için 6 TL, Gurmeterra pizzalar için 9 TL fark uygulanmaktadır.) </t>
  </si>
  <si>
    <t>106,99 TL</t>
  </si>
  <si>
    <t>3 Büyük Boy Pizza Menü</t>
  </si>
  <si>
    <t xml:space="preserve">Seçeceğiniz 3 Adet Büyük Boy Pizza (Ekoterra pizzalar için geçerlidir. Favoriterra pizzalar için 3 TL, Şefterra pizzalar için 6 TL, Gurmeterra pizzalar için 9 TL fark uygulanmaktadır.) </t>
  </si>
  <si>
    <t>3'lü Büyük Boy Pizza Menü</t>
  </si>
  <si>
    <t>146,99 TL</t>
  </si>
  <si>
    <t>5 Büyük Boy Pizza Menü</t>
  </si>
  <si>
    <t xml:space="preserve">Seçeceğiniz 5 Adet Büyük Boy Pizza (Ekoterra pizzalar için geçerlidir. Favoriterra pizzalar için 3 TL, Şefterra pizzalar için 6 TL, Gurmeterra pizzalar için 9 TL fark uygulanmaktadır.) </t>
  </si>
  <si>
    <t>219,99 TL</t>
  </si>
  <si>
    <t>5'li Büyük Boy Pizza Menü</t>
  </si>
  <si>
    <t xml:space="preserve">Seçeceğiniz 5 Adet Büyük Boy Pizza + 2 Adet Litrelik İçecek (Ekoterra pizzalar için geçerlidir. Favoriterra pizzalar için 3 TL, Şefterra pizzalar için 6 TL, Gurmeterra pizzalar için 9 TL fark uygulanmaktadır.) </t>
  </si>
  <si>
    <t>233,99 TL</t>
  </si>
  <si>
    <t>Küçük Boy Pizza Menü</t>
  </si>
  <si>
    <t xml:space="preserve">Seçeceğiniz Küçük Boy Pizza + Kutu İçecek (Ekoterra pizzalar için geçerlidir. Favoriterra pizzalar için 3 TL, Şefterra pizzalar için 6 TL, Gurmeterra pizzalar için 9 TL fark uygulanmaktadır.) </t>
  </si>
  <si>
    <t>2 Küçük Boy Pizza Menü</t>
  </si>
  <si>
    <t xml:space="preserve">Seçeceğiniz 2 Adet Küçük Boy Pizza (Ekoterra pizzalar için geçerlidir. Favoriterra pizzalar için 3 TL, Şefterra pizzalar için 6 TL, Gurmeterra pizzalar için 9 TL fark uygulanmaktadır.) </t>
  </si>
  <si>
    <t xml:space="preserve">Seçeceğiniz 2 Adet Küçük Boy Pizza + Litrelik İçecek (Ekoterra pizzalar için geçerlidir. Favoriterra pizzalar için 3 TL, Şefterra pizzalar için 6 TL, Gurmeterra pizzalar için 9 TL fark uygulanmaktadır.) </t>
  </si>
  <si>
    <t>3 Küçük Boy Pizza Menü</t>
  </si>
  <si>
    <t xml:space="preserve">Seçeceğiniz 3 Adet Küçük Boy Pizza (Ekoterra pizzalar için geçerlidir. Favoriterra pizzalar için 3 TL, Şefterra pizzalar için 6 TL, Gurmeterra pizzalar için 9 TL fark uygulanmaktadır.) </t>
  </si>
  <si>
    <t>3'lü Küçük Boy Pizza Menü</t>
  </si>
  <si>
    <t xml:space="preserve">Seçeceğiniz 3 Adet Küçük Boy Pizza + Litrelik İçecek (Ekoterra pizzalar için geçerlidir. Favoriterra pizzalar için 3 TL, Şefterra pizzalar için 6 TL, Gurmeterra pizzalar için 9 TL fark uygulanmaktadır.) </t>
  </si>
  <si>
    <t>5 Küçük Boy Pizza Menü</t>
  </si>
  <si>
    <t xml:space="preserve">Seçeceğiniz 5 Adet Küçük Boy Pizza (Ekoterra pizzalar için geçerlidir. Favoriterra pizzalar için 3 TL, Şefterra pizzalar için 6 TL, Gurmeterra pizzalar için 9 TL fark uygulanmaktadır.) </t>
  </si>
  <si>
    <t>5'li Küçük Boy Pizza Menü</t>
  </si>
  <si>
    <t xml:space="preserve">Seçeceğiniz 5 Adet Küçük Boy Pizza + 2 Adet Litrelik İçecek (Ekoterra pizzalar için geçerlidir. Favoriterra pizzalar için 3 TL, Şefterra pizzalar için 6 TL, Gurmeterra pizzalar için 9 TL fark uygulanmaktadır.) </t>
  </si>
  <si>
    <t>133,99 TL</t>
  </si>
  <si>
    <t xml:space="preserve">Büyük Dilim Pizza + Patates Kızartması + Kutu İçecek </t>
  </si>
  <si>
    <t>Dıp Dıp Menü</t>
  </si>
  <si>
    <t xml:space="preserve">Büyük Dilim Pizza + Chicken Fingers (4 Adet) + Kutu İçecek </t>
  </si>
  <si>
    <t xml:space="preserve">Chicken Fingers (6 Adet) + Patates Kızartması + Sarımsaklı Ekmek (1 Dilim) </t>
  </si>
  <si>
    <t xml:space="preserve">Büyük Dilim Pizza + Chicken Fingers (3 Adet) + Patates Kızartması + Kutu İçecek </t>
  </si>
  <si>
    <t xml:space="preserve">Büyük Dilim Pizza + Patates Kızartması + Chicken Fingers (2 Adet) + Nuggets (4 Adet) + Soğan Halkası (4 Adet) + Kutu İçecek </t>
  </si>
  <si>
    <t>Terra Margarita (Orta)</t>
  </si>
  <si>
    <t xml:space="preserve">Pizza Sosu, Mozzarella Peyniri, Dilim Domates </t>
  </si>
  <si>
    <t>Dopdolu Sucuklu (Orta)</t>
  </si>
  <si>
    <t xml:space="preserve">(Gino Pizza) Pizza Sosu, Mozzarella Peyniri, Dilim Sucuk </t>
  </si>
  <si>
    <t>Dopdolu İkili (Orta)</t>
  </si>
  <si>
    <t xml:space="preserve">Pizza Sosu, Mozzarella Peyniri, Salam, Zeytin </t>
  </si>
  <si>
    <t>Dopdolu Sosisli (Orta)</t>
  </si>
  <si>
    <t xml:space="preserve">Pizza Sosu, Mozzarella Peyniri, Sosis </t>
  </si>
  <si>
    <t>Efsane 5'li (Orta)</t>
  </si>
  <si>
    <t xml:space="preserve">Pizza Sosu, Mozzarella Peyniri, Mantar, Dilim Sosis, Mısır, Dilim Sucuk, Yeşilbiber </t>
  </si>
  <si>
    <t>Vejeterra (Orta)</t>
  </si>
  <si>
    <t xml:space="preserve">Pizza Sosu, Mozzarella Peyniri, Siyah Zeytin, Brokoli, Fırınlanmış Patlıcan, Közlenmiş Kırmızıbiber, Mantar </t>
  </si>
  <si>
    <t>Akdenizli (Orta)</t>
  </si>
  <si>
    <t xml:space="preserve">(Fiesta Pizza) Pizza Sosu, Beyaz Peynir, Kekik, Küp Domates, Mozzarella Peyniri, Siyah Zeytin </t>
  </si>
  <si>
    <t>Partiterra (Orta)</t>
  </si>
  <si>
    <t xml:space="preserve">(Ortaya Karışık Pizza) Pizza Sosu, Mozzarella Peyniri, Yeşilbiber, Siyah Zeytin, Mısır, Mantar, Közlenmiş Kırmızıbiber, Dilim Sucuk, Dilim Salam </t>
  </si>
  <si>
    <t>Patsos (Orta)</t>
  </si>
  <si>
    <t xml:space="preserve">Pizza Sosu, Mozarella Peyniri, Parmak Patates, Şerit Sosis </t>
  </si>
  <si>
    <t>Bol Bol (Orta)</t>
  </si>
  <si>
    <t xml:space="preserve">Pizza Sosu, Mozzarella Peyniri, Yeşilbiber, Mısır, Soğan, Mantar, Dilim Sucuk, Siyah Zeytin, Közlenmiş Kırmızıbiber, Küp Sucuk, Susam, Şerit Sosis </t>
  </si>
  <si>
    <t>Meksikalı (Orta)</t>
  </si>
  <si>
    <t xml:space="preserve">Barbekü Sosu, Mozzarella Peyniri, Mantar, Mısır, Dilim Sucuk, Dilim Domates, Kekik, Jalapeno Biber </t>
  </si>
  <si>
    <t>Süper Sucuklu (Orta)</t>
  </si>
  <si>
    <t xml:space="preserve">Pizza Sosu, Mozzarella Peyniri, Mantar, Siyah Zeytin, Közlenmiş Kırmızıbiber, Küp Sucuk, Kekik </t>
  </si>
  <si>
    <t>Barbekü Tavuklu (Orta)</t>
  </si>
  <si>
    <t xml:space="preserve">Pizza Taban Sosu veya Barbekü Taban Sos, Siyah Zeytin, Mısır, Közlenmiş Kırmızıbiber, Tavuk Parçaları, Jalapeno Biber </t>
  </si>
  <si>
    <t>Kaburgalı (Orta)</t>
  </si>
  <si>
    <t xml:space="preserve">Pizza Sosu veya Barbekü Sos, Mozzarella Peyniri, Mantar, Soğan, Barbekü Sos, Fırınlanmış Patlıcan, Susam, Kekik, Füme Kaburga </t>
  </si>
  <si>
    <t>4x4 Peynirli (Orta)</t>
  </si>
  <si>
    <t xml:space="preserve">Pizza Sosu, Mozzarella Peyniri, Cheddar Peyniri, Beyaz Peynir, Parmesan Peyniri, Kekik </t>
  </si>
  <si>
    <t>Kavurmalı (Orta)</t>
  </si>
  <si>
    <t xml:space="preserve">Pizza Sosu, Mozzarella Peyniri, Yeşilbiber, Mantar, Soğan, Kavurma </t>
  </si>
  <si>
    <t>Pastırmalı (Orta)</t>
  </si>
  <si>
    <t xml:space="preserve">Pizza Sosu, Mozzarella Peyniri, Yeşilbiber, Mantar, Dilim Domates, Pastırma </t>
  </si>
  <si>
    <t>Terra Margarita (Büyük)</t>
  </si>
  <si>
    <t>Dopdolu Sucuklu (Büyük)</t>
  </si>
  <si>
    <t>Dopdolu İkili (Büyük)</t>
  </si>
  <si>
    <t>Dopdolu Sosisli (Büyük)</t>
  </si>
  <si>
    <t>Efsane 5'li (Büyük)</t>
  </si>
  <si>
    <t>Vejeterra (Büyük)</t>
  </si>
  <si>
    <t>Akdenizli (Büyük)</t>
  </si>
  <si>
    <t>Partiterra (Büyük)</t>
  </si>
  <si>
    <t>Patsos (Büyük)</t>
  </si>
  <si>
    <t>Bol Bol (Büyük)</t>
  </si>
  <si>
    <t>Meksikalı (Büyük)</t>
  </si>
  <si>
    <t>Süper Sucuklu (Büyük)</t>
  </si>
  <si>
    <t>Barbekü Tavuklu (Büyük)</t>
  </si>
  <si>
    <t>Kaburgalı (Büyük)</t>
  </si>
  <si>
    <t>4x4 Peynirli (Büyük)</t>
  </si>
  <si>
    <t>Kavurmalı (Büyük)</t>
  </si>
  <si>
    <t>Pastırmalı (Büyük)</t>
  </si>
  <si>
    <t>Terra Margarita (Küçük)</t>
  </si>
  <si>
    <t>Dopdolu Sucuklu (Küçük)</t>
  </si>
  <si>
    <t>Dopdolu Sosisli (Küçük)</t>
  </si>
  <si>
    <t>Dopdolu İkili (Küçük)</t>
  </si>
  <si>
    <t>Efsane 5'li (Küçük)</t>
  </si>
  <si>
    <t>Vejeterra (Küçük)</t>
  </si>
  <si>
    <t>Akdenizli (Küçük)</t>
  </si>
  <si>
    <t>Partiterra (Küçük)</t>
  </si>
  <si>
    <t>Patsos (Küçük)</t>
  </si>
  <si>
    <t>Bol Bol (Küçük)</t>
  </si>
  <si>
    <t>Meksikalı (Küçük)</t>
  </si>
  <si>
    <t>Süper Sucuklu (Küçük)</t>
  </si>
  <si>
    <t>Barbekü Tavuklu (Küçük)</t>
  </si>
  <si>
    <t xml:space="preserve">Pizza Taban Sos veya Barbekü Taban Sos, Siyah Zeytin, Mısır, Közlenmiş Kırmızıbiber, Tavuk Parçaları, Jalapeno Biber </t>
  </si>
  <si>
    <t>Kaburgalı (Küçük)</t>
  </si>
  <si>
    <t>4x4 Peynirli (Küçük)</t>
  </si>
  <si>
    <t>Kavurmalı (Küçük)</t>
  </si>
  <si>
    <t>Pastırmalı (Küçük)</t>
  </si>
  <si>
    <t>5'li Çıtır Tavuk Topları</t>
  </si>
  <si>
    <t>Parmak Dilim Patates Kızartması (Orta)</t>
  </si>
  <si>
    <t xml:space="preserve">Patates baharatı ile </t>
  </si>
  <si>
    <t>Soğan Halkası (4 Adet)</t>
  </si>
  <si>
    <t>Tavuk Göğüs Parçaları (4 Adet)</t>
  </si>
  <si>
    <t>Sarımsaklı Ekmek (1 Dilim)</t>
  </si>
  <si>
    <t xml:space="preserve">Sarımsak sos, mozzarella peyniri </t>
  </si>
  <si>
    <t>Chicken Fingers (4 Adet)</t>
  </si>
  <si>
    <t>Büyük Dilim Pizza</t>
  </si>
  <si>
    <t>Çıtır Kutusu</t>
  </si>
  <si>
    <t xml:space="preserve">2 Adet Soğan Halkası, 2 Adet Tavuk Göğüs Parçaları, 2 Adet Chicken Fingers, 2 Adet Nuggets </t>
  </si>
  <si>
    <t>Patates Kovası</t>
  </si>
  <si>
    <t xml:space="preserve">3 porsiyon parmak dilim patates kızartması </t>
  </si>
  <si>
    <t>Çıtır Kovası</t>
  </si>
  <si>
    <t xml:space="preserve">4 Adet Tavuk Göğüs Parçaları, 2 Adet Chicken Fingers, 4 Adet Soğan Halkası, Patates Kızartması </t>
  </si>
  <si>
    <t>Tavuk Kovası</t>
  </si>
  <si>
    <t xml:space="preserve">4 Adet Tavuk Göğüs Parçaları + 4 Adet Chicken Fingers + 4 Adet Nuggets </t>
  </si>
  <si>
    <t>Knorr Çabuk Çorba</t>
  </si>
  <si>
    <t>Cappy Kayısı (33 cl.)</t>
  </si>
  <si>
    <t>Fuse Tea Mango (33 cl.)</t>
  </si>
  <si>
    <t>Damla Soda (20 cl.)</t>
  </si>
  <si>
    <t>Damla Su (50 cl.)</t>
  </si>
  <si>
    <t>Pizza Baharatı</t>
  </si>
  <si>
    <t>0,30 TL</t>
  </si>
  <si>
    <t>Gurme Burger Menü</t>
  </si>
  <si>
    <t xml:space="preserve">Gurme Burger + İçecek (25 cl.) </t>
  </si>
  <si>
    <t>Ekmek Arası Et Döner (100 gr.)</t>
  </si>
  <si>
    <t xml:space="preserve">Domates, soğan, turşu </t>
  </si>
  <si>
    <t>Ekmek Arası Et Döner (70 gr.)</t>
  </si>
  <si>
    <t>Ekmek Arası Et Döner (120 gr.)</t>
  </si>
  <si>
    <t>Ekmek Arası Et Döner (150 gr.)</t>
  </si>
  <si>
    <t>Ekmek Arası Et Döner (200 gr.)</t>
  </si>
  <si>
    <t>Et Döner Dürüm (100 gr.)</t>
  </si>
  <si>
    <t>Et Döner Dürüm (120 gr.)</t>
  </si>
  <si>
    <t>Et Döner Dürüm (150 gr.)</t>
  </si>
  <si>
    <t>Et Döner Dürüm (200 gr.)</t>
  </si>
  <si>
    <t>Pilav Üstü Et Döner (200 gr.)</t>
  </si>
  <si>
    <t xml:space="preserve">3 adet ekmek ile (Pişirilmiş) (Ürünün gramaj bilgisi çiğ halinin gramajıdır.) </t>
  </si>
  <si>
    <t xml:space="preserve">4 adet ekmek ile (Pişirilmiş) (Ürünün gramaj bilgisi çiğ halinin gramajıdır.) </t>
  </si>
  <si>
    <t xml:space="preserve">6 adet ekmek ile (Pişirilmiş) (Ürünün gramaj bilgisi çiğ halinin gramajıdır.) </t>
  </si>
  <si>
    <t xml:space="preserve">Sos, tereyağı, yoğurt </t>
  </si>
  <si>
    <t>Sarma Beyti Döner</t>
  </si>
  <si>
    <t xml:space="preserve">Lavaşa sarılı, soslu, yoğurtlu, tereyağlı. </t>
  </si>
  <si>
    <t xml:space="preserve">Kıvırcık marul, domates, turşu, sos </t>
  </si>
  <si>
    <t>Döner Burger</t>
  </si>
  <si>
    <t xml:space="preserve">Soğan, domates, turşu </t>
  </si>
  <si>
    <t>Tırnaklı Pide (Adet)</t>
  </si>
  <si>
    <t>Torku No On (25 cl.)</t>
  </si>
  <si>
    <t>Seydibey Gazoz (25 cl.)</t>
  </si>
  <si>
    <t>Ordakal (25 cl.)</t>
  </si>
  <si>
    <t>Limonata (25 cl.)</t>
  </si>
  <si>
    <t>Soğuk Çay (25 cl.)</t>
  </si>
  <si>
    <t>Elma Suyu (25 cl.)</t>
  </si>
  <si>
    <t>Su (30 cl.)</t>
  </si>
  <si>
    <t>Bol Menü</t>
  </si>
  <si>
    <t xml:space="preserve">Tam Somun Ekmek Arası Köfte (150 gr.) + Double Patates + Acı Sos + Közlenmiş Biber+ Biber Turşusu + İçecek </t>
  </si>
  <si>
    <t>Yarım Ekmek Arası Izgara Sucuk &amp; Köfte</t>
  </si>
  <si>
    <t xml:space="preserve">100 gr. salatalık turşusu, biber turşusu ile </t>
  </si>
  <si>
    <t xml:space="preserve">Izgara Köfte (10 Adet) + Patates Kızartması + Acı Sos + Salata + Közlenmiş Biber + Lavaş + Ayran (17 cl.) </t>
  </si>
  <si>
    <t>Adana Kebap &amp; Karışık Köfte Menü</t>
  </si>
  <si>
    <t xml:space="preserve">Adana Kebap (80 gr.) + 8 Adet Köfte (140 gr.) + Patates Kızartması + Ayran (17 cl.) </t>
  </si>
  <si>
    <t>Öğrenci Menü</t>
  </si>
  <si>
    <t xml:space="preserve">Yarım Ekmek Arası Köfte + Patates Kızartması + Acı Sos + Biber Turşusu + Ayran (17,5 cl.) </t>
  </si>
  <si>
    <t>Seçilmiş Menü (Ekmek Arası Izgara Sucuk) - Şu anda mevcut değil.</t>
  </si>
  <si>
    <t xml:space="preserve">Yarım Ekmek Arası Izgara Sucuk + Coca-Cola (33 cl.) </t>
  </si>
  <si>
    <t>Seçilmiş Menü (Tam Ekmek Arası Bol Köfte) - Şu anda mevcut değil.</t>
  </si>
  <si>
    <t xml:space="preserve">Tam Ekmek Arası Bol Köfte + Coca-Cola (33 cl.) </t>
  </si>
  <si>
    <t>Seçilmiş Menü (Tam Somun Ekmek Arası Köfte) - Şu anda mevcut değil.</t>
  </si>
  <si>
    <t xml:space="preserve">Tam Somun Ekmek Arası Köfte + Coca-Cola (33 cl.) </t>
  </si>
  <si>
    <t>Vodafone Menüsü (Tam Somun Ekmek Arası Karışık Izgara) - Şu anda mevcut değil.</t>
  </si>
  <si>
    <t xml:space="preserve">Tam Somun Ekmek Arası Karışık Izgara + Ayran (30 cl.) (Kampanya koşulları için restoranın Promosyonlar bölümüne göz atınız. İndirimli fiyat ürün sepete eklendikten sonra uygulanır.) </t>
  </si>
  <si>
    <t>Adana Zırh Kebap Dürüm Menü</t>
  </si>
  <si>
    <t xml:space="preserve">Adana Zırh Kebap Dürüm (Tek Şiş) + Közlenmiş Biber + Ayran (17 cl.) </t>
  </si>
  <si>
    <t>Tramvay Menü</t>
  </si>
  <si>
    <t xml:space="preserve">Ekmek Arası Köfte + Patates Kızartması + Közlenmiş Biber + Acı Sos + İçecek </t>
  </si>
  <si>
    <t>Köfte &amp; Sucuk Tabağı Menü</t>
  </si>
  <si>
    <t xml:space="preserve">Köfte &amp; Sucuk Tabağı (Izgara köfte, sucuk, patates kızartması, közlenmiş biber, turşu, acı sos) + Ayran (17 cl.) </t>
  </si>
  <si>
    <t>3'lü Standart Menü</t>
  </si>
  <si>
    <t xml:space="preserve">3 Adet Ekmek Arası Köfte + Patates Kızartması (3 Kişilik) + Double Acı Sos + Biber Turşusu + Coca-Cola (1 L.) </t>
  </si>
  <si>
    <t>Special Köfte Menü - Şu anda mevcut değil.</t>
  </si>
  <si>
    <t xml:space="preserve">7 Adet Special Et Köfte (140 gr.) (Közlenmiş biber, acı sos, biber turşusu ile) + Patates Kızartması + Salata + Ayran(17 cl.) </t>
  </si>
  <si>
    <t>3'lü Bol Menü</t>
  </si>
  <si>
    <t xml:space="preserve">3 Adet Tam Ekmek Arası Bol Köfte + Patates Kızartması (3 Kişilik) + Acı Sos + Biber Turşusu + Coca-Cola (1 L.) </t>
  </si>
  <si>
    <t xml:space="preserve">Adana Kebap (130 gr.) (Közlenmiş biber, acı sos, salata ile) + Ayran (30 cl.) </t>
  </si>
  <si>
    <t>Yarım Ekmek Bol Köfte (120 gr.)</t>
  </si>
  <si>
    <t xml:space="preserve">7 adet köfte, acı sos, biber turşusu </t>
  </si>
  <si>
    <t>Tam Ekmek Arası Special Köfte</t>
  </si>
  <si>
    <t xml:space="preserve">Özel baharatlı 6 adet köfte. Acı sos, biber turşusu </t>
  </si>
  <si>
    <t>Lavaş Arası Bol Köfte</t>
  </si>
  <si>
    <t xml:space="preserve">Biber turşusu, acı sos </t>
  </si>
  <si>
    <t>Bol Izgara Sucuk &amp; Köfte</t>
  </si>
  <si>
    <t xml:space="preserve">120 gr. salatalık turşusu, biber turşusu ile </t>
  </si>
  <si>
    <t xml:space="preserve">9 adet ızgara köfte. Patates kızartması, salata ile </t>
  </si>
  <si>
    <t>Yarım Ekmek Arası Kaşarlı Köfte</t>
  </si>
  <si>
    <t xml:space="preserve">5 adet köfte, biber turşusu, acı sos ile </t>
  </si>
  <si>
    <t>Lavaş Ekmeği Arası Köfte Dürüm</t>
  </si>
  <si>
    <t xml:space="preserve">Acı sos, biber turşusu ile </t>
  </si>
  <si>
    <t>Tam Ekmek Arası Bol Köfte</t>
  </si>
  <si>
    <t>Tam Ekmek Arası Karışık Köfte</t>
  </si>
  <si>
    <t xml:space="preserve">Kaşarlı köfte, ızgara köfte </t>
  </si>
  <si>
    <t>Adana Zırh Kebap</t>
  </si>
  <si>
    <t xml:space="preserve">150 gr. zırh kıyma, közlenmiş biber, salata ile </t>
  </si>
  <si>
    <t>Tam Ekmek Arası Full Köfte (160 gr.)</t>
  </si>
  <si>
    <t xml:space="preserve">Ekmek arası ızgara köfte, acı sos, biber turşusu </t>
  </si>
  <si>
    <t xml:space="preserve">Kıvırcık marul, domates, acı sos, turşu, isteğe göre soğan </t>
  </si>
  <si>
    <t>Tam Ekmek Arası Izgara Sucuk</t>
  </si>
  <si>
    <t>Tam Ekmek Arası Kaşarlı Köfte</t>
  </si>
  <si>
    <t>Tam Somun Ekmek Arası Karışık Izgara</t>
  </si>
  <si>
    <t xml:space="preserve">Köfte, sucuk, acı sos, biber turşusu, közlenmiş biber </t>
  </si>
  <si>
    <t>Tam Somun Ekmek Arası Köfte</t>
  </si>
  <si>
    <t xml:space="preserve">Acı sos, biber turşusu </t>
  </si>
  <si>
    <t>Tam Somun Ekmek Arası Sucuk</t>
  </si>
  <si>
    <t>Şalgam Suyu (33 cl.) - Şu anda mevcut değil.</t>
  </si>
  <si>
    <t xml:space="preserve">Ev yapımı, fıçı şalgam suyu </t>
  </si>
  <si>
    <t>Şalgam Suyu (5 L.) - Şu anda mevcut değil.</t>
  </si>
  <si>
    <t>Hamsi Tava (2 Kişilik)</t>
  </si>
  <si>
    <t>İstavrit Tava (2 Kişilik)</t>
  </si>
  <si>
    <t>Mangalda Uskumru</t>
  </si>
  <si>
    <t>Fırında Somon (300 gr.)</t>
  </si>
  <si>
    <t>Izgara Somon (Dilim)</t>
  </si>
  <si>
    <t>Alabalık Tava</t>
  </si>
  <si>
    <t>Somon Tava (Dilim)</t>
  </si>
  <si>
    <t xml:space="preserve">(300 gr.) Mevsim salata ile </t>
  </si>
  <si>
    <t>Fırında Alabalık</t>
  </si>
  <si>
    <t>Fırında Hamsi (2 Kişilik)</t>
  </si>
  <si>
    <t>Fırında Uskumru</t>
  </si>
  <si>
    <t>Fırında İstavrit (2 Kişilik)</t>
  </si>
  <si>
    <t>Mangalda Somon (300 gr.)</t>
  </si>
  <si>
    <t>Mangalda Alabalık</t>
  </si>
  <si>
    <t>Közlenmiş Biber</t>
  </si>
  <si>
    <t>Közlenmiş Domates</t>
  </si>
  <si>
    <t>Soğan Söğüş</t>
  </si>
  <si>
    <t>Tavuk Kelebek (1,5 kg.)</t>
  </si>
  <si>
    <t>Osmanlı Tavuk Pirzola (1,5 kg.)</t>
  </si>
  <si>
    <t>Osmanlı Tavuk Pirzola (1 kg.)</t>
  </si>
  <si>
    <t>Seçilmiş Menü (Şişko Çiğ Köfte Dürüm)</t>
  </si>
  <si>
    <t xml:space="preserve">Şişko Çiğ Köfte Dürüm + Coca-Cola (20 cl.) </t>
  </si>
  <si>
    <t>Vodafone Menüsü (Sushi Çiğ Köfte )</t>
  </si>
  <si>
    <t xml:space="preserve">Sushi Çiğ Köfte + Coca-Cola (1 L.) (Kampanya koşulları için restoranın Promosyonlar bölümüne göz atınız. İndirimli fiyat ürün sepete eklendikten sonra uygulanır.) </t>
  </si>
  <si>
    <t>Çiğ Köfte Menü</t>
  </si>
  <si>
    <t xml:space="preserve">Çiğ Köfte (330 gr.) + Açık Ayran </t>
  </si>
  <si>
    <t>17,80 TL</t>
  </si>
  <si>
    <t xml:space="preserve">150 gr. çiğ köfte, yeşillik, nar ekşisi, turşu, isteğe göre acı sos, karalahana </t>
  </si>
  <si>
    <t>Şişko Çiğ Köfte Dürüm</t>
  </si>
  <si>
    <t xml:space="preserve">200 gr. çiğ köfte, yeşillik, nar ekşisi, turşu, isteğe göre acı sos, karalahana </t>
  </si>
  <si>
    <t>Çiğ Köfte (330 gr.)</t>
  </si>
  <si>
    <t xml:space="preserve">Marul, yeşillik tabağı, turp, havuç, limon, biber turşusu, acı sos, nar ekşisi, salatalık turşusu, 3 adet lavaş ile </t>
  </si>
  <si>
    <t xml:space="preserve">Marul, yeşillik tabağı, turp, havuç, limon, biber turşusu, acı sos, nar ekşisi, salatalık turşusu, 4 adet lavaş ile </t>
  </si>
  <si>
    <t xml:space="preserve">Marul, yeşillik tabağı, turp, havuç, limon, biber turşusu, acı sos, nar ekşisi, salatalık turşusu, 8 adet lavaş ile </t>
  </si>
  <si>
    <t>Sushi Çiğ Köfte</t>
  </si>
  <si>
    <t xml:space="preserve">250 gr. çiğ köfte, yeşillik, turşu, domates ile </t>
  </si>
  <si>
    <t>Kınalı Katmer Çiğ Köfte</t>
  </si>
  <si>
    <t xml:space="preserve">Kınalı katmer içine 300 gr. çiğ köfte, acı sos, nar ekşisi, maydanoz </t>
  </si>
  <si>
    <t xml:space="preserve">Doritos, domates, salatalık, göbek marul </t>
  </si>
  <si>
    <t>Acı Sos (Küçük)</t>
  </si>
  <si>
    <t>Çiğ Köfte Lavaşı</t>
  </si>
  <si>
    <t xml:space="preserve">Odun ateşinde pişirilmiş. </t>
  </si>
  <si>
    <t>Yeşillik Tabağı</t>
  </si>
  <si>
    <t>Ekstra Turşu</t>
  </si>
  <si>
    <t>Algida Maraş Usulü Sade Dondurma (100 gr.)</t>
  </si>
  <si>
    <t>Algida Maraş Usulü Sade Dondurma (1 kg.)</t>
  </si>
  <si>
    <t>Algida Big Bold Karamel Çikolata (95 ml.)</t>
  </si>
  <si>
    <t>Magnum Mini Classic &amp; Badem &amp; Beyaz 6'lı Paket (345 ml.)</t>
  </si>
  <si>
    <t>Algida Maraş Usulü Dondurma Sade &amp; Çikolata (500 ml.)</t>
  </si>
  <si>
    <t>Carte D'or Classıc Antep Fıstığı &amp; Çikolata &amp; Karamel (1 kg.)</t>
  </si>
  <si>
    <t>Cornetto Disc Vanilya &amp; Karamel Dondurma (140 ml.)</t>
  </si>
  <si>
    <t>Cornetto Disc Antep Fıstığı &amp; Çikolata Dondurma (140 ml.)</t>
  </si>
  <si>
    <t>Ekler Tatlı</t>
  </si>
  <si>
    <t>Baton Pasta</t>
  </si>
  <si>
    <t>Alman Pastası (Dilim)</t>
  </si>
  <si>
    <t>Tatlı Kuru Pasta</t>
  </si>
  <si>
    <t>Adana El Yapımı Şalgam Suyu (33 cl.)</t>
  </si>
  <si>
    <t>Adana El Yapımı Şalgam Suyu (1 L.)</t>
  </si>
  <si>
    <t>Adana El Yapımı Şalgam Suyu (2 L.)</t>
  </si>
  <si>
    <t>Seçilmiş Menü (3'lü Dürüm Menü)</t>
  </si>
  <si>
    <t xml:space="preserve">3 Adet Dürüm Tavuk Döner + Patates Kızartması (Büyük Boy) + Soğan Halkası (6'lı) + Coca-Cola (1 L.) (Dürüm Tavuk Döner, Tombik Tavuk Döner ve Ekmek Arası Tavuk Döner seçimleri için geçerlidir. Dürüm Et Döner, Tombik Et Döner ve Ekmek Arası Et Döner seçimlerinde 4 TL, Adana Dürüm, Kibrit Patatesli Adana Dürüm seçimlerinde 7 TL fark alınmaktadır.) </t>
  </si>
  <si>
    <t>62,97 TL</t>
  </si>
  <si>
    <t>Seçilmiş Menü (Ustasından 2'li Fırsat Menüsü)</t>
  </si>
  <si>
    <t xml:space="preserve">2 Adet Dürüm Tavuk Döner + Patates Kızartması (Büyük Boy) + Litrelik İçecek (Dürüm Tavuk Döner, Tombik Tavuk Döner ve Ekmek Arası Tavuk Döner seçimleri için geçerlidir. Dürüm Et Döner, Tombik Et Döner ve Ekmek Arası Et Döner seçimlerinde 4 TL fark alınmaktadır.) </t>
  </si>
  <si>
    <t>Seçilmiş Menü (Dört Dörtlük Menü)</t>
  </si>
  <si>
    <t xml:space="preserve">4 Adet Dürüm Tavuk Döner + Patates Kızartması (Büyük Boy) + Soğan Halkası (6'lı) + İçecek (1 L.) (Dürüm Tavuk Döner, Tombik Tavuk Döner ve Ekmek Arası Tavuk Döner seçimleri için geçerlidir. Dürüm Et Döner, Tombik Et Döner ve Ekmek Arası Et Döner seçimlerinde 4 TL fark alınmaktadır.) </t>
  </si>
  <si>
    <t>Seçilmiş Menü (Seçmeli Baget Menü)</t>
  </si>
  <si>
    <t xml:space="preserve">3 Adet Baget Tavuk Döner + Patates Kızartması (Büyük) + Soğan Halkası (6’lı) + 1 L. İçecek (Sadece Baget Tavuk Döner seçimleri için geçerlidir. Her bir Baget Et Döner seçimlerinde 1,5 TL fark alınmaktadır.) </t>
  </si>
  <si>
    <t xml:space="preserve">Tombik Et Döner ya da Dürüm Et Döner + Orta Boy Patates + 4'lü Soğan Halkası + Kutu İçecek (Taşıma torbası seçimi siparişinizin doğru şekilde teslim edilebilmesi için eklenmiştir.) </t>
  </si>
  <si>
    <t>Pro Gamer Menü</t>
  </si>
  <si>
    <t xml:space="preserve">Dürüm Et Döner (90 gr.) + Patates Kızartması (Büyük Boy) + Soğan Halkası (6'lı) + 1 L. İçecek </t>
  </si>
  <si>
    <t>Bi’Kase Dolusu Menü</t>
  </si>
  <si>
    <t xml:space="preserve">2 Adet Bi’Kase Tavuklu Salata + 2 Adet Ayran </t>
  </si>
  <si>
    <t xml:space="preserve">3 Adet Dürüm Tavuk Döner + 1 L. İçecek (Dürüm Tavuk Döner için geçerlidir. Dürüm Et Döner seçimlerinde 4 TL, Adana Dürüm ve Kibrit Patatesli Adana Dürüm seçimlerinde 7 TL fiyat farkı alınmaktadır.) </t>
  </si>
  <si>
    <t>Ustasından Adana Dürüm Fırsatı</t>
  </si>
  <si>
    <t xml:space="preserve">2 Adet Adana Dürüm + 2 Adet Ayran </t>
  </si>
  <si>
    <t xml:space="preserve">2 Adet Tavuk Döner + 2 Adet Çiğ Köfte Dürüm + 2 Adet Mercimek Çorbası + 2 Adet Ayran (30 cl.) (Dürüm Tavuk Döner, Tombik Tavuk Döner ve Ekmek Arası Tavuk Döner seçimleri için geçerlidir. Dürüm Et Döner, Tombik Et Döner ve Ekmek Arası Et Döner seçimlerinde 4 TL fark alınmaktadır.) </t>
  </si>
  <si>
    <t>67,98 TL</t>
  </si>
  <si>
    <t>Doyuran Menü</t>
  </si>
  <si>
    <t xml:space="preserve">2 Adet UD® Et İskender + Patates Kızartması (Orta Boy) + Soğan Halkası (6'lı) + Çubuk Turşu + Litrelik İçecek </t>
  </si>
  <si>
    <t>73,98 TL</t>
  </si>
  <si>
    <t>Ustasından 2'li Fırsat Menüsü (Etli)</t>
  </si>
  <si>
    <t xml:space="preserve">2 Adet Dürüm Et Döner + Patates Kızartması (Büyük Boy) + Litrelik İçecek (Dürüm Et Döner, Tombik Et Döner ve Ekmek Arası Et Döner seçimleri için geçerlidir.) </t>
  </si>
  <si>
    <t>Dört Dörtlük Menü (Etli)</t>
  </si>
  <si>
    <t xml:space="preserve">4 Adet Dürüm Et Döner + Patates Kızartması (Büyük Boy) + Soğan Halkası (6'lı) + İçecek (1 L.) (Dürüm Et Döner, Tombik Et Döner ve Ekmek Arası Et Döner seçimleri için geçerlidir.) </t>
  </si>
  <si>
    <t>3'lü Baget Et Döner Menü</t>
  </si>
  <si>
    <t xml:space="preserve">3 Adet Baget Et Döner + Patates Kızartması (Büyük) + Soğan Halkası (6’lı) + 1 L. İçecek </t>
  </si>
  <si>
    <t>Tombik Avantaj Menü</t>
  </si>
  <si>
    <t xml:space="preserve">Tombik Tavuk Döner + Patates Kızartması (Orta Boy) + Soğan Halkası (6'lı) + Kutu İçecek </t>
  </si>
  <si>
    <t>Cheddarlı Adana Dürüm Menü</t>
  </si>
  <si>
    <t xml:space="preserve">Cheddarlı Adana Dürüm + Kutu İçecek </t>
  </si>
  <si>
    <t xml:space="preserve">Adana Dürüm + Kutu İçecek </t>
  </si>
  <si>
    <t>Kibrit Patatesli Adana Dürüm Menü</t>
  </si>
  <si>
    <t xml:space="preserve">Kibrit Patatesli Adana Dürüm + Kutu İçecek </t>
  </si>
  <si>
    <t>2'li Baget Tavuk Döner Menü</t>
  </si>
  <si>
    <t xml:space="preserve">2 Adet Baget Tavuk Döner + Patates Kızartması (Orta Boy) + Ayran (30 cl.) </t>
  </si>
  <si>
    <t>2'li Baget Köfte Menü</t>
  </si>
  <si>
    <t xml:space="preserve">2 Adet Baget Köfte + Patates Kızartması (Orta Boy) + Ayran (30 cl.) </t>
  </si>
  <si>
    <t>2'li Baget Et Döner Menü</t>
  </si>
  <si>
    <t xml:space="preserve">2 Adet Baget Et Döner + Patates Kızartması (Orta Boy) + Ayran (30 cl.) </t>
  </si>
  <si>
    <t>5'li Köfte Porsiyon Menü</t>
  </si>
  <si>
    <t xml:space="preserve">Köfte Porsiyon (5 adet köfte, köfte sosu, pilav, domates, biber, sumaklı soğan, yarım lavaş) + Kutu İçecek </t>
  </si>
  <si>
    <t>8'li Köfte Porsiyon Menü</t>
  </si>
  <si>
    <t xml:space="preserve">Köfte Porsiyon (8 adet köfte, köfte sosu, pilav, domates, biber, turşu, sumaklı soğan, yarım lavaş) + Kutu İçecek </t>
  </si>
  <si>
    <t>Köfte Ekmek Menü</t>
  </si>
  <si>
    <t xml:space="preserve">Köfte Ekmek + Patates Kızartması (Orta Boy) + Ayran (30 cl.) </t>
  </si>
  <si>
    <t>UD® Et İskender Menü</t>
  </si>
  <si>
    <t xml:space="preserve">UD® Et İskender + Kutu İçecek </t>
  </si>
  <si>
    <t>UD® Tavuk İskender Menü</t>
  </si>
  <si>
    <t xml:space="preserve">UD® Tavuk İskender + Kutu İçecek </t>
  </si>
  <si>
    <t>Tombik Et Döner Menü</t>
  </si>
  <si>
    <t xml:space="preserve">Tombik Et Döner + Patates Kızartması (Orta Boy) + Ayran (30 cl.) </t>
  </si>
  <si>
    <t>Ekmek Arası Et Döner Menü</t>
  </si>
  <si>
    <t xml:space="preserve">Ekmek Arası Et Döner + Patates Kızartması (Orta Boy) + Ayran (30 cl.) </t>
  </si>
  <si>
    <t>Dürüm Et Döner Menü</t>
  </si>
  <si>
    <t xml:space="preserve">Dürüm Et Döner + Patates Kızartması (Orta Boy) + Ayran (30 cl.) </t>
  </si>
  <si>
    <t>Tombik Tavuk Döner Menü</t>
  </si>
  <si>
    <t xml:space="preserve">Tombik Tavuk Döner + Patates Kızartması (Orta Boy) + Ayran (30 cl.) </t>
  </si>
  <si>
    <t>Ekmek Arası Tavuk Döner Menü</t>
  </si>
  <si>
    <t xml:space="preserve">Ekmek Arası Tavuk Döner + Patates Kızartması (Orta Boy) + Ayran (30 cl.) </t>
  </si>
  <si>
    <t>Dürüm Tavuk Döner Menü</t>
  </si>
  <si>
    <t xml:space="preserve">Dürüm Tavuk Döner + Patates Kızartması (Orta Boy) + Ayran (30 cl.) </t>
  </si>
  <si>
    <t>Tombik Et Döner Çocuk Menüsü</t>
  </si>
  <si>
    <t xml:space="preserve">Tombik Et Döner + Patates Kızartması (Küçük Boy) + Kutu İçecek + Sürpriz Oyuncak </t>
  </si>
  <si>
    <t>Tombik Tavuk Döner Çocuk Menüsü</t>
  </si>
  <si>
    <t xml:space="preserve">Tombik Tavuk Döner + Patates Kızartması (Küçük Boy) + Kutu İçecek + Sürpriz Oyuncak </t>
  </si>
  <si>
    <t>Küçük Salata</t>
  </si>
  <si>
    <t xml:space="preserve">Marul, turşu, domates, havuç, salatalık </t>
  </si>
  <si>
    <t>Çiğ Köfte Porsiyon (100 gr.)</t>
  </si>
  <si>
    <t xml:space="preserve">Marul, nar ekşisi, limon, lavaş ile </t>
  </si>
  <si>
    <t xml:space="preserve">100 gr. çiğ köfte, göbek marul, nar ekşisi </t>
  </si>
  <si>
    <t>Yoğurt</t>
  </si>
  <si>
    <t>Dürüm Ekmeği</t>
  </si>
  <si>
    <t>Çubuk Turşu</t>
  </si>
  <si>
    <t>Ustasından Bi’Kase Tavuklu Salata</t>
  </si>
  <si>
    <t xml:space="preserve">Akdeniz yeşilliği, domates, maydanoz, tavuk döner, gyro sos </t>
  </si>
  <si>
    <t>Ustasından Bi’Kase Tavuklu Karışık Salata</t>
  </si>
  <si>
    <t xml:space="preserve">Patates, pilav, Akdeniz yeşilliği, domates, maydanoz, tavuk döner, gyro sos </t>
  </si>
  <si>
    <t>UD® Et İskender</t>
  </si>
  <si>
    <t xml:space="preserve">İskender sosu, İskender tereyağı, sivri biber, domates, yoğurt </t>
  </si>
  <si>
    <t>Tombik Et Döner</t>
  </si>
  <si>
    <t xml:space="preserve">Domates, göbek salata, turşu </t>
  </si>
  <si>
    <t xml:space="preserve">Domates, turşu </t>
  </si>
  <si>
    <t>Dürüm Et Döner</t>
  </si>
  <si>
    <t xml:space="preserve">Kibrit patates, turşu </t>
  </si>
  <si>
    <t>96,99 TL</t>
  </si>
  <si>
    <t>179,99 TL</t>
  </si>
  <si>
    <t>UD® Tavuk İskender</t>
  </si>
  <si>
    <t>Tombik Tavuk Döner</t>
  </si>
  <si>
    <t xml:space="preserve">Göbek salata, turşu </t>
  </si>
  <si>
    <t>Ekmek Arası Tavuk Döner</t>
  </si>
  <si>
    <t xml:space="preserve">Turşu </t>
  </si>
  <si>
    <t>Dürüm Tavuk Döner</t>
  </si>
  <si>
    <t>125,99 TL</t>
  </si>
  <si>
    <t>5'li Köfte Porsiyon</t>
  </si>
  <si>
    <t xml:space="preserve">5 adet köfte, 1 adet köfte sosu, pilav, domates, biber, sumaklı soğan, yarım lavaş </t>
  </si>
  <si>
    <t>8'li Köfte Porsiyon</t>
  </si>
  <si>
    <t xml:space="preserve">8 adet köfte, köfte sosu, pilav, domates, biber, turşu, sumaklı soğan, yarım lavaş </t>
  </si>
  <si>
    <t>Köfte Ekmek</t>
  </si>
  <si>
    <t xml:space="preserve">Domates, çubuk turşu </t>
  </si>
  <si>
    <t>Cheddarlı Adana Dürüm</t>
  </si>
  <si>
    <t xml:space="preserve">Domates, maydanoz, cheddar peyniri </t>
  </si>
  <si>
    <t xml:space="preserve">Domates, maydanoz </t>
  </si>
  <si>
    <t>Kibrit Patatesli Adana Dürüm</t>
  </si>
  <si>
    <t xml:space="preserve">Kibrit patates, özel sos, domates, maydanoz </t>
  </si>
  <si>
    <t>Kova Patates</t>
  </si>
  <si>
    <t>Patates Kızartması (Dublex Boy)</t>
  </si>
  <si>
    <t>Künefe (Kaymaklı)</t>
  </si>
  <si>
    <t>Acısız Şalgam Suyu (33 cl.)</t>
  </si>
  <si>
    <t>Elmalı Soda</t>
  </si>
  <si>
    <t>Çilekli Soda</t>
  </si>
  <si>
    <t>Mandalinalı Soda</t>
  </si>
  <si>
    <t>Narlı Soda</t>
  </si>
  <si>
    <t>Karpuz &amp; Çilekli Soda</t>
  </si>
  <si>
    <t>Balsamik Salata Sosu</t>
  </si>
  <si>
    <t>Zeytinyağı + Limon Sos</t>
  </si>
  <si>
    <t>8'li Lahmacun Menü</t>
  </si>
  <si>
    <t xml:space="preserve">8 Adet Lahmacun + 1 L. İçecek </t>
  </si>
  <si>
    <t>Kova Kanat Kampanyası</t>
  </si>
  <si>
    <t xml:space="preserve">20 Adet Tavuk Kanat + 2 Adet Kutu İçecek </t>
  </si>
  <si>
    <t>Kıymalı &amp; Patatesli Menü</t>
  </si>
  <si>
    <t xml:space="preserve">Kıymalı Pide (50 cm.) + Patatesli Pide (50 cm.) + 1 L. İçecek </t>
  </si>
  <si>
    <t>Kıymalı &amp; Kaşarlı Menü</t>
  </si>
  <si>
    <t xml:space="preserve">Kıymalı Pide (50 cm.) + Kaşarlı Pide (50 cm.) + 1 L. İçecek </t>
  </si>
  <si>
    <t>Kuşbaşılı &amp; Sucuklu Kaşarlı Menü</t>
  </si>
  <si>
    <t xml:space="preserve">Kuşbaşılı Pide (50 cm.) + Sucuklu Kaşarlı Pide (50 cm.) + 1 L. İçecek </t>
  </si>
  <si>
    <t>2'li Lahmacun Menü</t>
  </si>
  <si>
    <t xml:space="preserve">2 Adet Lahmacun + Kutu İçecek </t>
  </si>
  <si>
    <t>4'lü Lahmacun Menü</t>
  </si>
  <si>
    <t xml:space="preserve">4 Adet Lahmacun + 1 L. İçecek </t>
  </si>
  <si>
    <t xml:space="preserve">Usta Karışık Pide + Kıymalı Pide + Litrelik İçecek </t>
  </si>
  <si>
    <t>53,90 TL</t>
  </si>
  <si>
    <t>Patatesli Pide Menü</t>
  </si>
  <si>
    <t xml:space="preserve">Patatesli Pide (50 cm.) + Ayran (Büyük - 300 ml.) </t>
  </si>
  <si>
    <t>21,49 TL</t>
  </si>
  <si>
    <t>Ispanaklı Pide Menü</t>
  </si>
  <si>
    <t xml:space="preserve">Ispanaklı Pide (50 cm.) + Ayran (Büyük - 300 ml.) </t>
  </si>
  <si>
    <t>23,49 TL</t>
  </si>
  <si>
    <t>Kaşarlı Pide Menü</t>
  </si>
  <si>
    <t xml:space="preserve">Kaşarlı Pide (50 cm.) + Ayran (Büyük - 300 ml.) </t>
  </si>
  <si>
    <t>29,49 TL</t>
  </si>
  <si>
    <t>Tavuklu Pide Menü</t>
  </si>
  <si>
    <t xml:space="preserve">Tavuklu Pide (50 cm.) + Ayran (Büyük - 300 ml.) </t>
  </si>
  <si>
    <t>27,49 TL</t>
  </si>
  <si>
    <t>Kıymalı Pide Menü</t>
  </si>
  <si>
    <t xml:space="preserve">Kıymalı Pide (50 cm.) + Ayran (Büyük - 300 ml.) </t>
  </si>
  <si>
    <t>Kuşbaşılı Pide Menü</t>
  </si>
  <si>
    <t xml:space="preserve">Kuşbaşılı Pide (50 cm.) + Ayran (Büyük - 300 ml.) </t>
  </si>
  <si>
    <t>32,49 TL</t>
  </si>
  <si>
    <t>Sucuklu Kaşarlı Pide Menü</t>
  </si>
  <si>
    <t xml:space="preserve">Sucuklu Kaşarlı Pide (50 cm.) + Ayran (Büyük - 300 ml.) </t>
  </si>
  <si>
    <t>33,49 TL</t>
  </si>
  <si>
    <t>Usta Karışık Pide Menü</t>
  </si>
  <si>
    <t xml:space="preserve">Usta Karışık Pide (50 cm.) + Ayran (Büyük - 300 ml.) </t>
  </si>
  <si>
    <t>Kapalı Patatesli Pide Menü</t>
  </si>
  <si>
    <t xml:space="preserve">Kapalı Patatesli Pide + Ayran (Büyük - 300 ml.) </t>
  </si>
  <si>
    <t>Kapalı Kaşarlı Pide Menü</t>
  </si>
  <si>
    <t xml:space="preserve">Kapalı Kaşarlı Pide + Ayran (Büyük - 300 ml.) </t>
  </si>
  <si>
    <t>Kapalı Ispanaklı Pide Menü</t>
  </si>
  <si>
    <t xml:space="preserve">Kapalı Ispanaklı Pide + Ayran (Büyük - 300 ml.) </t>
  </si>
  <si>
    <t>Kuşbaşılı Kaşarlı Pide Menü</t>
  </si>
  <si>
    <t xml:space="preserve">Kuşbaşılı Kaşarlı Pide (50 cm.) + Ayran (Büyük - 300 ml.) </t>
  </si>
  <si>
    <t>36,49 TL</t>
  </si>
  <si>
    <t>Mantarlı Kaşarlı Pide Menü</t>
  </si>
  <si>
    <t xml:space="preserve">Mantarlı Kaşarlı Pide (50 cm.) + Ayran (Büyük - 300 ml.) </t>
  </si>
  <si>
    <t>Sebzeli Pide Menü</t>
  </si>
  <si>
    <t xml:space="preserve">Sebzeli Pide (50 cm.) + Ayran (Büyük - 300 ml.) </t>
  </si>
  <si>
    <t>25,49 TL</t>
  </si>
  <si>
    <t>Tavuklu Pide</t>
  </si>
  <si>
    <t xml:space="preserve">Tavuk bonfile, domates, yeşilbiber, kekik, tuz, soya sosu, karabiber, kimyon </t>
  </si>
  <si>
    <t>Usta Karışık Pide</t>
  </si>
  <si>
    <t xml:space="preserve">Kaşar peyniri, dana sucuk, dana kıyma, dana kuşbaşı </t>
  </si>
  <si>
    <t xml:space="preserve">Kaşar peyniri </t>
  </si>
  <si>
    <t xml:space="preserve">Dana kıyma, rendelenmiş domates, kuru soğan, yeşilbiber, tuz, karabiber, kekik </t>
  </si>
  <si>
    <t xml:space="preserve">Ispanak, kaşar peyniri, kuru soğan, yeşilbiber, tuz, karabiber </t>
  </si>
  <si>
    <t xml:space="preserve">Dana sucuk, kaşar peyniri </t>
  </si>
  <si>
    <t xml:space="preserve">Dana kuşbaşı parçaları, domates, yeşilbiber, maydanoz, tereyağı, tuz, karabiber, kimyon, kekik </t>
  </si>
  <si>
    <t xml:space="preserve">Kaşar peyniri ile hazırlanan patates püresi, kuru soğan, yeşil çarliston biber, maydanoz </t>
  </si>
  <si>
    <t xml:space="preserve">Dana kuşbaşı parçaları, domates, yeşilbiber, maydanoz, kaşar peyniri, tuz, tereyağı, karabiber, kimyon, kekik </t>
  </si>
  <si>
    <t xml:space="preserve">Mantar, kaşar peyniri </t>
  </si>
  <si>
    <t xml:space="preserve">Domates, çarliston biber, kapya biber, mantar, mısır, kaşar peyniri </t>
  </si>
  <si>
    <t>Kapalı Patatesli Pide</t>
  </si>
  <si>
    <t>Kapalı Ispanaklı Pide</t>
  </si>
  <si>
    <t xml:space="preserve">Ispanak, kuru soğan, yeşilbiber, tuz, karabiber, pul biber </t>
  </si>
  <si>
    <t>Kapalı Kaşarlı Pide</t>
  </si>
  <si>
    <t xml:space="preserve">Kıyma, domates, yeşilbiber, maydanoz, soğan, salça, ayçiçek yağı, tuz, karabiber, kekik. Domates, maydanoz, limon ile </t>
  </si>
  <si>
    <t>Acılı Lahmacun</t>
  </si>
  <si>
    <t>Kova Kanat</t>
  </si>
  <si>
    <t xml:space="preserve">20 Adet Tavuk Kanat + Tırnak Pide </t>
  </si>
  <si>
    <t>Tereyağlı Fırın Patates (Büyük)</t>
  </si>
  <si>
    <t>Tereyağlı Fırın Patates (Küçük)</t>
  </si>
  <si>
    <t>Karışık Turşu</t>
  </si>
  <si>
    <t>4'lü Izgara Kanat</t>
  </si>
  <si>
    <t>6'lı Izgara Kanat</t>
  </si>
  <si>
    <t>8'li Izgara Kanat</t>
  </si>
  <si>
    <t xml:space="preserve">Kadayıf, künefe peyniri, tereyağı, şerbet </t>
  </si>
  <si>
    <t xml:space="preserve">Kadayıf, künefe peyniri, tereyağı, şerbet. Kaymak ile </t>
  </si>
  <si>
    <t>14,45 TL</t>
  </si>
  <si>
    <t xml:space="preserve">20 cl. </t>
  </si>
  <si>
    <t xml:space="preserve">50 cl. </t>
  </si>
  <si>
    <t xml:space="preserve">120 gr. çiğ köfte, domates, salatalık, yeşillik, nar ekşisi, acı sos, turşu </t>
  </si>
  <si>
    <t xml:space="preserve">6 adet lavaş, domates, salatalık, yeşillik, nar ekşisi, acı sos, turşu </t>
  </si>
  <si>
    <t xml:space="preserve">4 adet lavaş, domates, salatalık, yeşillik, nar ekşisi, acı sos, turşu </t>
  </si>
  <si>
    <t xml:space="preserve">Domates, salatalık, yeşillik, turşu, nar ekşisi, acı sos </t>
  </si>
  <si>
    <t xml:space="preserve">10 adet lavaş, domates, salatalık, yeşillik, kornişopn turşu, biberiye turşusu, acı sos, nar ekşisi </t>
  </si>
  <si>
    <t>Çiğ Köfte Sushi (300 gr.)</t>
  </si>
  <si>
    <t xml:space="preserve">Domates, salatalık, yeşillik, nar ekşisi, acı sos, turşu </t>
  </si>
  <si>
    <t xml:space="preserve">Acı sos, nar ekşisi </t>
  </si>
  <si>
    <t xml:space="preserve">12 adet lavaş, domates, salatalık, yeşillik, nar ekşisi, acı sos, turşu </t>
  </si>
  <si>
    <t>Açık Ayran (25 cl.) - Şu anda mevcut değil.</t>
  </si>
  <si>
    <t xml:space="preserve">Turşu, sos, nar ekşisi </t>
  </si>
  <si>
    <t xml:space="preserve">Lavaş, yeşillik, turşu, sos, nar ekşisi ile </t>
  </si>
  <si>
    <t>Ayran (25 cl.)</t>
  </si>
  <si>
    <t xml:space="preserve">Marul, maydanoz, biber turşusu, limon, acı sos, nar ekşisi, domates, salatalık </t>
  </si>
  <si>
    <t xml:space="preserve">Çiğ Köfte Dürüm + Nar Ekşisi + Turşu + Acı Sos + Ayran (28,5 cl.) </t>
  </si>
  <si>
    <t xml:space="preserve">Çiğ köfte (500 gr.), yeşillik, nar ekşisi, acı sos, turşu ile </t>
  </si>
  <si>
    <t xml:space="preserve">12 adet lavaş, marul, maydanoz, biber turşusu, limon nar ekşisi ile </t>
  </si>
  <si>
    <t xml:space="preserve">4 adet lavaş, marul, maydanoz, biber turşusu, limon nar ekşisi ile </t>
  </si>
  <si>
    <t xml:space="preserve">Çiğ Köfte (330 gr.) (Ekmek, yeşillik, sos, nar ekşisi) + Ayran (28,5 cl.) </t>
  </si>
  <si>
    <t xml:space="preserve">Çiğ köfte (750 gr.), yeşillik, nar ekşisi, acı sos, turşu ile </t>
  </si>
  <si>
    <t>Çiğ Köfte (150 gr.)</t>
  </si>
  <si>
    <t xml:space="preserve">3 adet lavaş, marul, maydanoz, biber turşusu, limon nar ekşisi ile </t>
  </si>
  <si>
    <t>Çiğ Köfte (2 kg.)</t>
  </si>
  <si>
    <t xml:space="preserve">Yeşillik, acı sos, nar ekşisi, biber turşusu, lavaş ile </t>
  </si>
  <si>
    <t>112,00 TL</t>
  </si>
  <si>
    <t>İçim Ayran (20 cl.)</t>
  </si>
  <si>
    <t>Vodafone Menüsü (Çiğ Köfte Dürüm)</t>
  </si>
  <si>
    <t xml:space="preserve">Çiğ Köfte Dürüm + Ayran (20 cl.) (Kampanya koşulları için restoranın Promosyonlar bölümüne göz atınız. İndirimli fiyat ürün sepete eklendikten sonra uygulanır.) </t>
  </si>
  <si>
    <t xml:space="preserve">2 adet lavaş, göbek marul, nar ekşisi, turşu, özel sos </t>
  </si>
  <si>
    <t>Çiğ Köfte (13 Sıkım)</t>
  </si>
  <si>
    <t xml:space="preserve">Göbek marul, 4 adet lavaş, 1 adet nar ekşisi, 1 adet sos, turşu ile </t>
  </si>
  <si>
    <t>Çiğ Köfte (26 Sıkım)</t>
  </si>
  <si>
    <t xml:space="preserve">2 adet göbek marul, 8 adet lavaş, 2 adet nar ekşisi, 1 adet sos, turşu ile </t>
  </si>
  <si>
    <t>Çğ Köfte (500 gr.)</t>
  </si>
  <si>
    <t xml:space="preserve">Göbek marul, 7 adet lavaş, 2 adet nar ekşisi, 2 adet sos, turşu ile </t>
  </si>
  <si>
    <t xml:space="preserve">2 adet göbek marul, 14 adet lavaş, 4 adet nar ekşisi, 4 adet sos, turşu ile </t>
  </si>
  <si>
    <t>El Yapımı Çiğ Köfte (500 gr.)</t>
  </si>
  <si>
    <t xml:space="preserve">Cevizli. Yeşillik, lavaş, turşu, acı sos, nar ekşisi ile </t>
  </si>
  <si>
    <t>El Yapımı Mega Doritoslu Çiğ Köfte Dürüm</t>
  </si>
  <si>
    <t xml:space="preserve">Cevizli çiğ köfte, yeşillik, turşu, acı sos, nar ekşisi, doritos </t>
  </si>
  <si>
    <t>Lavaş Ekmeği</t>
  </si>
  <si>
    <t>El Yapımı Çiğ Köfte Dürüm</t>
  </si>
  <si>
    <t xml:space="preserve">Cevizli çiğ köfte, yeşillik, turşu, acı sos, nar ekşisi </t>
  </si>
  <si>
    <t>El Yapımı Mega Çiğ Köfte Dürüm</t>
  </si>
  <si>
    <t>Seçilmiş Menü (El Yapımı Çiğ Köfte (250 gr.))</t>
  </si>
  <si>
    <t xml:space="preserve">El Yap��mı Çiğ Köfte (250 gr.) + Coca-Cola (33 cl.) </t>
  </si>
  <si>
    <t>Seçilmiş Menü (El Yapımı Çiğ Köfte (1 kg.))</t>
  </si>
  <si>
    <t xml:space="preserve">El Yapımı Çiğ Köfte (1 kg.) + Coca-Cola (1 L.) </t>
  </si>
  <si>
    <t>54,25 TL</t>
  </si>
  <si>
    <t>Seçilmiş Menü (El Yapımı Çiğ Köfte Dürüm)</t>
  </si>
  <si>
    <t xml:space="preserve">El Yapımı Çiğ Köfte Dürüm + Coca-Cola (33 cl.) </t>
  </si>
  <si>
    <t>Çiğ Köfte Sushi (250 gr.)</t>
  </si>
  <si>
    <t xml:space="preserve">Yeşillik, turşu, acı sos, nar ekşisi </t>
  </si>
  <si>
    <t>Çiğ Köfte Sushi (500 gr.)</t>
  </si>
  <si>
    <t>El Yapımı Çiğ Köfte (250 gr.)</t>
  </si>
  <si>
    <t>El Yapımı Çiğ Köfte (1 kg.)</t>
  </si>
  <si>
    <t>Doritos Taco Mega Boy (218 gr.)</t>
  </si>
  <si>
    <t>Açık Ayran (1 L.)</t>
  </si>
  <si>
    <t xml:space="preserve">Yeşillik, lavaş, sos. Turşu biberi ile </t>
  </si>
  <si>
    <t>Acı Tatlı Mix Menü</t>
  </si>
  <si>
    <t xml:space="preserve">Çiğ Köfte Dürüm + Cevizli Baklava (2 Dilim) + Ayran (30 cl.) </t>
  </si>
  <si>
    <t>Acı Tatlı Mix Menü 2</t>
  </si>
  <si>
    <t xml:space="preserve">Çiğ Köfte Dürüm + Fıstıklı Baklava (2 Dilim) + Ayran (30 cl.) </t>
  </si>
  <si>
    <t>Acı Tatlı Legend Menü</t>
  </si>
  <si>
    <t xml:space="preserve">Mega Çiğ Köfte Dürüm + Fıstıklı Sarma (2 Dilim) + Ayran (30 cl.) </t>
  </si>
  <si>
    <t>Acı Tatlı Mix Kadayıf Menü</t>
  </si>
  <si>
    <t xml:space="preserve">Mega Çiğ Köfte Dürüm + Dilim Cevizli Kadayıf (Dilim) + Ayran (30 cl.) </t>
  </si>
  <si>
    <t xml:space="preserve">3 adet lavaş, marul, yeşillik, sos, limon, turşu biberi ile </t>
  </si>
  <si>
    <t>Çiğ Köfe (24 Sıkım)</t>
  </si>
  <si>
    <t xml:space="preserve">6 adet lavaş, marul, yeşillik, sos, limon, turşu biberi ile </t>
  </si>
  <si>
    <t>Çiğ Köfte (34 Sıkım)</t>
  </si>
  <si>
    <t xml:space="preserve">10 adet lavaş, marul, yeşillik, sos, limon, turşu biberi ile </t>
  </si>
  <si>
    <t xml:space="preserve">12 adet lavaş, marul, yeşillik, sos, limon, turşu biberi ile </t>
  </si>
  <si>
    <t>Muhallebi</t>
  </si>
  <si>
    <t>Fıstıklı Baklava (4 Dilim)</t>
  </si>
  <si>
    <t>Fıstık Sarma (4 Dilim)</t>
  </si>
  <si>
    <t>Antep Fıstık Sarma</t>
  </si>
  <si>
    <t xml:space="preserve">Turşu biber, nar ekşisi, acı sos, 8 adet lavaş </t>
  </si>
  <si>
    <t xml:space="preserve">Turşu biber, nar ekşisi, acı sos, 10 adet lavaş </t>
  </si>
  <si>
    <t>Seçilmiş Menü (Çiğ Köfte - 200 gr.) - Şu anda mevcut değil.</t>
  </si>
  <si>
    <t xml:space="preserve">Turşu biber, nar ekşisi, acı sos, lavaş </t>
  </si>
  <si>
    <t>Çiğ Köfte (200 gr.) - Şu anda mevcut değil.</t>
  </si>
  <si>
    <t xml:space="preserve">Turşu biber, nar ekşisi, acı sos, 3 adet lavaş </t>
  </si>
  <si>
    <t>Çiğ Köfte (400 gr.) - Şu anda mevcut değil.</t>
  </si>
  <si>
    <t xml:space="preserve">Turşu biber, nar ekşisi, acı sos, 6 adet lavaş </t>
  </si>
  <si>
    <t>Çiğ Köfte (800 gr.) - Şu anda mevcut değil.</t>
  </si>
  <si>
    <t xml:space="preserve">Sucuk, salam, sosis, kaşar peyniri, domates. Patates kızartması ile </t>
  </si>
  <si>
    <t xml:space="preserve">7 çeşit peynir, siyah zeytin, yeşilzeytin, haşlanmış yumurta, salam, sosis, bal, tereyağı, reçel, ekmek </t>
  </si>
  <si>
    <t xml:space="preserve">Sucuk, salam, kaşar peyniri, turşu, domates, ketçap, mayonez </t>
  </si>
  <si>
    <t>Seçilmiş Menü (Kıymalı Makarna)</t>
  </si>
  <si>
    <t xml:space="preserve">Kıymalı Makarna + Coca-Cola (33 cl.) </t>
  </si>
  <si>
    <t>Seçilmiş Menü (Kavurmalı Sandviç)</t>
  </si>
  <si>
    <t xml:space="preserve">Kavurmalı Sandviç + Coca-Cola (33 cl.) </t>
  </si>
  <si>
    <t>Seçilmiş Menü (Kızartma İçli Köfte - 4 Adet)</t>
  </si>
  <si>
    <t xml:space="preserve">Kızartma İçli Köfte (4 Adet) + Coca-Cola (33 cl.) </t>
  </si>
  <si>
    <t xml:space="preserve">Günün Yemeği + Pilav + Salata + Ekmek + Ayran (30 cl.) </t>
  </si>
  <si>
    <t>Tavuklu Kaşarlı Dürüm Menü</t>
  </si>
  <si>
    <t xml:space="preserve">Tavuklu Kaşarlı Dürüm (90 gr. tavuk, 40 gr. kaşar peyniri, ketçap, mayonez) + Patates Kızartması + Ayran (30 cl.) </t>
  </si>
  <si>
    <t>Kaşarlı Köfte Dürüm Menü</t>
  </si>
  <si>
    <t xml:space="preserve">Kaşarlı Köfte Dürüm (90 gr. köfte, 40 gr. kaşar peyniri, ketçap, mayonez) + Patates Kızartması + Ayran (30 cl.) </t>
  </si>
  <si>
    <t xml:space="preserve">Karışık Tost + Patates Kızartması + Ayran (30 cl.) </t>
  </si>
  <si>
    <t xml:space="preserve">Köfte Dürüm + Patates Kızartması + Ayran (30 cl.) </t>
  </si>
  <si>
    <t>Tavuk Izgara Dürüm</t>
  </si>
  <si>
    <t xml:space="preserve">Tavuk Izgara Dürüm + Patates Kızartması + Ayran (30 cl.) </t>
  </si>
  <si>
    <t>Fit Menü 1</t>
  </si>
  <si>
    <t xml:space="preserve">Sade Kepekli Makarna + Yeşil Salata + Coca-Cola Şekersiz (33 cl.) </t>
  </si>
  <si>
    <t>Fit Menü 2</t>
  </si>
  <si>
    <t xml:space="preserve">Detoks Çorbası (Brokoli, havuç, karnabahar, zencefil) + Tavuk Biftek + Soda (20 cl.) </t>
  </si>
  <si>
    <t>Fit Menü 3</t>
  </si>
  <si>
    <t xml:space="preserve">Yağsız Et Köfte (4 Adet) + Ispanak Salatası + Yağsız Yoğurt </t>
  </si>
  <si>
    <t>Fit Menü 4</t>
  </si>
  <si>
    <t xml:space="preserve">Tavuk Şiş + Izgara Sebzeler + Light Ayran (20 cl.) </t>
  </si>
  <si>
    <t xml:space="preserve">Hamburger (90 gr.) + Patates Kızartması + Ayran (30 cl.) </t>
  </si>
  <si>
    <t>Biftek Dürüm Menü</t>
  </si>
  <si>
    <t xml:space="preserve">100 gr. Biftek Dürüm + Patates Kızartması + Ayran (30 cl.) </t>
  </si>
  <si>
    <t>Yeşilçam Menü</t>
  </si>
  <si>
    <t xml:space="preserve">Günün Yemeği + Pilav + Salata + Künefe + Ayran (30 cl.) </t>
  </si>
  <si>
    <t xml:space="preserve">2 adet yumurta, domates, biber, yumurta </t>
  </si>
  <si>
    <t>Diyet Kahvaltı</t>
  </si>
  <si>
    <t xml:space="preserve">1 adet kepekli ekmek, yumurta, yoğurtlu közlenmiş biber ve közlenmiş patlıcan, kuru kayısı, ceviz, beyaz peynir, siyah zeytin, tahinli pekmez, galeta </t>
  </si>
  <si>
    <t xml:space="preserve">2 adet yumurta, patates, ekmek </t>
  </si>
  <si>
    <t xml:space="preserve">2 adet yumurta, kaşar peyniri, ekmek </t>
  </si>
  <si>
    <t xml:space="preserve">2 adet yumurta, domates, biber, baharat, ekmek </t>
  </si>
  <si>
    <t xml:space="preserve">2 adet yumurta, sucuk, ekmek </t>
  </si>
  <si>
    <t>Diyet Special Tost</t>
  </si>
  <si>
    <t xml:space="preserve">Kepek ekmeğine; beyaz peynir, domates, siyah zeytin ezmesi, yeşilbiber, kekik </t>
  </si>
  <si>
    <t>Roket</t>
  </si>
  <si>
    <t xml:space="preserve">Dana salam, dana sucuk, dana sosis, pastırma, kavurma, patates kızartması, cheddar sos </t>
  </si>
  <si>
    <t>Anne Tostu</t>
  </si>
  <si>
    <t xml:space="preserve">Salça, sucuk, kaşar peyniri, kekik, pul biber. Patates kızartması ile </t>
  </si>
  <si>
    <t>Tatlı Tost</t>
  </si>
  <si>
    <t xml:space="preserve">Nutella, muz, çikolata sosu </t>
  </si>
  <si>
    <t>Tatlı Karışık Tost</t>
  </si>
  <si>
    <t xml:space="preserve">Bal, fındık ezmesi, muz, nutella, çikolata sosu, ceviz </t>
  </si>
  <si>
    <t>Peynir Sever Tost</t>
  </si>
  <si>
    <t xml:space="preserve">Cheddar peyniri, kaşar peyniri, çeçil peyniri, domates. Patates kızartması, salatalık ile </t>
  </si>
  <si>
    <t>Pastırmalı Tost</t>
  </si>
  <si>
    <t xml:space="preserve">Pastırma, kaşar peyniri. Patates kızartması ile </t>
  </si>
  <si>
    <t>Yok Yok Tost</t>
  </si>
  <si>
    <t xml:space="preserve">Salam, sucuk, sosis, yeşilbiber, yumurta, kaşar peyniri, baharat, zeytin. Patates kızartması ile </t>
  </si>
  <si>
    <t xml:space="preserve">Kaşar peyniri. yumurta. baharat. Patates kızartması ile </t>
  </si>
  <si>
    <t>Kavurmalı Sandviç</t>
  </si>
  <si>
    <t>Salamlı Sandviç</t>
  </si>
  <si>
    <t xml:space="preserve">Ton balığı, kornişon turşu, közlenmiş biber, roka, domates, salatalık. Mevsim yeşillikleri ile </t>
  </si>
  <si>
    <t xml:space="preserve">90 gr. burger köftesi, marul, domates, turşu </t>
  </si>
  <si>
    <t xml:space="preserve">90 gr. burger köftesi, çift kaşar peyniri, marul, domates, turşu </t>
  </si>
  <si>
    <t xml:space="preserve">90 gr. burger köftesi, özel acı sos, Mexican sos, cheddar peyniri </t>
  </si>
  <si>
    <t xml:space="preserve">150 gr. tavuk, pirinç pilavı, salata, ekmek ile </t>
  </si>
  <si>
    <t>Tavuk Nugget (7 Adet)</t>
  </si>
  <si>
    <t>Izgara Dana Köfte</t>
  </si>
  <si>
    <t xml:space="preserve">6 adet köfte, pirinç pilavı, salata, ekmek ile </t>
  </si>
  <si>
    <t>Kızartma İçli Köfte (4 Adet)</t>
  </si>
  <si>
    <t xml:space="preserve">Marine edilmiş dana eti, kırmızı kapya biber, mantar, kuru soğan, mısır, tortilla ekmeği, patates kızartması ile </t>
  </si>
  <si>
    <t xml:space="preserve">Marine edilmiş tavuk göğüs, kırmızı kapya biber, mantar, kuru soğan, tortilla ekmeği, patates kızartması ile </t>
  </si>
  <si>
    <t>Çökertme Et</t>
  </si>
  <si>
    <t xml:space="preserve">Kibrit patates üzerine jülyen bonfile parçaları. Közlenmiş domates, közlenmiş biber, süzme köy yoğurdu, domates sos ile </t>
  </si>
  <si>
    <t xml:space="preserve">Kibrit patates kızartması üzerinde jülyen ızgara tavuk göğüs dilimleri, közlenmiş domates. Közlenmiş biber, süzme köy yoğurdu, domates sos ile </t>
  </si>
  <si>
    <t xml:space="preserve">100 gr. et kavurma, pirinç pilavı, salata, ekmek ile </t>
  </si>
  <si>
    <t xml:space="preserve">100 gr. et kavurma, biber, domates, pirinç pilavı, salata ile </t>
  </si>
  <si>
    <t>Mantarlı Kremalı Makarna</t>
  </si>
  <si>
    <t>Hellimli Patatesli Salata</t>
  </si>
  <si>
    <t xml:space="preserve">Mevsim yeşillikleri, ton balığı, cherry domates, kornişon turşu, mısır, zeytin, közlenmiş biber, salatalık, mevsim yeşillikleri, ton balığı, cherry domates, kornişon turşu, mısır, zeytin, közlenmiş biber </t>
  </si>
  <si>
    <t>Yeşil Salata</t>
  </si>
  <si>
    <t xml:space="preserve">Marul, karalahana, havuç, mısır, salatalık turşusu </t>
  </si>
  <si>
    <t>Steak Salata</t>
  </si>
  <si>
    <t xml:space="preserve">Mevsim yeşillikleri, ızgara bonfile parçaları, mısır, zeytin, turşu, cherry domates, salatalık </t>
  </si>
  <si>
    <t xml:space="preserve">Izgara tavuk parçaları, Sezar sos, mevsim yeşillikleri, parmesan peyniri </t>
  </si>
  <si>
    <t>Sıcak Atıştırmalık Tabağı</t>
  </si>
  <si>
    <t xml:space="preserve">Panelenmiş baby nugget, soğan halkası, patates kroket, yıldız sosis, sigara böreği, parmak patates kızartması, pepper sos ile </t>
  </si>
  <si>
    <t>Schnitzel Tabağı</t>
  </si>
  <si>
    <t xml:space="preserve">Tavuk schnitzel. Patates kızartması, mevsim salata ile </t>
  </si>
  <si>
    <t>Sosis Tabağı</t>
  </si>
  <si>
    <t xml:space="preserve">4 adet sosis. Patates kızartması, mevsim salata, turşu ile </t>
  </si>
  <si>
    <t>Fıstık Rüyası Pasta</t>
  </si>
  <si>
    <t>Mono Latte Pasta</t>
  </si>
  <si>
    <t>Çilekli Çikolatalı Pasta</t>
  </si>
  <si>
    <t>Meşhur Abdullah Usta Sade Dondurma (500 gr.)</t>
  </si>
  <si>
    <t>Cappy Atom (33 cl.)</t>
  </si>
  <si>
    <t>Versage Enerji İçeceği (25 cl.)</t>
  </si>
  <si>
    <t>Buzlu Latte</t>
  </si>
  <si>
    <t xml:space="preserve">Büyük bardak </t>
  </si>
  <si>
    <t>Frappe &amp; Smoothies</t>
  </si>
  <si>
    <t xml:space="preserve">Büyük bardak. Seçeceğiniz çeşit ile </t>
  </si>
  <si>
    <t>Espresso Americano (Büyük)</t>
  </si>
  <si>
    <t>Espresso Cappucino (Büyük)</t>
  </si>
  <si>
    <t>Espresso Latte (Büyük)</t>
  </si>
  <si>
    <t>Espresso Shot</t>
  </si>
  <si>
    <t>Caramel Macchiato (Büyük)</t>
  </si>
  <si>
    <t>Osmanlı Kahvesi</t>
  </si>
  <si>
    <t>Dağ Çilekli Türk Kahvesi</t>
  </si>
  <si>
    <t>Menengiç Kahvesi</t>
  </si>
  <si>
    <t>Kervansaray Kahvesi</t>
  </si>
  <si>
    <t>Sıcak Çikolata (Büyük)</t>
  </si>
  <si>
    <t>Beyaz Çikolata (Büyük)</t>
  </si>
  <si>
    <t>Sahlep (Büyük)</t>
  </si>
  <si>
    <t>Buzlu Americano (Büyük)</t>
  </si>
  <si>
    <t>3 Karışım (50 cl.)</t>
  </si>
  <si>
    <t xml:space="preserve">Nar, portakal, elma </t>
  </si>
  <si>
    <t>Portakal Suyu (50 cl.)</t>
  </si>
  <si>
    <t>Havuç Suyu (50 cl.)</t>
  </si>
  <si>
    <t>Elma Suyu (50 cl.)</t>
  </si>
  <si>
    <t>C Plus (50 cl.)</t>
  </si>
  <si>
    <t>Limonata (50 cl.)</t>
  </si>
  <si>
    <t>Detoks Suyu 1 (50 cl.)</t>
  </si>
  <si>
    <t xml:space="preserve">Yeşil elma, limon, zencefil, bal, tarçın </t>
  </si>
  <si>
    <t>Detoks Suyu 2 (50 cl.)</t>
  </si>
  <si>
    <t xml:space="preserve">Yeşil elma, limon, zencefil, nane, salatık, maydanoz </t>
  </si>
  <si>
    <t xml:space="preserve">Turşu, nar ekşisi, acı sos </t>
  </si>
  <si>
    <t xml:space="preserve">Yeşillik, turşu, lavaş, nar ekşisi, acı sos ile </t>
  </si>
  <si>
    <t>Cevizli Çiğ Köfte (400 gr.)</t>
  </si>
  <si>
    <t xml:space="preserve">Özel sos, patates kızartması, domates, marul, turşu, mayonez, isteğe göre soğan. Turşu ile </t>
  </si>
  <si>
    <t xml:space="preserve">Domates, marul, turşu, isteğe göre soğan. Turşu ile </t>
  </si>
  <si>
    <t>Vodafone Menüsü (2 Hatay Usulü Tavuk Döner Dürüm)</t>
  </si>
  <si>
    <t xml:space="preserve">2 Adet Hatay Usulü Tavuk Döner Dürüm + 2 Adet Ayran (30 cl.) (Kampanya koşulları için restoranın Promosyonlar bölümüne göz atınız. İndirimli fiyat ürün sepete eklendikten sonra uygulanır.) </t>
  </si>
  <si>
    <t xml:space="preserve">Salata, turşu, patates kızartması ile </t>
  </si>
  <si>
    <t>Seçilmiş Menü (2 Et Döner Dürüm)</t>
  </si>
  <si>
    <t xml:space="preserve">2 Adet Et Döner Dürüm + 2 Adet Coca-Cola (33 cl.)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</si>
</sst>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213"/>
  <sheetViews>
    <sheetView tabSelected="1" topLeftCell="G186" workbookViewId="0">
      <selection activeCell="A2" sqref="A2:R213"/>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18"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18" x14ac:dyDescent="0.25">
      <c r="B2" t="s">
        <v>87</v>
      </c>
      <c r="C2" t="s">
        <v>79</v>
      </c>
      <c r="D2" t="s">
        <v>88</v>
      </c>
      <c r="E2" t="s">
        <v>88</v>
      </c>
      <c r="F2" t="s">
        <v>88</v>
      </c>
      <c r="G2" t="s">
        <v>89</v>
      </c>
      <c r="H2" t="s">
        <v>90</v>
      </c>
      <c r="I2" t="s">
        <v>91</v>
      </c>
      <c r="J2" t="s">
        <v>88</v>
      </c>
      <c r="K2" t="s">
        <v>88</v>
      </c>
      <c r="L2" t="s">
        <v>88</v>
      </c>
      <c r="M2" t="s">
        <v>88</v>
      </c>
      <c r="N2" t="s">
        <v>88</v>
      </c>
      <c r="O2">
        <v>1</v>
      </c>
      <c r="P2" t="s">
        <v>88</v>
      </c>
      <c r="Q2" t="s">
        <v>88</v>
      </c>
      <c r="R2" t="s">
        <v>92</v>
      </c>
    </row>
    <row r="3" spans="1:18" x14ac:dyDescent="0.25">
      <c r="B3" t="s">
        <v>93</v>
      </c>
      <c r="C3" t="s">
        <v>79</v>
      </c>
      <c r="D3" t="s">
        <v>88</v>
      </c>
      <c r="E3" t="s">
        <v>88</v>
      </c>
      <c r="F3" t="s">
        <v>88</v>
      </c>
      <c r="G3" t="s">
        <v>89</v>
      </c>
      <c r="H3" t="s">
        <v>90</v>
      </c>
      <c r="I3" t="s">
        <v>94</v>
      </c>
      <c r="J3" t="s">
        <v>88</v>
      </c>
      <c r="K3" t="s">
        <v>88</v>
      </c>
      <c r="L3" t="s">
        <v>88</v>
      </c>
      <c r="M3" t="s">
        <v>88</v>
      </c>
      <c r="N3" t="s">
        <v>88</v>
      </c>
      <c r="O3">
        <v>2</v>
      </c>
      <c r="P3" t="s">
        <v>88</v>
      </c>
      <c r="Q3" t="s">
        <v>88</v>
      </c>
      <c r="R3" t="s">
        <v>92</v>
      </c>
    </row>
    <row r="4" spans="1:18" x14ac:dyDescent="0.25">
      <c r="B4" t="s">
        <v>95</v>
      </c>
      <c r="C4" t="s">
        <v>96</v>
      </c>
      <c r="D4" t="s">
        <v>88</v>
      </c>
      <c r="E4" t="s">
        <v>88</v>
      </c>
      <c r="F4" t="s">
        <v>88</v>
      </c>
      <c r="G4" t="s">
        <v>89</v>
      </c>
      <c r="H4" t="s">
        <v>90</v>
      </c>
      <c r="I4" t="s">
        <v>97</v>
      </c>
      <c r="J4" t="s">
        <v>88</v>
      </c>
      <c r="K4" t="s">
        <v>88</v>
      </c>
      <c r="L4" t="s">
        <v>88</v>
      </c>
      <c r="M4" t="s">
        <v>88</v>
      </c>
      <c r="N4" t="s">
        <v>88</v>
      </c>
      <c r="O4">
        <v>3</v>
      </c>
      <c r="P4" t="s">
        <v>88</v>
      </c>
      <c r="Q4" t="s">
        <v>88</v>
      </c>
      <c r="R4" t="s">
        <v>92</v>
      </c>
    </row>
    <row r="5" spans="1:18" x14ac:dyDescent="0.25">
      <c r="B5" t="s">
        <v>98</v>
      </c>
      <c r="C5" t="s">
        <v>99</v>
      </c>
      <c r="D5" t="s">
        <v>88</v>
      </c>
      <c r="E5" t="s">
        <v>88</v>
      </c>
      <c r="F5" t="s">
        <v>88</v>
      </c>
      <c r="G5" t="s">
        <v>89</v>
      </c>
      <c r="H5" t="s">
        <v>100</v>
      </c>
      <c r="I5" t="s">
        <v>101</v>
      </c>
      <c r="J5" t="s">
        <v>88</v>
      </c>
      <c r="K5" t="s">
        <v>88</v>
      </c>
      <c r="L5" t="s">
        <v>88</v>
      </c>
      <c r="M5" t="s">
        <v>88</v>
      </c>
      <c r="N5" t="s">
        <v>88</v>
      </c>
      <c r="O5">
        <v>4</v>
      </c>
      <c r="P5" t="s">
        <v>88</v>
      </c>
      <c r="Q5" t="s">
        <v>88</v>
      </c>
      <c r="R5" t="s">
        <v>92</v>
      </c>
    </row>
    <row r="6" spans="1:18" x14ac:dyDescent="0.25">
      <c r="B6" t="s">
        <v>102</v>
      </c>
      <c r="C6" t="s">
        <v>103</v>
      </c>
      <c r="D6" t="s">
        <v>88</v>
      </c>
      <c r="E6" t="s">
        <v>88</v>
      </c>
      <c r="F6" t="s">
        <v>88</v>
      </c>
      <c r="G6" t="s">
        <v>89</v>
      </c>
      <c r="H6" t="s">
        <v>100</v>
      </c>
      <c r="I6" t="s">
        <v>104</v>
      </c>
      <c r="J6" t="s">
        <v>88</v>
      </c>
      <c r="K6" t="s">
        <v>88</v>
      </c>
      <c r="L6" t="s">
        <v>88</v>
      </c>
      <c r="M6" t="s">
        <v>88</v>
      </c>
      <c r="N6" t="s">
        <v>88</v>
      </c>
      <c r="O6">
        <v>5</v>
      </c>
      <c r="P6" t="s">
        <v>88</v>
      </c>
      <c r="Q6" t="s">
        <v>88</v>
      </c>
      <c r="R6" t="s">
        <v>92</v>
      </c>
    </row>
    <row r="7" spans="1:18" x14ac:dyDescent="0.25">
      <c r="B7" t="s">
        <v>105</v>
      </c>
      <c r="C7" t="s">
        <v>106</v>
      </c>
      <c r="D7" t="s">
        <v>88</v>
      </c>
      <c r="E7" t="s">
        <v>88</v>
      </c>
      <c r="F7" t="s">
        <v>88</v>
      </c>
      <c r="G7" t="s">
        <v>89</v>
      </c>
      <c r="H7" t="s">
        <v>100</v>
      </c>
      <c r="I7" t="s">
        <v>107</v>
      </c>
      <c r="J7" t="s">
        <v>88</v>
      </c>
      <c r="K7" t="s">
        <v>88</v>
      </c>
      <c r="L7" t="s">
        <v>88</v>
      </c>
      <c r="M7" t="s">
        <v>88</v>
      </c>
      <c r="N7" t="s">
        <v>88</v>
      </c>
      <c r="O7">
        <v>6</v>
      </c>
      <c r="P7" t="s">
        <v>88</v>
      </c>
      <c r="Q7" t="s">
        <v>88</v>
      </c>
      <c r="R7" t="s">
        <v>92</v>
      </c>
    </row>
    <row r="8" spans="1:18" x14ac:dyDescent="0.25">
      <c r="B8" t="s">
        <v>108</v>
      </c>
      <c r="C8" t="s">
        <v>106</v>
      </c>
      <c r="D8" t="s">
        <v>88</v>
      </c>
      <c r="E8" t="s">
        <v>88</v>
      </c>
      <c r="F8" t="s">
        <v>88</v>
      </c>
      <c r="G8" t="s">
        <v>89</v>
      </c>
      <c r="H8" t="s">
        <v>90</v>
      </c>
      <c r="I8" t="s">
        <v>109</v>
      </c>
      <c r="J8" t="s">
        <v>88</v>
      </c>
      <c r="K8" t="s">
        <v>88</v>
      </c>
      <c r="L8" t="s">
        <v>88</v>
      </c>
      <c r="M8" t="s">
        <v>88</v>
      </c>
      <c r="N8" t="s">
        <v>88</v>
      </c>
      <c r="O8">
        <v>7</v>
      </c>
      <c r="P8" t="s">
        <v>88</v>
      </c>
      <c r="Q8" t="s">
        <v>88</v>
      </c>
      <c r="R8" t="s">
        <v>92</v>
      </c>
    </row>
    <row r="9" spans="1:18" x14ac:dyDescent="0.25">
      <c r="B9" t="s">
        <v>110</v>
      </c>
      <c r="C9" t="s">
        <v>103</v>
      </c>
      <c r="D9" t="s">
        <v>88</v>
      </c>
      <c r="E9" t="s">
        <v>88</v>
      </c>
      <c r="F9" t="s">
        <v>88</v>
      </c>
      <c r="G9" t="s">
        <v>89</v>
      </c>
      <c r="H9" t="s">
        <v>90</v>
      </c>
      <c r="I9" t="s">
        <v>111</v>
      </c>
      <c r="J9" t="s">
        <v>88</v>
      </c>
      <c r="K9" t="s">
        <v>88</v>
      </c>
      <c r="L9" t="s">
        <v>88</v>
      </c>
      <c r="M9" t="s">
        <v>88</v>
      </c>
      <c r="N9" t="s">
        <v>88</v>
      </c>
      <c r="O9">
        <v>8</v>
      </c>
      <c r="P9" t="s">
        <v>88</v>
      </c>
      <c r="Q9" t="s">
        <v>88</v>
      </c>
      <c r="R9" t="s">
        <v>92</v>
      </c>
    </row>
    <row r="10" spans="1:18" x14ac:dyDescent="0.25">
      <c r="B10" t="s">
        <v>112</v>
      </c>
      <c r="C10" t="s">
        <v>106</v>
      </c>
      <c r="D10" t="s">
        <v>88</v>
      </c>
      <c r="E10" t="s">
        <v>88</v>
      </c>
      <c r="F10" t="s">
        <v>88</v>
      </c>
      <c r="G10" t="s">
        <v>89</v>
      </c>
      <c r="H10" t="s">
        <v>90</v>
      </c>
      <c r="I10" t="s">
        <v>113</v>
      </c>
      <c r="J10" t="s">
        <v>88</v>
      </c>
      <c r="K10" t="s">
        <v>88</v>
      </c>
      <c r="L10" t="s">
        <v>88</v>
      </c>
      <c r="M10" t="s">
        <v>88</v>
      </c>
      <c r="N10" t="s">
        <v>88</v>
      </c>
      <c r="O10">
        <v>9</v>
      </c>
      <c r="P10" t="s">
        <v>88</v>
      </c>
      <c r="Q10" t="s">
        <v>88</v>
      </c>
      <c r="R10" t="s">
        <v>92</v>
      </c>
    </row>
    <row r="11" spans="1:18" x14ac:dyDescent="0.25">
      <c r="B11" t="s">
        <v>114</v>
      </c>
      <c r="C11" t="s">
        <v>106</v>
      </c>
      <c r="D11" t="s">
        <v>88</v>
      </c>
      <c r="E11" t="s">
        <v>88</v>
      </c>
      <c r="F11" t="s">
        <v>88</v>
      </c>
      <c r="G11" t="s">
        <v>89</v>
      </c>
      <c r="H11" t="s">
        <v>90</v>
      </c>
      <c r="I11" t="s">
        <v>97</v>
      </c>
      <c r="J11" t="s">
        <v>88</v>
      </c>
      <c r="K11" t="s">
        <v>88</v>
      </c>
      <c r="L11" t="s">
        <v>88</v>
      </c>
      <c r="M11" t="s">
        <v>88</v>
      </c>
      <c r="N11" t="s">
        <v>88</v>
      </c>
      <c r="O11">
        <v>10</v>
      </c>
      <c r="P11" t="s">
        <v>88</v>
      </c>
      <c r="Q11" t="s">
        <v>88</v>
      </c>
      <c r="R11" t="s">
        <v>92</v>
      </c>
    </row>
    <row r="12" spans="1:18" x14ac:dyDescent="0.25">
      <c r="B12" t="s">
        <v>115</v>
      </c>
      <c r="C12" t="s">
        <v>106</v>
      </c>
      <c r="D12" t="s">
        <v>88</v>
      </c>
      <c r="E12" t="s">
        <v>88</v>
      </c>
      <c r="F12" t="s">
        <v>88</v>
      </c>
      <c r="G12" t="s">
        <v>89</v>
      </c>
      <c r="H12" t="s">
        <v>100</v>
      </c>
      <c r="I12" t="s">
        <v>116</v>
      </c>
      <c r="J12" t="s">
        <v>88</v>
      </c>
      <c r="K12" t="s">
        <v>88</v>
      </c>
      <c r="L12" t="s">
        <v>88</v>
      </c>
      <c r="M12" t="s">
        <v>88</v>
      </c>
      <c r="N12" t="s">
        <v>88</v>
      </c>
      <c r="O12">
        <v>11</v>
      </c>
      <c r="P12" t="s">
        <v>88</v>
      </c>
      <c r="Q12" t="s">
        <v>88</v>
      </c>
      <c r="R12" t="s">
        <v>92</v>
      </c>
    </row>
    <row r="13" spans="1:18" x14ac:dyDescent="0.25">
      <c r="B13" t="s">
        <v>117</v>
      </c>
      <c r="C13" t="s">
        <v>106</v>
      </c>
      <c r="D13" t="s">
        <v>88</v>
      </c>
      <c r="E13" t="s">
        <v>88</v>
      </c>
      <c r="F13" t="s">
        <v>88</v>
      </c>
      <c r="G13" t="s">
        <v>89</v>
      </c>
      <c r="H13" t="s">
        <v>90</v>
      </c>
      <c r="I13" t="s">
        <v>118</v>
      </c>
      <c r="J13" t="s">
        <v>88</v>
      </c>
      <c r="K13" t="s">
        <v>88</v>
      </c>
      <c r="L13" t="s">
        <v>88</v>
      </c>
      <c r="M13" t="s">
        <v>88</v>
      </c>
      <c r="N13" t="s">
        <v>88</v>
      </c>
      <c r="O13">
        <v>12</v>
      </c>
      <c r="P13" t="s">
        <v>88</v>
      </c>
      <c r="Q13" t="s">
        <v>88</v>
      </c>
      <c r="R13" t="s">
        <v>92</v>
      </c>
    </row>
    <row r="14" spans="1:18" x14ac:dyDescent="0.25">
      <c r="B14" t="s">
        <v>119</v>
      </c>
      <c r="C14" t="s">
        <v>106</v>
      </c>
      <c r="D14" t="s">
        <v>88</v>
      </c>
      <c r="E14" t="s">
        <v>88</v>
      </c>
      <c r="F14" t="s">
        <v>88</v>
      </c>
      <c r="G14" t="s">
        <v>89</v>
      </c>
      <c r="H14" t="s">
        <v>100</v>
      </c>
      <c r="I14" t="s">
        <v>120</v>
      </c>
      <c r="J14" t="s">
        <v>88</v>
      </c>
      <c r="K14" t="s">
        <v>88</v>
      </c>
      <c r="L14" t="s">
        <v>88</v>
      </c>
      <c r="M14" t="s">
        <v>88</v>
      </c>
      <c r="N14" t="s">
        <v>88</v>
      </c>
      <c r="O14">
        <v>13</v>
      </c>
      <c r="P14" t="s">
        <v>88</v>
      </c>
      <c r="Q14" t="s">
        <v>88</v>
      </c>
      <c r="R14" t="s">
        <v>92</v>
      </c>
    </row>
    <row r="15" spans="1:18" x14ac:dyDescent="0.25">
      <c r="B15" t="s">
        <v>121</v>
      </c>
      <c r="C15" t="s">
        <v>99</v>
      </c>
      <c r="D15" t="s">
        <v>88</v>
      </c>
      <c r="E15" t="s">
        <v>88</v>
      </c>
      <c r="F15" t="s">
        <v>88</v>
      </c>
      <c r="G15" t="s">
        <v>89</v>
      </c>
      <c r="H15" t="s">
        <v>100</v>
      </c>
      <c r="I15" t="s">
        <v>122</v>
      </c>
      <c r="J15" t="s">
        <v>88</v>
      </c>
      <c r="K15" t="s">
        <v>88</v>
      </c>
      <c r="L15" t="s">
        <v>88</v>
      </c>
      <c r="M15" t="s">
        <v>88</v>
      </c>
      <c r="N15" t="s">
        <v>88</v>
      </c>
      <c r="O15">
        <v>14</v>
      </c>
      <c r="P15" t="s">
        <v>88</v>
      </c>
      <c r="Q15" t="s">
        <v>88</v>
      </c>
      <c r="R15" t="s">
        <v>92</v>
      </c>
    </row>
    <row r="16" spans="1:18" x14ac:dyDescent="0.25">
      <c r="B16" t="s">
        <v>123</v>
      </c>
      <c r="C16" t="s">
        <v>124</v>
      </c>
      <c r="D16" t="s">
        <v>88</v>
      </c>
      <c r="E16" t="s">
        <v>88</v>
      </c>
      <c r="F16" t="s">
        <v>88</v>
      </c>
      <c r="G16" t="s">
        <v>89</v>
      </c>
      <c r="H16" t="s">
        <v>100</v>
      </c>
      <c r="I16" t="s">
        <v>125</v>
      </c>
      <c r="J16" t="s">
        <v>88</v>
      </c>
      <c r="K16" t="s">
        <v>88</v>
      </c>
      <c r="L16" t="s">
        <v>88</v>
      </c>
      <c r="M16" t="s">
        <v>88</v>
      </c>
      <c r="N16" t="s">
        <v>88</v>
      </c>
      <c r="O16">
        <v>15</v>
      </c>
      <c r="P16" t="s">
        <v>88</v>
      </c>
      <c r="Q16" t="s">
        <v>88</v>
      </c>
      <c r="R16" t="s">
        <v>92</v>
      </c>
    </row>
    <row r="17" spans="2:18" x14ac:dyDescent="0.25">
      <c r="B17" t="s">
        <v>126</v>
      </c>
      <c r="C17" t="s">
        <v>127</v>
      </c>
      <c r="D17" t="s">
        <v>88</v>
      </c>
      <c r="E17" t="s">
        <v>88</v>
      </c>
      <c r="F17" t="s">
        <v>88</v>
      </c>
      <c r="G17" t="s">
        <v>89</v>
      </c>
      <c r="H17" t="s">
        <v>100</v>
      </c>
      <c r="I17" t="s">
        <v>107</v>
      </c>
      <c r="J17" t="s">
        <v>88</v>
      </c>
      <c r="K17" t="s">
        <v>88</v>
      </c>
      <c r="L17" t="s">
        <v>88</v>
      </c>
      <c r="M17" t="s">
        <v>88</v>
      </c>
      <c r="N17" t="s">
        <v>88</v>
      </c>
      <c r="O17">
        <v>16</v>
      </c>
      <c r="P17" t="s">
        <v>88</v>
      </c>
      <c r="Q17" t="s">
        <v>88</v>
      </c>
      <c r="R17" t="s">
        <v>92</v>
      </c>
    </row>
    <row r="18" spans="2:18" x14ac:dyDescent="0.25">
      <c r="B18" t="s">
        <v>128</v>
      </c>
      <c r="C18" t="s">
        <v>129</v>
      </c>
      <c r="D18" t="s">
        <v>88</v>
      </c>
      <c r="E18" t="s">
        <v>88</v>
      </c>
      <c r="F18" t="s">
        <v>88</v>
      </c>
      <c r="G18" t="s">
        <v>89</v>
      </c>
      <c r="H18" t="s">
        <v>90</v>
      </c>
      <c r="I18" t="s">
        <v>130</v>
      </c>
      <c r="J18" t="s">
        <v>88</v>
      </c>
      <c r="K18" t="s">
        <v>88</v>
      </c>
      <c r="L18" t="s">
        <v>88</v>
      </c>
      <c r="M18" t="s">
        <v>88</v>
      </c>
      <c r="N18" t="s">
        <v>88</v>
      </c>
      <c r="O18">
        <v>17</v>
      </c>
      <c r="P18" t="s">
        <v>88</v>
      </c>
      <c r="Q18" t="s">
        <v>88</v>
      </c>
      <c r="R18" t="s">
        <v>92</v>
      </c>
    </row>
    <row r="19" spans="2:18" x14ac:dyDescent="0.25">
      <c r="B19" t="s">
        <v>131</v>
      </c>
      <c r="C19" t="s">
        <v>129</v>
      </c>
      <c r="D19" t="s">
        <v>88</v>
      </c>
      <c r="E19" t="s">
        <v>88</v>
      </c>
      <c r="F19" t="s">
        <v>88</v>
      </c>
      <c r="G19" t="s">
        <v>89</v>
      </c>
      <c r="H19" t="s">
        <v>100</v>
      </c>
      <c r="I19" t="s">
        <v>101</v>
      </c>
      <c r="J19" t="s">
        <v>88</v>
      </c>
      <c r="K19" t="s">
        <v>88</v>
      </c>
      <c r="L19" t="s">
        <v>88</v>
      </c>
      <c r="M19" t="s">
        <v>88</v>
      </c>
      <c r="N19" t="s">
        <v>88</v>
      </c>
      <c r="O19">
        <v>18</v>
      </c>
      <c r="P19" t="s">
        <v>88</v>
      </c>
      <c r="Q19" t="s">
        <v>88</v>
      </c>
      <c r="R19" t="s">
        <v>92</v>
      </c>
    </row>
    <row r="20" spans="2:18" x14ac:dyDescent="0.25">
      <c r="B20" t="s">
        <v>132</v>
      </c>
      <c r="C20" t="s">
        <v>103</v>
      </c>
      <c r="D20" t="s">
        <v>88</v>
      </c>
      <c r="E20" t="s">
        <v>88</v>
      </c>
      <c r="F20" t="s">
        <v>88</v>
      </c>
      <c r="G20" t="s">
        <v>89</v>
      </c>
      <c r="H20" t="s">
        <v>90</v>
      </c>
      <c r="I20" t="s">
        <v>133</v>
      </c>
      <c r="J20" t="s">
        <v>88</v>
      </c>
      <c r="K20" t="s">
        <v>88</v>
      </c>
      <c r="L20" t="s">
        <v>88</v>
      </c>
      <c r="M20" t="s">
        <v>88</v>
      </c>
      <c r="N20" t="s">
        <v>88</v>
      </c>
      <c r="O20">
        <v>19</v>
      </c>
      <c r="P20" t="s">
        <v>88</v>
      </c>
      <c r="Q20" t="s">
        <v>88</v>
      </c>
      <c r="R20" t="s">
        <v>92</v>
      </c>
    </row>
    <row r="21" spans="2:18" x14ac:dyDescent="0.25">
      <c r="B21" t="s">
        <v>134</v>
      </c>
      <c r="C21" t="s">
        <v>103</v>
      </c>
      <c r="D21" t="s">
        <v>88</v>
      </c>
      <c r="E21" t="s">
        <v>88</v>
      </c>
      <c r="F21" t="s">
        <v>88</v>
      </c>
      <c r="G21" t="s">
        <v>89</v>
      </c>
      <c r="H21" t="s">
        <v>90</v>
      </c>
      <c r="I21" t="s">
        <v>135</v>
      </c>
      <c r="J21" t="s">
        <v>88</v>
      </c>
      <c r="K21" t="s">
        <v>88</v>
      </c>
      <c r="L21" t="s">
        <v>88</v>
      </c>
      <c r="M21" t="s">
        <v>88</v>
      </c>
      <c r="N21" t="s">
        <v>88</v>
      </c>
      <c r="O21">
        <v>20</v>
      </c>
      <c r="P21" t="s">
        <v>88</v>
      </c>
      <c r="Q21" t="s">
        <v>88</v>
      </c>
      <c r="R21" t="s">
        <v>92</v>
      </c>
    </row>
    <row r="22" spans="2:18" x14ac:dyDescent="0.25">
      <c r="B22" t="s">
        <v>136</v>
      </c>
      <c r="C22" t="s">
        <v>137</v>
      </c>
      <c r="D22" t="s">
        <v>88</v>
      </c>
      <c r="E22" t="s">
        <v>88</v>
      </c>
      <c r="F22" t="s">
        <v>88</v>
      </c>
      <c r="G22" t="s">
        <v>89</v>
      </c>
      <c r="H22" t="s">
        <v>90</v>
      </c>
      <c r="I22" t="s">
        <v>94</v>
      </c>
      <c r="J22" t="s">
        <v>88</v>
      </c>
      <c r="K22" t="s">
        <v>88</v>
      </c>
      <c r="L22" t="s">
        <v>88</v>
      </c>
      <c r="M22" t="s">
        <v>88</v>
      </c>
      <c r="N22" t="s">
        <v>88</v>
      </c>
      <c r="O22">
        <v>21</v>
      </c>
      <c r="P22" t="s">
        <v>88</v>
      </c>
      <c r="Q22" t="s">
        <v>88</v>
      </c>
      <c r="R22" t="s">
        <v>92</v>
      </c>
    </row>
    <row r="23" spans="2:18" x14ac:dyDescent="0.25">
      <c r="B23" t="s">
        <v>138</v>
      </c>
      <c r="C23" t="s">
        <v>139</v>
      </c>
      <c r="D23" t="s">
        <v>88</v>
      </c>
      <c r="E23" t="s">
        <v>88</v>
      </c>
      <c r="F23" t="s">
        <v>88</v>
      </c>
      <c r="G23" t="s">
        <v>89</v>
      </c>
      <c r="H23" t="s">
        <v>90</v>
      </c>
      <c r="I23" t="s">
        <v>109</v>
      </c>
      <c r="J23" t="s">
        <v>88</v>
      </c>
      <c r="K23" t="s">
        <v>88</v>
      </c>
      <c r="L23" t="s">
        <v>88</v>
      </c>
      <c r="M23" t="s">
        <v>88</v>
      </c>
      <c r="N23" t="s">
        <v>88</v>
      </c>
      <c r="O23">
        <v>22</v>
      </c>
      <c r="P23" t="s">
        <v>88</v>
      </c>
      <c r="Q23" t="s">
        <v>88</v>
      </c>
      <c r="R23" t="s">
        <v>92</v>
      </c>
    </row>
    <row r="24" spans="2:18" x14ac:dyDescent="0.25">
      <c r="B24" t="s">
        <v>140</v>
      </c>
      <c r="C24" t="s">
        <v>103</v>
      </c>
      <c r="D24" t="s">
        <v>88</v>
      </c>
      <c r="E24" t="s">
        <v>88</v>
      </c>
      <c r="F24" t="s">
        <v>88</v>
      </c>
      <c r="G24" t="s">
        <v>89</v>
      </c>
      <c r="H24" t="s">
        <v>90</v>
      </c>
      <c r="I24" t="s">
        <v>109</v>
      </c>
      <c r="J24" t="s">
        <v>88</v>
      </c>
      <c r="K24" t="s">
        <v>88</v>
      </c>
      <c r="L24" t="s">
        <v>88</v>
      </c>
      <c r="M24" t="s">
        <v>88</v>
      </c>
      <c r="N24" t="s">
        <v>88</v>
      </c>
      <c r="O24">
        <v>23</v>
      </c>
      <c r="P24" t="s">
        <v>88</v>
      </c>
      <c r="Q24" t="s">
        <v>88</v>
      </c>
      <c r="R24" t="s">
        <v>92</v>
      </c>
    </row>
    <row r="25" spans="2:18" x14ac:dyDescent="0.25">
      <c r="B25" t="s">
        <v>141</v>
      </c>
      <c r="C25" t="s">
        <v>99</v>
      </c>
      <c r="D25" t="s">
        <v>88</v>
      </c>
      <c r="E25" t="s">
        <v>88</v>
      </c>
      <c r="F25" t="s">
        <v>88</v>
      </c>
      <c r="G25" t="s">
        <v>89</v>
      </c>
      <c r="H25" t="s">
        <v>90</v>
      </c>
      <c r="I25" t="s">
        <v>109</v>
      </c>
      <c r="J25" t="s">
        <v>88</v>
      </c>
      <c r="K25" t="s">
        <v>88</v>
      </c>
      <c r="L25" t="s">
        <v>88</v>
      </c>
      <c r="M25" t="s">
        <v>88</v>
      </c>
      <c r="N25" t="s">
        <v>88</v>
      </c>
      <c r="O25">
        <v>24</v>
      </c>
      <c r="P25" t="s">
        <v>88</v>
      </c>
      <c r="Q25" t="s">
        <v>88</v>
      </c>
      <c r="R25" t="s">
        <v>92</v>
      </c>
    </row>
    <row r="26" spans="2:18" x14ac:dyDescent="0.25">
      <c r="B26" t="s">
        <v>142</v>
      </c>
      <c r="C26" t="s">
        <v>143</v>
      </c>
      <c r="D26" t="s">
        <v>88</v>
      </c>
      <c r="E26" t="s">
        <v>88</v>
      </c>
      <c r="F26" t="s">
        <v>88</v>
      </c>
      <c r="G26" t="s">
        <v>89</v>
      </c>
      <c r="H26" t="s">
        <v>90</v>
      </c>
      <c r="I26" t="s">
        <v>109</v>
      </c>
      <c r="J26" t="s">
        <v>88</v>
      </c>
      <c r="K26" t="s">
        <v>88</v>
      </c>
      <c r="L26" t="s">
        <v>88</v>
      </c>
      <c r="M26" t="s">
        <v>88</v>
      </c>
      <c r="N26" t="s">
        <v>88</v>
      </c>
      <c r="O26">
        <v>25</v>
      </c>
      <c r="P26" t="s">
        <v>88</v>
      </c>
      <c r="Q26" t="s">
        <v>88</v>
      </c>
      <c r="R26" t="s">
        <v>92</v>
      </c>
    </row>
    <row r="27" spans="2:18" x14ac:dyDescent="0.25">
      <c r="B27" t="s">
        <v>144</v>
      </c>
      <c r="C27" t="s">
        <v>103</v>
      </c>
      <c r="D27" t="s">
        <v>88</v>
      </c>
      <c r="E27" t="s">
        <v>88</v>
      </c>
      <c r="F27" t="s">
        <v>88</v>
      </c>
      <c r="G27" t="s">
        <v>89</v>
      </c>
      <c r="H27" t="s">
        <v>90</v>
      </c>
      <c r="I27" t="s">
        <v>145</v>
      </c>
      <c r="J27" t="s">
        <v>88</v>
      </c>
      <c r="K27" t="s">
        <v>88</v>
      </c>
      <c r="L27" t="s">
        <v>88</v>
      </c>
      <c r="M27" t="s">
        <v>88</v>
      </c>
      <c r="N27" t="s">
        <v>88</v>
      </c>
      <c r="O27">
        <v>26</v>
      </c>
      <c r="P27" t="s">
        <v>88</v>
      </c>
      <c r="Q27" t="s">
        <v>88</v>
      </c>
      <c r="R27" t="s">
        <v>92</v>
      </c>
    </row>
    <row r="28" spans="2:18" x14ac:dyDescent="0.25">
      <c r="B28" t="s">
        <v>146</v>
      </c>
      <c r="C28" t="s">
        <v>106</v>
      </c>
      <c r="D28" t="s">
        <v>88</v>
      </c>
      <c r="E28" t="s">
        <v>88</v>
      </c>
      <c r="F28" t="s">
        <v>88</v>
      </c>
      <c r="G28" t="s">
        <v>89</v>
      </c>
      <c r="H28" t="s">
        <v>90</v>
      </c>
      <c r="I28" t="s">
        <v>147</v>
      </c>
      <c r="J28" t="s">
        <v>88</v>
      </c>
      <c r="K28" t="s">
        <v>88</v>
      </c>
      <c r="L28" t="s">
        <v>88</v>
      </c>
      <c r="M28" t="s">
        <v>88</v>
      </c>
      <c r="N28" t="s">
        <v>88</v>
      </c>
      <c r="O28">
        <v>27</v>
      </c>
      <c r="P28" t="s">
        <v>88</v>
      </c>
      <c r="Q28" t="s">
        <v>88</v>
      </c>
      <c r="R28" t="s">
        <v>92</v>
      </c>
    </row>
    <row r="29" spans="2:18" x14ac:dyDescent="0.25">
      <c r="B29" t="s">
        <v>148</v>
      </c>
      <c r="C29" t="s">
        <v>149</v>
      </c>
      <c r="D29" t="s">
        <v>88</v>
      </c>
      <c r="E29" t="s">
        <v>88</v>
      </c>
      <c r="F29" t="s">
        <v>88</v>
      </c>
      <c r="G29" t="s">
        <v>89</v>
      </c>
      <c r="H29" t="s">
        <v>100</v>
      </c>
      <c r="I29" t="s">
        <v>101</v>
      </c>
      <c r="J29" t="s">
        <v>88</v>
      </c>
      <c r="K29" t="s">
        <v>88</v>
      </c>
      <c r="L29" t="s">
        <v>88</v>
      </c>
      <c r="M29" t="s">
        <v>88</v>
      </c>
      <c r="N29" t="s">
        <v>88</v>
      </c>
      <c r="O29">
        <v>28</v>
      </c>
      <c r="P29" t="s">
        <v>88</v>
      </c>
      <c r="Q29" t="s">
        <v>88</v>
      </c>
      <c r="R29" t="s">
        <v>92</v>
      </c>
    </row>
    <row r="30" spans="2:18" x14ac:dyDescent="0.25">
      <c r="B30" t="s">
        <v>150</v>
      </c>
      <c r="C30" t="s">
        <v>139</v>
      </c>
      <c r="D30" t="s">
        <v>88</v>
      </c>
      <c r="E30" t="s">
        <v>88</v>
      </c>
      <c r="F30" t="s">
        <v>88</v>
      </c>
      <c r="G30" t="s">
        <v>89</v>
      </c>
      <c r="H30" t="s">
        <v>90</v>
      </c>
      <c r="I30" t="s">
        <v>151</v>
      </c>
      <c r="J30" t="s">
        <v>88</v>
      </c>
      <c r="K30" t="s">
        <v>88</v>
      </c>
      <c r="L30" t="s">
        <v>88</v>
      </c>
      <c r="M30" t="s">
        <v>88</v>
      </c>
      <c r="N30" t="s">
        <v>88</v>
      </c>
      <c r="O30">
        <v>29</v>
      </c>
      <c r="P30" t="s">
        <v>88</v>
      </c>
      <c r="Q30" t="s">
        <v>88</v>
      </c>
      <c r="R30" t="s">
        <v>92</v>
      </c>
    </row>
    <row r="31" spans="2:18" x14ac:dyDescent="0.25">
      <c r="B31" t="s">
        <v>152</v>
      </c>
      <c r="C31" t="s">
        <v>153</v>
      </c>
      <c r="D31" t="s">
        <v>88</v>
      </c>
      <c r="E31" t="s">
        <v>88</v>
      </c>
      <c r="F31" t="s">
        <v>88</v>
      </c>
      <c r="G31" t="s">
        <v>89</v>
      </c>
      <c r="H31" t="s">
        <v>100</v>
      </c>
      <c r="I31" t="s">
        <v>154</v>
      </c>
      <c r="J31" t="s">
        <v>88</v>
      </c>
      <c r="K31" t="s">
        <v>88</v>
      </c>
      <c r="L31" t="s">
        <v>88</v>
      </c>
      <c r="M31" t="s">
        <v>88</v>
      </c>
      <c r="N31" t="s">
        <v>88</v>
      </c>
      <c r="O31">
        <v>30</v>
      </c>
      <c r="P31" t="s">
        <v>88</v>
      </c>
      <c r="Q31" t="s">
        <v>88</v>
      </c>
      <c r="R31" t="s">
        <v>92</v>
      </c>
    </row>
    <row r="32" spans="2:18" x14ac:dyDescent="0.25">
      <c r="B32" t="s">
        <v>155</v>
      </c>
      <c r="C32" t="s">
        <v>99</v>
      </c>
      <c r="D32" t="s">
        <v>88</v>
      </c>
      <c r="E32" t="s">
        <v>88</v>
      </c>
      <c r="F32" t="s">
        <v>88</v>
      </c>
      <c r="G32" t="s">
        <v>89</v>
      </c>
      <c r="H32" t="s">
        <v>100</v>
      </c>
      <c r="I32" t="s">
        <v>107</v>
      </c>
      <c r="J32" t="s">
        <v>88</v>
      </c>
      <c r="K32" t="s">
        <v>88</v>
      </c>
      <c r="L32" t="s">
        <v>88</v>
      </c>
      <c r="M32" t="s">
        <v>88</v>
      </c>
      <c r="N32" t="s">
        <v>88</v>
      </c>
      <c r="O32">
        <v>31</v>
      </c>
      <c r="P32" t="s">
        <v>88</v>
      </c>
      <c r="Q32" t="s">
        <v>88</v>
      </c>
      <c r="R32" t="s">
        <v>92</v>
      </c>
    </row>
    <row r="33" spans="2:18" x14ac:dyDescent="0.25">
      <c r="B33" t="s">
        <v>156</v>
      </c>
      <c r="C33" t="s">
        <v>106</v>
      </c>
      <c r="D33" t="s">
        <v>88</v>
      </c>
      <c r="E33" t="s">
        <v>88</v>
      </c>
      <c r="F33" t="s">
        <v>88</v>
      </c>
      <c r="G33" t="s">
        <v>89</v>
      </c>
      <c r="H33" t="s">
        <v>100</v>
      </c>
      <c r="I33" t="s">
        <v>107</v>
      </c>
      <c r="J33" t="s">
        <v>88</v>
      </c>
      <c r="K33" t="s">
        <v>88</v>
      </c>
      <c r="L33" t="s">
        <v>88</v>
      </c>
      <c r="M33" t="s">
        <v>88</v>
      </c>
      <c r="N33" t="s">
        <v>88</v>
      </c>
      <c r="O33">
        <v>32</v>
      </c>
      <c r="P33" t="s">
        <v>88</v>
      </c>
      <c r="Q33" t="s">
        <v>88</v>
      </c>
      <c r="R33" t="s">
        <v>92</v>
      </c>
    </row>
    <row r="34" spans="2:18" x14ac:dyDescent="0.25">
      <c r="B34" t="s">
        <v>157</v>
      </c>
      <c r="C34" t="s">
        <v>106</v>
      </c>
      <c r="D34" t="s">
        <v>88</v>
      </c>
      <c r="E34" t="s">
        <v>88</v>
      </c>
      <c r="F34" t="s">
        <v>88</v>
      </c>
      <c r="G34" t="s">
        <v>89</v>
      </c>
      <c r="H34" t="s">
        <v>100</v>
      </c>
      <c r="I34" t="s">
        <v>158</v>
      </c>
      <c r="J34" t="s">
        <v>88</v>
      </c>
      <c r="K34" t="s">
        <v>88</v>
      </c>
      <c r="L34" t="s">
        <v>88</v>
      </c>
      <c r="M34" t="s">
        <v>88</v>
      </c>
      <c r="N34" t="s">
        <v>88</v>
      </c>
      <c r="O34">
        <v>33</v>
      </c>
      <c r="P34" t="s">
        <v>88</v>
      </c>
      <c r="Q34" t="s">
        <v>88</v>
      </c>
      <c r="R34" t="s">
        <v>92</v>
      </c>
    </row>
    <row r="35" spans="2:18" x14ac:dyDescent="0.25">
      <c r="B35" t="s">
        <v>159</v>
      </c>
      <c r="C35" t="s">
        <v>106</v>
      </c>
      <c r="D35" t="s">
        <v>88</v>
      </c>
      <c r="E35" t="s">
        <v>88</v>
      </c>
      <c r="F35" t="s">
        <v>88</v>
      </c>
      <c r="G35" t="s">
        <v>89</v>
      </c>
      <c r="H35" t="s">
        <v>100</v>
      </c>
      <c r="I35" t="s">
        <v>160</v>
      </c>
      <c r="J35" t="s">
        <v>88</v>
      </c>
      <c r="K35" t="s">
        <v>88</v>
      </c>
      <c r="L35" t="s">
        <v>88</v>
      </c>
      <c r="M35" t="s">
        <v>88</v>
      </c>
      <c r="N35" t="s">
        <v>88</v>
      </c>
      <c r="O35">
        <v>34</v>
      </c>
      <c r="P35" t="s">
        <v>88</v>
      </c>
      <c r="Q35" t="s">
        <v>88</v>
      </c>
      <c r="R35" t="s">
        <v>92</v>
      </c>
    </row>
    <row r="36" spans="2:18" x14ac:dyDescent="0.25">
      <c r="B36" t="s">
        <v>161</v>
      </c>
      <c r="C36" t="s">
        <v>106</v>
      </c>
      <c r="D36" t="s">
        <v>88</v>
      </c>
      <c r="E36" t="s">
        <v>88</v>
      </c>
      <c r="F36" t="s">
        <v>88</v>
      </c>
      <c r="G36" t="s">
        <v>89</v>
      </c>
      <c r="H36" t="s">
        <v>90</v>
      </c>
      <c r="I36" t="s">
        <v>147</v>
      </c>
      <c r="J36" t="s">
        <v>88</v>
      </c>
      <c r="K36" t="s">
        <v>88</v>
      </c>
      <c r="L36" t="s">
        <v>88</v>
      </c>
      <c r="M36" t="s">
        <v>88</v>
      </c>
      <c r="N36" t="s">
        <v>88</v>
      </c>
      <c r="O36">
        <v>35</v>
      </c>
      <c r="P36" t="s">
        <v>88</v>
      </c>
      <c r="Q36" t="s">
        <v>88</v>
      </c>
      <c r="R36" t="s">
        <v>92</v>
      </c>
    </row>
    <row r="37" spans="2:18" x14ac:dyDescent="0.25">
      <c r="B37" t="s">
        <v>162</v>
      </c>
      <c r="C37" t="s">
        <v>139</v>
      </c>
      <c r="D37" t="s">
        <v>88</v>
      </c>
      <c r="E37" t="s">
        <v>88</v>
      </c>
      <c r="F37" t="s">
        <v>88</v>
      </c>
      <c r="G37" t="s">
        <v>89</v>
      </c>
      <c r="H37" t="s">
        <v>100</v>
      </c>
      <c r="I37" t="s">
        <v>163</v>
      </c>
      <c r="J37" t="s">
        <v>88</v>
      </c>
      <c r="K37" t="s">
        <v>88</v>
      </c>
      <c r="L37" t="s">
        <v>88</v>
      </c>
      <c r="M37" t="s">
        <v>88</v>
      </c>
      <c r="N37" t="s">
        <v>88</v>
      </c>
      <c r="O37">
        <v>36</v>
      </c>
      <c r="P37" t="s">
        <v>88</v>
      </c>
      <c r="Q37" t="s">
        <v>88</v>
      </c>
      <c r="R37" t="s">
        <v>92</v>
      </c>
    </row>
    <row r="38" spans="2:18" x14ac:dyDescent="0.25">
      <c r="B38" t="s">
        <v>164</v>
      </c>
      <c r="C38" t="s">
        <v>143</v>
      </c>
      <c r="D38" t="s">
        <v>88</v>
      </c>
      <c r="E38" t="s">
        <v>88</v>
      </c>
      <c r="F38" t="s">
        <v>88</v>
      </c>
      <c r="G38" t="s">
        <v>89</v>
      </c>
      <c r="H38" t="s">
        <v>90</v>
      </c>
      <c r="I38" t="s">
        <v>91</v>
      </c>
      <c r="J38" t="s">
        <v>88</v>
      </c>
      <c r="K38" t="s">
        <v>88</v>
      </c>
      <c r="L38" t="s">
        <v>88</v>
      </c>
      <c r="M38" t="s">
        <v>88</v>
      </c>
      <c r="N38" t="s">
        <v>88</v>
      </c>
      <c r="O38">
        <v>37</v>
      </c>
      <c r="P38" t="s">
        <v>88</v>
      </c>
      <c r="Q38" t="s">
        <v>88</v>
      </c>
      <c r="R38" t="s">
        <v>92</v>
      </c>
    </row>
    <row r="39" spans="2:18" x14ac:dyDescent="0.25">
      <c r="B39" t="s">
        <v>165</v>
      </c>
      <c r="C39" t="s">
        <v>149</v>
      </c>
      <c r="D39" t="s">
        <v>88</v>
      </c>
      <c r="E39" t="s">
        <v>88</v>
      </c>
      <c r="F39" t="s">
        <v>88</v>
      </c>
      <c r="G39" t="s">
        <v>89</v>
      </c>
      <c r="H39" t="s">
        <v>90</v>
      </c>
      <c r="I39" t="s">
        <v>166</v>
      </c>
      <c r="J39" t="s">
        <v>88</v>
      </c>
      <c r="K39" t="s">
        <v>88</v>
      </c>
      <c r="L39" t="s">
        <v>88</v>
      </c>
      <c r="M39" t="s">
        <v>88</v>
      </c>
      <c r="N39" t="s">
        <v>88</v>
      </c>
      <c r="O39">
        <v>38</v>
      </c>
      <c r="P39" t="s">
        <v>88</v>
      </c>
      <c r="Q39" t="s">
        <v>88</v>
      </c>
      <c r="R39" t="s">
        <v>92</v>
      </c>
    </row>
    <row r="40" spans="2:18" x14ac:dyDescent="0.25">
      <c r="B40" t="s">
        <v>167</v>
      </c>
      <c r="C40" t="s">
        <v>149</v>
      </c>
      <c r="D40" t="s">
        <v>88</v>
      </c>
      <c r="E40" t="s">
        <v>88</v>
      </c>
      <c r="F40" t="s">
        <v>88</v>
      </c>
      <c r="G40" t="s">
        <v>89</v>
      </c>
      <c r="H40" t="s">
        <v>90</v>
      </c>
      <c r="I40" t="s">
        <v>168</v>
      </c>
      <c r="J40" t="s">
        <v>88</v>
      </c>
      <c r="K40" t="s">
        <v>88</v>
      </c>
      <c r="L40" t="s">
        <v>88</v>
      </c>
      <c r="M40" t="s">
        <v>88</v>
      </c>
      <c r="N40" t="s">
        <v>88</v>
      </c>
      <c r="O40">
        <v>39</v>
      </c>
      <c r="P40" t="s">
        <v>88</v>
      </c>
      <c r="Q40" t="s">
        <v>88</v>
      </c>
      <c r="R40" t="s">
        <v>92</v>
      </c>
    </row>
    <row r="41" spans="2:18" x14ac:dyDescent="0.25">
      <c r="B41" t="s">
        <v>169</v>
      </c>
      <c r="C41" t="s">
        <v>79</v>
      </c>
      <c r="D41" t="s">
        <v>88</v>
      </c>
      <c r="E41" t="s">
        <v>88</v>
      </c>
      <c r="F41" t="s">
        <v>88</v>
      </c>
      <c r="G41" t="s">
        <v>89</v>
      </c>
      <c r="H41" t="s">
        <v>100</v>
      </c>
      <c r="I41" t="s">
        <v>170</v>
      </c>
      <c r="J41" t="s">
        <v>88</v>
      </c>
      <c r="K41" t="s">
        <v>88</v>
      </c>
      <c r="L41" t="s">
        <v>88</v>
      </c>
      <c r="M41" t="s">
        <v>88</v>
      </c>
      <c r="N41" t="s">
        <v>88</v>
      </c>
      <c r="O41">
        <v>40</v>
      </c>
      <c r="P41" t="s">
        <v>88</v>
      </c>
      <c r="Q41" t="s">
        <v>88</v>
      </c>
      <c r="R41" t="s">
        <v>92</v>
      </c>
    </row>
    <row r="42" spans="2:18" x14ac:dyDescent="0.25">
      <c r="B42" t="s">
        <v>171</v>
      </c>
      <c r="C42" t="s">
        <v>79</v>
      </c>
      <c r="D42" t="s">
        <v>88</v>
      </c>
      <c r="E42" t="s">
        <v>88</v>
      </c>
      <c r="F42" t="s">
        <v>88</v>
      </c>
      <c r="G42" t="s">
        <v>89</v>
      </c>
      <c r="H42" t="s">
        <v>90</v>
      </c>
      <c r="I42" t="s">
        <v>111</v>
      </c>
      <c r="J42" t="s">
        <v>88</v>
      </c>
      <c r="K42" t="s">
        <v>88</v>
      </c>
      <c r="L42" t="s">
        <v>88</v>
      </c>
      <c r="M42" t="s">
        <v>88</v>
      </c>
      <c r="N42" t="s">
        <v>88</v>
      </c>
      <c r="O42">
        <v>41</v>
      </c>
      <c r="P42" t="s">
        <v>88</v>
      </c>
      <c r="Q42" t="s">
        <v>88</v>
      </c>
      <c r="R42" t="s">
        <v>92</v>
      </c>
    </row>
    <row r="43" spans="2:18" x14ac:dyDescent="0.25">
      <c r="B43" t="s">
        <v>172</v>
      </c>
      <c r="C43" t="s">
        <v>173</v>
      </c>
      <c r="D43" t="s">
        <v>88</v>
      </c>
      <c r="E43" t="s">
        <v>88</v>
      </c>
      <c r="F43" t="s">
        <v>88</v>
      </c>
      <c r="G43" t="s">
        <v>89</v>
      </c>
      <c r="H43" t="s">
        <v>100</v>
      </c>
      <c r="I43" t="s">
        <v>174</v>
      </c>
      <c r="J43" t="s">
        <v>88</v>
      </c>
      <c r="K43" t="s">
        <v>88</v>
      </c>
      <c r="L43" t="s">
        <v>88</v>
      </c>
      <c r="M43" t="s">
        <v>88</v>
      </c>
      <c r="N43" t="s">
        <v>88</v>
      </c>
      <c r="O43">
        <v>42</v>
      </c>
      <c r="P43" t="s">
        <v>88</v>
      </c>
      <c r="Q43" t="s">
        <v>88</v>
      </c>
      <c r="R43" t="s">
        <v>92</v>
      </c>
    </row>
    <row r="44" spans="2:18" x14ac:dyDescent="0.25">
      <c r="B44" t="s">
        <v>175</v>
      </c>
      <c r="C44" t="s">
        <v>176</v>
      </c>
      <c r="D44" t="s">
        <v>88</v>
      </c>
      <c r="E44" t="s">
        <v>88</v>
      </c>
      <c r="F44" t="s">
        <v>88</v>
      </c>
      <c r="G44" t="s">
        <v>89</v>
      </c>
      <c r="H44" t="s">
        <v>90</v>
      </c>
      <c r="I44" t="s">
        <v>91</v>
      </c>
      <c r="J44" t="s">
        <v>88</v>
      </c>
      <c r="K44" t="s">
        <v>88</v>
      </c>
      <c r="L44" t="s">
        <v>88</v>
      </c>
      <c r="M44" t="s">
        <v>88</v>
      </c>
      <c r="N44" t="s">
        <v>88</v>
      </c>
      <c r="O44">
        <v>43</v>
      </c>
      <c r="P44" t="s">
        <v>88</v>
      </c>
      <c r="Q44" t="s">
        <v>88</v>
      </c>
      <c r="R44" t="s">
        <v>92</v>
      </c>
    </row>
    <row r="45" spans="2:18" x14ac:dyDescent="0.25">
      <c r="B45" t="s">
        <v>177</v>
      </c>
      <c r="C45" t="s">
        <v>103</v>
      </c>
      <c r="D45" t="s">
        <v>88</v>
      </c>
      <c r="E45" t="s">
        <v>88</v>
      </c>
      <c r="F45" t="s">
        <v>88</v>
      </c>
      <c r="G45" t="s">
        <v>89</v>
      </c>
      <c r="H45" t="s">
        <v>100</v>
      </c>
      <c r="I45" t="s">
        <v>120</v>
      </c>
      <c r="J45" t="s">
        <v>88</v>
      </c>
      <c r="K45" t="s">
        <v>88</v>
      </c>
      <c r="L45" t="s">
        <v>88</v>
      </c>
      <c r="M45" t="s">
        <v>88</v>
      </c>
      <c r="N45" t="s">
        <v>88</v>
      </c>
      <c r="O45">
        <v>44</v>
      </c>
      <c r="P45" t="s">
        <v>88</v>
      </c>
      <c r="Q45" t="s">
        <v>88</v>
      </c>
      <c r="R45" t="s">
        <v>92</v>
      </c>
    </row>
    <row r="46" spans="2:18" x14ac:dyDescent="0.25">
      <c r="B46" t="s">
        <v>178</v>
      </c>
      <c r="C46" t="s">
        <v>149</v>
      </c>
      <c r="D46" t="s">
        <v>88</v>
      </c>
      <c r="E46" t="s">
        <v>88</v>
      </c>
      <c r="F46" t="s">
        <v>88</v>
      </c>
      <c r="G46" t="s">
        <v>89</v>
      </c>
      <c r="H46" t="s">
        <v>100</v>
      </c>
      <c r="I46" t="s">
        <v>120</v>
      </c>
      <c r="J46" t="s">
        <v>88</v>
      </c>
      <c r="K46" t="s">
        <v>88</v>
      </c>
      <c r="L46" t="s">
        <v>88</v>
      </c>
      <c r="M46" t="s">
        <v>88</v>
      </c>
      <c r="N46" t="s">
        <v>88</v>
      </c>
      <c r="O46">
        <v>45</v>
      </c>
      <c r="P46" t="s">
        <v>88</v>
      </c>
      <c r="Q46" t="s">
        <v>88</v>
      </c>
      <c r="R46" t="s">
        <v>92</v>
      </c>
    </row>
    <row r="47" spans="2:18" x14ac:dyDescent="0.25">
      <c r="B47" t="s">
        <v>179</v>
      </c>
      <c r="C47" t="s">
        <v>79</v>
      </c>
      <c r="D47" t="s">
        <v>88</v>
      </c>
      <c r="E47" t="s">
        <v>88</v>
      </c>
      <c r="F47" t="s">
        <v>88</v>
      </c>
      <c r="G47" t="s">
        <v>89</v>
      </c>
      <c r="H47" t="s">
        <v>90</v>
      </c>
      <c r="I47" t="s">
        <v>180</v>
      </c>
      <c r="J47" t="s">
        <v>88</v>
      </c>
      <c r="K47" t="s">
        <v>88</v>
      </c>
      <c r="L47" t="s">
        <v>88</v>
      </c>
      <c r="M47" t="s">
        <v>88</v>
      </c>
      <c r="N47" t="s">
        <v>88</v>
      </c>
      <c r="O47">
        <v>46</v>
      </c>
      <c r="P47" t="s">
        <v>88</v>
      </c>
      <c r="Q47" t="s">
        <v>88</v>
      </c>
      <c r="R47" t="s">
        <v>92</v>
      </c>
    </row>
    <row r="48" spans="2:18" x14ac:dyDescent="0.25">
      <c r="B48" t="s">
        <v>181</v>
      </c>
      <c r="C48" t="s">
        <v>79</v>
      </c>
      <c r="D48" t="s">
        <v>88</v>
      </c>
      <c r="E48" t="s">
        <v>88</v>
      </c>
      <c r="F48" t="s">
        <v>88</v>
      </c>
      <c r="G48" t="s">
        <v>89</v>
      </c>
      <c r="H48" t="s">
        <v>90</v>
      </c>
      <c r="I48" t="s">
        <v>113</v>
      </c>
      <c r="J48" t="s">
        <v>88</v>
      </c>
      <c r="K48" t="s">
        <v>88</v>
      </c>
      <c r="L48" t="s">
        <v>88</v>
      </c>
      <c r="M48" t="s">
        <v>88</v>
      </c>
      <c r="N48" t="s">
        <v>88</v>
      </c>
      <c r="O48">
        <v>47</v>
      </c>
      <c r="P48" t="s">
        <v>88</v>
      </c>
      <c r="Q48" t="s">
        <v>88</v>
      </c>
      <c r="R48" t="s">
        <v>92</v>
      </c>
    </row>
    <row r="49" spans="2:18" x14ac:dyDescent="0.25">
      <c r="B49" t="s">
        <v>182</v>
      </c>
      <c r="C49" t="s">
        <v>183</v>
      </c>
      <c r="D49" t="s">
        <v>88</v>
      </c>
      <c r="E49" t="s">
        <v>88</v>
      </c>
      <c r="F49" t="s">
        <v>88</v>
      </c>
      <c r="G49" t="s">
        <v>89</v>
      </c>
      <c r="H49" t="s">
        <v>90</v>
      </c>
      <c r="I49" t="s">
        <v>113</v>
      </c>
      <c r="J49" t="s">
        <v>88</v>
      </c>
      <c r="K49" t="s">
        <v>88</v>
      </c>
      <c r="L49" t="s">
        <v>88</v>
      </c>
      <c r="M49" t="s">
        <v>88</v>
      </c>
      <c r="N49" t="s">
        <v>88</v>
      </c>
      <c r="O49">
        <v>48</v>
      </c>
      <c r="P49" t="s">
        <v>88</v>
      </c>
      <c r="Q49" t="s">
        <v>88</v>
      </c>
      <c r="R49" t="s">
        <v>92</v>
      </c>
    </row>
    <row r="50" spans="2:18" x14ac:dyDescent="0.25">
      <c r="B50" t="s">
        <v>184</v>
      </c>
      <c r="C50" t="s">
        <v>106</v>
      </c>
      <c r="D50" t="s">
        <v>88</v>
      </c>
      <c r="E50" t="s">
        <v>88</v>
      </c>
      <c r="F50" t="s">
        <v>88</v>
      </c>
      <c r="G50" t="s">
        <v>89</v>
      </c>
      <c r="H50" t="s">
        <v>90</v>
      </c>
      <c r="I50" t="s">
        <v>109</v>
      </c>
      <c r="J50" t="s">
        <v>88</v>
      </c>
      <c r="K50" t="s">
        <v>88</v>
      </c>
      <c r="L50" t="s">
        <v>88</v>
      </c>
      <c r="M50" t="s">
        <v>88</v>
      </c>
      <c r="N50" t="s">
        <v>88</v>
      </c>
      <c r="O50">
        <v>49</v>
      </c>
      <c r="P50" t="s">
        <v>88</v>
      </c>
      <c r="Q50" t="s">
        <v>88</v>
      </c>
      <c r="R50" t="s">
        <v>92</v>
      </c>
    </row>
    <row r="51" spans="2:18" x14ac:dyDescent="0.25">
      <c r="B51" t="s">
        <v>185</v>
      </c>
      <c r="C51" t="s">
        <v>186</v>
      </c>
      <c r="D51" t="s">
        <v>88</v>
      </c>
      <c r="E51" t="s">
        <v>88</v>
      </c>
      <c r="F51" t="s">
        <v>88</v>
      </c>
      <c r="G51" t="s">
        <v>89</v>
      </c>
      <c r="H51" t="s">
        <v>90</v>
      </c>
      <c r="I51" t="s">
        <v>113</v>
      </c>
      <c r="J51" t="s">
        <v>88</v>
      </c>
      <c r="K51" t="s">
        <v>88</v>
      </c>
      <c r="L51" t="s">
        <v>88</v>
      </c>
      <c r="M51" t="s">
        <v>88</v>
      </c>
      <c r="N51" t="s">
        <v>88</v>
      </c>
      <c r="O51">
        <v>50</v>
      </c>
      <c r="P51" t="s">
        <v>88</v>
      </c>
      <c r="Q51" t="s">
        <v>88</v>
      </c>
      <c r="R51" t="s">
        <v>92</v>
      </c>
    </row>
    <row r="52" spans="2:18" x14ac:dyDescent="0.25">
      <c r="B52" t="s">
        <v>187</v>
      </c>
      <c r="C52" t="s">
        <v>79</v>
      </c>
      <c r="D52" t="s">
        <v>88</v>
      </c>
      <c r="E52" t="s">
        <v>88</v>
      </c>
      <c r="F52" t="s">
        <v>88</v>
      </c>
      <c r="G52" t="s">
        <v>89</v>
      </c>
      <c r="H52" t="s">
        <v>90</v>
      </c>
      <c r="I52" t="s">
        <v>94</v>
      </c>
      <c r="J52" t="s">
        <v>88</v>
      </c>
      <c r="K52" t="s">
        <v>88</v>
      </c>
      <c r="L52" t="s">
        <v>88</v>
      </c>
      <c r="M52" t="s">
        <v>88</v>
      </c>
      <c r="N52" t="s">
        <v>88</v>
      </c>
      <c r="O52">
        <v>51</v>
      </c>
      <c r="P52" t="s">
        <v>88</v>
      </c>
      <c r="Q52" t="s">
        <v>88</v>
      </c>
      <c r="R52" t="s">
        <v>92</v>
      </c>
    </row>
    <row r="53" spans="2:18" x14ac:dyDescent="0.25">
      <c r="B53" t="s">
        <v>188</v>
      </c>
      <c r="C53" t="s">
        <v>189</v>
      </c>
      <c r="D53" t="s">
        <v>88</v>
      </c>
      <c r="E53" t="s">
        <v>88</v>
      </c>
      <c r="F53" t="s">
        <v>88</v>
      </c>
      <c r="G53" t="s">
        <v>89</v>
      </c>
      <c r="H53" t="s">
        <v>90</v>
      </c>
      <c r="I53" t="s">
        <v>113</v>
      </c>
      <c r="J53" t="s">
        <v>88</v>
      </c>
      <c r="K53" t="s">
        <v>88</v>
      </c>
      <c r="L53" t="s">
        <v>88</v>
      </c>
      <c r="M53" t="s">
        <v>88</v>
      </c>
      <c r="N53" t="s">
        <v>88</v>
      </c>
      <c r="O53">
        <v>52</v>
      </c>
      <c r="P53" t="s">
        <v>88</v>
      </c>
      <c r="Q53" t="s">
        <v>88</v>
      </c>
      <c r="R53" t="s">
        <v>92</v>
      </c>
    </row>
    <row r="54" spans="2:18" x14ac:dyDescent="0.25">
      <c r="B54" t="s">
        <v>190</v>
      </c>
      <c r="C54" t="s">
        <v>189</v>
      </c>
      <c r="D54" t="s">
        <v>88</v>
      </c>
      <c r="E54" t="s">
        <v>88</v>
      </c>
      <c r="F54" t="s">
        <v>88</v>
      </c>
      <c r="G54" t="s">
        <v>89</v>
      </c>
      <c r="H54" t="s">
        <v>90</v>
      </c>
      <c r="I54" t="s">
        <v>94</v>
      </c>
      <c r="J54" t="s">
        <v>88</v>
      </c>
      <c r="K54" t="s">
        <v>88</v>
      </c>
      <c r="L54" t="s">
        <v>88</v>
      </c>
      <c r="M54" t="s">
        <v>88</v>
      </c>
      <c r="N54" t="s">
        <v>88</v>
      </c>
      <c r="O54">
        <v>53</v>
      </c>
      <c r="P54" t="s">
        <v>88</v>
      </c>
      <c r="Q54" t="s">
        <v>88</v>
      </c>
      <c r="R54" t="s">
        <v>92</v>
      </c>
    </row>
    <row r="55" spans="2:18" x14ac:dyDescent="0.25">
      <c r="B55" t="s">
        <v>191</v>
      </c>
      <c r="C55" t="s">
        <v>99</v>
      </c>
      <c r="D55" t="s">
        <v>88</v>
      </c>
      <c r="E55" t="s">
        <v>88</v>
      </c>
      <c r="F55" t="s">
        <v>88</v>
      </c>
      <c r="G55" t="s">
        <v>89</v>
      </c>
      <c r="H55" t="s">
        <v>90</v>
      </c>
      <c r="I55" t="s">
        <v>113</v>
      </c>
      <c r="J55" t="s">
        <v>88</v>
      </c>
      <c r="K55" t="s">
        <v>88</v>
      </c>
      <c r="L55" t="s">
        <v>88</v>
      </c>
      <c r="M55" t="s">
        <v>88</v>
      </c>
      <c r="N55" t="s">
        <v>88</v>
      </c>
      <c r="O55">
        <v>54</v>
      </c>
      <c r="P55" t="s">
        <v>88</v>
      </c>
      <c r="Q55" t="s">
        <v>88</v>
      </c>
      <c r="R55" t="s">
        <v>92</v>
      </c>
    </row>
    <row r="56" spans="2:18" x14ac:dyDescent="0.25">
      <c r="B56" t="s">
        <v>192</v>
      </c>
      <c r="C56" t="s">
        <v>103</v>
      </c>
      <c r="D56" t="s">
        <v>88</v>
      </c>
      <c r="E56" t="s">
        <v>88</v>
      </c>
      <c r="F56" t="s">
        <v>88</v>
      </c>
      <c r="G56" t="s">
        <v>89</v>
      </c>
      <c r="H56" t="s">
        <v>90</v>
      </c>
      <c r="I56" t="s">
        <v>109</v>
      </c>
      <c r="J56" t="s">
        <v>88</v>
      </c>
      <c r="K56" t="s">
        <v>88</v>
      </c>
      <c r="L56" t="s">
        <v>88</v>
      </c>
      <c r="M56" t="s">
        <v>88</v>
      </c>
      <c r="N56" t="s">
        <v>88</v>
      </c>
      <c r="O56">
        <v>55</v>
      </c>
      <c r="P56" t="s">
        <v>88</v>
      </c>
      <c r="Q56" t="s">
        <v>88</v>
      </c>
      <c r="R56" t="s">
        <v>92</v>
      </c>
    </row>
    <row r="57" spans="2:18" x14ac:dyDescent="0.25">
      <c r="B57" t="s">
        <v>193</v>
      </c>
      <c r="C57" t="s">
        <v>103</v>
      </c>
      <c r="D57" t="s">
        <v>88</v>
      </c>
      <c r="E57" t="s">
        <v>88</v>
      </c>
      <c r="F57" t="s">
        <v>88</v>
      </c>
      <c r="G57" t="s">
        <v>89</v>
      </c>
      <c r="H57" t="s">
        <v>90</v>
      </c>
      <c r="I57" t="s">
        <v>168</v>
      </c>
      <c r="J57" t="s">
        <v>88</v>
      </c>
      <c r="K57" t="s">
        <v>88</v>
      </c>
      <c r="L57" t="s">
        <v>88</v>
      </c>
      <c r="M57" t="s">
        <v>88</v>
      </c>
      <c r="N57" t="s">
        <v>88</v>
      </c>
      <c r="O57">
        <v>56</v>
      </c>
      <c r="P57" t="s">
        <v>88</v>
      </c>
      <c r="Q57" t="s">
        <v>88</v>
      </c>
      <c r="R57" t="s">
        <v>92</v>
      </c>
    </row>
    <row r="58" spans="2:18" x14ac:dyDescent="0.25">
      <c r="B58" t="s">
        <v>194</v>
      </c>
      <c r="C58" t="s">
        <v>183</v>
      </c>
      <c r="D58" t="s">
        <v>88</v>
      </c>
      <c r="E58" t="s">
        <v>88</v>
      </c>
      <c r="F58" t="s">
        <v>88</v>
      </c>
      <c r="G58" t="s">
        <v>89</v>
      </c>
      <c r="H58" t="s">
        <v>90</v>
      </c>
      <c r="I58" t="s">
        <v>94</v>
      </c>
      <c r="J58" t="s">
        <v>88</v>
      </c>
      <c r="K58" t="s">
        <v>88</v>
      </c>
      <c r="L58" t="s">
        <v>88</v>
      </c>
      <c r="M58" t="s">
        <v>88</v>
      </c>
      <c r="N58" t="s">
        <v>88</v>
      </c>
      <c r="O58">
        <v>57</v>
      </c>
      <c r="P58" t="s">
        <v>88</v>
      </c>
      <c r="Q58" t="s">
        <v>88</v>
      </c>
      <c r="R58" t="s">
        <v>92</v>
      </c>
    </row>
    <row r="59" spans="2:18" x14ac:dyDescent="0.25">
      <c r="B59" t="s">
        <v>195</v>
      </c>
      <c r="C59" t="s">
        <v>103</v>
      </c>
      <c r="D59" t="s">
        <v>88</v>
      </c>
      <c r="E59" t="s">
        <v>88</v>
      </c>
      <c r="F59" t="s">
        <v>88</v>
      </c>
      <c r="G59" t="s">
        <v>89</v>
      </c>
      <c r="H59" t="s">
        <v>90</v>
      </c>
      <c r="I59" t="s">
        <v>133</v>
      </c>
      <c r="J59" t="s">
        <v>88</v>
      </c>
      <c r="K59" t="s">
        <v>88</v>
      </c>
      <c r="L59" t="s">
        <v>88</v>
      </c>
      <c r="M59" t="s">
        <v>88</v>
      </c>
      <c r="N59" t="s">
        <v>88</v>
      </c>
      <c r="O59">
        <v>58</v>
      </c>
      <c r="P59" t="s">
        <v>88</v>
      </c>
      <c r="Q59" t="s">
        <v>88</v>
      </c>
      <c r="R59" t="s">
        <v>92</v>
      </c>
    </row>
    <row r="60" spans="2:18" x14ac:dyDescent="0.25">
      <c r="B60" t="s">
        <v>196</v>
      </c>
      <c r="C60" t="s">
        <v>139</v>
      </c>
      <c r="D60" t="s">
        <v>88</v>
      </c>
      <c r="E60" t="s">
        <v>88</v>
      </c>
      <c r="F60" t="s">
        <v>88</v>
      </c>
      <c r="G60" t="s">
        <v>89</v>
      </c>
      <c r="H60" t="s">
        <v>100</v>
      </c>
      <c r="I60" t="s">
        <v>197</v>
      </c>
      <c r="J60" t="s">
        <v>88</v>
      </c>
      <c r="K60" t="s">
        <v>88</v>
      </c>
      <c r="L60" t="s">
        <v>88</v>
      </c>
      <c r="M60" t="s">
        <v>88</v>
      </c>
      <c r="N60" t="s">
        <v>88</v>
      </c>
      <c r="O60">
        <v>59</v>
      </c>
      <c r="P60" t="s">
        <v>88</v>
      </c>
      <c r="Q60" t="s">
        <v>88</v>
      </c>
      <c r="R60" t="s">
        <v>92</v>
      </c>
    </row>
    <row r="61" spans="2:18" x14ac:dyDescent="0.25">
      <c r="B61" t="s">
        <v>198</v>
      </c>
      <c r="C61" t="s">
        <v>199</v>
      </c>
      <c r="D61" t="s">
        <v>88</v>
      </c>
      <c r="E61" t="s">
        <v>88</v>
      </c>
      <c r="F61" t="s">
        <v>88</v>
      </c>
      <c r="G61" t="s">
        <v>89</v>
      </c>
      <c r="H61" t="s">
        <v>90</v>
      </c>
      <c r="I61" t="s">
        <v>168</v>
      </c>
      <c r="J61" t="s">
        <v>88</v>
      </c>
      <c r="K61" t="s">
        <v>88</v>
      </c>
      <c r="L61" t="s">
        <v>88</v>
      </c>
      <c r="M61" t="s">
        <v>88</v>
      </c>
      <c r="N61" t="s">
        <v>88</v>
      </c>
      <c r="O61">
        <v>60</v>
      </c>
      <c r="P61" t="s">
        <v>88</v>
      </c>
      <c r="Q61" t="s">
        <v>88</v>
      </c>
      <c r="R61" t="s">
        <v>92</v>
      </c>
    </row>
    <row r="62" spans="2:18" x14ac:dyDescent="0.25">
      <c r="B62" t="s">
        <v>200</v>
      </c>
      <c r="C62" t="s">
        <v>103</v>
      </c>
      <c r="D62" t="s">
        <v>88</v>
      </c>
      <c r="E62" t="s">
        <v>88</v>
      </c>
      <c r="F62" t="s">
        <v>88</v>
      </c>
      <c r="G62" t="s">
        <v>89</v>
      </c>
      <c r="H62" t="s">
        <v>90</v>
      </c>
      <c r="I62" t="s">
        <v>113</v>
      </c>
      <c r="J62" t="s">
        <v>88</v>
      </c>
      <c r="K62" t="s">
        <v>88</v>
      </c>
      <c r="L62" t="s">
        <v>88</v>
      </c>
      <c r="M62" t="s">
        <v>88</v>
      </c>
      <c r="N62" t="s">
        <v>88</v>
      </c>
      <c r="O62">
        <v>61</v>
      </c>
      <c r="P62" t="s">
        <v>88</v>
      </c>
      <c r="Q62" t="s">
        <v>88</v>
      </c>
      <c r="R62" t="s">
        <v>92</v>
      </c>
    </row>
    <row r="63" spans="2:18" x14ac:dyDescent="0.25">
      <c r="B63" t="s">
        <v>201</v>
      </c>
      <c r="C63" t="s">
        <v>103</v>
      </c>
      <c r="D63" t="s">
        <v>88</v>
      </c>
      <c r="E63" t="s">
        <v>88</v>
      </c>
      <c r="F63" t="s">
        <v>88</v>
      </c>
      <c r="G63" t="s">
        <v>89</v>
      </c>
      <c r="H63" t="s">
        <v>90</v>
      </c>
      <c r="I63" t="s">
        <v>91</v>
      </c>
      <c r="J63" t="s">
        <v>88</v>
      </c>
      <c r="K63" t="s">
        <v>88</v>
      </c>
      <c r="L63" t="s">
        <v>88</v>
      </c>
      <c r="M63" t="s">
        <v>88</v>
      </c>
      <c r="N63" t="s">
        <v>88</v>
      </c>
      <c r="O63">
        <v>62</v>
      </c>
      <c r="P63" t="s">
        <v>88</v>
      </c>
      <c r="Q63" t="s">
        <v>88</v>
      </c>
      <c r="R63" t="s">
        <v>92</v>
      </c>
    </row>
    <row r="64" spans="2:18" x14ac:dyDescent="0.25">
      <c r="B64" t="s">
        <v>202</v>
      </c>
      <c r="C64" t="s">
        <v>103</v>
      </c>
      <c r="D64" t="s">
        <v>88</v>
      </c>
      <c r="E64" t="s">
        <v>88</v>
      </c>
      <c r="F64" t="s">
        <v>88</v>
      </c>
      <c r="G64" t="s">
        <v>89</v>
      </c>
      <c r="H64" t="s">
        <v>100</v>
      </c>
      <c r="I64" t="s">
        <v>203</v>
      </c>
      <c r="J64" t="s">
        <v>88</v>
      </c>
      <c r="K64" t="s">
        <v>88</v>
      </c>
      <c r="L64" t="s">
        <v>88</v>
      </c>
      <c r="M64" t="s">
        <v>88</v>
      </c>
      <c r="N64" t="s">
        <v>88</v>
      </c>
      <c r="O64">
        <v>63</v>
      </c>
      <c r="P64" t="s">
        <v>88</v>
      </c>
      <c r="Q64" t="s">
        <v>88</v>
      </c>
      <c r="R64" t="s">
        <v>92</v>
      </c>
    </row>
    <row r="65" spans="2:18" x14ac:dyDescent="0.25">
      <c r="B65" t="s">
        <v>204</v>
      </c>
      <c r="C65" t="s">
        <v>143</v>
      </c>
      <c r="D65" t="s">
        <v>88</v>
      </c>
      <c r="E65" t="s">
        <v>88</v>
      </c>
      <c r="F65" t="s">
        <v>88</v>
      </c>
      <c r="G65" t="s">
        <v>89</v>
      </c>
      <c r="H65" t="s">
        <v>90</v>
      </c>
      <c r="I65" t="s">
        <v>109</v>
      </c>
      <c r="J65" t="s">
        <v>88</v>
      </c>
      <c r="K65" t="s">
        <v>88</v>
      </c>
      <c r="L65" t="s">
        <v>88</v>
      </c>
      <c r="M65" t="s">
        <v>88</v>
      </c>
      <c r="N65" t="s">
        <v>88</v>
      </c>
      <c r="O65">
        <v>64</v>
      </c>
      <c r="P65" t="s">
        <v>88</v>
      </c>
      <c r="Q65" t="s">
        <v>88</v>
      </c>
      <c r="R65" t="s">
        <v>92</v>
      </c>
    </row>
    <row r="66" spans="2:18" x14ac:dyDescent="0.25">
      <c r="B66" t="s">
        <v>205</v>
      </c>
      <c r="C66" t="s">
        <v>106</v>
      </c>
      <c r="D66" t="s">
        <v>88</v>
      </c>
      <c r="E66" t="s">
        <v>88</v>
      </c>
      <c r="F66" t="s">
        <v>88</v>
      </c>
      <c r="G66" t="s">
        <v>89</v>
      </c>
      <c r="H66" t="s">
        <v>100</v>
      </c>
      <c r="I66" t="s">
        <v>104</v>
      </c>
      <c r="J66" t="s">
        <v>88</v>
      </c>
      <c r="K66" t="s">
        <v>88</v>
      </c>
      <c r="L66" t="s">
        <v>88</v>
      </c>
      <c r="M66" t="s">
        <v>88</v>
      </c>
      <c r="N66" t="s">
        <v>88</v>
      </c>
      <c r="O66">
        <v>65</v>
      </c>
      <c r="P66" t="s">
        <v>88</v>
      </c>
      <c r="Q66" t="s">
        <v>88</v>
      </c>
      <c r="R66" t="s">
        <v>92</v>
      </c>
    </row>
    <row r="67" spans="2:18" x14ac:dyDescent="0.25">
      <c r="B67" t="s">
        <v>206</v>
      </c>
      <c r="C67" t="s">
        <v>173</v>
      </c>
      <c r="D67" t="s">
        <v>88</v>
      </c>
      <c r="E67" t="s">
        <v>88</v>
      </c>
      <c r="F67" t="s">
        <v>88</v>
      </c>
      <c r="G67" t="s">
        <v>89</v>
      </c>
      <c r="H67" t="s">
        <v>90</v>
      </c>
      <c r="I67" t="s">
        <v>113</v>
      </c>
      <c r="J67" t="s">
        <v>88</v>
      </c>
      <c r="K67" t="s">
        <v>88</v>
      </c>
      <c r="L67" t="s">
        <v>88</v>
      </c>
      <c r="M67" t="s">
        <v>88</v>
      </c>
      <c r="N67" t="s">
        <v>88</v>
      </c>
      <c r="O67">
        <v>66</v>
      </c>
      <c r="P67" t="s">
        <v>88</v>
      </c>
      <c r="Q67" t="s">
        <v>88</v>
      </c>
      <c r="R67" t="s">
        <v>92</v>
      </c>
    </row>
    <row r="68" spans="2:18" x14ac:dyDescent="0.25">
      <c r="B68" t="s">
        <v>207</v>
      </c>
      <c r="C68" t="s">
        <v>208</v>
      </c>
      <c r="D68" t="s">
        <v>88</v>
      </c>
      <c r="E68" t="s">
        <v>88</v>
      </c>
      <c r="F68" t="s">
        <v>88</v>
      </c>
      <c r="G68" t="s">
        <v>89</v>
      </c>
      <c r="H68" t="s">
        <v>90</v>
      </c>
      <c r="I68" t="s">
        <v>97</v>
      </c>
      <c r="J68" t="s">
        <v>88</v>
      </c>
      <c r="K68" t="s">
        <v>88</v>
      </c>
      <c r="L68" t="s">
        <v>88</v>
      </c>
      <c r="M68" t="s">
        <v>88</v>
      </c>
      <c r="N68" t="s">
        <v>88</v>
      </c>
      <c r="O68">
        <v>67</v>
      </c>
      <c r="P68" t="s">
        <v>88</v>
      </c>
      <c r="Q68" t="s">
        <v>88</v>
      </c>
      <c r="R68" t="s">
        <v>92</v>
      </c>
    </row>
    <row r="69" spans="2:18" x14ac:dyDescent="0.25">
      <c r="B69" t="s">
        <v>209</v>
      </c>
      <c r="C69" t="s">
        <v>103</v>
      </c>
      <c r="D69" t="s">
        <v>88</v>
      </c>
      <c r="E69" t="s">
        <v>88</v>
      </c>
      <c r="F69" t="s">
        <v>88</v>
      </c>
      <c r="G69" t="s">
        <v>89</v>
      </c>
      <c r="H69" t="s">
        <v>90</v>
      </c>
      <c r="I69" t="s">
        <v>210</v>
      </c>
      <c r="J69" t="s">
        <v>88</v>
      </c>
      <c r="K69" t="s">
        <v>88</v>
      </c>
      <c r="L69" t="s">
        <v>88</v>
      </c>
      <c r="M69" t="s">
        <v>88</v>
      </c>
      <c r="N69" t="s">
        <v>88</v>
      </c>
      <c r="O69">
        <v>68</v>
      </c>
      <c r="P69" t="s">
        <v>88</v>
      </c>
      <c r="Q69" t="s">
        <v>88</v>
      </c>
      <c r="R69" t="s">
        <v>92</v>
      </c>
    </row>
    <row r="70" spans="2:18" x14ac:dyDescent="0.25">
      <c r="B70" t="s">
        <v>211</v>
      </c>
      <c r="C70" t="s">
        <v>212</v>
      </c>
      <c r="D70" t="s">
        <v>88</v>
      </c>
      <c r="E70" t="s">
        <v>88</v>
      </c>
      <c r="F70" t="s">
        <v>88</v>
      </c>
      <c r="G70" t="s">
        <v>89</v>
      </c>
      <c r="H70" t="s">
        <v>90</v>
      </c>
      <c r="I70" t="s">
        <v>113</v>
      </c>
      <c r="J70" t="s">
        <v>88</v>
      </c>
      <c r="K70" t="s">
        <v>88</v>
      </c>
      <c r="L70" t="s">
        <v>88</v>
      </c>
      <c r="M70" t="s">
        <v>88</v>
      </c>
      <c r="N70" t="s">
        <v>88</v>
      </c>
      <c r="O70">
        <v>69</v>
      </c>
      <c r="P70" t="s">
        <v>88</v>
      </c>
      <c r="Q70" t="s">
        <v>88</v>
      </c>
      <c r="R70" t="s">
        <v>92</v>
      </c>
    </row>
    <row r="71" spans="2:18" x14ac:dyDescent="0.25">
      <c r="B71" t="s">
        <v>213</v>
      </c>
      <c r="C71" t="s">
        <v>214</v>
      </c>
      <c r="D71" t="s">
        <v>88</v>
      </c>
      <c r="E71" t="s">
        <v>88</v>
      </c>
      <c r="F71" t="s">
        <v>88</v>
      </c>
      <c r="G71" t="s">
        <v>89</v>
      </c>
      <c r="H71" t="s">
        <v>100</v>
      </c>
      <c r="I71" t="s">
        <v>101</v>
      </c>
      <c r="J71" t="s">
        <v>88</v>
      </c>
      <c r="K71" t="s">
        <v>88</v>
      </c>
      <c r="L71" t="s">
        <v>88</v>
      </c>
      <c r="M71" t="s">
        <v>88</v>
      </c>
      <c r="N71" t="s">
        <v>88</v>
      </c>
      <c r="O71">
        <v>70</v>
      </c>
      <c r="P71" t="s">
        <v>88</v>
      </c>
      <c r="Q71" t="s">
        <v>88</v>
      </c>
      <c r="R71" t="s">
        <v>92</v>
      </c>
    </row>
    <row r="72" spans="2:18" x14ac:dyDescent="0.25">
      <c r="B72" t="s">
        <v>215</v>
      </c>
      <c r="C72" t="s">
        <v>214</v>
      </c>
      <c r="D72" t="s">
        <v>88</v>
      </c>
      <c r="E72" t="s">
        <v>88</v>
      </c>
      <c r="F72" t="s">
        <v>88</v>
      </c>
      <c r="G72" t="s">
        <v>89</v>
      </c>
      <c r="H72" t="s">
        <v>90</v>
      </c>
      <c r="I72" t="s">
        <v>113</v>
      </c>
      <c r="J72" t="s">
        <v>88</v>
      </c>
      <c r="K72" t="s">
        <v>88</v>
      </c>
      <c r="L72" t="s">
        <v>88</v>
      </c>
      <c r="M72" t="s">
        <v>88</v>
      </c>
      <c r="N72" t="s">
        <v>88</v>
      </c>
      <c r="O72">
        <v>71</v>
      </c>
      <c r="P72" t="s">
        <v>88</v>
      </c>
      <c r="Q72" t="s">
        <v>88</v>
      </c>
      <c r="R72" t="s">
        <v>92</v>
      </c>
    </row>
    <row r="73" spans="2:18" x14ac:dyDescent="0.25">
      <c r="B73" t="s">
        <v>216</v>
      </c>
      <c r="C73" t="s">
        <v>214</v>
      </c>
      <c r="D73" t="s">
        <v>88</v>
      </c>
      <c r="E73" t="s">
        <v>88</v>
      </c>
      <c r="F73" t="s">
        <v>88</v>
      </c>
      <c r="G73" t="s">
        <v>89</v>
      </c>
      <c r="H73" t="s">
        <v>90</v>
      </c>
      <c r="I73" t="s">
        <v>91</v>
      </c>
      <c r="J73" t="s">
        <v>88</v>
      </c>
      <c r="K73" t="s">
        <v>88</v>
      </c>
      <c r="L73" t="s">
        <v>88</v>
      </c>
      <c r="M73" t="s">
        <v>88</v>
      </c>
      <c r="N73" t="s">
        <v>88</v>
      </c>
      <c r="O73">
        <v>72</v>
      </c>
      <c r="P73" t="s">
        <v>88</v>
      </c>
      <c r="Q73" t="s">
        <v>88</v>
      </c>
      <c r="R73" t="s">
        <v>92</v>
      </c>
    </row>
    <row r="74" spans="2:18" x14ac:dyDescent="0.25">
      <c r="B74" t="s">
        <v>217</v>
      </c>
      <c r="C74" t="s">
        <v>139</v>
      </c>
      <c r="D74" t="s">
        <v>88</v>
      </c>
      <c r="E74" t="s">
        <v>88</v>
      </c>
      <c r="F74" t="s">
        <v>88</v>
      </c>
      <c r="G74" t="s">
        <v>89</v>
      </c>
      <c r="H74" t="s">
        <v>100</v>
      </c>
      <c r="I74" t="s">
        <v>218</v>
      </c>
      <c r="J74" t="s">
        <v>88</v>
      </c>
      <c r="K74" t="s">
        <v>88</v>
      </c>
      <c r="L74" t="s">
        <v>88</v>
      </c>
      <c r="M74" t="s">
        <v>88</v>
      </c>
      <c r="N74" t="s">
        <v>88</v>
      </c>
      <c r="O74">
        <v>73</v>
      </c>
      <c r="P74" t="s">
        <v>88</v>
      </c>
      <c r="Q74" t="s">
        <v>88</v>
      </c>
      <c r="R74" t="s">
        <v>92</v>
      </c>
    </row>
    <row r="75" spans="2:18" x14ac:dyDescent="0.25">
      <c r="B75" t="s">
        <v>219</v>
      </c>
      <c r="C75" t="s">
        <v>139</v>
      </c>
      <c r="D75" t="s">
        <v>88</v>
      </c>
      <c r="E75" t="s">
        <v>88</v>
      </c>
      <c r="F75" t="s">
        <v>88</v>
      </c>
      <c r="G75" t="s">
        <v>89</v>
      </c>
      <c r="H75" t="s">
        <v>100</v>
      </c>
      <c r="I75" t="s">
        <v>220</v>
      </c>
      <c r="J75" t="s">
        <v>88</v>
      </c>
      <c r="K75" t="s">
        <v>88</v>
      </c>
      <c r="L75" t="s">
        <v>88</v>
      </c>
      <c r="M75" t="s">
        <v>88</v>
      </c>
      <c r="N75" t="s">
        <v>88</v>
      </c>
      <c r="O75">
        <v>74</v>
      </c>
      <c r="P75" t="s">
        <v>88</v>
      </c>
      <c r="Q75" t="s">
        <v>88</v>
      </c>
      <c r="R75" t="s">
        <v>92</v>
      </c>
    </row>
    <row r="76" spans="2:18" x14ac:dyDescent="0.25">
      <c r="B76" t="s">
        <v>221</v>
      </c>
      <c r="C76" t="s">
        <v>139</v>
      </c>
      <c r="D76" t="s">
        <v>88</v>
      </c>
      <c r="E76" t="s">
        <v>88</v>
      </c>
      <c r="F76" t="s">
        <v>88</v>
      </c>
      <c r="G76" t="s">
        <v>89</v>
      </c>
      <c r="H76" t="s">
        <v>100</v>
      </c>
      <c r="I76" t="s">
        <v>174</v>
      </c>
      <c r="J76" t="s">
        <v>88</v>
      </c>
      <c r="K76" t="s">
        <v>88</v>
      </c>
      <c r="L76" t="s">
        <v>88</v>
      </c>
      <c r="M76" t="s">
        <v>88</v>
      </c>
      <c r="N76" t="s">
        <v>88</v>
      </c>
      <c r="O76">
        <v>75</v>
      </c>
      <c r="P76" t="s">
        <v>88</v>
      </c>
      <c r="Q76" t="s">
        <v>88</v>
      </c>
      <c r="R76" t="s">
        <v>92</v>
      </c>
    </row>
    <row r="77" spans="2:18" x14ac:dyDescent="0.25">
      <c r="B77" t="s">
        <v>222</v>
      </c>
      <c r="C77" t="s">
        <v>103</v>
      </c>
      <c r="D77" t="s">
        <v>88</v>
      </c>
      <c r="E77" t="s">
        <v>88</v>
      </c>
      <c r="F77" t="s">
        <v>88</v>
      </c>
      <c r="G77" t="s">
        <v>89</v>
      </c>
      <c r="H77" t="s">
        <v>90</v>
      </c>
      <c r="I77" t="s">
        <v>111</v>
      </c>
      <c r="J77" t="s">
        <v>88</v>
      </c>
      <c r="K77" t="s">
        <v>88</v>
      </c>
      <c r="L77" t="s">
        <v>88</v>
      </c>
      <c r="M77" t="s">
        <v>88</v>
      </c>
      <c r="N77" t="s">
        <v>88</v>
      </c>
      <c r="O77">
        <v>76</v>
      </c>
      <c r="P77" t="s">
        <v>88</v>
      </c>
      <c r="Q77" t="s">
        <v>88</v>
      </c>
      <c r="R77" t="s">
        <v>92</v>
      </c>
    </row>
    <row r="78" spans="2:18" x14ac:dyDescent="0.25">
      <c r="B78" t="s">
        <v>223</v>
      </c>
      <c r="C78" t="s">
        <v>173</v>
      </c>
      <c r="D78" t="s">
        <v>88</v>
      </c>
      <c r="E78" t="s">
        <v>88</v>
      </c>
      <c r="F78" t="s">
        <v>88</v>
      </c>
      <c r="G78" t="s">
        <v>89</v>
      </c>
      <c r="H78" t="s">
        <v>90</v>
      </c>
      <c r="I78" t="s">
        <v>109</v>
      </c>
      <c r="J78" t="s">
        <v>88</v>
      </c>
      <c r="K78" t="s">
        <v>88</v>
      </c>
      <c r="L78" t="s">
        <v>88</v>
      </c>
      <c r="M78" t="s">
        <v>88</v>
      </c>
      <c r="N78" t="s">
        <v>88</v>
      </c>
      <c r="O78">
        <v>77</v>
      </c>
      <c r="P78" t="s">
        <v>88</v>
      </c>
      <c r="Q78" t="s">
        <v>88</v>
      </c>
      <c r="R78" t="s">
        <v>92</v>
      </c>
    </row>
    <row r="79" spans="2:18" x14ac:dyDescent="0.25">
      <c r="B79" t="s">
        <v>224</v>
      </c>
      <c r="C79" t="s">
        <v>103</v>
      </c>
      <c r="D79" t="s">
        <v>88</v>
      </c>
      <c r="E79" t="s">
        <v>88</v>
      </c>
      <c r="F79" t="s">
        <v>88</v>
      </c>
      <c r="G79" t="s">
        <v>89</v>
      </c>
      <c r="H79" t="s">
        <v>100</v>
      </c>
      <c r="I79" t="s">
        <v>225</v>
      </c>
      <c r="J79" t="s">
        <v>88</v>
      </c>
      <c r="K79" t="s">
        <v>88</v>
      </c>
      <c r="L79" t="s">
        <v>88</v>
      </c>
      <c r="M79" t="s">
        <v>88</v>
      </c>
      <c r="N79" t="s">
        <v>88</v>
      </c>
      <c r="O79">
        <v>78</v>
      </c>
      <c r="P79" t="s">
        <v>88</v>
      </c>
      <c r="Q79" t="s">
        <v>88</v>
      </c>
      <c r="R79" t="s">
        <v>92</v>
      </c>
    </row>
    <row r="80" spans="2:18" x14ac:dyDescent="0.25">
      <c r="B80" t="s">
        <v>226</v>
      </c>
      <c r="C80" t="s">
        <v>139</v>
      </c>
      <c r="D80" t="s">
        <v>88</v>
      </c>
      <c r="E80" t="s">
        <v>88</v>
      </c>
      <c r="F80" t="s">
        <v>88</v>
      </c>
      <c r="G80" t="s">
        <v>89</v>
      </c>
      <c r="H80" t="s">
        <v>100</v>
      </c>
      <c r="I80" t="s">
        <v>174</v>
      </c>
      <c r="J80" t="s">
        <v>88</v>
      </c>
      <c r="K80" t="s">
        <v>88</v>
      </c>
      <c r="L80" t="s">
        <v>88</v>
      </c>
      <c r="M80" t="s">
        <v>88</v>
      </c>
      <c r="N80" t="s">
        <v>88</v>
      </c>
      <c r="O80">
        <v>79</v>
      </c>
      <c r="P80" t="s">
        <v>88</v>
      </c>
      <c r="Q80" t="s">
        <v>88</v>
      </c>
      <c r="R80" t="s">
        <v>92</v>
      </c>
    </row>
    <row r="81" spans="2:18" x14ac:dyDescent="0.25">
      <c r="B81" t="s">
        <v>227</v>
      </c>
      <c r="C81" t="s">
        <v>212</v>
      </c>
      <c r="D81" t="s">
        <v>88</v>
      </c>
      <c r="E81" t="s">
        <v>88</v>
      </c>
      <c r="F81" t="s">
        <v>88</v>
      </c>
      <c r="G81" t="s">
        <v>89</v>
      </c>
      <c r="H81" t="s">
        <v>100</v>
      </c>
      <c r="I81" t="s">
        <v>120</v>
      </c>
      <c r="J81" t="s">
        <v>88</v>
      </c>
      <c r="K81" t="s">
        <v>88</v>
      </c>
      <c r="L81" t="s">
        <v>88</v>
      </c>
      <c r="M81" t="s">
        <v>88</v>
      </c>
      <c r="N81" t="s">
        <v>88</v>
      </c>
      <c r="O81">
        <v>80</v>
      </c>
      <c r="P81" t="s">
        <v>88</v>
      </c>
      <c r="Q81" t="s">
        <v>88</v>
      </c>
      <c r="R81" t="s">
        <v>92</v>
      </c>
    </row>
    <row r="82" spans="2:18" x14ac:dyDescent="0.25">
      <c r="B82" t="s">
        <v>228</v>
      </c>
      <c r="C82" t="s">
        <v>103</v>
      </c>
      <c r="D82" t="s">
        <v>88</v>
      </c>
      <c r="E82" t="s">
        <v>88</v>
      </c>
      <c r="F82" t="s">
        <v>88</v>
      </c>
      <c r="G82" t="s">
        <v>89</v>
      </c>
      <c r="H82" t="s">
        <v>90</v>
      </c>
      <c r="I82" t="s">
        <v>91</v>
      </c>
      <c r="J82" t="s">
        <v>88</v>
      </c>
      <c r="K82" t="s">
        <v>88</v>
      </c>
      <c r="L82" t="s">
        <v>88</v>
      </c>
      <c r="M82" t="s">
        <v>88</v>
      </c>
      <c r="N82" t="s">
        <v>88</v>
      </c>
      <c r="O82">
        <v>81</v>
      </c>
      <c r="P82" t="s">
        <v>88</v>
      </c>
      <c r="Q82" t="s">
        <v>88</v>
      </c>
      <c r="R82" t="s">
        <v>92</v>
      </c>
    </row>
    <row r="83" spans="2:18" x14ac:dyDescent="0.25">
      <c r="B83" t="s">
        <v>229</v>
      </c>
      <c r="C83" t="s">
        <v>103</v>
      </c>
      <c r="D83" t="s">
        <v>88</v>
      </c>
      <c r="E83" t="s">
        <v>88</v>
      </c>
      <c r="F83" t="s">
        <v>88</v>
      </c>
      <c r="G83" t="s">
        <v>89</v>
      </c>
      <c r="H83" t="s">
        <v>100</v>
      </c>
      <c r="I83" t="s">
        <v>230</v>
      </c>
      <c r="J83" t="s">
        <v>88</v>
      </c>
      <c r="K83" t="s">
        <v>88</v>
      </c>
      <c r="L83" t="s">
        <v>88</v>
      </c>
      <c r="M83" t="s">
        <v>88</v>
      </c>
      <c r="N83" t="s">
        <v>88</v>
      </c>
      <c r="O83">
        <v>82</v>
      </c>
      <c r="P83" t="s">
        <v>88</v>
      </c>
      <c r="Q83" t="s">
        <v>88</v>
      </c>
      <c r="R83" t="s">
        <v>92</v>
      </c>
    </row>
    <row r="84" spans="2:18" x14ac:dyDescent="0.25">
      <c r="B84" t="s">
        <v>231</v>
      </c>
      <c r="C84" t="s">
        <v>143</v>
      </c>
      <c r="D84" t="s">
        <v>88</v>
      </c>
      <c r="E84" t="s">
        <v>88</v>
      </c>
      <c r="F84" t="s">
        <v>88</v>
      </c>
      <c r="G84" t="s">
        <v>89</v>
      </c>
      <c r="H84" t="s">
        <v>100</v>
      </c>
      <c r="I84" t="s">
        <v>120</v>
      </c>
      <c r="J84" t="s">
        <v>88</v>
      </c>
      <c r="K84" t="s">
        <v>88</v>
      </c>
      <c r="L84" t="s">
        <v>88</v>
      </c>
      <c r="M84" t="s">
        <v>88</v>
      </c>
      <c r="N84" t="s">
        <v>88</v>
      </c>
      <c r="O84">
        <v>83</v>
      </c>
      <c r="P84" t="s">
        <v>88</v>
      </c>
      <c r="Q84" t="s">
        <v>88</v>
      </c>
      <c r="R84" t="s">
        <v>92</v>
      </c>
    </row>
    <row r="85" spans="2:18" x14ac:dyDescent="0.25">
      <c r="B85" t="s">
        <v>232</v>
      </c>
      <c r="C85" t="s">
        <v>233</v>
      </c>
      <c r="D85" t="s">
        <v>88</v>
      </c>
      <c r="E85" t="s">
        <v>88</v>
      </c>
      <c r="F85" t="s">
        <v>88</v>
      </c>
      <c r="G85" t="s">
        <v>89</v>
      </c>
      <c r="H85" t="s">
        <v>90</v>
      </c>
      <c r="I85" t="s">
        <v>97</v>
      </c>
      <c r="J85" t="s">
        <v>88</v>
      </c>
      <c r="K85" t="s">
        <v>88</v>
      </c>
      <c r="L85" t="s">
        <v>88</v>
      </c>
      <c r="M85" t="s">
        <v>88</v>
      </c>
      <c r="N85" t="s">
        <v>88</v>
      </c>
      <c r="O85">
        <v>84</v>
      </c>
      <c r="P85" t="s">
        <v>88</v>
      </c>
      <c r="Q85" t="s">
        <v>88</v>
      </c>
      <c r="R85" t="s">
        <v>92</v>
      </c>
    </row>
    <row r="86" spans="2:18" x14ac:dyDescent="0.25">
      <c r="B86" t="s">
        <v>234</v>
      </c>
      <c r="C86" t="s">
        <v>99</v>
      </c>
      <c r="D86" t="s">
        <v>88</v>
      </c>
      <c r="E86" t="s">
        <v>88</v>
      </c>
      <c r="F86" t="s">
        <v>88</v>
      </c>
      <c r="G86" t="s">
        <v>89</v>
      </c>
      <c r="H86" t="s">
        <v>100</v>
      </c>
      <c r="I86" t="s">
        <v>235</v>
      </c>
      <c r="J86" t="s">
        <v>88</v>
      </c>
      <c r="K86" t="s">
        <v>88</v>
      </c>
      <c r="L86" t="s">
        <v>88</v>
      </c>
      <c r="M86" t="s">
        <v>88</v>
      </c>
      <c r="N86" t="s">
        <v>88</v>
      </c>
      <c r="O86">
        <v>85</v>
      </c>
      <c r="P86" t="s">
        <v>88</v>
      </c>
      <c r="Q86" t="s">
        <v>88</v>
      </c>
      <c r="R86" t="s">
        <v>92</v>
      </c>
    </row>
    <row r="87" spans="2:18" x14ac:dyDescent="0.25">
      <c r="B87" t="s">
        <v>236</v>
      </c>
      <c r="C87" t="s">
        <v>173</v>
      </c>
      <c r="D87" t="s">
        <v>88</v>
      </c>
      <c r="E87" t="s">
        <v>88</v>
      </c>
      <c r="F87" t="s">
        <v>88</v>
      </c>
      <c r="G87" t="s">
        <v>89</v>
      </c>
      <c r="H87" t="s">
        <v>90</v>
      </c>
      <c r="I87" t="s">
        <v>97</v>
      </c>
      <c r="J87" t="s">
        <v>88</v>
      </c>
      <c r="K87" t="s">
        <v>88</v>
      </c>
      <c r="L87" t="s">
        <v>88</v>
      </c>
      <c r="M87" t="s">
        <v>88</v>
      </c>
      <c r="N87" t="s">
        <v>88</v>
      </c>
      <c r="O87">
        <v>86</v>
      </c>
      <c r="P87" t="s">
        <v>88</v>
      </c>
      <c r="Q87" t="s">
        <v>88</v>
      </c>
      <c r="R87" t="s">
        <v>92</v>
      </c>
    </row>
    <row r="88" spans="2:18" x14ac:dyDescent="0.25">
      <c r="B88" t="s">
        <v>237</v>
      </c>
      <c r="C88" t="s">
        <v>173</v>
      </c>
      <c r="D88" t="s">
        <v>88</v>
      </c>
      <c r="E88" t="s">
        <v>88</v>
      </c>
      <c r="F88" t="s">
        <v>88</v>
      </c>
      <c r="G88" t="s">
        <v>89</v>
      </c>
      <c r="H88" t="s">
        <v>90</v>
      </c>
      <c r="I88" t="s">
        <v>168</v>
      </c>
      <c r="J88" t="s">
        <v>88</v>
      </c>
      <c r="K88" t="s">
        <v>88</v>
      </c>
      <c r="L88" t="s">
        <v>88</v>
      </c>
      <c r="M88" t="s">
        <v>88</v>
      </c>
      <c r="N88" t="s">
        <v>88</v>
      </c>
      <c r="O88">
        <v>87</v>
      </c>
      <c r="P88" t="s">
        <v>88</v>
      </c>
      <c r="Q88" t="s">
        <v>88</v>
      </c>
      <c r="R88" t="s">
        <v>92</v>
      </c>
    </row>
    <row r="89" spans="2:18" x14ac:dyDescent="0.25">
      <c r="B89" t="s">
        <v>238</v>
      </c>
      <c r="C89" t="s">
        <v>153</v>
      </c>
      <c r="D89" t="s">
        <v>88</v>
      </c>
      <c r="E89" t="s">
        <v>88</v>
      </c>
      <c r="F89" t="s">
        <v>88</v>
      </c>
      <c r="G89" t="s">
        <v>89</v>
      </c>
      <c r="H89" t="s">
        <v>90</v>
      </c>
      <c r="I89" t="s">
        <v>113</v>
      </c>
      <c r="J89" t="s">
        <v>88</v>
      </c>
      <c r="K89" t="s">
        <v>88</v>
      </c>
      <c r="L89" t="s">
        <v>88</v>
      </c>
      <c r="M89" t="s">
        <v>88</v>
      </c>
      <c r="N89" t="s">
        <v>88</v>
      </c>
      <c r="O89">
        <v>88</v>
      </c>
      <c r="P89" t="s">
        <v>88</v>
      </c>
      <c r="Q89" t="s">
        <v>88</v>
      </c>
      <c r="R89" t="s">
        <v>92</v>
      </c>
    </row>
    <row r="90" spans="2:18" x14ac:dyDescent="0.25">
      <c r="B90" t="s">
        <v>239</v>
      </c>
      <c r="C90" t="s">
        <v>173</v>
      </c>
      <c r="D90" t="s">
        <v>88</v>
      </c>
      <c r="E90" t="s">
        <v>88</v>
      </c>
      <c r="F90" t="s">
        <v>88</v>
      </c>
      <c r="G90" t="s">
        <v>89</v>
      </c>
      <c r="H90" t="s">
        <v>100</v>
      </c>
      <c r="I90" t="s">
        <v>158</v>
      </c>
      <c r="J90" t="s">
        <v>88</v>
      </c>
      <c r="K90" t="s">
        <v>88</v>
      </c>
      <c r="L90" t="s">
        <v>88</v>
      </c>
      <c r="M90" t="s">
        <v>88</v>
      </c>
      <c r="N90" t="s">
        <v>88</v>
      </c>
      <c r="O90">
        <v>89</v>
      </c>
      <c r="P90" t="s">
        <v>88</v>
      </c>
      <c r="Q90" t="s">
        <v>88</v>
      </c>
      <c r="R90" t="s">
        <v>92</v>
      </c>
    </row>
    <row r="91" spans="2:18" x14ac:dyDescent="0.25">
      <c r="B91" t="s">
        <v>240</v>
      </c>
      <c r="C91" t="s">
        <v>99</v>
      </c>
      <c r="D91" t="s">
        <v>88</v>
      </c>
      <c r="E91" t="s">
        <v>88</v>
      </c>
      <c r="F91" t="s">
        <v>88</v>
      </c>
      <c r="G91" t="s">
        <v>89</v>
      </c>
      <c r="H91" t="s">
        <v>90</v>
      </c>
      <c r="I91" t="s">
        <v>113</v>
      </c>
      <c r="J91" t="s">
        <v>88</v>
      </c>
      <c r="K91" t="s">
        <v>88</v>
      </c>
      <c r="L91" t="s">
        <v>88</v>
      </c>
      <c r="M91" t="s">
        <v>88</v>
      </c>
      <c r="N91" t="s">
        <v>88</v>
      </c>
      <c r="O91">
        <v>90</v>
      </c>
      <c r="P91" t="s">
        <v>88</v>
      </c>
      <c r="Q91" t="s">
        <v>88</v>
      </c>
      <c r="R91" t="s">
        <v>92</v>
      </c>
    </row>
    <row r="92" spans="2:18" x14ac:dyDescent="0.25">
      <c r="B92" t="s">
        <v>241</v>
      </c>
      <c r="C92" t="s">
        <v>183</v>
      </c>
      <c r="D92" t="s">
        <v>88</v>
      </c>
      <c r="E92" t="s">
        <v>88</v>
      </c>
      <c r="F92" t="s">
        <v>88</v>
      </c>
      <c r="G92" t="s">
        <v>89</v>
      </c>
      <c r="H92" t="s">
        <v>90</v>
      </c>
      <c r="I92" t="s">
        <v>242</v>
      </c>
      <c r="J92" t="s">
        <v>88</v>
      </c>
      <c r="K92" t="s">
        <v>88</v>
      </c>
      <c r="L92" t="s">
        <v>88</v>
      </c>
      <c r="M92" t="s">
        <v>88</v>
      </c>
      <c r="N92" t="s">
        <v>88</v>
      </c>
      <c r="O92">
        <v>91</v>
      </c>
      <c r="P92" t="s">
        <v>88</v>
      </c>
      <c r="Q92" t="s">
        <v>88</v>
      </c>
      <c r="R92" t="s">
        <v>92</v>
      </c>
    </row>
    <row r="93" spans="2:18" x14ac:dyDescent="0.25">
      <c r="B93" t="s">
        <v>243</v>
      </c>
      <c r="C93" t="s">
        <v>149</v>
      </c>
      <c r="D93" t="s">
        <v>88</v>
      </c>
      <c r="E93" t="s">
        <v>88</v>
      </c>
      <c r="F93" t="s">
        <v>88</v>
      </c>
      <c r="G93" t="s">
        <v>89</v>
      </c>
      <c r="H93" t="s">
        <v>100</v>
      </c>
      <c r="I93" t="s">
        <v>244</v>
      </c>
      <c r="J93" t="s">
        <v>88</v>
      </c>
      <c r="K93" t="s">
        <v>88</v>
      </c>
      <c r="L93" t="s">
        <v>88</v>
      </c>
      <c r="M93" t="s">
        <v>88</v>
      </c>
      <c r="N93" t="s">
        <v>88</v>
      </c>
      <c r="O93">
        <v>92</v>
      </c>
      <c r="P93" t="s">
        <v>88</v>
      </c>
      <c r="Q93" t="s">
        <v>88</v>
      </c>
      <c r="R93" t="s">
        <v>92</v>
      </c>
    </row>
    <row r="94" spans="2:18" x14ac:dyDescent="0.25">
      <c r="B94" t="s">
        <v>245</v>
      </c>
      <c r="C94" t="s">
        <v>106</v>
      </c>
      <c r="D94" t="s">
        <v>88</v>
      </c>
      <c r="E94" t="s">
        <v>88</v>
      </c>
      <c r="F94" t="s">
        <v>88</v>
      </c>
      <c r="G94" t="s">
        <v>89</v>
      </c>
      <c r="H94" t="s">
        <v>100</v>
      </c>
      <c r="I94" t="s">
        <v>246</v>
      </c>
      <c r="J94" t="s">
        <v>88</v>
      </c>
      <c r="K94" t="s">
        <v>88</v>
      </c>
      <c r="L94" t="s">
        <v>88</v>
      </c>
      <c r="M94" t="s">
        <v>88</v>
      </c>
      <c r="N94" t="s">
        <v>88</v>
      </c>
      <c r="O94">
        <v>93</v>
      </c>
      <c r="P94" t="s">
        <v>88</v>
      </c>
      <c r="Q94" t="s">
        <v>88</v>
      </c>
      <c r="R94" t="s">
        <v>92</v>
      </c>
    </row>
    <row r="95" spans="2:18" x14ac:dyDescent="0.25">
      <c r="B95" t="s">
        <v>247</v>
      </c>
      <c r="C95" t="s">
        <v>106</v>
      </c>
      <c r="D95" t="s">
        <v>88</v>
      </c>
      <c r="E95" t="s">
        <v>88</v>
      </c>
      <c r="F95" t="s">
        <v>88</v>
      </c>
      <c r="G95" t="s">
        <v>89</v>
      </c>
      <c r="H95" t="s">
        <v>100</v>
      </c>
      <c r="I95" t="s">
        <v>158</v>
      </c>
      <c r="J95" t="s">
        <v>88</v>
      </c>
      <c r="K95" t="s">
        <v>88</v>
      </c>
      <c r="L95" t="s">
        <v>88</v>
      </c>
      <c r="M95" t="s">
        <v>88</v>
      </c>
      <c r="N95" t="s">
        <v>88</v>
      </c>
      <c r="O95">
        <v>94</v>
      </c>
      <c r="P95" t="s">
        <v>88</v>
      </c>
      <c r="Q95" t="s">
        <v>88</v>
      </c>
      <c r="R95" t="s">
        <v>92</v>
      </c>
    </row>
    <row r="96" spans="2:18" x14ac:dyDescent="0.25">
      <c r="B96" t="s">
        <v>248</v>
      </c>
      <c r="C96" t="s">
        <v>106</v>
      </c>
      <c r="D96" t="s">
        <v>88</v>
      </c>
      <c r="E96" t="s">
        <v>88</v>
      </c>
      <c r="F96" t="s">
        <v>88</v>
      </c>
      <c r="G96" t="s">
        <v>89</v>
      </c>
      <c r="H96" t="s">
        <v>90</v>
      </c>
      <c r="I96" t="s">
        <v>97</v>
      </c>
      <c r="J96" t="s">
        <v>88</v>
      </c>
      <c r="K96" t="s">
        <v>88</v>
      </c>
      <c r="L96" t="s">
        <v>88</v>
      </c>
      <c r="M96" t="s">
        <v>88</v>
      </c>
      <c r="N96" t="s">
        <v>88</v>
      </c>
      <c r="O96">
        <v>95</v>
      </c>
      <c r="P96" t="s">
        <v>88</v>
      </c>
      <c r="Q96" t="s">
        <v>88</v>
      </c>
      <c r="R96" t="s">
        <v>92</v>
      </c>
    </row>
    <row r="97" spans="2:18" x14ac:dyDescent="0.25">
      <c r="B97" t="s">
        <v>249</v>
      </c>
      <c r="C97" t="s">
        <v>139</v>
      </c>
      <c r="D97" t="s">
        <v>88</v>
      </c>
      <c r="E97" t="s">
        <v>88</v>
      </c>
      <c r="F97" t="s">
        <v>88</v>
      </c>
      <c r="G97" t="s">
        <v>89</v>
      </c>
      <c r="H97" t="s">
        <v>90</v>
      </c>
      <c r="I97" t="s">
        <v>113</v>
      </c>
      <c r="J97" t="s">
        <v>88</v>
      </c>
      <c r="K97" t="s">
        <v>88</v>
      </c>
      <c r="L97" t="s">
        <v>88</v>
      </c>
      <c r="M97" t="s">
        <v>88</v>
      </c>
      <c r="N97" t="s">
        <v>88</v>
      </c>
      <c r="O97">
        <v>96</v>
      </c>
      <c r="P97" t="s">
        <v>88</v>
      </c>
      <c r="Q97" t="s">
        <v>88</v>
      </c>
      <c r="R97" t="s">
        <v>92</v>
      </c>
    </row>
    <row r="98" spans="2:18" x14ac:dyDescent="0.25">
      <c r="B98" t="s">
        <v>250</v>
      </c>
      <c r="C98" t="s">
        <v>153</v>
      </c>
      <c r="D98" t="s">
        <v>88</v>
      </c>
      <c r="E98" t="s">
        <v>88</v>
      </c>
      <c r="F98" t="s">
        <v>88</v>
      </c>
      <c r="G98" t="s">
        <v>89</v>
      </c>
      <c r="H98" t="s">
        <v>90</v>
      </c>
      <c r="I98" t="s">
        <v>91</v>
      </c>
      <c r="J98" t="s">
        <v>88</v>
      </c>
      <c r="K98" t="s">
        <v>88</v>
      </c>
      <c r="L98" t="s">
        <v>88</v>
      </c>
      <c r="M98" t="s">
        <v>88</v>
      </c>
      <c r="N98" t="s">
        <v>88</v>
      </c>
      <c r="O98">
        <v>97</v>
      </c>
      <c r="P98" t="s">
        <v>88</v>
      </c>
      <c r="Q98" t="s">
        <v>88</v>
      </c>
      <c r="R98" t="s">
        <v>92</v>
      </c>
    </row>
    <row r="99" spans="2:18" x14ac:dyDescent="0.25">
      <c r="B99" t="s">
        <v>251</v>
      </c>
      <c r="C99" t="s">
        <v>106</v>
      </c>
      <c r="D99" t="s">
        <v>88</v>
      </c>
      <c r="E99" t="s">
        <v>88</v>
      </c>
      <c r="F99" t="s">
        <v>88</v>
      </c>
      <c r="G99" t="s">
        <v>89</v>
      </c>
      <c r="H99" t="s">
        <v>90</v>
      </c>
      <c r="I99" t="s">
        <v>168</v>
      </c>
      <c r="J99" t="s">
        <v>88</v>
      </c>
      <c r="K99" t="s">
        <v>88</v>
      </c>
      <c r="L99" t="s">
        <v>88</v>
      </c>
      <c r="M99" t="s">
        <v>88</v>
      </c>
      <c r="N99" t="s">
        <v>88</v>
      </c>
      <c r="O99">
        <v>98</v>
      </c>
      <c r="P99" t="s">
        <v>88</v>
      </c>
      <c r="Q99" t="s">
        <v>88</v>
      </c>
      <c r="R99" t="s">
        <v>92</v>
      </c>
    </row>
    <row r="100" spans="2:18" x14ac:dyDescent="0.25">
      <c r="B100" t="s">
        <v>252</v>
      </c>
      <c r="C100" t="s">
        <v>99</v>
      </c>
      <c r="D100" t="s">
        <v>88</v>
      </c>
      <c r="E100" t="s">
        <v>88</v>
      </c>
      <c r="F100" t="s">
        <v>88</v>
      </c>
      <c r="G100" t="s">
        <v>89</v>
      </c>
      <c r="H100" t="s">
        <v>100</v>
      </c>
      <c r="I100" t="s">
        <v>220</v>
      </c>
      <c r="J100" t="s">
        <v>88</v>
      </c>
      <c r="K100" t="s">
        <v>88</v>
      </c>
      <c r="L100" t="s">
        <v>88</v>
      </c>
      <c r="M100" t="s">
        <v>88</v>
      </c>
      <c r="N100" t="s">
        <v>88</v>
      </c>
      <c r="O100">
        <v>99</v>
      </c>
      <c r="P100" t="s">
        <v>88</v>
      </c>
      <c r="Q100" t="s">
        <v>88</v>
      </c>
      <c r="R100" t="s">
        <v>92</v>
      </c>
    </row>
    <row r="101" spans="2:18" x14ac:dyDescent="0.25">
      <c r="B101" t="s">
        <v>253</v>
      </c>
      <c r="C101" t="s">
        <v>129</v>
      </c>
      <c r="D101" t="s">
        <v>88</v>
      </c>
      <c r="E101" t="s">
        <v>88</v>
      </c>
      <c r="F101" t="s">
        <v>88</v>
      </c>
      <c r="G101" t="s">
        <v>89</v>
      </c>
      <c r="H101" t="s">
        <v>100</v>
      </c>
      <c r="I101" t="s">
        <v>101</v>
      </c>
      <c r="J101" t="s">
        <v>88</v>
      </c>
      <c r="K101" t="s">
        <v>88</v>
      </c>
      <c r="L101" t="s">
        <v>88</v>
      </c>
      <c r="M101" t="s">
        <v>88</v>
      </c>
      <c r="N101" t="s">
        <v>88</v>
      </c>
      <c r="O101">
        <v>100</v>
      </c>
      <c r="P101" t="s">
        <v>88</v>
      </c>
      <c r="Q101" t="s">
        <v>88</v>
      </c>
      <c r="R101" t="s">
        <v>92</v>
      </c>
    </row>
    <row r="102" spans="2:18" x14ac:dyDescent="0.25">
      <c r="B102" t="s">
        <v>254</v>
      </c>
      <c r="C102" t="s">
        <v>143</v>
      </c>
      <c r="D102" t="s">
        <v>88</v>
      </c>
      <c r="E102" t="s">
        <v>88</v>
      </c>
      <c r="F102" t="s">
        <v>88</v>
      </c>
      <c r="G102" t="s">
        <v>89</v>
      </c>
      <c r="H102" t="s">
        <v>100</v>
      </c>
      <c r="I102" t="s">
        <v>255</v>
      </c>
      <c r="J102" t="s">
        <v>88</v>
      </c>
      <c r="K102" t="s">
        <v>88</v>
      </c>
      <c r="L102" t="s">
        <v>88</v>
      </c>
      <c r="M102" t="s">
        <v>88</v>
      </c>
      <c r="N102" t="s">
        <v>88</v>
      </c>
      <c r="O102">
        <v>101</v>
      </c>
      <c r="P102" t="s">
        <v>88</v>
      </c>
      <c r="Q102" t="s">
        <v>88</v>
      </c>
      <c r="R102" t="s">
        <v>92</v>
      </c>
    </row>
    <row r="103" spans="2:18" x14ac:dyDescent="0.25">
      <c r="B103" t="s">
        <v>256</v>
      </c>
      <c r="C103" t="s">
        <v>99</v>
      </c>
      <c r="D103" t="s">
        <v>88</v>
      </c>
      <c r="E103" t="s">
        <v>88</v>
      </c>
      <c r="F103" t="s">
        <v>88</v>
      </c>
      <c r="G103" t="s">
        <v>89</v>
      </c>
      <c r="H103" t="s">
        <v>90</v>
      </c>
      <c r="I103" t="s">
        <v>111</v>
      </c>
      <c r="J103" t="s">
        <v>88</v>
      </c>
      <c r="K103" t="s">
        <v>88</v>
      </c>
      <c r="L103" t="s">
        <v>88</v>
      </c>
      <c r="M103" t="s">
        <v>88</v>
      </c>
      <c r="N103" t="s">
        <v>88</v>
      </c>
      <c r="O103">
        <v>102</v>
      </c>
      <c r="P103" t="s">
        <v>88</v>
      </c>
      <c r="Q103" t="s">
        <v>88</v>
      </c>
      <c r="R103" t="s">
        <v>92</v>
      </c>
    </row>
    <row r="104" spans="2:18" x14ac:dyDescent="0.25">
      <c r="B104" t="s">
        <v>257</v>
      </c>
      <c r="C104" t="s">
        <v>176</v>
      </c>
      <c r="D104" t="s">
        <v>88</v>
      </c>
      <c r="E104" t="s">
        <v>88</v>
      </c>
      <c r="F104" t="s">
        <v>88</v>
      </c>
      <c r="G104" t="s">
        <v>89</v>
      </c>
      <c r="H104" t="s">
        <v>90</v>
      </c>
      <c r="I104" t="s">
        <v>113</v>
      </c>
      <c r="J104" t="s">
        <v>88</v>
      </c>
      <c r="K104" t="s">
        <v>88</v>
      </c>
      <c r="L104" t="s">
        <v>88</v>
      </c>
      <c r="M104" t="s">
        <v>88</v>
      </c>
      <c r="N104" t="s">
        <v>88</v>
      </c>
      <c r="O104">
        <v>103</v>
      </c>
      <c r="P104" t="s">
        <v>88</v>
      </c>
      <c r="Q104" t="s">
        <v>88</v>
      </c>
      <c r="R104" t="s">
        <v>92</v>
      </c>
    </row>
    <row r="105" spans="2:18" x14ac:dyDescent="0.25">
      <c r="B105" t="s">
        <v>258</v>
      </c>
      <c r="C105" t="s">
        <v>99</v>
      </c>
      <c r="D105" t="s">
        <v>88</v>
      </c>
      <c r="E105" t="s">
        <v>88</v>
      </c>
      <c r="F105" t="s">
        <v>88</v>
      </c>
      <c r="G105" t="s">
        <v>89</v>
      </c>
      <c r="H105" t="s">
        <v>90</v>
      </c>
      <c r="I105" t="s">
        <v>94</v>
      </c>
      <c r="J105" t="s">
        <v>88</v>
      </c>
      <c r="K105" t="s">
        <v>88</v>
      </c>
      <c r="L105" t="s">
        <v>88</v>
      </c>
      <c r="M105" t="s">
        <v>88</v>
      </c>
      <c r="N105" t="s">
        <v>88</v>
      </c>
      <c r="O105">
        <v>104</v>
      </c>
      <c r="P105" t="s">
        <v>88</v>
      </c>
      <c r="Q105" t="s">
        <v>88</v>
      </c>
      <c r="R105" t="s">
        <v>92</v>
      </c>
    </row>
    <row r="106" spans="2:18" x14ac:dyDescent="0.25">
      <c r="B106" t="s">
        <v>259</v>
      </c>
      <c r="C106" t="s">
        <v>176</v>
      </c>
      <c r="D106" t="s">
        <v>88</v>
      </c>
      <c r="E106" t="s">
        <v>88</v>
      </c>
      <c r="F106" t="s">
        <v>88</v>
      </c>
      <c r="G106" t="s">
        <v>89</v>
      </c>
      <c r="H106" t="s">
        <v>90</v>
      </c>
      <c r="I106" t="s">
        <v>97</v>
      </c>
      <c r="J106" t="s">
        <v>88</v>
      </c>
      <c r="K106" t="s">
        <v>88</v>
      </c>
      <c r="L106" t="s">
        <v>88</v>
      </c>
      <c r="M106" t="s">
        <v>88</v>
      </c>
      <c r="N106" t="s">
        <v>88</v>
      </c>
      <c r="O106">
        <v>105</v>
      </c>
      <c r="P106" t="s">
        <v>88</v>
      </c>
      <c r="Q106" t="s">
        <v>88</v>
      </c>
      <c r="R106" t="s">
        <v>92</v>
      </c>
    </row>
    <row r="107" spans="2:18" x14ac:dyDescent="0.25">
      <c r="B107" t="s">
        <v>260</v>
      </c>
      <c r="C107" t="s">
        <v>183</v>
      </c>
      <c r="D107" t="s">
        <v>88</v>
      </c>
      <c r="E107" t="s">
        <v>88</v>
      </c>
      <c r="F107" t="s">
        <v>88</v>
      </c>
      <c r="G107" t="s">
        <v>89</v>
      </c>
      <c r="H107" t="s">
        <v>100</v>
      </c>
      <c r="I107" t="s">
        <v>158</v>
      </c>
      <c r="J107" t="s">
        <v>88</v>
      </c>
      <c r="K107" t="s">
        <v>88</v>
      </c>
      <c r="L107" t="s">
        <v>88</v>
      </c>
      <c r="M107" t="s">
        <v>88</v>
      </c>
      <c r="N107" t="s">
        <v>88</v>
      </c>
      <c r="O107">
        <v>106</v>
      </c>
      <c r="P107" t="s">
        <v>88</v>
      </c>
      <c r="Q107" t="s">
        <v>88</v>
      </c>
      <c r="R107" t="s">
        <v>92</v>
      </c>
    </row>
    <row r="108" spans="2:18" x14ac:dyDescent="0.25">
      <c r="B108" t="s">
        <v>261</v>
      </c>
      <c r="C108" t="s">
        <v>103</v>
      </c>
      <c r="D108" t="s">
        <v>88</v>
      </c>
      <c r="E108" t="s">
        <v>88</v>
      </c>
      <c r="F108" t="s">
        <v>88</v>
      </c>
      <c r="G108" t="s">
        <v>89</v>
      </c>
      <c r="H108" t="s">
        <v>90</v>
      </c>
      <c r="I108" t="s">
        <v>147</v>
      </c>
      <c r="J108" t="s">
        <v>88</v>
      </c>
      <c r="K108" t="s">
        <v>88</v>
      </c>
      <c r="L108" t="s">
        <v>88</v>
      </c>
      <c r="M108" t="s">
        <v>88</v>
      </c>
      <c r="N108" t="s">
        <v>88</v>
      </c>
      <c r="O108">
        <v>107</v>
      </c>
      <c r="P108" t="s">
        <v>88</v>
      </c>
      <c r="Q108" t="s">
        <v>88</v>
      </c>
      <c r="R108" t="s">
        <v>92</v>
      </c>
    </row>
    <row r="109" spans="2:18" x14ac:dyDescent="0.25">
      <c r="B109" t="s">
        <v>262</v>
      </c>
      <c r="C109" t="s">
        <v>103</v>
      </c>
      <c r="D109" t="s">
        <v>88</v>
      </c>
      <c r="E109" t="s">
        <v>88</v>
      </c>
      <c r="F109" t="s">
        <v>88</v>
      </c>
      <c r="G109" t="s">
        <v>89</v>
      </c>
      <c r="H109" t="s">
        <v>90</v>
      </c>
      <c r="I109" t="s">
        <v>130</v>
      </c>
      <c r="J109" t="s">
        <v>88</v>
      </c>
      <c r="K109" t="s">
        <v>88</v>
      </c>
      <c r="L109" t="s">
        <v>88</v>
      </c>
      <c r="M109" t="s">
        <v>88</v>
      </c>
      <c r="N109" t="s">
        <v>88</v>
      </c>
      <c r="O109">
        <v>108</v>
      </c>
      <c r="P109" t="s">
        <v>88</v>
      </c>
      <c r="Q109" t="s">
        <v>88</v>
      </c>
      <c r="R109" t="s">
        <v>92</v>
      </c>
    </row>
    <row r="110" spans="2:18" x14ac:dyDescent="0.25">
      <c r="B110" t="s">
        <v>263</v>
      </c>
      <c r="C110" t="s">
        <v>264</v>
      </c>
      <c r="D110" t="s">
        <v>88</v>
      </c>
      <c r="E110" t="s">
        <v>88</v>
      </c>
      <c r="F110" t="s">
        <v>88</v>
      </c>
      <c r="G110" t="s">
        <v>89</v>
      </c>
      <c r="H110" t="s">
        <v>90</v>
      </c>
      <c r="I110" t="s">
        <v>94</v>
      </c>
      <c r="J110" t="s">
        <v>88</v>
      </c>
      <c r="K110" t="s">
        <v>88</v>
      </c>
      <c r="L110" t="s">
        <v>88</v>
      </c>
      <c r="M110" t="s">
        <v>88</v>
      </c>
      <c r="N110" t="s">
        <v>88</v>
      </c>
      <c r="O110">
        <v>109</v>
      </c>
      <c r="P110" t="s">
        <v>88</v>
      </c>
      <c r="Q110" t="s">
        <v>88</v>
      </c>
      <c r="R110" t="s">
        <v>92</v>
      </c>
    </row>
    <row r="111" spans="2:18" x14ac:dyDescent="0.25">
      <c r="B111" t="s">
        <v>265</v>
      </c>
      <c r="C111" t="s">
        <v>149</v>
      </c>
      <c r="D111" t="s">
        <v>88</v>
      </c>
      <c r="E111" t="s">
        <v>88</v>
      </c>
      <c r="F111" t="s">
        <v>88</v>
      </c>
      <c r="G111" t="s">
        <v>89</v>
      </c>
      <c r="H111" t="s">
        <v>100</v>
      </c>
      <c r="I111" t="s">
        <v>120</v>
      </c>
      <c r="J111" t="s">
        <v>88</v>
      </c>
      <c r="K111" t="s">
        <v>88</v>
      </c>
      <c r="L111" t="s">
        <v>88</v>
      </c>
      <c r="M111" t="s">
        <v>88</v>
      </c>
      <c r="N111" t="s">
        <v>88</v>
      </c>
      <c r="O111">
        <v>110</v>
      </c>
      <c r="P111" t="s">
        <v>88</v>
      </c>
      <c r="Q111" t="s">
        <v>88</v>
      </c>
      <c r="R111" t="s">
        <v>92</v>
      </c>
    </row>
    <row r="112" spans="2:18" x14ac:dyDescent="0.25">
      <c r="B112" t="s">
        <v>266</v>
      </c>
      <c r="C112" t="s">
        <v>103</v>
      </c>
      <c r="D112" t="s">
        <v>88</v>
      </c>
      <c r="E112" t="s">
        <v>88</v>
      </c>
      <c r="F112" t="s">
        <v>88</v>
      </c>
      <c r="G112" t="s">
        <v>89</v>
      </c>
      <c r="H112" t="s">
        <v>90</v>
      </c>
      <c r="I112" t="s">
        <v>97</v>
      </c>
      <c r="J112" t="s">
        <v>88</v>
      </c>
      <c r="K112" t="s">
        <v>88</v>
      </c>
      <c r="L112" t="s">
        <v>88</v>
      </c>
      <c r="M112" t="s">
        <v>88</v>
      </c>
      <c r="N112" t="s">
        <v>88</v>
      </c>
      <c r="O112">
        <v>111</v>
      </c>
      <c r="P112" t="s">
        <v>88</v>
      </c>
      <c r="Q112" t="s">
        <v>88</v>
      </c>
      <c r="R112" t="s">
        <v>92</v>
      </c>
    </row>
    <row r="113" spans="2:18" x14ac:dyDescent="0.25">
      <c r="B113" t="s">
        <v>267</v>
      </c>
      <c r="C113" t="s">
        <v>103</v>
      </c>
      <c r="D113" t="s">
        <v>88</v>
      </c>
      <c r="E113" t="s">
        <v>88</v>
      </c>
      <c r="F113" t="s">
        <v>88</v>
      </c>
      <c r="G113" t="s">
        <v>89</v>
      </c>
      <c r="H113" t="s">
        <v>90</v>
      </c>
      <c r="I113" t="s">
        <v>180</v>
      </c>
      <c r="J113" t="s">
        <v>88</v>
      </c>
      <c r="K113" t="s">
        <v>88</v>
      </c>
      <c r="L113" t="s">
        <v>88</v>
      </c>
      <c r="M113" t="s">
        <v>88</v>
      </c>
      <c r="N113" t="s">
        <v>88</v>
      </c>
      <c r="O113">
        <v>112</v>
      </c>
      <c r="P113" t="s">
        <v>88</v>
      </c>
      <c r="Q113" t="s">
        <v>88</v>
      </c>
      <c r="R113" t="s">
        <v>92</v>
      </c>
    </row>
    <row r="114" spans="2:18" x14ac:dyDescent="0.25">
      <c r="B114" t="s">
        <v>268</v>
      </c>
      <c r="C114" t="s">
        <v>269</v>
      </c>
      <c r="D114" t="s">
        <v>88</v>
      </c>
      <c r="E114" t="s">
        <v>88</v>
      </c>
      <c r="F114" t="s">
        <v>88</v>
      </c>
      <c r="G114" t="s">
        <v>89</v>
      </c>
      <c r="H114" t="s">
        <v>100</v>
      </c>
      <c r="I114" t="s">
        <v>246</v>
      </c>
      <c r="J114" t="s">
        <v>88</v>
      </c>
      <c r="K114" t="s">
        <v>88</v>
      </c>
      <c r="L114" t="s">
        <v>88</v>
      </c>
      <c r="M114" t="s">
        <v>88</v>
      </c>
      <c r="N114" t="s">
        <v>88</v>
      </c>
      <c r="O114">
        <v>113</v>
      </c>
      <c r="P114" t="s">
        <v>88</v>
      </c>
      <c r="Q114" t="s">
        <v>88</v>
      </c>
      <c r="R114" t="s">
        <v>92</v>
      </c>
    </row>
    <row r="115" spans="2:18" x14ac:dyDescent="0.25">
      <c r="B115" t="s">
        <v>270</v>
      </c>
      <c r="C115" t="s">
        <v>269</v>
      </c>
      <c r="D115" t="s">
        <v>88</v>
      </c>
      <c r="E115" t="s">
        <v>88</v>
      </c>
      <c r="F115" t="s">
        <v>88</v>
      </c>
      <c r="G115" t="s">
        <v>89</v>
      </c>
      <c r="H115" t="s">
        <v>100</v>
      </c>
      <c r="I115" t="s">
        <v>158</v>
      </c>
      <c r="J115" t="s">
        <v>88</v>
      </c>
      <c r="K115" t="s">
        <v>88</v>
      </c>
      <c r="L115" t="s">
        <v>88</v>
      </c>
      <c r="M115" t="s">
        <v>88</v>
      </c>
      <c r="N115" t="s">
        <v>88</v>
      </c>
      <c r="O115">
        <v>114</v>
      </c>
      <c r="P115" t="s">
        <v>88</v>
      </c>
      <c r="Q115" t="s">
        <v>88</v>
      </c>
      <c r="R115" t="s">
        <v>92</v>
      </c>
    </row>
    <row r="116" spans="2:18" x14ac:dyDescent="0.25">
      <c r="B116" t="s">
        <v>271</v>
      </c>
      <c r="C116" t="s">
        <v>269</v>
      </c>
      <c r="D116" t="s">
        <v>88</v>
      </c>
      <c r="E116" t="s">
        <v>88</v>
      </c>
      <c r="F116" t="s">
        <v>88</v>
      </c>
      <c r="G116" t="s">
        <v>89</v>
      </c>
      <c r="H116" t="s">
        <v>90</v>
      </c>
      <c r="I116" t="s">
        <v>109</v>
      </c>
      <c r="J116" t="s">
        <v>88</v>
      </c>
      <c r="K116" t="s">
        <v>88</v>
      </c>
      <c r="L116" t="s">
        <v>88</v>
      </c>
      <c r="M116" t="s">
        <v>88</v>
      </c>
      <c r="N116" t="s">
        <v>88</v>
      </c>
      <c r="O116">
        <v>115</v>
      </c>
      <c r="P116" t="s">
        <v>88</v>
      </c>
      <c r="Q116" t="s">
        <v>88</v>
      </c>
      <c r="R116" t="s">
        <v>92</v>
      </c>
    </row>
    <row r="117" spans="2:18" x14ac:dyDescent="0.25">
      <c r="B117" t="s">
        <v>272</v>
      </c>
      <c r="C117" t="s">
        <v>269</v>
      </c>
      <c r="D117" t="s">
        <v>88</v>
      </c>
      <c r="E117" t="s">
        <v>88</v>
      </c>
      <c r="F117" t="s">
        <v>88</v>
      </c>
      <c r="G117" t="s">
        <v>89</v>
      </c>
      <c r="H117" t="s">
        <v>90</v>
      </c>
      <c r="I117" t="s">
        <v>166</v>
      </c>
      <c r="J117" t="s">
        <v>88</v>
      </c>
      <c r="K117" t="s">
        <v>88</v>
      </c>
      <c r="L117" t="s">
        <v>88</v>
      </c>
      <c r="M117" t="s">
        <v>88</v>
      </c>
      <c r="N117" t="s">
        <v>88</v>
      </c>
      <c r="O117">
        <v>116</v>
      </c>
      <c r="P117" t="s">
        <v>88</v>
      </c>
      <c r="Q117" t="s">
        <v>88</v>
      </c>
      <c r="R117" t="s">
        <v>92</v>
      </c>
    </row>
    <row r="118" spans="2:18" x14ac:dyDescent="0.25">
      <c r="B118" t="s">
        <v>273</v>
      </c>
      <c r="C118" t="s">
        <v>269</v>
      </c>
      <c r="D118" t="s">
        <v>88</v>
      </c>
      <c r="E118" t="s">
        <v>88</v>
      </c>
      <c r="F118" t="s">
        <v>88</v>
      </c>
      <c r="G118" t="s">
        <v>89</v>
      </c>
      <c r="H118" t="s">
        <v>90</v>
      </c>
      <c r="I118" t="s">
        <v>94</v>
      </c>
      <c r="J118" t="s">
        <v>88</v>
      </c>
      <c r="K118" t="s">
        <v>88</v>
      </c>
      <c r="L118" t="s">
        <v>88</v>
      </c>
      <c r="M118" t="s">
        <v>88</v>
      </c>
      <c r="N118" t="s">
        <v>88</v>
      </c>
      <c r="O118">
        <v>117</v>
      </c>
      <c r="P118" t="s">
        <v>88</v>
      </c>
      <c r="Q118" t="s">
        <v>88</v>
      </c>
      <c r="R118" t="s">
        <v>92</v>
      </c>
    </row>
    <row r="119" spans="2:18" x14ac:dyDescent="0.25">
      <c r="B119" t="s">
        <v>274</v>
      </c>
      <c r="C119" t="s">
        <v>269</v>
      </c>
      <c r="D119" t="s">
        <v>88</v>
      </c>
      <c r="E119" t="s">
        <v>88</v>
      </c>
      <c r="F119" t="s">
        <v>88</v>
      </c>
      <c r="G119" t="s">
        <v>89</v>
      </c>
      <c r="H119" t="s">
        <v>90</v>
      </c>
      <c r="I119" t="s">
        <v>168</v>
      </c>
      <c r="J119" t="s">
        <v>88</v>
      </c>
      <c r="K119" t="s">
        <v>88</v>
      </c>
      <c r="L119" t="s">
        <v>88</v>
      </c>
      <c r="M119" t="s">
        <v>88</v>
      </c>
      <c r="N119" t="s">
        <v>88</v>
      </c>
      <c r="O119">
        <v>118</v>
      </c>
      <c r="P119" t="s">
        <v>88</v>
      </c>
      <c r="Q119" t="s">
        <v>88</v>
      </c>
      <c r="R119" t="s">
        <v>92</v>
      </c>
    </row>
    <row r="120" spans="2:18" x14ac:dyDescent="0.25">
      <c r="B120" t="s">
        <v>275</v>
      </c>
      <c r="C120" t="s">
        <v>269</v>
      </c>
      <c r="D120" t="s">
        <v>88</v>
      </c>
      <c r="E120" t="s">
        <v>88</v>
      </c>
      <c r="F120" t="s">
        <v>88</v>
      </c>
      <c r="G120" t="s">
        <v>89</v>
      </c>
      <c r="H120" t="s">
        <v>90</v>
      </c>
      <c r="I120" t="s">
        <v>97</v>
      </c>
      <c r="J120" t="s">
        <v>88</v>
      </c>
      <c r="K120" t="s">
        <v>88</v>
      </c>
      <c r="L120" t="s">
        <v>88</v>
      </c>
      <c r="M120" t="s">
        <v>88</v>
      </c>
      <c r="N120" t="s">
        <v>88</v>
      </c>
      <c r="O120">
        <v>119</v>
      </c>
      <c r="P120" t="s">
        <v>88</v>
      </c>
      <c r="Q120" t="s">
        <v>88</v>
      </c>
      <c r="R120" t="s">
        <v>92</v>
      </c>
    </row>
    <row r="121" spans="2:18" x14ac:dyDescent="0.25">
      <c r="B121" t="s">
        <v>276</v>
      </c>
      <c r="C121" t="s">
        <v>103</v>
      </c>
      <c r="D121" t="s">
        <v>88</v>
      </c>
      <c r="E121" t="s">
        <v>88</v>
      </c>
      <c r="F121" t="s">
        <v>88</v>
      </c>
      <c r="G121" t="s">
        <v>89</v>
      </c>
      <c r="H121" t="s">
        <v>100</v>
      </c>
      <c r="I121" t="s">
        <v>104</v>
      </c>
      <c r="J121" t="s">
        <v>88</v>
      </c>
      <c r="K121" t="s">
        <v>88</v>
      </c>
      <c r="L121" t="s">
        <v>88</v>
      </c>
      <c r="M121" t="s">
        <v>88</v>
      </c>
      <c r="N121" t="s">
        <v>88</v>
      </c>
      <c r="O121">
        <v>120</v>
      </c>
      <c r="P121" t="s">
        <v>88</v>
      </c>
      <c r="Q121" t="s">
        <v>88</v>
      </c>
      <c r="R121" t="s">
        <v>92</v>
      </c>
    </row>
    <row r="122" spans="2:18" x14ac:dyDescent="0.25">
      <c r="B122" t="s">
        <v>277</v>
      </c>
      <c r="C122" t="s">
        <v>103</v>
      </c>
      <c r="D122" t="s">
        <v>88</v>
      </c>
      <c r="E122" t="s">
        <v>88</v>
      </c>
      <c r="F122" t="s">
        <v>88</v>
      </c>
      <c r="G122" t="s">
        <v>89</v>
      </c>
      <c r="H122" t="s">
        <v>100</v>
      </c>
      <c r="I122" t="s">
        <v>278</v>
      </c>
      <c r="J122" t="s">
        <v>88</v>
      </c>
      <c r="K122" t="s">
        <v>88</v>
      </c>
      <c r="L122" t="s">
        <v>88</v>
      </c>
      <c r="M122" t="s">
        <v>88</v>
      </c>
      <c r="N122" t="s">
        <v>88</v>
      </c>
      <c r="O122">
        <v>121</v>
      </c>
      <c r="P122" t="s">
        <v>88</v>
      </c>
      <c r="Q122" t="s">
        <v>88</v>
      </c>
      <c r="R122" t="s">
        <v>92</v>
      </c>
    </row>
    <row r="123" spans="2:18" x14ac:dyDescent="0.25">
      <c r="B123" t="s">
        <v>279</v>
      </c>
      <c r="C123" t="s">
        <v>208</v>
      </c>
      <c r="D123" t="s">
        <v>88</v>
      </c>
      <c r="E123" t="s">
        <v>88</v>
      </c>
      <c r="F123" t="s">
        <v>88</v>
      </c>
      <c r="G123" t="s">
        <v>89</v>
      </c>
      <c r="H123" t="s">
        <v>100</v>
      </c>
      <c r="I123" t="s">
        <v>163</v>
      </c>
      <c r="J123" t="s">
        <v>88</v>
      </c>
      <c r="K123" t="s">
        <v>88</v>
      </c>
      <c r="L123" t="s">
        <v>88</v>
      </c>
      <c r="M123" t="s">
        <v>88</v>
      </c>
      <c r="N123" t="s">
        <v>88</v>
      </c>
      <c r="O123">
        <v>122</v>
      </c>
      <c r="P123" t="s">
        <v>88</v>
      </c>
      <c r="Q123" t="s">
        <v>88</v>
      </c>
      <c r="R123" t="s">
        <v>92</v>
      </c>
    </row>
    <row r="124" spans="2:18" x14ac:dyDescent="0.25">
      <c r="B124" t="s">
        <v>280</v>
      </c>
      <c r="C124" t="s">
        <v>208</v>
      </c>
      <c r="D124" t="s">
        <v>88</v>
      </c>
      <c r="E124" t="s">
        <v>88</v>
      </c>
      <c r="F124" t="s">
        <v>88</v>
      </c>
      <c r="G124" t="s">
        <v>89</v>
      </c>
      <c r="H124" t="s">
        <v>100</v>
      </c>
      <c r="I124" t="s">
        <v>163</v>
      </c>
      <c r="J124" t="s">
        <v>88</v>
      </c>
      <c r="K124" t="s">
        <v>88</v>
      </c>
      <c r="L124" t="s">
        <v>88</v>
      </c>
      <c r="M124" t="s">
        <v>88</v>
      </c>
      <c r="N124" t="s">
        <v>88</v>
      </c>
      <c r="O124">
        <v>123</v>
      </c>
      <c r="P124" t="s">
        <v>88</v>
      </c>
      <c r="Q124" t="s">
        <v>88</v>
      </c>
      <c r="R124" t="s">
        <v>92</v>
      </c>
    </row>
    <row r="125" spans="2:18" x14ac:dyDescent="0.25">
      <c r="B125" t="s">
        <v>281</v>
      </c>
      <c r="C125" t="s">
        <v>103</v>
      </c>
      <c r="D125" t="s">
        <v>88</v>
      </c>
      <c r="E125" t="s">
        <v>88</v>
      </c>
      <c r="F125" t="s">
        <v>88</v>
      </c>
      <c r="G125" t="s">
        <v>89</v>
      </c>
      <c r="H125" t="s">
        <v>90</v>
      </c>
      <c r="I125" t="s">
        <v>282</v>
      </c>
      <c r="J125" t="s">
        <v>88</v>
      </c>
      <c r="K125" t="s">
        <v>88</v>
      </c>
      <c r="L125" t="s">
        <v>88</v>
      </c>
      <c r="M125" t="s">
        <v>88</v>
      </c>
      <c r="N125" t="s">
        <v>88</v>
      </c>
      <c r="O125">
        <v>124</v>
      </c>
      <c r="P125" t="s">
        <v>88</v>
      </c>
      <c r="Q125" t="s">
        <v>88</v>
      </c>
      <c r="R125" t="s">
        <v>92</v>
      </c>
    </row>
    <row r="126" spans="2:18" x14ac:dyDescent="0.25">
      <c r="B126" t="s">
        <v>283</v>
      </c>
      <c r="C126" t="s">
        <v>103</v>
      </c>
      <c r="D126" t="s">
        <v>88</v>
      </c>
      <c r="E126" t="s">
        <v>88</v>
      </c>
      <c r="F126" t="s">
        <v>88</v>
      </c>
      <c r="G126" t="s">
        <v>89</v>
      </c>
      <c r="H126" t="s">
        <v>90</v>
      </c>
      <c r="I126" t="s">
        <v>168</v>
      </c>
      <c r="J126" t="s">
        <v>88</v>
      </c>
      <c r="K126" t="s">
        <v>88</v>
      </c>
      <c r="L126" t="s">
        <v>88</v>
      </c>
      <c r="M126" t="s">
        <v>88</v>
      </c>
      <c r="N126" t="s">
        <v>88</v>
      </c>
      <c r="O126">
        <v>125</v>
      </c>
      <c r="P126" t="s">
        <v>88</v>
      </c>
      <c r="Q126" t="s">
        <v>88</v>
      </c>
      <c r="R126" t="s">
        <v>92</v>
      </c>
    </row>
    <row r="127" spans="2:18" x14ac:dyDescent="0.25">
      <c r="B127" t="s">
        <v>284</v>
      </c>
      <c r="C127" t="s">
        <v>106</v>
      </c>
      <c r="D127" t="s">
        <v>88</v>
      </c>
      <c r="E127" t="s">
        <v>88</v>
      </c>
      <c r="F127" t="s">
        <v>88</v>
      </c>
      <c r="G127" t="s">
        <v>89</v>
      </c>
      <c r="H127" t="s">
        <v>100</v>
      </c>
      <c r="I127" t="s">
        <v>158</v>
      </c>
      <c r="J127" t="s">
        <v>88</v>
      </c>
      <c r="K127" t="s">
        <v>88</v>
      </c>
      <c r="L127" t="s">
        <v>88</v>
      </c>
      <c r="M127" t="s">
        <v>88</v>
      </c>
      <c r="N127" t="s">
        <v>88</v>
      </c>
      <c r="O127">
        <v>126</v>
      </c>
      <c r="P127" t="s">
        <v>88</v>
      </c>
      <c r="Q127" t="s">
        <v>88</v>
      </c>
      <c r="R127" t="s">
        <v>92</v>
      </c>
    </row>
    <row r="128" spans="2:18" x14ac:dyDescent="0.25">
      <c r="B128" t="s">
        <v>285</v>
      </c>
      <c r="C128" t="s">
        <v>103</v>
      </c>
      <c r="D128" t="s">
        <v>88</v>
      </c>
      <c r="E128" t="s">
        <v>88</v>
      </c>
      <c r="F128" t="s">
        <v>88</v>
      </c>
      <c r="G128" t="s">
        <v>89</v>
      </c>
      <c r="H128" t="s">
        <v>90</v>
      </c>
      <c r="I128" t="s">
        <v>147</v>
      </c>
      <c r="J128" t="s">
        <v>88</v>
      </c>
      <c r="K128" t="s">
        <v>88</v>
      </c>
      <c r="L128" t="s">
        <v>88</v>
      </c>
      <c r="M128" t="s">
        <v>88</v>
      </c>
      <c r="N128" t="s">
        <v>88</v>
      </c>
      <c r="O128">
        <v>127</v>
      </c>
      <c r="P128" t="s">
        <v>88</v>
      </c>
      <c r="Q128" t="s">
        <v>88</v>
      </c>
      <c r="R128" t="s">
        <v>92</v>
      </c>
    </row>
    <row r="129" spans="2:18" x14ac:dyDescent="0.25">
      <c r="B129" t="s">
        <v>286</v>
      </c>
      <c r="C129" t="s">
        <v>287</v>
      </c>
      <c r="D129" t="s">
        <v>88</v>
      </c>
      <c r="E129" t="s">
        <v>88</v>
      </c>
      <c r="F129" t="s">
        <v>88</v>
      </c>
      <c r="G129" t="s">
        <v>89</v>
      </c>
      <c r="H129" t="s">
        <v>90</v>
      </c>
      <c r="I129" t="s">
        <v>113</v>
      </c>
      <c r="J129" t="s">
        <v>88</v>
      </c>
      <c r="K129" t="s">
        <v>88</v>
      </c>
      <c r="L129" t="s">
        <v>88</v>
      </c>
      <c r="M129" t="s">
        <v>88</v>
      </c>
      <c r="N129" t="s">
        <v>88</v>
      </c>
      <c r="O129">
        <v>128</v>
      </c>
      <c r="P129" t="s">
        <v>88</v>
      </c>
      <c r="Q129" t="s">
        <v>88</v>
      </c>
      <c r="R129" t="s">
        <v>92</v>
      </c>
    </row>
    <row r="130" spans="2:18" x14ac:dyDescent="0.25">
      <c r="B130" t="s">
        <v>288</v>
      </c>
      <c r="C130" t="s">
        <v>103</v>
      </c>
      <c r="D130" t="s">
        <v>88</v>
      </c>
      <c r="E130" t="s">
        <v>88</v>
      </c>
      <c r="F130" t="s">
        <v>88</v>
      </c>
      <c r="G130" t="s">
        <v>89</v>
      </c>
      <c r="H130" t="s">
        <v>100</v>
      </c>
      <c r="I130" t="s">
        <v>289</v>
      </c>
      <c r="J130" t="s">
        <v>88</v>
      </c>
      <c r="K130" t="s">
        <v>88</v>
      </c>
      <c r="L130" t="s">
        <v>88</v>
      </c>
      <c r="M130" t="s">
        <v>88</v>
      </c>
      <c r="N130" t="s">
        <v>88</v>
      </c>
      <c r="O130">
        <v>129</v>
      </c>
      <c r="P130" t="s">
        <v>88</v>
      </c>
      <c r="Q130" t="s">
        <v>88</v>
      </c>
      <c r="R130" t="s">
        <v>92</v>
      </c>
    </row>
    <row r="131" spans="2:18" x14ac:dyDescent="0.25">
      <c r="B131" t="s">
        <v>290</v>
      </c>
      <c r="C131" t="s">
        <v>291</v>
      </c>
      <c r="D131" t="s">
        <v>88</v>
      </c>
      <c r="E131" t="s">
        <v>88</v>
      </c>
      <c r="F131" t="s">
        <v>88</v>
      </c>
      <c r="G131" t="s">
        <v>89</v>
      </c>
      <c r="H131" t="s">
        <v>90</v>
      </c>
      <c r="I131" t="s">
        <v>94</v>
      </c>
      <c r="J131" t="s">
        <v>88</v>
      </c>
      <c r="K131" t="s">
        <v>88</v>
      </c>
      <c r="L131" t="s">
        <v>88</v>
      </c>
      <c r="M131" t="s">
        <v>88</v>
      </c>
      <c r="N131" t="s">
        <v>88</v>
      </c>
      <c r="O131">
        <v>130</v>
      </c>
      <c r="P131" t="s">
        <v>88</v>
      </c>
      <c r="Q131" t="s">
        <v>88</v>
      </c>
      <c r="R131" t="s">
        <v>92</v>
      </c>
    </row>
    <row r="132" spans="2:18" x14ac:dyDescent="0.25">
      <c r="B132" t="s">
        <v>292</v>
      </c>
      <c r="C132" t="s">
        <v>99</v>
      </c>
      <c r="D132" t="s">
        <v>88</v>
      </c>
      <c r="E132" t="s">
        <v>88</v>
      </c>
      <c r="F132" t="s">
        <v>88</v>
      </c>
      <c r="G132" t="s">
        <v>89</v>
      </c>
      <c r="H132" t="s">
        <v>90</v>
      </c>
      <c r="I132" t="s">
        <v>113</v>
      </c>
      <c r="J132" t="s">
        <v>88</v>
      </c>
      <c r="K132" t="s">
        <v>88</v>
      </c>
      <c r="L132" t="s">
        <v>88</v>
      </c>
      <c r="M132" t="s">
        <v>88</v>
      </c>
      <c r="N132" t="s">
        <v>88</v>
      </c>
      <c r="O132">
        <v>131</v>
      </c>
      <c r="P132" t="s">
        <v>88</v>
      </c>
      <c r="Q132" t="s">
        <v>88</v>
      </c>
      <c r="R132" t="s">
        <v>92</v>
      </c>
    </row>
    <row r="133" spans="2:18" x14ac:dyDescent="0.25">
      <c r="B133" t="s">
        <v>293</v>
      </c>
      <c r="C133" t="s">
        <v>99</v>
      </c>
      <c r="D133" t="s">
        <v>88</v>
      </c>
      <c r="E133" t="s">
        <v>88</v>
      </c>
      <c r="F133" t="s">
        <v>88</v>
      </c>
      <c r="G133" t="s">
        <v>89</v>
      </c>
      <c r="H133" t="s">
        <v>100</v>
      </c>
      <c r="I133" t="s">
        <v>101</v>
      </c>
      <c r="J133" t="s">
        <v>88</v>
      </c>
      <c r="K133" t="s">
        <v>88</v>
      </c>
      <c r="L133" t="s">
        <v>88</v>
      </c>
      <c r="M133" t="s">
        <v>88</v>
      </c>
      <c r="N133" t="s">
        <v>88</v>
      </c>
      <c r="O133">
        <v>132</v>
      </c>
      <c r="P133" t="s">
        <v>88</v>
      </c>
      <c r="Q133" t="s">
        <v>88</v>
      </c>
      <c r="R133" t="s">
        <v>92</v>
      </c>
    </row>
    <row r="134" spans="2:18" x14ac:dyDescent="0.25">
      <c r="B134" t="s">
        <v>294</v>
      </c>
      <c r="C134" t="s">
        <v>149</v>
      </c>
      <c r="D134" t="s">
        <v>88</v>
      </c>
      <c r="E134" t="s">
        <v>88</v>
      </c>
      <c r="F134" t="s">
        <v>88</v>
      </c>
      <c r="G134" t="s">
        <v>89</v>
      </c>
      <c r="H134" t="s">
        <v>90</v>
      </c>
      <c r="I134" t="s">
        <v>113</v>
      </c>
      <c r="J134" t="s">
        <v>88</v>
      </c>
      <c r="K134" t="s">
        <v>88</v>
      </c>
      <c r="L134" t="s">
        <v>88</v>
      </c>
      <c r="M134" t="s">
        <v>88</v>
      </c>
      <c r="N134" t="s">
        <v>88</v>
      </c>
      <c r="O134">
        <v>133</v>
      </c>
      <c r="P134" t="s">
        <v>88</v>
      </c>
      <c r="Q134" t="s">
        <v>88</v>
      </c>
      <c r="R134" t="s">
        <v>92</v>
      </c>
    </row>
    <row r="135" spans="2:18" x14ac:dyDescent="0.25">
      <c r="B135" t="s">
        <v>295</v>
      </c>
      <c r="C135" t="s">
        <v>149</v>
      </c>
      <c r="D135" t="s">
        <v>88</v>
      </c>
      <c r="E135" t="s">
        <v>88</v>
      </c>
      <c r="F135" t="s">
        <v>88</v>
      </c>
      <c r="G135" t="s">
        <v>89</v>
      </c>
      <c r="H135" t="s">
        <v>90</v>
      </c>
      <c r="I135" t="s">
        <v>91</v>
      </c>
      <c r="J135" t="s">
        <v>88</v>
      </c>
      <c r="K135" t="s">
        <v>88</v>
      </c>
      <c r="L135" t="s">
        <v>88</v>
      </c>
      <c r="M135" t="s">
        <v>88</v>
      </c>
      <c r="N135" t="s">
        <v>88</v>
      </c>
      <c r="O135">
        <v>134</v>
      </c>
      <c r="P135" t="s">
        <v>88</v>
      </c>
      <c r="Q135" t="s">
        <v>88</v>
      </c>
      <c r="R135" t="s">
        <v>92</v>
      </c>
    </row>
    <row r="136" spans="2:18" x14ac:dyDescent="0.25">
      <c r="B136" t="s">
        <v>296</v>
      </c>
      <c r="C136" t="s">
        <v>149</v>
      </c>
      <c r="D136" t="s">
        <v>88</v>
      </c>
      <c r="E136" t="s">
        <v>88</v>
      </c>
      <c r="F136" t="s">
        <v>88</v>
      </c>
      <c r="G136" t="s">
        <v>89</v>
      </c>
      <c r="H136" t="s">
        <v>100</v>
      </c>
      <c r="I136" t="s">
        <v>235</v>
      </c>
      <c r="J136" t="s">
        <v>88</v>
      </c>
      <c r="K136" t="s">
        <v>88</v>
      </c>
      <c r="L136" t="s">
        <v>88</v>
      </c>
      <c r="M136" t="s">
        <v>88</v>
      </c>
      <c r="N136" t="s">
        <v>88</v>
      </c>
      <c r="O136">
        <v>135</v>
      </c>
      <c r="P136" t="s">
        <v>88</v>
      </c>
      <c r="Q136" t="s">
        <v>88</v>
      </c>
      <c r="R136" t="s">
        <v>92</v>
      </c>
    </row>
    <row r="137" spans="2:18" x14ac:dyDescent="0.25">
      <c r="B137" t="s">
        <v>297</v>
      </c>
      <c r="C137" t="s">
        <v>149</v>
      </c>
      <c r="D137" t="s">
        <v>88</v>
      </c>
      <c r="E137" t="s">
        <v>88</v>
      </c>
      <c r="F137" t="s">
        <v>88</v>
      </c>
      <c r="G137" t="s">
        <v>89</v>
      </c>
      <c r="H137" t="s">
        <v>90</v>
      </c>
      <c r="I137" t="s">
        <v>133</v>
      </c>
      <c r="J137" t="s">
        <v>88</v>
      </c>
      <c r="K137" t="s">
        <v>88</v>
      </c>
      <c r="L137" t="s">
        <v>88</v>
      </c>
      <c r="M137" t="s">
        <v>88</v>
      </c>
      <c r="N137" t="s">
        <v>88</v>
      </c>
      <c r="O137">
        <v>136</v>
      </c>
      <c r="P137" t="s">
        <v>88</v>
      </c>
      <c r="Q137" t="s">
        <v>88</v>
      </c>
      <c r="R137" t="s">
        <v>92</v>
      </c>
    </row>
    <row r="138" spans="2:18" x14ac:dyDescent="0.25">
      <c r="B138" t="s">
        <v>298</v>
      </c>
      <c r="C138" t="s">
        <v>106</v>
      </c>
      <c r="D138" t="s">
        <v>88</v>
      </c>
      <c r="E138" t="s">
        <v>88</v>
      </c>
      <c r="F138" t="s">
        <v>88</v>
      </c>
      <c r="G138" t="s">
        <v>89</v>
      </c>
      <c r="H138" t="s">
        <v>100</v>
      </c>
      <c r="I138" t="s">
        <v>299</v>
      </c>
      <c r="J138" t="s">
        <v>88</v>
      </c>
      <c r="K138" t="s">
        <v>88</v>
      </c>
      <c r="L138" t="s">
        <v>88</v>
      </c>
      <c r="M138" t="s">
        <v>88</v>
      </c>
      <c r="N138" t="s">
        <v>88</v>
      </c>
      <c r="O138">
        <v>137</v>
      </c>
      <c r="P138" t="s">
        <v>88</v>
      </c>
      <c r="Q138" t="s">
        <v>88</v>
      </c>
      <c r="R138" t="s">
        <v>92</v>
      </c>
    </row>
    <row r="139" spans="2:18" x14ac:dyDescent="0.25">
      <c r="B139" t="s">
        <v>300</v>
      </c>
      <c r="C139" t="s">
        <v>106</v>
      </c>
      <c r="D139" t="s">
        <v>88</v>
      </c>
      <c r="E139" t="s">
        <v>88</v>
      </c>
      <c r="F139" t="s">
        <v>88</v>
      </c>
      <c r="G139" t="s">
        <v>89</v>
      </c>
      <c r="H139" t="s">
        <v>90</v>
      </c>
      <c r="I139" t="s">
        <v>282</v>
      </c>
      <c r="J139" t="s">
        <v>88</v>
      </c>
      <c r="K139" t="s">
        <v>88</v>
      </c>
      <c r="L139" t="s">
        <v>88</v>
      </c>
      <c r="M139" t="s">
        <v>88</v>
      </c>
      <c r="N139" t="s">
        <v>88</v>
      </c>
      <c r="O139">
        <v>138</v>
      </c>
      <c r="P139" t="s">
        <v>88</v>
      </c>
      <c r="Q139" t="s">
        <v>88</v>
      </c>
      <c r="R139" t="s">
        <v>92</v>
      </c>
    </row>
    <row r="140" spans="2:18" x14ac:dyDescent="0.25">
      <c r="B140" t="s">
        <v>301</v>
      </c>
      <c r="C140" t="s">
        <v>99</v>
      </c>
      <c r="D140" t="s">
        <v>88</v>
      </c>
      <c r="E140" t="s">
        <v>88</v>
      </c>
      <c r="F140" t="s">
        <v>88</v>
      </c>
      <c r="G140" t="s">
        <v>89</v>
      </c>
      <c r="H140" t="s">
        <v>90</v>
      </c>
      <c r="I140" t="s">
        <v>109</v>
      </c>
      <c r="J140" t="s">
        <v>88</v>
      </c>
      <c r="K140" t="s">
        <v>88</v>
      </c>
      <c r="L140" t="s">
        <v>88</v>
      </c>
      <c r="M140" t="s">
        <v>88</v>
      </c>
      <c r="N140" t="s">
        <v>88</v>
      </c>
      <c r="O140">
        <v>139</v>
      </c>
      <c r="P140" t="s">
        <v>88</v>
      </c>
      <c r="Q140" t="s">
        <v>88</v>
      </c>
      <c r="R140" t="s">
        <v>92</v>
      </c>
    </row>
    <row r="141" spans="2:18" x14ac:dyDescent="0.25">
      <c r="B141" t="s">
        <v>302</v>
      </c>
      <c r="C141" t="s">
        <v>99</v>
      </c>
      <c r="D141" t="s">
        <v>88</v>
      </c>
      <c r="E141" t="s">
        <v>88</v>
      </c>
      <c r="F141" t="s">
        <v>88</v>
      </c>
      <c r="G141" t="s">
        <v>89</v>
      </c>
      <c r="H141" t="s">
        <v>90</v>
      </c>
      <c r="I141" t="s">
        <v>97</v>
      </c>
      <c r="J141" t="s">
        <v>88</v>
      </c>
      <c r="K141" t="s">
        <v>88</v>
      </c>
      <c r="L141" t="s">
        <v>88</v>
      </c>
      <c r="M141" t="s">
        <v>88</v>
      </c>
      <c r="N141" t="s">
        <v>88</v>
      </c>
      <c r="O141">
        <v>140</v>
      </c>
      <c r="P141" t="s">
        <v>88</v>
      </c>
      <c r="Q141" t="s">
        <v>88</v>
      </c>
      <c r="R141" t="s">
        <v>92</v>
      </c>
    </row>
    <row r="142" spans="2:18" x14ac:dyDescent="0.25">
      <c r="B142" t="s">
        <v>303</v>
      </c>
      <c r="C142" t="s">
        <v>99</v>
      </c>
      <c r="D142" t="s">
        <v>88</v>
      </c>
      <c r="E142" t="s">
        <v>88</v>
      </c>
      <c r="F142" t="s">
        <v>88</v>
      </c>
      <c r="G142" t="s">
        <v>89</v>
      </c>
      <c r="H142" t="s">
        <v>90</v>
      </c>
      <c r="I142" t="s">
        <v>304</v>
      </c>
      <c r="J142" t="s">
        <v>88</v>
      </c>
      <c r="K142" t="s">
        <v>88</v>
      </c>
      <c r="L142" t="s">
        <v>88</v>
      </c>
      <c r="M142" t="s">
        <v>88</v>
      </c>
      <c r="N142" t="s">
        <v>88</v>
      </c>
      <c r="O142">
        <v>141</v>
      </c>
      <c r="P142" t="s">
        <v>88</v>
      </c>
      <c r="Q142" t="s">
        <v>88</v>
      </c>
      <c r="R142" t="s">
        <v>92</v>
      </c>
    </row>
    <row r="143" spans="2:18" x14ac:dyDescent="0.25">
      <c r="B143" t="s">
        <v>305</v>
      </c>
      <c r="C143" t="s">
        <v>212</v>
      </c>
      <c r="D143" t="s">
        <v>88</v>
      </c>
      <c r="E143" t="s">
        <v>88</v>
      </c>
      <c r="F143" t="s">
        <v>88</v>
      </c>
      <c r="G143" t="s">
        <v>89</v>
      </c>
      <c r="H143" t="s">
        <v>100</v>
      </c>
      <c r="I143" t="s">
        <v>306</v>
      </c>
      <c r="J143" t="s">
        <v>88</v>
      </c>
      <c r="K143" t="s">
        <v>88</v>
      </c>
      <c r="L143" t="s">
        <v>88</v>
      </c>
      <c r="M143" t="s">
        <v>88</v>
      </c>
      <c r="N143" t="s">
        <v>88</v>
      </c>
      <c r="O143">
        <v>142</v>
      </c>
      <c r="P143" t="s">
        <v>88</v>
      </c>
      <c r="Q143" t="s">
        <v>88</v>
      </c>
      <c r="R143" t="s">
        <v>92</v>
      </c>
    </row>
    <row r="144" spans="2:18" x14ac:dyDescent="0.25">
      <c r="B144" t="s">
        <v>307</v>
      </c>
      <c r="C144" t="s">
        <v>103</v>
      </c>
      <c r="D144" t="s">
        <v>88</v>
      </c>
      <c r="E144" t="s">
        <v>88</v>
      </c>
      <c r="F144" t="s">
        <v>88</v>
      </c>
      <c r="G144" t="s">
        <v>89</v>
      </c>
      <c r="H144" t="s">
        <v>100</v>
      </c>
      <c r="I144" t="s">
        <v>235</v>
      </c>
      <c r="J144" t="s">
        <v>88</v>
      </c>
      <c r="K144" t="s">
        <v>88</v>
      </c>
      <c r="L144" t="s">
        <v>88</v>
      </c>
      <c r="M144" t="s">
        <v>88</v>
      </c>
      <c r="N144" t="s">
        <v>88</v>
      </c>
      <c r="O144">
        <v>143</v>
      </c>
      <c r="P144" t="s">
        <v>88</v>
      </c>
      <c r="Q144" t="s">
        <v>88</v>
      </c>
      <c r="R144" t="s">
        <v>92</v>
      </c>
    </row>
    <row r="145" spans="2:18" x14ac:dyDescent="0.25">
      <c r="B145" t="s">
        <v>308</v>
      </c>
      <c r="C145" t="s">
        <v>99</v>
      </c>
      <c r="D145" t="s">
        <v>88</v>
      </c>
      <c r="E145" t="s">
        <v>88</v>
      </c>
      <c r="F145" t="s">
        <v>88</v>
      </c>
      <c r="G145" t="s">
        <v>89</v>
      </c>
      <c r="H145" t="s">
        <v>100</v>
      </c>
      <c r="I145" t="s">
        <v>125</v>
      </c>
      <c r="J145" t="s">
        <v>88</v>
      </c>
      <c r="K145" t="s">
        <v>88</v>
      </c>
      <c r="L145" t="s">
        <v>88</v>
      </c>
      <c r="M145" t="s">
        <v>88</v>
      </c>
      <c r="N145" t="s">
        <v>88</v>
      </c>
      <c r="O145">
        <v>144</v>
      </c>
      <c r="P145" t="s">
        <v>88</v>
      </c>
      <c r="Q145" t="s">
        <v>88</v>
      </c>
      <c r="R145" t="s">
        <v>92</v>
      </c>
    </row>
    <row r="146" spans="2:18" x14ac:dyDescent="0.25">
      <c r="B146" t="s">
        <v>309</v>
      </c>
      <c r="C146" t="s">
        <v>103</v>
      </c>
      <c r="D146" t="s">
        <v>88</v>
      </c>
      <c r="E146" t="s">
        <v>88</v>
      </c>
      <c r="F146" t="s">
        <v>88</v>
      </c>
      <c r="G146" t="s">
        <v>89</v>
      </c>
      <c r="H146" t="s">
        <v>100</v>
      </c>
      <c r="I146" t="s">
        <v>310</v>
      </c>
      <c r="J146" t="s">
        <v>88</v>
      </c>
      <c r="K146" t="s">
        <v>88</v>
      </c>
      <c r="L146" t="s">
        <v>88</v>
      </c>
      <c r="M146" t="s">
        <v>88</v>
      </c>
      <c r="N146" t="s">
        <v>88</v>
      </c>
      <c r="O146">
        <v>145</v>
      </c>
      <c r="P146" t="s">
        <v>88</v>
      </c>
      <c r="Q146" t="s">
        <v>88</v>
      </c>
      <c r="R146" t="s">
        <v>92</v>
      </c>
    </row>
    <row r="147" spans="2:18" x14ac:dyDescent="0.25">
      <c r="B147" t="s">
        <v>311</v>
      </c>
      <c r="C147" t="s">
        <v>99</v>
      </c>
      <c r="D147" t="s">
        <v>88</v>
      </c>
      <c r="E147" t="s">
        <v>88</v>
      </c>
      <c r="F147" t="s">
        <v>88</v>
      </c>
      <c r="G147" t="s">
        <v>89</v>
      </c>
      <c r="H147" t="s">
        <v>90</v>
      </c>
      <c r="I147" t="s">
        <v>312</v>
      </c>
      <c r="J147" t="s">
        <v>88</v>
      </c>
      <c r="K147" t="s">
        <v>88</v>
      </c>
      <c r="L147" t="s">
        <v>88</v>
      </c>
      <c r="M147" t="s">
        <v>88</v>
      </c>
      <c r="N147" t="s">
        <v>88</v>
      </c>
      <c r="O147">
        <v>146</v>
      </c>
      <c r="P147" t="s">
        <v>88</v>
      </c>
      <c r="Q147" t="s">
        <v>88</v>
      </c>
      <c r="R147" t="s">
        <v>92</v>
      </c>
    </row>
    <row r="148" spans="2:18" x14ac:dyDescent="0.25">
      <c r="B148" t="s">
        <v>313</v>
      </c>
      <c r="C148" t="s">
        <v>99</v>
      </c>
      <c r="D148" t="s">
        <v>88</v>
      </c>
      <c r="E148" t="s">
        <v>88</v>
      </c>
      <c r="F148" t="s">
        <v>88</v>
      </c>
      <c r="G148" t="s">
        <v>89</v>
      </c>
      <c r="H148" t="s">
        <v>90</v>
      </c>
      <c r="I148" t="s">
        <v>97</v>
      </c>
      <c r="J148" t="s">
        <v>88</v>
      </c>
      <c r="K148" t="s">
        <v>88</v>
      </c>
      <c r="L148" t="s">
        <v>88</v>
      </c>
      <c r="M148" t="s">
        <v>88</v>
      </c>
      <c r="N148" t="s">
        <v>88</v>
      </c>
      <c r="O148">
        <v>147</v>
      </c>
      <c r="P148" t="s">
        <v>88</v>
      </c>
      <c r="Q148" t="s">
        <v>88</v>
      </c>
      <c r="R148" t="s">
        <v>92</v>
      </c>
    </row>
    <row r="149" spans="2:18" x14ac:dyDescent="0.25">
      <c r="B149" t="s">
        <v>314</v>
      </c>
      <c r="C149" t="s">
        <v>106</v>
      </c>
      <c r="D149" t="s">
        <v>88</v>
      </c>
      <c r="E149" t="s">
        <v>88</v>
      </c>
      <c r="F149" t="s">
        <v>88</v>
      </c>
      <c r="G149" t="s">
        <v>89</v>
      </c>
      <c r="H149" t="s">
        <v>100</v>
      </c>
      <c r="I149" t="s">
        <v>197</v>
      </c>
      <c r="J149" t="s">
        <v>88</v>
      </c>
      <c r="K149" t="s">
        <v>88</v>
      </c>
      <c r="L149" t="s">
        <v>88</v>
      </c>
      <c r="M149" t="s">
        <v>88</v>
      </c>
      <c r="N149" t="s">
        <v>88</v>
      </c>
      <c r="O149">
        <v>148</v>
      </c>
      <c r="P149" t="s">
        <v>88</v>
      </c>
      <c r="Q149" t="s">
        <v>88</v>
      </c>
      <c r="R149" t="s">
        <v>92</v>
      </c>
    </row>
    <row r="150" spans="2:18" x14ac:dyDescent="0.25">
      <c r="B150" t="s">
        <v>315</v>
      </c>
      <c r="C150" t="s">
        <v>212</v>
      </c>
      <c r="D150" t="s">
        <v>88</v>
      </c>
      <c r="E150" t="s">
        <v>88</v>
      </c>
      <c r="F150" t="s">
        <v>88</v>
      </c>
      <c r="G150" t="s">
        <v>89</v>
      </c>
      <c r="H150" t="s">
        <v>100</v>
      </c>
      <c r="I150" t="s">
        <v>158</v>
      </c>
      <c r="J150" t="s">
        <v>88</v>
      </c>
      <c r="K150" t="s">
        <v>88</v>
      </c>
      <c r="L150" t="s">
        <v>88</v>
      </c>
      <c r="M150" t="s">
        <v>88</v>
      </c>
      <c r="N150" t="s">
        <v>88</v>
      </c>
      <c r="O150">
        <v>149</v>
      </c>
      <c r="P150" t="s">
        <v>88</v>
      </c>
      <c r="Q150" t="s">
        <v>88</v>
      </c>
      <c r="R150" t="s">
        <v>92</v>
      </c>
    </row>
    <row r="151" spans="2:18" x14ac:dyDescent="0.25">
      <c r="B151" t="s">
        <v>316</v>
      </c>
      <c r="C151" t="s">
        <v>186</v>
      </c>
      <c r="D151" t="s">
        <v>88</v>
      </c>
      <c r="E151" t="s">
        <v>88</v>
      </c>
      <c r="F151" t="s">
        <v>88</v>
      </c>
      <c r="G151" t="s">
        <v>89</v>
      </c>
      <c r="H151" t="s">
        <v>90</v>
      </c>
      <c r="I151" t="s">
        <v>130</v>
      </c>
      <c r="J151" t="s">
        <v>88</v>
      </c>
      <c r="K151" t="s">
        <v>88</v>
      </c>
      <c r="L151" t="s">
        <v>88</v>
      </c>
      <c r="M151" t="s">
        <v>88</v>
      </c>
      <c r="N151" t="s">
        <v>88</v>
      </c>
      <c r="O151">
        <v>150</v>
      </c>
      <c r="P151" t="s">
        <v>88</v>
      </c>
      <c r="Q151" t="s">
        <v>88</v>
      </c>
      <c r="R151" t="s">
        <v>92</v>
      </c>
    </row>
    <row r="152" spans="2:18" x14ac:dyDescent="0.25">
      <c r="B152" t="s">
        <v>317</v>
      </c>
      <c r="C152" t="s">
        <v>212</v>
      </c>
      <c r="D152" t="s">
        <v>88</v>
      </c>
      <c r="E152" t="s">
        <v>88</v>
      </c>
      <c r="F152" t="s">
        <v>88</v>
      </c>
      <c r="G152" t="s">
        <v>89</v>
      </c>
      <c r="H152" t="s">
        <v>100</v>
      </c>
      <c r="I152" t="s">
        <v>120</v>
      </c>
      <c r="J152" t="s">
        <v>88</v>
      </c>
      <c r="K152" t="s">
        <v>88</v>
      </c>
      <c r="L152" t="s">
        <v>88</v>
      </c>
      <c r="M152" t="s">
        <v>88</v>
      </c>
      <c r="N152" t="s">
        <v>88</v>
      </c>
      <c r="O152">
        <v>151</v>
      </c>
      <c r="P152" t="s">
        <v>88</v>
      </c>
      <c r="Q152" t="s">
        <v>88</v>
      </c>
      <c r="R152" t="s">
        <v>92</v>
      </c>
    </row>
    <row r="153" spans="2:18" x14ac:dyDescent="0.25">
      <c r="B153" t="s">
        <v>318</v>
      </c>
      <c r="C153" t="s">
        <v>212</v>
      </c>
      <c r="D153" t="s">
        <v>88</v>
      </c>
      <c r="E153" t="s">
        <v>88</v>
      </c>
      <c r="F153" t="s">
        <v>88</v>
      </c>
      <c r="G153" t="s">
        <v>89</v>
      </c>
      <c r="H153" t="s">
        <v>90</v>
      </c>
      <c r="I153" t="s">
        <v>91</v>
      </c>
      <c r="J153" t="s">
        <v>88</v>
      </c>
      <c r="K153" t="s">
        <v>88</v>
      </c>
      <c r="L153" t="s">
        <v>88</v>
      </c>
      <c r="M153" t="s">
        <v>88</v>
      </c>
      <c r="N153" t="s">
        <v>88</v>
      </c>
      <c r="O153">
        <v>152</v>
      </c>
      <c r="P153" t="s">
        <v>88</v>
      </c>
      <c r="Q153" t="s">
        <v>88</v>
      </c>
      <c r="R153" t="s">
        <v>92</v>
      </c>
    </row>
    <row r="154" spans="2:18" x14ac:dyDescent="0.25">
      <c r="B154" t="s">
        <v>319</v>
      </c>
      <c r="C154" t="s">
        <v>320</v>
      </c>
      <c r="D154" t="s">
        <v>88</v>
      </c>
      <c r="E154" t="s">
        <v>88</v>
      </c>
      <c r="F154" t="s">
        <v>88</v>
      </c>
      <c r="G154" t="s">
        <v>89</v>
      </c>
      <c r="H154" t="s">
        <v>100</v>
      </c>
      <c r="I154" t="s">
        <v>321</v>
      </c>
      <c r="J154" t="s">
        <v>88</v>
      </c>
      <c r="K154" t="s">
        <v>88</v>
      </c>
      <c r="L154" t="s">
        <v>88</v>
      </c>
      <c r="M154" t="s">
        <v>88</v>
      </c>
      <c r="N154" t="s">
        <v>88</v>
      </c>
      <c r="O154">
        <v>153</v>
      </c>
      <c r="P154" t="s">
        <v>88</v>
      </c>
      <c r="Q154" t="s">
        <v>88</v>
      </c>
      <c r="R154" t="s">
        <v>92</v>
      </c>
    </row>
    <row r="155" spans="2:18" x14ac:dyDescent="0.25">
      <c r="B155" t="s">
        <v>322</v>
      </c>
      <c r="C155" t="s">
        <v>320</v>
      </c>
      <c r="D155" t="s">
        <v>88</v>
      </c>
      <c r="E155" t="s">
        <v>88</v>
      </c>
      <c r="F155" t="s">
        <v>88</v>
      </c>
      <c r="G155" t="s">
        <v>89</v>
      </c>
      <c r="H155" t="s">
        <v>90</v>
      </c>
      <c r="I155" t="s">
        <v>323</v>
      </c>
      <c r="J155" t="s">
        <v>88</v>
      </c>
      <c r="K155" t="s">
        <v>88</v>
      </c>
      <c r="L155" t="s">
        <v>88</v>
      </c>
      <c r="M155" t="s">
        <v>88</v>
      </c>
      <c r="N155" t="s">
        <v>88</v>
      </c>
      <c r="O155">
        <v>154</v>
      </c>
      <c r="P155" t="s">
        <v>88</v>
      </c>
      <c r="Q155" t="s">
        <v>88</v>
      </c>
      <c r="R155" t="s">
        <v>92</v>
      </c>
    </row>
    <row r="156" spans="2:18" x14ac:dyDescent="0.25">
      <c r="B156" t="s">
        <v>324</v>
      </c>
      <c r="C156" t="s">
        <v>320</v>
      </c>
      <c r="D156" t="s">
        <v>88</v>
      </c>
      <c r="E156" t="s">
        <v>88</v>
      </c>
      <c r="F156" t="s">
        <v>88</v>
      </c>
      <c r="G156" t="s">
        <v>89</v>
      </c>
      <c r="H156" t="s">
        <v>90</v>
      </c>
      <c r="I156" t="s">
        <v>97</v>
      </c>
      <c r="J156" t="s">
        <v>88</v>
      </c>
      <c r="K156" t="s">
        <v>88</v>
      </c>
      <c r="L156" t="s">
        <v>88</v>
      </c>
      <c r="M156" t="s">
        <v>88</v>
      </c>
      <c r="N156" t="s">
        <v>88</v>
      </c>
      <c r="O156">
        <v>155</v>
      </c>
      <c r="P156" t="s">
        <v>88</v>
      </c>
      <c r="Q156" t="s">
        <v>88</v>
      </c>
      <c r="R156" t="s">
        <v>92</v>
      </c>
    </row>
    <row r="157" spans="2:18" x14ac:dyDescent="0.25">
      <c r="B157" t="s">
        <v>325</v>
      </c>
      <c r="C157" t="s">
        <v>320</v>
      </c>
      <c r="D157" t="s">
        <v>88</v>
      </c>
      <c r="E157" t="s">
        <v>88</v>
      </c>
      <c r="F157" t="s">
        <v>88</v>
      </c>
      <c r="G157" t="s">
        <v>89</v>
      </c>
      <c r="H157" t="s">
        <v>90</v>
      </c>
      <c r="I157" t="s">
        <v>326</v>
      </c>
      <c r="J157" t="s">
        <v>88</v>
      </c>
      <c r="K157" t="s">
        <v>88</v>
      </c>
      <c r="L157" t="s">
        <v>88</v>
      </c>
      <c r="M157" t="s">
        <v>88</v>
      </c>
      <c r="N157" t="s">
        <v>88</v>
      </c>
      <c r="O157">
        <v>156</v>
      </c>
      <c r="P157" t="s">
        <v>88</v>
      </c>
      <c r="Q157" t="s">
        <v>88</v>
      </c>
      <c r="R157" t="s">
        <v>92</v>
      </c>
    </row>
    <row r="158" spans="2:18" x14ac:dyDescent="0.25">
      <c r="B158" t="s">
        <v>327</v>
      </c>
      <c r="C158" t="s">
        <v>139</v>
      </c>
      <c r="D158" t="s">
        <v>88</v>
      </c>
      <c r="E158" t="s">
        <v>88</v>
      </c>
      <c r="F158" t="s">
        <v>88</v>
      </c>
      <c r="G158" t="s">
        <v>89</v>
      </c>
      <c r="H158" t="s">
        <v>90</v>
      </c>
      <c r="I158" t="s">
        <v>91</v>
      </c>
      <c r="J158" t="s">
        <v>88</v>
      </c>
      <c r="K158" t="s">
        <v>88</v>
      </c>
      <c r="L158" t="s">
        <v>88</v>
      </c>
      <c r="M158" t="s">
        <v>88</v>
      </c>
      <c r="N158" t="s">
        <v>88</v>
      </c>
      <c r="O158">
        <v>157</v>
      </c>
      <c r="P158" t="s">
        <v>88</v>
      </c>
      <c r="Q158" t="s">
        <v>88</v>
      </c>
      <c r="R158" t="s">
        <v>92</v>
      </c>
    </row>
    <row r="159" spans="2:18" x14ac:dyDescent="0.25">
      <c r="B159" t="s">
        <v>328</v>
      </c>
      <c r="C159" t="s">
        <v>143</v>
      </c>
      <c r="D159" t="s">
        <v>88</v>
      </c>
      <c r="E159" t="s">
        <v>88</v>
      </c>
      <c r="F159" t="s">
        <v>88</v>
      </c>
      <c r="G159" t="s">
        <v>89</v>
      </c>
      <c r="H159" t="s">
        <v>100</v>
      </c>
      <c r="I159" t="s">
        <v>158</v>
      </c>
      <c r="J159" t="s">
        <v>88</v>
      </c>
      <c r="K159" t="s">
        <v>88</v>
      </c>
      <c r="L159" t="s">
        <v>88</v>
      </c>
      <c r="M159" t="s">
        <v>88</v>
      </c>
      <c r="N159" t="s">
        <v>88</v>
      </c>
      <c r="O159">
        <v>158</v>
      </c>
      <c r="P159" t="s">
        <v>88</v>
      </c>
      <c r="Q159" t="s">
        <v>88</v>
      </c>
      <c r="R159" t="s">
        <v>92</v>
      </c>
    </row>
    <row r="160" spans="2:18" x14ac:dyDescent="0.25">
      <c r="B160" t="s">
        <v>329</v>
      </c>
      <c r="C160" t="s">
        <v>103</v>
      </c>
      <c r="D160" t="s">
        <v>88</v>
      </c>
      <c r="E160" t="s">
        <v>88</v>
      </c>
      <c r="F160" t="s">
        <v>88</v>
      </c>
      <c r="G160" t="s">
        <v>89</v>
      </c>
      <c r="H160" t="s">
        <v>100</v>
      </c>
      <c r="I160" t="s">
        <v>330</v>
      </c>
      <c r="J160" t="s">
        <v>88</v>
      </c>
      <c r="K160" t="s">
        <v>88</v>
      </c>
      <c r="L160" t="s">
        <v>88</v>
      </c>
      <c r="M160" t="s">
        <v>88</v>
      </c>
      <c r="N160" t="s">
        <v>88</v>
      </c>
      <c r="O160">
        <v>159</v>
      </c>
      <c r="P160" t="s">
        <v>88</v>
      </c>
      <c r="Q160" t="s">
        <v>88</v>
      </c>
      <c r="R160" t="s">
        <v>92</v>
      </c>
    </row>
    <row r="161" spans="2:18" x14ac:dyDescent="0.25">
      <c r="B161" t="s">
        <v>331</v>
      </c>
      <c r="C161" t="s">
        <v>149</v>
      </c>
      <c r="D161" t="s">
        <v>88</v>
      </c>
      <c r="E161" t="s">
        <v>88</v>
      </c>
      <c r="F161" t="s">
        <v>88</v>
      </c>
      <c r="G161" t="s">
        <v>89</v>
      </c>
      <c r="H161" t="s">
        <v>100</v>
      </c>
      <c r="I161" t="s">
        <v>163</v>
      </c>
      <c r="J161" t="s">
        <v>88</v>
      </c>
      <c r="K161" t="s">
        <v>88</v>
      </c>
      <c r="L161" t="s">
        <v>88</v>
      </c>
      <c r="M161" t="s">
        <v>88</v>
      </c>
      <c r="N161" t="s">
        <v>88</v>
      </c>
      <c r="O161">
        <v>160</v>
      </c>
      <c r="P161" t="s">
        <v>88</v>
      </c>
      <c r="Q161" t="s">
        <v>88</v>
      </c>
      <c r="R161" t="s">
        <v>92</v>
      </c>
    </row>
    <row r="162" spans="2:18" x14ac:dyDescent="0.25">
      <c r="B162" t="s">
        <v>332</v>
      </c>
      <c r="C162" t="s">
        <v>333</v>
      </c>
      <c r="D162" t="s">
        <v>88</v>
      </c>
      <c r="E162" t="s">
        <v>88</v>
      </c>
      <c r="F162" t="s">
        <v>88</v>
      </c>
      <c r="G162" t="s">
        <v>89</v>
      </c>
      <c r="H162" t="s">
        <v>90</v>
      </c>
      <c r="I162" t="s">
        <v>168</v>
      </c>
      <c r="J162" t="s">
        <v>88</v>
      </c>
      <c r="K162" t="s">
        <v>88</v>
      </c>
      <c r="L162" t="s">
        <v>88</v>
      </c>
      <c r="M162" t="s">
        <v>88</v>
      </c>
      <c r="N162" t="s">
        <v>88</v>
      </c>
      <c r="O162">
        <v>161</v>
      </c>
      <c r="P162" t="s">
        <v>88</v>
      </c>
      <c r="Q162" t="s">
        <v>88</v>
      </c>
      <c r="R162" t="s">
        <v>92</v>
      </c>
    </row>
    <row r="163" spans="2:18" x14ac:dyDescent="0.25">
      <c r="B163" t="s">
        <v>334</v>
      </c>
      <c r="C163" t="s">
        <v>103</v>
      </c>
      <c r="D163" t="s">
        <v>88</v>
      </c>
      <c r="E163" t="s">
        <v>88</v>
      </c>
      <c r="F163" t="s">
        <v>88</v>
      </c>
      <c r="G163" t="s">
        <v>89</v>
      </c>
      <c r="H163" t="s">
        <v>100</v>
      </c>
      <c r="I163" t="s">
        <v>120</v>
      </c>
      <c r="J163" t="s">
        <v>88</v>
      </c>
      <c r="K163" t="s">
        <v>88</v>
      </c>
      <c r="L163" t="s">
        <v>88</v>
      </c>
      <c r="M163" t="s">
        <v>88</v>
      </c>
      <c r="N163" t="s">
        <v>88</v>
      </c>
      <c r="O163">
        <v>162</v>
      </c>
      <c r="P163" t="s">
        <v>88</v>
      </c>
      <c r="Q163" t="s">
        <v>88</v>
      </c>
      <c r="R163" t="s">
        <v>92</v>
      </c>
    </row>
    <row r="164" spans="2:18" x14ac:dyDescent="0.25">
      <c r="B164" t="s">
        <v>335</v>
      </c>
      <c r="C164" t="s">
        <v>99</v>
      </c>
      <c r="D164" t="s">
        <v>88</v>
      </c>
      <c r="E164" t="s">
        <v>88</v>
      </c>
      <c r="F164" t="s">
        <v>88</v>
      </c>
      <c r="G164" t="s">
        <v>89</v>
      </c>
      <c r="H164" t="s">
        <v>90</v>
      </c>
      <c r="I164" t="s">
        <v>91</v>
      </c>
      <c r="J164" t="s">
        <v>88</v>
      </c>
      <c r="K164" t="s">
        <v>88</v>
      </c>
      <c r="L164" t="s">
        <v>88</v>
      </c>
      <c r="M164" t="s">
        <v>88</v>
      </c>
      <c r="N164" t="s">
        <v>88</v>
      </c>
      <c r="O164">
        <v>163</v>
      </c>
      <c r="P164" t="s">
        <v>88</v>
      </c>
      <c r="Q164" t="s">
        <v>88</v>
      </c>
      <c r="R164" t="s">
        <v>92</v>
      </c>
    </row>
    <row r="165" spans="2:18" x14ac:dyDescent="0.25">
      <c r="B165" t="s">
        <v>336</v>
      </c>
      <c r="C165" t="s">
        <v>337</v>
      </c>
      <c r="D165" t="s">
        <v>88</v>
      </c>
      <c r="E165" t="s">
        <v>88</v>
      </c>
      <c r="F165" t="s">
        <v>88</v>
      </c>
      <c r="G165" t="s">
        <v>89</v>
      </c>
      <c r="H165" t="s">
        <v>90</v>
      </c>
      <c r="I165" t="s">
        <v>94</v>
      </c>
      <c r="J165" t="s">
        <v>88</v>
      </c>
      <c r="K165" t="s">
        <v>88</v>
      </c>
      <c r="L165" t="s">
        <v>88</v>
      </c>
      <c r="M165" t="s">
        <v>88</v>
      </c>
      <c r="N165" t="s">
        <v>88</v>
      </c>
      <c r="O165">
        <v>164</v>
      </c>
      <c r="P165" t="s">
        <v>88</v>
      </c>
      <c r="Q165" t="s">
        <v>88</v>
      </c>
      <c r="R165" t="s">
        <v>92</v>
      </c>
    </row>
    <row r="166" spans="2:18" x14ac:dyDescent="0.25">
      <c r="B166" t="s">
        <v>338</v>
      </c>
      <c r="C166" t="s">
        <v>103</v>
      </c>
      <c r="D166" t="s">
        <v>88</v>
      </c>
      <c r="E166" t="s">
        <v>88</v>
      </c>
      <c r="F166" t="s">
        <v>88</v>
      </c>
      <c r="G166" t="s">
        <v>89</v>
      </c>
      <c r="H166" t="s">
        <v>100</v>
      </c>
      <c r="I166" t="s">
        <v>158</v>
      </c>
      <c r="J166" t="s">
        <v>88</v>
      </c>
      <c r="K166" t="s">
        <v>88</v>
      </c>
      <c r="L166" t="s">
        <v>88</v>
      </c>
      <c r="M166" t="s">
        <v>88</v>
      </c>
      <c r="N166" t="s">
        <v>88</v>
      </c>
      <c r="O166">
        <v>165</v>
      </c>
      <c r="P166" t="s">
        <v>88</v>
      </c>
      <c r="Q166" t="s">
        <v>88</v>
      </c>
      <c r="R166" t="s">
        <v>92</v>
      </c>
    </row>
    <row r="167" spans="2:18" x14ac:dyDescent="0.25">
      <c r="B167" t="s">
        <v>339</v>
      </c>
      <c r="C167" t="s">
        <v>212</v>
      </c>
      <c r="D167" t="s">
        <v>88</v>
      </c>
      <c r="E167" t="s">
        <v>88</v>
      </c>
      <c r="F167" t="s">
        <v>88</v>
      </c>
      <c r="G167" t="s">
        <v>89</v>
      </c>
      <c r="H167" t="s">
        <v>100</v>
      </c>
      <c r="I167" t="s">
        <v>107</v>
      </c>
      <c r="J167" t="s">
        <v>88</v>
      </c>
      <c r="K167" t="s">
        <v>88</v>
      </c>
      <c r="L167" t="s">
        <v>88</v>
      </c>
      <c r="M167" t="s">
        <v>88</v>
      </c>
      <c r="N167" t="s">
        <v>88</v>
      </c>
      <c r="O167">
        <v>166</v>
      </c>
      <c r="P167" t="s">
        <v>88</v>
      </c>
      <c r="Q167" t="s">
        <v>88</v>
      </c>
      <c r="R167" t="s">
        <v>92</v>
      </c>
    </row>
    <row r="168" spans="2:18" x14ac:dyDescent="0.25">
      <c r="B168" t="s">
        <v>340</v>
      </c>
      <c r="C168" t="s">
        <v>212</v>
      </c>
      <c r="D168" t="s">
        <v>88</v>
      </c>
      <c r="E168" t="s">
        <v>88</v>
      </c>
      <c r="F168" t="s">
        <v>88</v>
      </c>
      <c r="G168" t="s">
        <v>89</v>
      </c>
      <c r="H168" t="s">
        <v>90</v>
      </c>
      <c r="I168" t="s">
        <v>113</v>
      </c>
      <c r="J168" t="s">
        <v>88</v>
      </c>
      <c r="K168" t="s">
        <v>88</v>
      </c>
      <c r="L168" t="s">
        <v>88</v>
      </c>
      <c r="M168" t="s">
        <v>88</v>
      </c>
      <c r="N168" t="s">
        <v>88</v>
      </c>
      <c r="O168">
        <v>167</v>
      </c>
      <c r="P168" t="s">
        <v>88</v>
      </c>
      <c r="Q168" t="s">
        <v>88</v>
      </c>
      <c r="R168" t="s">
        <v>92</v>
      </c>
    </row>
    <row r="169" spans="2:18" x14ac:dyDescent="0.25">
      <c r="B169" t="s">
        <v>341</v>
      </c>
      <c r="C169" t="s">
        <v>212</v>
      </c>
      <c r="D169" t="s">
        <v>88</v>
      </c>
      <c r="E169" t="s">
        <v>88</v>
      </c>
      <c r="F169" t="s">
        <v>88</v>
      </c>
      <c r="G169" t="s">
        <v>89</v>
      </c>
      <c r="H169" t="s">
        <v>90</v>
      </c>
      <c r="I169" t="s">
        <v>97</v>
      </c>
      <c r="J169" t="s">
        <v>88</v>
      </c>
      <c r="K169" t="s">
        <v>88</v>
      </c>
      <c r="L169" t="s">
        <v>88</v>
      </c>
      <c r="M169" t="s">
        <v>88</v>
      </c>
      <c r="N169" t="s">
        <v>88</v>
      </c>
      <c r="O169">
        <v>168</v>
      </c>
      <c r="P169" t="s">
        <v>88</v>
      </c>
      <c r="Q169" t="s">
        <v>88</v>
      </c>
      <c r="R169" t="s">
        <v>92</v>
      </c>
    </row>
    <row r="170" spans="2:18" x14ac:dyDescent="0.25">
      <c r="B170" t="s">
        <v>342</v>
      </c>
      <c r="C170" t="s">
        <v>212</v>
      </c>
      <c r="D170" t="s">
        <v>88</v>
      </c>
      <c r="E170" t="s">
        <v>88</v>
      </c>
      <c r="F170" t="s">
        <v>88</v>
      </c>
      <c r="G170" t="s">
        <v>89</v>
      </c>
      <c r="H170" t="s">
        <v>100</v>
      </c>
      <c r="I170" t="s">
        <v>154</v>
      </c>
      <c r="J170" t="s">
        <v>88</v>
      </c>
      <c r="K170" t="s">
        <v>88</v>
      </c>
      <c r="L170" t="s">
        <v>88</v>
      </c>
      <c r="M170" t="s">
        <v>88</v>
      </c>
      <c r="N170" t="s">
        <v>88</v>
      </c>
      <c r="O170">
        <v>169</v>
      </c>
      <c r="P170" t="s">
        <v>88</v>
      </c>
      <c r="Q170" t="s">
        <v>88</v>
      </c>
      <c r="R170" t="s">
        <v>92</v>
      </c>
    </row>
    <row r="171" spans="2:18" x14ac:dyDescent="0.25">
      <c r="B171" t="s">
        <v>343</v>
      </c>
      <c r="C171" t="s">
        <v>212</v>
      </c>
      <c r="D171" t="s">
        <v>88</v>
      </c>
      <c r="E171" t="s">
        <v>88</v>
      </c>
      <c r="F171" t="s">
        <v>88</v>
      </c>
      <c r="G171" t="s">
        <v>89</v>
      </c>
      <c r="H171" t="s">
        <v>100</v>
      </c>
      <c r="I171" t="s">
        <v>120</v>
      </c>
      <c r="J171" t="s">
        <v>88</v>
      </c>
      <c r="K171" t="s">
        <v>88</v>
      </c>
      <c r="L171" t="s">
        <v>88</v>
      </c>
      <c r="M171" t="s">
        <v>88</v>
      </c>
      <c r="N171" t="s">
        <v>88</v>
      </c>
      <c r="O171">
        <v>170</v>
      </c>
      <c r="P171" t="s">
        <v>88</v>
      </c>
      <c r="Q171" t="s">
        <v>88</v>
      </c>
      <c r="R171" t="s">
        <v>92</v>
      </c>
    </row>
    <row r="172" spans="2:18" x14ac:dyDescent="0.25">
      <c r="B172" t="s">
        <v>344</v>
      </c>
      <c r="C172" t="s">
        <v>212</v>
      </c>
      <c r="D172" t="s">
        <v>88</v>
      </c>
      <c r="E172" t="s">
        <v>88</v>
      </c>
      <c r="F172" t="s">
        <v>88</v>
      </c>
      <c r="G172" t="s">
        <v>89</v>
      </c>
      <c r="H172" t="s">
        <v>90</v>
      </c>
      <c r="I172" t="s">
        <v>166</v>
      </c>
      <c r="J172" t="s">
        <v>88</v>
      </c>
      <c r="K172" t="s">
        <v>88</v>
      </c>
      <c r="L172" t="s">
        <v>88</v>
      </c>
      <c r="M172" t="s">
        <v>88</v>
      </c>
      <c r="N172" t="s">
        <v>88</v>
      </c>
      <c r="O172">
        <v>171</v>
      </c>
      <c r="P172" t="s">
        <v>88</v>
      </c>
      <c r="Q172" t="s">
        <v>88</v>
      </c>
      <c r="R172" t="s">
        <v>92</v>
      </c>
    </row>
    <row r="173" spans="2:18" x14ac:dyDescent="0.25">
      <c r="B173" t="s">
        <v>345</v>
      </c>
      <c r="C173" t="s">
        <v>212</v>
      </c>
      <c r="D173" t="s">
        <v>88</v>
      </c>
      <c r="E173" t="s">
        <v>88</v>
      </c>
      <c r="F173" t="s">
        <v>88</v>
      </c>
      <c r="G173" t="s">
        <v>89</v>
      </c>
      <c r="H173" t="s">
        <v>90</v>
      </c>
      <c r="I173" t="s">
        <v>97</v>
      </c>
      <c r="J173" t="s">
        <v>88</v>
      </c>
      <c r="K173" t="s">
        <v>88</v>
      </c>
      <c r="L173" t="s">
        <v>88</v>
      </c>
      <c r="M173" t="s">
        <v>88</v>
      </c>
      <c r="N173" t="s">
        <v>88</v>
      </c>
      <c r="O173">
        <v>172</v>
      </c>
      <c r="P173" t="s">
        <v>88</v>
      </c>
      <c r="Q173" t="s">
        <v>88</v>
      </c>
      <c r="R173" t="s">
        <v>92</v>
      </c>
    </row>
    <row r="174" spans="2:18" x14ac:dyDescent="0.25">
      <c r="B174" t="s">
        <v>346</v>
      </c>
      <c r="C174" t="s">
        <v>212</v>
      </c>
      <c r="D174" t="s">
        <v>88</v>
      </c>
      <c r="E174" t="s">
        <v>88</v>
      </c>
      <c r="F174" t="s">
        <v>88</v>
      </c>
      <c r="G174" t="s">
        <v>89</v>
      </c>
      <c r="H174" t="s">
        <v>100</v>
      </c>
      <c r="I174" t="s">
        <v>158</v>
      </c>
      <c r="J174" t="s">
        <v>88</v>
      </c>
      <c r="K174" t="s">
        <v>88</v>
      </c>
      <c r="L174" t="s">
        <v>88</v>
      </c>
      <c r="M174" t="s">
        <v>88</v>
      </c>
      <c r="N174" t="s">
        <v>88</v>
      </c>
      <c r="O174">
        <v>173</v>
      </c>
      <c r="P174" t="s">
        <v>88</v>
      </c>
      <c r="Q174" t="s">
        <v>88</v>
      </c>
      <c r="R174" t="s">
        <v>92</v>
      </c>
    </row>
    <row r="175" spans="2:18" x14ac:dyDescent="0.25">
      <c r="B175" t="s">
        <v>347</v>
      </c>
      <c r="C175" t="s">
        <v>348</v>
      </c>
      <c r="D175" t="s">
        <v>88</v>
      </c>
      <c r="E175" t="s">
        <v>88</v>
      </c>
      <c r="F175" t="s">
        <v>88</v>
      </c>
      <c r="G175" t="s">
        <v>89</v>
      </c>
      <c r="H175" t="s">
        <v>90</v>
      </c>
      <c r="I175" t="s">
        <v>94</v>
      </c>
      <c r="J175" t="s">
        <v>88</v>
      </c>
      <c r="K175" t="s">
        <v>88</v>
      </c>
      <c r="L175" t="s">
        <v>88</v>
      </c>
      <c r="M175" t="s">
        <v>88</v>
      </c>
      <c r="N175" t="s">
        <v>88</v>
      </c>
      <c r="O175">
        <v>174</v>
      </c>
      <c r="P175" t="s">
        <v>88</v>
      </c>
      <c r="Q175" t="s">
        <v>88</v>
      </c>
      <c r="R175" t="s">
        <v>92</v>
      </c>
    </row>
    <row r="176" spans="2:18" x14ac:dyDescent="0.25">
      <c r="B176" t="s">
        <v>349</v>
      </c>
      <c r="C176" t="s">
        <v>212</v>
      </c>
      <c r="D176" t="s">
        <v>88</v>
      </c>
      <c r="E176" t="s">
        <v>88</v>
      </c>
      <c r="F176" t="s">
        <v>88</v>
      </c>
      <c r="G176" t="s">
        <v>89</v>
      </c>
      <c r="H176" t="s">
        <v>90</v>
      </c>
      <c r="I176" t="s">
        <v>109</v>
      </c>
      <c r="J176" t="s">
        <v>88</v>
      </c>
      <c r="K176" t="s">
        <v>88</v>
      </c>
      <c r="L176" t="s">
        <v>88</v>
      </c>
      <c r="M176" t="s">
        <v>88</v>
      </c>
      <c r="N176" t="s">
        <v>88</v>
      </c>
      <c r="O176">
        <v>175</v>
      </c>
      <c r="P176" t="s">
        <v>88</v>
      </c>
      <c r="Q176" t="s">
        <v>88</v>
      </c>
      <c r="R176" t="s">
        <v>92</v>
      </c>
    </row>
    <row r="177" spans="2:18" x14ac:dyDescent="0.25">
      <c r="B177" t="s">
        <v>350</v>
      </c>
      <c r="C177" t="s">
        <v>351</v>
      </c>
      <c r="D177" t="s">
        <v>88</v>
      </c>
      <c r="E177" t="s">
        <v>88</v>
      </c>
      <c r="F177" t="s">
        <v>88</v>
      </c>
      <c r="G177" t="s">
        <v>89</v>
      </c>
      <c r="H177" t="s">
        <v>90</v>
      </c>
      <c r="I177" t="s">
        <v>304</v>
      </c>
      <c r="J177" t="s">
        <v>88</v>
      </c>
      <c r="K177" t="s">
        <v>88</v>
      </c>
      <c r="L177" t="s">
        <v>88</v>
      </c>
      <c r="M177" t="s">
        <v>88</v>
      </c>
      <c r="N177" t="s">
        <v>88</v>
      </c>
      <c r="O177">
        <v>176</v>
      </c>
      <c r="P177" t="s">
        <v>88</v>
      </c>
      <c r="Q177" t="s">
        <v>88</v>
      </c>
      <c r="R177" t="s">
        <v>92</v>
      </c>
    </row>
    <row r="178" spans="2:18" x14ac:dyDescent="0.25">
      <c r="B178" t="s">
        <v>352</v>
      </c>
      <c r="C178" t="s">
        <v>127</v>
      </c>
      <c r="D178" t="s">
        <v>88</v>
      </c>
      <c r="E178" t="s">
        <v>88</v>
      </c>
      <c r="F178" t="s">
        <v>88</v>
      </c>
      <c r="G178" t="s">
        <v>89</v>
      </c>
      <c r="H178" t="s">
        <v>90</v>
      </c>
      <c r="I178" t="s">
        <v>353</v>
      </c>
      <c r="J178" t="s">
        <v>88</v>
      </c>
      <c r="K178" t="s">
        <v>88</v>
      </c>
      <c r="L178" t="s">
        <v>88</v>
      </c>
      <c r="M178" t="s">
        <v>88</v>
      </c>
      <c r="N178" t="s">
        <v>88</v>
      </c>
      <c r="O178">
        <v>177</v>
      </c>
      <c r="P178" t="s">
        <v>88</v>
      </c>
      <c r="Q178" t="s">
        <v>88</v>
      </c>
      <c r="R178" t="s">
        <v>92</v>
      </c>
    </row>
    <row r="179" spans="2:18" x14ac:dyDescent="0.25">
      <c r="B179" t="s">
        <v>354</v>
      </c>
      <c r="C179" t="s">
        <v>143</v>
      </c>
      <c r="D179" t="s">
        <v>88</v>
      </c>
      <c r="E179" t="s">
        <v>88</v>
      </c>
      <c r="F179" t="s">
        <v>88</v>
      </c>
      <c r="G179" t="s">
        <v>89</v>
      </c>
      <c r="H179" t="s">
        <v>90</v>
      </c>
      <c r="I179" t="s">
        <v>166</v>
      </c>
      <c r="J179" t="s">
        <v>88</v>
      </c>
      <c r="K179" t="s">
        <v>88</v>
      </c>
      <c r="L179" t="s">
        <v>88</v>
      </c>
      <c r="M179" t="s">
        <v>88</v>
      </c>
      <c r="N179" t="s">
        <v>88</v>
      </c>
      <c r="O179">
        <v>178</v>
      </c>
      <c r="P179" t="s">
        <v>88</v>
      </c>
      <c r="Q179" t="s">
        <v>88</v>
      </c>
      <c r="R179" t="s">
        <v>92</v>
      </c>
    </row>
    <row r="180" spans="2:18" x14ac:dyDescent="0.25">
      <c r="B180" t="s">
        <v>355</v>
      </c>
      <c r="C180" t="s">
        <v>103</v>
      </c>
      <c r="D180" t="s">
        <v>88</v>
      </c>
      <c r="E180" t="s">
        <v>88</v>
      </c>
      <c r="F180" t="s">
        <v>88</v>
      </c>
      <c r="G180" t="s">
        <v>89</v>
      </c>
      <c r="H180" t="s">
        <v>90</v>
      </c>
      <c r="I180" t="s">
        <v>356</v>
      </c>
      <c r="J180" t="s">
        <v>88</v>
      </c>
      <c r="K180" t="s">
        <v>88</v>
      </c>
      <c r="L180" t="s">
        <v>88</v>
      </c>
      <c r="M180" t="s">
        <v>88</v>
      </c>
      <c r="N180" t="s">
        <v>88</v>
      </c>
      <c r="O180">
        <v>179</v>
      </c>
      <c r="P180" t="s">
        <v>88</v>
      </c>
      <c r="Q180" t="s">
        <v>88</v>
      </c>
      <c r="R180" t="s">
        <v>92</v>
      </c>
    </row>
    <row r="181" spans="2:18" x14ac:dyDescent="0.25">
      <c r="B181" t="s">
        <v>357</v>
      </c>
      <c r="C181" t="s">
        <v>208</v>
      </c>
      <c r="D181" t="s">
        <v>88</v>
      </c>
      <c r="E181" t="s">
        <v>88</v>
      </c>
      <c r="F181" t="s">
        <v>88</v>
      </c>
      <c r="G181" t="s">
        <v>89</v>
      </c>
      <c r="H181" t="s">
        <v>90</v>
      </c>
      <c r="I181" t="s">
        <v>323</v>
      </c>
      <c r="J181" t="s">
        <v>88</v>
      </c>
      <c r="K181" t="s">
        <v>88</v>
      </c>
      <c r="L181" t="s">
        <v>88</v>
      </c>
      <c r="M181" t="s">
        <v>88</v>
      </c>
      <c r="N181" t="s">
        <v>88</v>
      </c>
      <c r="O181">
        <v>180</v>
      </c>
      <c r="P181" t="s">
        <v>88</v>
      </c>
      <c r="Q181" t="s">
        <v>88</v>
      </c>
      <c r="R181" t="s">
        <v>92</v>
      </c>
    </row>
    <row r="182" spans="2:18" x14ac:dyDescent="0.25">
      <c r="B182" t="s">
        <v>358</v>
      </c>
      <c r="C182" t="s">
        <v>103</v>
      </c>
      <c r="D182" t="s">
        <v>88</v>
      </c>
      <c r="E182" t="s">
        <v>88</v>
      </c>
      <c r="F182" t="s">
        <v>88</v>
      </c>
      <c r="G182" t="s">
        <v>89</v>
      </c>
      <c r="H182" t="s">
        <v>90</v>
      </c>
      <c r="I182" t="s">
        <v>109</v>
      </c>
      <c r="J182" t="s">
        <v>88</v>
      </c>
      <c r="K182" t="s">
        <v>88</v>
      </c>
      <c r="L182" t="s">
        <v>88</v>
      </c>
      <c r="M182" t="s">
        <v>88</v>
      </c>
      <c r="N182" t="s">
        <v>88</v>
      </c>
      <c r="O182">
        <v>181</v>
      </c>
      <c r="P182" t="s">
        <v>88</v>
      </c>
      <c r="Q182" t="s">
        <v>88</v>
      </c>
      <c r="R182" t="s">
        <v>92</v>
      </c>
    </row>
    <row r="183" spans="2:18" x14ac:dyDescent="0.25">
      <c r="B183" t="s">
        <v>359</v>
      </c>
      <c r="C183" t="s">
        <v>173</v>
      </c>
      <c r="D183" t="s">
        <v>88</v>
      </c>
      <c r="E183" t="s">
        <v>88</v>
      </c>
      <c r="F183" t="s">
        <v>88</v>
      </c>
      <c r="G183" t="s">
        <v>89</v>
      </c>
      <c r="H183" t="s">
        <v>100</v>
      </c>
      <c r="I183" t="s">
        <v>246</v>
      </c>
      <c r="J183" t="s">
        <v>88</v>
      </c>
      <c r="K183" t="s">
        <v>88</v>
      </c>
      <c r="L183" t="s">
        <v>88</v>
      </c>
      <c r="M183" t="s">
        <v>88</v>
      </c>
      <c r="N183" t="s">
        <v>88</v>
      </c>
      <c r="O183">
        <v>182</v>
      </c>
      <c r="P183" t="s">
        <v>88</v>
      </c>
      <c r="Q183" t="s">
        <v>88</v>
      </c>
      <c r="R183" t="s">
        <v>92</v>
      </c>
    </row>
    <row r="184" spans="2:18" x14ac:dyDescent="0.25">
      <c r="B184" t="s">
        <v>360</v>
      </c>
      <c r="C184" t="s">
        <v>176</v>
      </c>
      <c r="D184" t="s">
        <v>88</v>
      </c>
      <c r="E184" t="s">
        <v>88</v>
      </c>
      <c r="F184" t="s">
        <v>88</v>
      </c>
      <c r="G184" t="s">
        <v>89</v>
      </c>
      <c r="H184" t="s">
        <v>90</v>
      </c>
      <c r="I184" t="s">
        <v>91</v>
      </c>
      <c r="J184" t="s">
        <v>88</v>
      </c>
      <c r="K184" t="s">
        <v>88</v>
      </c>
      <c r="L184" t="s">
        <v>88</v>
      </c>
      <c r="M184" t="s">
        <v>88</v>
      </c>
      <c r="N184" t="s">
        <v>88</v>
      </c>
      <c r="O184">
        <v>183</v>
      </c>
      <c r="P184" t="s">
        <v>88</v>
      </c>
      <c r="Q184" t="s">
        <v>88</v>
      </c>
      <c r="R184" t="s">
        <v>92</v>
      </c>
    </row>
    <row r="185" spans="2:18" x14ac:dyDescent="0.25">
      <c r="B185" t="s">
        <v>361</v>
      </c>
      <c r="C185" t="s">
        <v>176</v>
      </c>
      <c r="D185" t="s">
        <v>88</v>
      </c>
      <c r="E185" t="s">
        <v>88</v>
      </c>
      <c r="F185" t="s">
        <v>88</v>
      </c>
      <c r="G185" t="s">
        <v>89</v>
      </c>
      <c r="H185" t="s">
        <v>90</v>
      </c>
      <c r="I185" t="s">
        <v>362</v>
      </c>
      <c r="J185" t="s">
        <v>88</v>
      </c>
      <c r="K185" t="s">
        <v>88</v>
      </c>
      <c r="L185" t="s">
        <v>88</v>
      </c>
      <c r="M185" t="s">
        <v>88</v>
      </c>
      <c r="N185" t="s">
        <v>88</v>
      </c>
      <c r="O185">
        <v>184</v>
      </c>
      <c r="P185" t="s">
        <v>88</v>
      </c>
      <c r="Q185" t="s">
        <v>88</v>
      </c>
      <c r="R185" t="s">
        <v>92</v>
      </c>
    </row>
    <row r="186" spans="2:18" x14ac:dyDescent="0.25">
      <c r="B186" t="s">
        <v>363</v>
      </c>
      <c r="C186" t="s">
        <v>364</v>
      </c>
      <c r="D186" t="s">
        <v>88</v>
      </c>
      <c r="E186" t="s">
        <v>88</v>
      </c>
      <c r="F186" t="s">
        <v>88</v>
      </c>
      <c r="G186" t="s">
        <v>89</v>
      </c>
      <c r="H186" t="s">
        <v>90</v>
      </c>
      <c r="I186" t="s">
        <v>113</v>
      </c>
      <c r="J186" t="s">
        <v>88</v>
      </c>
      <c r="K186" t="s">
        <v>88</v>
      </c>
      <c r="L186" t="s">
        <v>88</v>
      </c>
      <c r="M186" t="s">
        <v>88</v>
      </c>
      <c r="N186" t="s">
        <v>88</v>
      </c>
      <c r="O186">
        <v>185</v>
      </c>
      <c r="P186" t="s">
        <v>88</v>
      </c>
      <c r="Q186" t="s">
        <v>88</v>
      </c>
      <c r="R186" t="s">
        <v>92</v>
      </c>
    </row>
    <row r="187" spans="2:18" x14ac:dyDescent="0.25">
      <c r="B187" t="s">
        <v>365</v>
      </c>
      <c r="C187" t="s">
        <v>199</v>
      </c>
      <c r="D187" t="s">
        <v>88</v>
      </c>
      <c r="E187" t="s">
        <v>88</v>
      </c>
      <c r="F187" t="s">
        <v>88</v>
      </c>
      <c r="G187" t="s">
        <v>89</v>
      </c>
      <c r="H187" t="s">
        <v>90</v>
      </c>
      <c r="I187" t="s">
        <v>113</v>
      </c>
      <c r="J187" t="s">
        <v>88</v>
      </c>
      <c r="K187" t="s">
        <v>88</v>
      </c>
      <c r="L187" t="s">
        <v>88</v>
      </c>
      <c r="M187" t="s">
        <v>88</v>
      </c>
      <c r="N187" t="s">
        <v>88</v>
      </c>
      <c r="O187">
        <v>186</v>
      </c>
      <c r="P187" t="s">
        <v>88</v>
      </c>
      <c r="Q187" t="s">
        <v>88</v>
      </c>
      <c r="R187" t="s">
        <v>92</v>
      </c>
    </row>
    <row r="188" spans="2:18" x14ac:dyDescent="0.25">
      <c r="B188" t="s">
        <v>366</v>
      </c>
      <c r="C188" t="s">
        <v>103</v>
      </c>
      <c r="D188" t="s">
        <v>88</v>
      </c>
      <c r="E188" t="s">
        <v>88</v>
      </c>
      <c r="F188" t="s">
        <v>88</v>
      </c>
      <c r="G188" t="s">
        <v>89</v>
      </c>
      <c r="H188" t="s">
        <v>90</v>
      </c>
      <c r="I188" t="s">
        <v>97</v>
      </c>
      <c r="J188" t="s">
        <v>88</v>
      </c>
      <c r="K188" t="s">
        <v>88</v>
      </c>
      <c r="L188" t="s">
        <v>88</v>
      </c>
      <c r="M188" t="s">
        <v>88</v>
      </c>
      <c r="N188" t="s">
        <v>88</v>
      </c>
      <c r="O188">
        <v>187</v>
      </c>
      <c r="P188" t="s">
        <v>88</v>
      </c>
      <c r="Q188" t="s">
        <v>88</v>
      </c>
      <c r="R188" t="s">
        <v>92</v>
      </c>
    </row>
    <row r="189" spans="2:18" x14ac:dyDescent="0.25">
      <c r="B189" t="s">
        <v>367</v>
      </c>
      <c r="C189" t="s">
        <v>103</v>
      </c>
      <c r="D189" t="s">
        <v>88</v>
      </c>
      <c r="E189" t="s">
        <v>88</v>
      </c>
      <c r="F189" t="s">
        <v>88</v>
      </c>
      <c r="G189" t="s">
        <v>89</v>
      </c>
      <c r="H189" t="s">
        <v>100</v>
      </c>
      <c r="I189" t="s">
        <v>368</v>
      </c>
      <c r="J189" t="s">
        <v>88</v>
      </c>
      <c r="K189" t="s">
        <v>88</v>
      </c>
      <c r="L189" t="s">
        <v>88</v>
      </c>
      <c r="M189" t="s">
        <v>88</v>
      </c>
      <c r="N189" t="s">
        <v>88</v>
      </c>
      <c r="O189">
        <v>188</v>
      </c>
      <c r="P189" t="s">
        <v>88</v>
      </c>
      <c r="Q189" t="s">
        <v>88</v>
      </c>
      <c r="R189" t="s">
        <v>92</v>
      </c>
    </row>
    <row r="190" spans="2:18" x14ac:dyDescent="0.25">
      <c r="B190" t="s">
        <v>369</v>
      </c>
      <c r="C190" t="s">
        <v>103</v>
      </c>
      <c r="D190" t="s">
        <v>88</v>
      </c>
      <c r="E190" t="s">
        <v>88</v>
      </c>
      <c r="F190" t="s">
        <v>88</v>
      </c>
      <c r="G190" t="s">
        <v>89</v>
      </c>
      <c r="H190" t="s">
        <v>90</v>
      </c>
      <c r="I190" t="s">
        <v>97</v>
      </c>
      <c r="J190" t="s">
        <v>88</v>
      </c>
      <c r="K190" t="s">
        <v>88</v>
      </c>
      <c r="L190" t="s">
        <v>88</v>
      </c>
      <c r="M190" t="s">
        <v>88</v>
      </c>
      <c r="N190" t="s">
        <v>88</v>
      </c>
      <c r="O190">
        <v>189</v>
      </c>
      <c r="P190" t="s">
        <v>88</v>
      </c>
      <c r="Q190" t="s">
        <v>88</v>
      </c>
      <c r="R190" t="s">
        <v>92</v>
      </c>
    </row>
    <row r="191" spans="2:18" x14ac:dyDescent="0.25">
      <c r="B191" t="s">
        <v>370</v>
      </c>
      <c r="C191" t="s">
        <v>106</v>
      </c>
      <c r="D191" t="s">
        <v>88</v>
      </c>
      <c r="E191" t="s">
        <v>88</v>
      </c>
      <c r="F191" t="s">
        <v>88</v>
      </c>
      <c r="G191" t="s">
        <v>89</v>
      </c>
      <c r="H191" t="s">
        <v>90</v>
      </c>
      <c r="I191" t="s">
        <v>371</v>
      </c>
      <c r="J191" t="s">
        <v>88</v>
      </c>
      <c r="K191" t="s">
        <v>88</v>
      </c>
      <c r="L191" t="s">
        <v>88</v>
      </c>
      <c r="M191" t="s">
        <v>88</v>
      </c>
      <c r="N191" t="s">
        <v>88</v>
      </c>
      <c r="O191">
        <v>190</v>
      </c>
      <c r="P191" t="s">
        <v>88</v>
      </c>
      <c r="Q191" t="s">
        <v>88</v>
      </c>
      <c r="R191" t="s">
        <v>92</v>
      </c>
    </row>
    <row r="192" spans="2:18" x14ac:dyDescent="0.25">
      <c r="B192" t="s">
        <v>372</v>
      </c>
      <c r="C192" t="s">
        <v>183</v>
      </c>
      <c r="D192" t="s">
        <v>88</v>
      </c>
      <c r="E192" t="s">
        <v>88</v>
      </c>
      <c r="F192" t="s">
        <v>88</v>
      </c>
      <c r="G192" t="s">
        <v>89</v>
      </c>
      <c r="H192" t="s">
        <v>100</v>
      </c>
      <c r="I192" t="s">
        <v>373</v>
      </c>
      <c r="J192" t="s">
        <v>88</v>
      </c>
      <c r="K192" t="s">
        <v>88</v>
      </c>
      <c r="L192" t="s">
        <v>88</v>
      </c>
      <c r="M192" t="s">
        <v>88</v>
      </c>
      <c r="N192" t="s">
        <v>88</v>
      </c>
      <c r="O192">
        <v>191</v>
      </c>
      <c r="P192" t="s">
        <v>88</v>
      </c>
      <c r="Q192" t="s">
        <v>88</v>
      </c>
      <c r="R192" t="s">
        <v>92</v>
      </c>
    </row>
    <row r="193" spans="2:18" x14ac:dyDescent="0.25">
      <c r="B193" t="s">
        <v>374</v>
      </c>
      <c r="C193" t="s">
        <v>103</v>
      </c>
      <c r="D193" t="s">
        <v>88</v>
      </c>
      <c r="E193" t="s">
        <v>88</v>
      </c>
      <c r="F193" t="s">
        <v>88</v>
      </c>
      <c r="G193" t="s">
        <v>89</v>
      </c>
      <c r="H193" t="s">
        <v>100</v>
      </c>
      <c r="I193" t="s">
        <v>163</v>
      </c>
      <c r="J193" t="s">
        <v>88</v>
      </c>
      <c r="K193" t="s">
        <v>88</v>
      </c>
      <c r="L193" t="s">
        <v>88</v>
      </c>
      <c r="M193" t="s">
        <v>88</v>
      </c>
      <c r="N193" t="s">
        <v>88</v>
      </c>
      <c r="O193">
        <v>192</v>
      </c>
      <c r="P193" t="s">
        <v>88</v>
      </c>
      <c r="Q193" t="s">
        <v>88</v>
      </c>
      <c r="R193" t="s">
        <v>92</v>
      </c>
    </row>
    <row r="194" spans="2:18" x14ac:dyDescent="0.25">
      <c r="B194" t="s">
        <v>375</v>
      </c>
      <c r="C194" t="s">
        <v>212</v>
      </c>
      <c r="D194" t="s">
        <v>88</v>
      </c>
      <c r="E194" t="s">
        <v>88</v>
      </c>
      <c r="F194" t="s">
        <v>88</v>
      </c>
      <c r="G194" t="s">
        <v>89</v>
      </c>
      <c r="H194" t="s">
        <v>100</v>
      </c>
      <c r="I194" t="s">
        <v>289</v>
      </c>
      <c r="J194" t="s">
        <v>88</v>
      </c>
      <c r="K194" t="s">
        <v>88</v>
      </c>
      <c r="L194" t="s">
        <v>88</v>
      </c>
      <c r="M194" t="s">
        <v>88</v>
      </c>
      <c r="N194" t="s">
        <v>88</v>
      </c>
      <c r="O194">
        <v>193</v>
      </c>
      <c r="P194" t="s">
        <v>88</v>
      </c>
      <c r="Q194" t="s">
        <v>88</v>
      </c>
      <c r="R194" t="s">
        <v>92</v>
      </c>
    </row>
    <row r="195" spans="2:18" x14ac:dyDescent="0.25">
      <c r="B195" t="s">
        <v>376</v>
      </c>
      <c r="C195" t="s">
        <v>183</v>
      </c>
      <c r="D195" t="s">
        <v>88</v>
      </c>
      <c r="E195" t="s">
        <v>88</v>
      </c>
      <c r="F195" t="s">
        <v>88</v>
      </c>
      <c r="G195" t="s">
        <v>89</v>
      </c>
      <c r="H195" t="s">
        <v>90</v>
      </c>
      <c r="I195" t="s">
        <v>94</v>
      </c>
      <c r="J195" t="s">
        <v>88</v>
      </c>
      <c r="K195" t="s">
        <v>88</v>
      </c>
      <c r="L195" t="s">
        <v>88</v>
      </c>
      <c r="M195" t="s">
        <v>88</v>
      </c>
      <c r="N195" t="s">
        <v>88</v>
      </c>
      <c r="O195">
        <v>194</v>
      </c>
      <c r="P195" t="s">
        <v>88</v>
      </c>
      <c r="Q195" t="s">
        <v>88</v>
      </c>
      <c r="R195" t="s">
        <v>92</v>
      </c>
    </row>
    <row r="196" spans="2:18" x14ac:dyDescent="0.25">
      <c r="B196" t="s">
        <v>377</v>
      </c>
      <c r="C196" t="s">
        <v>378</v>
      </c>
      <c r="D196" t="s">
        <v>88</v>
      </c>
      <c r="E196" t="s">
        <v>88</v>
      </c>
      <c r="F196" t="s">
        <v>88</v>
      </c>
      <c r="G196" t="s">
        <v>89</v>
      </c>
      <c r="H196" t="s">
        <v>90</v>
      </c>
      <c r="I196" t="s">
        <v>94</v>
      </c>
      <c r="J196" t="s">
        <v>88</v>
      </c>
      <c r="K196" t="s">
        <v>88</v>
      </c>
      <c r="L196" t="s">
        <v>88</v>
      </c>
      <c r="M196" t="s">
        <v>88</v>
      </c>
      <c r="N196" t="s">
        <v>88</v>
      </c>
      <c r="O196">
        <v>195</v>
      </c>
      <c r="P196" t="s">
        <v>88</v>
      </c>
      <c r="Q196" t="s">
        <v>88</v>
      </c>
      <c r="R196" t="s">
        <v>92</v>
      </c>
    </row>
    <row r="197" spans="2:18" x14ac:dyDescent="0.25">
      <c r="B197" t="s">
        <v>379</v>
      </c>
      <c r="C197" t="s">
        <v>380</v>
      </c>
      <c r="D197" t="s">
        <v>88</v>
      </c>
      <c r="E197" t="s">
        <v>88</v>
      </c>
      <c r="F197" t="s">
        <v>88</v>
      </c>
      <c r="G197" t="s">
        <v>89</v>
      </c>
      <c r="H197" t="s">
        <v>90</v>
      </c>
      <c r="I197" t="s">
        <v>133</v>
      </c>
      <c r="J197" t="s">
        <v>88</v>
      </c>
      <c r="K197" t="s">
        <v>88</v>
      </c>
      <c r="L197" t="s">
        <v>88</v>
      </c>
      <c r="M197" t="s">
        <v>88</v>
      </c>
      <c r="N197" t="s">
        <v>88</v>
      </c>
      <c r="O197">
        <v>196</v>
      </c>
      <c r="P197" t="s">
        <v>88</v>
      </c>
      <c r="Q197" t="s">
        <v>88</v>
      </c>
      <c r="R197" t="s">
        <v>92</v>
      </c>
    </row>
    <row r="198" spans="2:18" x14ac:dyDescent="0.25">
      <c r="B198" t="s">
        <v>381</v>
      </c>
      <c r="C198" t="s">
        <v>139</v>
      </c>
      <c r="D198" t="s">
        <v>88</v>
      </c>
      <c r="E198" t="s">
        <v>88</v>
      </c>
      <c r="F198" t="s">
        <v>88</v>
      </c>
      <c r="G198" t="s">
        <v>89</v>
      </c>
      <c r="H198" t="s">
        <v>90</v>
      </c>
      <c r="I198" t="s">
        <v>111</v>
      </c>
      <c r="J198" t="s">
        <v>88</v>
      </c>
      <c r="K198" t="s">
        <v>88</v>
      </c>
      <c r="L198" t="s">
        <v>88</v>
      </c>
      <c r="M198" t="s">
        <v>88</v>
      </c>
      <c r="N198" t="s">
        <v>88</v>
      </c>
      <c r="O198">
        <v>197</v>
      </c>
      <c r="P198" t="s">
        <v>88</v>
      </c>
      <c r="Q198" t="s">
        <v>88</v>
      </c>
      <c r="R198" t="s">
        <v>92</v>
      </c>
    </row>
    <row r="199" spans="2:18" x14ac:dyDescent="0.25">
      <c r="B199" t="s">
        <v>382</v>
      </c>
      <c r="C199" t="s">
        <v>208</v>
      </c>
      <c r="D199" t="s">
        <v>88</v>
      </c>
      <c r="E199" t="s">
        <v>88</v>
      </c>
      <c r="F199" t="s">
        <v>88</v>
      </c>
      <c r="G199" t="s">
        <v>89</v>
      </c>
      <c r="H199" t="s">
        <v>90</v>
      </c>
      <c r="I199" t="s">
        <v>166</v>
      </c>
      <c r="J199" t="s">
        <v>88</v>
      </c>
      <c r="K199" t="s">
        <v>88</v>
      </c>
      <c r="L199" t="s">
        <v>88</v>
      </c>
      <c r="M199" t="s">
        <v>88</v>
      </c>
      <c r="N199" t="s">
        <v>88</v>
      </c>
      <c r="O199">
        <v>198</v>
      </c>
      <c r="P199" t="s">
        <v>88</v>
      </c>
      <c r="Q199" t="s">
        <v>88</v>
      </c>
      <c r="R199" t="s">
        <v>92</v>
      </c>
    </row>
    <row r="200" spans="2:18" x14ac:dyDescent="0.25">
      <c r="B200" t="s">
        <v>383</v>
      </c>
      <c r="C200" t="s">
        <v>127</v>
      </c>
      <c r="D200" t="s">
        <v>88</v>
      </c>
      <c r="E200" t="s">
        <v>88</v>
      </c>
      <c r="F200" t="s">
        <v>88</v>
      </c>
      <c r="G200" t="s">
        <v>89</v>
      </c>
      <c r="H200" t="s">
        <v>100</v>
      </c>
      <c r="I200" t="s">
        <v>384</v>
      </c>
      <c r="J200" t="s">
        <v>88</v>
      </c>
      <c r="K200" t="s">
        <v>88</v>
      </c>
      <c r="L200" t="s">
        <v>88</v>
      </c>
      <c r="M200" t="s">
        <v>88</v>
      </c>
      <c r="N200" t="s">
        <v>88</v>
      </c>
      <c r="O200">
        <v>199</v>
      </c>
      <c r="P200" t="s">
        <v>88</v>
      </c>
      <c r="Q200" t="s">
        <v>88</v>
      </c>
      <c r="R200" t="s">
        <v>92</v>
      </c>
    </row>
    <row r="201" spans="2:18" x14ac:dyDescent="0.25">
      <c r="B201" t="s">
        <v>385</v>
      </c>
      <c r="C201" t="s">
        <v>106</v>
      </c>
      <c r="D201" t="s">
        <v>88</v>
      </c>
      <c r="E201" t="s">
        <v>88</v>
      </c>
      <c r="F201" t="s">
        <v>88</v>
      </c>
      <c r="G201" t="s">
        <v>89</v>
      </c>
      <c r="H201" t="s">
        <v>90</v>
      </c>
      <c r="I201" t="s">
        <v>147</v>
      </c>
      <c r="J201" t="s">
        <v>88</v>
      </c>
      <c r="K201" t="s">
        <v>88</v>
      </c>
      <c r="L201" t="s">
        <v>88</v>
      </c>
      <c r="M201" t="s">
        <v>88</v>
      </c>
      <c r="N201" t="s">
        <v>88</v>
      </c>
      <c r="O201">
        <v>200</v>
      </c>
      <c r="P201" t="s">
        <v>88</v>
      </c>
      <c r="Q201" t="s">
        <v>88</v>
      </c>
      <c r="R201" t="s">
        <v>92</v>
      </c>
    </row>
    <row r="202" spans="2:18" x14ac:dyDescent="0.25">
      <c r="B202" t="s">
        <v>386</v>
      </c>
      <c r="C202" t="s">
        <v>387</v>
      </c>
      <c r="D202" t="s">
        <v>88</v>
      </c>
      <c r="E202" t="s">
        <v>88</v>
      </c>
      <c r="F202" t="s">
        <v>88</v>
      </c>
      <c r="G202" t="s">
        <v>89</v>
      </c>
      <c r="H202" t="s">
        <v>90</v>
      </c>
      <c r="I202" t="s">
        <v>94</v>
      </c>
      <c r="J202" t="s">
        <v>88</v>
      </c>
      <c r="K202" t="s">
        <v>88</v>
      </c>
      <c r="L202" t="s">
        <v>88</v>
      </c>
      <c r="M202" t="s">
        <v>88</v>
      </c>
      <c r="N202" t="s">
        <v>88</v>
      </c>
      <c r="O202">
        <v>201</v>
      </c>
      <c r="P202" t="s">
        <v>88</v>
      </c>
      <c r="Q202" t="s">
        <v>88</v>
      </c>
      <c r="R202" t="s">
        <v>92</v>
      </c>
    </row>
    <row r="203" spans="2:18" x14ac:dyDescent="0.25">
      <c r="B203" t="s">
        <v>388</v>
      </c>
      <c r="C203" t="s">
        <v>389</v>
      </c>
      <c r="D203" t="s">
        <v>88</v>
      </c>
      <c r="E203" t="s">
        <v>88</v>
      </c>
      <c r="F203" t="s">
        <v>88</v>
      </c>
      <c r="G203" t="s">
        <v>89</v>
      </c>
      <c r="H203" t="s">
        <v>90</v>
      </c>
      <c r="I203" t="s">
        <v>91</v>
      </c>
      <c r="J203" t="s">
        <v>88</v>
      </c>
      <c r="K203" t="s">
        <v>88</v>
      </c>
      <c r="L203" t="s">
        <v>88</v>
      </c>
      <c r="M203" t="s">
        <v>88</v>
      </c>
      <c r="N203" t="s">
        <v>88</v>
      </c>
      <c r="O203">
        <v>202</v>
      </c>
      <c r="P203" t="s">
        <v>88</v>
      </c>
      <c r="Q203" t="s">
        <v>88</v>
      </c>
      <c r="R203" t="s">
        <v>92</v>
      </c>
    </row>
    <row r="204" spans="2:18" x14ac:dyDescent="0.25">
      <c r="B204" t="s">
        <v>390</v>
      </c>
      <c r="C204" t="s">
        <v>106</v>
      </c>
      <c r="D204" t="s">
        <v>88</v>
      </c>
      <c r="E204" t="s">
        <v>88</v>
      </c>
      <c r="F204" t="s">
        <v>88</v>
      </c>
      <c r="G204" t="s">
        <v>89</v>
      </c>
      <c r="H204" t="s">
        <v>90</v>
      </c>
      <c r="I204" t="s">
        <v>109</v>
      </c>
      <c r="J204" t="s">
        <v>88</v>
      </c>
      <c r="K204" t="s">
        <v>88</v>
      </c>
      <c r="L204" t="s">
        <v>88</v>
      </c>
      <c r="M204" t="s">
        <v>88</v>
      </c>
      <c r="N204" t="s">
        <v>88</v>
      </c>
      <c r="O204">
        <v>203</v>
      </c>
      <c r="P204" t="s">
        <v>88</v>
      </c>
      <c r="Q204" t="s">
        <v>88</v>
      </c>
      <c r="R204" t="s">
        <v>92</v>
      </c>
    </row>
    <row r="205" spans="2:18" x14ac:dyDescent="0.25">
      <c r="B205" t="s">
        <v>391</v>
      </c>
      <c r="C205" t="s">
        <v>106</v>
      </c>
      <c r="D205" t="s">
        <v>88</v>
      </c>
      <c r="E205" t="s">
        <v>88</v>
      </c>
      <c r="F205" t="s">
        <v>88</v>
      </c>
      <c r="G205" t="s">
        <v>89</v>
      </c>
      <c r="H205" t="s">
        <v>100</v>
      </c>
      <c r="I205" t="s">
        <v>392</v>
      </c>
      <c r="J205" t="s">
        <v>88</v>
      </c>
      <c r="K205" t="s">
        <v>88</v>
      </c>
      <c r="L205" t="s">
        <v>88</v>
      </c>
      <c r="M205" t="s">
        <v>88</v>
      </c>
      <c r="N205" t="s">
        <v>88</v>
      </c>
      <c r="O205">
        <v>204</v>
      </c>
      <c r="P205" t="s">
        <v>88</v>
      </c>
      <c r="Q205" t="s">
        <v>88</v>
      </c>
      <c r="R205" t="s">
        <v>92</v>
      </c>
    </row>
    <row r="206" spans="2:18" x14ac:dyDescent="0.25">
      <c r="B206" t="s">
        <v>393</v>
      </c>
      <c r="C206" t="s">
        <v>106</v>
      </c>
      <c r="D206" t="s">
        <v>88</v>
      </c>
      <c r="E206" t="s">
        <v>88</v>
      </c>
      <c r="F206" t="s">
        <v>88</v>
      </c>
      <c r="G206" t="s">
        <v>89</v>
      </c>
      <c r="H206" t="s">
        <v>100</v>
      </c>
      <c r="I206" t="s">
        <v>394</v>
      </c>
      <c r="J206" t="s">
        <v>88</v>
      </c>
      <c r="K206" t="s">
        <v>88</v>
      </c>
      <c r="L206" t="s">
        <v>88</v>
      </c>
      <c r="M206" t="s">
        <v>88</v>
      </c>
      <c r="N206" t="s">
        <v>88</v>
      </c>
      <c r="O206">
        <v>205</v>
      </c>
      <c r="P206" t="s">
        <v>88</v>
      </c>
      <c r="Q206" t="s">
        <v>88</v>
      </c>
      <c r="R206" t="s">
        <v>92</v>
      </c>
    </row>
    <row r="207" spans="2:18" x14ac:dyDescent="0.25">
      <c r="B207" t="s">
        <v>395</v>
      </c>
      <c r="C207" t="s">
        <v>106</v>
      </c>
      <c r="D207" t="s">
        <v>88</v>
      </c>
      <c r="E207" t="s">
        <v>88</v>
      </c>
      <c r="F207" t="s">
        <v>88</v>
      </c>
      <c r="G207" t="s">
        <v>89</v>
      </c>
      <c r="H207" t="s">
        <v>90</v>
      </c>
      <c r="I207" t="s">
        <v>97</v>
      </c>
      <c r="J207" t="s">
        <v>88</v>
      </c>
      <c r="K207" t="s">
        <v>88</v>
      </c>
      <c r="L207" t="s">
        <v>88</v>
      </c>
      <c r="M207" t="s">
        <v>88</v>
      </c>
      <c r="N207" t="s">
        <v>88</v>
      </c>
      <c r="O207">
        <v>206</v>
      </c>
      <c r="P207" t="s">
        <v>88</v>
      </c>
      <c r="Q207" t="s">
        <v>88</v>
      </c>
      <c r="R207" t="s">
        <v>92</v>
      </c>
    </row>
    <row r="208" spans="2:18" x14ac:dyDescent="0.25">
      <c r="B208" t="s">
        <v>396</v>
      </c>
      <c r="C208" t="s">
        <v>106</v>
      </c>
      <c r="D208" t="s">
        <v>88</v>
      </c>
      <c r="E208" t="s">
        <v>88</v>
      </c>
      <c r="F208" t="s">
        <v>88</v>
      </c>
      <c r="G208" t="s">
        <v>89</v>
      </c>
      <c r="H208" t="s">
        <v>90</v>
      </c>
      <c r="I208" t="s">
        <v>147</v>
      </c>
      <c r="J208" t="s">
        <v>88</v>
      </c>
      <c r="K208" t="s">
        <v>88</v>
      </c>
      <c r="L208" t="s">
        <v>88</v>
      </c>
      <c r="M208" t="s">
        <v>88</v>
      </c>
      <c r="N208" t="s">
        <v>88</v>
      </c>
      <c r="O208">
        <v>207</v>
      </c>
      <c r="P208" t="s">
        <v>88</v>
      </c>
      <c r="Q208" t="s">
        <v>88</v>
      </c>
      <c r="R208" t="s">
        <v>92</v>
      </c>
    </row>
    <row r="209" spans="2:18" x14ac:dyDescent="0.25">
      <c r="B209" t="s">
        <v>397</v>
      </c>
      <c r="C209" t="s">
        <v>106</v>
      </c>
      <c r="D209" t="s">
        <v>88</v>
      </c>
      <c r="E209" t="s">
        <v>88</v>
      </c>
      <c r="F209" t="s">
        <v>88</v>
      </c>
      <c r="G209" t="s">
        <v>89</v>
      </c>
      <c r="H209" t="s">
        <v>90</v>
      </c>
      <c r="I209" t="s">
        <v>97</v>
      </c>
      <c r="J209" t="s">
        <v>88</v>
      </c>
      <c r="K209" t="s">
        <v>88</v>
      </c>
      <c r="L209" t="s">
        <v>88</v>
      </c>
      <c r="M209" t="s">
        <v>88</v>
      </c>
      <c r="N209" t="s">
        <v>88</v>
      </c>
      <c r="O209">
        <v>208</v>
      </c>
      <c r="P209" t="s">
        <v>88</v>
      </c>
      <c r="Q209" t="s">
        <v>88</v>
      </c>
      <c r="R209" t="s">
        <v>92</v>
      </c>
    </row>
    <row r="210" spans="2:18" x14ac:dyDescent="0.25">
      <c r="B210" t="s">
        <v>398</v>
      </c>
      <c r="C210" t="s">
        <v>106</v>
      </c>
      <c r="D210" t="s">
        <v>88</v>
      </c>
      <c r="E210" t="s">
        <v>88</v>
      </c>
      <c r="F210" t="s">
        <v>88</v>
      </c>
      <c r="G210" t="s">
        <v>89</v>
      </c>
      <c r="H210" t="s">
        <v>90</v>
      </c>
      <c r="I210" t="s">
        <v>113</v>
      </c>
      <c r="J210" t="s">
        <v>88</v>
      </c>
      <c r="K210" t="s">
        <v>88</v>
      </c>
      <c r="L210" t="s">
        <v>88</v>
      </c>
      <c r="M210" t="s">
        <v>88</v>
      </c>
      <c r="N210" t="s">
        <v>88</v>
      </c>
      <c r="O210">
        <v>209</v>
      </c>
      <c r="P210" t="s">
        <v>88</v>
      </c>
      <c r="Q210" t="s">
        <v>88</v>
      </c>
      <c r="R210" t="s">
        <v>92</v>
      </c>
    </row>
    <row r="211" spans="2:18" x14ac:dyDescent="0.25">
      <c r="B211" t="s">
        <v>399</v>
      </c>
      <c r="C211" t="s">
        <v>153</v>
      </c>
      <c r="D211" t="s">
        <v>88</v>
      </c>
      <c r="E211" t="s">
        <v>88</v>
      </c>
      <c r="F211" t="s">
        <v>88</v>
      </c>
      <c r="G211" t="s">
        <v>89</v>
      </c>
      <c r="H211" t="s">
        <v>90</v>
      </c>
      <c r="I211" t="s">
        <v>91</v>
      </c>
      <c r="J211" t="s">
        <v>88</v>
      </c>
      <c r="K211" t="s">
        <v>88</v>
      </c>
      <c r="L211" t="s">
        <v>88</v>
      </c>
      <c r="M211" t="s">
        <v>88</v>
      </c>
      <c r="N211" t="s">
        <v>88</v>
      </c>
      <c r="O211">
        <v>210</v>
      </c>
      <c r="P211" t="s">
        <v>88</v>
      </c>
      <c r="Q211" t="s">
        <v>88</v>
      </c>
      <c r="R211" t="s">
        <v>92</v>
      </c>
    </row>
    <row r="212" spans="2:18" x14ac:dyDescent="0.25">
      <c r="B212" t="s">
        <v>400</v>
      </c>
      <c r="C212" t="s">
        <v>106</v>
      </c>
      <c r="D212" t="s">
        <v>88</v>
      </c>
      <c r="E212" t="s">
        <v>88</v>
      </c>
      <c r="F212" t="s">
        <v>88</v>
      </c>
      <c r="G212" t="s">
        <v>89</v>
      </c>
      <c r="H212" t="s">
        <v>90</v>
      </c>
      <c r="I212" t="s">
        <v>97</v>
      </c>
      <c r="J212" t="s">
        <v>88</v>
      </c>
      <c r="K212" t="s">
        <v>88</v>
      </c>
      <c r="L212" t="s">
        <v>88</v>
      </c>
      <c r="M212" t="s">
        <v>88</v>
      </c>
      <c r="N212" t="s">
        <v>88</v>
      </c>
      <c r="O212">
        <v>211</v>
      </c>
      <c r="P212" t="s">
        <v>88</v>
      </c>
      <c r="Q212" t="s">
        <v>88</v>
      </c>
      <c r="R212" t="s">
        <v>92</v>
      </c>
    </row>
    <row r="213" spans="2:18" x14ac:dyDescent="0.25">
      <c r="B213" t="s">
        <v>401</v>
      </c>
      <c r="C213" t="s">
        <v>139</v>
      </c>
      <c r="D213" t="s">
        <v>88</v>
      </c>
      <c r="E213" t="s">
        <v>88</v>
      </c>
      <c r="F213" t="s">
        <v>88</v>
      </c>
      <c r="G213" t="s">
        <v>89</v>
      </c>
      <c r="H213" t="s">
        <v>90</v>
      </c>
      <c r="I213" t="s">
        <v>109</v>
      </c>
      <c r="J213" t="s">
        <v>88</v>
      </c>
      <c r="K213" t="s">
        <v>88</v>
      </c>
      <c r="L213" t="s">
        <v>88</v>
      </c>
      <c r="M213" t="s">
        <v>88</v>
      </c>
      <c r="N213" t="s">
        <v>88</v>
      </c>
      <c r="O213">
        <v>212</v>
      </c>
      <c r="P213" t="s">
        <v>88</v>
      </c>
      <c r="Q213" t="s">
        <v>88</v>
      </c>
      <c r="R213" t="s">
        <v>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L215"/>
  <sheetViews>
    <sheetView workbookViewId="0">
      <selection activeCell="A4" sqref="A4:AJ215"/>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8" x14ac:dyDescent="0.25">
      <c r="C1" s="7"/>
      <c r="D1" s="8"/>
      <c r="E1" s="8"/>
      <c r="F1" s="8"/>
      <c r="G1" s="8"/>
      <c r="H1" s="8"/>
      <c r="I1" s="8"/>
    </row>
    <row r="2" spans="1:38"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8"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8" x14ac:dyDescent="0.25">
      <c r="B4" t="s">
        <v>88</v>
      </c>
      <c r="C4" t="s">
        <v>88</v>
      </c>
      <c r="D4" t="s">
        <v>88</v>
      </c>
      <c r="E4" t="s">
        <v>88</v>
      </c>
      <c r="F4" t="s">
        <v>88</v>
      </c>
      <c r="G4" t="s">
        <v>88</v>
      </c>
      <c r="H4" t="s">
        <v>88</v>
      </c>
      <c r="I4" t="s">
        <v>88</v>
      </c>
      <c r="J4" t="s">
        <v>88</v>
      </c>
      <c r="K4" t="s">
        <v>88</v>
      </c>
      <c r="L4" t="s">
        <v>402</v>
      </c>
      <c r="M4" t="s">
        <v>88</v>
      </c>
      <c r="N4" t="s">
        <v>88</v>
      </c>
      <c r="O4" t="s">
        <v>88</v>
      </c>
      <c r="P4" t="s">
        <v>88</v>
      </c>
      <c r="Q4" t="s">
        <v>88</v>
      </c>
      <c r="R4" t="s">
        <v>88</v>
      </c>
      <c r="S4" t="s">
        <v>88</v>
      </c>
      <c r="T4" t="s">
        <v>88</v>
      </c>
      <c r="U4" t="s">
        <v>88</v>
      </c>
      <c r="V4" t="s">
        <v>88</v>
      </c>
      <c r="W4" t="s">
        <v>89</v>
      </c>
      <c r="X4" t="s">
        <v>88</v>
      </c>
      <c r="Y4" t="s">
        <v>90</v>
      </c>
      <c r="Z4" t="s">
        <v>91</v>
      </c>
      <c r="AA4" t="s">
        <v>88</v>
      </c>
      <c r="AB4" t="s">
        <v>88</v>
      </c>
      <c r="AC4" t="s">
        <v>88</v>
      </c>
      <c r="AD4" t="s">
        <v>88</v>
      </c>
      <c r="AE4" t="str">
        <f>HYPERLINK("file:///C:/rest_photo/@'li Burger, Yeşilyurt (İnönü Mah. - İnönü Cad.).jpg","@'li Burger, Yeşilyurt (İnönü Mah. - İnönü Cad.)")</f>
        <v>@'li Burger, Yeşilyurt (İnönü Mah. - İnönü Cad.)</v>
      </c>
      <c r="AF4" t="s">
        <v>403</v>
      </c>
      <c r="AG4" t="s">
        <v>79</v>
      </c>
      <c r="AH4" t="s">
        <v>88</v>
      </c>
      <c r="AI4" t="s">
        <v>88</v>
      </c>
      <c r="AJ4" t="s">
        <v>92</v>
      </c>
      <c r="AK4" s="2"/>
      <c r="AL4" s="2"/>
    </row>
    <row r="5" spans="1:38" x14ac:dyDescent="0.25">
      <c r="B5" t="s">
        <v>88</v>
      </c>
      <c r="C5" t="s">
        <v>88</v>
      </c>
      <c r="D5" t="s">
        <v>88</v>
      </c>
      <c r="E5" t="s">
        <v>88</v>
      </c>
      <c r="F5" t="s">
        <v>88</v>
      </c>
      <c r="G5" t="s">
        <v>88</v>
      </c>
      <c r="H5" t="s">
        <v>88</v>
      </c>
      <c r="I5" t="s">
        <v>88</v>
      </c>
      <c r="J5" t="s">
        <v>88</v>
      </c>
      <c r="K5" t="s">
        <v>88</v>
      </c>
      <c r="L5" t="s">
        <v>402</v>
      </c>
      <c r="M5" t="s">
        <v>88</v>
      </c>
      <c r="N5" t="s">
        <v>88</v>
      </c>
      <c r="O5" t="s">
        <v>88</v>
      </c>
      <c r="P5" t="s">
        <v>88</v>
      </c>
      <c r="Q5" t="s">
        <v>88</v>
      </c>
      <c r="R5" t="s">
        <v>88</v>
      </c>
      <c r="S5" t="s">
        <v>88</v>
      </c>
      <c r="T5" t="s">
        <v>88</v>
      </c>
      <c r="U5" t="s">
        <v>88</v>
      </c>
      <c r="V5" t="s">
        <v>88</v>
      </c>
      <c r="W5" t="s">
        <v>89</v>
      </c>
      <c r="X5" t="s">
        <v>88</v>
      </c>
      <c r="Y5" t="s">
        <v>90</v>
      </c>
      <c r="Z5" t="s">
        <v>94</v>
      </c>
      <c r="AA5" t="s">
        <v>88</v>
      </c>
      <c r="AB5" t="s">
        <v>88</v>
      </c>
      <c r="AC5" t="s">
        <v>88</v>
      </c>
      <c r="AD5" t="s">
        <v>88</v>
      </c>
      <c r="AE5" t="str">
        <f>HYPERLINK("file:///C:/rest_photo/@'li Burger, Yeşilyurt (İnönü Mah. - Malatya Park Avm).jpg","@'li Burger, Yeşilyurt (İnönü Mah. - Malatya Park Avm)")</f>
        <v>@'li Burger, Yeşilyurt (İnönü Mah. - Malatya Park Avm)</v>
      </c>
      <c r="AF5" t="s">
        <v>81</v>
      </c>
      <c r="AG5" t="s">
        <v>79</v>
      </c>
      <c r="AH5" t="s">
        <v>88</v>
      </c>
      <c r="AI5" t="s">
        <v>88</v>
      </c>
      <c r="AJ5" t="s">
        <v>92</v>
      </c>
      <c r="AK5" s="2"/>
      <c r="AL5" s="2"/>
    </row>
    <row r="6" spans="1:38" x14ac:dyDescent="0.25">
      <c r="B6" t="s">
        <v>88</v>
      </c>
      <c r="C6" t="s">
        <v>88</v>
      </c>
      <c r="D6" t="s">
        <v>88</v>
      </c>
      <c r="E6" t="s">
        <v>88</v>
      </c>
      <c r="F6" t="s">
        <v>88</v>
      </c>
      <c r="G6" t="s">
        <v>88</v>
      </c>
      <c r="H6" t="s">
        <v>88</v>
      </c>
      <c r="I6" t="s">
        <v>88</v>
      </c>
      <c r="J6" t="s">
        <v>88</v>
      </c>
      <c r="K6" t="s">
        <v>88</v>
      </c>
      <c r="L6" t="s">
        <v>404</v>
      </c>
      <c r="M6" t="s">
        <v>88</v>
      </c>
      <c r="N6" t="s">
        <v>88</v>
      </c>
      <c r="O6" t="s">
        <v>88</v>
      </c>
      <c r="P6" t="s">
        <v>88</v>
      </c>
      <c r="Q6" t="s">
        <v>88</v>
      </c>
      <c r="R6" t="s">
        <v>88</v>
      </c>
      <c r="S6" t="s">
        <v>88</v>
      </c>
      <c r="T6" t="s">
        <v>88</v>
      </c>
      <c r="U6" t="s">
        <v>88</v>
      </c>
      <c r="V6" t="s">
        <v>88</v>
      </c>
      <c r="W6" t="s">
        <v>89</v>
      </c>
      <c r="X6" t="s">
        <v>88</v>
      </c>
      <c r="Y6" t="s">
        <v>90</v>
      </c>
      <c r="Z6" t="s">
        <v>97</v>
      </c>
      <c r="AA6" t="s">
        <v>88</v>
      </c>
      <c r="AB6" t="s">
        <v>88</v>
      </c>
      <c r="AC6" t="s">
        <v>88</v>
      </c>
      <c r="AD6" t="s">
        <v>88</v>
      </c>
      <c r="AE6" t="str">
        <f>HYPERLINK("file:///C:/rest_photo/1991 Tarihi Ortaköy Kumpircisi, Yeşilyurt (Tecde Mah.).jpg","1991 Tarihi Ortaköy Kumpircisi, Yeşilyurt (Tecde Mah.)")</f>
        <v>1991 Tarihi Ortaköy Kumpircisi, Yeşilyurt (Tecde Mah.)</v>
      </c>
      <c r="AF6" t="s">
        <v>81</v>
      </c>
      <c r="AG6" t="s">
        <v>96</v>
      </c>
      <c r="AH6" t="s">
        <v>88</v>
      </c>
      <c r="AI6" t="s">
        <v>88</v>
      </c>
      <c r="AJ6" t="s">
        <v>92</v>
      </c>
      <c r="AK6" s="2"/>
      <c r="AL6" s="2"/>
    </row>
    <row r="7" spans="1:38" x14ac:dyDescent="0.25">
      <c r="B7" t="s">
        <v>88</v>
      </c>
      <c r="C7" t="s">
        <v>88</v>
      </c>
      <c r="D7" t="s">
        <v>88</v>
      </c>
      <c r="E7" t="s">
        <v>88</v>
      </c>
      <c r="F7" t="s">
        <v>88</v>
      </c>
      <c r="G7" t="s">
        <v>88</v>
      </c>
      <c r="H7" t="s">
        <v>88</v>
      </c>
      <c r="I7" t="s">
        <v>88</v>
      </c>
      <c r="J7" t="s">
        <v>88</v>
      </c>
      <c r="K7" t="s">
        <v>88</v>
      </c>
      <c r="L7" t="s">
        <v>405</v>
      </c>
      <c r="M7" t="s">
        <v>88</v>
      </c>
      <c r="N7" t="s">
        <v>88</v>
      </c>
      <c r="O7" t="s">
        <v>88</v>
      </c>
      <c r="P7" t="s">
        <v>88</v>
      </c>
      <c r="Q7" t="s">
        <v>88</v>
      </c>
      <c r="R7" t="s">
        <v>88</v>
      </c>
      <c r="S7" t="s">
        <v>88</v>
      </c>
      <c r="T7" t="s">
        <v>88</v>
      </c>
      <c r="U7" t="s">
        <v>88</v>
      </c>
      <c r="V7" t="s">
        <v>88</v>
      </c>
      <c r="W7" t="s">
        <v>89</v>
      </c>
      <c r="X7" t="s">
        <v>88</v>
      </c>
      <c r="Y7" t="s">
        <v>100</v>
      </c>
      <c r="Z7" t="s">
        <v>101</v>
      </c>
      <c r="AA7" t="s">
        <v>88</v>
      </c>
      <c r="AB7" t="s">
        <v>88</v>
      </c>
      <c r="AC7" t="s">
        <v>88</v>
      </c>
      <c r="AD7" t="s">
        <v>88</v>
      </c>
      <c r="AE7" t="str">
        <f>HYPERLINK("file:///C:/rest_photo/7 Lokma, Battalgazi (Kernek Mah. - Kanalboyu Cad.).jpg","7 Lokma, Battalgazi (Kernek Mah. - Kanalboyu Cad.)")</f>
        <v>7 Lokma, Battalgazi (Kernek Mah. - Kanalboyu Cad.)</v>
      </c>
      <c r="AF7" t="s">
        <v>406</v>
      </c>
      <c r="AG7" t="s">
        <v>99</v>
      </c>
      <c r="AH7" t="s">
        <v>88</v>
      </c>
      <c r="AI7" t="s">
        <v>88</v>
      </c>
      <c r="AJ7" t="s">
        <v>92</v>
      </c>
    </row>
    <row r="8" spans="1:38" x14ac:dyDescent="0.25">
      <c r="B8" t="s">
        <v>88</v>
      </c>
      <c r="C8" t="s">
        <v>88</v>
      </c>
      <c r="D8" t="s">
        <v>88</v>
      </c>
      <c r="E8" t="s">
        <v>88</v>
      </c>
      <c r="F8" t="s">
        <v>88</v>
      </c>
      <c r="G8" t="s">
        <v>88</v>
      </c>
      <c r="H8" t="s">
        <v>88</v>
      </c>
      <c r="I8" t="s">
        <v>88</v>
      </c>
      <c r="J8" t="s">
        <v>88</v>
      </c>
      <c r="K8" t="s">
        <v>88</v>
      </c>
      <c r="L8" t="s">
        <v>407</v>
      </c>
      <c r="M8" t="s">
        <v>88</v>
      </c>
      <c r="N8" t="s">
        <v>88</v>
      </c>
      <c r="O8" t="s">
        <v>88</v>
      </c>
      <c r="P8" t="s">
        <v>88</v>
      </c>
      <c r="Q8" t="s">
        <v>88</v>
      </c>
      <c r="R8" t="s">
        <v>88</v>
      </c>
      <c r="S8" t="s">
        <v>88</v>
      </c>
      <c r="T8" t="s">
        <v>88</v>
      </c>
      <c r="U8" t="s">
        <v>88</v>
      </c>
      <c r="V8" t="s">
        <v>88</v>
      </c>
      <c r="W8" t="s">
        <v>89</v>
      </c>
      <c r="X8" t="s">
        <v>88</v>
      </c>
      <c r="Y8" t="s">
        <v>100</v>
      </c>
      <c r="Z8" t="s">
        <v>104</v>
      </c>
      <c r="AA8" t="s">
        <v>88</v>
      </c>
      <c r="AB8" t="s">
        <v>88</v>
      </c>
      <c r="AC8" t="s">
        <v>88</v>
      </c>
      <c r="AD8" t="s">
        <v>88</v>
      </c>
      <c r="AE8" t="str">
        <f>HYPERLINK("file:///C:/rest_photo/Abooov Kebap &amp; Dürüm, Battalgazi (Akpınar Mah.).jpg","Abooov Kebap &amp; Dürüm, Battalgazi (Akpınar Mah.)")</f>
        <v>Abooov Kebap &amp; Dürüm, Battalgazi (Akpınar Mah.)</v>
      </c>
      <c r="AF8" t="s">
        <v>403</v>
      </c>
      <c r="AG8" t="s">
        <v>103</v>
      </c>
      <c r="AH8" t="s">
        <v>88</v>
      </c>
      <c r="AI8" t="s">
        <v>88</v>
      </c>
      <c r="AJ8" t="s">
        <v>92</v>
      </c>
    </row>
    <row r="9" spans="1:38" x14ac:dyDescent="0.25">
      <c r="B9" t="s">
        <v>88</v>
      </c>
      <c r="C9" t="s">
        <v>88</v>
      </c>
      <c r="D9" t="s">
        <v>88</v>
      </c>
      <c r="E9" t="s">
        <v>88</v>
      </c>
      <c r="F9" t="s">
        <v>88</v>
      </c>
      <c r="G9" t="s">
        <v>88</v>
      </c>
      <c r="H9" t="s">
        <v>88</v>
      </c>
      <c r="I9" t="s">
        <v>88</v>
      </c>
      <c r="J9" t="s">
        <v>88</v>
      </c>
      <c r="K9" t="s">
        <v>88</v>
      </c>
      <c r="L9" t="s">
        <v>408</v>
      </c>
      <c r="M9" t="s">
        <v>88</v>
      </c>
      <c r="N9" t="s">
        <v>88</v>
      </c>
      <c r="O9" t="s">
        <v>88</v>
      </c>
      <c r="P9" t="s">
        <v>88</v>
      </c>
      <c r="Q9" t="s">
        <v>88</v>
      </c>
      <c r="R9" t="s">
        <v>88</v>
      </c>
      <c r="S9" t="s">
        <v>88</v>
      </c>
      <c r="T9" t="s">
        <v>88</v>
      </c>
      <c r="U9" t="s">
        <v>88</v>
      </c>
      <c r="V9" t="s">
        <v>88</v>
      </c>
      <c r="W9" t="s">
        <v>89</v>
      </c>
      <c r="X9" t="s">
        <v>88</v>
      </c>
      <c r="Y9" t="s">
        <v>100</v>
      </c>
      <c r="Z9" t="s">
        <v>107</v>
      </c>
      <c r="AA9" t="s">
        <v>88</v>
      </c>
      <c r="AB9" t="s">
        <v>88</v>
      </c>
      <c r="AC9" t="s">
        <v>88</v>
      </c>
      <c r="AD9" t="s">
        <v>88</v>
      </c>
      <c r="AE9" t="str">
        <f>HYPERLINK("file:///C:/rest_photo/Acım Çiğ Köfte, Battalgazi (Fırat Mah.).jpg","Acım Çiğ Köfte, Battalgazi (Fırat Mah.)")</f>
        <v>Acım Çiğ Köfte, Battalgazi (Fırat Mah.)</v>
      </c>
      <c r="AF9" t="s">
        <v>409</v>
      </c>
      <c r="AG9" t="s">
        <v>106</v>
      </c>
      <c r="AH9" t="s">
        <v>88</v>
      </c>
      <c r="AI9" t="s">
        <v>88</v>
      </c>
      <c r="AJ9" t="s">
        <v>92</v>
      </c>
    </row>
    <row r="10" spans="1:38" x14ac:dyDescent="0.25">
      <c r="B10" t="s">
        <v>88</v>
      </c>
      <c r="C10" t="s">
        <v>88</v>
      </c>
      <c r="D10" t="s">
        <v>88</v>
      </c>
      <c r="E10" t="s">
        <v>88</v>
      </c>
      <c r="F10" t="s">
        <v>88</v>
      </c>
      <c r="G10" t="s">
        <v>88</v>
      </c>
      <c r="H10" t="s">
        <v>88</v>
      </c>
      <c r="I10" t="s">
        <v>88</v>
      </c>
      <c r="J10" t="s">
        <v>88</v>
      </c>
      <c r="K10" t="s">
        <v>88</v>
      </c>
      <c r="L10" t="s">
        <v>408</v>
      </c>
      <c r="M10" t="s">
        <v>88</v>
      </c>
      <c r="N10" t="s">
        <v>88</v>
      </c>
      <c r="O10" t="s">
        <v>88</v>
      </c>
      <c r="P10" t="s">
        <v>88</v>
      </c>
      <c r="Q10" t="s">
        <v>88</v>
      </c>
      <c r="R10" t="s">
        <v>88</v>
      </c>
      <c r="S10" t="s">
        <v>88</v>
      </c>
      <c r="T10" t="s">
        <v>88</v>
      </c>
      <c r="U10" t="s">
        <v>88</v>
      </c>
      <c r="V10" t="s">
        <v>88</v>
      </c>
      <c r="W10" t="s">
        <v>89</v>
      </c>
      <c r="X10" t="s">
        <v>88</v>
      </c>
      <c r="Y10" t="s">
        <v>90</v>
      </c>
      <c r="Z10" t="s">
        <v>109</v>
      </c>
      <c r="AA10" t="s">
        <v>88</v>
      </c>
      <c r="AB10" t="s">
        <v>88</v>
      </c>
      <c r="AC10" t="s">
        <v>88</v>
      </c>
      <c r="AD10" t="s">
        <v>88</v>
      </c>
      <c r="AE10" t="str">
        <f>HYPERLINK("file:///C:/rest_photo/Acım Çiğ Köfte, Yeşilyurt (Bostanbaşı Mah.).jpg","Acım Çiğ Köfte, Yeşilyurt (Bostanbaşı Mah.)")</f>
        <v>Acım Çiğ Köfte, Yeşilyurt (Bostanbaşı Mah.)</v>
      </c>
      <c r="AF10" t="s">
        <v>81</v>
      </c>
      <c r="AG10" t="s">
        <v>106</v>
      </c>
      <c r="AH10" t="s">
        <v>88</v>
      </c>
      <c r="AI10" t="s">
        <v>88</v>
      </c>
      <c r="AJ10" t="s">
        <v>92</v>
      </c>
    </row>
    <row r="11" spans="1:38" x14ac:dyDescent="0.25">
      <c r="B11" t="s">
        <v>88</v>
      </c>
      <c r="C11" t="s">
        <v>88</v>
      </c>
      <c r="D11" t="s">
        <v>88</v>
      </c>
      <c r="E11" t="s">
        <v>88</v>
      </c>
      <c r="F11" t="s">
        <v>88</v>
      </c>
      <c r="G11" t="s">
        <v>88</v>
      </c>
      <c r="H11" t="s">
        <v>88</v>
      </c>
      <c r="I11" t="s">
        <v>88</v>
      </c>
      <c r="J11" t="s">
        <v>88</v>
      </c>
      <c r="K11" t="s">
        <v>88</v>
      </c>
      <c r="L11" t="s">
        <v>410</v>
      </c>
      <c r="M11" t="s">
        <v>88</v>
      </c>
      <c r="N11" t="s">
        <v>88</v>
      </c>
      <c r="O11" t="s">
        <v>88</v>
      </c>
      <c r="P11" t="s">
        <v>88</v>
      </c>
      <c r="Q11" t="s">
        <v>88</v>
      </c>
      <c r="R11" t="s">
        <v>88</v>
      </c>
      <c r="S11" t="s">
        <v>88</v>
      </c>
      <c r="T11" t="s">
        <v>88</v>
      </c>
      <c r="U11" t="s">
        <v>88</v>
      </c>
      <c r="V11" t="s">
        <v>88</v>
      </c>
      <c r="W11" t="s">
        <v>89</v>
      </c>
      <c r="X11" t="s">
        <v>88</v>
      </c>
      <c r="Y11" t="s">
        <v>90</v>
      </c>
      <c r="Z11" t="s">
        <v>111</v>
      </c>
      <c r="AA11" t="s">
        <v>88</v>
      </c>
      <c r="AB11" t="s">
        <v>88</v>
      </c>
      <c r="AC11" t="s">
        <v>88</v>
      </c>
      <c r="AD11" t="s">
        <v>88</v>
      </c>
      <c r="AE11" t="str">
        <f>HYPERLINK("file:///C:/rest_photo/Adana Ciğer 01, Yeşilyurt (Turgut Özal Mah.).jpg","Adana Ciğer 01, Yeşilyurt (Turgut Özal Mah.)")</f>
        <v>Adana Ciğer 01, Yeşilyurt (Turgut Özal Mah.)</v>
      </c>
      <c r="AF11" t="s">
        <v>81</v>
      </c>
      <c r="AG11" t="s">
        <v>103</v>
      </c>
      <c r="AH11" t="s">
        <v>88</v>
      </c>
      <c r="AI11" t="s">
        <v>88</v>
      </c>
      <c r="AJ11" t="s">
        <v>92</v>
      </c>
    </row>
    <row r="12" spans="1:38" x14ac:dyDescent="0.25">
      <c r="B12" t="s">
        <v>88</v>
      </c>
      <c r="C12" t="s">
        <v>88</v>
      </c>
      <c r="D12" t="s">
        <v>88</v>
      </c>
      <c r="E12" t="s">
        <v>88</v>
      </c>
      <c r="F12" t="s">
        <v>88</v>
      </c>
      <c r="G12" t="s">
        <v>88</v>
      </c>
      <c r="H12" t="s">
        <v>88</v>
      </c>
      <c r="I12" t="s">
        <v>88</v>
      </c>
      <c r="J12" t="s">
        <v>88</v>
      </c>
      <c r="K12" t="s">
        <v>88</v>
      </c>
      <c r="L12" t="s">
        <v>411</v>
      </c>
      <c r="M12" t="s">
        <v>88</v>
      </c>
      <c r="N12" t="s">
        <v>88</v>
      </c>
      <c r="O12" t="s">
        <v>88</v>
      </c>
      <c r="P12" t="s">
        <v>88</v>
      </c>
      <c r="Q12" t="s">
        <v>88</v>
      </c>
      <c r="R12" t="s">
        <v>88</v>
      </c>
      <c r="S12" t="s">
        <v>88</v>
      </c>
      <c r="T12" t="s">
        <v>88</v>
      </c>
      <c r="U12" t="s">
        <v>88</v>
      </c>
      <c r="V12" t="s">
        <v>88</v>
      </c>
      <c r="W12" t="s">
        <v>89</v>
      </c>
      <c r="X12" t="s">
        <v>88</v>
      </c>
      <c r="Y12" t="s">
        <v>90</v>
      </c>
      <c r="Z12" t="s">
        <v>113</v>
      </c>
      <c r="AA12" t="s">
        <v>88</v>
      </c>
      <c r="AB12" t="s">
        <v>88</v>
      </c>
      <c r="AC12" t="s">
        <v>88</v>
      </c>
      <c r="AD12" t="s">
        <v>88</v>
      </c>
      <c r="AE12" t="str">
        <f>HYPERLINK("file:///C:/rest_photo/Adıyaman Çiğ Köftecisi Haşim Usta, Yeşilyurt (Çilesiz Mah. - Fahri Kayahan Blv.).jpg","Adıyaman Çiğ Köftecisi Haşim Usta, Yeşilyurt (Çilesiz Mah. - Fahri Kayahan Blv.)")</f>
        <v>Adıyaman Çiğ Köftecisi Haşim Usta, Yeşilyurt (Çilesiz Mah. - Fahri Kayahan Blv.)</v>
      </c>
      <c r="AF12" t="s">
        <v>81</v>
      </c>
      <c r="AG12" t="s">
        <v>106</v>
      </c>
      <c r="AH12" t="s">
        <v>88</v>
      </c>
      <c r="AI12" t="s">
        <v>88</v>
      </c>
      <c r="AJ12" t="s">
        <v>92</v>
      </c>
    </row>
    <row r="13" spans="1:38" x14ac:dyDescent="0.25">
      <c r="B13" t="s">
        <v>88</v>
      </c>
      <c r="C13" t="s">
        <v>88</v>
      </c>
      <c r="D13" t="s">
        <v>88</v>
      </c>
      <c r="E13" t="s">
        <v>88</v>
      </c>
      <c r="F13" t="s">
        <v>88</v>
      </c>
      <c r="G13" t="s">
        <v>88</v>
      </c>
      <c r="H13" t="s">
        <v>88</v>
      </c>
      <c r="I13" t="s">
        <v>88</v>
      </c>
      <c r="J13" t="s">
        <v>88</v>
      </c>
      <c r="K13" t="s">
        <v>88</v>
      </c>
      <c r="L13" t="s">
        <v>412</v>
      </c>
      <c r="M13" t="s">
        <v>88</v>
      </c>
      <c r="N13" t="s">
        <v>88</v>
      </c>
      <c r="O13" t="s">
        <v>88</v>
      </c>
      <c r="P13" t="s">
        <v>88</v>
      </c>
      <c r="Q13" t="s">
        <v>88</v>
      </c>
      <c r="R13" t="s">
        <v>88</v>
      </c>
      <c r="S13" t="s">
        <v>88</v>
      </c>
      <c r="T13" t="s">
        <v>88</v>
      </c>
      <c r="U13" t="s">
        <v>88</v>
      </c>
      <c r="V13" t="s">
        <v>88</v>
      </c>
      <c r="W13" t="s">
        <v>89</v>
      </c>
      <c r="X13" t="s">
        <v>88</v>
      </c>
      <c r="Y13" t="s">
        <v>90</v>
      </c>
      <c r="Z13" t="s">
        <v>97</v>
      </c>
      <c r="AA13" t="s">
        <v>88</v>
      </c>
      <c r="AB13" t="s">
        <v>88</v>
      </c>
      <c r="AC13" t="s">
        <v>88</v>
      </c>
      <c r="AD13" t="s">
        <v>88</v>
      </c>
      <c r="AE13" t="str">
        <f>HYPERLINK("file:///C:/rest_photo/Adıyaman Çiğ Köftecisi Mehmet Usta, Yeşilyurt (Tecde Mah.).jpg","Adıyaman Çiğ Köftecisi Mehmet Usta, Yeşilyurt (Tecde Mah.)")</f>
        <v>Adıyaman Çiğ Köftecisi Mehmet Usta, Yeşilyurt (Tecde Mah.)</v>
      </c>
      <c r="AF13" t="s">
        <v>403</v>
      </c>
      <c r="AG13" t="s">
        <v>106</v>
      </c>
      <c r="AH13" t="s">
        <v>88</v>
      </c>
      <c r="AI13" t="s">
        <v>88</v>
      </c>
      <c r="AJ13" t="s">
        <v>92</v>
      </c>
    </row>
    <row r="14" spans="1:38" x14ac:dyDescent="0.25">
      <c r="B14" t="s">
        <v>88</v>
      </c>
      <c r="C14" t="s">
        <v>88</v>
      </c>
      <c r="D14" t="s">
        <v>88</v>
      </c>
      <c r="E14" t="s">
        <v>88</v>
      </c>
      <c r="F14" t="s">
        <v>88</v>
      </c>
      <c r="G14" t="s">
        <v>88</v>
      </c>
      <c r="H14" t="s">
        <v>88</v>
      </c>
      <c r="I14" t="s">
        <v>88</v>
      </c>
      <c r="J14" t="s">
        <v>88</v>
      </c>
      <c r="K14" t="s">
        <v>88</v>
      </c>
      <c r="L14" t="s">
        <v>413</v>
      </c>
      <c r="M14" t="s">
        <v>88</v>
      </c>
      <c r="N14" t="s">
        <v>88</v>
      </c>
      <c r="O14" t="s">
        <v>88</v>
      </c>
      <c r="P14" t="s">
        <v>88</v>
      </c>
      <c r="Q14" t="s">
        <v>88</v>
      </c>
      <c r="R14" t="s">
        <v>88</v>
      </c>
      <c r="S14" t="s">
        <v>88</v>
      </c>
      <c r="T14" t="s">
        <v>88</v>
      </c>
      <c r="U14" t="s">
        <v>88</v>
      </c>
      <c r="V14" t="s">
        <v>88</v>
      </c>
      <c r="W14" t="s">
        <v>89</v>
      </c>
      <c r="X14" t="s">
        <v>88</v>
      </c>
      <c r="Y14" t="s">
        <v>100</v>
      </c>
      <c r="Z14" t="s">
        <v>116</v>
      </c>
      <c r="AA14" t="s">
        <v>88</v>
      </c>
      <c r="AB14" t="s">
        <v>88</v>
      </c>
      <c r="AC14" t="s">
        <v>88</v>
      </c>
      <c r="AD14" t="s">
        <v>88</v>
      </c>
      <c r="AE14" t="str">
        <f>HYPERLINK("file:///C:/rest_photo/Adıyaman Çiğ Köftecisi Ramazan Doğru, Battalgazi (Üçbağlar Mah.).jpg","Adıyaman Çiğ Köftecisi Ramazan Doğru, Battalgazi (Üçbağlar Mah.)")</f>
        <v>Adıyaman Çiğ Köftecisi Ramazan Doğru, Battalgazi (Üçbağlar Mah.)</v>
      </c>
      <c r="AF14" t="s">
        <v>81</v>
      </c>
      <c r="AG14" t="s">
        <v>106</v>
      </c>
      <c r="AH14" t="s">
        <v>88</v>
      </c>
      <c r="AI14" t="s">
        <v>88</v>
      </c>
      <c r="AJ14" t="s">
        <v>92</v>
      </c>
    </row>
    <row r="15" spans="1:38" x14ac:dyDescent="0.25">
      <c r="B15" t="s">
        <v>88</v>
      </c>
      <c r="C15" t="s">
        <v>88</v>
      </c>
      <c r="D15" t="s">
        <v>88</v>
      </c>
      <c r="E15" t="s">
        <v>88</v>
      </c>
      <c r="F15" t="s">
        <v>88</v>
      </c>
      <c r="G15" t="s">
        <v>88</v>
      </c>
      <c r="H15" t="s">
        <v>88</v>
      </c>
      <c r="I15" t="s">
        <v>88</v>
      </c>
      <c r="J15" t="s">
        <v>88</v>
      </c>
      <c r="K15" t="s">
        <v>88</v>
      </c>
      <c r="L15" t="s">
        <v>414</v>
      </c>
      <c r="M15" t="s">
        <v>88</v>
      </c>
      <c r="N15" t="s">
        <v>88</v>
      </c>
      <c r="O15" t="s">
        <v>88</v>
      </c>
      <c r="P15" t="s">
        <v>88</v>
      </c>
      <c r="Q15" t="s">
        <v>88</v>
      </c>
      <c r="R15" t="s">
        <v>88</v>
      </c>
      <c r="S15" t="s">
        <v>88</v>
      </c>
      <c r="T15" t="s">
        <v>88</v>
      </c>
      <c r="U15" t="s">
        <v>88</v>
      </c>
      <c r="V15" t="s">
        <v>88</v>
      </c>
      <c r="W15" t="s">
        <v>89</v>
      </c>
      <c r="X15" t="s">
        <v>88</v>
      </c>
      <c r="Y15" t="s">
        <v>90</v>
      </c>
      <c r="Z15" t="s">
        <v>118</v>
      </c>
      <c r="AA15" t="s">
        <v>88</v>
      </c>
      <c r="AB15" t="s">
        <v>88</v>
      </c>
      <c r="AC15" t="s">
        <v>88</v>
      </c>
      <c r="AD15" t="s">
        <v>88</v>
      </c>
      <c r="AE15" t="str">
        <f>HYPERLINK("file:///C:/rest_photo/Adıyaman Çiğ Köftecisi Şerif Orhan, Yeşilyurt (Çavuşoğlu Mah.).jpg","Adıyaman Çiğ Köftecisi Şerif Orhan, Yeşilyurt (Çavuşoğlu Mah.)")</f>
        <v>Adıyaman Çiğ Köftecisi Şerif Orhan, Yeşilyurt (Çavuşoğlu Mah.)</v>
      </c>
      <c r="AF15" t="s">
        <v>403</v>
      </c>
      <c r="AG15" t="s">
        <v>106</v>
      </c>
      <c r="AH15" t="s">
        <v>88</v>
      </c>
      <c r="AI15" t="s">
        <v>88</v>
      </c>
      <c r="AJ15" t="s">
        <v>92</v>
      </c>
    </row>
    <row r="16" spans="1:38" x14ac:dyDescent="0.25">
      <c r="B16" t="s">
        <v>88</v>
      </c>
      <c r="C16" t="s">
        <v>88</v>
      </c>
      <c r="D16" t="s">
        <v>88</v>
      </c>
      <c r="E16" t="s">
        <v>88</v>
      </c>
      <c r="F16" t="s">
        <v>88</v>
      </c>
      <c r="G16" t="s">
        <v>88</v>
      </c>
      <c r="H16" t="s">
        <v>88</v>
      </c>
      <c r="I16" t="s">
        <v>88</v>
      </c>
      <c r="J16" t="s">
        <v>88</v>
      </c>
      <c r="K16" t="s">
        <v>88</v>
      </c>
      <c r="L16" t="s">
        <v>415</v>
      </c>
      <c r="M16" t="s">
        <v>88</v>
      </c>
      <c r="N16" t="s">
        <v>88</v>
      </c>
      <c r="O16" t="s">
        <v>88</v>
      </c>
      <c r="P16" t="s">
        <v>88</v>
      </c>
      <c r="Q16" t="s">
        <v>88</v>
      </c>
      <c r="R16" t="s">
        <v>88</v>
      </c>
      <c r="S16" t="s">
        <v>88</v>
      </c>
      <c r="T16" t="s">
        <v>88</v>
      </c>
      <c r="U16" t="s">
        <v>88</v>
      </c>
      <c r="V16" t="s">
        <v>88</v>
      </c>
      <c r="W16" t="s">
        <v>89</v>
      </c>
      <c r="X16" t="s">
        <v>88</v>
      </c>
      <c r="Y16" t="s">
        <v>100</v>
      </c>
      <c r="Z16" t="s">
        <v>120</v>
      </c>
      <c r="AA16" t="s">
        <v>88</v>
      </c>
      <c r="AB16" t="s">
        <v>88</v>
      </c>
      <c r="AC16" t="s">
        <v>88</v>
      </c>
      <c r="AD16" t="s">
        <v>88</v>
      </c>
      <c r="AE16" t="str">
        <f>HYPERLINK("file:///C:/rest_photo/Adıyamanlıgil Çiğ Köfte, Battalgazi (Saray Mah.).jpg","Adıyamanlıgil Çiğ Köfte, Battalgazi (Saray Mah.)")</f>
        <v>Adıyamanlıgil Çiğ Köfte, Battalgazi (Saray Mah.)</v>
      </c>
      <c r="AF16" t="s">
        <v>81</v>
      </c>
      <c r="AG16" t="s">
        <v>106</v>
      </c>
      <c r="AH16" t="s">
        <v>88</v>
      </c>
      <c r="AI16" t="s">
        <v>88</v>
      </c>
      <c r="AJ16" t="s">
        <v>92</v>
      </c>
    </row>
    <row r="17" spans="2:36" x14ac:dyDescent="0.25">
      <c r="B17" t="s">
        <v>88</v>
      </c>
      <c r="C17" t="s">
        <v>88</v>
      </c>
      <c r="D17" t="s">
        <v>88</v>
      </c>
      <c r="E17" t="s">
        <v>88</v>
      </c>
      <c r="F17" t="s">
        <v>88</v>
      </c>
      <c r="G17" t="s">
        <v>88</v>
      </c>
      <c r="H17" t="s">
        <v>88</v>
      </c>
      <c r="I17" t="s">
        <v>88</v>
      </c>
      <c r="J17" t="s">
        <v>88</v>
      </c>
      <c r="K17" t="s">
        <v>88</v>
      </c>
      <c r="L17" t="s">
        <v>416</v>
      </c>
      <c r="M17" t="s">
        <v>88</v>
      </c>
      <c r="N17" t="s">
        <v>88</v>
      </c>
      <c r="O17" t="s">
        <v>88</v>
      </c>
      <c r="P17" t="s">
        <v>88</v>
      </c>
      <c r="Q17" t="s">
        <v>88</v>
      </c>
      <c r="R17" t="s">
        <v>88</v>
      </c>
      <c r="S17" t="s">
        <v>88</v>
      </c>
      <c r="T17" t="s">
        <v>88</v>
      </c>
      <c r="U17" t="s">
        <v>88</v>
      </c>
      <c r="V17" t="s">
        <v>88</v>
      </c>
      <c r="W17" t="s">
        <v>89</v>
      </c>
      <c r="X17" t="s">
        <v>88</v>
      </c>
      <c r="Y17" t="s">
        <v>100</v>
      </c>
      <c r="Z17" t="s">
        <v>122</v>
      </c>
      <c r="AA17" t="s">
        <v>88</v>
      </c>
      <c r="AB17" t="s">
        <v>88</v>
      </c>
      <c r="AC17" t="s">
        <v>88</v>
      </c>
      <c r="AD17" t="s">
        <v>88</v>
      </c>
      <c r="AE17" t="str">
        <f>HYPERLINK("file:///C:/rest_photo/Adil Usta, Battalgazi (Şifa Mah.).jpg","Adil Usta, Battalgazi (Şifa Mah.)")</f>
        <v>Adil Usta, Battalgazi (Şifa Mah.)</v>
      </c>
      <c r="AF17" t="s">
        <v>403</v>
      </c>
      <c r="AG17" t="s">
        <v>99</v>
      </c>
      <c r="AH17" t="s">
        <v>88</v>
      </c>
      <c r="AI17" t="s">
        <v>88</v>
      </c>
      <c r="AJ17" t="s">
        <v>92</v>
      </c>
    </row>
    <row r="18" spans="2:36" x14ac:dyDescent="0.25">
      <c r="B18" t="s">
        <v>88</v>
      </c>
      <c r="C18" t="s">
        <v>88</v>
      </c>
      <c r="D18" t="s">
        <v>88</v>
      </c>
      <c r="E18" t="s">
        <v>88</v>
      </c>
      <c r="F18" t="s">
        <v>88</v>
      </c>
      <c r="G18" t="s">
        <v>88</v>
      </c>
      <c r="H18" t="s">
        <v>88</v>
      </c>
      <c r="I18" t="s">
        <v>88</v>
      </c>
      <c r="J18" t="s">
        <v>88</v>
      </c>
      <c r="K18" t="s">
        <v>88</v>
      </c>
      <c r="L18" t="s">
        <v>417</v>
      </c>
      <c r="M18" t="s">
        <v>88</v>
      </c>
      <c r="N18" t="s">
        <v>88</v>
      </c>
      <c r="O18" t="s">
        <v>88</v>
      </c>
      <c r="P18" t="s">
        <v>88</v>
      </c>
      <c r="Q18" t="s">
        <v>88</v>
      </c>
      <c r="R18" t="s">
        <v>88</v>
      </c>
      <c r="S18" t="s">
        <v>88</v>
      </c>
      <c r="T18" t="s">
        <v>88</v>
      </c>
      <c r="U18" t="s">
        <v>88</v>
      </c>
      <c r="V18" t="s">
        <v>88</v>
      </c>
      <c r="W18" t="s">
        <v>89</v>
      </c>
      <c r="X18" t="s">
        <v>88</v>
      </c>
      <c r="Y18" t="s">
        <v>100</v>
      </c>
      <c r="Z18" t="s">
        <v>125</v>
      </c>
      <c r="AA18" t="s">
        <v>88</v>
      </c>
      <c r="AB18" t="s">
        <v>88</v>
      </c>
      <c r="AC18" t="s">
        <v>88</v>
      </c>
      <c r="AD18" t="s">
        <v>88</v>
      </c>
      <c r="AE18" t="str">
        <f>HYPERLINK("file:///C:/rest_photo/Ado Dondurma &amp; Pastane, Battalgazi (Kernek Mah.).jpg","Ado Dondurma &amp; Pastane, Battalgazi (Kernek Mah.)")</f>
        <v>Ado Dondurma &amp; Pastane, Battalgazi (Kernek Mah.)</v>
      </c>
      <c r="AF18" t="s">
        <v>406</v>
      </c>
      <c r="AG18" t="s">
        <v>124</v>
      </c>
      <c r="AH18" t="s">
        <v>88</v>
      </c>
      <c r="AI18" t="s">
        <v>88</v>
      </c>
      <c r="AJ18" t="s">
        <v>92</v>
      </c>
    </row>
    <row r="19" spans="2:36" x14ac:dyDescent="0.25">
      <c r="B19" t="s">
        <v>88</v>
      </c>
      <c r="C19" t="s">
        <v>88</v>
      </c>
      <c r="D19" t="s">
        <v>88</v>
      </c>
      <c r="E19" t="s">
        <v>88</v>
      </c>
      <c r="F19" t="s">
        <v>88</v>
      </c>
      <c r="G19" t="s">
        <v>88</v>
      </c>
      <c r="H19" t="s">
        <v>88</v>
      </c>
      <c r="I19" t="s">
        <v>88</v>
      </c>
      <c r="J19" t="s">
        <v>88</v>
      </c>
      <c r="K19" t="s">
        <v>88</v>
      </c>
      <c r="L19" t="s">
        <v>418</v>
      </c>
      <c r="M19" t="s">
        <v>88</v>
      </c>
      <c r="N19" t="s">
        <v>88</v>
      </c>
      <c r="O19" t="s">
        <v>88</v>
      </c>
      <c r="P19" t="s">
        <v>88</v>
      </c>
      <c r="Q19" t="s">
        <v>88</v>
      </c>
      <c r="R19" t="s">
        <v>88</v>
      </c>
      <c r="S19" t="s">
        <v>88</v>
      </c>
      <c r="T19" t="s">
        <v>88</v>
      </c>
      <c r="U19" t="s">
        <v>88</v>
      </c>
      <c r="V19" t="s">
        <v>88</v>
      </c>
      <c r="W19" t="s">
        <v>89</v>
      </c>
      <c r="X19" t="s">
        <v>88</v>
      </c>
      <c r="Y19" t="s">
        <v>100</v>
      </c>
      <c r="Z19" t="s">
        <v>107</v>
      </c>
      <c r="AA19" t="s">
        <v>88</v>
      </c>
      <c r="AB19" t="s">
        <v>88</v>
      </c>
      <c r="AC19" t="s">
        <v>88</v>
      </c>
      <c r="AD19" t="s">
        <v>88</v>
      </c>
      <c r="AE19" t="str">
        <f>HYPERLINK("file:///C:/rest_photo/Ahde Vefa Balık &amp; Tavuk Evi, Battalgazi (Fırat Mah.).jpg","Ahde Vefa Balık &amp; Tavuk Evi, Battalgazi (Fırat Mah.)")</f>
        <v>Ahde Vefa Balık &amp; Tavuk Evi, Battalgazi (Fırat Mah.)</v>
      </c>
      <c r="AF19" t="s">
        <v>406</v>
      </c>
      <c r="AG19" t="s">
        <v>127</v>
      </c>
      <c r="AH19" t="s">
        <v>88</v>
      </c>
      <c r="AI19" t="s">
        <v>88</v>
      </c>
      <c r="AJ19" t="s">
        <v>92</v>
      </c>
    </row>
    <row r="20" spans="2:36" x14ac:dyDescent="0.25">
      <c r="B20" t="s">
        <v>88</v>
      </c>
      <c r="C20" t="s">
        <v>88</v>
      </c>
      <c r="D20" t="s">
        <v>88</v>
      </c>
      <c r="E20" t="s">
        <v>88</v>
      </c>
      <c r="F20" t="s">
        <v>88</v>
      </c>
      <c r="G20" t="s">
        <v>88</v>
      </c>
      <c r="H20" t="s">
        <v>88</v>
      </c>
      <c r="I20" t="s">
        <v>88</v>
      </c>
      <c r="J20" t="s">
        <v>88</v>
      </c>
      <c r="K20" t="s">
        <v>88</v>
      </c>
      <c r="L20" t="s">
        <v>419</v>
      </c>
      <c r="M20" t="s">
        <v>88</v>
      </c>
      <c r="N20" t="s">
        <v>88</v>
      </c>
      <c r="O20" t="s">
        <v>88</v>
      </c>
      <c r="P20" t="s">
        <v>88</v>
      </c>
      <c r="Q20" t="s">
        <v>88</v>
      </c>
      <c r="R20" t="s">
        <v>88</v>
      </c>
      <c r="S20" t="s">
        <v>88</v>
      </c>
      <c r="T20" t="s">
        <v>88</v>
      </c>
      <c r="U20" t="s">
        <v>88</v>
      </c>
      <c r="V20" t="s">
        <v>88</v>
      </c>
      <c r="W20" t="s">
        <v>89</v>
      </c>
      <c r="X20" t="s">
        <v>88</v>
      </c>
      <c r="Y20" t="s">
        <v>90</v>
      </c>
      <c r="Z20" t="s">
        <v>130</v>
      </c>
      <c r="AA20" t="s">
        <v>88</v>
      </c>
      <c r="AB20" t="s">
        <v>88</v>
      </c>
      <c r="AC20" t="s">
        <v>88</v>
      </c>
      <c r="AD20" t="s">
        <v>88</v>
      </c>
      <c r="AE20" t="str">
        <f>HYPERLINK("file:///C:/rest_photo/Alcatraz Exclusive, Yeşilyurt (Samanlı Mah.).jpg","Alcatraz Exclusive, Yeşilyurt (Samanlı Mah.)")</f>
        <v>Alcatraz Exclusive, Yeşilyurt (Samanlı Mah.)</v>
      </c>
      <c r="AF20" t="s">
        <v>403</v>
      </c>
      <c r="AG20" t="s">
        <v>129</v>
      </c>
      <c r="AH20" t="s">
        <v>88</v>
      </c>
      <c r="AI20" t="s">
        <v>88</v>
      </c>
      <c r="AJ20" t="s">
        <v>92</v>
      </c>
    </row>
    <row r="21" spans="2:36" x14ac:dyDescent="0.25">
      <c r="B21" t="s">
        <v>88</v>
      </c>
      <c r="C21" t="s">
        <v>88</v>
      </c>
      <c r="D21" t="s">
        <v>88</v>
      </c>
      <c r="E21" t="s">
        <v>88</v>
      </c>
      <c r="F21" t="s">
        <v>88</v>
      </c>
      <c r="G21" t="s">
        <v>88</v>
      </c>
      <c r="H21" t="s">
        <v>88</v>
      </c>
      <c r="I21" t="s">
        <v>88</v>
      </c>
      <c r="J21" t="s">
        <v>88</v>
      </c>
      <c r="K21" t="s">
        <v>88</v>
      </c>
      <c r="L21" t="s">
        <v>420</v>
      </c>
      <c r="M21" t="s">
        <v>88</v>
      </c>
      <c r="N21" t="s">
        <v>88</v>
      </c>
      <c r="O21" t="s">
        <v>88</v>
      </c>
      <c r="P21" t="s">
        <v>88</v>
      </c>
      <c r="Q21" t="s">
        <v>88</v>
      </c>
      <c r="R21" t="s">
        <v>88</v>
      </c>
      <c r="S21" t="s">
        <v>88</v>
      </c>
      <c r="T21" t="s">
        <v>88</v>
      </c>
      <c r="U21" t="s">
        <v>88</v>
      </c>
      <c r="V21" t="s">
        <v>88</v>
      </c>
      <c r="W21" t="s">
        <v>89</v>
      </c>
      <c r="X21" t="s">
        <v>88</v>
      </c>
      <c r="Y21" t="s">
        <v>100</v>
      </c>
      <c r="Z21" t="s">
        <v>101</v>
      </c>
      <c r="AA21" t="s">
        <v>88</v>
      </c>
      <c r="AB21" t="s">
        <v>88</v>
      </c>
      <c r="AC21" t="s">
        <v>88</v>
      </c>
      <c r="AD21" t="s">
        <v>88</v>
      </c>
      <c r="AE21" t="str">
        <f>HYPERLINK("file:///C:/rest_photo/Alcatraz Friendly, Battalgazi (Kernek Mah. - Kanalboyu Cad.).jpg","Alcatraz Friendly, Battalgazi (Kernek Mah. - Kanalboyu Cad.)")</f>
        <v>Alcatraz Friendly, Battalgazi (Kernek Mah. - Kanalboyu Cad.)</v>
      </c>
      <c r="AF21" t="s">
        <v>421</v>
      </c>
      <c r="AG21" t="s">
        <v>129</v>
      </c>
      <c r="AH21" t="s">
        <v>88</v>
      </c>
      <c r="AI21" t="s">
        <v>88</v>
      </c>
      <c r="AJ21" t="s">
        <v>92</v>
      </c>
    </row>
    <row r="22" spans="2:36" x14ac:dyDescent="0.25">
      <c r="B22" t="s">
        <v>88</v>
      </c>
      <c r="C22" t="s">
        <v>88</v>
      </c>
      <c r="D22" t="s">
        <v>88</v>
      </c>
      <c r="E22" t="s">
        <v>88</v>
      </c>
      <c r="F22" t="s">
        <v>88</v>
      </c>
      <c r="G22" t="s">
        <v>88</v>
      </c>
      <c r="H22" t="s">
        <v>88</v>
      </c>
      <c r="I22" t="s">
        <v>88</v>
      </c>
      <c r="J22" t="s">
        <v>88</v>
      </c>
      <c r="K22" t="s">
        <v>88</v>
      </c>
      <c r="L22" t="s">
        <v>422</v>
      </c>
      <c r="M22" t="s">
        <v>88</v>
      </c>
      <c r="N22" t="s">
        <v>88</v>
      </c>
      <c r="O22" t="s">
        <v>88</v>
      </c>
      <c r="P22" t="s">
        <v>88</v>
      </c>
      <c r="Q22" t="s">
        <v>88</v>
      </c>
      <c r="R22" t="s">
        <v>88</v>
      </c>
      <c r="S22" t="s">
        <v>88</v>
      </c>
      <c r="T22" t="s">
        <v>88</v>
      </c>
      <c r="U22" t="s">
        <v>88</v>
      </c>
      <c r="V22" t="s">
        <v>88</v>
      </c>
      <c r="W22" t="s">
        <v>89</v>
      </c>
      <c r="X22" t="s">
        <v>88</v>
      </c>
      <c r="Y22" t="s">
        <v>90</v>
      </c>
      <c r="Z22" t="s">
        <v>133</v>
      </c>
      <c r="AA22" t="s">
        <v>88</v>
      </c>
      <c r="AB22" t="s">
        <v>88</v>
      </c>
      <c r="AC22" t="s">
        <v>88</v>
      </c>
      <c r="AD22" t="s">
        <v>88</v>
      </c>
      <c r="AE22" t="str">
        <f>HYPERLINK("file:///C:/rest_photo/Altın Köşk Et Dünyası, Yeşilyurt (Karakavak Mah.).jpg","Altın Köşk Et Dünyası, Yeşilyurt (Karakavak Mah.)")</f>
        <v>Altın Köşk Et Dünyası, Yeşilyurt (Karakavak Mah.)</v>
      </c>
      <c r="AF22" t="s">
        <v>81</v>
      </c>
      <c r="AG22" t="s">
        <v>103</v>
      </c>
      <c r="AH22" t="s">
        <v>88</v>
      </c>
      <c r="AI22" t="s">
        <v>88</v>
      </c>
      <c r="AJ22" t="s">
        <v>92</v>
      </c>
    </row>
    <row r="23" spans="2:36" x14ac:dyDescent="0.25">
      <c r="B23" t="s">
        <v>88</v>
      </c>
      <c r="C23" t="s">
        <v>88</v>
      </c>
      <c r="D23" t="s">
        <v>88</v>
      </c>
      <c r="E23" t="s">
        <v>88</v>
      </c>
      <c r="F23" t="s">
        <v>88</v>
      </c>
      <c r="G23" t="s">
        <v>88</v>
      </c>
      <c r="H23" t="s">
        <v>88</v>
      </c>
      <c r="I23" t="s">
        <v>88</v>
      </c>
      <c r="J23" t="s">
        <v>88</v>
      </c>
      <c r="K23" t="s">
        <v>88</v>
      </c>
      <c r="L23" t="s">
        <v>423</v>
      </c>
      <c r="M23" t="s">
        <v>88</v>
      </c>
      <c r="N23" t="s">
        <v>88</v>
      </c>
      <c r="O23" t="s">
        <v>88</v>
      </c>
      <c r="P23" t="s">
        <v>88</v>
      </c>
      <c r="Q23" t="s">
        <v>88</v>
      </c>
      <c r="R23" t="s">
        <v>88</v>
      </c>
      <c r="S23" t="s">
        <v>88</v>
      </c>
      <c r="T23" t="s">
        <v>88</v>
      </c>
      <c r="U23" t="s">
        <v>88</v>
      </c>
      <c r="V23" t="s">
        <v>88</v>
      </c>
      <c r="W23" t="s">
        <v>89</v>
      </c>
      <c r="X23" t="s">
        <v>88</v>
      </c>
      <c r="Y23" t="s">
        <v>90</v>
      </c>
      <c r="Z23" t="s">
        <v>135</v>
      </c>
      <c r="AA23" t="s">
        <v>88</v>
      </c>
      <c r="AB23" t="s">
        <v>88</v>
      </c>
      <c r="AC23" t="s">
        <v>88</v>
      </c>
      <c r="AD23" t="s">
        <v>88</v>
      </c>
      <c r="AE23" t="str">
        <f>HYPERLINK("file:///C:/rest_photo/Altın Sofra, Yeşilyurt (İnönü Mah. - İstasyon).jpg","Altın Sofra, Yeşilyurt (İnönü Mah. - İstasyon)")</f>
        <v>Altın Sofra, Yeşilyurt (İnönü Mah. - İstasyon)</v>
      </c>
      <c r="AF23" t="s">
        <v>403</v>
      </c>
      <c r="AG23" t="s">
        <v>103</v>
      </c>
      <c r="AH23" t="s">
        <v>88</v>
      </c>
      <c r="AI23" t="s">
        <v>88</v>
      </c>
      <c r="AJ23" t="s">
        <v>92</v>
      </c>
    </row>
    <row r="24" spans="2:36" x14ac:dyDescent="0.25">
      <c r="B24" t="s">
        <v>88</v>
      </c>
      <c r="C24" t="s">
        <v>88</v>
      </c>
      <c r="D24" t="s">
        <v>88</v>
      </c>
      <c r="E24" t="s">
        <v>88</v>
      </c>
      <c r="F24" t="s">
        <v>88</v>
      </c>
      <c r="G24" t="s">
        <v>88</v>
      </c>
      <c r="H24" t="s">
        <v>88</v>
      </c>
      <c r="I24" t="s">
        <v>88</v>
      </c>
      <c r="J24" t="s">
        <v>88</v>
      </c>
      <c r="K24" t="s">
        <v>88</v>
      </c>
      <c r="L24" t="s">
        <v>137</v>
      </c>
      <c r="M24" t="s">
        <v>88</v>
      </c>
      <c r="N24" t="s">
        <v>88</v>
      </c>
      <c r="O24" t="s">
        <v>88</v>
      </c>
      <c r="P24" t="s">
        <v>88</v>
      </c>
      <c r="Q24" t="s">
        <v>88</v>
      </c>
      <c r="R24" t="s">
        <v>88</v>
      </c>
      <c r="S24" t="s">
        <v>88</v>
      </c>
      <c r="T24" t="s">
        <v>88</v>
      </c>
      <c r="U24" t="s">
        <v>88</v>
      </c>
      <c r="V24" t="s">
        <v>88</v>
      </c>
      <c r="W24" t="s">
        <v>89</v>
      </c>
      <c r="X24" t="s">
        <v>88</v>
      </c>
      <c r="Y24" t="s">
        <v>90</v>
      </c>
      <c r="Z24" t="s">
        <v>94</v>
      </c>
      <c r="AA24" t="s">
        <v>88</v>
      </c>
      <c r="AB24" t="s">
        <v>88</v>
      </c>
      <c r="AC24" t="s">
        <v>88</v>
      </c>
      <c r="AD24" t="s">
        <v>88</v>
      </c>
      <c r="AE24" t="str">
        <f>HYPERLINK("file:///C:/rest_photo/Arby's, Yeşilyurt (İnönü Mah. - Malatya Park Avm).jpg","Arby's, Yeşilyurt (İnönü Mah. - Malatya Park Avm)")</f>
        <v>Arby's, Yeşilyurt (İnönü Mah. - Malatya Park Avm)</v>
      </c>
      <c r="AF24" t="s">
        <v>403</v>
      </c>
      <c r="AG24" t="s">
        <v>137</v>
      </c>
      <c r="AH24" t="s">
        <v>88</v>
      </c>
      <c r="AI24" t="s">
        <v>88</v>
      </c>
      <c r="AJ24" t="s">
        <v>92</v>
      </c>
    </row>
    <row r="25" spans="2:36" x14ac:dyDescent="0.25">
      <c r="B25" t="s">
        <v>88</v>
      </c>
      <c r="C25" t="s">
        <v>88</v>
      </c>
      <c r="D25" t="s">
        <v>88</v>
      </c>
      <c r="E25" t="s">
        <v>88</v>
      </c>
      <c r="F25" t="s">
        <v>88</v>
      </c>
      <c r="G25" t="s">
        <v>88</v>
      </c>
      <c r="H25" t="s">
        <v>88</v>
      </c>
      <c r="I25" t="s">
        <v>88</v>
      </c>
      <c r="J25" t="s">
        <v>88</v>
      </c>
      <c r="K25" t="s">
        <v>88</v>
      </c>
      <c r="L25" t="s">
        <v>424</v>
      </c>
      <c r="M25" t="s">
        <v>88</v>
      </c>
      <c r="N25" t="s">
        <v>88</v>
      </c>
      <c r="O25" t="s">
        <v>88</v>
      </c>
      <c r="P25" t="s">
        <v>88</v>
      </c>
      <c r="Q25" t="s">
        <v>88</v>
      </c>
      <c r="R25" t="s">
        <v>88</v>
      </c>
      <c r="S25" t="s">
        <v>88</v>
      </c>
      <c r="T25" t="s">
        <v>88</v>
      </c>
      <c r="U25" t="s">
        <v>88</v>
      </c>
      <c r="V25" t="s">
        <v>88</v>
      </c>
      <c r="W25" t="s">
        <v>89</v>
      </c>
      <c r="X25" t="s">
        <v>88</v>
      </c>
      <c r="Y25" t="s">
        <v>90</v>
      </c>
      <c r="Z25" t="s">
        <v>109</v>
      </c>
      <c r="AA25" t="s">
        <v>88</v>
      </c>
      <c r="AB25" t="s">
        <v>88</v>
      </c>
      <c r="AC25" t="s">
        <v>88</v>
      </c>
      <c r="AD25" t="s">
        <v>88</v>
      </c>
      <c r="AE25" t="str">
        <f>HYPERLINK("file:///C:/rest_photo/Arzu Ata Dönercim, Yeşilyurt (Bostanbaşı Mah.).jpg","Arzu Ata Dönercim, Yeşilyurt (Bostanbaşı Mah.)")</f>
        <v>Arzu Ata Dönercim, Yeşilyurt (Bostanbaşı Mah.)</v>
      </c>
      <c r="AF25" t="s">
        <v>403</v>
      </c>
      <c r="AG25" t="s">
        <v>139</v>
      </c>
      <c r="AH25" t="s">
        <v>88</v>
      </c>
      <c r="AI25" t="s">
        <v>88</v>
      </c>
      <c r="AJ25" t="s">
        <v>92</v>
      </c>
    </row>
    <row r="26" spans="2:36" x14ac:dyDescent="0.25">
      <c r="B26" t="s">
        <v>88</v>
      </c>
      <c r="C26" t="s">
        <v>88</v>
      </c>
      <c r="D26" t="s">
        <v>88</v>
      </c>
      <c r="E26" t="s">
        <v>88</v>
      </c>
      <c r="F26" t="s">
        <v>88</v>
      </c>
      <c r="G26" t="s">
        <v>88</v>
      </c>
      <c r="H26" t="s">
        <v>88</v>
      </c>
      <c r="I26" t="s">
        <v>88</v>
      </c>
      <c r="J26" t="s">
        <v>88</v>
      </c>
      <c r="K26" t="s">
        <v>88</v>
      </c>
      <c r="L26" t="s">
        <v>425</v>
      </c>
      <c r="M26" t="s">
        <v>88</v>
      </c>
      <c r="N26" t="s">
        <v>88</v>
      </c>
      <c r="O26" t="s">
        <v>88</v>
      </c>
      <c r="P26" t="s">
        <v>88</v>
      </c>
      <c r="Q26" t="s">
        <v>88</v>
      </c>
      <c r="R26" t="s">
        <v>88</v>
      </c>
      <c r="S26" t="s">
        <v>88</v>
      </c>
      <c r="T26" t="s">
        <v>88</v>
      </c>
      <c r="U26" t="s">
        <v>88</v>
      </c>
      <c r="V26" t="s">
        <v>88</v>
      </c>
      <c r="W26" t="s">
        <v>89</v>
      </c>
      <c r="X26" t="s">
        <v>88</v>
      </c>
      <c r="Y26" t="s">
        <v>90</v>
      </c>
      <c r="Z26" t="s">
        <v>109</v>
      </c>
      <c r="AA26" t="s">
        <v>88</v>
      </c>
      <c r="AB26" t="s">
        <v>88</v>
      </c>
      <c r="AC26" t="s">
        <v>88</v>
      </c>
      <c r="AD26" t="s">
        <v>88</v>
      </c>
      <c r="AE26" t="str">
        <f>HYPERLINK("file:///C:/rest_photo/Arzu Ata Et Lokantası, Yeşilyurt (Bostanbaşı Mah.).jpg","Arzu Ata Et Lokantası, Yeşilyurt (Bostanbaşı Mah.)")</f>
        <v>Arzu Ata Et Lokantası, Yeşilyurt (Bostanbaşı Mah.)</v>
      </c>
      <c r="AF26" t="s">
        <v>403</v>
      </c>
      <c r="AG26" t="s">
        <v>103</v>
      </c>
      <c r="AH26" t="s">
        <v>88</v>
      </c>
      <c r="AI26" t="s">
        <v>88</v>
      </c>
      <c r="AJ26" t="s">
        <v>92</v>
      </c>
    </row>
    <row r="27" spans="2:36" x14ac:dyDescent="0.25">
      <c r="B27" t="s">
        <v>88</v>
      </c>
      <c r="C27" t="s">
        <v>88</v>
      </c>
      <c r="D27" t="s">
        <v>88</v>
      </c>
      <c r="E27" t="s">
        <v>88</v>
      </c>
      <c r="F27" t="s">
        <v>88</v>
      </c>
      <c r="G27" t="s">
        <v>88</v>
      </c>
      <c r="H27" t="s">
        <v>88</v>
      </c>
      <c r="I27" t="s">
        <v>88</v>
      </c>
      <c r="J27" t="s">
        <v>88</v>
      </c>
      <c r="K27" t="s">
        <v>88</v>
      </c>
      <c r="L27" t="s">
        <v>426</v>
      </c>
      <c r="M27" t="s">
        <v>88</v>
      </c>
      <c r="N27" t="s">
        <v>88</v>
      </c>
      <c r="O27" t="s">
        <v>88</v>
      </c>
      <c r="P27" t="s">
        <v>88</v>
      </c>
      <c r="Q27" t="s">
        <v>88</v>
      </c>
      <c r="R27" t="s">
        <v>88</v>
      </c>
      <c r="S27" t="s">
        <v>88</v>
      </c>
      <c r="T27" t="s">
        <v>88</v>
      </c>
      <c r="U27" t="s">
        <v>88</v>
      </c>
      <c r="V27" t="s">
        <v>88</v>
      </c>
      <c r="W27" t="s">
        <v>89</v>
      </c>
      <c r="X27" t="s">
        <v>88</v>
      </c>
      <c r="Y27" t="s">
        <v>90</v>
      </c>
      <c r="Z27" t="s">
        <v>109</v>
      </c>
      <c r="AA27" t="s">
        <v>88</v>
      </c>
      <c r="AB27" t="s">
        <v>88</v>
      </c>
      <c r="AC27" t="s">
        <v>88</v>
      </c>
      <c r="AD27" t="s">
        <v>88</v>
      </c>
      <c r="AE27" t="str">
        <f>HYPERLINK("file:///C:/rest_photo/Arzu Ata Pasta &amp; Fırın, Yeşilyurt (Bostanbaşı Mah.).jpg","Arzu Ata Pasta &amp; Fırın, Yeşilyurt (Bostanbaşı Mah.)")</f>
        <v>Arzu Ata Pasta &amp; Fırın, Yeşilyurt (Bostanbaşı Mah.)</v>
      </c>
      <c r="AF27" t="s">
        <v>81</v>
      </c>
      <c r="AG27" t="s">
        <v>99</v>
      </c>
      <c r="AH27" t="s">
        <v>88</v>
      </c>
      <c r="AI27" t="s">
        <v>88</v>
      </c>
      <c r="AJ27" t="s">
        <v>92</v>
      </c>
    </row>
    <row r="28" spans="2:36" x14ac:dyDescent="0.25">
      <c r="B28" t="s">
        <v>88</v>
      </c>
      <c r="C28" t="s">
        <v>88</v>
      </c>
      <c r="D28" t="s">
        <v>88</v>
      </c>
      <c r="E28" t="s">
        <v>88</v>
      </c>
      <c r="F28" t="s">
        <v>88</v>
      </c>
      <c r="G28" t="s">
        <v>88</v>
      </c>
      <c r="H28" t="s">
        <v>88</v>
      </c>
      <c r="I28" t="s">
        <v>88</v>
      </c>
      <c r="J28" t="s">
        <v>88</v>
      </c>
      <c r="K28" t="s">
        <v>88</v>
      </c>
      <c r="L28" t="s">
        <v>427</v>
      </c>
      <c r="M28" t="s">
        <v>88</v>
      </c>
      <c r="N28" t="s">
        <v>88</v>
      </c>
      <c r="O28" t="s">
        <v>88</v>
      </c>
      <c r="P28" t="s">
        <v>88</v>
      </c>
      <c r="Q28" t="s">
        <v>88</v>
      </c>
      <c r="R28" t="s">
        <v>88</v>
      </c>
      <c r="S28" t="s">
        <v>88</v>
      </c>
      <c r="T28" t="s">
        <v>88</v>
      </c>
      <c r="U28" t="s">
        <v>88</v>
      </c>
      <c r="V28" t="s">
        <v>88</v>
      </c>
      <c r="W28" t="s">
        <v>89</v>
      </c>
      <c r="X28" t="s">
        <v>88</v>
      </c>
      <c r="Y28" t="s">
        <v>90</v>
      </c>
      <c r="Z28" t="s">
        <v>109</v>
      </c>
      <c r="AA28" t="s">
        <v>88</v>
      </c>
      <c r="AB28" t="s">
        <v>88</v>
      </c>
      <c r="AC28" t="s">
        <v>88</v>
      </c>
      <c r="AD28" t="s">
        <v>88</v>
      </c>
      <c r="AE28" t="str">
        <f>HYPERLINK("file:///C:/rest_photo/Arzu Ata Pide &amp; Lahmacun, Yeşilyurt (Bostanbaşı Mah.).jpg","Arzu Ata Pide &amp; Lahmacun, Yeşilyurt (Bostanbaşı Mah.)")</f>
        <v>Arzu Ata Pide &amp; Lahmacun, Yeşilyurt (Bostanbaşı Mah.)</v>
      </c>
      <c r="AF28" t="s">
        <v>81</v>
      </c>
      <c r="AG28" t="s">
        <v>143</v>
      </c>
      <c r="AH28" t="s">
        <v>88</v>
      </c>
      <c r="AI28" t="s">
        <v>88</v>
      </c>
      <c r="AJ28" t="s">
        <v>92</v>
      </c>
    </row>
    <row r="29" spans="2:36" x14ac:dyDescent="0.25">
      <c r="B29" t="s">
        <v>88</v>
      </c>
      <c r="C29" t="s">
        <v>88</v>
      </c>
      <c r="D29" t="s">
        <v>88</v>
      </c>
      <c r="E29" t="s">
        <v>88</v>
      </c>
      <c r="F29" t="s">
        <v>88</v>
      </c>
      <c r="G29" t="s">
        <v>88</v>
      </c>
      <c r="H29" t="s">
        <v>88</v>
      </c>
      <c r="I29" t="s">
        <v>88</v>
      </c>
      <c r="J29" t="s">
        <v>88</v>
      </c>
      <c r="K29" t="s">
        <v>88</v>
      </c>
      <c r="L29" t="s">
        <v>428</v>
      </c>
      <c r="M29" t="s">
        <v>88</v>
      </c>
      <c r="N29" t="s">
        <v>88</v>
      </c>
      <c r="O29" t="s">
        <v>88</v>
      </c>
      <c r="P29" t="s">
        <v>88</v>
      </c>
      <c r="Q29" t="s">
        <v>88</v>
      </c>
      <c r="R29" t="s">
        <v>88</v>
      </c>
      <c r="S29" t="s">
        <v>88</v>
      </c>
      <c r="T29" t="s">
        <v>88</v>
      </c>
      <c r="U29" t="s">
        <v>88</v>
      </c>
      <c r="V29" t="s">
        <v>88</v>
      </c>
      <c r="W29" t="s">
        <v>89</v>
      </c>
      <c r="X29" t="s">
        <v>88</v>
      </c>
      <c r="Y29" t="s">
        <v>90</v>
      </c>
      <c r="Z29" t="s">
        <v>145</v>
      </c>
      <c r="AA29" t="s">
        <v>88</v>
      </c>
      <c r="AB29" t="s">
        <v>88</v>
      </c>
      <c r="AC29" t="s">
        <v>88</v>
      </c>
      <c r="AD29" t="s">
        <v>88</v>
      </c>
      <c r="AE29" t="str">
        <f>HYPERLINK("file:///C:/rest_photo/Asır Kebap, Yeşilyurt (İnönü Mah. - Abdulkadir Eriş Cad.).jpg","Asır Kebap, Yeşilyurt (İnönü Mah. - Abdulkadir Eriş Cad.)")</f>
        <v>Asır Kebap, Yeşilyurt (İnönü Mah. - Abdulkadir Eriş Cad.)</v>
      </c>
      <c r="AF29" t="s">
        <v>403</v>
      </c>
      <c r="AG29" t="s">
        <v>103</v>
      </c>
      <c r="AH29" t="s">
        <v>88</v>
      </c>
      <c r="AI29" t="s">
        <v>88</v>
      </c>
      <c r="AJ29" t="s">
        <v>92</v>
      </c>
    </row>
    <row r="30" spans="2:36" x14ac:dyDescent="0.25">
      <c r="B30" t="s">
        <v>88</v>
      </c>
      <c r="C30" t="s">
        <v>88</v>
      </c>
      <c r="D30" t="s">
        <v>88</v>
      </c>
      <c r="E30" t="s">
        <v>88</v>
      </c>
      <c r="F30" t="s">
        <v>88</v>
      </c>
      <c r="G30" t="s">
        <v>88</v>
      </c>
      <c r="H30" t="s">
        <v>88</v>
      </c>
      <c r="I30" t="s">
        <v>88</v>
      </c>
      <c r="J30" t="s">
        <v>88</v>
      </c>
      <c r="K30" t="s">
        <v>88</v>
      </c>
      <c r="L30" t="s">
        <v>429</v>
      </c>
      <c r="M30" t="s">
        <v>88</v>
      </c>
      <c r="N30" t="s">
        <v>88</v>
      </c>
      <c r="O30" t="s">
        <v>88</v>
      </c>
      <c r="P30" t="s">
        <v>88</v>
      </c>
      <c r="Q30" t="s">
        <v>88</v>
      </c>
      <c r="R30" t="s">
        <v>88</v>
      </c>
      <c r="S30" t="s">
        <v>88</v>
      </c>
      <c r="T30" t="s">
        <v>88</v>
      </c>
      <c r="U30" t="s">
        <v>88</v>
      </c>
      <c r="V30" t="s">
        <v>88</v>
      </c>
      <c r="W30" t="s">
        <v>89</v>
      </c>
      <c r="X30" t="s">
        <v>88</v>
      </c>
      <c r="Y30" t="s">
        <v>90</v>
      </c>
      <c r="Z30" t="s">
        <v>147</v>
      </c>
      <c r="AA30" t="s">
        <v>88</v>
      </c>
      <c r="AB30" t="s">
        <v>88</v>
      </c>
      <c r="AC30" t="s">
        <v>88</v>
      </c>
      <c r="AD30" t="s">
        <v>88</v>
      </c>
      <c r="AE30" t="str">
        <f>HYPERLINK("file:///C:/rest_photo/Asil Çiğ Köfte, Yeşilyurt (Zaviye Mah.).jpg","Asil Çiğ Köfte, Yeşilyurt (Zaviye Mah.)")</f>
        <v>Asil Çiğ Köfte, Yeşilyurt (Zaviye Mah.)</v>
      </c>
      <c r="AF30" t="s">
        <v>81</v>
      </c>
      <c r="AG30" t="s">
        <v>106</v>
      </c>
      <c r="AH30" t="s">
        <v>88</v>
      </c>
      <c r="AI30" t="s">
        <v>88</v>
      </c>
      <c r="AJ30" t="s">
        <v>92</v>
      </c>
    </row>
    <row r="31" spans="2:36" x14ac:dyDescent="0.25">
      <c r="B31" t="s">
        <v>88</v>
      </c>
      <c r="C31" t="s">
        <v>88</v>
      </c>
      <c r="D31" t="s">
        <v>88</v>
      </c>
      <c r="E31" t="s">
        <v>88</v>
      </c>
      <c r="F31" t="s">
        <v>88</v>
      </c>
      <c r="G31" t="s">
        <v>88</v>
      </c>
      <c r="H31" t="s">
        <v>88</v>
      </c>
      <c r="I31" t="s">
        <v>88</v>
      </c>
      <c r="J31" t="s">
        <v>88</v>
      </c>
      <c r="K31" t="s">
        <v>88</v>
      </c>
      <c r="L31" t="s">
        <v>430</v>
      </c>
      <c r="M31" t="s">
        <v>88</v>
      </c>
      <c r="N31" t="s">
        <v>88</v>
      </c>
      <c r="O31" t="s">
        <v>88</v>
      </c>
      <c r="P31" t="s">
        <v>88</v>
      </c>
      <c r="Q31" t="s">
        <v>88</v>
      </c>
      <c r="R31" t="s">
        <v>88</v>
      </c>
      <c r="S31" t="s">
        <v>88</v>
      </c>
      <c r="T31" t="s">
        <v>88</v>
      </c>
      <c r="U31" t="s">
        <v>88</v>
      </c>
      <c r="V31" t="s">
        <v>88</v>
      </c>
      <c r="W31" t="s">
        <v>89</v>
      </c>
      <c r="X31" t="s">
        <v>88</v>
      </c>
      <c r="Y31" t="s">
        <v>100</v>
      </c>
      <c r="Z31" t="s">
        <v>101</v>
      </c>
      <c r="AA31" t="s">
        <v>88</v>
      </c>
      <c r="AB31" t="s">
        <v>88</v>
      </c>
      <c r="AC31" t="s">
        <v>88</v>
      </c>
      <c r="AD31" t="s">
        <v>88</v>
      </c>
      <c r="AE31" t="str">
        <f>HYPERLINK("file:///C:/rest_photo/Aşıklar Tantuni &amp; Künefe, Battalgazi (Kernek Mah. - Kanalboyu Cad.).jpg","Aşıklar Tantuni &amp; Künefe, Battalgazi (Kernek Mah. - Kanalboyu Cad.)")</f>
        <v>Aşıklar Tantuni &amp; Künefe, Battalgazi (Kernek Mah. - Kanalboyu Cad.)</v>
      </c>
      <c r="AF31" t="s">
        <v>406</v>
      </c>
      <c r="AG31" t="s">
        <v>149</v>
      </c>
      <c r="AH31" t="s">
        <v>88</v>
      </c>
      <c r="AI31" t="s">
        <v>88</v>
      </c>
      <c r="AJ31" t="s">
        <v>92</v>
      </c>
    </row>
    <row r="32" spans="2:36" x14ac:dyDescent="0.25">
      <c r="B32" t="s">
        <v>88</v>
      </c>
      <c r="C32" t="s">
        <v>88</v>
      </c>
      <c r="D32" t="s">
        <v>88</v>
      </c>
      <c r="E32" t="s">
        <v>88</v>
      </c>
      <c r="F32" t="s">
        <v>88</v>
      </c>
      <c r="G32" t="s">
        <v>88</v>
      </c>
      <c r="H32" t="s">
        <v>88</v>
      </c>
      <c r="I32" t="s">
        <v>88</v>
      </c>
      <c r="J32" t="s">
        <v>88</v>
      </c>
      <c r="K32" t="s">
        <v>88</v>
      </c>
      <c r="L32" t="s">
        <v>431</v>
      </c>
      <c r="M32" t="s">
        <v>88</v>
      </c>
      <c r="N32" t="s">
        <v>88</v>
      </c>
      <c r="O32" t="s">
        <v>88</v>
      </c>
      <c r="P32" t="s">
        <v>88</v>
      </c>
      <c r="Q32" t="s">
        <v>88</v>
      </c>
      <c r="R32" t="s">
        <v>88</v>
      </c>
      <c r="S32" t="s">
        <v>88</v>
      </c>
      <c r="T32" t="s">
        <v>88</v>
      </c>
      <c r="U32" t="s">
        <v>88</v>
      </c>
      <c r="V32" t="s">
        <v>88</v>
      </c>
      <c r="W32" t="s">
        <v>89</v>
      </c>
      <c r="X32" t="s">
        <v>88</v>
      </c>
      <c r="Y32" t="s">
        <v>90</v>
      </c>
      <c r="Z32" t="s">
        <v>151</v>
      </c>
      <c r="AA32" t="s">
        <v>88</v>
      </c>
      <c r="AB32" t="s">
        <v>88</v>
      </c>
      <c r="AC32" t="s">
        <v>88</v>
      </c>
      <c r="AD32" t="s">
        <v>88</v>
      </c>
      <c r="AE32" t="str">
        <f>HYPERLINK("file:///C:/rest_photo/Ateş Et &amp; Tavuk Döner, Yeşilyurt (İlyas Mah.).jpg","Ateş Et &amp; Tavuk Döner, Yeşilyurt (İlyas Mah.)")</f>
        <v>Ateş Et &amp; Tavuk Döner, Yeşilyurt (İlyas Mah.)</v>
      </c>
      <c r="AF32" t="s">
        <v>406</v>
      </c>
      <c r="AG32" t="s">
        <v>139</v>
      </c>
      <c r="AH32" t="s">
        <v>88</v>
      </c>
      <c r="AI32" t="s">
        <v>88</v>
      </c>
      <c r="AJ32" t="s">
        <v>92</v>
      </c>
    </row>
    <row r="33" spans="2:36" x14ac:dyDescent="0.25">
      <c r="B33" t="s">
        <v>88</v>
      </c>
      <c r="C33" t="s">
        <v>88</v>
      </c>
      <c r="D33" t="s">
        <v>88</v>
      </c>
      <c r="E33" t="s">
        <v>88</v>
      </c>
      <c r="F33" t="s">
        <v>88</v>
      </c>
      <c r="G33" t="s">
        <v>88</v>
      </c>
      <c r="H33" t="s">
        <v>88</v>
      </c>
      <c r="I33" t="s">
        <v>88</v>
      </c>
      <c r="J33" t="s">
        <v>88</v>
      </c>
      <c r="K33" t="s">
        <v>88</v>
      </c>
      <c r="L33" t="s">
        <v>432</v>
      </c>
      <c r="M33" t="s">
        <v>88</v>
      </c>
      <c r="N33" t="s">
        <v>88</v>
      </c>
      <c r="O33" t="s">
        <v>88</v>
      </c>
      <c r="P33" t="s">
        <v>88</v>
      </c>
      <c r="Q33" t="s">
        <v>88</v>
      </c>
      <c r="R33" t="s">
        <v>88</v>
      </c>
      <c r="S33" t="s">
        <v>88</v>
      </c>
      <c r="T33" t="s">
        <v>88</v>
      </c>
      <c r="U33" t="s">
        <v>88</v>
      </c>
      <c r="V33" t="s">
        <v>88</v>
      </c>
      <c r="W33" t="s">
        <v>89</v>
      </c>
      <c r="X33" t="s">
        <v>88</v>
      </c>
      <c r="Y33" t="s">
        <v>100</v>
      </c>
      <c r="Z33" t="s">
        <v>154</v>
      </c>
      <c r="AA33" t="s">
        <v>88</v>
      </c>
      <c r="AB33" t="s">
        <v>88</v>
      </c>
      <c r="AC33" t="s">
        <v>88</v>
      </c>
      <c r="AD33" t="s">
        <v>88</v>
      </c>
      <c r="AE33" t="str">
        <f>HYPERLINK("file:///C:/rest_photo/Ayvalık Tost &amp; Kumru, Battalgazi (Bulgurlu Mah.).jpg","Ayvalık Tost &amp; Kumru, Battalgazi (Bulgurlu Mah.)")</f>
        <v>Ayvalık Tost &amp; Kumru, Battalgazi (Bulgurlu Mah.)</v>
      </c>
      <c r="AF33" t="s">
        <v>406</v>
      </c>
      <c r="AG33" t="s">
        <v>153</v>
      </c>
      <c r="AH33" t="s">
        <v>88</v>
      </c>
      <c r="AI33" t="s">
        <v>88</v>
      </c>
      <c r="AJ33" t="s">
        <v>92</v>
      </c>
    </row>
    <row r="34" spans="2:36" x14ac:dyDescent="0.25">
      <c r="B34" t="s">
        <v>88</v>
      </c>
      <c r="C34" t="s">
        <v>88</v>
      </c>
      <c r="D34" t="s">
        <v>88</v>
      </c>
      <c r="E34" t="s">
        <v>88</v>
      </c>
      <c r="F34" t="s">
        <v>88</v>
      </c>
      <c r="G34" t="s">
        <v>88</v>
      </c>
      <c r="H34" t="s">
        <v>88</v>
      </c>
      <c r="I34" t="s">
        <v>88</v>
      </c>
      <c r="J34" t="s">
        <v>88</v>
      </c>
      <c r="K34" t="s">
        <v>88</v>
      </c>
      <c r="L34" t="s">
        <v>433</v>
      </c>
      <c r="M34" t="s">
        <v>88</v>
      </c>
      <c r="N34" t="s">
        <v>88</v>
      </c>
      <c r="O34" t="s">
        <v>88</v>
      </c>
      <c r="P34" t="s">
        <v>88</v>
      </c>
      <c r="Q34" t="s">
        <v>88</v>
      </c>
      <c r="R34" t="s">
        <v>88</v>
      </c>
      <c r="S34" t="s">
        <v>88</v>
      </c>
      <c r="T34" t="s">
        <v>88</v>
      </c>
      <c r="U34" t="s">
        <v>88</v>
      </c>
      <c r="V34" t="s">
        <v>88</v>
      </c>
      <c r="W34" t="s">
        <v>89</v>
      </c>
      <c r="X34" t="s">
        <v>88</v>
      </c>
      <c r="Y34" t="s">
        <v>100</v>
      </c>
      <c r="Z34" t="s">
        <v>107</v>
      </c>
      <c r="AA34" t="s">
        <v>88</v>
      </c>
      <c r="AB34" t="s">
        <v>88</v>
      </c>
      <c r="AC34" t="s">
        <v>88</v>
      </c>
      <c r="AD34" t="s">
        <v>88</v>
      </c>
      <c r="AE34" t="str">
        <f>HYPERLINK("file:///C:/rest_photo/Baklavacı Yavuz Bey, Battalgazi (Fırat Mah.).jpg","Baklavacı Yavuz Bey, Battalgazi (Fırat Mah.)")</f>
        <v>Baklavacı Yavuz Bey, Battalgazi (Fırat Mah.)</v>
      </c>
      <c r="AF34" t="s">
        <v>403</v>
      </c>
      <c r="AG34" t="s">
        <v>99</v>
      </c>
      <c r="AH34" t="s">
        <v>88</v>
      </c>
      <c r="AI34" t="s">
        <v>88</v>
      </c>
      <c r="AJ34" t="s">
        <v>92</v>
      </c>
    </row>
    <row r="35" spans="2:36" x14ac:dyDescent="0.25">
      <c r="B35" t="s">
        <v>88</v>
      </c>
      <c r="C35" t="s">
        <v>88</v>
      </c>
      <c r="D35" t="s">
        <v>88</v>
      </c>
      <c r="E35" t="s">
        <v>88</v>
      </c>
      <c r="F35" t="s">
        <v>88</v>
      </c>
      <c r="G35" t="s">
        <v>88</v>
      </c>
      <c r="H35" t="s">
        <v>88</v>
      </c>
      <c r="I35" t="s">
        <v>88</v>
      </c>
      <c r="J35" t="s">
        <v>88</v>
      </c>
      <c r="K35" t="s">
        <v>88</v>
      </c>
      <c r="L35" t="s">
        <v>434</v>
      </c>
      <c r="M35" t="s">
        <v>88</v>
      </c>
      <c r="N35" t="s">
        <v>88</v>
      </c>
      <c r="O35" t="s">
        <v>88</v>
      </c>
      <c r="P35" t="s">
        <v>88</v>
      </c>
      <c r="Q35" t="s">
        <v>88</v>
      </c>
      <c r="R35" t="s">
        <v>88</v>
      </c>
      <c r="S35" t="s">
        <v>88</v>
      </c>
      <c r="T35" t="s">
        <v>88</v>
      </c>
      <c r="U35" t="s">
        <v>88</v>
      </c>
      <c r="V35" t="s">
        <v>88</v>
      </c>
      <c r="W35" t="s">
        <v>89</v>
      </c>
      <c r="X35" t="s">
        <v>88</v>
      </c>
      <c r="Y35" t="s">
        <v>100</v>
      </c>
      <c r="Z35" t="s">
        <v>107</v>
      </c>
      <c r="AA35" t="s">
        <v>88</v>
      </c>
      <c r="AB35" t="s">
        <v>88</v>
      </c>
      <c r="AC35" t="s">
        <v>88</v>
      </c>
      <c r="AD35" t="s">
        <v>88</v>
      </c>
      <c r="AE35" t="str">
        <f>HYPERLINK("file:///C:/rest_photo/Battalbey Çiğ Köftecisi, Battalgazi (Fırat Mah.).jpg","Battalbey Çiğ Köftecisi, Battalgazi (Fırat Mah.)")</f>
        <v>Battalbey Çiğ Köftecisi, Battalgazi (Fırat Mah.)</v>
      </c>
      <c r="AF35" t="s">
        <v>81</v>
      </c>
      <c r="AG35" t="s">
        <v>106</v>
      </c>
      <c r="AH35" t="s">
        <v>88</v>
      </c>
      <c r="AI35" t="s">
        <v>88</v>
      </c>
      <c r="AJ35" t="s">
        <v>92</v>
      </c>
    </row>
    <row r="36" spans="2:36" x14ac:dyDescent="0.25">
      <c r="B36" t="s">
        <v>88</v>
      </c>
      <c r="C36" t="s">
        <v>88</v>
      </c>
      <c r="D36" t="s">
        <v>88</v>
      </c>
      <c r="E36" t="s">
        <v>88</v>
      </c>
      <c r="F36" t="s">
        <v>88</v>
      </c>
      <c r="G36" t="s">
        <v>88</v>
      </c>
      <c r="H36" t="s">
        <v>88</v>
      </c>
      <c r="I36" t="s">
        <v>88</v>
      </c>
      <c r="J36" t="s">
        <v>88</v>
      </c>
      <c r="K36" t="s">
        <v>88</v>
      </c>
      <c r="L36" t="s">
        <v>434</v>
      </c>
      <c r="M36" t="s">
        <v>88</v>
      </c>
      <c r="N36" t="s">
        <v>88</v>
      </c>
      <c r="O36" t="s">
        <v>88</v>
      </c>
      <c r="P36" t="s">
        <v>88</v>
      </c>
      <c r="Q36" t="s">
        <v>88</v>
      </c>
      <c r="R36" t="s">
        <v>88</v>
      </c>
      <c r="S36" t="s">
        <v>88</v>
      </c>
      <c r="T36" t="s">
        <v>88</v>
      </c>
      <c r="U36" t="s">
        <v>88</v>
      </c>
      <c r="V36" t="s">
        <v>88</v>
      </c>
      <c r="W36" t="s">
        <v>89</v>
      </c>
      <c r="X36" t="s">
        <v>88</v>
      </c>
      <c r="Y36" t="s">
        <v>100</v>
      </c>
      <c r="Z36" t="s">
        <v>158</v>
      </c>
      <c r="AA36" t="s">
        <v>88</v>
      </c>
      <c r="AB36" t="s">
        <v>88</v>
      </c>
      <c r="AC36" t="s">
        <v>88</v>
      </c>
      <c r="AD36" t="s">
        <v>88</v>
      </c>
      <c r="AE36" t="str">
        <f>HYPERLINK("file:///C:/rest_photo/Battalbey Çiğ Köftecisi, Battalgazi (Paşaköşkü Mah.).jpg","Battalbey Çiğ Köftecisi, Battalgazi (Paşaköşkü Mah.)")</f>
        <v>Battalbey Çiğ Köftecisi, Battalgazi (Paşaköşkü Mah.)</v>
      </c>
      <c r="AF36" t="s">
        <v>403</v>
      </c>
      <c r="AG36" t="s">
        <v>106</v>
      </c>
      <c r="AH36" t="s">
        <v>88</v>
      </c>
      <c r="AI36" t="s">
        <v>88</v>
      </c>
      <c r="AJ36" t="s">
        <v>92</v>
      </c>
    </row>
    <row r="37" spans="2:36" x14ac:dyDescent="0.25">
      <c r="B37" t="s">
        <v>88</v>
      </c>
      <c r="C37" t="s">
        <v>88</v>
      </c>
      <c r="D37" t="s">
        <v>88</v>
      </c>
      <c r="E37" t="s">
        <v>88</v>
      </c>
      <c r="F37" t="s">
        <v>88</v>
      </c>
      <c r="G37" t="s">
        <v>88</v>
      </c>
      <c r="H37" t="s">
        <v>88</v>
      </c>
      <c r="I37" t="s">
        <v>88</v>
      </c>
      <c r="J37" t="s">
        <v>88</v>
      </c>
      <c r="K37" t="s">
        <v>88</v>
      </c>
      <c r="L37" t="s">
        <v>435</v>
      </c>
      <c r="M37" t="s">
        <v>88</v>
      </c>
      <c r="N37" t="s">
        <v>88</v>
      </c>
      <c r="O37" t="s">
        <v>88</v>
      </c>
      <c r="P37" t="s">
        <v>88</v>
      </c>
      <c r="Q37" t="s">
        <v>88</v>
      </c>
      <c r="R37" t="s">
        <v>88</v>
      </c>
      <c r="S37" t="s">
        <v>88</v>
      </c>
      <c r="T37" t="s">
        <v>88</v>
      </c>
      <c r="U37" t="s">
        <v>88</v>
      </c>
      <c r="V37" t="s">
        <v>88</v>
      </c>
      <c r="W37" t="s">
        <v>89</v>
      </c>
      <c r="X37" t="s">
        <v>88</v>
      </c>
      <c r="Y37" t="s">
        <v>100</v>
      </c>
      <c r="Z37" t="s">
        <v>160</v>
      </c>
      <c r="AA37" t="s">
        <v>88</v>
      </c>
      <c r="AB37" t="s">
        <v>88</v>
      </c>
      <c r="AC37" t="s">
        <v>88</v>
      </c>
      <c r="AD37" t="s">
        <v>88</v>
      </c>
      <c r="AE37" t="str">
        <f>HYPERLINK("file:///C:/rest_photo/Bereket Çiğ Köfte, Battalgazi (Zafer Mah.).jpg","Bereket Çiğ Köfte, Battalgazi (Zafer Mah.)")</f>
        <v>Bereket Çiğ Köfte, Battalgazi (Zafer Mah.)</v>
      </c>
      <c r="AF37" t="s">
        <v>81</v>
      </c>
      <c r="AG37" t="s">
        <v>106</v>
      </c>
      <c r="AH37" t="s">
        <v>88</v>
      </c>
      <c r="AI37" t="s">
        <v>88</v>
      </c>
      <c r="AJ37" t="s">
        <v>92</v>
      </c>
    </row>
    <row r="38" spans="2:36" x14ac:dyDescent="0.25">
      <c r="B38" t="s">
        <v>88</v>
      </c>
      <c r="C38" t="s">
        <v>88</v>
      </c>
      <c r="D38" t="s">
        <v>88</v>
      </c>
      <c r="E38" t="s">
        <v>88</v>
      </c>
      <c r="F38" t="s">
        <v>88</v>
      </c>
      <c r="G38" t="s">
        <v>88</v>
      </c>
      <c r="H38" t="s">
        <v>88</v>
      </c>
      <c r="I38" t="s">
        <v>88</v>
      </c>
      <c r="J38" t="s">
        <v>88</v>
      </c>
      <c r="K38" t="s">
        <v>88</v>
      </c>
      <c r="L38" t="s">
        <v>435</v>
      </c>
      <c r="M38" t="s">
        <v>88</v>
      </c>
      <c r="N38" t="s">
        <v>88</v>
      </c>
      <c r="O38" t="s">
        <v>88</v>
      </c>
      <c r="P38" t="s">
        <v>88</v>
      </c>
      <c r="Q38" t="s">
        <v>88</v>
      </c>
      <c r="R38" t="s">
        <v>88</v>
      </c>
      <c r="S38" t="s">
        <v>88</v>
      </c>
      <c r="T38" t="s">
        <v>88</v>
      </c>
      <c r="U38" t="s">
        <v>88</v>
      </c>
      <c r="V38" t="s">
        <v>88</v>
      </c>
      <c r="W38" t="s">
        <v>89</v>
      </c>
      <c r="X38" t="s">
        <v>88</v>
      </c>
      <c r="Y38" t="s">
        <v>90</v>
      </c>
      <c r="Z38" t="s">
        <v>147</v>
      </c>
      <c r="AA38" t="s">
        <v>88</v>
      </c>
      <c r="AB38" t="s">
        <v>88</v>
      </c>
      <c r="AC38" t="s">
        <v>88</v>
      </c>
      <c r="AD38" t="s">
        <v>88</v>
      </c>
      <c r="AE38" t="str">
        <f>HYPERLINK("file:///C:/rest_photo/Bereket Çiğ Köfte, Yeşilyurt (Zaviye Mah.).jpg","Bereket Çiğ Köfte, Yeşilyurt (Zaviye Mah.)")</f>
        <v>Bereket Çiğ Köfte, Yeşilyurt (Zaviye Mah.)</v>
      </c>
      <c r="AF38" t="s">
        <v>81</v>
      </c>
      <c r="AG38" t="s">
        <v>106</v>
      </c>
      <c r="AH38" t="s">
        <v>88</v>
      </c>
      <c r="AI38" t="s">
        <v>88</v>
      </c>
      <c r="AJ38" t="s">
        <v>92</v>
      </c>
    </row>
    <row r="39" spans="2:36" x14ac:dyDescent="0.25">
      <c r="B39" t="s">
        <v>88</v>
      </c>
      <c r="C39" t="s">
        <v>88</v>
      </c>
      <c r="D39" t="s">
        <v>88</v>
      </c>
      <c r="E39" t="s">
        <v>88</v>
      </c>
      <c r="F39" t="s">
        <v>88</v>
      </c>
      <c r="G39" t="s">
        <v>88</v>
      </c>
      <c r="H39" t="s">
        <v>88</v>
      </c>
      <c r="I39" t="s">
        <v>88</v>
      </c>
      <c r="J39" t="s">
        <v>88</v>
      </c>
      <c r="K39" t="s">
        <v>88</v>
      </c>
      <c r="L39" t="s">
        <v>436</v>
      </c>
      <c r="M39" t="s">
        <v>88</v>
      </c>
      <c r="N39" t="s">
        <v>88</v>
      </c>
      <c r="O39" t="s">
        <v>88</v>
      </c>
      <c r="P39" t="s">
        <v>88</v>
      </c>
      <c r="Q39" t="s">
        <v>88</v>
      </c>
      <c r="R39" t="s">
        <v>88</v>
      </c>
      <c r="S39" t="s">
        <v>88</v>
      </c>
      <c r="T39" t="s">
        <v>88</v>
      </c>
      <c r="U39" t="s">
        <v>88</v>
      </c>
      <c r="V39" t="s">
        <v>88</v>
      </c>
      <c r="W39" t="s">
        <v>89</v>
      </c>
      <c r="X39" t="s">
        <v>88</v>
      </c>
      <c r="Y39" t="s">
        <v>100</v>
      </c>
      <c r="Z39" t="s">
        <v>163</v>
      </c>
      <c r="AA39" t="s">
        <v>88</v>
      </c>
      <c r="AB39" t="s">
        <v>88</v>
      </c>
      <c r="AC39" t="s">
        <v>88</v>
      </c>
      <c r="AD39" t="s">
        <v>88</v>
      </c>
      <c r="AE39" t="str">
        <f>HYPERLINK("file:///C:/rest_photo/Besler Döner Et &amp; Tavuk &amp; Köfte, Battalgazi (Yenihamam Mah.).jpg","Besler Döner Et &amp; Tavuk &amp; Köfte, Battalgazi (Yenihamam Mah.)")</f>
        <v>Besler Döner Et &amp; Tavuk &amp; Köfte, Battalgazi (Yenihamam Mah.)</v>
      </c>
      <c r="AF39" t="s">
        <v>403</v>
      </c>
      <c r="AG39" t="s">
        <v>139</v>
      </c>
      <c r="AH39" t="s">
        <v>88</v>
      </c>
      <c r="AI39" t="s">
        <v>88</v>
      </c>
      <c r="AJ39" t="s">
        <v>92</v>
      </c>
    </row>
    <row r="40" spans="2:36" x14ac:dyDescent="0.25">
      <c r="B40" t="s">
        <v>88</v>
      </c>
      <c r="C40" t="s">
        <v>88</v>
      </c>
      <c r="D40" t="s">
        <v>88</v>
      </c>
      <c r="E40" t="s">
        <v>88</v>
      </c>
      <c r="F40" t="s">
        <v>88</v>
      </c>
      <c r="G40" t="s">
        <v>88</v>
      </c>
      <c r="H40" t="s">
        <v>88</v>
      </c>
      <c r="I40" t="s">
        <v>88</v>
      </c>
      <c r="J40" t="s">
        <v>88</v>
      </c>
      <c r="K40" t="s">
        <v>88</v>
      </c>
      <c r="L40" t="s">
        <v>437</v>
      </c>
      <c r="M40" t="s">
        <v>88</v>
      </c>
      <c r="N40" t="s">
        <v>88</v>
      </c>
      <c r="O40" t="s">
        <v>88</v>
      </c>
      <c r="P40" t="s">
        <v>88</v>
      </c>
      <c r="Q40" t="s">
        <v>88</v>
      </c>
      <c r="R40" t="s">
        <v>88</v>
      </c>
      <c r="S40" t="s">
        <v>88</v>
      </c>
      <c r="T40" t="s">
        <v>88</v>
      </c>
      <c r="U40" t="s">
        <v>88</v>
      </c>
      <c r="V40" t="s">
        <v>88</v>
      </c>
      <c r="W40" t="s">
        <v>89</v>
      </c>
      <c r="X40" t="s">
        <v>88</v>
      </c>
      <c r="Y40" t="s">
        <v>90</v>
      </c>
      <c r="Z40" t="s">
        <v>91</v>
      </c>
      <c r="AA40" t="s">
        <v>88</v>
      </c>
      <c r="AB40" t="s">
        <v>88</v>
      </c>
      <c r="AC40" t="s">
        <v>88</v>
      </c>
      <c r="AD40" t="s">
        <v>88</v>
      </c>
      <c r="AE40" t="str">
        <f>HYPERLINK("file:///C:/rest_photo/Beyzadem Lahmacun &amp; Pide &amp; Döner, Yeşilyurt (İnönü Mah. - İnönü Cad.).jpg","Beyzadem Lahmacun &amp; Pide &amp; Döner, Yeşilyurt (İnönü Mah. - İnönü Cad.)")</f>
        <v>Beyzadem Lahmacun &amp; Pide &amp; Döner, Yeşilyurt (İnönü Mah. - İnönü Cad.)</v>
      </c>
      <c r="AF40" t="s">
        <v>403</v>
      </c>
      <c r="AG40" t="s">
        <v>143</v>
      </c>
      <c r="AH40" t="s">
        <v>88</v>
      </c>
      <c r="AI40" t="s">
        <v>88</v>
      </c>
      <c r="AJ40" t="s">
        <v>92</v>
      </c>
    </row>
    <row r="41" spans="2:36" x14ac:dyDescent="0.25">
      <c r="B41" t="s">
        <v>88</v>
      </c>
      <c r="C41" t="s">
        <v>88</v>
      </c>
      <c r="D41" t="s">
        <v>88</v>
      </c>
      <c r="E41" t="s">
        <v>88</v>
      </c>
      <c r="F41" t="s">
        <v>88</v>
      </c>
      <c r="G41" t="s">
        <v>88</v>
      </c>
      <c r="H41" t="s">
        <v>88</v>
      </c>
      <c r="I41" t="s">
        <v>88</v>
      </c>
      <c r="J41" t="s">
        <v>88</v>
      </c>
      <c r="K41" t="s">
        <v>88</v>
      </c>
      <c r="L41" t="s">
        <v>438</v>
      </c>
      <c r="M41" t="s">
        <v>88</v>
      </c>
      <c r="N41" t="s">
        <v>88</v>
      </c>
      <c r="O41" t="s">
        <v>88</v>
      </c>
      <c r="P41" t="s">
        <v>88</v>
      </c>
      <c r="Q41" t="s">
        <v>88</v>
      </c>
      <c r="R41" t="s">
        <v>88</v>
      </c>
      <c r="S41" t="s">
        <v>88</v>
      </c>
      <c r="T41" t="s">
        <v>88</v>
      </c>
      <c r="U41" t="s">
        <v>88</v>
      </c>
      <c r="V41" t="s">
        <v>88</v>
      </c>
      <c r="W41" t="s">
        <v>89</v>
      </c>
      <c r="X41" t="s">
        <v>88</v>
      </c>
      <c r="Y41" t="s">
        <v>90</v>
      </c>
      <c r="Z41" t="s">
        <v>166</v>
      </c>
      <c r="AA41" t="s">
        <v>88</v>
      </c>
      <c r="AB41" t="s">
        <v>88</v>
      </c>
      <c r="AC41" t="s">
        <v>88</v>
      </c>
      <c r="AD41" t="s">
        <v>88</v>
      </c>
      <c r="AE41" t="str">
        <f>HYPERLINK("file:///C:/rest_photo/Biftek Tantuni İlhan Aşık, Yeşilyurt (Cevatpaşa Mah. - Makro Avm).jpg","Biftek Tantuni İlhan Aşık, Yeşilyurt (Cevatpaşa Mah. - Makro Avm)")</f>
        <v>Biftek Tantuni İlhan Aşık, Yeşilyurt (Cevatpaşa Mah. - Makro Avm)</v>
      </c>
      <c r="AF41" t="s">
        <v>421</v>
      </c>
      <c r="AG41" t="s">
        <v>149</v>
      </c>
      <c r="AH41" t="s">
        <v>88</v>
      </c>
      <c r="AI41" t="s">
        <v>88</v>
      </c>
      <c r="AJ41" t="s">
        <v>92</v>
      </c>
    </row>
    <row r="42" spans="2:36" x14ac:dyDescent="0.25">
      <c r="B42" t="s">
        <v>88</v>
      </c>
      <c r="C42" t="s">
        <v>88</v>
      </c>
      <c r="D42" t="s">
        <v>88</v>
      </c>
      <c r="E42" t="s">
        <v>88</v>
      </c>
      <c r="F42" t="s">
        <v>88</v>
      </c>
      <c r="G42" t="s">
        <v>88</v>
      </c>
      <c r="H42" t="s">
        <v>88</v>
      </c>
      <c r="I42" t="s">
        <v>88</v>
      </c>
      <c r="J42" t="s">
        <v>88</v>
      </c>
      <c r="K42" t="s">
        <v>88</v>
      </c>
      <c r="L42" t="s">
        <v>438</v>
      </c>
      <c r="M42" t="s">
        <v>88</v>
      </c>
      <c r="N42" t="s">
        <v>88</v>
      </c>
      <c r="O42" t="s">
        <v>88</v>
      </c>
      <c r="P42" t="s">
        <v>88</v>
      </c>
      <c r="Q42" t="s">
        <v>88</v>
      </c>
      <c r="R42" t="s">
        <v>88</v>
      </c>
      <c r="S42" t="s">
        <v>88</v>
      </c>
      <c r="T42" t="s">
        <v>88</v>
      </c>
      <c r="U42" t="s">
        <v>88</v>
      </c>
      <c r="V42" t="s">
        <v>88</v>
      </c>
      <c r="W42" t="s">
        <v>89</v>
      </c>
      <c r="X42" t="s">
        <v>88</v>
      </c>
      <c r="Y42" t="s">
        <v>90</v>
      </c>
      <c r="Z42" t="s">
        <v>168</v>
      </c>
      <c r="AA42" t="s">
        <v>88</v>
      </c>
      <c r="AB42" t="s">
        <v>88</v>
      </c>
      <c r="AC42" t="s">
        <v>88</v>
      </c>
      <c r="AD42" t="s">
        <v>88</v>
      </c>
      <c r="AE42" t="str">
        <f>HYPERLINK("file:///C:/rest_photo/Biftek Tantuni İlhan Aşık, Yeşilyurt (Özalper Mah.).jpg","Biftek Tantuni İlhan Aşık, Yeşilyurt (Özalper Mah.)")</f>
        <v>Biftek Tantuni İlhan Aşık, Yeşilyurt (Özalper Mah.)</v>
      </c>
      <c r="AF42" t="s">
        <v>406</v>
      </c>
      <c r="AG42" t="s">
        <v>149</v>
      </c>
      <c r="AH42" t="s">
        <v>88</v>
      </c>
      <c r="AI42" t="s">
        <v>88</v>
      </c>
      <c r="AJ42" t="s">
        <v>92</v>
      </c>
    </row>
    <row r="43" spans="2:36" x14ac:dyDescent="0.25">
      <c r="B43" t="s">
        <v>88</v>
      </c>
      <c r="C43" t="s">
        <v>88</v>
      </c>
      <c r="D43" t="s">
        <v>88</v>
      </c>
      <c r="E43" t="s">
        <v>88</v>
      </c>
      <c r="F43" t="s">
        <v>88</v>
      </c>
      <c r="G43" t="s">
        <v>88</v>
      </c>
      <c r="H43" t="s">
        <v>88</v>
      </c>
      <c r="I43" t="s">
        <v>88</v>
      </c>
      <c r="J43" t="s">
        <v>88</v>
      </c>
      <c r="K43" t="s">
        <v>88</v>
      </c>
      <c r="L43" t="s">
        <v>439</v>
      </c>
      <c r="M43" t="s">
        <v>88</v>
      </c>
      <c r="N43" t="s">
        <v>88</v>
      </c>
      <c r="O43" t="s">
        <v>88</v>
      </c>
      <c r="P43" t="s">
        <v>88</v>
      </c>
      <c r="Q43" t="s">
        <v>88</v>
      </c>
      <c r="R43" t="s">
        <v>88</v>
      </c>
      <c r="S43" t="s">
        <v>88</v>
      </c>
      <c r="T43" t="s">
        <v>88</v>
      </c>
      <c r="U43" t="s">
        <v>88</v>
      </c>
      <c r="V43" t="s">
        <v>88</v>
      </c>
      <c r="W43" t="s">
        <v>89</v>
      </c>
      <c r="X43" t="s">
        <v>88</v>
      </c>
      <c r="Y43" t="s">
        <v>100</v>
      </c>
      <c r="Z43" t="s">
        <v>170</v>
      </c>
      <c r="AA43" t="s">
        <v>88</v>
      </c>
      <c r="AB43" t="s">
        <v>88</v>
      </c>
      <c r="AC43" t="s">
        <v>88</v>
      </c>
      <c r="AD43" t="s">
        <v>88</v>
      </c>
      <c r="AE43" t="str">
        <f>HYPERLINK("file:///C:/rest_photo/BigBoss Chef's, Battalgazi (Kernek Mah. - Beşkonaklar Cad.).jpg","BigBoss Chef's, Battalgazi (Kernek Mah. - Beşkonaklar Cad.)")</f>
        <v>BigBoss Chef's, Battalgazi (Kernek Mah. - Beşkonaklar Cad.)</v>
      </c>
      <c r="AF43" t="s">
        <v>440</v>
      </c>
      <c r="AG43" t="s">
        <v>79</v>
      </c>
      <c r="AH43" t="s">
        <v>88</v>
      </c>
      <c r="AI43" t="s">
        <v>88</v>
      </c>
      <c r="AJ43" t="s">
        <v>92</v>
      </c>
    </row>
    <row r="44" spans="2:36" x14ac:dyDescent="0.25">
      <c r="B44" t="s">
        <v>88</v>
      </c>
      <c r="C44" t="s">
        <v>88</v>
      </c>
      <c r="D44" t="s">
        <v>88</v>
      </c>
      <c r="E44" t="s">
        <v>88</v>
      </c>
      <c r="F44" t="s">
        <v>88</v>
      </c>
      <c r="G44" t="s">
        <v>88</v>
      </c>
      <c r="H44" t="s">
        <v>88</v>
      </c>
      <c r="I44" t="s">
        <v>88</v>
      </c>
      <c r="J44" t="s">
        <v>88</v>
      </c>
      <c r="K44" t="s">
        <v>88</v>
      </c>
      <c r="L44" t="s">
        <v>439</v>
      </c>
      <c r="M44" t="s">
        <v>88</v>
      </c>
      <c r="N44" t="s">
        <v>88</v>
      </c>
      <c r="O44" t="s">
        <v>88</v>
      </c>
      <c r="P44" t="s">
        <v>88</v>
      </c>
      <c r="Q44" t="s">
        <v>88</v>
      </c>
      <c r="R44" t="s">
        <v>88</v>
      </c>
      <c r="S44" t="s">
        <v>88</v>
      </c>
      <c r="T44" t="s">
        <v>88</v>
      </c>
      <c r="U44" t="s">
        <v>88</v>
      </c>
      <c r="V44" t="s">
        <v>88</v>
      </c>
      <c r="W44" t="s">
        <v>89</v>
      </c>
      <c r="X44" t="s">
        <v>88</v>
      </c>
      <c r="Y44" t="s">
        <v>90</v>
      </c>
      <c r="Z44" t="s">
        <v>111</v>
      </c>
      <c r="AA44" t="s">
        <v>88</v>
      </c>
      <c r="AB44" t="s">
        <v>88</v>
      </c>
      <c r="AC44" t="s">
        <v>88</v>
      </c>
      <c r="AD44" t="s">
        <v>88</v>
      </c>
      <c r="AE44" t="str">
        <f>HYPERLINK("file:///C:/rest_photo/BigBoss Chef's, Yeşilyurt (Turgut Özal Mah.).jpg","BigBoss Chef's, Yeşilyurt (Turgut Özal Mah.)")</f>
        <v>BigBoss Chef's, Yeşilyurt (Turgut Özal Mah.)</v>
      </c>
      <c r="AF44" t="s">
        <v>403</v>
      </c>
      <c r="AG44" t="s">
        <v>79</v>
      </c>
      <c r="AH44" t="s">
        <v>88</v>
      </c>
      <c r="AI44" t="s">
        <v>88</v>
      </c>
      <c r="AJ44" t="s">
        <v>92</v>
      </c>
    </row>
    <row r="45" spans="2:36" x14ac:dyDescent="0.25">
      <c r="B45" t="s">
        <v>88</v>
      </c>
      <c r="C45" t="s">
        <v>88</v>
      </c>
      <c r="D45" t="s">
        <v>88</v>
      </c>
      <c r="E45" t="s">
        <v>88</v>
      </c>
      <c r="F45" t="s">
        <v>88</v>
      </c>
      <c r="G45" t="s">
        <v>88</v>
      </c>
      <c r="H45" t="s">
        <v>88</v>
      </c>
      <c r="I45" t="s">
        <v>88</v>
      </c>
      <c r="J45" t="s">
        <v>88</v>
      </c>
      <c r="K45" t="s">
        <v>88</v>
      </c>
      <c r="L45" t="s">
        <v>441</v>
      </c>
      <c r="M45" t="s">
        <v>88</v>
      </c>
      <c r="N45" t="s">
        <v>88</v>
      </c>
      <c r="O45" t="s">
        <v>88</v>
      </c>
      <c r="P45" t="s">
        <v>88</v>
      </c>
      <c r="Q45" t="s">
        <v>88</v>
      </c>
      <c r="R45" t="s">
        <v>88</v>
      </c>
      <c r="S45" t="s">
        <v>88</v>
      </c>
      <c r="T45" t="s">
        <v>88</v>
      </c>
      <c r="U45" t="s">
        <v>88</v>
      </c>
      <c r="V45" t="s">
        <v>88</v>
      </c>
      <c r="W45" t="s">
        <v>89</v>
      </c>
      <c r="X45" t="s">
        <v>88</v>
      </c>
      <c r="Y45" t="s">
        <v>100</v>
      </c>
      <c r="Z45" t="s">
        <v>174</v>
      </c>
      <c r="AA45" t="s">
        <v>88</v>
      </c>
      <c r="AB45" t="s">
        <v>88</v>
      </c>
      <c r="AC45" t="s">
        <v>88</v>
      </c>
      <c r="AD45" t="s">
        <v>88</v>
      </c>
      <c r="AE45" t="str">
        <f>HYPERLINK("file:///C:/rest_photo/Bigeay Yöresel Ev Yemekleri, Battalgazi (Kavaklıbağ Mah.).jpg","Bigeay Yöresel Ev Yemekleri, Battalgazi (Kavaklıbağ Mah.)")</f>
        <v>Bigeay Yöresel Ev Yemekleri, Battalgazi (Kavaklıbağ Mah.)</v>
      </c>
      <c r="AF45" t="s">
        <v>421</v>
      </c>
      <c r="AG45" t="s">
        <v>173</v>
      </c>
      <c r="AH45" t="s">
        <v>88</v>
      </c>
      <c r="AI45" t="s">
        <v>88</v>
      </c>
      <c r="AJ45" t="s">
        <v>92</v>
      </c>
    </row>
    <row r="46" spans="2:36" x14ac:dyDescent="0.25">
      <c r="B46" t="s">
        <v>88</v>
      </c>
      <c r="C46" t="s">
        <v>88</v>
      </c>
      <c r="D46" t="s">
        <v>88</v>
      </c>
      <c r="E46" t="s">
        <v>88</v>
      </c>
      <c r="F46" t="s">
        <v>88</v>
      </c>
      <c r="G46" t="s">
        <v>88</v>
      </c>
      <c r="H46" t="s">
        <v>88</v>
      </c>
      <c r="I46" t="s">
        <v>88</v>
      </c>
      <c r="J46" t="s">
        <v>88</v>
      </c>
      <c r="K46" t="s">
        <v>88</v>
      </c>
      <c r="L46" t="s">
        <v>442</v>
      </c>
      <c r="M46" t="s">
        <v>88</v>
      </c>
      <c r="N46" t="s">
        <v>88</v>
      </c>
      <c r="O46" t="s">
        <v>88</v>
      </c>
      <c r="P46" t="s">
        <v>88</v>
      </c>
      <c r="Q46" t="s">
        <v>88</v>
      </c>
      <c r="R46" t="s">
        <v>88</v>
      </c>
      <c r="S46" t="s">
        <v>88</v>
      </c>
      <c r="T46" t="s">
        <v>88</v>
      </c>
      <c r="U46" t="s">
        <v>88</v>
      </c>
      <c r="V46" t="s">
        <v>88</v>
      </c>
      <c r="W46" t="s">
        <v>89</v>
      </c>
      <c r="X46" t="s">
        <v>88</v>
      </c>
      <c r="Y46" t="s">
        <v>90</v>
      </c>
      <c r="Z46" t="s">
        <v>91</v>
      </c>
      <c r="AA46" t="s">
        <v>88</v>
      </c>
      <c r="AB46" t="s">
        <v>88</v>
      </c>
      <c r="AC46" t="s">
        <v>88</v>
      </c>
      <c r="AD46" t="s">
        <v>88</v>
      </c>
      <c r="AE46" t="str">
        <f>HYPERLINK("file:///C:/rest_photo/Big Mamma's, Yeşilyurt (İnönü Mah. - İnönü Cad.).jpg","Big Mamma's, Yeşilyurt (İnönü Mah. - İnönü Cad.)")</f>
        <v>Big Mamma's, Yeşilyurt (İnönü Mah. - İnönü Cad.)</v>
      </c>
      <c r="AF46" t="s">
        <v>406</v>
      </c>
      <c r="AG46" t="s">
        <v>176</v>
      </c>
      <c r="AH46" t="s">
        <v>88</v>
      </c>
      <c r="AI46" t="s">
        <v>88</v>
      </c>
      <c r="AJ46" t="s">
        <v>92</v>
      </c>
    </row>
    <row r="47" spans="2:36" x14ac:dyDescent="0.25">
      <c r="B47" t="s">
        <v>88</v>
      </c>
      <c r="C47" t="s">
        <v>88</v>
      </c>
      <c r="D47" t="s">
        <v>88</v>
      </c>
      <c r="E47" t="s">
        <v>88</v>
      </c>
      <c r="F47" t="s">
        <v>88</v>
      </c>
      <c r="G47" t="s">
        <v>88</v>
      </c>
      <c r="H47" t="s">
        <v>88</v>
      </c>
      <c r="I47" t="s">
        <v>88</v>
      </c>
      <c r="J47" t="s">
        <v>88</v>
      </c>
      <c r="K47" t="s">
        <v>88</v>
      </c>
      <c r="L47" t="s">
        <v>443</v>
      </c>
      <c r="M47" t="s">
        <v>88</v>
      </c>
      <c r="N47" t="s">
        <v>88</v>
      </c>
      <c r="O47" t="s">
        <v>88</v>
      </c>
      <c r="P47" t="s">
        <v>88</v>
      </c>
      <c r="Q47" t="s">
        <v>88</v>
      </c>
      <c r="R47" t="s">
        <v>88</v>
      </c>
      <c r="S47" t="s">
        <v>88</v>
      </c>
      <c r="T47" t="s">
        <v>88</v>
      </c>
      <c r="U47" t="s">
        <v>88</v>
      </c>
      <c r="V47" t="s">
        <v>88</v>
      </c>
      <c r="W47" t="s">
        <v>89</v>
      </c>
      <c r="X47" t="s">
        <v>88</v>
      </c>
      <c r="Y47" t="s">
        <v>100</v>
      </c>
      <c r="Z47" t="s">
        <v>120</v>
      </c>
      <c r="AA47" t="s">
        <v>88</v>
      </c>
      <c r="AB47" t="s">
        <v>88</v>
      </c>
      <c r="AC47" t="s">
        <v>88</v>
      </c>
      <c r="AD47" t="s">
        <v>88</v>
      </c>
      <c r="AE47" t="str">
        <f>HYPERLINK("file:///C:/rest_photo/Bilal Abi, Battalgazi (Saray Mah.).jpg","Bilal Abi, Battalgazi (Saray Mah.)")</f>
        <v>Bilal Abi, Battalgazi (Saray Mah.)</v>
      </c>
      <c r="AF47" t="s">
        <v>403</v>
      </c>
      <c r="AG47" t="s">
        <v>103</v>
      </c>
      <c r="AH47" t="s">
        <v>88</v>
      </c>
      <c r="AI47" t="s">
        <v>88</v>
      </c>
      <c r="AJ47" t="s">
        <v>92</v>
      </c>
    </row>
    <row r="48" spans="2:36" x14ac:dyDescent="0.25">
      <c r="B48" t="s">
        <v>88</v>
      </c>
      <c r="C48" t="s">
        <v>88</v>
      </c>
      <c r="D48" t="s">
        <v>88</v>
      </c>
      <c r="E48" t="s">
        <v>88</v>
      </c>
      <c r="F48" t="s">
        <v>88</v>
      </c>
      <c r="G48" t="s">
        <v>88</v>
      </c>
      <c r="H48" t="s">
        <v>88</v>
      </c>
      <c r="I48" t="s">
        <v>88</v>
      </c>
      <c r="J48" t="s">
        <v>88</v>
      </c>
      <c r="K48" t="s">
        <v>88</v>
      </c>
      <c r="L48" t="s">
        <v>444</v>
      </c>
      <c r="M48" t="s">
        <v>88</v>
      </c>
      <c r="N48" t="s">
        <v>88</v>
      </c>
      <c r="O48" t="s">
        <v>88</v>
      </c>
      <c r="P48" t="s">
        <v>88</v>
      </c>
      <c r="Q48" t="s">
        <v>88</v>
      </c>
      <c r="R48" t="s">
        <v>88</v>
      </c>
      <c r="S48" t="s">
        <v>88</v>
      </c>
      <c r="T48" t="s">
        <v>88</v>
      </c>
      <c r="U48" t="s">
        <v>88</v>
      </c>
      <c r="V48" t="s">
        <v>88</v>
      </c>
      <c r="W48" t="s">
        <v>89</v>
      </c>
      <c r="X48" t="s">
        <v>88</v>
      </c>
      <c r="Y48" t="s">
        <v>100</v>
      </c>
      <c r="Z48" t="s">
        <v>120</v>
      </c>
      <c r="AA48" t="s">
        <v>88</v>
      </c>
      <c r="AB48" t="s">
        <v>88</v>
      </c>
      <c r="AC48" t="s">
        <v>88</v>
      </c>
      <c r="AD48" t="s">
        <v>88</v>
      </c>
      <c r="AE48" t="str">
        <f>HYPERLINK("file:///C:/rest_photo/Bilal Usta Mersin Tantuni, Battalgazi (Saray Mah.).jpg","Bilal Usta Mersin Tantuni, Battalgazi (Saray Mah.)")</f>
        <v>Bilal Usta Mersin Tantuni, Battalgazi (Saray Mah.)</v>
      </c>
      <c r="AF48" t="s">
        <v>81</v>
      </c>
      <c r="AG48" t="s">
        <v>149</v>
      </c>
      <c r="AH48" t="s">
        <v>88</v>
      </c>
      <c r="AI48" t="s">
        <v>88</v>
      </c>
      <c r="AJ48" t="s">
        <v>92</v>
      </c>
    </row>
    <row r="49" spans="2:36" x14ac:dyDescent="0.25">
      <c r="B49" t="s">
        <v>88</v>
      </c>
      <c r="C49" t="s">
        <v>88</v>
      </c>
      <c r="D49" t="s">
        <v>88</v>
      </c>
      <c r="E49" t="s">
        <v>88</v>
      </c>
      <c r="F49" t="s">
        <v>88</v>
      </c>
      <c r="G49" t="s">
        <v>88</v>
      </c>
      <c r="H49" t="s">
        <v>88</v>
      </c>
      <c r="I49" t="s">
        <v>88</v>
      </c>
      <c r="J49" t="s">
        <v>88</v>
      </c>
      <c r="K49" t="s">
        <v>88</v>
      </c>
      <c r="L49" t="s">
        <v>445</v>
      </c>
      <c r="M49" t="s">
        <v>88</v>
      </c>
      <c r="N49" t="s">
        <v>88</v>
      </c>
      <c r="O49" t="s">
        <v>88</v>
      </c>
      <c r="P49" t="s">
        <v>88</v>
      </c>
      <c r="Q49" t="s">
        <v>88</v>
      </c>
      <c r="R49" t="s">
        <v>88</v>
      </c>
      <c r="S49" t="s">
        <v>88</v>
      </c>
      <c r="T49" t="s">
        <v>88</v>
      </c>
      <c r="U49" t="s">
        <v>88</v>
      </c>
      <c r="V49" t="s">
        <v>88</v>
      </c>
      <c r="W49" t="s">
        <v>89</v>
      </c>
      <c r="X49" t="s">
        <v>88</v>
      </c>
      <c r="Y49" t="s">
        <v>90</v>
      </c>
      <c r="Z49" t="s">
        <v>180</v>
      </c>
      <c r="AA49" t="s">
        <v>88</v>
      </c>
      <c r="AB49" t="s">
        <v>88</v>
      </c>
      <c r="AC49" t="s">
        <v>88</v>
      </c>
      <c r="AD49" t="s">
        <v>88</v>
      </c>
      <c r="AE49" t="str">
        <f>HYPERLINK("file:///C:/rest_photo/Boy'z Burger, Yeşilyurt (Cevatpaşa Mah.).jpg","Boy'z Burger, Yeşilyurt (Cevatpaşa Mah.)")</f>
        <v>Boy'z Burger, Yeşilyurt (Cevatpaşa Mah.)</v>
      </c>
      <c r="AF49" t="s">
        <v>403</v>
      </c>
      <c r="AG49" t="s">
        <v>79</v>
      </c>
      <c r="AH49" t="s">
        <v>88</v>
      </c>
      <c r="AI49" t="s">
        <v>88</v>
      </c>
      <c r="AJ49" t="s">
        <v>92</v>
      </c>
    </row>
    <row r="50" spans="2:36" x14ac:dyDescent="0.25">
      <c r="B50" t="s">
        <v>88</v>
      </c>
      <c r="C50" t="s">
        <v>88</v>
      </c>
      <c r="D50" t="s">
        <v>88</v>
      </c>
      <c r="E50" t="s">
        <v>88</v>
      </c>
      <c r="F50" t="s">
        <v>88</v>
      </c>
      <c r="G50" t="s">
        <v>88</v>
      </c>
      <c r="H50" t="s">
        <v>88</v>
      </c>
      <c r="I50" t="s">
        <v>88</v>
      </c>
      <c r="J50" t="s">
        <v>88</v>
      </c>
      <c r="K50" t="s">
        <v>88</v>
      </c>
      <c r="L50" t="s">
        <v>446</v>
      </c>
      <c r="M50" t="s">
        <v>88</v>
      </c>
      <c r="N50" t="s">
        <v>88</v>
      </c>
      <c r="O50" t="s">
        <v>88</v>
      </c>
      <c r="P50" t="s">
        <v>88</v>
      </c>
      <c r="Q50" t="s">
        <v>88</v>
      </c>
      <c r="R50" t="s">
        <v>88</v>
      </c>
      <c r="S50" t="s">
        <v>88</v>
      </c>
      <c r="T50" t="s">
        <v>88</v>
      </c>
      <c r="U50" t="s">
        <v>88</v>
      </c>
      <c r="V50" t="s">
        <v>88</v>
      </c>
      <c r="W50" t="s">
        <v>89</v>
      </c>
      <c r="X50" t="s">
        <v>88</v>
      </c>
      <c r="Y50" t="s">
        <v>90</v>
      </c>
      <c r="Z50" t="s">
        <v>113</v>
      </c>
      <c r="AA50" t="s">
        <v>88</v>
      </c>
      <c r="AB50" t="s">
        <v>88</v>
      </c>
      <c r="AC50" t="s">
        <v>88</v>
      </c>
      <c r="AD50" t="s">
        <v>88</v>
      </c>
      <c r="AE50" t="str">
        <f>HYPERLINK("file:///C:/rest_photo/Buffalo Burger, Yeşilyurt (Çilesiz Mah. - Fahri Kayahan Blv.).jpg","Buffalo Burger, Yeşilyurt (Çilesiz Mah. - Fahri Kayahan Blv.)")</f>
        <v>Buffalo Burger, Yeşilyurt (Çilesiz Mah. - Fahri Kayahan Blv.)</v>
      </c>
      <c r="AF50" t="s">
        <v>403</v>
      </c>
      <c r="AG50" t="s">
        <v>79</v>
      </c>
      <c r="AH50" t="s">
        <v>88</v>
      </c>
      <c r="AI50" t="s">
        <v>88</v>
      </c>
      <c r="AJ50" t="s">
        <v>92</v>
      </c>
    </row>
    <row r="51" spans="2:36" x14ac:dyDescent="0.25">
      <c r="B51" t="s">
        <v>88</v>
      </c>
      <c r="C51" t="s">
        <v>88</v>
      </c>
      <c r="D51" t="s">
        <v>88</v>
      </c>
      <c r="E51" t="s">
        <v>88</v>
      </c>
      <c r="F51" t="s">
        <v>88</v>
      </c>
      <c r="G51" t="s">
        <v>88</v>
      </c>
      <c r="H51" t="s">
        <v>88</v>
      </c>
      <c r="I51" t="s">
        <v>88</v>
      </c>
      <c r="J51" t="s">
        <v>88</v>
      </c>
      <c r="K51" t="s">
        <v>88</v>
      </c>
      <c r="L51" t="s">
        <v>447</v>
      </c>
      <c r="M51" t="s">
        <v>88</v>
      </c>
      <c r="N51" t="s">
        <v>88</v>
      </c>
      <c r="O51" t="s">
        <v>88</v>
      </c>
      <c r="P51" t="s">
        <v>88</v>
      </c>
      <c r="Q51" t="s">
        <v>88</v>
      </c>
      <c r="R51" t="s">
        <v>88</v>
      </c>
      <c r="S51" t="s">
        <v>88</v>
      </c>
      <c r="T51" t="s">
        <v>88</v>
      </c>
      <c r="U51" t="s">
        <v>88</v>
      </c>
      <c r="V51" t="s">
        <v>88</v>
      </c>
      <c r="W51" t="s">
        <v>89</v>
      </c>
      <c r="X51" t="s">
        <v>88</v>
      </c>
      <c r="Y51" t="s">
        <v>90</v>
      </c>
      <c r="Z51" t="s">
        <v>113</v>
      </c>
      <c r="AA51" t="s">
        <v>88</v>
      </c>
      <c r="AB51" t="s">
        <v>88</v>
      </c>
      <c r="AC51" t="s">
        <v>88</v>
      </c>
      <c r="AD51" t="s">
        <v>88</v>
      </c>
      <c r="AE51" t="str">
        <f>HYPERLINK("file:///C:/rest_photo/Buffalo Wok Chicken, Yeşilyurt (Çilesiz Mah. - Fahri Kayahan Blv.).jpg","Buffalo Wok Chicken, Yeşilyurt (Çilesiz Mah. - Fahri Kayahan Blv.)")</f>
        <v>Buffalo Wok Chicken, Yeşilyurt (Çilesiz Mah. - Fahri Kayahan Blv.)</v>
      </c>
      <c r="AF51" t="s">
        <v>406</v>
      </c>
      <c r="AG51" t="s">
        <v>183</v>
      </c>
      <c r="AH51" t="s">
        <v>88</v>
      </c>
      <c r="AI51" t="s">
        <v>88</v>
      </c>
      <c r="AJ51" t="s">
        <v>92</v>
      </c>
    </row>
    <row r="52" spans="2:36" x14ac:dyDescent="0.25">
      <c r="B52" t="s">
        <v>88</v>
      </c>
      <c r="C52" t="s">
        <v>88</v>
      </c>
      <c r="D52" t="s">
        <v>88</v>
      </c>
      <c r="E52" t="s">
        <v>88</v>
      </c>
      <c r="F52" t="s">
        <v>88</v>
      </c>
      <c r="G52" t="s">
        <v>88</v>
      </c>
      <c r="H52" t="s">
        <v>88</v>
      </c>
      <c r="I52" t="s">
        <v>88</v>
      </c>
      <c r="J52" t="s">
        <v>88</v>
      </c>
      <c r="K52" t="s">
        <v>88</v>
      </c>
      <c r="L52" t="s">
        <v>448</v>
      </c>
      <c r="M52" t="s">
        <v>88</v>
      </c>
      <c r="N52" t="s">
        <v>88</v>
      </c>
      <c r="O52" t="s">
        <v>88</v>
      </c>
      <c r="P52" t="s">
        <v>88</v>
      </c>
      <c r="Q52" t="s">
        <v>88</v>
      </c>
      <c r="R52" t="s">
        <v>88</v>
      </c>
      <c r="S52" t="s">
        <v>88</v>
      </c>
      <c r="T52" t="s">
        <v>88</v>
      </c>
      <c r="U52" t="s">
        <v>88</v>
      </c>
      <c r="V52" t="s">
        <v>88</v>
      </c>
      <c r="W52" t="s">
        <v>89</v>
      </c>
      <c r="X52" t="s">
        <v>88</v>
      </c>
      <c r="Y52" t="s">
        <v>90</v>
      </c>
      <c r="Z52" t="s">
        <v>109</v>
      </c>
      <c r="AA52" t="s">
        <v>88</v>
      </c>
      <c r="AB52" t="s">
        <v>88</v>
      </c>
      <c r="AC52" t="s">
        <v>88</v>
      </c>
      <c r="AD52" t="s">
        <v>88</v>
      </c>
      <c r="AE52" t="str">
        <f>HYPERLINK("file:///C:/rest_photo/Bulgur Çiğ Köfte &amp; Fast Food, Yeşilyurt (Bostanbaşı Mah.).jpg","Bulgur Çiğ Köfte &amp; Fast Food, Yeşilyurt (Bostanbaşı Mah.)")</f>
        <v>Bulgur Çiğ Köfte &amp; Fast Food, Yeşilyurt (Bostanbaşı Mah.)</v>
      </c>
      <c r="AF52" t="s">
        <v>81</v>
      </c>
      <c r="AG52" t="s">
        <v>106</v>
      </c>
      <c r="AH52" t="s">
        <v>88</v>
      </c>
      <c r="AI52" t="s">
        <v>88</v>
      </c>
      <c r="AJ52" t="s">
        <v>92</v>
      </c>
    </row>
    <row r="53" spans="2:36" x14ac:dyDescent="0.25">
      <c r="B53" t="s">
        <v>88</v>
      </c>
      <c r="C53" t="s">
        <v>88</v>
      </c>
      <c r="D53" t="s">
        <v>88</v>
      </c>
      <c r="E53" t="s">
        <v>88</v>
      </c>
      <c r="F53" t="s">
        <v>88</v>
      </c>
      <c r="G53" t="s">
        <v>88</v>
      </c>
      <c r="H53" t="s">
        <v>88</v>
      </c>
      <c r="I53" t="s">
        <v>88</v>
      </c>
      <c r="J53" t="s">
        <v>88</v>
      </c>
      <c r="K53" t="s">
        <v>88</v>
      </c>
      <c r="L53" t="s">
        <v>449</v>
      </c>
      <c r="M53" t="s">
        <v>88</v>
      </c>
      <c r="N53" t="s">
        <v>88</v>
      </c>
      <c r="O53" t="s">
        <v>88</v>
      </c>
      <c r="P53" t="s">
        <v>88</v>
      </c>
      <c r="Q53" t="s">
        <v>88</v>
      </c>
      <c r="R53" t="s">
        <v>88</v>
      </c>
      <c r="S53" t="s">
        <v>88</v>
      </c>
      <c r="T53" t="s">
        <v>88</v>
      </c>
      <c r="U53" t="s">
        <v>88</v>
      </c>
      <c r="V53" t="s">
        <v>88</v>
      </c>
      <c r="W53" t="s">
        <v>89</v>
      </c>
      <c r="X53" t="s">
        <v>88</v>
      </c>
      <c r="Y53" t="s">
        <v>90</v>
      </c>
      <c r="Z53" t="s">
        <v>113</v>
      </c>
      <c r="AA53" t="s">
        <v>88</v>
      </c>
      <c r="AB53" t="s">
        <v>88</v>
      </c>
      <c r="AC53" t="s">
        <v>88</v>
      </c>
      <c r="AD53" t="s">
        <v>88</v>
      </c>
      <c r="AE53" t="str">
        <f>HYPERLINK("file:///C:/rest_photo/Bulvar Et &amp; Mangal, Yeşilyurt (Çilesiz Mah. - Fahri Kayahan Blv.).jpg","Bulvar Et &amp; Mangal, Yeşilyurt (Çilesiz Mah. - Fahri Kayahan Blv.)")</f>
        <v>Bulvar Et &amp; Mangal, Yeşilyurt (Çilesiz Mah. - Fahri Kayahan Blv.)</v>
      </c>
      <c r="AF53" t="s">
        <v>406</v>
      </c>
      <c r="AG53" t="s">
        <v>186</v>
      </c>
      <c r="AH53" t="s">
        <v>88</v>
      </c>
      <c r="AI53" t="s">
        <v>88</v>
      </c>
      <c r="AJ53" t="s">
        <v>92</v>
      </c>
    </row>
    <row r="54" spans="2:36" x14ac:dyDescent="0.25">
      <c r="B54" t="s">
        <v>88</v>
      </c>
      <c r="C54" t="s">
        <v>88</v>
      </c>
      <c r="D54" t="s">
        <v>88</v>
      </c>
      <c r="E54" t="s">
        <v>88</v>
      </c>
      <c r="F54" t="s">
        <v>88</v>
      </c>
      <c r="G54" t="s">
        <v>88</v>
      </c>
      <c r="H54" t="s">
        <v>88</v>
      </c>
      <c r="I54" t="s">
        <v>88</v>
      </c>
      <c r="J54" t="s">
        <v>88</v>
      </c>
      <c r="K54" t="s">
        <v>88</v>
      </c>
      <c r="L54" t="s">
        <v>450</v>
      </c>
      <c r="M54" t="s">
        <v>88</v>
      </c>
      <c r="N54" t="s">
        <v>88</v>
      </c>
      <c r="O54" t="s">
        <v>88</v>
      </c>
      <c r="P54" t="s">
        <v>88</v>
      </c>
      <c r="Q54" t="s">
        <v>88</v>
      </c>
      <c r="R54" t="s">
        <v>88</v>
      </c>
      <c r="S54" t="s">
        <v>88</v>
      </c>
      <c r="T54" t="s">
        <v>88</v>
      </c>
      <c r="U54" t="s">
        <v>88</v>
      </c>
      <c r="V54" t="s">
        <v>88</v>
      </c>
      <c r="W54" t="s">
        <v>89</v>
      </c>
      <c r="X54" t="s">
        <v>88</v>
      </c>
      <c r="Y54" t="s">
        <v>90</v>
      </c>
      <c r="Z54" t="s">
        <v>94</v>
      </c>
      <c r="AA54" t="s">
        <v>88</v>
      </c>
      <c r="AB54" t="s">
        <v>88</v>
      </c>
      <c r="AC54" t="s">
        <v>88</v>
      </c>
      <c r="AD54" t="s">
        <v>88</v>
      </c>
      <c r="AE54" t="str">
        <f>HYPERLINK("file:///C:/rest_photo/Burgerim, Yeşilyurt (İnönü Mah. - Malatya Park Avm).jpg","Burgerim, Yeşilyurt (İnönü Mah. - Malatya Park Avm)")</f>
        <v>Burgerim, Yeşilyurt (İnönü Mah. - Malatya Park Avm)</v>
      </c>
      <c r="AF54" t="s">
        <v>406</v>
      </c>
      <c r="AG54" t="s">
        <v>79</v>
      </c>
      <c r="AH54" t="s">
        <v>88</v>
      </c>
      <c r="AI54" t="s">
        <v>88</v>
      </c>
      <c r="AJ54" t="s">
        <v>92</v>
      </c>
    </row>
    <row r="55" spans="2:36" ht="15.75" customHeight="1" x14ac:dyDescent="0.25">
      <c r="B55" t="s">
        <v>88</v>
      </c>
      <c r="C55" t="s">
        <v>88</v>
      </c>
      <c r="D55" t="s">
        <v>88</v>
      </c>
      <c r="E55" t="s">
        <v>88</v>
      </c>
      <c r="F55" t="s">
        <v>88</v>
      </c>
      <c r="G55" t="s">
        <v>88</v>
      </c>
      <c r="H55" t="s">
        <v>88</v>
      </c>
      <c r="I55" t="s">
        <v>88</v>
      </c>
      <c r="J55" t="s">
        <v>88</v>
      </c>
      <c r="K55" t="s">
        <v>88</v>
      </c>
      <c r="L55" t="s">
        <v>189</v>
      </c>
      <c r="M55" t="s">
        <v>88</v>
      </c>
      <c r="N55" t="s">
        <v>88</v>
      </c>
      <c r="O55" t="s">
        <v>88</v>
      </c>
      <c r="P55" t="s">
        <v>88</v>
      </c>
      <c r="Q55" t="s">
        <v>88</v>
      </c>
      <c r="R55" t="s">
        <v>88</v>
      </c>
      <c r="S55" t="s">
        <v>88</v>
      </c>
      <c r="T55" t="s">
        <v>88</v>
      </c>
      <c r="U55" t="s">
        <v>88</v>
      </c>
      <c r="V55" t="s">
        <v>88</v>
      </c>
      <c r="W55" t="s">
        <v>89</v>
      </c>
      <c r="X55" t="s">
        <v>88</v>
      </c>
      <c r="Y55" t="s">
        <v>90</v>
      </c>
      <c r="Z55" t="s">
        <v>113</v>
      </c>
      <c r="AA55" t="s">
        <v>88</v>
      </c>
      <c r="AB55" t="s">
        <v>88</v>
      </c>
      <c r="AC55" t="s">
        <v>88</v>
      </c>
      <c r="AD55" t="s">
        <v>88</v>
      </c>
      <c r="AE55" t="str">
        <f>HYPERLINK("file:///C:/rest_photo/Burger King, Yeşilyurt (Çilesiz Mah. - Fahri Kayahan Blv.).jpg","Burger King, Yeşilyurt (Çilesiz Mah. - Fahri Kayahan Blv.)")</f>
        <v>Burger King, Yeşilyurt (Çilesiz Mah. - Fahri Kayahan Blv.)</v>
      </c>
      <c r="AF55" t="s">
        <v>421</v>
      </c>
      <c r="AG55" t="s">
        <v>189</v>
      </c>
      <c r="AH55" t="s">
        <v>88</v>
      </c>
      <c r="AI55" t="s">
        <v>88</v>
      </c>
      <c r="AJ55" t="s">
        <v>92</v>
      </c>
    </row>
    <row r="56" spans="2:36" x14ac:dyDescent="0.25">
      <c r="B56" t="s">
        <v>88</v>
      </c>
      <c r="C56" t="s">
        <v>88</v>
      </c>
      <c r="D56" t="s">
        <v>88</v>
      </c>
      <c r="E56" t="s">
        <v>88</v>
      </c>
      <c r="F56" t="s">
        <v>88</v>
      </c>
      <c r="G56" t="s">
        <v>88</v>
      </c>
      <c r="H56" t="s">
        <v>88</v>
      </c>
      <c r="I56" t="s">
        <v>88</v>
      </c>
      <c r="J56" t="s">
        <v>88</v>
      </c>
      <c r="K56" t="s">
        <v>88</v>
      </c>
      <c r="L56" t="s">
        <v>189</v>
      </c>
      <c r="M56" t="s">
        <v>88</v>
      </c>
      <c r="N56" t="s">
        <v>88</v>
      </c>
      <c r="O56" t="s">
        <v>88</v>
      </c>
      <c r="P56" t="s">
        <v>88</v>
      </c>
      <c r="Q56" t="s">
        <v>88</v>
      </c>
      <c r="R56" t="s">
        <v>88</v>
      </c>
      <c r="S56" t="s">
        <v>88</v>
      </c>
      <c r="T56" t="s">
        <v>88</v>
      </c>
      <c r="U56" t="s">
        <v>88</v>
      </c>
      <c r="V56" t="s">
        <v>88</v>
      </c>
      <c r="W56" t="s">
        <v>89</v>
      </c>
      <c r="X56" t="s">
        <v>88</v>
      </c>
      <c r="Y56" t="s">
        <v>90</v>
      </c>
      <c r="Z56" t="s">
        <v>94</v>
      </c>
      <c r="AA56" t="s">
        <v>88</v>
      </c>
      <c r="AB56" t="s">
        <v>88</v>
      </c>
      <c r="AC56" t="s">
        <v>88</v>
      </c>
      <c r="AD56" t="s">
        <v>88</v>
      </c>
      <c r="AE56" t="str">
        <f>HYPERLINK("file:///C:/rest_photo/Burger King, Yeşilyurt (İnönü Mah. - Malatya Park Avm).jpg","Burger King, Yeşilyurt (İnönü Mah. - Malatya Park Avm)")</f>
        <v>Burger King, Yeşilyurt (İnönü Mah. - Malatya Park Avm)</v>
      </c>
      <c r="AF56" t="s">
        <v>440</v>
      </c>
      <c r="AG56" t="s">
        <v>189</v>
      </c>
      <c r="AH56" t="s">
        <v>88</v>
      </c>
      <c r="AI56" t="s">
        <v>88</v>
      </c>
      <c r="AJ56" t="s">
        <v>92</v>
      </c>
    </row>
    <row r="57" spans="2:36" x14ac:dyDescent="0.25">
      <c r="B57" t="s">
        <v>88</v>
      </c>
      <c r="C57" t="s">
        <v>88</v>
      </c>
      <c r="D57" t="s">
        <v>88</v>
      </c>
      <c r="E57" t="s">
        <v>88</v>
      </c>
      <c r="F57" t="s">
        <v>88</v>
      </c>
      <c r="G57" t="s">
        <v>88</v>
      </c>
      <c r="H57" t="s">
        <v>88</v>
      </c>
      <c r="I57" t="s">
        <v>88</v>
      </c>
      <c r="J57" t="s">
        <v>88</v>
      </c>
      <c r="K57" t="s">
        <v>88</v>
      </c>
      <c r="L57" t="s">
        <v>451</v>
      </c>
      <c r="M57" t="s">
        <v>88</v>
      </c>
      <c r="N57" t="s">
        <v>88</v>
      </c>
      <c r="O57" t="s">
        <v>88</v>
      </c>
      <c r="P57" t="s">
        <v>88</v>
      </c>
      <c r="Q57" t="s">
        <v>88</v>
      </c>
      <c r="R57" t="s">
        <v>88</v>
      </c>
      <c r="S57" t="s">
        <v>88</v>
      </c>
      <c r="T57" t="s">
        <v>88</v>
      </c>
      <c r="U57" t="s">
        <v>88</v>
      </c>
      <c r="V57" t="s">
        <v>88</v>
      </c>
      <c r="W57" t="s">
        <v>89</v>
      </c>
      <c r="X57" t="s">
        <v>88</v>
      </c>
      <c r="Y57" t="s">
        <v>90</v>
      </c>
      <c r="Z57" t="s">
        <v>113</v>
      </c>
      <c r="AA57" t="s">
        <v>88</v>
      </c>
      <c r="AB57" t="s">
        <v>88</v>
      </c>
      <c r="AC57" t="s">
        <v>88</v>
      </c>
      <c r="AD57" t="s">
        <v>88</v>
      </c>
      <c r="AE57" t="str">
        <f>HYPERLINK("file:///C:/rest_photo/By Yüksel Salik Tatlıları, Yeşilyurt (Çilesiz Mah. - Fahri Kayahan Blv.).jpg","By Yüksel Salik Tatlıları, Yeşilyurt (Çilesiz Mah. - Fahri Kayahan Blv.)")</f>
        <v>By Yüksel Salik Tatlıları, Yeşilyurt (Çilesiz Mah. - Fahri Kayahan Blv.)</v>
      </c>
      <c r="AF57" t="s">
        <v>81</v>
      </c>
      <c r="AG57" t="s">
        <v>99</v>
      </c>
      <c r="AH57" t="s">
        <v>88</v>
      </c>
      <c r="AI57" t="s">
        <v>88</v>
      </c>
      <c r="AJ57" t="s">
        <v>92</v>
      </c>
    </row>
    <row r="58" spans="2:36" x14ac:dyDescent="0.25">
      <c r="B58" t="s">
        <v>88</v>
      </c>
      <c r="C58" t="s">
        <v>88</v>
      </c>
      <c r="D58" t="s">
        <v>88</v>
      </c>
      <c r="E58" t="s">
        <v>88</v>
      </c>
      <c r="F58" t="s">
        <v>88</v>
      </c>
      <c r="G58" t="s">
        <v>88</v>
      </c>
      <c r="H58" t="s">
        <v>88</v>
      </c>
      <c r="I58" t="s">
        <v>88</v>
      </c>
      <c r="J58" t="s">
        <v>88</v>
      </c>
      <c r="K58" t="s">
        <v>88</v>
      </c>
      <c r="L58" t="s">
        <v>452</v>
      </c>
      <c r="M58" t="s">
        <v>88</v>
      </c>
      <c r="N58" t="s">
        <v>88</v>
      </c>
      <c r="O58" t="s">
        <v>88</v>
      </c>
      <c r="P58" t="s">
        <v>88</v>
      </c>
      <c r="Q58" t="s">
        <v>88</v>
      </c>
      <c r="R58" t="s">
        <v>88</v>
      </c>
      <c r="S58" t="s">
        <v>88</v>
      </c>
      <c r="T58" t="s">
        <v>88</v>
      </c>
      <c r="U58" t="s">
        <v>88</v>
      </c>
      <c r="V58" t="s">
        <v>88</v>
      </c>
      <c r="W58" t="s">
        <v>89</v>
      </c>
      <c r="X58" t="s">
        <v>88</v>
      </c>
      <c r="Y58" t="s">
        <v>90</v>
      </c>
      <c r="Z58" t="s">
        <v>109</v>
      </c>
      <c r="AA58" t="s">
        <v>88</v>
      </c>
      <c r="AB58" t="s">
        <v>88</v>
      </c>
      <c r="AC58" t="s">
        <v>88</v>
      </c>
      <c r="AD58" t="s">
        <v>88</v>
      </c>
      <c r="AE58" t="str">
        <f>HYPERLINK("file:///C:/rest_photo/Cadde Bostan Mangal Evi, Yeşilyurt (Bostanbaşı Mah.).jpg","Cadde Bostan Mangal Evi, Yeşilyurt (Bostanbaşı Mah.)")</f>
        <v>Cadde Bostan Mangal Evi, Yeşilyurt (Bostanbaşı Mah.)</v>
      </c>
      <c r="AF58" t="s">
        <v>81</v>
      </c>
      <c r="AG58" t="s">
        <v>103</v>
      </c>
      <c r="AH58" t="s">
        <v>88</v>
      </c>
      <c r="AI58" t="s">
        <v>88</v>
      </c>
      <c r="AJ58" t="s">
        <v>92</v>
      </c>
    </row>
    <row r="59" spans="2:36" x14ac:dyDescent="0.25">
      <c r="B59" t="s">
        <v>88</v>
      </c>
      <c r="C59" t="s">
        <v>88</v>
      </c>
      <c r="D59" t="s">
        <v>88</v>
      </c>
      <c r="E59" t="s">
        <v>88</v>
      </c>
      <c r="F59" t="s">
        <v>88</v>
      </c>
      <c r="G59" t="s">
        <v>88</v>
      </c>
      <c r="H59" t="s">
        <v>88</v>
      </c>
      <c r="I59" t="s">
        <v>88</v>
      </c>
      <c r="J59" t="s">
        <v>88</v>
      </c>
      <c r="K59" t="s">
        <v>88</v>
      </c>
      <c r="L59" t="s">
        <v>453</v>
      </c>
      <c r="M59" t="s">
        <v>88</v>
      </c>
      <c r="N59" t="s">
        <v>88</v>
      </c>
      <c r="O59" t="s">
        <v>88</v>
      </c>
      <c r="P59" t="s">
        <v>88</v>
      </c>
      <c r="Q59" t="s">
        <v>88</v>
      </c>
      <c r="R59" t="s">
        <v>88</v>
      </c>
      <c r="S59" t="s">
        <v>88</v>
      </c>
      <c r="T59" t="s">
        <v>88</v>
      </c>
      <c r="U59" t="s">
        <v>88</v>
      </c>
      <c r="V59" t="s">
        <v>88</v>
      </c>
      <c r="W59" t="s">
        <v>89</v>
      </c>
      <c r="X59" t="s">
        <v>88</v>
      </c>
      <c r="Y59" t="s">
        <v>90</v>
      </c>
      <c r="Z59" t="s">
        <v>168</v>
      </c>
      <c r="AA59" t="s">
        <v>88</v>
      </c>
      <c r="AB59" t="s">
        <v>88</v>
      </c>
      <c r="AC59" t="s">
        <v>88</v>
      </c>
      <c r="AD59" t="s">
        <v>88</v>
      </c>
      <c r="AE59" t="str">
        <f>HYPERLINK("file:///C:/rest_photo/Cadde Kebap, Yeşilyurt (Özalper Mah.).jpg","Cadde Kebap, Yeşilyurt (Özalper Mah.)")</f>
        <v>Cadde Kebap, Yeşilyurt (Özalper Mah.)</v>
      </c>
      <c r="AF59" t="s">
        <v>403</v>
      </c>
      <c r="AG59" t="s">
        <v>103</v>
      </c>
      <c r="AH59" t="s">
        <v>88</v>
      </c>
      <c r="AI59" t="s">
        <v>88</v>
      </c>
      <c r="AJ59" t="s">
        <v>92</v>
      </c>
    </row>
    <row r="60" spans="2:36" x14ac:dyDescent="0.25">
      <c r="B60" t="s">
        <v>88</v>
      </c>
      <c r="C60" t="s">
        <v>88</v>
      </c>
      <c r="D60" t="s">
        <v>88</v>
      </c>
      <c r="E60" t="s">
        <v>88</v>
      </c>
      <c r="F60" t="s">
        <v>88</v>
      </c>
      <c r="G60" t="s">
        <v>88</v>
      </c>
      <c r="H60" t="s">
        <v>88</v>
      </c>
      <c r="I60" t="s">
        <v>88</v>
      </c>
      <c r="J60" t="s">
        <v>88</v>
      </c>
      <c r="K60" t="s">
        <v>88</v>
      </c>
      <c r="L60" t="s">
        <v>454</v>
      </c>
      <c r="M60" t="s">
        <v>88</v>
      </c>
      <c r="N60" t="s">
        <v>88</v>
      </c>
      <c r="O60" t="s">
        <v>88</v>
      </c>
      <c r="P60" t="s">
        <v>88</v>
      </c>
      <c r="Q60" t="s">
        <v>88</v>
      </c>
      <c r="R60" t="s">
        <v>88</v>
      </c>
      <c r="S60" t="s">
        <v>88</v>
      </c>
      <c r="T60" t="s">
        <v>88</v>
      </c>
      <c r="U60" t="s">
        <v>88</v>
      </c>
      <c r="V60" t="s">
        <v>88</v>
      </c>
      <c r="W60" t="s">
        <v>89</v>
      </c>
      <c r="X60" t="s">
        <v>88</v>
      </c>
      <c r="Y60" t="s">
        <v>90</v>
      </c>
      <c r="Z60" t="s">
        <v>94</v>
      </c>
      <c r="AA60" t="s">
        <v>88</v>
      </c>
      <c r="AB60" t="s">
        <v>88</v>
      </c>
      <c r="AC60" t="s">
        <v>88</v>
      </c>
      <c r="AD60" t="s">
        <v>88</v>
      </c>
      <c r="AE60" t="str">
        <f>HYPERLINK("file:///C:/rest_photo/Cajun Chicken Box, Yeşilyurt (İnönü Mah. - Malatya Park Avm).jpg","Cajun Chicken Box, Yeşilyurt (İnönü Mah. - Malatya Park Avm)")</f>
        <v>Cajun Chicken Box, Yeşilyurt (İnönü Mah. - Malatya Park Avm)</v>
      </c>
      <c r="AF60" t="s">
        <v>421</v>
      </c>
      <c r="AG60" t="s">
        <v>183</v>
      </c>
      <c r="AH60" t="s">
        <v>88</v>
      </c>
      <c r="AI60" t="s">
        <v>88</v>
      </c>
      <c r="AJ60" t="s">
        <v>92</v>
      </c>
    </row>
    <row r="61" spans="2:36" x14ac:dyDescent="0.25">
      <c r="B61" t="s">
        <v>88</v>
      </c>
      <c r="C61" t="s">
        <v>88</v>
      </c>
      <c r="D61" t="s">
        <v>88</v>
      </c>
      <c r="E61" t="s">
        <v>88</v>
      </c>
      <c r="F61" t="s">
        <v>88</v>
      </c>
      <c r="G61" t="s">
        <v>88</v>
      </c>
      <c r="H61" t="s">
        <v>88</v>
      </c>
      <c r="I61" t="s">
        <v>88</v>
      </c>
      <c r="J61" t="s">
        <v>88</v>
      </c>
      <c r="K61" t="s">
        <v>88</v>
      </c>
      <c r="L61" t="s">
        <v>455</v>
      </c>
      <c r="M61" t="s">
        <v>88</v>
      </c>
      <c r="N61" t="s">
        <v>88</v>
      </c>
      <c r="O61" t="s">
        <v>88</v>
      </c>
      <c r="P61" t="s">
        <v>88</v>
      </c>
      <c r="Q61" t="s">
        <v>88</v>
      </c>
      <c r="R61" t="s">
        <v>88</v>
      </c>
      <c r="S61" t="s">
        <v>88</v>
      </c>
      <c r="T61" t="s">
        <v>88</v>
      </c>
      <c r="U61" t="s">
        <v>88</v>
      </c>
      <c r="V61" t="s">
        <v>88</v>
      </c>
      <c r="W61" t="s">
        <v>89</v>
      </c>
      <c r="X61" t="s">
        <v>88</v>
      </c>
      <c r="Y61" t="s">
        <v>90</v>
      </c>
      <c r="Z61" t="s">
        <v>133</v>
      </c>
      <c r="AA61" t="s">
        <v>88</v>
      </c>
      <c r="AB61" t="s">
        <v>88</v>
      </c>
      <c r="AC61" t="s">
        <v>88</v>
      </c>
      <c r="AD61" t="s">
        <v>88</v>
      </c>
      <c r="AE61" t="str">
        <f>HYPERLINK("file:///C:/rest_photo/Cızbız Mangal, Yeşilyurt (Karakavak Mah.).jpg","Cızbız Mangal, Yeşilyurt (Karakavak Mah.)")</f>
        <v>Cızbız Mangal, Yeşilyurt (Karakavak Mah.)</v>
      </c>
      <c r="AF61" t="s">
        <v>81</v>
      </c>
      <c r="AG61" t="s">
        <v>103</v>
      </c>
      <c r="AH61" t="s">
        <v>88</v>
      </c>
      <c r="AI61" t="s">
        <v>88</v>
      </c>
      <c r="AJ61" t="s">
        <v>92</v>
      </c>
    </row>
    <row r="62" spans="2:36" x14ac:dyDescent="0.25">
      <c r="B62" t="s">
        <v>88</v>
      </c>
      <c r="C62" t="s">
        <v>88</v>
      </c>
      <c r="D62" t="s">
        <v>88</v>
      </c>
      <c r="E62" t="s">
        <v>88</v>
      </c>
      <c r="F62" t="s">
        <v>88</v>
      </c>
      <c r="G62" t="s">
        <v>88</v>
      </c>
      <c r="H62" t="s">
        <v>88</v>
      </c>
      <c r="I62" t="s">
        <v>88</v>
      </c>
      <c r="J62" t="s">
        <v>88</v>
      </c>
      <c r="K62" t="s">
        <v>88</v>
      </c>
      <c r="L62" t="s">
        <v>456</v>
      </c>
      <c r="M62" t="s">
        <v>88</v>
      </c>
      <c r="N62" t="s">
        <v>88</v>
      </c>
      <c r="O62" t="s">
        <v>88</v>
      </c>
      <c r="P62" t="s">
        <v>88</v>
      </c>
      <c r="Q62" t="s">
        <v>88</v>
      </c>
      <c r="R62" t="s">
        <v>88</v>
      </c>
      <c r="S62" t="s">
        <v>88</v>
      </c>
      <c r="T62" t="s">
        <v>88</v>
      </c>
      <c r="U62" t="s">
        <v>88</v>
      </c>
      <c r="V62" t="s">
        <v>88</v>
      </c>
      <c r="W62" t="s">
        <v>89</v>
      </c>
      <c r="X62" t="s">
        <v>88</v>
      </c>
      <c r="Y62" t="s">
        <v>100</v>
      </c>
      <c r="Z62" t="s">
        <v>197</v>
      </c>
      <c r="AA62" t="s">
        <v>88</v>
      </c>
      <c r="AB62" t="s">
        <v>88</v>
      </c>
      <c r="AC62" t="s">
        <v>88</v>
      </c>
      <c r="AD62" t="s">
        <v>88</v>
      </c>
      <c r="AE62" t="str">
        <f>HYPERLINK("file:///C:/rest_photo/Cızzgara Döner, Battalgazi (Büyük Hüseyinbey Mah.).jpg","Cızzgara Döner, Battalgazi (Büyük Hüseyinbey Mah.)")</f>
        <v>Cızzgara Döner, Battalgazi (Büyük Hüseyinbey Mah.)</v>
      </c>
      <c r="AF62" t="s">
        <v>403</v>
      </c>
      <c r="AG62" t="s">
        <v>139</v>
      </c>
      <c r="AH62" t="s">
        <v>88</v>
      </c>
      <c r="AI62" t="s">
        <v>88</v>
      </c>
      <c r="AJ62" t="s">
        <v>92</v>
      </c>
    </row>
    <row r="63" spans="2:36" x14ac:dyDescent="0.25">
      <c r="B63" t="s">
        <v>88</v>
      </c>
      <c r="C63" t="s">
        <v>88</v>
      </c>
      <c r="D63" t="s">
        <v>88</v>
      </c>
      <c r="E63" t="s">
        <v>88</v>
      </c>
      <c r="F63" t="s">
        <v>88</v>
      </c>
      <c r="G63" t="s">
        <v>88</v>
      </c>
      <c r="H63" t="s">
        <v>88</v>
      </c>
      <c r="I63" t="s">
        <v>88</v>
      </c>
      <c r="J63" t="s">
        <v>88</v>
      </c>
      <c r="K63" t="s">
        <v>88</v>
      </c>
      <c r="L63" t="s">
        <v>457</v>
      </c>
      <c r="M63" t="s">
        <v>88</v>
      </c>
      <c r="N63" t="s">
        <v>88</v>
      </c>
      <c r="O63" t="s">
        <v>88</v>
      </c>
      <c r="P63" t="s">
        <v>88</v>
      </c>
      <c r="Q63" t="s">
        <v>88</v>
      </c>
      <c r="R63" t="s">
        <v>88</v>
      </c>
      <c r="S63" t="s">
        <v>88</v>
      </c>
      <c r="T63" t="s">
        <v>88</v>
      </c>
      <c r="U63" t="s">
        <v>88</v>
      </c>
      <c r="V63" t="s">
        <v>88</v>
      </c>
      <c r="W63" t="s">
        <v>89</v>
      </c>
      <c r="X63" t="s">
        <v>88</v>
      </c>
      <c r="Y63" t="s">
        <v>90</v>
      </c>
      <c r="Z63" t="s">
        <v>168</v>
      </c>
      <c r="AA63" t="s">
        <v>88</v>
      </c>
      <c r="AB63" t="s">
        <v>88</v>
      </c>
      <c r="AC63" t="s">
        <v>88</v>
      </c>
      <c r="AD63" t="s">
        <v>88</v>
      </c>
      <c r="AE63" t="str">
        <f>HYPERLINK("file:///C:/rest_photo/Curcuna Kokoreç, Yeşilyurt (Özalper Mah.).jpg","Curcuna Kokoreç, Yeşilyurt (Özalper Mah.)")</f>
        <v>Curcuna Kokoreç, Yeşilyurt (Özalper Mah.)</v>
      </c>
      <c r="AF63" t="s">
        <v>81</v>
      </c>
      <c r="AG63" t="s">
        <v>199</v>
      </c>
      <c r="AH63" t="s">
        <v>88</v>
      </c>
      <c r="AI63" t="s">
        <v>88</v>
      </c>
      <c r="AJ63" t="s">
        <v>92</v>
      </c>
    </row>
    <row r="64" spans="2:36" x14ac:dyDescent="0.25">
      <c r="B64" t="s">
        <v>88</v>
      </c>
      <c r="C64" t="s">
        <v>88</v>
      </c>
      <c r="D64" t="s">
        <v>88</v>
      </c>
      <c r="E64" t="s">
        <v>88</v>
      </c>
      <c r="F64" t="s">
        <v>88</v>
      </c>
      <c r="G64" t="s">
        <v>88</v>
      </c>
      <c r="H64" t="s">
        <v>88</v>
      </c>
      <c r="I64" t="s">
        <v>88</v>
      </c>
      <c r="J64" t="s">
        <v>88</v>
      </c>
      <c r="K64" t="s">
        <v>88</v>
      </c>
      <c r="L64" t="s">
        <v>458</v>
      </c>
      <c r="M64" t="s">
        <v>88</v>
      </c>
      <c r="N64" t="s">
        <v>88</v>
      </c>
      <c r="O64" t="s">
        <v>88</v>
      </c>
      <c r="P64" t="s">
        <v>88</v>
      </c>
      <c r="Q64" t="s">
        <v>88</v>
      </c>
      <c r="R64" t="s">
        <v>88</v>
      </c>
      <c r="S64" t="s">
        <v>88</v>
      </c>
      <c r="T64" t="s">
        <v>88</v>
      </c>
      <c r="U64" t="s">
        <v>88</v>
      </c>
      <c r="V64" t="s">
        <v>88</v>
      </c>
      <c r="W64" t="s">
        <v>89</v>
      </c>
      <c r="X64" t="s">
        <v>88</v>
      </c>
      <c r="Y64" t="s">
        <v>90</v>
      </c>
      <c r="Z64" t="s">
        <v>113</v>
      </c>
      <c r="AA64" t="s">
        <v>88</v>
      </c>
      <c r="AB64" t="s">
        <v>88</v>
      </c>
      <c r="AC64" t="s">
        <v>88</v>
      </c>
      <c r="AD64" t="s">
        <v>88</v>
      </c>
      <c r="AE64" t="str">
        <f>HYPERLINK("file:///C:/rest_photo/Çadır Kebap, Yeşilyurt (Çilesiz Mah. - Fahri Kayahan Blv.).jpg","Çadır Kebap, Yeşilyurt (Çilesiz Mah. - Fahri Kayahan Blv.)")</f>
        <v>Çadır Kebap, Yeşilyurt (Çilesiz Mah. - Fahri Kayahan Blv.)</v>
      </c>
      <c r="AF64" t="s">
        <v>403</v>
      </c>
      <c r="AG64" t="s">
        <v>103</v>
      </c>
      <c r="AH64" t="s">
        <v>88</v>
      </c>
      <c r="AI64" t="s">
        <v>88</v>
      </c>
      <c r="AJ64" t="s">
        <v>92</v>
      </c>
    </row>
    <row r="65" spans="2:36" x14ac:dyDescent="0.25">
      <c r="B65" t="s">
        <v>88</v>
      </c>
      <c r="C65" t="s">
        <v>88</v>
      </c>
      <c r="D65" t="s">
        <v>88</v>
      </c>
      <c r="E65" t="s">
        <v>88</v>
      </c>
      <c r="F65" t="s">
        <v>88</v>
      </c>
      <c r="G65" t="s">
        <v>88</v>
      </c>
      <c r="H65" t="s">
        <v>88</v>
      </c>
      <c r="I65" t="s">
        <v>88</v>
      </c>
      <c r="J65" t="s">
        <v>88</v>
      </c>
      <c r="K65" t="s">
        <v>88</v>
      </c>
      <c r="L65" t="s">
        <v>459</v>
      </c>
      <c r="M65" t="s">
        <v>88</v>
      </c>
      <c r="N65" t="s">
        <v>88</v>
      </c>
      <c r="O65" t="s">
        <v>88</v>
      </c>
      <c r="P65" t="s">
        <v>88</v>
      </c>
      <c r="Q65" t="s">
        <v>88</v>
      </c>
      <c r="R65" t="s">
        <v>88</v>
      </c>
      <c r="S65" t="s">
        <v>88</v>
      </c>
      <c r="T65" t="s">
        <v>88</v>
      </c>
      <c r="U65" t="s">
        <v>88</v>
      </c>
      <c r="V65" t="s">
        <v>88</v>
      </c>
      <c r="W65" t="s">
        <v>89</v>
      </c>
      <c r="X65" t="s">
        <v>88</v>
      </c>
      <c r="Y65" t="s">
        <v>90</v>
      </c>
      <c r="Z65" t="s">
        <v>91</v>
      </c>
      <c r="AA65" t="s">
        <v>88</v>
      </c>
      <c r="AB65" t="s">
        <v>88</v>
      </c>
      <c r="AC65" t="s">
        <v>88</v>
      </c>
      <c r="AD65" t="s">
        <v>88</v>
      </c>
      <c r="AE65" t="str">
        <f>HYPERLINK("file:///C:/rest_photo/Çamlıca Restaurant, Yeşilyurt (İnönü Mah. - İnönü Cad.).jpg","Çamlıca Restaurant, Yeşilyurt (İnönü Mah. - İnönü Cad.)")</f>
        <v>Çamlıca Restaurant, Yeşilyurt (İnönü Mah. - İnönü Cad.)</v>
      </c>
      <c r="AF65" t="s">
        <v>403</v>
      </c>
      <c r="AG65" t="s">
        <v>103</v>
      </c>
      <c r="AH65" t="s">
        <v>88</v>
      </c>
      <c r="AI65" t="s">
        <v>88</v>
      </c>
      <c r="AJ65" t="s">
        <v>92</v>
      </c>
    </row>
    <row r="66" spans="2:36" x14ac:dyDescent="0.25">
      <c r="B66" t="s">
        <v>88</v>
      </c>
      <c r="C66" t="s">
        <v>88</v>
      </c>
      <c r="D66" t="s">
        <v>88</v>
      </c>
      <c r="E66" t="s">
        <v>88</v>
      </c>
      <c r="F66" t="s">
        <v>88</v>
      </c>
      <c r="G66" t="s">
        <v>88</v>
      </c>
      <c r="H66" t="s">
        <v>88</v>
      </c>
      <c r="I66" t="s">
        <v>88</v>
      </c>
      <c r="J66" t="s">
        <v>88</v>
      </c>
      <c r="K66" t="s">
        <v>88</v>
      </c>
      <c r="L66" t="s">
        <v>460</v>
      </c>
      <c r="M66" t="s">
        <v>88</v>
      </c>
      <c r="N66" t="s">
        <v>88</v>
      </c>
      <c r="O66" t="s">
        <v>88</v>
      </c>
      <c r="P66" t="s">
        <v>88</v>
      </c>
      <c r="Q66" t="s">
        <v>88</v>
      </c>
      <c r="R66" t="s">
        <v>88</v>
      </c>
      <c r="S66" t="s">
        <v>88</v>
      </c>
      <c r="T66" t="s">
        <v>88</v>
      </c>
      <c r="U66" t="s">
        <v>88</v>
      </c>
      <c r="V66" t="s">
        <v>88</v>
      </c>
      <c r="W66" t="s">
        <v>89</v>
      </c>
      <c r="X66" t="s">
        <v>88</v>
      </c>
      <c r="Y66" t="s">
        <v>100</v>
      </c>
      <c r="Z66" t="s">
        <v>203</v>
      </c>
      <c r="AA66" t="s">
        <v>88</v>
      </c>
      <c r="AB66" t="s">
        <v>88</v>
      </c>
      <c r="AC66" t="s">
        <v>88</v>
      </c>
      <c r="AD66" t="s">
        <v>88</v>
      </c>
      <c r="AE66" t="str">
        <f>HYPERLINK("file:///C:/rest_photo/Çınar Mangal, Battalgazi (Başharık Mah.).jpg","Çınar Mangal, Battalgazi (Başharık Mah.)")</f>
        <v>Çınar Mangal, Battalgazi (Başharık Mah.)</v>
      </c>
      <c r="AF66" t="s">
        <v>81</v>
      </c>
      <c r="AG66" t="s">
        <v>103</v>
      </c>
      <c r="AH66" t="s">
        <v>88</v>
      </c>
      <c r="AI66" t="s">
        <v>88</v>
      </c>
      <c r="AJ66" t="s">
        <v>92</v>
      </c>
    </row>
    <row r="67" spans="2:36" x14ac:dyDescent="0.25">
      <c r="B67" t="s">
        <v>88</v>
      </c>
      <c r="C67" t="s">
        <v>88</v>
      </c>
      <c r="D67" t="s">
        <v>88</v>
      </c>
      <c r="E67" t="s">
        <v>88</v>
      </c>
      <c r="F67" t="s">
        <v>88</v>
      </c>
      <c r="G67" t="s">
        <v>88</v>
      </c>
      <c r="H67" t="s">
        <v>88</v>
      </c>
      <c r="I67" t="s">
        <v>88</v>
      </c>
      <c r="J67" t="s">
        <v>88</v>
      </c>
      <c r="K67" t="s">
        <v>88</v>
      </c>
      <c r="L67" t="s">
        <v>461</v>
      </c>
      <c r="M67" t="s">
        <v>88</v>
      </c>
      <c r="N67" t="s">
        <v>88</v>
      </c>
      <c r="O67" t="s">
        <v>88</v>
      </c>
      <c r="P67" t="s">
        <v>88</v>
      </c>
      <c r="Q67" t="s">
        <v>88</v>
      </c>
      <c r="R67" t="s">
        <v>88</v>
      </c>
      <c r="S67" t="s">
        <v>88</v>
      </c>
      <c r="T67" t="s">
        <v>88</v>
      </c>
      <c r="U67" t="s">
        <v>88</v>
      </c>
      <c r="V67" t="s">
        <v>88</v>
      </c>
      <c r="W67" t="s">
        <v>89</v>
      </c>
      <c r="X67" t="s">
        <v>88</v>
      </c>
      <c r="Y67" t="s">
        <v>90</v>
      </c>
      <c r="Z67" t="s">
        <v>109</v>
      </c>
      <c r="AA67" t="s">
        <v>88</v>
      </c>
      <c r="AB67" t="s">
        <v>88</v>
      </c>
      <c r="AC67" t="s">
        <v>88</v>
      </c>
      <c r="AD67" t="s">
        <v>88</v>
      </c>
      <c r="AE67" t="str">
        <f>HYPERLINK("file:///C:/rest_photo/Çiftlik Pide &amp; Lahmacun, Yeşilyurt (Bostanbaşı Mah.).jpg","Çiftlik Pide &amp; Lahmacun, Yeşilyurt (Bostanbaşı Mah.)")</f>
        <v>Çiftlik Pide &amp; Lahmacun, Yeşilyurt (Bostanbaşı Mah.)</v>
      </c>
      <c r="AF67" t="s">
        <v>403</v>
      </c>
      <c r="AG67" t="s">
        <v>143</v>
      </c>
      <c r="AH67" t="s">
        <v>88</v>
      </c>
      <c r="AI67" t="s">
        <v>88</v>
      </c>
      <c r="AJ67" t="s">
        <v>92</v>
      </c>
    </row>
    <row r="68" spans="2:36" x14ac:dyDescent="0.25">
      <c r="B68" t="s">
        <v>88</v>
      </c>
      <c r="C68" t="s">
        <v>88</v>
      </c>
      <c r="D68" t="s">
        <v>88</v>
      </c>
      <c r="E68" t="s">
        <v>88</v>
      </c>
      <c r="F68" t="s">
        <v>88</v>
      </c>
      <c r="G68" t="s">
        <v>88</v>
      </c>
      <c r="H68" t="s">
        <v>88</v>
      </c>
      <c r="I68" t="s">
        <v>88</v>
      </c>
      <c r="J68" t="s">
        <v>88</v>
      </c>
      <c r="K68" t="s">
        <v>88</v>
      </c>
      <c r="L68" t="s">
        <v>462</v>
      </c>
      <c r="M68" t="s">
        <v>88</v>
      </c>
      <c r="N68" t="s">
        <v>88</v>
      </c>
      <c r="O68" t="s">
        <v>88</v>
      </c>
      <c r="P68" t="s">
        <v>88</v>
      </c>
      <c r="Q68" t="s">
        <v>88</v>
      </c>
      <c r="R68" t="s">
        <v>88</v>
      </c>
      <c r="S68" t="s">
        <v>88</v>
      </c>
      <c r="T68" t="s">
        <v>88</v>
      </c>
      <c r="U68" t="s">
        <v>88</v>
      </c>
      <c r="V68" t="s">
        <v>88</v>
      </c>
      <c r="W68" t="s">
        <v>89</v>
      </c>
      <c r="X68" t="s">
        <v>88</v>
      </c>
      <c r="Y68" t="s">
        <v>100</v>
      </c>
      <c r="Z68" t="s">
        <v>104</v>
      </c>
      <c r="AA68" t="s">
        <v>88</v>
      </c>
      <c r="AB68" t="s">
        <v>88</v>
      </c>
      <c r="AC68" t="s">
        <v>88</v>
      </c>
      <c r="AD68" t="s">
        <v>88</v>
      </c>
      <c r="AE68" t="str">
        <f>HYPERLINK("file:///C:/rest_photo/Çiğköftecim Tavuk Tantuni &amp; Ciğer &amp; Kavurma, Battalgazi (Akpınar Mah.).jpg","Çiğköftecim Tavuk Tantuni &amp; Ciğer &amp; Kavurma, Battalgazi (Akpınar Mah.)")</f>
        <v>Çiğköftecim Tavuk Tantuni &amp; Ciğer &amp; Kavurma, Battalgazi (Akpınar Mah.)</v>
      </c>
      <c r="AF68" t="s">
        <v>81</v>
      </c>
      <c r="AG68" t="s">
        <v>106</v>
      </c>
      <c r="AH68" t="s">
        <v>88</v>
      </c>
      <c r="AI68" t="s">
        <v>88</v>
      </c>
      <c r="AJ68" t="s">
        <v>92</v>
      </c>
    </row>
    <row r="69" spans="2:36" x14ac:dyDescent="0.25">
      <c r="B69" t="s">
        <v>88</v>
      </c>
      <c r="C69" t="s">
        <v>88</v>
      </c>
      <c r="D69" t="s">
        <v>88</v>
      </c>
      <c r="E69" t="s">
        <v>88</v>
      </c>
      <c r="F69" t="s">
        <v>88</v>
      </c>
      <c r="G69" t="s">
        <v>88</v>
      </c>
      <c r="H69" t="s">
        <v>88</v>
      </c>
      <c r="I69" t="s">
        <v>88</v>
      </c>
      <c r="J69" t="s">
        <v>88</v>
      </c>
      <c r="K69" t="s">
        <v>88</v>
      </c>
      <c r="L69" t="s">
        <v>463</v>
      </c>
      <c r="M69" t="s">
        <v>88</v>
      </c>
      <c r="N69" t="s">
        <v>88</v>
      </c>
      <c r="O69" t="s">
        <v>88</v>
      </c>
      <c r="P69" t="s">
        <v>88</v>
      </c>
      <c r="Q69" t="s">
        <v>88</v>
      </c>
      <c r="R69" t="s">
        <v>88</v>
      </c>
      <c r="S69" t="s">
        <v>88</v>
      </c>
      <c r="T69" t="s">
        <v>88</v>
      </c>
      <c r="U69" t="s">
        <v>88</v>
      </c>
      <c r="V69" t="s">
        <v>88</v>
      </c>
      <c r="W69" t="s">
        <v>89</v>
      </c>
      <c r="X69" t="s">
        <v>88</v>
      </c>
      <c r="Y69" t="s">
        <v>90</v>
      </c>
      <c r="Z69" t="s">
        <v>113</v>
      </c>
      <c r="AA69" t="s">
        <v>88</v>
      </c>
      <c r="AB69" t="s">
        <v>88</v>
      </c>
      <c r="AC69" t="s">
        <v>88</v>
      </c>
      <c r="AD69" t="s">
        <v>88</v>
      </c>
      <c r="AE69" t="str">
        <f>HYPERLINK("file:///C:/rest_photo/Damak Tadı Ev Yemekleri, Yeşilyurt (Çilesiz Mah. - Fahri Kayahan Blv.).jpg","Damak Tadı Ev Yemekleri, Yeşilyurt (Çilesiz Mah. - Fahri Kayahan Blv.)")</f>
        <v>Damak Tadı Ev Yemekleri, Yeşilyurt (Çilesiz Mah. - Fahri Kayahan Blv.)</v>
      </c>
      <c r="AF69" t="s">
        <v>81</v>
      </c>
      <c r="AG69" t="s">
        <v>173</v>
      </c>
      <c r="AH69" t="s">
        <v>88</v>
      </c>
      <c r="AI69" t="s">
        <v>88</v>
      </c>
      <c r="AJ69" t="s">
        <v>92</v>
      </c>
    </row>
    <row r="70" spans="2:36" x14ac:dyDescent="0.25">
      <c r="B70" t="s">
        <v>88</v>
      </c>
      <c r="C70" t="s">
        <v>88</v>
      </c>
      <c r="D70" t="s">
        <v>88</v>
      </c>
      <c r="E70" t="s">
        <v>88</v>
      </c>
      <c r="F70" t="s">
        <v>88</v>
      </c>
      <c r="G70" t="s">
        <v>88</v>
      </c>
      <c r="H70" t="s">
        <v>88</v>
      </c>
      <c r="I70" t="s">
        <v>88</v>
      </c>
      <c r="J70" t="s">
        <v>88</v>
      </c>
      <c r="K70" t="s">
        <v>88</v>
      </c>
      <c r="L70" t="s">
        <v>464</v>
      </c>
      <c r="M70" t="s">
        <v>88</v>
      </c>
      <c r="N70" t="s">
        <v>88</v>
      </c>
      <c r="O70" t="s">
        <v>88</v>
      </c>
      <c r="P70" t="s">
        <v>88</v>
      </c>
      <c r="Q70" t="s">
        <v>88</v>
      </c>
      <c r="R70" t="s">
        <v>88</v>
      </c>
      <c r="S70" t="s">
        <v>88</v>
      </c>
      <c r="T70" t="s">
        <v>88</v>
      </c>
      <c r="U70" t="s">
        <v>88</v>
      </c>
      <c r="V70" t="s">
        <v>88</v>
      </c>
      <c r="W70" t="s">
        <v>89</v>
      </c>
      <c r="X70" t="s">
        <v>88</v>
      </c>
      <c r="Y70" t="s">
        <v>90</v>
      </c>
      <c r="Z70" t="s">
        <v>97</v>
      </c>
      <c r="AA70" t="s">
        <v>88</v>
      </c>
      <c r="AB70" t="s">
        <v>88</v>
      </c>
      <c r="AC70" t="s">
        <v>88</v>
      </c>
      <c r="AD70" t="s">
        <v>88</v>
      </c>
      <c r="AE70" t="str">
        <f>HYPERLINK("file:///C:/rest_photo/Deniz Köfte, Yeşilyurt (Tecde Mah.).jpg","Deniz Köfte, Yeşilyurt (Tecde Mah.)")</f>
        <v>Deniz Köfte, Yeşilyurt (Tecde Mah.)</v>
      </c>
      <c r="AF70" t="s">
        <v>403</v>
      </c>
      <c r="AG70" t="s">
        <v>208</v>
      </c>
      <c r="AH70" t="s">
        <v>88</v>
      </c>
      <c r="AI70" t="s">
        <v>88</v>
      </c>
      <c r="AJ70" t="s">
        <v>92</v>
      </c>
    </row>
    <row r="71" spans="2:36" x14ac:dyDescent="0.25">
      <c r="B71" t="s">
        <v>88</v>
      </c>
      <c r="C71" t="s">
        <v>88</v>
      </c>
      <c r="D71" t="s">
        <v>88</v>
      </c>
      <c r="E71" t="s">
        <v>88</v>
      </c>
      <c r="F71" t="s">
        <v>88</v>
      </c>
      <c r="G71" t="s">
        <v>88</v>
      </c>
      <c r="H71" t="s">
        <v>88</v>
      </c>
      <c r="I71" t="s">
        <v>88</v>
      </c>
      <c r="J71" t="s">
        <v>88</v>
      </c>
      <c r="K71" t="s">
        <v>88</v>
      </c>
      <c r="L71" t="s">
        <v>465</v>
      </c>
      <c r="M71" t="s">
        <v>88</v>
      </c>
      <c r="N71" t="s">
        <v>88</v>
      </c>
      <c r="O71" t="s">
        <v>88</v>
      </c>
      <c r="P71" t="s">
        <v>88</v>
      </c>
      <c r="Q71" t="s">
        <v>88</v>
      </c>
      <c r="R71" t="s">
        <v>88</v>
      </c>
      <c r="S71" t="s">
        <v>88</v>
      </c>
      <c r="T71" t="s">
        <v>88</v>
      </c>
      <c r="U71" t="s">
        <v>88</v>
      </c>
      <c r="V71" t="s">
        <v>88</v>
      </c>
      <c r="W71" t="s">
        <v>89</v>
      </c>
      <c r="X71" t="s">
        <v>88</v>
      </c>
      <c r="Y71" t="s">
        <v>90</v>
      </c>
      <c r="Z71" t="s">
        <v>210</v>
      </c>
      <c r="AA71" t="s">
        <v>88</v>
      </c>
      <c r="AB71" t="s">
        <v>88</v>
      </c>
      <c r="AC71" t="s">
        <v>88</v>
      </c>
      <c r="AD71" t="s">
        <v>88</v>
      </c>
      <c r="AE71" t="str">
        <f>HYPERLINK("file:///C:/rest_photo/Deniz Mangal, Yeşilyurt (Salköprü Mah.).jpg","Deniz Mangal, Yeşilyurt (Salköprü Mah.)")</f>
        <v>Deniz Mangal, Yeşilyurt (Salköprü Mah.)</v>
      </c>
      <c r="AF71" t="s">
        <v>406</v>
      </c>
      <c r="AG71" t="s">
        <v>103</v>
      </c>
      <c r="AH71" t="s">
        <v>88</v>
      </c>
      <c r="AI71" t="s">
        <v>88</v>
      </c>
      <c r="AJ71" t="s">
        <v>92</v>
      </c>
    </row>
    <row r="72" spans="2:36" x14ac:dyDescent="0.25">
      <c r="B72" t="s">
        <v>88</v>
      </c>
      <c r="C72" t="s">
        <v>88</v>
      </c>
      <c r="D72" t="s">
        <v>88</v>
      </c>
      <c r="E72" t="s">
        <v>88</v>
      </c>
      <c r="F72" t="s">
        <v>88</v>
      </c>
      <c r="G72" t="s">
        <v>88</v>
      </c>
      <c r="H72" t="s">
        <v>88</v>
      </c>
      <c r="I72" t="s">
        <v>88</v>
      </c>
      <c r="J72" t="s">
        <v>88</v>
      </c>
      <c r="K72" t="s">
        <v>88</v>
      </c>
      <c r="L72" t="s">
        <v>466</v>
      </c>
      <c r="M72" t="s">
        <v>88</v>
      </c>
      <c r="N72" t="s">
        <v>88</v>
      </c>
      <c r="O72" t="s">
        <v>88</v>
      </c>
      <c r="P72" t="s">
        <v>88</v>
      </c>
      <c r="Q72" t="s">
        <v>88</v>
      </c>
      <c r="R72" t="s">
        <v>88</v>
      </c>
      <c r="S72" t="s">
        <v>88</v>
      </c>
      <c r="T72" t="s">
        <v>88</v>
      </c>
      <c r="U72" t="s">
        <v>88</v>
      </c>
      <c r="V72" t="s">
        <v>88</v>
      </c>
      <c r="W72" t="s">
        <v>89</v>
      </c>
      <c r="X72" t="s">
        <v>88</v>
      </c>
      <c r="Y72" t="s">
        <v>90</v>
      </c>
      <c r="Z72" t="s">
        <v>113</v>
      </c>
      <c r="AA72" t="s">
        <v>88</v>
      </c>
      <c r="AB72" t="s">
        <v>88</v>
      </c>
      <c r="AC72" t="s">
        <v>88</v>
      </c>
      <c r="AD72" t="s">
        <v>88</v>
      </c>
      <c r="AE72" t="str">
        <f>HYPERLINK("file:///C:/rest_photo/Dezza Pizza, Yeşilyurt (Çilesiz Mah. - Fahri Kayahan Blv.).jpg","Dezza Pizza, Yeşilyurt (Çilesiz Mah. - Fahri Kayahan Blv.)")</f>
        <v>Dezza Pizza, Yeşilyurt (Çilesiz Mah. - Fahri Kayahan Blv.)</v>
      </c>
      <c r="AF72" t="s">
        <v>81</v>
      </c>
      <c r="AG72" t="s">
        <v>212</v>
      </c>
      <c r="AH72" t="s">
        <v>88</v>
      </c>
      <c r="AI72" t="s">
        <v>88</v>
      </c>
      <c r="AJ72" t="s">
        <v>92</v>
      </c>
    </row>
    <row r="73" spans="2:36" x14ac:dyDescent="0.25">
      <c r="B73" t="s">
        <v>88</v>
      </c>
      <c r="C73" t="s">
        <v>88</v>
      </c>
      <c r="D73" t="s">
        <v>88</v>
      </c>
      <c r="E73" t="s">
        <v>88</v>
      </c>
      <c r="F73" t="s">
        <v>88</v>
      </c>
      <c r="G73" t="s">
        <v>88</v>
      </c>
      <c r="H73" t="s">
        <v>88</v>
      </c>
      <c r="I73" t="s">
        <v>88</v>
      </c>
      <c r="J73" t="s">
        <v>88</v>
      </c>
      <c r="K73" t="s">
        <v>88</v>
      </c>
      <c r="L73" t="s">
        <v>214</v>
      </c>
      <c r="M73" t="s">
        <v>88</v>
      </c>
      <c r="N73" t="s">
        <v>88</v>
      </c>
      <c r="O73" t="s">
        <v>88</v>
      </c>
      <c r="P73" t="s">
        <v>88</v>
      </c>
      <c r="Q73" t="s">
        <v>88</v>
      </c>
      <c r="R73" t="s">
        <v>88</v>
      </c>
      <c r="S73" t="s">
        <v>88</v>
      </c>
      <c r="T73" t="s">
        <v>88</v>
      </c>
      <c r="U73" t="s">
        <v>88</v>
      </c>
      <c r="V73" t="s">
        <v>88</v>
      </c>
      <c r="W73" t="s">
        <v>89</v>
      </c>
      <c r="X73" t="s">
        <v>88</v>
      </c>
      <c r="Y73" t="s">
        <v>100</v>
      </c>
      <c r="Z73" t="s">
        <v>101</v>
      </c>
      <c r="AA73" t="s">
        <v>88</v>
      </c>
      <c r="AB73" t="s">
        <v>88</v>
      </c>
      <c r="AC73" t="s">
        <v>88</v>
      </c>
      <c r="AD73" t="s">
        <v>88</v>
      </c>
      <c r="AE73" t="str">
        <f>HYPERLINK("file:///C:/rest_photo/Domino's Pizza, Battalgazi (Kernek Mah. - Kanalboyu Cad.).jpg","Domino's Pizza, Battalgazi (Kernek Mah. - Kanalboyu Cad.)")</f>
        <v>Domino's Pizza, Battalgazi (Kernek Mah. - Kanalboyu Cad.)</v>
      </c>
      <c r="AF73" t="s">
        <v>81</v>
      </c>
      <c r="AG73" t="s">
        <v>214</v>
      </c>
      <c r="AH73" t="s">
        <v>88</v>
      </c>
      <c r="AI73" t="s">
        <v>88</v>
      </c>
      <c r="AJ73" t="s">
        <v>92</v>
      </c>
    </row>
    <row r="74" spans="2:36" x14ac:dyDescent="0.25">
      <c r="B74" t="s">
        <v>88</v>
      </c>
      <c r="C74" t="s">
        <v>88</v>
      </c>
      <c r="D74" t="s">
        <v>88</v>
      </c>
      <c r="E74" t="s">
        <v>88</v>
      </c>
      <c r="F74" t="s">
        <v>88</v>
      </c>
      <c r="G74" t="s">
        <v>88</v>
      </c>
      <c r="H74" t="s">
        <v>88</v>
      </c>
      <c r="I74" t="s">
        <v>88</v>
      </c>
      <c r="J74" t="s">
        <v>88</v>
      </c>
      <c r="K74" t="s">
        <v>88</v>
      </c>
      <c r="L74" t="s">
        <v>214</v>
      </c>
      <c r="M74" t="s">
        <v>88</v>
      </c>
      <c r="N74" t="s">
        <v>88</v>
      </c>
      <c r="O74" t="s">
        <v>88</v>
      </c>
      <c r="P74" t="s">
        <v>88</v>
      </c>
      <c r="Q74" t="s">
        <v>88</v>
      </c>
      <c r="R74" t="s">
        <v>88</v>
      </c>
      <c r="S74" t="s">
        <v>88</v>
      </c>
      <c r="T74" t="s">
        <v>88</v>
      </c>
      <c r="U74" t="s">
        <v>88</v>
      </c>
      <c r="V74" t="s">
        <v>88</v>
      </c>
      <c r="W74" t="s">
        <v>89</v>
      </c>
      <c r="X74" t="s">
        <v>88</v>
      </c>
      <c r="Y74" t="s">
        <v>90</v>
      </c>
      <c r="Z74" t="s">
        <v>113</v>
      </c>
      <c r="AA74" t="s">
        <v>88</v>
      </c>
      <c r="AB74" t="s">
        <v>88</v>
      </c>
      <c r="AC74" t="s">
        <v>88</v>
      </c>
      <c r="AD74" t="s">
        <v>88</v>
      </c>
      <c r="AE74" t="str">
        <f>HYPERLINK("file:///C:/rest_photo/Domino's Pizza, Yeşilyurt (Çilesiz Mah. - Fahri Kayahan Blv.).jpg","Domino's Pizza, Yeşilyurt (Çilesiz Mah. - Fahri Kayahan Blv.)")</f>
        <v>Domino's Pizza, Yeşilyurt (Çilesiz Mah. - Fahri Kayahan Blv.)</v>
      </c>
      <c r="AF74" t="s">
        <v>81</v>
      </c>
      <c r="AG74" t="s">
        <v>214</v>
      </c>
      <c r="AH74" t="s">
        <v>88</v>
      </c>
      <c r="AI74" t="s">
        <v>88</v>
      </c>
      <c r="AJ74" t="s">
        <v>92</v>
      </c>
    </row>
    <row r="75" spans="2:36" x14ac:dyDescent="0.25">
      <c r="B75" t="s">
        <v>88</v>
      </c>
      <c r="C75" t="s">
        <v>88</v>
      </c>
      <c r="D75" t="s">
        <v>88</v>
      </c>
      <c r="E75" t="s">
        <v>88</v>
      </c>
      <c r="F75" t="s">
        <v>88</v>
      </c>
      <c r="G75" t="s">
        <v>88</v>
      </c>
      <c r="H75" t="s">
        <v>88</v>
      </c>
      <c r="I75" t="s">
        <v>88</v>
      </c>
      <c r="J75" t="s">
        <v>88</v>
      </c>
      <c r="K75" t="s">
        <v>88</v>
      </c>
      <c r="L75" t="s">
        <v>214</v>
      </c>
      <c r="M75" t="s">
        <v>88</v>
      </c>
      <c r="N75" t="s">
        <v>88</v>
      </c>
      <c r="O75" t="s">
        <v>88</v>
      </c>
      <c r="P75" t="s">
        <v>88</v>
      </c>
      <c r="Q75" t="s">
        <v>88</v>
      </c>
      <c r="R75" t="s">
        <v>88</v>
      </c>
      <c r="S75" t="s">
        <v>88</v>
      </c>
      <c r="T75" t="s">
        <v>88</v>
      </c>
      <c r="U75" t="s">
        <v>88</v>
      </c>
      <c r="V75" t="s">
        <v>88</v>
      </c>
      <c r="W75" t="s">
        <v>89</v>
      </c>
      <c r="X75" t="s">
        <v>88</v>
      </c>
      <c r="Y75" t="s">
        <v>90</v>
      </c>
      <c r="Z75" t="s">
        <v>91</v>
      </c>
      <c r="AA75" t="s">
        <v>88</v>
      </c>
      <c r="AB75" t="s">
        <v>88</v>
      </c>
      <c r="AC75" t="s">
        <v>88</v>
      </c>
      <c r="AD75" t="s">
        <v>88</v>
      </c>
      <c r="AE75" t="str">
        <f>HYPERLINK("file:///C:/rest_photo/Domino's Pizza, Yeşilyurt (İnönü Mah. - İnönü Cad.).jpg","Domino's Pizza, Yeşilyurt (İnönü Mah. - İnönü Cad.)")</f>
        <v>Domino's Pizza, Yeşilyurt (İnönü Mah. - İnönü Cad.)</v>
      </c>
      <c r="AF75" t="s">
        <v>81</v>
      </c>
      <c r="AG75" t="s">
        <v>214</v>
      </c>
      <c r="AH75" t="s">
        <v>88</v>
      </c>
      <c r="AI75" t="s">
        <v>88</v>
      </c>
      <c r="AJ75" t="s">
        <v>92</v>
      </c>
    </row>
    <row r="76" spans="2:36" x14ac:dyDescent="0.25">
      <c r="B76" t="s">
        <v>88</v>
      </c>
      <c r="C76" t="s">
        <v>88</v>
      </c>
      <c r="D76" t="s">
        <v>88</v>
      </c>
      <c r="E76" t="s">
        <v>88</v>
      </c>
      <c r="F76" t="s">
        <v>88</v>
      </c>
      <c r="G76" t="s">
        <v>88</v>
      </c>
      <c r="H76" t="s">
        <v>88</v>
      </c>
      <c r="I76" t="s">
        <v>88</v>
      </c>
      <c r="J76" t="s">
        <v>88</v>
      </c>
      <c r="K76" t="s">
        <v>88</v>
      </c>
      <c r="L76" t="s">
        <v>467</v>
      </c>
      <c r="M76" t="s">
        <v>88</v>
      </c>
      <c r="N76" t="s">
        <v>88</v>
      </c>
      <c r="O76" t="s">
        <v>88</v>
      </c>
      <c r="P76" t="s">
        <v>88</v>
      </c>
      <c r="Q76" t="s">
        <v>88</v>
      </c>
      <c r="R76" t="s">
        <v>88</v>
      </c>
      <c r="S76" t="s">
        <v>88</v>
      </c>
      <c r="T76" t="s">
        <v>88</v>
      </c>
      <c r="U76" t="s">
        <v>88</v>
      </c>
      <c r="V76" t="s">
        <v>88</v>
      </c>
      <c r="W76" t="s">
        <v>89</v>
      </c>
      <c r="X76" t="s">
        <v>88</v>
      </c>
      <c r="Y76" t="s">
        <v>100</v>
      </c>
      <c r="Z76" t="s">
        <v>218</v>
      </c>
      <c r="AA76" t="s">
        <v>88</v>
      </c>
      <c r="AB76" t="s">
        <v>88</v>
      </c>
      <c r="AC76" t="s">
        <v>88</v>
      </c>
      <c r="AD76" t="s">
        <v>88</v>
      </c>
      <c r="AE76" t="str">
        <f>HYPERLINK("file:///C:/rest_photo/Donas, Battalgazi (Hamidiye Mah.).jpg","Donas, Battalgazi (Hamidiye Mah.)")</f>
        <v>Donas, Battalgazi (Hamidiye Mah.)</v>
      </c>
      <c r="AF76" t="s">
        <v>421</v>
      </c>
      <c r="AG76" t="s">
        <v>139</v>
      </c>
      <c r="AH76" t="s">
        <v>88</v>
      </c>
      <c r="AI76" t="s">
        <v>88</v>
      </c>
      <c r="AJ76" t="s">
        <v>92</v>
      </c>
    </row>
    <row r="77" spans="2:36" x14ac:dyDescent="0.25">
      <c r="B77" t="s">
        <v>88</v>
      </c>
      <c r="C77" t="s">
        <v>88</v>
      </c>
      <c r="D77" t="s">
        <v>88</v>
      </c>
      <c r="E77" t="s">
        <v>88</v>
      </c>
      <c r="F77" t="s">
        <v>88</v>
      </c>
      <c r="G77" t="s">
        <v>88</v>
      </c>
      <c r="H77" t="s">
        <v>88</v>
      </c>
      <c r="I77" t="s">
        <v>88</v>
      </c>
      <c r="J77" t="s">
        <v>88</v>
      </c>
      <c r="K77" t="s">
        <v>88</v>
      </c>
      <c r="L77" t="s">
        <v>467</v>
      </c>
      <c r="M77" t="s">
        <v>88</v>
      </c>
      <c r="N77" t="s">
        <v>88</v>
      </c>
      <c r="O77" t="s">
        <v>88</v>
      </c>
      <c r="P77" t="s">
        <v>88</v>
      </c>
      <c r="Q77" t="s">
        <v>88</v>
      </c>
      <c r="R77" t="s">
        <v>88</v>
      </c>
      <c r="S77" t="s">
        <v>88</v>
      </c>
      <c r="T77" t="s">
        <v>88</v>
      </c>
      <c r="U77" t="s">
        <v>88</v>
      </c>
      <c r="V77" t="s">
        <v>88</v>
      </c>
      <c r="W77" t="s">
        <v>89</v>
      </c>
      <c r="X77" t="s">
        <v>88</v>
      </c>
      <c r="Y77" t="s">
        <v>100</v>
      </c>
      <c r="Z77" t="s">
        <v>220</v>
      </c>
      <c r="AA77" t="s">
        <v>88</v>
      </c>
      <c r="AB77" t="s">
        <v>88</v>
      </c>
      <c r="AC77" t="s">
        <v>88</v>
      </c>
      <c r="AD77" t="s">
        <v>88</v>
      </c>
      <c r="AE77" t="str">
        <f>HYPERLINK("file:///C:/rest_photo/Donas, Battalgazi (İzzetiye Mah.).jpg","Donas, Battalgazi (İzzetiye Mah.)")</f>
        <v>Donas, Battalgazi (İzzetiye Mah.)</v>
      </c>
      <c r="AF77" t="s">
        <v>406</v>
      </c>
      <c r="AG77" t="s">
        <v>139</v>
      </c>
      <c r="AH77" t="s">
        <v>88</v>
      </c>
      <c r="AI77" t="s">
        <v>88</v>
      </c>
      <c r="AJ77" t="s">
        <v>92</v>
      </c>
    </row>
    <row r="78" spans="2:36" x14ac:dyDescent="0.25">
      <c r="B78" t="s">
        <v>88</v>
      </c>
      <c r="C78" t="s">
        <v>88</v>
      </c>
      <c r="D78" t="s">
        <v>88</v>
      </c>
      <c r="E78" t="s">
        <v>88</v>
      </c>
      <c r="F78" t="s">
        <v>88</v>
      </c>
      <c r="G78" t="s">
        <v>88</v>
      </c>
      <c r="H78" t="s">
        <v>88</v>
      </c>
      <c r="I78" t="s">
        <v>88</v>
      </c>
      <c r="J78" t="s">
        <v>88</v>
      </c>
      <c r="K78" t="s">
        <v>88</v>
      </c>
      <c r="L78" t="s">
        <v>468</v>
      </c>
      <c r="M78" t="s">
        <v>88</v>
      </c>
      <c r="N78" t="s">
        <v>88</v>
      </c>
      <c r="O78" t="s">
        <v>88</v>
      </c>
      <c r="P78" t="s">
        <v>88</v>
      </c>
      <c r="Q78" t="s">
        <v>88</v>
      </c>
      <c r="R78" t="s">
        <v>88</v>
      </c>
      <c r="S78" t="s">
        <v>88</v>
      </c>
      <c r="T78" t="s">
        <v>88</v>
      </c>
      <c r="U78" t="s">
        <v>88</v>
      </c>
      <c r="V78" t="s">
        <v>88</v>
      </c>
      <c r="W78" t="s">
        <v>89</v>
      </c>
      <c r="X78" t="s">
        <v>88</v>
      </c>
      <c r="Y78" t="s">
        <v>100</v>
      </c>
      <c r="Z78" t="s">
        <v>174</v>
      </c>
      <c r="AA78" t="s">
        <v>88</v>
      </c>
      <c r="AB78" t="s">
        <v>88</v>
      </c>
      <c r="AC78" t="s">
        <v>88</v>
      </c>
      <c r="AD78" t="s">
        <v>88</v>
      </c>
      <c r="AE78" t="str">
        <f>HYPERLINK("file:///C:/rest_photo/Dünya Döner, Battalgazi (Kavaklıbağ Mah.).jpg","Dünya Döner, Battalgazi (Kavaklıbağ Mah.)")</f>
        <v>Dünya Döner, Battalgazi (Kavaklıbağ Mah.)</v>
      </c>
      <c r="AF78" t="s">
        <v>403</v>
      </c>
      <c r="AG78" t="s">
        <v>139</v>
      </c>
      <c r="AH78" t="s">
        <v>88</v>
      </c>
      <c r="AI78" t="s">
        <v>88</v>
      </c>
      <c r="AJ78" t="s">
        <v>92</v>
      </c>
    </row>
    <row r="79" spans="2:36" x14ac:dyDescent="0.25">
      <c r="B79" t="s">
        <v>88</v>
      </c>
      <c r="C79" t="s">
        <v>88</v>
      </c>
      <c r="D79" t="s">
        <v>88</v>
      </c>
      <c r="E79" t="s">
        <v>88</v>
      </c>
      <c r="F79" t="s">
        <v>88</v>
      </c>
      <c r="G79" t="s">
        <v>88</v>
      </c>
      <c r="H79" t="s">
        <v>88</v>
      </c>
      <c r="I79" t="s">
        <v>88</v>
      </c>
      <c r="J79" t="s">
        <v>88</v>
      </c>
      <c r="K79" t="s">
        <v>88</v>
      </c>
      <c r="L79" t="s">
        <v>469</v>
      </c>
      <c r="M79" t="s">
        <v>88</v>
      </c>
      <c r="N79" t="s">
        <v>88</v>
      </c>
      <c r="O79" t="s">
        <v>88</v>
      </c>
      <c r="P79" t="s">
        <v>88</v>
      </c>
      <c r="Q79" t="s">
        <v>88</v>
      </c>
      <c r="R79" t="s">
        <v>88</v>
      </c>
      <c r="S79" t="s">
        <v>88</v>
      </c>
      <c r="T79" t="s">
        <v>88</v>
      </c>
      <c r="U79" t="s">
        <v>88</v>
      </c>
      <c r="V79" t="s">
        <v>88</v>
      </c>
      <c r="W79" t="s">
        <v>89</v>
      </c>
      <c r="X79" t="s">
        <v>88</v>
      </c>
      <c r="Y79" t="s">
        <v>90</v>
      </c>
      <c r="Z79" t="s">
        <v>111</v>
      </c>
      <c r="AA79" t="s">
        <v>88</v>
      </c>
      <c r="AB79" t="s">
        <v>88</v>
      </c>
      <c r="AC79" t="s">
        <v>88</v>
      </c>
      <c r="AD79" t="s">
        <v>88</v>
      </c>
      <c r="AE79" t="str">
        <f>HYPERLINK("file:///C:/rest_photo/Dürümcü Osman, Yeşilyurt (Turgut Özal Mah.).jpg","Dürümcü Osman, Yeşilyurt (Turgut Özal Mah.)")</f>
        <v>Dürümcü Osman, Yeşilyurt (Turgut Özal Mah.)</v>
      </c>
      <c r="AF79" t="s">
        <v>81</v>
      </c>
      <c r="AG79" t="s">
        <v>103</v>
      </c>
      <c r="AH79" t="s">
        <v>88</v>
      </c>
      <c r="AI79" t="s">
        <v>88</v>
      </c>
      <c r="AJ79" t="s">
        <v>92</v>
      </c>
    </row>
    <row r="80" spans="2:36" x14ac:dyDescent="0.25">
      <c r="B80" t="s">
        <v>88</v>
      </c>
      <c r="C80" t="s">
        <v>88</v>
      </c>
      <c r="D80" t="s">
        <v>88</v>
      </c>
      <c r="E80" t="s">
        <v>88</v>
      </c>
      <c r="F80" t="s">
        <v>88</v>
      </c>
      <c r="G80" t="s">
        <v>88</v>
      </c>
      <c r="H80" t="s">
        <v>88</v>
      </c>
      <c r="I80" t="s">
        <v>88</v>
      </c>
      <c r="J80" t="s">
        <v>88</v>
      </c>
      <c r="K80" t="s">
        <v>88</v>
      </c>
      <c r="L80" t="s">
        <v>470</v>
      </c>
      <c r="M80" t="s">
        <v>88</v>
      </c>
      <c r="N80" t="s">
        <v>88</v>
      </c>
      <c r="O80" t="s">
        <v>88</v>
      </c>
      <c r="P80" t="s">
        <v>88</v>
      </c>
      <c r="Q80" t="s">
        <v>88</v>
      </c>
      <c r="R80" t="s">
        <v>88</v>
      </c>
      <c r="S80" t="s">
        <v>88</v>
      </c>
      <c r="T80" t="s">
        <v>88</v>
      </c>
      <c r="U80" t="s">
        <v>88</v>
      </c>
      <c r="V80" t="s">
        <v>88</v>
      </c>
      <c r="W80" t="s">
        <v>89</v>
      </c>
      <c r="X80" t="s">
        <v>88</v>
      </c>
      <c r="Y80" t="s">
        <v>90</v>
      </c>
      <c r="Z80" t="s">
        <v>109</v>
      </c>
      <c r="AA80" t="s">
        <v>88</v>
      </c>
      <c r="AB80" t="s">
        <v>88</v>
      </c>
      <c r="AC80" t="s">
        <v>88</v>
      </c>
      <c r="AD80" t="s">
        <v>88</v>
      </c>
      <c r="AE80" t="str">
        <f>HYPERLINK("file:///C:/rest_photo/Efsane Ev Yemekleri, Yeşilyurt (Bostanbaşı Mah.).jpg","Efsane Ev Yemekleri, Yeşilyurt (Bostanbaşı Mah.)")</f>
        <v>Efsane Ev Yemekleri, Yeşilyurt (Bostanbaşı Mah.)</v>
      </c>
      <c r="AF80" t="s">
        <v>421</v>
      </c>
      <c r="AG80" t="s">
        <v>173</v>
      </c>
      <c r="AH80" t="s">
        <v>88</v>
      </c>
      <c r="AI80" t="s">
        <v>88</v>
      </c>
      <c r="AJ80" t="s">
        <v>92</v>
      </c>
    </row>
    <row r="81" spans="2:36" x14ac:dyDescent="0.25">
      <c r="B81" t="s">
        <v>88</v>
      </c>
      <c r="C81" t="s">
        <v>88</v>
      </c>
      <c r="D81" t="s">
        <v>88</v>
      </c>
      <c r="E81" t="s">
        <v>88</v>
      </c>
      <c r="F81" t="s">
        <v>88</v>
      </c>
      <c r="G81" t="s">
        <v>88</v>
      </c>
      <c r="H81" t="s">
        <v>88</v>
      </c>
      <c r="I81" t="s">
        <v>88</v>
      </c>
      <c r="J81" t="s">
        <v>88</v>
      </c>
      <c r="K81" t="s">
        <v>88</v>
      </c>
      <c r="L81" t="s">
        <v>471</v>
      </c>
      <c r="M81" t="s">
        <v>88</v>
      </c>
      <c r="N81" t="s">
        <v>88</v>
      </c>
      <c r="O81" t="s">
        <v>88</v>
      </c>
      <c r="P81" t="s">
        <v>88</v>
      </c>
      <c r="Q81" t="s">
        <v>88</v>
      </c>
      <c r="R81" t="s">
        <v>88</v>
      </c>
      <c r="S81" t="s">
        <v>88</v>
      </c>
      <c r="T81" t="s">
        <v>88</v>
      </c>
      <c r="U81" t="s">
        <v>88</v>
      </c>
      <c r="V81" t="s">
        <v>88</v>
      </c>
      <c r="W81" t="s">
        <v>89</v>
      </c>
      <c r="X81" t="s">
        <v>88</v>
      </c>
      <c r="Y81" t="s">
        <v>100</v>
      </c>
      <c r="Z81" t="s">
        <v>225</v>
      </c>
      <c r="AA81" t="s">
        <v>88</v>
      </c>
      <c r="AB81" t="s">
        <v>88</v>
      </c>
      <c r="AC81" t="s">
        <v>88</v>
      </c>
      <c r="AD81" t="s">
        <v>88</v>
      </c>
      <c r="AE81" t="str">
        <f>HYPERLINK("file:///C:/rest_photo/Efsane Kebap &amp; Balık &amp; Izgara, Battalgazi (Hacı Abdi Mah.).jpg","Efsane Kebap &amp; Balık &amp; Izgara, Battalgazi (Hacı Abdi Mah.)")</f>
        <v>Efsane Kebap &amp; Balık &amp; Izgara, Battalgazi (Hacı Abdi Mah.)</v>
      </c>
      <c r="AF81" t="s">
        <v>403</v>
      </c>
      <c r="AG81" t="s">
        <v>103</v>
      </c>
      <c r="AH81" t="s">
        <v>88</v>
      </c>
      <c r="AI81" t="s">
        <v>88</v>
      </c>
      <c r="AJ81" t="s">
        <v>92</v>
      </c>
    </row>
    <row r="82" spans="2:36" x14ac:dyDescent="0.25">
      <c r="B82" t="s">
        <v>88</v>
      </c>
      <c r="C82" t="s">
        <v>88</v>
      </c>
      <c r="D82" t="s">
        <v>88</v>
      </c>
      <c r="E82" t="s">
        <v>88</v>
      </c>
      <c r="F82" t="s">
        <v>88</v>
      </c>
      <c r="G82" t="s">
        <v>88</v>
      </c>
      <c r="H82" t="s">
        <v>88</v>
      </c>
      <c r="I82" t="s">
        <v>88</v>
      </c>
      <c r="J82" t="s">
        <v>88</v>
      </c>
      <c r="K82" t="s">
        <v>88</v>
      </c>
      <c r="L82" t="s">
        <v>472</v>
      </c>
      <c r="M82" t="s">
        <v>88</v>
      </c>
      <c r="N82" t="s">
        <v>88</v>
      </c>
      <c r="O82" t="s">
        <v>88</v>
      </c>
      <c r="P82" t="s">
        <v>88</v>
      </c>
      <c r="Q82" t="s">
        <v>88</v>
      </c>
      <c r="R82" t="s">
        <v>88</v>
      </c>
      <c r="S82" t="s">
        <v>88</v>
      </c>
      <c r="T82" t="s">
        <v>88</v>
      </c>
      <c r="U82" t="s">
        <v>88</v>
      </c>
      <c r="V82" t="s">
        <v>88</v>
      </c>
      <c r="W82" t="s">
        <v>89</v>
      </c>
      <c r="X82" t="s">
        <v>88</v>
      </c>
      <c r="Y82" t="s">
        <v>100</v>
      </c>
      <c r="Z82" t="s">
        <v>174</v>
      </c>
      <c r="AA82" t="s">
        <v>88</v>
      </c>
      <c r="AB82" t="s">
        <v>88</v>
      </c>
      <c r="AC82" t="s">
        <v>88</v>
      </c>
      <c r="AD82" t="s">
        <v>88</v>
      </c>
      <c r="AE82" t="str">
        <f>HYPERLINK("file:///C:/rest_photo/Ekrem Coşkun Döner, Battalgazi (Kavaklıbağ Mah.).jpg","Ekrem Coşkun Döner, Battalgazi (Kavaklıbağ Mah.)")</f>
        <v>Ekrem Coşkun Döner, Battalgazi (Kavaklıbağ Mah.)</v>
      </c>
      <c r="AF82" t="s">
        <v>81</v>
      </c>
      <c r="AG82" t="s">
        <v>139</v>
      </c>
      <c r="AH82" t="s">
        <v>88</v>
      </c>
      <c r="AI82" t="s">
        <v>88</v>
      </c>
      <c r="AJ82" t="s">
        <v>92</v>
      </c>
    </row>
    <row r="83" spans="2:36" x14ac:dyDescent="0.25">
      <c r="B83" t="s">
        <v>88</v>
      </c>
      <c r="C83" t="s">
        <v>88</v>
      </c>
      <c r="D83" t="s">
        <v>88</v>
      </c>
      <c r="E83" t="s">
        <v>88</v>
      </c>
      <c r="F83" t="s">
        <v>88</v>
      </c>
      <c r="G83" t="s">
        <v>88</v>
      </c>
      <c r="H83" t="s">
        <v>88</v>
      </c>
      <c r="I83" t="s">
        <v>88</v>
      </c>
      <c r="J83" t="s">
        <v>88</v>
      </c>
      <c r="K83" t="s">
        <v>88</v>
      </c>
      <c r="L83" t="s">
        <v>473</v>
      </c>
      <c r="M83" t="s">
        <v>88</v>
      </c>
      <c r="N83" t="s">
        <v>88</v>
      </c>
      <c r="O83" t="s">
        <v>88</v>
      </c>
      <c r="P83" t="s">
        <v>88</v>
      </c>
      <c r="Q83" t="s">
        <v>88</v>
      </c>
      <c r="R83" t="s">
        <v>88</v>
      </c>
      <c r="S83" t="s">
        <v>88</v>
      </c>
      <c r="T83" t="s">
        <v>88</v>
      </c>
      <c r="U83" t="s">
        <v>88</v>
      </c>
      <c r="V83" t="s">
        <v>88</v>
      </c>
      <c r="W83" t="s">
        <v>89</v>
      </c>
      <c r="X83" t="s">
        <v>88</v>
      </c>
      <c r="Y83" t="s">
        <v>100</v>
      </c>
      <c r="Z83" t="s">
        <v>120</v>
      </c>
      <c r="AA83" t="s">
        <v>88</v>
      </c>
      <c r="AB83" t="s">
        <v>88</v>
      </c>
      <c r="AC83" t="s">
        <v>88</v>
      </c>
      <c r="AD83" t="s">
        <v>88</v>
      </c>
      <c r="AE83" t="str">
        <f>HYPERLINK("file:///C:/rest_photo/Elit Pizza, Battalgazi (Saray Mah.).jpg","Elit Pizza, Battalgazi (Saray Mah.)")</f>
        <v>Elit Pizza, Battalgazi (Saray Mah.)</v>
      </c>
      <c r="AF83" t="s">
        <v>403</v>
      </c>
      <c r="AG83" t="s">
        <v>212</v>
      </c>
      <c r="AH83" t="s">
        <v>88</v>
      </c>
      <c r="AI83" t="s">
        <v>88</v>
      </c>
      <c r="AJ83" t="s">
        <v>92</v>
      </c>
    </row>
    <row r="84" spans="2:36" x14ac:dyDescent="0.25">
      <c r="B84" t="s">
        <v>88</v>
      </c>
      <c r="C84" t="s">
        <v>88</v>
      </c>
      <c r="D84" t="s">
        <v>88</v>
      </c>
      <c r="E84" t="s">
        <v>88</v>
      </c>
      <c r="F84" t="s">
        <v>88</v>
      </c>
      <c r="G84" t="s">
        <v>88</v>
      </c>
      <c r="H84" t="s">
        <v>88</v>
      </c>
      <c r="I84" t="s">
        <v>88</v>
      </c>
      <c r="J84" t="s">
        <v>88</v>
      </c>
      <c r="K84" t="s">
        <v>88</v>
      </c>
      <c r="L84" t="s">
        <v>474</v>
      </c>
      <c r="M84" t="s">
        <v>88</v>
      </c>
      <c r="N84" t="s">
        <v>88</v>
      </c>
      <c r="O84" t="s">
        <v>88</v>
      </c>
      <c r="P84" t="s">
        <v>88</v>
      </c>
      <c r="Q84" t="s">
        <v>88</v>
      </c>
      <c r="R84" t="s">
        <v>88</v>
      </c>
      <c r="S84" t="s">
        <v>88</v>
      </c>
      <c r="T84" t="s">
        <v>88</v>
      </c>
      <c r="U84" t="s">
        <v>88</v>
      </c>
      <c r="V84" t="s">
        <v>88</v>
      </c>
      <c r="W84" t="s">
        <v>89</v>
      </c>
      <c r="X84" t="s">
        <v>88</v>
      </c>
      <c r="Y84" t="s">
        <v>90</v>
      </c>
      <c r="Z84" t="s">
        <v>91</v>
      </c>
      <c r="AA84" t="s">
        <v>88</v>
      </c>
      <c r="AB84" t="s">
        <v>88</v>
      </c>
      <c r="AC84" t="s">
        <v>88</v>
      </c>
      <c r="AD84" t="s">
        <v>88</v>
      </c>
      <c r="AE84" t="str">
        <f>HYPERLINK("file:///C:/rest_photo/Esfehan Kebap, Yeşilyurt (İnönü Mah. - İnönü Cad.).jpg","Esfehan Kebap, Yeşilyurt (İnönü Mah. - İnönü Cad.)")</f>
        <v>Esfehan Kebap, Yeşilyurt (İnönü Mah. - İnönü Cad.)</v>
      </c>
      <c r="AF84" t="s">
        <v>403</v>
      </c>
      <c r="AG84" t="s">
        <v>103</v>
      </c>
      <c r="AH84" t="s">
        <v>88</v>
      </c>
      <c r="AI84" t="s">
        <v>88</v>
      </c>
      <c r="AJ84" t="s">
        <v>92</v>
      </c>
    </row>
    <row r="85" spans="2:36" x14ac:dyDescent="0.25">
      <c r="B85" t="s">
        <v>88</v>
      </c>
      <c r="C85" t="s">
        <v>88</v>
      </c>
      <c r="D85" t="s">
        <v>88</v>
      </c>
      <c r="E85" t="s">
        <v>88</v>
      </c>
      <c r="F85" t="s">
        <v>88</v>
      </c>
      <c r="G85" t="s">
        <v>88</v>
      </c>
      <c r="H85" t="s">
        <v>88</v>
      </c>
      <c r="I85" t="s">
        <v>88</v>
      </c>
      <c r="J85" t="s">
        <v>88</v>
      </c>
      <c r="K85" t="s">
        <v>88</v>
      </c>
      <c r="L85" t="s">
        <v>475</v>
      </c>
      <c r="M85" t="s">
        <v>88</v>
      </c>
      <c r="N85" t="s">
        <v>88</v>
      </c>
      <c r="O85" t="s">
        <v>88</v>
      </c>
      <c r="P85" t="s">
        <v>88</v>
      </c>
      <c r="Q85" t="s">
        <v>88</v>
      </c>
      <c r="R85" t="s">
        <v>88</v>
      </c>
      <c r="S85" t="s">
        <v>88</v>
      </c>
      <c r="T85" t="s">
        <v>88</v>
      </c>
      <c r="U85" t="s">
        <v>88</v>
      </c>
      <c r="V85" t="s">
        <v>88</v>
      </c>
      <c r="W85" t="s">
        <v>89</v>
      </c>
      <c r="X85" t="s">
        <v>88</v>
      </c>
      <c r="Y85" t="s">
        <v>100</v>
      </c>
      <c r="Z85" t="s">
        <v>230</v>
      </c>
      <c r="AA85" t="s">
        <v>88</v>
      </c>
      <c r="AB85" t="s">
        <v>88</v>
      </c>
      <c r="AC85" t="s">
        <v>88</v>
      </c>
      <c r="AD85" t="s">
        <v>88</v>
      </c>
      <c r="AE85" t="str">
        <f>HYPERLINK("file:///C:/rest_photo/Eski Garaj Kebap &amp; Izgara, Battalgazi (Şifa Mah. - Terminal Cad.).jpg","Eski Garaj Kebap &amp; Izgara, Battalgazi (Şifa Mah. - Terminal Cad.)")</f>
        <v>Eski Garaj Kebap &amp; Izgara, Battalgazi (Şifa Mah. - Terminal Cad.)</v>
      </c>
      <c r="AF85" t="s">
        <v>403</v>
      </c>
      <c r="AG85" t="s">
        <v>103</v>
      </c>
      <c r="AH85" t="s">
        <v>88</v>
      </c>
      <c r="AI85" t="s">
        <v>88</v>
      </c>
      <c r="AJ85" t="s">
        <v>92</v>
      </c>
    </row>
    <row r="86" spans="2:36" x14ac:dyDescent="0.25">
      <c r="B86" t="s">
        <v>88</v>
      </c>
      <c r="C86" t="s">
        <v>88</v>
      </c>
      <c r="D86" t="s">
        <v>88</v>
      </c>
      <c r="E86" t="s">
        <v>88</v>
      </c>
      <c r="F86" t="s">
        <v>88</v>
      </c>
      <c r="G86" t="s">
        <v>88</v>
      </c>
      <c r="H86" t="s">
        <v>88</v>
      </c>
      <c r="I86" t="s">
        <v>88</v>
      </c>
      <c r="J86" t="s">
        <v>88</v>
      </c>
      <c r="K86" t="s">
        <v>88</v>
      </c>
      <c r="L86" t="s">
        <v>476</v>
      </c>
      <c r="M86" t="s">
        <v>88</v>
      </c>
      <c r="N86" t="s">
        <v>88</v>
      </c>
      <c r="O86" t="s">
        <v>88</v>
      </c>
      <c r="P86" t="s">
        <v>88</v>
      </c>
      <c r="Q86" t="s">
        <v>88</v>
      </c>
      <c r="R86" t="s">
        <v>88</v>
      </c>
      <c r="S86" t="s">
        <v>88</v>
      </c>
      <c r="T86" t="s">
        <v>88</v>
      </c>
      <c r="U86" t="s">
        <v>88</v>
      </c>
      <c r="V86" t="s">
        <v>88</v>
      </c>
      <c r="W86" t="s">
        <v>89</v>
      </c>
      <c r="X86" t="s">
        <v>88</v>
      </c>
      <c r="Y86" t="s">
        <v>100</v>
      </c>
      <c r="Z86" t="s">
        <v>120</v>
      </c>
      <c r="AA86" t="s">
        <v>88</v>
      </c>
      <c r="AB86" t="s">
        <v>88</v>
      </c>
      <c r="AC86" t="s">
        <v>88</v>
      </c>
      <c r="AD86" t="s">
        <v>88</v>
      </c>
      <c r="AE86" t="str">
        <f>HYPERLINK("file:///C:/rest_photo/Eymen Lahmacun, Battalgazi (Saray Mah.).jpg","Eymen Lahmacun, Battalgazi (Saray Mah.)")</f>
        <v>Eymen Lahmacun, Battalgazi (Saray Mah.)</v>
      </c>
      <c r="AF86" t="s">
        <v>403</v>
      </c>
      <c r="AG86" t="s">
        <v>143</v>
      </c>
      <c r="AH86" t="s">
        <v>88</v>
      </c>
      <c r="AI86" t="s">
        <v>88</v>
      </c>
      <c r="AJ86" t="s">
        <v>92</v>
      </c>
    </row>
    <row r="87" spans="2:36" x14ac:dyDescent="0.25">
      <c r="B87" t="s">
        <v>88</v>
      </c>
      <c r="C87" t="s">
        <v>88</v>
      </c>
      <c r="D87" t="s">
        <v>88</v>
      </c>
      <c r="E87" t="s">
        <v>88</v>
      </c>
      <c r="F87" t="s">
        <v>88</v>
      </c>
      <c r="G87" t="s">
        <v>88</v>
      </c>
      <c r="H87" t="s">
        <v>88</v>
      </c>
      <c r="I87" t="s">
        <v>88</v>
      </c>
      <c r="J87" t="s">
        <v>88</v>
      </c>
      <c r="K87" t="s">
        <v>88</v>
      </c>
      <c r="L87" t="s">
        <v>477</v>
      </c>
      <c r="M87" t="s">
        <v>88</v>
      </c>
      <c r="N87" t="s">
        <v>88</v>
      </c>
      <c r="O87" t="s">
        <v>88</v>
      </c>
      <c r="P87" t="s">
        <v>88</v>
      </c>
      <c r="Q87" t="s">
        <v>88</v>
      </c>
      <c r="R87" t="s">
        <v>88</v>
      </c>
      <c r="S87" t="s">
        <v>88</v>
      </c>
      <c r="T87" t="s">
        <v>88</v>
      </c>
      <c r="U87" t="s">
        <v>88</v>
      </c>
      <c r="V87" t="s">
        <v>88</v>
      </c>
      <c r="W87" t="s">
        <v>89</v>
      </c>
      <c r="X87" t="s">
        <v>88</v>
      </c>
      <c r="Y87" t="s">
        <v>90</v>
      </c>
      <c r="Z87" t="s">
        <v>97</v>
      </c>
      <c r="AA87" t="s">
        <v>88</v>
      </c>
      <c r="AB87" t="s">
        <v>88</v>
      </c>
      <c r="AC87" t="s">
        <v>88</v>
      </c>
      <c r="AD87" t="s">
        <v>88</v>
      </c>
      <c r="AE87" t="str">
        <f>HYPERLINK("file:///C:/rest_photo/Fahri Kayahan Pilavcısı, Yeşilyurt (Tecde Mah.).jpg","Fahri Kayahan Pilavcısı, Yeşilyurt (Tecde Mah.)")</f>
        <v>Fahri Kayahan Pilavcısı, Yeşilyurt (Tecde Mah.)</v>
      </c>
      <c r="AF87" t="s">
        <v>406</v>
      </c>
      <c r="AG87" t="s">
        <v>233</v>
      </c>
      <c r="AH87" t="s">
        <v>88</v>
      </c>
      <c r="AI87" t="s">
        <v>88</v>
      </c>
      <c r="AJ87" t="s">
        <v>92</v>
      </c>
    </row>
    <row r="88" spans="2:36" x14ac:dyDescent="0.25">
      <c r="B88" t="s">
        <v>88</v>
      </c>
      <c r="C88" t="s">
        <v>88</v>
      </c>
      <c r="D88" t="s">
        <v>88</v>
      </c>
      <c r="E88" t="s">
        <v>88</v>
      </c>
      <c r="F88" t="s">
        <v>88</v>
      </c>
      <c r="G88" t="s">
        <v>88</v>
      </c>
      <c r="H88" t="s">
        <v>88</v>
      </c>
      <c r="I88" t="s">
        <v>88</v>
      </c>
      <c r="J88" t="s">
        <v>88</v>
      </c>
      <c r="K88" t="s">
        <v>88</v>
      </c>
      <c r="L88" t="s">
        <v>478</v>
      </c>
      <c r="M88" t="s">
        <v>88</v>
      </c>
      <c r="N88" t="s">
        <v>88</v>
      </c>
      <c r="O88" t="s">
        <v>88</v>
      </c>
      <c r="P88" t="s">
        <v>88</v>
      </c>
      <c r="Q88" t="s">
        <v>88</v>
      </c>
      <c r="R88" t="s">
        <v>88</v>
      </c>
      <c r="S88" t="s">
        <v>88</v>
      </c>
      <c r="T88" t="s">
        <v>88</v>
      </c>
      <c r="U88" t="s">
        <v>88</v>
      </c>
      <c r="V88" t="s">
        <v>88</v>
      </c>
      <c r="W88" t="s">
        <v>89</v>
      </c>
      <c r="X88" t="s">
        <v>88</v>
      </c>
      <c r="Y88" t="s">
        <v>100</v>
      </c>
      <c r="Z88" t="s">
        <v>235</v>
      </c>
      <c r="AA88" t="s">
        <v>88</v>
      </c>
      <c r="AB88" t="s">
        <v>88</v>
      </c>
      <c r="AC88" t="s">
        <v>88</v>
      </c>
      <c r="AD88" t="s">
        <v>88</v>
      </c>
      <c r="AE88" t="str">
        <f>HYPERLINK("file:///C:/rest_photo/Faruk Güllüoğlu, Battalgazi (Niyazi Mah. - İnönü Cad.).jpg","Faruk Güllüoğlu, Battalgazi (Niyazi Mah. - İnönü Cad.)")</f>
        <v>Faruk Güllüoğlu, Battalgazi (Niyazi Mah. - İnönü Cad.)</v>
      </c>
      <c r="AF88" t="s">
        <v>406</v>
      </c>
      <c r="AG88" t="s">
        <v>99</v>
      </c>
      <c r="AH88" t="s">
        <v>88</v>
      </c>
      <c r="AI88" t="s">
        <v>88</v>
      </c>
      <c r="AJ88" t="s">
        <v>92</v>
      </c>
    </row>
    <row r="89" spans="2:36" x14ac:dyDescent="0.25">
      <c r="B89" t="s">
        <v>88</v>
      </c>
      <c r="C89" t="s">
        <v>88</v>
      </c>
      <c r="D89" t="s">
        <v>88</v>
      </c>
      <c r="E89" t="s">
        <v>88</v>
      </c>
      <c r="F89" t="s">
        <v>88</v>
      </c>
      <c r="G89" t="s">
        <v>88</v>
      </c>
      <c r="H89" t="s">
        <v>88</v>
      </c>
      <c r="I89" t="s">
        <v>88</v>
      </c>
      <c r="J89" t="s">
        <v>88</v>
      </c>
      <c r="K89" t="s">
        <v>88</v>
      </c>
      <c r="L89" t="s">
        <v>479</v>
      </c>
      <c r="M89" t="s">
        <v>88</v>
      </c>
      <c r="N89" t="s">
        <v>88</v>
      </c>
      <c r="O89" t="s">
        <v>88</v>
      </c>
      <c r="P89" t="s">
        <v>88</v>
      </c>
      <c r="Q89" t="s">
        <v>88</v>
      </c>
      <c r="R89" t="s">
        <v>88</v>
      </c>
      <c r="S89" t="s">
        <v>88</v>
      </c>
      <c r="T89" t="s">
        <v>88</v>
      </c>
      <c r="U89" t="s">
        <v>88</v>
      </c>
      <c r="V89" t="s">
        <v>88</v>
      </c>
      <c r="W89" t="s">
        <v>89</v>
      </c>
      <c r="X89" t="s">
        <v>88</v>
      </c>
      <c r="Y89" t="s">
        <v>90</v>
      </c>
      <c r="Z89" t="s">
        <v>97</v>
      </c>
      <c r="AA89" t="s">
        <v>88</v>
      </c>
      <c r="AB89" t="s">
        <v>88</v>
      </c>
      <c r="AC89" t="s">
        <v>88</v>
      </c>
      <c r="AD89" t="s">
        <v>88</v>
      </c>
      <c r="AE89" t="str">
        <f>HYPERLINK("file:///C:/rest_photo/Faveran Ev Yemekleri, Yeşilyurt (Tecde Mah.).jpg","Faveran Ev Yemekleri, Yeşilyurt (Tecde Mah.)")</f>
        <v>Faveran Ev Yemekleri, Yeşilyurt (Tecde Mah.)</v>
      </c>
      <c r="AF89" t="s">
        <v>403</v>
      </c>
      <c r="AG89" t="s">
        <v>173</v>
      </c>
      <c r="AH89" t="s">
        <v>88</v>
      </c>
      <c r="AI89" t="s">
        <v>88</v>
      </c>
      <c r="AJ89" t="s">
        <v>92</v>
      </c>
    </row>
    <row r="90" spans="2:36" x14ac:dyDescent="0.25">
      <c r="B90" t="s">
        <v>88</v>
      </c>
      <c r="C90" t="s">
        <v>88</v>
      </c>
      <c r="D90" t="s">
        <v>88</v>
      </c>
      <c r="E90" t="s">
        <v>88</v>
      </c>
      <c r="F90" t="s">
        <v>88</v>
      </c>
      <c r="G90" t="s">
        <v>88</v>
      </c>
      <c r="H90" t="s">
        <v>88</v>
      </c>
      <c r="I90" t="s">
        <v>88</v>
      </c>
      <c r="J90" t="s">
        <v>88</v>
      </c>
      <c r="K90" t="s">
        <v>88</v>
      </c>
      <c r="L90" t="s">
        <v>480</v>
      </c>
      <c r="M90" t="s">
        <v>88</v>
      </c>
      <c r="N90" t="s">
        <v>88</v>
      </c>
      <c r="O90" t="s">
        <v>88</v>
      </c>
      <c r="P90" t="s">
        <v>88</v>
      </c>
      <c r="Q90" t="s">
        <v>88</v>
      </c>
      <c r="R90" t="s">
        <v>88</v>
      </c>
      <c r="S90" t="s">
        <v>88</v>
      </c>
      <c r="T90" t="s">
        <v>88</v>
      </c>
      <c r="U90" t="s">
        <v>88</v>
      </c>
      <c r="V90" t="s">
        <v>88</v>
      </c>
      <c r="W90" t="s">
        <v>89</v>
      </c>
      <c r="X90" t="s">
        <v>88</v>
      </c>
      <c r="Y90" t="s">
        <v>90</v>
      </c>
      <c r="Z90" t="s">
        <v>168</v>
      </c>
      <c r="AA90" t="s">
        <v>88</v>
      </c>
      <c r="AB90" t="s">
        <v>88</v>
      </c>
      <c r="AC90" t="s">
        <v>88</v>
      </c>
      <c r="AD90" t="s">
        <v>88</v>
      </c>
      <c r="AE90" t="str">
        <f>HYPERLINK("file:///C:/rest_photo/Favorim Ev Yemekleri, Yeşilyurt (Özalper Mah.).jpg","Favorim Ev Yemekleri, Yeşilyurt (Özalper Mah.)")</f>
        <v>Favorim Ev Yemekleri, Yeşilyurt (Özalper Mah.)</v>
      </c>
      <c r="AF90" t="s">
        <v>403</v>
      </c>
      <c r="AG90" t="s">
        <v>173</v>
      </c>
      <c r="AH90" t="s">
        <v>88</v>
      </c>
      <c r="AI90" t="s">
        <v>88</v>
      </c>
      <c r="AJ90" t="s">
        <v>92</v>
      </c>
    </row>
    <row r="91" spans="2:36" x14ac:dyDescent="0.25">
      <c r="B91" t="s">
        <v>88</v>
      </c>
      <c r="C91" t="s">
        <v>88</v>
      </c>
      <c r="D91" t="s">
        <v>88</v>
      </c>
      <c r="E91" t="s">
        <v>88</v>
      </c>
      <c r="F91" t="s">
        <v>88</v>
      </c>
      <c r="G91" t="s">
        <v>88</v>
      </c>
      <c r="H91" t="s">
        <v>88</v>
      </c>
      <c r="I91" t="s">
        <v>88</v>
      </c>
      <c r="J91" t="s">
        <v>88</v>
      </c>
      <c r="K91" t="s">
        <v>88</v>
      </c>
      <c r="L91" t="s">
        <v>481</v>
      </c>
      <c r="M91" t="s">
        <v>88</v>
      </c>
      <c r="N91" t="s">
        <v>88</v>
      </c>
      <c r="O91" t="s">
        <v>88</v>
      </c>
      <c r="P91" t="s">
        <v>88</v>
      </c>
      <c r="Q91" t="s">
        <v>88</v>
      </c>
      <c r="R91" t="s">
        <v>88</v>
      </c>
      <c r="S91" t="s">
        <v>88</v>
      </c>
      <c r="T91" t="s">
        <v>88</v>
      </c>
      <c r="U91" t="s">
        <v>88</v>
      </c>
      <c r="V91" t="s">
        <v>88</v>
      </c>
      <c r="W91" t="s">
        <v>89</v>
      </c>
      <c r="X91" t="s">
        <v>88</v>
      </c>
      <c r="Y91" t="s">
        <v>90</v>
      </c>
      <c r="Z91" t="s">
        <v>113</v>
      </c>
      <c r="AA91" t="s">
        <v>88</v>
      </c>
      <c r="AB91" t="s">
        <v>88</v>
      </c>
      <c r="AC91" t="s">
        <v>88</v>
      </c>
      <c r="AD91" t="s">
        <v>88</v>
      </c>
      <c r="AE91" t="str">
        <f>HYPERLINK("file:///C:/rest_photo/Goril Fast Food, Yeşilyurt (Çilesiz Mah. - Fahri Kayahan Blv.).jpg","Goril Fast Food, Yeşilyurt (Çilesiz Mah. - Fahri Kayahan Blv.)")</f>
        <v>Goril Fast Food, Yeşilyurt (Çilesiz Mah. - Fahri Kayahan Blv.)</v>
      </c>
      <c r="AF91" t="s">
        <v>403</v>
      </c>
      <c r="AG91" t="s">
        <v>153</v>
      </c>
      <c r="AH91" t="s">
        <v>88</v>
      </c>
      <c r="AI91" t="s">
        <v>88</v>
      </c>
      <c r="AJ91" t="s">
        <v>92</v>
      </c>
    </row>
    <row r="92" spans="2:36" x14ac:dyDescent="0.25">
      <c r="B92" t="s">
        <v>88</v>
      </c>
      <c r="C92" t="s">
        <v>88</v>
      </c>
      <c r="D92" t="s">
        <v>88</v>
      </c>
      <c r="E92" t="s">
        <v>88</v>
      </c>
      <c r="F92" t="s">
        <v>88</v>
      </c>
      <c r="G92" t="s">
        <v>88</v>
      </c>
      <c r="H92" t="s">
        <v>88</v>
      </c>
      <c r="I92" t="s">
        <v>88</v>
      </c>
      <c r="J92" t="s">
        <v>88</v>
      </c>
      <c r="K92" t="s">
        <v>88</v>
      </c>
      <c r="L92" t="s">
        <v>482</v>
      </c>
      <c r="M92" t="s">
        <v>88</v>
      </c>
      <c r="N92" t="s">
        <v>88</v>
      </c>
      <c r="O92" t="s">
        <v>88</v>
      </c>
      <c r="P92" t="s">
        <v>88</v>
      </c>
      <c r="Q92" t="s">
        <v>88</v>
      </c>
      <c r="R92" t="s">
        <v>88</v>
      </c>
      <c r="S92" t="s">
        <v>88</v>
      </c>
      <c r="T92" t="s">
        <v>88</v>
      </c>
      <c r="U92" t="s">
        <v>88</v>
      </c>
      <c r="V92" t="s">
        <v>88</v>
      </c>
      <c r="W92" t="s">
        <v>89</v>
      </c>
      <c r="X92" t="s">
        <v>88</v>
      </c>
      <c r="Y92" t="s">
        <v>100</v>
      </c>
      <c r="Z92" t="s">
        <v>158</v>
      </c>
      <c r="AA92" t="s">
        <v>88</v>
      </c>
      <c r="AB92" t="s">
        <v>88</v>
      </c>
      <c r="AC92" t="s">
        <v>88</v>
      </c>
      <c r="AD92" t="s">
        <v>88</v>
      </c>
      <c r="AE92" t="str">
        <f>HYPERLINK("file:///C:/rest_photo/Gülümse Mantı Evi, Battalgazi (Paşaköşkü Mah.).jpg","Gülümse Mantı Evi, Battalgazi (Paşaköşkü Mah.)")</f>
        <v>Gülümse Mantı Evi, Battalgazi (Paşaköşkü Mah.)</v>
      </c>
      <c r="AF92" t="s">
        <v>483</v>
      </c>
      <c r="AG92" t="s">
        <v>173</v>
      </c>
      <c r="AH92" t="s">
        <v>88</v>
      </c>
      <c r="AI92" t="s">
        <v>88</v>
      </c>
      <c r="AJ92" t="s">
        <v>92</v>
      </c>
    </row>
    <row r="93" spans="2:36" x14ac:dyDescent="0.25">
      <c r="B93" t="s">
        <v>88</v>
      </c>
      <c r="C93" t="s">
        <v>88</v>
      </c>
      <c r="D93" t="s">
        <v>88</v>
      </c>
      <c r="E93" t="s">
        <v>88</v>
      </c>
      <c r="F93" t="s">
        <v>88</v>
      </c>
      <c r="G93" t="s">
        <v>88</v>
      </c>
      <c r="H93" t="s">
        <v>88</v>
      </c>
      <c r="I93" t="s">
        <v>88</v>
      </c>
      <c r="J93" t="s">
        <v>88</v>
      </c>
      <c r="K93" t="s">
        <v>88</v>
      </c>
      <c r="L93" t="s">
        <v>484</v>
      </c>
      <c r="M93" t="s">
        <v>88</v>
      </c>
      <c r="N93" t="s">
        <v>88</v>
      </c>
      <c r="O93" t="s">
        <v>88</v>
      </c>
      <c r="P93" t="s">
        <v>88</v>
      </c>
      <c r="Q93" t="s">
        <v>88</v>
      </c>
      <c r="R93" t="s">
        <v>88</v>
      </c>
      <c r="S93" t="s">
        <v>88</v>
      </c>
      <c r="T93" t="s">
        <v>88</v>
      </c>
      <c r="U93" t="s">
        <v>88</v>
      </c>
      <c r="V93" t="s">
        <v>88</v>
      </c>
      <c r="W93" t="s">
        <v>89</v>
      </c>
      <c r="X93" t="s">
        <v>88</v>
      </c>
      <c r="Y93" t="s">
        <v>90</v>
      </c>
      <c r="Z93" t="s">
        <v>113</v>
      </c>
      <c r="AA93" t="s">
        <v>88</v>
      </c>
      <c r="AB93" t="s">
        <v>88</v>
      </c>
      <c r="AC93" t="s">
        <v>88</v>
      </c>
      <c r="AD93" t="s">
        <v>88</v>
      </c>
      <c r="AE93" t="str">
        <f>HYPERLINK("file:///C:/rest_photo/Gülzade Baklava &amp; Börek, Yeşilyurt (Çilesiz Mah. - Fahri Kayahan Blv.).jpg","Gülzade Baklava &amp; Börek, Yeşilyurt (Çilesiz Mah. - Fahri Kayahan Blv.)")</f>
        <v>Gülzade Baklava &amp; Börek, Yeşilyurt (Çilesiz Mah. - Fahri Kayahan Blv.)</v>
      </c>
      <c r="AF93" t="s">
        <v>81</v>
      </c>
      <c r="AG93" t="s">
        <v>99</v>
      </c>
      <c r="AH93" t="s">
        <v>88</v>
      </c>
      <c r="AI93" t="s">
        <v>88</v>
      </c>
      <c r="AJ93" t="s">
        <v>92</v>
      </c>
    </row>
    <row r="94" spans="2:36" x14ac:dyDescent="0.25">
      <c r="B94" t="s">
        <v>88</v>
      </c>
      <c r="C94" t="s">
        <v>88</v>
      </c>
      <c r="D94" t="s">
        <v>88</v>
      </c>
      <c r="E94" t="s">
        <v>88</v>
      </c>
      <c r="F94" t="s">
        <v>88</v>
      </c>
      <c r="G94" t="s">
        <v>88</v>
      </c>
      <c r="H94" t="s">
        <v>88</v>
      </c>
      <c r="I94" t="s">
        <v>88</v>
      </c>
      <c r="J94" t="s">
        <v>88</v>
      </c>
      <c r="K94" t="s">
        <v>88</v>
      </c>
      <c r="L94" t="s">
        <v>485</v>
      </c>
      <c r="M94" t="s">
        <v>88</v>
      </c>
      <c r="N94" t="s">
        <v>88</v>
      </c>
      <c r="O94" t="s">
        <v>88</v>
      </c>
      <c r="P94" t="s">
        <v>88</v>
      </c>
      <c r="Q94" t="s">
        <v>88</v>
      </c>
      <c r="R94" t="s">
        <v>88</v>
      </c>
      <c r="S94" t="s">
        <v>88</v>
      </c>
      <c r="T94" t="s">
        <v>88</v>
      </c>
      <c r="U94" t="s">
        <v>88</v>
      </c>
      <c r="V94" t="s">
        <v>88</v>
      </c>
      <c r="W94" t="s">
        <v>89</v>
      </c>
      <c r="X94" t="s">
        <v>88</v>
      </c>
      <c r="Y94" t="s">
        <v>90</v>
      </c>
      <c r="Z94" t="s">
        <v>242</v>
      </c>
      <c r="AA94" t="s">
        <v>88</v>
      </c>
      <c r="AB94" t="s">
        <v>88</v>
      </c>
      <c r="AC94" t="s">
        <v>88</v>
      </c>
      <c r="AD94" t="s">
        <v>88</v>
      </c>
      <c r="AE94" t="str">
        <f>HYPERLINK("file:///C:/rest_photo/Gürbey Yemek &amp; Izgara, Yeşilyurt (Yavuz Selim Mah. - Beydağı Toki Mevkii).jpg","Gürbey Yemek &amp; Izgara, Yeşilyurt (Yavuz Selim Mah. - Beydağı Toki Mevkii)")</f>
        <v>Gürbey Yemek &amp; Izgara, Yeşilyurt (Yavuz Selim Mah. - Beydağı Toki Mevkii)</v>
      </c>
      <c r="AF94" t="s">
        <v>81</v>
      </c>
      <c r="AG94" t="s">
        <v>183</v>
      </c>
      <c r="AH94" t="s">
        <v>88</v>
      </c>
      <c r="AI94" t="s">
        <v>88</v>
      </c>
      <c r="AJ94" t="s">
        <v>92</v>
      </c>
    </row>
    <row r="95" spans="2:36" x14ac:dyDescent="0.25">
      <c r="B95" t="s">
        <v>88</v>
      </c>
      <c r="C95" t="s">
        <v>88</v>
      </c>
      <c r="D95" t="s">
        <v>88</v>
      </c>
      <c r="E95" t="s">
        <v>88</v>
      </c>
      <c r="F95" t="s">
        <v>88</v>
      </c>
      <c r="G95" t="s">
        <v>88</v>
      </c>
      <c r="H95" t="s">
        <v>88</v>
      </c>
      <c r="I95" t="s">
        <v>88</v>
      </c>
      <c r="J95" t="s">
        <v>88</v>
      </c>
      <c r="K95" t="s">
        <v>88</v>
      </c>
      <c r="L95" t="s">
        <v>486</v>
      </c>
      <c r="M95" t="s">
        <v>88</v>
      </c>
      <c r="N95" t="s">
        <v>88</v>
      </c>
      <c r="O95" t="s">
        <v>88</v>
      </c>
      <c r="P95" t="s">
        <v>88</v>
      </c>
      <c r="Q95" t="s">
        <v>88</v>
      </c>
      <c r="R95" t="s">
        <v>88</v>
      </c>
      <c r="S95" t="s">
        <v>88</v>
      </c>
      <c r="T95" t="s">
        <v>88</v>
      </c>
      <c r="U95" t="s">
        <v>88</v>
      </c>
      <c r="V95" t="s">
        <v>88</v>
      </c>
      <c r="W95" t="s">
        <v>89</v>
      </c>
      <c r="X95" t="s">
        <v>88</v>
      </c>
      <c r="Y95" t="s">
        <v>100</v>
      </c>
      <c r="Z95" t="s">
        <v>244</v>
      </c>
      <c r="AA95" t="s">
        <v>88</v>
      </c>
      <c r="AB95" t="s">
        <v>88</v>
      </c>
      <c r="AC95" t="s">
        <v>88</v>
      </c>
      <c r="AD95" t="s">
        <v>88</v>
      </c>
      <c r="AE95" t="str">
        <f>HYPERLINK("file:///C:/rest_photo/Güroğlu Tantuni, Battalgazi (Şifa Mah. - Halep Cad.).jpg","Güroğlu Tantuni, Battalgazi (Şifa Mah. - Halep Cad.)")</f>
        <v>Güroğlu Tantuni, Battalgazi (Şifa Mah. - Halep Cad.)</v>
      </c>
      <c r="AF95" t="s">
        <v>81</v>
      </c>
      <c r="AG95" t="s">
        <v>149</v>
      </c>
      <c r="AH95" t="s">
        <v>88</v>
      </c>
      <c r="AI95" t="s">
        <v>88</v>
      </c>
      <c r="AJ95" t="s">
        <v>92</v>
      </c>
    </row>
    <row r="96" spans="2:36" x14ac:dyDescent="0.25">
      <c r="B96" t="s">
        <v>88</v>
      </c>
      <c r="C96" t="s">
        <v>88</v>
      </c>
      <c r="D96" t="s">
        <v>88</v>
      </c>
      <c r="E96" t="s">
        <v>88</v>
      </c>
      <c r="F96" t="s">
        <v>88</v>
      </c>
      <c r="G96" t="s">
        <v>88</v>
      </c>
      <c r="H96" t="s">
        <v>88</v>
      </c>
      <c r="I96" t="s">
        <v>88</v>
      </c>
      <c r="J96" t="s">
        <v>88</v>
      </c>
      <c r="K96" t="s">
        <v>88</v>
      </c>
      <c r="L96" t="s">
        <v>487</v>
      </c>
      <c r="M96" t="s">
        <v>88</v>
      </c>
      <c r="N96" t="s">
        <v>88</v>
      </c>
      <c r="O96" t="s">
        <v>88</v>
      </c>
      <c r="P96" t="s">
        <v>88</v>
      </c>
      <c r="Q96" t="s">
        <v>88</v>
      </c>
      <c r="R96" t="s">
        <v>88</v>
      </c>
      <c r="S96" t="s">
        <v>88</v>
      </c>
      <c r="T96" t="s">
        <v>88</v>
      </c>
      <c r="U96" t="s">
        <v>88</v>
      </c>
      <c r="V96" t="s">
        <v>88</v>
      </c>
      <c r="W96" t="s">
        <v>89</v>
      </c>
      <c r="X96" t="s">
        <v>88</v>
      </c>
      <c r="Y96" t="s">
        <v>100</v>
      </c>
      <c r="Z96" t="s">
        <v>246</v>
      </c>
      <c r="AA96" t="s">
        <v>88</v>
      </c>
      <c r="AB96" t="s">
        <v>88</v>
      </c>
      <c r="AC96" t="s">
        <v>88</v>
      </c>
      <c r="AD96" t="s">
        <v>88</v>
      </c>
      <c r="AE96" t="str">
        <f>HYPERLINK("file:///C:/rest_photo/Halil Usta Adıyaman Çiğ Köftecisi, Battalgazi (İzzetiye Mah. - İnönü Cad.).jpg","Halil Usta Adıyaman Çiğ Köftecisi, Battalgazi (İzzetiye Mah. - İnönü Cad.)")</f>
        <v>Halil Usta Adıyaman Çiğ Köftecisi, Battalgazi (İzzetiye Mah. - İnönü Cad.)</v>
      </c>
      <c r="AF96" t="s">
        <v>406</v>
      </c>
      <c r="AG96" t="s">
        <v>106</v>
      </c>
      <c r="AH96" t="s">
        <v>88</v>
      </c>
      <c r="AI96" t="s">
        <v>88</v>
      </c>
      <c r="AJ96" t="s">
        <v>92</v>
      </c>
    </row>
    <row r="97" spans="2:36" x14ac:dyDescent="0.25">
      <c r="B97" t="s">
        <v>88</v>
      </c>
      <c r="C97" t="s">
        <v>88</v>
      </c>
      <c r="D97" t="s">
        <v>88</v>
      </c>
      <c r="E97" t="s">
        <v>88</v>
      </c>
      <c r="F97" t="s">
        <v>88</v>
      </c>
      <c r="G97" t="s">
        <v>88</v>
      </c>
      <c r="H97" t="s">
        <v>88</v>
      </c>
      <c r="I97" t="s">
        <v>88</v>
      </c>
      <c r="J97" t="s">
        <v>88</v>
      </c>
      <c r="K97" t="s">
        <v>88</v>
      </c>
      <c r="L97" t="s">
        <v>487</v>
      </c>
      <c r="M97" t="s">
        <v>88</v>
      </c>
      <c r="N97" t="s">
        <v>88</v>
      </c>
      <c r="O97" t="s">
        <v>88</v>
      </c>
      <c r="P97" t="s">
        <v>88</v>
      </c>
      <c r="Q97" t="s">
        <v>88</v>
      </c>
      <c r="R97" t="s">
        <v>88</v>
      </c>
      <c r="S97" t="s">
        <v>88</v>
      </c>
      <c r="T97" t="s">
        <v>88</v>
      </c>
      <c r="U97" t="s">
        <v>88</v>
      </c>
      <c r="V97" t="s">
        <v>88</v>
      </c>
      <c r="W97" t="s">
        <v>89</v>
      </c>
      <c r="X97" t="s">
        <v>88</v>
      </c>
      <c r="Y97" t="s">
        <v>100</v>
      </c>
      <c r="Z97" t="s">
        <v>158</v>
      </c>
      <c r="AA97" t="s">
        <v>88</v>
      </c>
      <c r="AB97" t="s">
        <v>88</v>
      </c>
      <c r="AC97" t="s">
        <v>88</v>
      </c>
      <c r="AD97" t="s">
        <v>88</v>
      </c>
      <c r="AE97" t="str">
        <f>HYPERLINK("file:///C:/rest_photo/Halil Usta Adıyaman Çiğ Köftecisi, Battalgazi (Paşaköşkü Mah.).jpg","Halil Usta Adıyaman Çiğ Köftecisi, Battalgazi (Paşaköşkü Mah.)")</f>
        <v>Halil Usta Adıyaman Çiğ Köftecisi, Battalgazi (Paşaköşkü Mah.)</v>
      </c>
      <c r="AF97" t="s">
        <v>81</v>
      </c>
      <c r="AG97" t="s">
        <v>106</v>
      </c>
      <c r="AH97" t="s">
        <v>88</v>
      </c>
      <c r="AI97" t="s">
        <v>88</v>
      </c>
      <c r="AJ97" t="s">
        <v>92</v>
      </c>
    </row>
    <row r="98" spans="2:36" x14ac:dyDescent="0.25">
      <c r="B98" t="s">
        <v>88</v>
      </c>
      <c r="C98" t="s">
        <v>88</v>
      </c>
      <c r="D98" t="s">
        <v>88</v>
      </c>
      <c r="E98" t="s">
        <v>88</v>
      </c>
      <c r="F98" t="s">
        <v>88</v>
      </c>
      <c r="G98" t="s">
        <v>88</v>
      </c>
      <c r="H98" t="s">
        <v>88</v>
      </c>
      <c r="I98" t="s">
        <v>88</v>
      </c>
      <c r="J98" t="s">
        <v>88</v>
      </c>
      <c r="K98" t="s">
        <v>88</v>
      </c>
      <c r="L98" t="s">
        <v>487</v>
      </c>
      <c r="M98" t="s">
        <v>88</v>
      </c>
      <c r="N98" t="s">
        <v>88</v>
      </c>
      <c r="O98" t="s">
        <v>88</v>
      </c>
      <c r="P98" t="s">
        <v>88</v>
      </c>
      <c r="Q98" t="s">
        <v>88</v>
      </c>
      <c r="R98" t="s">
        <v>88</v>
      </c>
      <c r="S98" t="s">
        <v>88</v>
      </c>
      <c r="T98" t="s">
        <v>88</v>
      </c>
      <c r="U98" t="s">
        <v>88</v>
      </c>
      <c r="V98" t="s">
        <v>88</v>
      </c>
      <c r="W98" t="s">
        <v>89</v>
      </c>
      <c r="X98" t="s">
        <v>88</v>
      </c>
      <c r="Y98" t="s">
        <v>90</v>
      </c>
      <c r="Z98" t="s">
        <v>97</v>
      </c>
      <c r="AA98" t="s">
        <v>88</v>
      </c>
      <c r="AB98" t="s">
        <v>88</v>
      </c>
      <c r="AC98" t="s">
        <v>88</v>
      </c>
      <c r="AD98" t="s">
        <v>88</v>
      </c>
      <c r="AE98" t="str">
        <f>HYPERLINK("file:///C:/rest_photo/Halil Usta Adıyaman Çiğ Köftecisi, Yeşilyurt (Tecde Mah.).jpg","Halil Usta Adıyaman Çiğ Köftecisi, Yeşilyurt (Tecde Mah.)")</f>
        <v>Halil Usta Adıyaman Çiğ Köftecisi, Yeşilyurt (Tecde Mah.)</v>
      </c>
      <c r="AF98" t="s">
        <v>81</v>
      </c>
      <c r="AG98" t="s">
        <v>106</v>
      </c>
      <c r="AH98" t="s">
        <v>88</v>
      </c>
      <c r="AI98" t="s">
        <v>88</v>
      </c>
      <c r="AJ98" t="s">
        <v>92</v>
      </c>
    </row>
    <row r="99" spans="2:36" x14ac:dyDescent="0.25">
      <c r="B99" t="s">
        <v>88</v>
      </c>
      <c r="C99" t="s">
        <v>88</v>
      </c>
      <c r="D99" t="s">
        <v>88</v>
      </c>
      <c r="E99" t="s">
        <v>88</v>
      </c>
      <c r="F99" t="s">
        <v>88</v>
      </c>
      <c r="G99" t="s">
        <v>88</v>
      </c>
      <c r="H99" t="s">
        <v>88</v>
      </c>
      <c r="I99" t="s">
        <v>88</v>
      </c>
      <c r="J99" t="s">
        <v>88</v>
      </c>
      <c r="K99" t="s">
        <v>88</v>
      </c>
      <c r="L99" t="s">
        <v>488</v>
      </c>
      <c r="M99" t="s">
        <v>88</v>
      </c>
      <c r="N99" t="s">
        <v>88</v>
      </c>
      <c r="O99" t="s">
        <v>88</v>
      </c>
      <c r="P99" t="s">
        <v>88</v>
      </c>
      <c r="Q99" t="s">
        <v>88</v>
      </c>
      <c r="R99" t="s">
        <v>88</v>
      </c>
      <c r="S99" t="s">
        <v>88</v>
      </c>
      <c r="T99" t="s">
        <v>88</v>
      </c>
      <c r="U99" t="s">
        <v>88</v>
      </c>
      <c r="V99" t="s">
        <v>88</v>
      </c>
      <c r="W99" t="s">
        <v>89</v>
      </c>
      <c r="X99" t="s">
        <v>88</v>
      </c>
      <c r="Y99" t="s">
        <v>90</v>
      </c>
      <c r="Z99" t="s">
        <v>113</v>
      </c>
      <c r="AA99" t="s">
        <v>88</v>
      </c>
      <c r="AB99" t="s">
        <v>88</v>
      </c>
      <c r="AC99" t="s">
        <v>88</v>
      </c>
      <c r="AD99" t="s">
        <v>88</v>
      </c>
      <c r="AE99" t="str">
        <f>HYPERLINK("file:///C:/rest_photo/Hanedan Döner, Yeşilyurt (Çilesiz Mah. - Fahri Kayahan Blv.).jpg","Hanedan Döner, Yeşilyurt (Çilesiz Mah. - Fahri Kayahan Blv.)")</f>
        <v>Hanedan Döner, Yeşilyurt (Çilesiz Mah. - Fahri Kayahan Blv.)</v>
      </c>
      <c r="AF99" t="s">
        <v>403</v>
      </c>
      <c r="AG99" t="s">
        <v>139</v>
      </c>
      <c r="AH99" t="s">
        <v>88</v>
      </c>
      <c r="AI99" t="s">
        <v>88</v>
      </c>
      <c r="AJ99" t="s">
        <v>92</v>
      </c>
    </row>
    <row r="100" spans="2:36" x14ac:dyDescent="0.25">
      <c r="B100" t="s">
        <v>88</v>
      </c>
      <c r="C100" t="s">
        <v>88</v>
      </c>
      <c r="D100" t="s">
        <v>88</v>
      </c>
      <c r="E100" t="s">
        <v>88</v>
      </c>
      <c r="F100" t="s">
        <v>88</v>
      </c>
      <c r="G100" t="s">
        <v>88</v>
      </c>
      <c r="H100" t="s">
        <v>88</v>
      </c>
      <c r="I100" t="s">
        <v>88</v>
      </c>
      <c r="J100" t="s">
        <v>88</v>
      </c>
      <c r="K100" t="s">
        <v>88</v>
      </c>
      <c r="L100" t="s">
        <v>489</v>
      </c>
      <c r="M100" t="s">
        <v>88</v>
      </c>
      <c r="N100" t="s">
        <v>88</v>
      </c>
      <c r="O100" t="s">
        <v>88</v>
      </c>
      <c r="P100" t="s">
        <v>88</v>
      </c>
      <c r="Q100" t="s">
        <v>88</v>
      </c>
      <c r="R100" t="s">
        <v>88</v>
      </c>
      <c r="S100" t="s">
        <v>88</v>
      </c>
      <c r="T100" t="s">
        <v>88</v>
      </c>
      <c r="U100" t="s">
        <v>88</v>
      </c>
      <c r="V100" t="s">
        <v>88</v>
      </c>
      <c r="W100" t="s">
        <v>89</v>
      </c>
      <c r="X100" t="s">
        <v>88</v>
      </c>
      <c r="Y100" t="s">
        <v>90</v>
      </c>
      <c r="Z100" t="s">
        <v>91</v>
      </c>
      <c r="AA100" t="s">
        <v>88</v>
      </c>
      <c r="AB100" t="s">
        <v>88</v>
      </c>
      <c r="AC100" t="s">
        <v>88</v>
      </c>
      <c r="AD100" t="s">
        <v>88</v>
      </c>
      <c r="AE100" t="str">
        <f>HYPERLINK("file:///C:/rest_photo/Hasan Baba Sandviç, Yeşilyurt (İnönü Mah. - İnönü Cad.).jpg","Hasan Baba Sandviç, Yeşilyurt (İnönü Mah. - İnönü Cad.)")</f>
        <v>Hasan Baba Sandviç, Yeşilyurt (İnönü Mah. - İnönü Cad.)</v>
      </c>
      <c r="AF100" t="s">
        <v>403</v>
      </c>
      <c r="AG100" t="s">
        <v>153</v>
      </c>
      <c r="AH100" t="s">
        <v>88</v>
      </c>
      <c r="AI100" t="s">
        <v>88</v>
      </c>
      <c r="AJ100" t="s">
        <v>92</v>
      </c>
    </row>
    <row r="101" spans="2:36" x14ac:dyDescent="0.25">
      <c r="B101" t="s">
        <v>88</v>
      </c>
      <c r="C101" t="s">
        <v>88</v>
      </c>
      <c r="D101" t="s">
        <v>88</v>
      </c>
      <c r="E101" t="s">
        <v>88</v>
      </c>
      <c r="F101" t="s">
        <v>88</v>
      </c>
      <c r="G101" t="s">
        <v>88</v>
      </c>
      <c r="H101" t="s">
        <v>88</v>
      </c>
      <c r="I101" t="s">
        <v>88</v>
      </c>
      <c r="J101" t="s">
        <v>88</v>
      </c>
      <c r="K101" t="s">
        <v>88</v>
      </c>
      <c r="L101" t="s">
        <v>490</v>
      </c>
      <c r="M101" t="s">
        <v>88</v>
      </c>
      <c r="N101" t="s">
        <v>88</v>
      </c>
      <c r="O101" t="s">
        <v>88</v>
      </c>
      <c r="P101" t="s">
        <v>88</v>
      </c>
      <c r="Q101" t="s">
        <v>88</v>
      </c>
      <c r="R101" t="s">
        <v>88</v>
      </c>
      <c r="S101" t="s">
        <v>88</v>
      </c>
      <c r="T101" t="s">
        <v>88</v>
      </c>
      <c r="U101" t="s">
        <v>88</v>
      </c>
      <c r="V101" t="s">
        <v>88</v>
      </c>
      <c r="W101" t="s">
        <v>89</v>
      </c>
      <c r="X101" t="s">
        <v>88</v>
      </c>
      <c r="Y101" t="s">
        <v>90</v>
      </c>
      <c r="Z101" t="s">
        <v>168</v>
      </c>
      <c r="AA101" t="s">
        <v>88</v>
      </c>
      <c r="AB101" t="s">
        <v>88</v>
      </c>
      <c r="AC101" t="s">
        <v>88</v>
      </c>
      <c r="AD101" t="s">
        <v>88</v>
      </c>
      <c r="AE101" t="str">
        <f>HYPERLINK("file:///C:/rest_photo/Hazarhan Çiğköfte Malatya, Yeşilyurt (Özalper Mah.).jpg","Hazarhan Çiğköfte Malatya, Yeşilyurt (Özalper Mah.)")</f>
        <v>Hazarhan Çiğköfte Malatya, Yeşilyurt (Özalper Mah.)</v>
      </c>
      <c r="AF101" t="s">
        <v>406</v>
      </c>
      <c r="AG101" t="s">
        <v>106</v>
      </c>
      <c r="AH101" t="s">
        <v>88</v>
      </c>
      <c r="AI101" t="s">
        <v>88</v>
      </c>
      <c r="AJ101" t="s">
        <v>92</v>
      </c>
    </row>
    <row r="102" spans="2:36" x14ac:dyDescent="0.25">
      <c r="B102" t="s">
        <v>88</v>
      </c>
      <c r="C102" t="s">
        <v>88</v>
      </c>
      <c r="D102" t="s">
        <v>88</v>
      </c>
      <c r="E102" t="s">
        <v>88</v>
      </c>
      <c r="F102" t="s">
        <v>88</v>
      </c>
      <c r="G102" t="s">
        <v>88</v>
      </c>
      <c r="H102" t="s">
        <v>88</v>
      </c>
      <c r="I102" t="s">
        <v>88</v>
      </c>
      <c r="J102" t="s">
        <v>88</v>
      </c>
      <c r="K102" t="s">
        <v>88</v>
      </c>
      <c r="L102" t="s">
        <v>491</v>
      </c>
      <c r="M102" t="s">
        <v>88</v>
      </c>
      <c r="N102" t="s">
        <v>88</v>
      </c>
      <c r="O102" t="s">
        <v>88</v>
      </c>
      <c r="P102" t="s">
        <v>88</v>
      </c>
      <c r="Q102" t="s">
        <v>88</v>
      </c>
      <c r="R102" t="s">
        <v>88</v>
      </c>
      <c r="S102" t="s">
        <v>88</v>
      </c>
      <c r="T102" t="s">
        <v>88</v>
      </c>
      <c r="U102" t="s">
        <v>88</v>
      </c>
      <c r="V102" t="s">
        <v>88</v>
      </c>
      <c r="W102" t="s">
        <v>89</v>
      </c>
      <c r="X102" t="s">
        <v>88</v>
      </c>
      <c r="Y102" t="s">
        <v>100</v>
      </c>
      <c r="Z102" t="s">
        <v>220</v>
      </c>
      <c r="AA102" t="s">
        <v>88</v>
      </c>
      <c r="AB102" t="s">
        <v>88</v>
      </c>
      <c r="AC102" t="s">
        <v>88</v>
      </c>
      <c r="AD102" t="s">
        <v>88</v>
      </c>
      <c r="AE102" t="str">
        <f>HYPERLINK("file:///C:/rest_photo/Helvacı Hacı Aziz, Battalgazi (İzzetiye Mah.).jpg","Helvacı Hacı Aziz, Battalgazi (İzzetiye Mah.)")</f>
        <v>Helvacı Hacı Aziz, Battalgazi (İzzetiye Mah.)</v>
      </c>
      <c r="AF102" t="s">
        <v>403</v>
      </c>
      <c r="AG102" t="s">
        <v>99</v>
      </c>
      <c r="AH102" t="s">
        <v>88</v>
      </c>
      <c r="AI102" t="s">
        <v>88</v>
      </c>
      <c r="AJ102" t="s">
        <v>92</v>
      </c>
    </row>
    <row r="103" spans="2:36" x14ac:dyDescent="0.25">
      <c r="B103" t="s">
        <v>88</v>
      </c>
      <c r="C103" t="s">
        <v>88</v>
      </c>
      <c r="D103" t="s">
        <v>88</v>
      </c>
      <c r="E103" t="s">
        <v>88</v>
      </c>
      <c r="F103" t="s">
        <v>88</v>
      </c>
      <c r="G103" t="s">
        <v>88</v>
      </c>
      <c r="H103" t="s">
        <v>88</v>
      </c>
      <c r="I103" t="s">
        <v>88</v>
      </c>
      <c r="J103" t="s">
        <v>88</v>
      </c>
      <c r="K103" t="s">
        <v>88</v>
      </c>
      <c r="L103" t="s">
        <v>492</v>
      </c>
      <c r="M103" t="s">
        <v>88</v>
      </c>
      <c r="N103" t="s">
        <v>88</v>
      </c>
      <c r="O103" t="s">
        <v>88</v>
      </c>
      <c r="P103" t="s">
        <v>88</v>
      </c>
      <c r="Q103" t="s">
        <v>88</v>
      </c>
      <c r="R103" t="s">
        <v>88</v>
      </c>
      <c r="S103" t="s">
        <v>88</v>
      </c>
      <c r="T103" t="s">
        <v>88</v>
      </c>
      <c r="U103" t="s">
        <v>88</v>
      </c>
      <c r="V103" t="s">
        <v>88</v>
      </c>
      <c r="W103" t="s">
        <v>89</v>
      </c>
      <c r="X103" t="s">
        <v>88</v>
      </c>
      <c r="Y103" t="s">
        <v>100</v>
      </c>
      <c r="Z103" t="s">
        <v>101</v>
      </c>
      <c r="AA103" t="s">
        <v>88</v>
      </c>
      <c r="AB103" t="s">
        <v>88</v>
      </c>
      <c r="AC103" t="s">
        <v>88</v>
      </c>
      <c r="AD103" t="s">
        <v>88</v>
      </c>
      <c r="AE103" t="str">
        <f>HYPERLINK("file:///C:/rest_photo/Hosh Waffle &amp; Makarna, Battalgazi (Kernek Mah. - Kanalboyu Cad.).jpg","Hosh Waffle &amp; Makarna, Battalgazi (Kernek Mah. - Kanalboyu Cad.)")</f>
        <v>Hosh Waffle &amp; Makarna, Battalgazi (Kernek Mah. - Kanalboyu Cad.)</v>
      </c>
      <c r="AF103" t="s">
        <v>403</v>
      </c>
      <c r="AG103" t="s">
        <v>129</v>
      </c>
      <c r="AH103" t="s">
        <v>88</v>
      </c>
      <c r="AI103" t="s">
        <v>88</v>
      </c>
      <c r="AJ103" t="s">
        <v>92</v>
      </c>
    </row>
    <row r="104" spans="2:36" x14ac:dyDescent="0.25">
      <c r="B104" t="s">
        <v>88</v>
      </c>
      <c r="C104" t="s">
        <v>88</v>
      </c>
      <c r="D104" t="s">
        <v>88</v>
      </c>
      <c r="E104" t="s">
        <v>88</v>
      </c>
      <c r="F104" t="s">
        <v>88</v>
      </c>
      <c r="G104" t="s">
        <v>88</v>
      </c>
      <c r="H104" t="s">
        <v>88</v>
      </c>
      <c r="I104" t="s">
        <v>88</v>
      </c>
      <c r="J104" t="s">
        <v>88</v>
      </c>
      <c r="K104" t="s">
        <v>88</v>
      </c>
      <c r="L104" t="s">
        <v>493</v>
      </c>
      <c r="M104" t="s">
        <v>88</v>
      </c>
      <c r="N104" t="s">
        <v>88</v>
      </c>
      <c r="O104" t="s">
        <v>88</v>
      </c>
      <c r="P104" t="s">
        <v>88</v>
      </c>
      <c r="Q104" t="s">
        <v>88</v>
      </c>
      <c r="R104" t="s">
        <v>88</v>
      </c>
      <c r="S104" t="s">
        <v>88</v>
      </c>
      <c r="T104" t="s">
        <v>88</v>
      </c>
      <c r="U104" t="s">
        <v>88</v>
      </c>
      <c r="V104" t="s">
        <v>88</v>
      </c>
      <c r="W104" t="s">
        <v>89</v>
      </c>
      <c r="X104" t="s">
        <v>88</v>
      </c>
      <c r="Y104" t="s">
        <v>100</v>
      </c>
      <c r="Z104" t="s">
        <v>255</v>
      </c>
      <c r="AA104" t="s">
        <v>88</v>
      </c>
      <c r="AB104" t="s">
        <v>88</v>
      </c>
      <c r="AC104" t="s">
        <v>88</v>
      </c>
      <c r="AD104" t="s">
        <v>88</v>
      </c>
      <c r="AE104" t="str">
        <f>HYPERLINK("file:///C:/rest_photo/İlhan Bey Pide &amp; Lahmacun, Battalgazi (Göztepe Mah.).jpg","İlhan Bey Pide &amp; Lahmacun, Battalgazi (Göztepe Mah.)")</f>
        <v>İlhan Bey Pide &amp; Lahmacun, Battalgazi (Göztepe Mah.)</v>
      </c>
      <c r="AF104" t="s">
        <v>406</v>
      </c>
      <c r="AG104" t="s">
        <v>143</v>
      </c>
      <c r="AH104" t="s">
        <v>88</v>
      </c>
      <c r="AI104" t="s">
        <v>88</v>
      </c>
      <c r="AJ104" t="s">
        <v>92</v>
      </c>
    </row>
    <row r="105" spans="2:36" x14ac:dyDescent="0.25">
      <c r="B105" t="s">
        <v>88</v>
      </c>
      <c r="C105" t="s">
        <v>88</v>
      </c>
      <c r="D105" t="s">
        <v>88</v>
      </c>
      <c r="E105" t="s">
        <v>88</v>
      </c>
      <c r="F105" t="s">
        <v>88</v>
      </c>
      <c r="G105" t="s">
        <v>88</v>
      </c>
      <c r="H105" t="s">
        <v>88</v>
      </c>
      <c r="I105" t="s">
        <v>88</v>
      </c>
      <c r="J105" t="s">
        <v>88</v>
      </c>
      <c r="K105" t="s">
        <v>88</v>
      </c>
      <c r="L105" t="s">
        <v>494</v>
      </c>
      <c r="M105" t="s">
        <v>88</v>
      </c>
      <c r="N105" t="s">
        <v>88</v>
      </c>
      <c r="O105" t="s">
        <v>88</v>
      </c>
      <c r="P105" t="s">
        <v>88</v>
      </c>
      <c r="Q105" t="s">
        <v>88</v>
      </c>
      <c r="R105" t="s">
        <v>88</v>
      </c>
      <c r="S105" t="s">
        <v>88</v>
      </c>
      <c r="T105" t="s">
        <v>88</v>
      </c>
      <c r="U105" t="s">
        <v>88</v>
      </c>
      <c r="V105" t="s">
        <v>88</v>
      </c>
      <c r="W105" t="s">
        <v>89</v>
      </c>
      <c r="X105" t="s">
        <v>88</v>
      </c>
      <c r="Y105" t="s">
        <v>90</v>
      </c>
      <c r="Z105" t="s">
        <v>111</v>
      </c>
      <c r="AA105" t="s">
        <v>88</v>
      </c>
      <c r="AB105" t="s">
        <v>88</v>
      </c>
      <c r="AC105" t="s">
        <v>88</v>
      </c>
      <c r="AD105" t="s">
        <v>88</v>
      </c>
      <c r="AE105" t="str">
        <f>HYPERLINK("file:///C:/rest_photo/Kadıoğlu Baklava &amp; Çiğ Köfte, Yeşilyurt (Turgut Özal Mah.).jpg","Kadıoğlu Baklava &amp; Çiğ Köfte, Yeşilyurt (Turgut Özal Mah.)")</f>
        <v>Kadıoğlu Baklava &amp; Çiğ Köfte, Yeşilyurt (Turgut Özal Mah.)</v>
      </c>
      <c r="AF105" t="s">
        <v>81</v>
      </c>
      <c r="AG105" t="s">
        <v>99</v>
      </c>
      <c r="AH105" t="s">
        <v>88</v>
      </c>
      <c r="AI105" t="s">
        <v>88</v>
      </c>
      <c r="AJ105" t="s">
        <v>92</v>
      </c>
    </row>
    <row r="106" spans="2:36" x14ac:dyDescent="0.25">
      <c r="B106" t="s">
        <v>88</v>
      </c>
      <c r="C106" t="s">
        <v>88</v>
      </c>
      <c r="D106" t="s">
        <v>88</v>
      </c>
      <c r="E106" t="s">
        <v>88</v>
      </c>
      <c r="F106" t="s">
        <v>88</v>
      </c>
      <c r="G106" t="s">
        <v>88</v>
      </c>
      <c r="H106" t="s">
        <v>88</v>
      </c>
      <c r="I106" t="s">
        <v>88</v>
      </c>
      <c r="J106" t="s">
        <v>88</v>
      </c>
      <c r="K106" t="s">
        <v>88</v>
      </c>
      <c r="L106" t="s">
        <v>495</v>
      </c>
      <c r="M106" t="s">
        <v>88</v>
      </c>
      <c r="N106" t="s">
        <v>88</v>
      </c>
      <c r="O106" t="s">
        <v>88</v>
      </c>
      <c r="P106" t="s">
        <v>88</v>
      </c>
      <c r="Q106" t="s">
        <v>88</v>
      </c>
      <c r="R106" t="s">
        <v>88</v>
      </c>
      <c r="S106" t="s">
        <v>88</v>
      </c>
      <c r="T106" t="s">
        <v>88</v>
      </c>
      <c r="U106" t="s">
        <v>88</v>
      </c>
      <c r="V106" t="s">
        <v>88</v>
      </c>
      <c r="W106" t="s">
        <v>89</v>
      </c>
      <c r="X106" t="s">
        <v>88</v>
      </c>
      <c r="Y106" t="s">
        <v>90</v>
      </c>
      <c r="Z106" t="s">
        <v>113</v>
      </c>
      <c r="AA106" t="s">
        <v>88</v>
      </c>
      <c r="AB106" t="s">
        <v>88</v>
      </c>
      <c r="AC106" t="s">
        <v>88</v>
      </c>
      <c r="AD106" t="s">
        <v>88</v>
      </c>
      <c r="AE106" t="str">
        <f>HYPERLINK("file:///C:/rest_photo/Kahve Durağı, Yeşilyurt (Çilesiz Mah. - Fahri Kayahan Blv.).jpg","Kahve Durağı, Yeşilyurt (Çilesiz Mah. - Fahri Kayahan Blv.)")</f>
        <v>Kahve Durağı, Yeşilyurt (Çilesiz Mah. - Fahri Kayahan Blv.)</v>
      </c>
      <c r="AF106" t="s">
        <v>403</v>
      </c>
      <c r="AG106" t="s">
        <v>176</v>
      </c>
      <c r="AH106" t="s">
        <v>88</v>
      </c>
      <c r="AI106" t="s">
        <v>88</v>
      </c>
      <c r="AJ106" t="s">
        <v>92</v>
      </c>
    </row>
    <row r="107" spans="2:36" x14ac:dyDescent="0.25">
      <c r="B107" t="s">
        <v>88</v>
      </c>
      <c r="C107" t="s">
        <v>88</v>
      </c>
      <c r="D107" t="s">
        <v>88</v>
      </c>
      <c r="E107" t="s">
        <v>88</v>
      </c>
      <c r="F107" t="s">
        <v>88</v>
      </c>
      <c r="G107" t="s">
        <v>88</v>
      </c>
      <c r="H107" t="s">
        <v>88</v>
      </c>
      <c r="I107" t="s">
        <v>88</v>
      </c>
      <c r="J107" t="s">
        <v>88</v>
      </c>
      <c r="K107" t="s">
        <v>88</v>
      </c>
      <c r="L107" t="s">
        <v>496</v>
      </c>
      <c r="M107" t="s">
        <v>88</v>
      </c>
      <c r="N107" t="s">
        <v>88</v>
      </c>
      <c r="O107" t="s">
        <v>88</v>
      </c>
      <c r="P107" t="s">
        <v>88</v>
      </c>
      <c r="Q107" t="s">
        <v>88</v>
      </c>
      <c r="R107" t="s">
        <v>88</v>
      </c>
      <c r="S107" t="s">
        <v>88</v>
      </c>
      <c r="T107" t="s">
        <v>88</v>
      </c>
      <c r="U107" t="s">
        <v>88</v>
      </c>
      <c r="V107" t="s">
        <v>88</v>
      </c>
      <c r="W107" t="s">
        <v>89</v>
      </c>
      <c r="X107" t="s">
        <v>88</v>
      </c>
      <c r="Y107" t="s">
        <v>90</v>
      </c>
      <c r="Z107" t="s">
        <v>94</v>
      </c>
      <c r="AA107" t="s">
        <v>88</v>
      </c>
      <c r="AB107" t="s">
        <v>88</v>
      </c>
      <c r="AC107" t="s">
        <v>88</v>
      </c>
      <c r="AD107" t="s">
        <v>88</v>
      </c>
      <c r="AE107" t="str">
        <f>HYPERLINK("file:///C:/rest_photo/Kahve Dünyası, Yeşilyurt (İnönü Mah. - Malatya Park Avm).jpg","Kahve Dünyası, Yeşilyurt (İnönü Mah. - Malatya Park Avm)")</f>
        <v>Kahve Dünyası, Yeşilyurt (İnönü Mah. - Malatya Park Avm)</v>
      </c>
      <c r="AF107" t="s">
        <v>81</v>
      </c>
      <c r="AG107" t="s">
        <v>99</v>
      </c>
      <c r="AH107" t="s">
        <v>88</v>
      </c>
      <c r="AI107" t="s">
        <v>88</v>
      </c>
      <c r="AJ107" t="s">
        <v>92</v>
      </c>
    </row>
    <row r="108" spans="2:36" x14ac:dyDescent="0.25">
      <c r="B108" t="s">
        <v>88</v>
      </c>
      <c r="C108" t="s">
        <v>88</v>
      </c>
      <c r="D108" t="s">
        <v>88</v>
      </c>
      <c r="E108" t="s">
        <v>88</v>
      </c>
      <c r="F108" t="s">
        <v>88</v>
      </c>
      <c r="G108" t="s">
        <v>88</v>
      </c>
      <c r="H108" t="s">
        <v>88</v>
      </c>
      <c r="I108" t="s">
        <v>88</v>
      </c>
      <c r="J108" t="s">
        <v>88</v>
      </c>
      <c r="K108" t="s">
        <v>88</v>
      </c>
      <c r="L108" t="s">
        <v>497</v>
      </c>
      <c r="M108" t="s">
        <v>88</v>
      </c>
      <c r="N108" t="s">
        <v>88</v>
      </c>
      <c r="O108" t="s">
        <v>88</v>
      </c>
      <c r="P108" t="s">
        <v>88</v>
      </c>
      <c r="Q108" t="s">
        <v>88</v>
      </c>
      <c r="R108" t="s">
        <v>88</v>
      </c>
      <c r="S108" t="s">
        <v>88</v>
      </c>
      <c r="T108" t="s">
        <v>88</v>
      </c>
      <c r="U108" t="s">
        <v>88</v>
      </c>
      <c r="V108" t="s">
        <v>88</v>
      </c>
      <c r="W108" t="s">
        <v>89</v>
      </c>
      <c r="X108" t="s">
        <v>88</v>
      </c>
      <c r="Y108" t="s">
        <v>90</v>
      </c>
      <c r="Z108" t="s">
        <v>97</v>
      </c>
      <c r="AA108" t="s">
        <v>88</v>
      </c>
      <c r="AB108" t="s">
        <v>88</v>
      </c>
      <c r="AC108" t="s">
        <v>88</v>
      </c>
      <c r="AD108" t="s">
        <v>88</v>
      </c>
      <c r="AE108" t="str">
        <f>HYPERLINK("file:///C:/rest_photo/Kahvem 1517, Yeşilyurt (Tecde Mah.).jpg","Kahvem 1517, Yeşilyurt (Tecde Mah.)")</f>
        <v>Kahvem 1517, Yeşilyurt (Tecde Mah.)</v>
      </c>
      <c r="AF108" t="s">
        <v>81</v>
      </c>
      <c r="AG108" t="s">
        <v>176</v>
      </c>
      <c r="AH108" t="s">
        <v>88</v>
      </c>
      <c r="AI108" t="s">
        <v>88</v>
      </c>
      <c r="AJ108" t="s">
        <v>92</v>
      </c>
    </row>
    <row r="109" spans="2:36" x14ac:dyDescent="0.25">
      <c r="B109" t="s">
        <v>88</v>
      </c>
      <c r="C109" t="s">
        <v>88</v>
      </c>
      <c r="D109" t="s">
        <v>88</v>
      </c>
      <c r="E109" t="s">
        <v>88</v>
      </c>
      <c r="F109" t="s">
        <v>88</v>
      </c>
      <c r="G109" t="s">
        <v>88</v>
      </c>
      <c r="H109" t="s">
        <v>88</v>
      </c>
      <c r="I109" t="s">
        <v>88</v>
      </c>
      <c r="J109" t="s">
        <v>88</v>
      </c>
      <c r="K109" t="s">
        <v>88</v>
      </c>
      <c r="L109" t="s">
        <v>498</v>
      </c>
      <c r="M109" t="s">
        <v>88</v>
      </c>
      <c r="N109" t="s">
        <v>88</v>
      </c>
      <c r="O109" t="s">
        <v>88</v>
      </c>
      <c r="P109" t="s">
        <v>88</v>
      </c>
      <c r="Q109" t="s">
        <v>88</v>
      </c>
      <c r="R109" t="s">
        <v>88</v>
      </c>
      <c r="S109" t="s">
        <v>88</v>
      </c>
      <c r="T109" t="s">
        <v>88</v>
      </c>
      <c r="U109" t="s">
        <v>88</v>
      </c>
      <c r="V109" t="s">
        <v>88</v>
      </c>
      <c r="W109" t="s">
        <v>89</v>
      </c>
      <c r="X109" t="s">
        <v>88</v>
      </c>
      <c r="Y109" t="s">
        <v>100</v>
      </c>
      <c r="Z109" t="s">
        <v>158</v>
      </c>
      <c r="AA109" t="s">
        <v>88</v>
      </c>
      <c r="AB109" t="s">
        <v>88</v>
      </c>
      <c r="AC109" t="s">
        <v>88</v>
      </c>
      <c r="AD109" t="s">
        <v>88</v>
      </c>
      <c r="AE109" t="str">
        <f>HYPERLINK("file:///C:/rest_photo/Kanatçı Amca, Battalgazi (Paşaköşkü Mah.).jpg","Kanatçı Amca, Battalgazi (Paşaköşkü Mah.)")</f>
        <v>Kanatçı Amca, Battalgazi (Paşaköşkü Mah.)</v>
      </c>
      <c r="AF109" t="s">
        <v>406</v>
      </c>
      <c r="AG109" t="s">
        <v>183</v>
      </c>
      <c r="AH109" t="s">
        <v>88</v>
      </c>
      <c r="AI109" t="s">
        <v>88</v>
      </c>
      <c r="AJ109" t="s">
        <v>92</v>
      </c>
    </row>
    <row r="110" spans="2:36" x14ac:dyDescent="0.25">
      <c r="B110" t="s">
        <v>88</v>
      </c>
      <c r="C110" t="s">
        <v>88</v>
      </c>
      <c r="D110" t="s">
        <v>88</v>
      </c>
      <c r="E110" t="s">
        <v>88</v>
      </c>
      <c r="F110" t="s">
        <v>88</v>
      </c>
      <c r="G110" t="s">
        <v>88</v>
      </c>
      <c r="H110" t="s">
        <v>88</v>
      </c>
      <c r="I110" t="s">
        <v>88</v>
      </c>
      <c r="J110" t="s">
        <v>88</v>
      </c>
      <c r="K110" t="s">
        <v>88</v>
      </c>
      <c r="L110" t="s">
        <v>499</v>
      </c>
      <c r="M110" t="s">
        <v>88</v>
      </c>
      <c r="N110" t="s">
        <v>88</v>
      </c>
      <c r="O110" t="s">
        <v>88</v>
      </c>
      <c r="P110" t="s">
        <v>88</v>
      </c>
      <c r="Q110" t="s">
        <v>88</v>
      </c>
      <c r="R110" t="s">
        <v>88</v>
      </c>
      <c r="S110" t="s">
        <v>88</v>
      </c>
      <c r="T110" t="s">
        <v>88</v>
      </c>
      <c r="U110" t="s">
        <v>88</v>
      </c>
      <c r="V110" t="s">
        <v>88</v>
      </c>
      <c r="W110" t="s">
        <v>89</v>
      </c>
      <c r="X110" t="s">
        <v>88</v>
      </c>
      <c r="Y110" t="s">
        <v>90</v>
      </c>
      <c r="Z110" t="s">
        <v>147</v>
      </c>
      <c r="AA110" t="s">
        <v>88</v>
      </c>
      <c r="AB110" t="s">
        <v>88</v>
      </c>
      <c r="AC110" t="s">
        <v>88</v>
      </c>
      <c r="AD110" t="s">
        <v>88</v>
      </c>
      <c r="AE110" t="str">
        <f>HYPERLINK("file:///C:/rest_photo/Kebapçı Ahmet, Yeşilyurt (Zaviye Mah.).jpg","Kebapçı Ahmet, Yeşilyurt (Zaviye Mah.)")</f>
        <v>Kebapçı Ahmet, Yeşilyurt (Zaviye Mah.)</v>
      </c>
      <c r="AF110" t="s">
        <v>406</v>
      </c>
      <c r="AG110" t="s">
        <v>103</v>
      </c>
      <c r="AH110" t="s">
        <v>88</v>
      </c>
      <c r="AI110" t="s">
        <v>88</v>
      </c>
      <c r="AJ110" t="s">
        <v>92</v>
      </c>
    </row>
    <row r="111" spans="2:36" x14ac:dyDescent="0.25">
      <c r="B111" t="s">
        <v>88</v>
      </c>
      <c r="C111" t="s">
        <v>88</v>
      </c>
      <c r="D111" t="s">
        <v>88</v>
      </c>
      <c r="E111" t="s">
        <v>88</v>
      </c>
      <c r="F111" t="s">
        <v>88</v>
      </c>
      <c r="G111" t="s">
        <v>88</v>
      </c>
      <c r="H111" t="s">
        <v>88</v>
      </c>
      <c r="I111" t="s">
        <v>88</v>
      </c>
      <c r="J111" t="s">
        <v>88</v>
      </c>
      <c r="K111" t="s">
        <v>88</v>
      </c>
      <c r="L111" t="s">
        <v>500</v>
      </c>
      <c r="M111" t="s">
        <v>88</v>
      </c>
      <c r="N111" t="s">
        <v>88</v>
      </c>
      <c r="O111" t="s">
        <v>88</v>
      </c>
      <c r="P111" t="s">
        <v>88</v>
      </c>
      <c r="Q111" t="s">
        <v>88</v>
      </c>
      <c r="R111" t="s">
        <v>88</v>
      </c>
      <c r="S111" t="s">
        <v>88</v>
      </c>
      <c r="T111" t="s">
        <v>88</v>
      </c>
      <c r="U111" t="s">
        <v>88</v>
      </c>
      <c r="V111" t="s">
        <v>88</v>
      </c>
      <c r="W111" t="s">
        <v>89</v>
      </c>
      <c r="X111" t="s">
        <v>88</v>
      </c>
      <c r="Y111" t="s">
        <v>90</v>
      </c>
      <c r="Z111" t="s">
        <v>130</v>
      </c>
      <c r="AA111" t="s">
        <v>88</v>
      </c>
      <c r="AB111" t="s">
        <v>88</v>
      </c>
      <c r="AC111" t="s">
        <v>88</v>
      </c>
      <c r="AD111" t="s">
        <v>88</v>
      </c>
      <c r="AE111" t="str">
        <f>HYPERLINK("file:///C:/rest_photo/Kebapçı Mehmet Dayı'nın Yeri, Yeşilyurt (Samanlı Mah.).jpg","Kebapçı Mehmet Dayı'nın Yeri, Yeşilyurt (Samanlı Mah.)")</f>
        <v>Kebapçı Mehmet Dayı'nın Yeri, Yeşilyurt (Samanlı Mah.)</v>
      </c>
      <c r="AF111" t="s">
        <v>81</v>
      </c>
      <c r="AG111" t="s">
        <v>103</v>
      </c>
      <c r="AH111" t="s">
        <v>88</v>
      </c>
      <c r="AI111" t="s">
        <v>88</v>
      </c>
      <c r="AJ111" t="s">
        <v>92</v>
      </c>
    </row>
    <row r="112" spans="2:36" x14ac:dyDescent="0.25">
      <c r="B112" t="s">
        <v>88</v>
      </c>
      <c r="C112" t="s">
        <v>88</v>
      </c>
      <c r="D112" t="s">
        <v>88</v>
      </c>
      <c r="E112" t="s">
        <v>88</v>
      </c>
      <c r="F112" t="s">
        <v>88</v>
      </c>
      <c r="G112" t="s">
        <v>88</v>
      </c>
      <c r="H112" t="s">
        <v>88</v>
      </c>
      <c r="I112" t="s">
        <v>88</v>
      </c>
      <c r="J112" t="s">
        <v>88</v>
      </c>
      <c r="K112" t="s">
        <v>88</v>
      </c>
      <c r="L112" t="s">
        <v>264</v>
      </c>
      <c r="M112" t="s">
        <v>88</v>
      </c>
      <c r="N112" t="s">
        <v>88</v>
      </c>
      <c r="O112" t="s">
        <v>88</v>
      </c>
      <c r="P112" t="s">
        <v>88</v>
      </c>
      <c r="Q112" t="s">
        <v>88</v>
      </c>
      <c r="R112" t="s">
        <v>88</v>
      </c>
      <c r="S112" t="s">
        <v>88</v>
      </c>
      <c r="T112" t="s">
        <v>88</v>
      </c>
      <c r="U112" t="s">
        <v>88</v>
      </c>
      <c r="V112" t="s">
        <v>88</v>
      </c>
      <c r="W112" t="s">
        <v>89</v>
      </c>
      <c r="X112" t="s">
        <v>88</v>
      </c>
      <c r="Y112" t="s">
        <v>90</v>
      </c>
      <c r="Z112" t="s">
        <v>94</v>
      </c>
      <c r="AA112" t="s">
        <v>88</v>
      </c>
      <c r="AB112" t="s">
        <v>88</v>
      </c>
      <c r="AC112" t="s">
        <v>88</v>
      </c>
      <c r="AD112" t="s">
        <v>88</v>
      </c>
      <c r="AE112" t="str">
        <f>HYPERLINK("file:///C:/rest_photo/KFC, Yeşilyurt (İnönü Mah. - Malatya Park Avm).jpg","KFC, Yeşilyurt (İnönü Mah. - Malatya Park Avm)")</f>
        <v>KFC, Yeşilyurt (İnönü Mah. - Malatya Park Avm)</v>
      </c>
      <c r="AF112" t="s">
        <v>403</v>
      </c>
      <c r="AG112" t="s">
        <v>264</v>
      </c>
      <c r="AH112" t="s">
        <v>88</v>
      </c>
      <c r="AI112" t="s">
        <v>88</v>
      </c>
      <c r="AJ112" t="s">
        <v>92</v>
      </c>
    </row>
    <row r="113" spans="2:36" x14ac:dyDescent="0.25">
      <c r="B113" t="s">
        <v>88</v>
      </c>
      <c r="C113" t="s">
        <v>88</v>
      </c>
      <c r="D113" t="s">
        <v>88</v>
      </c>
      <c r="E113" t="s">
        <v>88</v>
      </c>
      <c r="F113" t="s">
        <v>88</v>
      </c>
      <c r="G113" t="s">
        <v>88</v>
      </c>
      <c r="H113" t="s">
        <v>88</v>
      </c>
      <c r="I113" t="s">
        <v>88</v>
      </c>
      <c r="J113" t="s">
        <v>88</v>
      </c>
      <c r="K113" t="s">
        <v>88</v>
      </c>
      <c r="L113" t="s">
        <v>501</v>
      </c>
      <c r="M113" t="s">
        <v>88</v>
      </c>
      <c r="N113" t="s">
        <v>88</v>
      </c>
      <c r="O113" t="s">
        <v>88</v>
      </c>
      <c r="P113" t="s">
        <v>88</v>
      </c>
      <c r="Q113" t="s">
        <v>88</v>
      </c>
      <c r="R113" t="s">
        <v>88</v>
      </c>
      <c r="S113" t="s">
        <v>88</v>
      </c>
      <c r="T113" t="s">
        <v>88</v>
      </c>
      <c r="U113" t="s">
        <v>88</v>
      </c>
      <c r="V113" t="s">
        <v>88</v>
      </c>
      <c r="W113" t="s">
        <v>89</v>
      </c>
      <c r="X113" t="s">
        <v>88</v>
      </c>
      <c r="Y113" t="s">
        <v>100</v>
      </c>
      <c r="Z113" t="s">
        <v>120</v>
      </c>
      <c r="AA113" t="s">
        <v>88</v>
      </c>
      <c r="AB113" t="s">
        <v>88</v>
      </c>
      <c r="AC113" t="s">
        <v>88</v>
      </c>
      <c r="AD113" t="s">
        <v>88</v>
      </c>
      <c r="AE113" t="str">
        <f>HYPERLINK("file:///C:/rest_photo/Kışla Tantuni, Battalgazi (Saray Mah.).jpg","Kışla Tantuni, Battalgazi (Saray Mah.)")</f>
        <v>Kışla Tantuni, Battalgazi (Saray Mah.)</v>
      </c>
      <c r="AF113" t="s">
        <v>502</v>
      </c>
      <c r="AG113" t="s">
        <v>149</v>
      </c>
      <c r="AH113" t="s">
        <v>88</v>
      </c>
      <c r="AI113" t="s">
        <v>88</v>
      </c>
      <c r="AJ113" t="s">
        <v>92</v>
      </c>
    </row>
    <row r="114" spans="2:36" x14ac:dyDescent="0.25">
      <c r="B114" t="s">
        <v>88</v>
      </c>
      <c r="C114" t="s">
        <v>88</v>
      </c>
      <c r="D114" t="s">
        <v>88</v>
      </c>
      <c r="E114" t="s">
        <v>88</v>
      </c>
      <c r="F114" t="s">
        <v>88</v>
      </c>
      <c r="G114" t="s">
        <v>88</v>
      </c>
      <c r="H114" t="s">
        <v>88</v>
      </c>
      <c r="I114" t="s">
        <v>88</v>
      </c>
      <c r="J114" t="s">
        <v>88</v>
      </c>
      <c r="K114" t="s">
        <v>88</v>
      </c>
      <c r="L114" t="s">
        <v>503</v>
      </c>
      <c r="M114" t="s">
        <v>88</v>
      </c>
      <c r="N114" t="s">
        <v>88</v>
      </c>
      <c r="O114" t="s">
        <v>88</v>
      </c>
      <c r="P114" t="s">
        <v>88</v>
      </c>
      <c r="Q114" t="s">
        <v>88</v>
      </c>
      <c r="R114" t="s">
        <v>88</v>
      </c>
      <c r="S114" t="s">
        <v>88</v>
      </c>
      <c r="T114" t="s">
        <v>88</v>
      </c>
      <c r="U114" t="s">
        <v>88</v>
      </c>
      <c r="V114" t="s">
        <v>88</v>
      </c>
      <c r="W114" t="s">
        <v>89</v>
      </c>
      <c r="X114" t="s">
        <v>88</v>
      </c>
      <c r="Y114" t="s">
        <v>90</v>
      </c>
      <c r="Z114" t="s">
        <v>97</v>
      </c>
      <c r="AA114" t="s">
        <v>88</v>
      </c>
      <c r="AB114" t="s">
        <v>88</v>
      </c>
      <c r="AC114" t="s">
        <v>88</v>
      </c>
      <c r="AD114" t="s">
        <v>88</v>
      </c>
      <c r="AE114" t="str">
        <f>HYPERLINK("file:///C:/rest_photo/Kıtır Balık &amp; Çıtır Tavuk, Yeşilyurt (Tecde Mah.).jpg","Kıtır Balık &amp; Çıtır Tavuk, Yeşilyurt (Tecde Mah.)")</f>
        <v>Kıtır Balık &amp; Çıtır Tavuk, Yeşilyurt (Tecde Mah.)</v>
      </c>
      <c r="AF114" t="s">
        <v>81</v>
      </c>
      <c r="AG114" t="s">
        <v>103</v>
      </c>
      <c r="AH114" t="s">
        <v>88</v>
      </c>
      <c r="AI114" t="s">
        <v>88</v>
      </c>
      <c r="AJ114" t="s">
        <v>92</v>
      </c>
    </row>
    <row r="115" spans="2:36" x14ac:dyDescent="0.25">
      <c r="B115" t="s">
        <v>88</v>
      </c>
      <c r="C115" t="s">
        <v>88</v>
      </c>
      <c r="D115" t="s">
        <v>88</v>
      </c>
      <c r="E115" t="s">
        <v>88</v>
      </c>
      <c r="F115" t="s">
        <v>88</v>
      </c>
      <c r="G115" t="s">
        <v>88</v>
      </c>
      <c r="H115" t="s">
        <v>88</v>
      </c>
      <c r="I115" t="s">
        <v>88</v>
      </c>
      <c r="J115" t="s">
        <v>88</v>
      </c>
      <c r="K115" t="s">
        <v>88</v>
      </c>
      <c r="L115" t="s">
        <v>504</v>
      </c>
      <c r="M115" t="s">
        <v>88</v>
      </c>
      <c r="N115" t="s">
        <v>88</v>
      </c>
      <c r="O115" t="s">
        <v>88</v>
      </c>
      <c r="P115" t="s">
        <v>88</v>
      </c>
      <c r="Q115" t="s">
        <v>88</v>
      </c>
      <c r="R115" t="s">
        <v>88</v>
      </c>
      <c r="S115" t="s">
        <v>88</v>
      </c>
      <c r="T115" t="s">
        <v>88</v>
      </c>
      <c r="U115" t="s">
        <v>88</v>
      </c>
      <c r="V115" t="s">
        <v>88</v>
      </c>
      <c r="W115" t="s">
        <v>89</v>
      </c>
      <c r="X115" t="s">
        <v>88</v>
      </c>
      <c r="Y115" t="s">
        <v>90</v>
      </c>
      <c r="Z115" t="s">
        <v>180</v>
      </c>
      <c r="AA115" t="s">
        <v>88</v>
      </c>
      <c r="AB115" t="s">
        <v>88</v>
      </c>
      <c r="AC115" t="s">
        <v>88</v>
      </c>
      <c r="AD115" t="s">
        <v>88</v>
      </c>
      <c r="AE115" t="str">
        <f>HYPERLINK("file:///C:/rest_photo/Kiremit Kebap, Yeşilyurt (Cevatpaşa Mah.).jpg","Kiremit Kebap, Yeşilyurt (Cevatpaşa Mah.)")</f>
        <v>Kiremit Kebap, Yeşilyurt (Cevatpaşa Mah.)</v>
      </c>
      <c r="AF115" t="s">
        <v>81</v>
      </c>
      <c r="AG115" t="s">
        <v>103</v>
      </c>
      <c r="AH115" t="s">
        <v>88</v>
      </c>
      <c r="AI115" t="s">
        <v>88</v>
      </c>
      <c r="AJ115" t="s">
        <v>92</v>
      </c>
    </row>
    <row r="116" spans="2:36" x14ac:dyDescent="0.25">
      <c r="B116" t="s">
        <v>88</v>
      </c>
      <c r="C116" t="s">
        <v>88</v>
      </c>
      <c r="D116" t="s">
        <v>88</v>
      </c>
      <c r="E116" t="s">
        <v>88</v>
      </c>
      <c r="F116" t="s">
        <v>88</v>
      </c>
      <c r="G116" t="s">
        <v>88</v>
      </c>
      <c r="H116" t="s">
        <v>88</v>
      </c>
      <c r="I116" t="s">
        <v>88</v>
      </c>
      <c r="J116" t="s">
        <v>88</v>
      </c>
      <c r="K116" t="s">
        <v>88</v>
      </c>
      <c r="L116" t="s">
        <v>269</v>
      </c>
      <c r="M116" t="s">
        <v>88</v>
      </c>
      <c r="N116" t="s">
        <v>88</v>
      </c>
      <c r="O116" t="s">
        <v>88</v>
      </c>
      <c r="P116" t="s">
        <v>88</v>
      </c>
      <c r="Q116" t="s">
        <v>88</v>
      </c>
      <c r="R116" t="s">
        <v>88</v>
      </c>
      <c r="S116" t="s">
        <v>88</v>
      </c>
      <c r="T116" t="s">
        <v>88</v>
      </c>
      <c r="U116" t="s">
        <v>88</v>
      </c>
      <c r="V116" t="s">
        <v>88</v>
      </c>
      <c r="W116" t="s">
        <v>89</v>
      </c>
      <c r="X116" t="s">
        <v>88</v>
      </c>
      <c r="Y116" t="s">
        <v>100</v>
      </c>
      <c r="Z116" t="s">
        <v>246</v>
      </c>
      <c r="AA116" t="s">
        <v>88</v>
      </c>
      <c r="AB116" t="s">
        <v>88</v>
      </c>
      <c r="AC116" t="s">
        <v>88</v>
      </c>
      <c r="AD116" t="s">
        <v>88</v>
      </c>
      <c r="AE116" t="str">
        <f>HYPERLINK("file:///C:/rest_photo/Komagene Etsiz Çiğ Köfte, Battalgazi (İzzetiye Mah. - İnönü Cad.).jpg","Komagene Etsiz Çiğ Köfte, Battalgazi (İzzetiye Mah. - İnönü Cad.)")</f>
        <v>Komagene Etsiz Çiğ Köfte, Battalgazi (İzzetiye Mah. - İnönü Cad.)</v>
      </c>
      <c r="AF116" t="s">
        <v>81</v>
      </c>
      <c r="AG116" t="s">
        <v>269</v>
      </c>
      <c r="AH116" t="s">
        <v>88</v>
      </c>
      <c r="AI116" t="s">
        <v>88</v>
      </c>
      <c r="AJ116" t="s">
        <v>92</v>
      </c>
    </row>
    <row r="117" spans="2:36" x14ac:dyDescent="0.25">
      <c r="B117" t="s">
        <v>88</v>
      </c>
      <c r="C117" t="s">
        <v>88</v>
      </c>
      <c r="D117" t="s">
        <v>88</v>
      </c>
      <c r="E117" t="s">
        <v>88</v>
      </c>
      <c r="F117" t="s">
        <v>88</v>
      </c>
      <c r="G117" t="s">
        <v>88</v>
      </c>
      <c r="H117" t="s">
        <v>88</v>
      </c>
      <c r="I117" t="s">
        <v>88</v>
      </c>
      <c r="J117" t="s">
        <v>88</v>
      </c>
      <c r="K117" t="s">
        <v>88</v>
      </c>
      <c r="L117" t="s">
        <v>269</v>
      </c>
      <c r="M117" t="s">
        <v>88</v>
      </c>
      <c r="N117" t="s">
        <v>88</v>
      </c>
      <c r="O117" t="s">
        <v>88</v>
      </c>
      <c r="P117" t="s">
        <v>88</v>
      </c>
      <c r="Q117" t="s">
        <v>88</v>
      </c>
      <c r="R117" t="s">
        <v>88</v>
      </c>
      <c r="S117" t="s">
        <v>88</v>
      </c>
      <c r="T117" t="s">
        <v>88</v>
      </c>
      <c r="U117" t="s">
        <v>88</v>
      </c>
      <c r="V117" t="s">
        <v>88</v>
      </c>
      <c r="W117" t="s">
        <v>89</v>
      </c>
      <c r="X117" t="s">
        <v>88</v>
      </c>
      <c r="Y117" t="s">
        <v>100</v>
      </c>
      <c r="Z117" t="s">
        <v>158</v>
      </c>
      <c r="AA117" t="s">
        <v>88</v>
      </c>
      <c r="AB117" t="s">
        <v>88</v>
      </c>
      <c r="AC117" t="s">
        <v>88</v>
      </c>
      <c r="AD117" t="s">
        <v>88</v>
      </c>
      <c r="AE117" t="str">
        <f>HYPERLINK("file:///C:/rest_photo/Komagene Etsiz Çiğ Köfte, Battalgazi (Paşaköşkü Mah.).jpg","Komagene Etsiz Çiğ Köfte, Battalgazi (Paşaköşkü Mah.)")</f>
        <v>Komagene Etsiz Çiğ Köfte, Battalgazi (Paşaköşkü Mah.)</v>
      </c>
      <c r="AF117" t="s">
        <v>81</v>
      </c>
      <c r="AG117" t="s">
        <v>269</v>
      </c>
      <c r="AH117" t="s">
        <v>88</v>
      </c>
      <c r="AI117" t="s">
        <v>88</v>
      </c>
      <c r="AJ117" t="s">
        <v>92</v>
      </c>
    </row>
    <row r="118" spans="2:36" x14ac:dyDescent="0.25">
      <c r="B118" t="s">
        <v>88</v>
      </c>
      <c r="C118" t="s">
        <v>88</v>
      </c>
      <c r="D118" t="s">
        <v>88</v>
      </c>
      <c r="E118" t="s">
        <v>88</v>
      </c>
      <c r="F118" t="s">
        <v>88</v>
      </c>
      <c r="G118" t="s">
        <v>88</v>
      </c>
      <c r="H118" t="s">
        <v>88</v>
      </c>
      <c r="I118" t="s">
        <v>88</v>
      </c>
      <c r="J118" t="s">
        <v>88</v>
      </c>
      <c r="K118" t="s">
        <v>88</v>
      </c>
      <c r="L118" t="s">
        <v>269</v>
      </c>
      <c r="M118" t="s">
        <v>88</v>
      </c>
      <c r="N118" t="s">
        <v>88</v>
      </c>
      <c r="O118" t="s">
        <v>88</v>
      </c>
      <c r="P118" t="s">
        <v>88</v>
      </c>
      <c r="Q118" t="s">
        <v>88</v>
      </c>
      <c r="R118" t="s">
        <v>88</v>
      </c>
      <c r="S118" t="s">
        <v>88</v>
      </c>
      <c r="T118" t="s">
        <v>88</v>
      </c>
      <c r="U118" t="s">
        <v>88</v>
      </c>
      <c r="V118" t="s">
        <v>88</v>
      </c>
      <c r="W118" t="s">
        <v>89</v>
      </c>
      <c r="X118" t="s">
        <v>88</v>
      </c>
      <c r="Y118" t="s">
        <v>90</v>
      </c>
      <c r="Z118" t="s">
        <v>109</v>
      </c>
      <c r="AA118" t="s">
        <v>88</v>
      </c>
      <c r="AB118" t="s">
        <v>88</v>
      </c>
      <c r="AC118" t="s">
        <v>88</v>
      </c>
      <c r="AD118" t="s">
        <v>88</v>
      </c>
      <c r="AE118" t="str">
        <f>HYPERLINK("file:///C:/rest_photo/Komagene Etsiz Çiğ Köfte, Yeşilyurt (Bostanbaşı Mah.).jpg","Komagene Etsiz Çiğ Köfte, Yeşilyurt (Bostanbaşı Mah.)")</f>
        <v>Komagene Etsiz Çiğ Köfte, Yeşilyurt (Bostanbaşı Mah.)</v>
      </c>
      <c r="AF118" t="s">
        <v>81</v>
      </c>
      <c r="AG118" t="s">
        <v>269</v>
      </c>
      <c r="AH118" t="s">
        <v>88</v>
      </c>
      <c r="AI118" t="s">
        <v>88</v>
      </c>
      <c r="AJ118" t="s">
        <v>92</v>
      </c>
    </row>
    <row r="119" spans="2:36" x14ac:dyDescent="0.25">
      <c r="B119" t="s">
        <v>88</v>
      </c>
      <c r="C119" t="s">
        <v>88</v>
      </c>
      <c r="D119" t="s">
        <v>88</v>
      </c>
      <c r="E119" t="s">
        <v>88</v>
      </c>
      <c r="F119" t="s">
        <v>88</v>
      </c>
      <c r="G119" t="s">
        <v>88</v>
      </c>
      <c r="H119" t="s">
        <v>88</v>
      </c>
      <c r="I119" t="s">
        <v>88</v>
      </c>
      <c r="J119" t="s">
        <v>88</v>
      </c>
      <c r="K119" t="s">
        <v>88</v>
      </c>
      <c r="L119" t="s">
        <v>269</v>
      </c>
      <c r="M119" t="s">
        <v>88</v>
      </c>
      <c r="N119" t="s">
        <v>88</v>
      </c>
      <c r="O119" t="s">
        <v>88</v>
      </c>
      <c r="P119" t="s">
        <v>88</v>
      </c>
      <c r="Q119" t="s">
        <v>88</v>
      </c>
      <c r="R119" t="s">
        <v>88</v>
      </c>
      <c r="S119" t="s">
        <v>88</v>
      </c>
      <c r="T119" t="s">
        <v>88</v>
      </c>
      <c r="U119" t="s">
        <v>88</v>
      </c>
      <c r="V119" t="s">
        <v>88</v>
      </c>
      <c r="W119" t="s">
        <v>89</v>
      </c>
      <c r="X119" t="s">
        <v>88</v>
      </c>
      <c r="Y119" t="s">
        <v>90</v>
      </c>
      <c r="Z119" t="s">
        <v>166</v>
      </c>
      <c r="AA119" t="s">
        <v>88</v>
      </c>
      <c r="AB119" t="s">
        <v>88</v>
      </c>
      <c r="AC119" t="s">
        <v>88</v>
      </c>
      <c r="AD119" t="s">
        <v>88</v>
      </c>
      <c r="AE119" t="str">
        <f>HYPERLINK("file:///C:/rest_photo/Komagene Etsiz Çiğ Köfte, Yeşilyurt (Cevatpaşa Mah. - Makro Avm).jpg","Komagene Etsiz Çiğ Köfte, Yeşilyurt (Cevatpaşa Mah. - Makro Avm)")</f>
        <v>Komagene Etsiz Çiğ Köfte, Yeşilyurt (Cevatpaşa Mah. - Makro Avm)</v>
      </c>
      <c r="AF119" t="s">
        <v>403</v>
      </c>
      <c r="AG119" t="s">
        <v>269</v>
      </c>
      <c r="AH119" t="s">
        <v>88</v>
      </c>
      <c r="AI119" t="s">
        <v>88</v>
      </c>
      <c r="AJ119" t="s">
        <v>92</v>
      </c>
    </row>
    <row r="120" spans="2:36" x14ac:dyDescent="0.25">
      <c r="B120" t="s">
        <v>88</v>
      </c>
      <c r="C120" t="s">
        <v>88</v>
      </c>
      <c r="D120" t="s">
        <v>88</v>
      </c>
      <c r="E120" t="s">
        <v>88</v>
      </c>
      <c r="F120" t="s">
        <v>88</v>
      </c>
      <c r="G120" t="s">
        <v>88</v>
      </c>
      <c r="H120" t="s">
        <v>88</v>
      </c>
      <c r="I120" t="s">
        <v>88</v>
      </c>
      <c r="J120" t="s">
        <v>88</v>
      </c>
      <c r="K120" t="s">
        <v>88</v>
      </c>
      <c r="L120" t="s">
        <v>269</v>
      </c>
      <c r="M120" t="s">
        <v>88</v>
      </c>
      <c r="N120" t="s">
        <v>88</v>
      </c>
      <c r="O120" t="s">
        <v>88</v>
      </c>
      <c r="P120" t="s">
        <v>88</v>
      </c>
      <c r="Q120" t="s">
        <v>88</v>
      </c>
      <c r="R120" t="s">
        <v>88</v>
      </c>
      <c r="S120" t="s">
        <v>88</v>
      </c>
      <c r="T120" t="s">
        <v>88</v>
      </c>
      <c r="U120" t="s">
        <v>88</v>
      </c>
      <c r="V120" t="s">
        <v>88</v>
      </c>
      <c r="W120" t="s">
        <v>89</v>
      </c>
      <c r="X120" t="s">
        <v>88</v>
      </c>
      <c r="Y120" t="s">
        <v>90</v>
      </c>
      <c r="Z120" t="s">
        <v>94</v>
      </c>
      <c r="AA120" t="s">
        <v>88</v>
      </c>
      <c r="AB120" t="s">
        <v>88</v>
      </c>
      <c r="AC120" t="s">
        <v>88</v>
      </c>
      <c r="AD120" t="s">
        <v>88</v>
      </c>
      <c r="AE120" t="str">
        <f>HYPERLINK("file:///C:/rest_photo/Komagene Etsiz Çiğ Köfte, Yeşilyurt (İnönü Mah. - Malatya Park Avm).jpg","Komagene Etsiz Çiğ Köfte, Yeşilyurt (İnönü Mah. - Malatya Park Avm)")</f>
        <v>Komagene Etsiz Çiğ Köfte, Yeşilyurt (İnönü Mah. - Malatya Park Avm)</v>
      </c>
      <c r="AF120" t="s">
        <v>403</v>
      </c>
      <c r="AG120" t="s">
        <v>269</v>
      </c>
      <c r="AH120" t="s">
        <v>88</v>
      </c>
      <c r="AI120" t="s">
        <v>88</v>
      </c>
      <c r="AJ120" t="s">
        <v>92</v>
      </c>
    </row>
    <row r="121" spans="2:36" x14ac:dyDescent="0.25">
      <c r="B121" t="s">
        <v>88</v>
      </c>
      <c r="C121" t="s">
        <v>88</v>
      </c>
      <c r="D121" t="s">
        <v>88</v>
      </c>
      <c r="E121" t="s">
        <v>88</v>
      </c>
      <c r="F121" t="s">
        <v>88</v>
      </c>
      <c r="G121" t="s">
        <v>88</v>
      </c>
      <c r="H121" t="s">
        <v>88</v>
      </c>
      <c r="I121" t="s">
        <v>88</v>
      </c>
      <c r="J121" t="s">
        <v>88</v>
      </c>
      <c r="K121" t="s">
        <v>88</v>
      </c>
      <c r="L121" t="s">
        <v>269</v>
      </c>
      <c r="M121" t="s">
        <v>88</v>
      </c>
      <c r="N121" t="s">
        <v>88</v>
      </c>
      <c r="O121" t="s">
        <v>88</v>
      </c>
      <c r="P121" t="s">
        <v>88</v>
      </c>
      <c r="Q121" t="s">
        <v>88</v>
      </c>
      <c r="R121" t="s">
        <v>88</v>
      </c>
      <c r="S121" t="s">
        <v>88</v>
      </c>
      <c r="T121" t="s">
        <v>88</v>
      </c>
      <c r="U121" t="s">
        <v>88</v>
      </c>
      <c r="V121" t="s">
        <v>88</v>
      </c>
      <c r="W121" t="s">
        <v>89</v>
      </c>
      <c r="X121" t="s">
        <v>88</v>
      </c>
      <c r="Y121" t="s">
        <v>90</v>
      </c>
      <c r="Z121" t="s">
        <v>168</v>
      </c>
      <c r="AA121" t="s">
        <v>88</v>
      </c>
      <c r="AB121" t="s">
        <v>88</v>
      </c>
      <c r="AC121" t="s">
        <v>88</v>
      </c>
      <c r="AD121" t="s">
        <v>88</v>
      </c>
      <c r="AE121" t="str">
        <f>HYPERLINK("file:///C:/rest_photo/Komagene Etsiz Çiğ Köfte, Yeşilyurt (Özalper Mah.).jpg","Komagene Etsiz Çiğ Köfte, Yeşilyurt (Özalper Mah.)")</f>
        <v>Komagene Etsiz Çiğ Köfte, Yeşilyurt (Özalper Mah.)</v>
      </c>
      <c r="AF121" t="s">
        <v>81</v>
      </c>
      <c r="AG121" t="s">
        <v>269</v>
      </c>
      <c r="AH121" t="s">
        <v>88</v>
      </c>
      <c r="AI121" t="s">
        <v>88</v>
      </c>
      <c r="AJ121" t="s">
        <v>92</v>
      </c>
    </row>
    <row r="122" spans="2:36" x14ac:dyDescent="0.25">
      <c r="B122" t="s">
        <v>88</v>
      </c>
      <c r="C122" t="s">
        <v>88</v>
      </c>
      <c r="D122" t="s">
        <v>88</v>
      </c>
      <c r="E122" t="s">
        <v>88</v>
      </c>
      <c r="F122" t="s">
        <v>88</v>
      </c>
      <c r="G122" t="s">
        <v>88</v>
      </c>
      <c r="H122" t="s">
        <v>88</v>
      </c>
      <c r="I122" t="s">
        <v>88</v>
      </c>
      <c r="J122" t="s">
        <v>88</v>
      </c>
      <c r="K122" t="s">
        <v>88</v>
      </c>
      <c r="L122" t="s">
        <v>269</v>
      </c>
      <c r="M122" t="s">
        <v>88</v>
      </c>
      <c r="N122" t="s">
        <v>88</v>
      </c>
      <c r="O122" t="s">
        <v>88</v>
      </c>
      <c r="P122" t="s">
        <v>88</v>
      </c>
      <c r="Q122" t="s">
        <v>88</v>
      </c>
      <c r="R122" t="s">
        <v>88</v>
      </c>
      <c r="S122" t="s">
        <v>88</v>
      </c>
      <c r="T122" t="s">
        <v>88</v>
      </c>
      <c r="U122" t="s">
        <v>88</v>
      </c>
      <c r="V122" t="s">
        <v>88</v>
      </c>
      <c r="W122" t="s">
        <v>89</v>
      </c>
      <c r="X122" t="s">
        <v>88</v>
      </c>
      <c r="Y122" t="s">
        <v>90</v>
      </c>
      <c r="Z122" t="s">
        <v>97</v>
      </c>
      <c r="AA122" t="s">
        <v>88</v>
      </c>
      <c r="AB122" t="s">
        <v>88</v>
      </c>
      <c r="AC122" t="s">
        <v>88</v>
      </c>
      <c r="AD122" t="s">
        <v>88</v>
      </c>
      <c r="AE122" t="str">
        <f>HYPERLINK("file:///C:/rest_photo/Komagene Etsiz Çiğ Köfte, Yeşilyurt (Tecde Mah.).jpg","Komagene Etsiz Çiğ Köfte, Yeşilyurt (Tecde Mah.)")</f>
        <v>Komagene Etsiz Çiğ Köfte, Yeşilyurt (Tecde Mah.)</v>
      </c>
      <c r="AF122" t="s">
        <v>406</v>
      </c>
      <c r="AG122" t="s">
        <v>269</v>
      </c>
      <c r="AH122" t="s">
        <v>88</v>
      </c>
      <c r="AI122" t="s">
        <v>88</v>
      </c>
      <c r="AJ122" t="s">
        <v>92</v>
      </c>
    </row>
    <row r="123" spans="2:36" x14ac:dyDescent="0.25">
      <c r="B123" t="s">
        <v>88</v>
      </c>
      <c r="C123" t="s">
        <v>88</v>
      </c>
      <c r="D123" t="s">
        <v>88</v>
      </c>
      <c r="E123" t="s">
        <v>88</v>
      </c>
      <c r="F123" t="s">
        <v>88</v>
      </c>
      <c r="G123" t="s">
        <v>88</v>
      </c>
      <c r="H123" t="s">
        <v>88</v>
      </c>
      <c r="I123" t="s">
        <v>88</v>
      </c>
      <c r="J123" t="s">
        <v>88</v>
      </c>
      <c r="K123" t="s">
        <v>88</v>
      </c>
      <c r="L123" t="s">
        <v>505</v>
      </c>
      <c r="M123" t="s">
        <v>88</v>
      </c>
      <c r="N123" t="s">
        <v>88</v>
      </c>
      <c r="O123" t="s">
        <v>88</v>
      </c>
      <c r="P123" t="s">
        <v>88</v>
      </c>
      <c r="Q123" t="s">
        <v>88</v>
      </c>
      <c r="R123" t="s">
        <v>88</v>
      </c>
      <c r="S123" t="s">
        <v>88</v>
      </c>
      <c r="T123" t="s">
        <v>88</v>
      </c>
      <c r="U123" t="s">
        <v>88</v>
      </c>
      <c r="V123" t="s">
        <v>88</v>
      </c>
      <c r="W123" t="s">
        <v>89</v>
      </c>
      <c r="X123" t="s">
        <v>88</v>
      </c>
      <c r="Y123" t="s">
        <v>100</v>
      </c>
      <c r="Z123" t="s">
        <v>104</v>
      </c>
      <c r="AA123" t="s">
        <v>88</v>
      </c>
      <c r="AB123" t="s">
        <v>88</v>
      </c>
      <c r="AC123" t="s">
        <v>88</v>
      </c>
      <c r="AD123" t="s">
        <v>88</v>
      </c>
      <c r="AE123" t="str">
        <f>HYPERLINK("file:///C:/rest_photo/Konak Kebap &amp; Kilo Mangal, Battalgazi (Akpınar Mah.).jpg","Konak Kebap &amp; Kilo Mangal, Battalgazi (Akpınar Mah.)")</f>
        <v>Konak Kebap &amp; Kilo Mangal, Battalgazi (Akpınar Mah.)</v>
      </c>
      <c r="AF123" t="s">
        <v>421</v>
      </c>
      <c r="AG123" t="s">
        <v>103</v>
      </c>
      <c r="AH123" t="s">
        <v>88</v>
      </c>
      <c r="AI123" t="s">
        <v>88</v>
      </c>
      <c r="AJ123" t="s">
        <v>92</v>
      </c>
    </row>
    <row r="124" spans="2:36" x14ac:dyDescent="0.25">
      <c r="B124" t="s">
        <v>88</v>
      </c>
      <c r="C124" t="s">
        <v>88</v>
      </c>
      <c r="D124" t="s">
        <v>88</v>
      </c>
      <c r="E124" t="s">
        <v>88</v>
      </c>
      <c r="F124" t="s">
        <v>88</v>
      </c>
      <c r="G124" t="s">
        <v>88</v>
      </c>
      <c r="H124" t="s">
        <v>88</v>
      </c>
      <c r="I124" t="s">
        <v>88</v>
      </c>
      <c r="J124" t="s">
        <v>88</v>
      </c>
      <c r="K124" t="s">
        <v>88</v>
      </c>
      <c r="L124" t="s">
        <v>506</v>
      </c>
      <c r="M124" t="s">
        <v>88</v>
      </c>
      <c r="N124" t="s">
        <v>88</v>
      </c>
      <c r="O124" t="s">
        <v>88</v>
      </c>
      <c r="P124" t="s">
        <v>88</v>
      </c>
      <c r="Q124" t="s">
        <v>88</v>
      </c>
      <c r="R124" t="s">
        <v>88</v>
      </c>
      <c r="S124" t="s">
        <v>88</v>
      </c>
      <c r="T124" t="s">
        <v>88</v>
      </c>
      <c r="U124" t="s">
        <v>88</v>
      </c>
      <c r="V124" t="s">
        <v>88</v>
      </c>
      <c r="W124" t="s">
        <v>89</v>
      </c>
      <c r="X124" t="s">
        <v>88</v>
      </c>
      <c r="Y124" t="s">
        <v>100</v>
      </c>
      <c r="Z124" t="s">
        <v>278</v>
      </c>
      <c r="AA124" t="s">
        <v>88</v>
      </c>
      <c r="AB124" t="s">
        <v>88</v>
      </c>
      <c r="AC124" t="s">
        <v>88</v>
      </c>
      <c r="AD124" t="s">
        <v>88</v>
      </c>
      <c r="AE124" t="str">
        <f>HYPERLINK("file:///C:/rest_photo/Köfteci Cumali Usta, Battalgazi (Hamidiye Mah. - İnönü Cad.).jpg","Köfteci Cumali Usta, Battalgazi (Hamidiye Mah. - İnönü Cad.)")</f>
        <v>Köfteci Cumali Usta, Battalgazi (Hamidiye Mah. - İnönü Cad.)</v>
      </c>
      <c r="AF124" t="s">
        <v>403</v>
      </c>
      <c r="AG124" t="s">
        <v>103</v>
      </c>
      <c r="AH124" t="s">
        <v>88</v>
      </c>
      <c r="AI124" t="s">
        <v>88</v>
      </c>
      <c r="AJ124" t="s">
        <v>92</v>
      </c>
    </row>
    <row r="125" spans="2:36" x14ac:dyDescent="0.25">
      <c r="B125" t="s">
        <v>88</v>
      </c>
      <c r="C125" t="s">
        <v>88</v>
      </c>
      <c r="D125" t="s">
        <v>88</v>
      </c>
      <c r="E125" t="s">
        <v>88</v>
      </c>
      <c r="F125" t="s">
        <v>88</v>
      </c>
      <c r="G125" t="s">
        <v>88</v>
      </c>
      <c r="H125" t="s">
        <v>88</v>
      </c>
      <c r="I125" t="s">
        <v>88</v>
      </c>
      <c r="J125" t="s">
        <v>88</v>
      </c>
      <c r="K125" t="s">
        <v>88</v>
      </c>
      <c r="L125" t="s">
        <v>507</v>
      </c>
      <c r="M125" t="s">
        <v>88</v>
      </c>
      <c r="N125" t="s">
        <v>88</v>
      </c>
      <c r="O125" t="s">
        <v>88</v>
      </c>
      <c r="P125" t="s">
        <v>88</v>
      </c>
      <c r="Q125" t="s">
        <v>88</v>
      </c>
      <c r="R125" t="s">
        <v>88</v>
      </c>
      <c r="S125" t="s">
        <v>88</v>
      </c>
      <c r="T125" t="s">
        <v>88</v>
      </c>
      <c r="U125" t="s">
        <v>88</v>
      </c>
      <c r="V125" t="s">
        <v>88</v>
      </c>
      <c r="W125" t="s">
        <v>89</v>
      </c>
      <c r="X125" t="s">
        <v>88</v>
      </c>
      <c r="Y125" t="s">
        <v>100</v>
      </c>
      <c r="Z125" t="s">
        <v>163</v>
      </c>
      <c r="AA125" t="s">
        <v>88</v>
      </c>
      <c r="AB125" t="s">
        <v>88</v>
      </c>
      <c r="AC125" t="s">
        <v>88</v>
      </c>
      <c r="AD125" t="s">
        <v>88</v>
      </c>
      <c r="AE125" t="str">
        <f>HYPERLINK("file:///C:/rest_photo/Köftecim, Battalgazi (Yenihamam Mah.).jpg","Köftecim, Battalgazi (Yenihamam Mah.)")</f>
        <v>Köftecim, Battalgazi (Yenihamam Mah.)</v>
      </c>
      <c r="AF125" t="s">
        <v>403</v>
      </c>
      <c r="AG125" t="s">
        <v>208</v>
      </c>
      <c r="AH125" t="s">
        <v>88</v>
      </c>
      <c r="AI125" t="s">
        <v>88</v>
      </c>
      <c r="AJ125" t="s">
        <v>92</v>
      </c>
    </row>
    <row r="126" spans="2:36" x14ac:dyDescent="0.25">
      <c r="B126" t="s">
        <v>88</v>
      </c>
      <c r="C126" t="s">
        <v>88</v>
      </c>
      <c r="D126" t="s">
        <v>88</v>
      </c>
      <c r="E126" t="s">
        <v>88</v>
      </c>
      <c r="F126" t="s">
        <v>88</v>
      </c>
      <c r="G126" t="s">
        <v>88</v>
      </c>
      <c r="H126" t="s">
        <v>88</v>
      </c>
      <c r="I126" t="s">
        <v>88</v>
      </c>
      <c r="J126" t="s">
        <v>88</v>
      </c>
      <c r="K126" t="s">
        <v>88</v>
      </c>
      <c r="L126" t="s">
        <v>508</v>
      </c>
      <c r="M126" t="s">
        <v>88</v>
      </c>
      <c r="N126" t="s">
        <v>88</v>
      </c>
      <c r="O126" t="s">
        <v>88</v>
      </c>
      <c r="P126" t="s">
        <v>88</v>
      </c>
      <c r="Q126" t="s">
        <v>88</v>
      </c>
      <c r="R126" t="s">
        <v>88</v>
      </c>
      <c r="S126" t="s">
        <v>88</v>
      </c>
      <c r="T126" t="s">
        <v>88</v>
      </c>
      <c r="U126" t="s">
        <v>88</v>
      </c>
      <c r="V126" t="s">
        <v>88</v>
      </c>
      <c r="W126" t="s">
        <v>89</v>
      </c>
      <c r="X126" t="s">
        <v>88</v>
      </c>
      <c r="Y126" t="s">
        <v>100</v>
      </c>
      <c r="Z126" t="s">
        <v>163</v>
      </c>
      <c r="AA126" t="s">
        <v>88</v>
      </c>
      <c r="AB126" t="s">
        <v>88</v>
      </c>
      <c r="AC126" t="s">
        <v>88</v>
      </c>
      <c r="AD126" t="s">
        <v>88</v>
      </c>
      <c r="AE126" t="str">
        <f>HYPERLINK("file:///C:/rest_photo/Köfteci Mesut, Battalgazi (Yenihamam Mah.).jpg","Köfteci Mesut, Battalgazi (Yenihamam Mah.)")</f>
        <v>Köfteci Mesut, Battalgazi (Yenihamam Mah.)</v>
      </c>
      <c r="AF126" t="s">
        <v>81</v>
      </c>
      <c r="AG126" t="s">
        <v>208</v>
      </c>
      <c r="AH126" t="s">
        <v>88</v>
      </c>
      <c r="AI126" t="s">
        <v>88</v>
      </c>
      <c r="AJ126" t="s">
        <v>92</v>
      </c>
    </row>
    <row r="127" spans="2:36" x14ac:dyDescent="0.25">
      <c r="B127" t="s">
        <v>88</v>
      </c>
      <c r="C127" t="s">
        <v>88</v>
      </c>
      <c r="D127" t="s">
        <v>88</v>
      </c>
      <c r="E127" t="s">
        <v>88</v>
      </c>
      <c r="F127" t="s">
        <v>88</v>
      </c>
      <c r="G127" t="s">
        <v>88</v>
      </c>
      <c r="H127" t="s">
        <v>88</v>
      </c>
      <c r="I127" t="s">
        <v>88</v>
      </c>
      <c r="J127" t="s">
        <v>88</v>
      </c>
      <c r="K127" t="s">
        <v>88</v>
      </c>
      <c r="L127" t="s">
        <v>509</v>
      </c>
      <c r="M127" t="s">
        <v>88</v>
      </c>
      <c r="N127" t="s">
        <v>88</v>
      </c>
      <c r="O127" t="s">
        <v>88</v>
      </c>
      <c r="P127" t="s">
        <v>88</v>
      </c>
      <c r="Q127" t="s">
        <v>88</v>
      </c>
      <c r="R127" t="s">
        <v>88</v>
      </c>
      <c r="S127" t="s">
        <v>88</v>
      </c>
      <c r="T127" t="s">
        <v>88</v>
      </c>
      <c r="U127" t="s">
        <v>88</v>
      </c>
      <c r="V127" t="s">
        <v>88</v>
      </c>
      <c r="W127" t="s">
        <v>89</v>
      </c>
      <c r="X127" t="s">
        <v>88</v>
      </c>
      <c r="Y127" t="s">
        <v>90</v>
      </c>
      <c r="Z127" t="s">
        <v>282</v>
      </c>
      <c r="AA127" t="s">
        <v>88</v>
      </c>
      <c r="AB127" t="s">
        <v>88</v>
      </c>
      <c r="AC127" t="s">
        <v>88</v>
      </c>
      <c r="AD127" t="s">
        <v>88</v>
      </c>
      <c r="AE127" t="str">
        <f>HYPERLINK("file:///C:/rest_photo/Köşem Mangal, Yeşilyurt (Şeyh Bayram Mah.).jpg","Köşem Mangal, Yeşilyurt (Şeyh Bayram Mah.)")</f>
        <v>Köşem Mangal, Yeşilyurt (Şeyh Bayram Mah.)</v>
      </c>
      <c r="AF127" t="s">
        <v>81</v>
      </c>
      <c r="AG127" t="s">
        <v>103</v>
      </c>
      <c r="AH127" t="s">
        <v>88</v>
      </c>
      <c r="AI127" t="s">
        <v>88</v>
      </c>
      <c r="AJ127" t="s">
        <v>92</v>
      </c>
    </row>
    <row r="128" spans="2:36" x14ac:dyDescent="0.25">
      <c r="B128" t="s">
        <v>88</v>
      </c>
      <c r="C128" t="s">
        <v>88</v>
      </c>
      <c r="D128" t="s">
        <v>88</v>
      </c>
      <c r="E128" t="s">
        <v>88</v>
      </c>
      <c r="F128" t="s">
        <v>88</v>
      </c>
      <c r="G128" t="s">
        <v>88</v>
      </c>
      <c r="H128" t="s">
        <v>88</v>
      </c>
      <c r="I128" t="s">
        <v>88</v>
      </c>
      <c r="J128" t="s">
        <v>88</v>
      </c>
      <c r="K128" t="s">
        <v>88</v>
      </c>
      <c r="L128" t="s">
        <v>510</v>
      </c>
      <c r="M128" t="s">
        <v>88</v>
      </c>
      <c r="N128" t="s">
        <v>88</v>
      </c>
      <c r="O128" t="s">
        <v>88</v>
      </c>
      <c r="P128" t="s">
        <v>88</v>
      </c>
      <c r="Q128" t="s">
        <v>88</v>
      </c>
      <c r="R128" t="s">
        <v>88</v>
      </c>
      <c r="S128" t="s">
        <v>88</v>
      </c>
      <c r="T128" t="s">
        <v>88</v>
      </c>
      <c r="U128" t="s">
        <v>88</v>
      </c>
      <c r="V128" t="s">
        <v>88</v>
      </c>
      <c r="W128" t="s">
        <v>89</v>
      </c>
      <c r="X128" t="s">
        <v>88</v>
      </c>
      <c r="Y128" t="s">
        <v>90</v>
      </c>
      <c r="Z128" t="s">
        <v>168</v>
      </c>
      <c r="AA128" t="s">
        <v>88</v>
      </c>
      <c r="AB128" t="s">
        <v>88</v>
      </c>
      <c r="AC128" t="s">
        <v>88</v>
      </c>
      <c r="AD128" t="s">
        <v>88</v>
      </c>
      <c r="AE128" t="str">
        <f>HYPERLINK("file:///C:/rest_photo/Köşem Mangal 2, Yeşilyurt (Özalper Mah.).jpg","Köşem Mangal 2, Yeşilyurt (Özalper Mah.)")</f>
        <v>Köşem Mangal 2, Yeşilyurt (Özalper Mah.)</v>
      </c>
      <c r="AF128" t="s">
        <v>81</v>
      </c>
      <c r="AG128" t="s">
        <v>103</v>
      </c>
      <c r="AH128" t="s">
        <v>88</v>
      </c>
      <c r="AI128" t="s">
        <v>88</v>
      </c>
      <c r="AJ128" t="s">
        <v>92</v>
      </c>
    </row>
    <row r="129" spans="2:36" x14ac:dyDescent="0.25">
      <c r="B129" t="s">
        <v>88</v>
      </c>
      <c r="C129" t="s">
        <v>88</v>
      </c>
      <c r="D129" t="s">
        <v>88</v>
      </c>
      <c r="E129" t="s">
        <v>88</v>
      </c>
      <c r="F129" t="s">
        <v>88</v>
      </c>
      <c r="G129" t="s">
        <v>88</v>
      </c>
      <c r="H129" t="s">
        <v>88</v>
      </c>
      <c r="I129" t="s">
        <v>88</v>
      </c>
      <c r="J129" t="s">
        <v>88</v>
      </c>
      <c r="K129" t="s">
        <v>88</v>
      </c>
      <c r="L129" t="s">
        <v>511</v>
      </c>
      <c r="M129" t="s">
        <v>88</v>
      </c>
      <c r="N129" t="s">
        <v>88</v>
      </c>
      <c r="O129" t="s">
        <v>88</v>
      </c>
      <c r="P129" t="s">
        <v>88</v>
      </c>
      <c r="Q129" t="s">
        <v>88</v>
      </c>
      <c r="R129" t="s">
        <v>88</v>
      </c>
      <c r="S129" t="s">
        <v>88</v>
      </c>
      <c r="T129" t="s">
        <v>88</v>
      </c>
      <c r="U129" t="s">
        <v>88</v>
      </c>
      <c r="V129" t="s">
        <v>88</v>
      </c>
      <c r="W129" t="s">
        <v>89</v>
      </c>
      <c r="X129" t="s">
        <v>88</v>
      </c>
      <c r="Y129" t="s">
        <v>100</v>
      </c>
      <c r="Z129" t="s">
        <v>158</v>
      </c>
      <c r="AA129" t="s">
        <v>88</v>
      </c>
      <c r="AB129" t="s">
        <v>88</v>
      </c>
      <c r="AC129" t="s">
        <v>88</v>
      </c>
      <c r="AD129" t="s">
        <v>88</v>
      </c>
      <c r="AE129" t="str">
        <f>HYPERLINK("file:///C:/rest_photo/Köşk Çiğ Köfte, Battalgazi (Paşaköşkü Mah.).jpg","Köşk Çiğ Köfte, Battalgazi (Paşaköşkü Mah.)")</f>
        <v>Köşk Çiğ Köfte, Battalgazi (Paşaköşkü Mah.)</v>
      </c>
      <c r="AF129" t="s">
        <v>81</v>
      </c>
      <c r="AG129" t="s">
        <v>106</v>
      </c>
      <c r="AH129" t="s">
        <v>88</v>
      </c>
      <c r="AI129" t="s">
        <v>88</v>
      </c>
      <c r="AJ129" t="s">
        <v>92</v>
      </c>
    </row>
    <row r="130" spans="2:36" x14ac:dyDescent="0.25">
      <c r="B130" t="s">
        <v>88</v>
      </c>
      <c r="C130" t="s">
        <v>88</v>
      </c>
      <c r="D130" t="s">
        <v>88</v>
      </c>
      <c r="E130" t="s">
        <v>88</v>
      </c>
      <c r="F130" t="s">
        <v>88</v>
      </c>
      <c r="G130" t="s">
        <v>88</v>
      </c>
      <c r="H130" t="s">
        <v>88</v>
      </c>
      <c r="I130" t="s">
        <v>88</v>
      </c>
      <c r="J130" t="s">
        <v>88</v>
      </c>
      <c r="K130" t="s">
        <v>88</v>
      </c>
      <c r="L130" t="s">
        <v>512</v>
      </c>
      <c r="M130" t="s">
        <v>88</v>
      </c>
      <c r="N130" t="s">
        <v>88</v>
      </c>
      <c r="O130" t="s">
        <v>88</v>
      </c>
      <c r="P130" t="s">
        <v>88</v>
      </c>
      <c r="Q130" t="s">
        <v>88</v>
      </c>
      <c r="R130" t="s">
        <v>88</v>
      </c>
      <c r="S130" t="s">
        <v>88</v>
      </c>
      <c r="T130" t="s">
        <v>88</v>
      </c>
      <c r="U130" t="s">
        <v>88</v>
      </c>
      <c r="V130" t="s">
        <v>88</v>
      </c>
      <c r="W130" t="s">
        <v>89</v>
      </c>
      <c r="X130" t="s">
        <v>88</v>
      </c>
      <c r="Y130" t="s">
        <v>90</v>
      </c>
      <c r="Z130" t="s">
        <v>147</v>
      </c>
      <c r="AA130" t="s">
        <v>88</v>
      </c>
      <c r="AB130" t="s">
        <v>88</v>
      </c>
      <c r="AC130" t="s">
        <v>88</v>
      </c>
      <c r="AD130" t="s">
        <v>88</v>
      </c>
      <c r="AE130" t="str">
        <f>HYPERLINK("file:///C:/rest_photo/Ladess Mangal, Yeşilyurt (Zaviye Mah.).jpg","Ladess Mangal, Yeşilyurt (Zaviye Mah.)")</f>
        <v>Ladess Mangal, Yeşilyurt (Zaviye Mah.)</v>
      </c>
      <c r="AF130" t="s">
        <v>406</v>
      </c>
      <c r="AG130" t="s">
        <v>103</v>
      </c>
      <c r="AH130" t="s">
        <v>88</v>
      </c>
      <c r="AI130" t="s">
        <v>88</v>
      </c>
      <c r="AJ130" t="s">
        <v>92</v>
      </c>
    </row>
    <row r="131" spans="2:36" x14ac:dyDescent="0.25">
      <c r="B131" t="s">
        <v>88</v>
      </c>
      <c r="C131" t="s">
        <v>88</v>
      </c>
      <c r="D131" t="s">
        <v>88</v>
      </c>
      <c r="E131" t="s">
        <v>88</v>
      </c>
      <c r="F131" t="s">
        <v>88</v>
      </c>
      <c r="G131" t="s">
        <v>88</v>
      </c>
      <c r="H131" t="s">
        <v>88</v>
      </c>
      <c r="I131" t="s">
        <v>88</v>
      </c>
      <c r="J131" t="s">
        <v>88</v>
      </c>
      <c r="K131" t="s">
        <v>88</v>
      </c>
      <c r="L131" t="s">
        <v>513</v>
      </c>
      <c r="M131" t="s">
        <v>88</v>
      </c>
      <c r="N131" t="s">
        <v>88</v>
      </c>
      <c r="O131" t="s">
        <v>88</v>
      </c>
      <c r="P131" t="s">
        <v>88</v>
      </c>
      <c r="Q131" t="s">
        <v>88</v>
      </c>
      <c r="R131" t="s">
        <v>88</v>
      </c>
      <c r="S131" t="s">
        <v>88</v>
      </c>
      <c r="T131" t="s">
        <v>88</v>
      </c>
      <c r="U131" t="s">
        <v>88</v>
      </c>
      <c r="V131" t="s">
        <v>88</v>
      </c>
      <c r="W131" t="s">
        <v>89</v>
      </c>
      <c r="X131" t="s">
        <v>88</v>
      </c>
      <c r="Y131" t="s">
        <v>90</v>
      </c>
      <c r="Z131" t="s">
        <v>113</v>
      </c>
      <c r="AA131" t="s">
        <v>88</v>
      </c>
      <c r="AB131" t="s">
        <v>88</v>
      </c>
      <c r="AC131" t="s">
        <v>88</v>
      </c>
      <c r="AD131" t="s">
        <v>88</v>
      </c>
      <c r="AE131" t="str">
        <f>HYPERLINK("file:///C:/rest_photo/Levent Börek, Yeşilyurt (Çilesiz Mah. - Fahri Kayahan Blv.).jpg","Levent Börek, Yeşilyurt (Çilesiz Mah. - Fahri Kayahan Blv.)")</f>
        <v>Levent Börek, Yeşilyurt (Çilesiz Mah. - Fahri Kayahan Blv.)</v>
      </c>
      <c r="AF131" t="s">
        <v>81</v>
      </c>
      <c r="AG131" t="s">
        <v>287</v>
      </c>
      <c r="AH131" t="s">
        <v>88</v>
      </c>
      <c r="AI131" t="s">
        <v>88</v>
      </c>
      <c r="AJ131" t="s">
        <v>92</v>
      </c>
    </row>
    <row r="132" spans="2:36" x14ac:dyDescent="0.25">
      <c r="B132" t="s">
        <v>88</v>
      </c>
      <c r="C132" t="s">
        <v>88</v>
      </c>
      <c r="D132" t="s">
        <v>88</v>
      </c>
      <c r="E132" t="s">
        <v>88</v>
      </c>
      <c r="F132" t="s">
        <v>88</v>
      </c>
      <c r="G132" t="s">
        <v>88</v>
      </c>
      <c r="H132" t="s">
        <v>88</v>
      </c>
      <c r="I132" t="s">
        <v>88</v>
      </c>
      <c r="J132" t="s">
        <v>88</v>
      </c>
      <c r="K132" t="s">
        <v>88</v>
      </c>
      <c r="L132" t="s">
        <v>514</v>
      </c>
      <c r="M132" t="s">
        <v>88</v>
      </c>
      <c r="N132" t="s">
        <v>88</v>
      </c>
      <c r="O132" t="s">
        <v>88</v>
      </c>
      <c r="P132" t="s">
        <v>88</v>
      </c>
      <c r="Q132" t="s">
        <v>88</v>
      </c>
      <c r="R132" t="s">
        <v>88</v>
      </c>
      <c r="S132" t="s">
        <v>88</v>
      </c>
      <c r="T132" t="s">
        <v>88</v>
      </c>
      <c r="U132" t="s">
        <v>88</v>
      </c>
      <c r="V132" t="s">
        <v>88</v>
      </c>
      <c r="W132" t="s">
        <v>89</v>
      </c>
      <c r="X132" t="s">
        <v>88</v>
      </c>
      <c r="Y132" t="s">
        <v>100</v>
      </c>
      <c r="Z132" t="s">
        <v>289</v>
      </c>
      <c r="AA132" t="s">
        <v>88</v>
      </c>
      <c r="AB132" t="s">
        <v>88</v>
      </c>
      <c r="AC132" t="s">
        <v>88</v>
      </c>
      <c r="AD132" t="s">
        <v>88</v>
      </c>
      <c r="AE132" t="str">
        <f>HYPERLINK("file:///C:/rest_photo/Mangal Dünyası, Battalgazi (Çöşnük Mah.).jpg","Mangal Dünyası, Battalgazi (Çöşnük Mah.)")</f>
        <v>Mangal Dünyası, Battalgazi (Çöşnük Mah.)</v>
      </c>
      <c r="AF132" t="s">
        <v>421</v>
      </c>
      <c r="AG132" t="s">
        <v>103</v>
      </c>
      <c r="AH132" t="s">
        <v>88</v>
      </c>
      <c r="AI132" t="s">
        <v>88</v>
      </c>
      <c r="AJ132" t="s">
        <v>92</v>
      </c>
    </row>
    <row r="133" spans="2:36" x14ac:dyDescent="0.25">
      <c r="B133" t="s">
        <v>88</v>
      </c>
      <c r="C133" t="s">
        <v>88</v>
      </c>
      <c r="D133" t="s">
        <v>88</v>
      </c>
      <c r="E133" t="s">
        <v>88</v>
      </c>
      <c r="F133" t="s">
        <v>88</v>
      </c>
      <c r="G133" t="s">
        <v>88</v>
      </c>
      <c r="H133" t="s">
        <v>88</v>
      </c>
      <c r="I133" t="s">
        <v>88</v>
      </c>
      <c r="J133" t="s">
        <v>88</v>
      </c>
      <c r="K133" t="s">
        <v>88</v>
      </c>
      <c r="L133" t="s">
        <v>291</v>
      </c>
      <c r="M133" t="s">
        <v>88</v>
      </c>
      <c r="N133" t="s">
        <v>88</v>
      </c>
      <c r="O133" t="s">
        <v>88</v>
      </c>
      <c r="P133" t="s">
        <v>88</v>
      </c>
      <c r="Q133" t="s">
        <v>88</v>
      </c>
      <c r="R133" t="s">
        <v>88</v>
      </c>
      <c r="S133" t="s">
        <v>88</v>
      </c>
      <c r="T133" t="s">
        <v>88</v>
      </c>
      <c r="U133" t="s">
        <v>88</v>
      </c>
      <c r="V133" t="s">
        <v>88</v>
      </c>
      <c r="W133" t="s">
        <v>89</v>
      </c>
      <c r="X133" t="s">
        <v>88</v>
      </c>
      <c r="Y133" t="s">
        <v>90</v>
      </c>
      <c r="Z133" t="s">
        <v>94</v>
      </c>
      <c r="AA133" t="s">
        <v>88</v>
      </c>
      <c r="AB133" t="s">
        <v>88</v>
      </c>
      <c r="AC133" t="s">
        <v>88</v>
      </c>
      <c r="AD133" t="s">
        <v>88</v>
      </c>
      <c r="AE133" t="str">
        <f>HYPERLINK("file:///C:/rest_photo/McDonald's, Yeşilyurt (İnönü Mah. - Malatya Park Avm).jpg","McDonald's, Yeşilyurt (İnönü Mah. - Malatya Park Avm)")</f>
        <v>McDonald's, Yeşilyurt (İnönü Mah. - Malatya Park Avm)</v>
      </c>
      <c r="AF133" t="s">
        <v>403</v>
      </c>
      <c r="AG133" t="s">
        <v>291</v>
      </c>
      <c r="AH133" t="s">
        <v>88</v>
      </c>
      <c r="AI133" t="s">
        <v>88</v>
      </c>
      <c r="AJ133" t="s">
        <v>92</v>
      </c>
    </row>
    <row r="134" spans="2:36" x14ac:dyDescent="0.25">
      <c r="B134" t="s">
        <v>88</v>
      </c>
      <c r="C134" t="s">
        <v>88</v>
      </c>
      <c r="D134" t="s">
        <v>88</v>
      </c>
      <c r="E134" t="s">
        <v>88</v>
      </c>
      <c r="F134" t="s">
        <v>88</v>
      </c>
      <c r="G134" t="s">
        <v>88</v>
      </c>
      <c r="H134" t="s">
        <v>88</v>
      </c>
      <c r="I134" t="s">
        <v>88</v>
      </c>
      <c r="J134" t="s">
        <v>88</v>
      </c>
      <c r="K134" t="s">
        <v>88</v>
      </c>
      <c r="L134" t="s">
        <v>515</v>
      </c>
      <c r="M134" t="s">
        <v>88</v>
      </c>
      <c r="N134" t="s">
        <v>88</v>
      </c>
      <c r="O134" t="s">
        <v>88</v>
      </c>
      <c r="P134" t="s">
        <v>88</v>
      </c>
      <c r="Q134" t="s">
        <v>88</v>
      </c>
      <c r="R134" t="s">
        <v>88</v>
      </c>
      <c r="S134" t="s">
        <v>88</v>
      </c>
      <c r="T134" t="s">
        <v>88</v>
      </c>
      <c r="U134" t="s">
        <v>88</v>
      </c>
      <c r="V134" t="s">
        <v>88</v>
      </c>
      <c r="W134" t="s">
        <v>89</v>
      </c>
      <c r="X134" t="s">
        <v>88</v>
      </c>
      <c r="Y134" t="s">
        <v>90</v>
      </c>
      <c r="Z134" t="s">
        <v>113</v>
      </c>
      <c r="AA134" t="s">
        <v>88</v>
      </c>
      <c r="AB134" t="s">
        <v>88</v>
      </c>
      <c r="AC134" t="s">
        <v>88</v>
      </c>
      <c r="AD134" t="s">
        <v>88</v>
      </c>
      <c r="AE134" t="str">
        <f>HYPERLINK("file:///C:/rest_photo/MDK Kadayıf &amp; Künefe &amp; Baklava, Yeşilyurt (Çilesiz Mah. - Fahri Kayahan Blv.).jpg","MDK Kadayıf &amp; Künefe &amp; Baklava, Yeşilyurt (Çilesiz Mah. - Fahri Kayahan Blv.)")</f>
        <v>MDK Kadayıf &amp; Künefe &amp; Baklava, Yeşilyurt (Çilesiz Mah. - Fahri Kayahan Blv.)</v>
      </c>
      <c r="AF134" t="s">
        <v>406</v>
      </c>
      <c r="AG134" t="s">
        <v>99</v>
      </c>
      <c r="AH134" t="s">
        <v>88</v>
      </c>
      <c r="AI134" t="s">
        <v>88</v>
      </c>
      <c r="AJ134" t="s">
        <v>92</v>
      </c>
    </row>
    <row r="135" spans="2:36" x14ac:dyDescent="0.25">
      <c r="B135" t="s">
        <v>88</v>
      </c>
      <c r="C135" t="s">
        <v>88</v>
      </c>
      <c r="D135" t="s">
        <v>88</v>
      </c>
      <c r="E135" t="s">
        <v>88</v>
      </c>
      <c r="F135" t="s">
        <v>88</v>
      </c>
      <c r="G135" t="s">
        <v>88</v>
      </c>
      <c r="H135" t="s">
        <v>88</v>
      </c>
      <c r="I135" t="s">
        <v>88</v>
      </c>
      <c r="J135" t="s">
        <v>88</v>
      </c>
      <c r="K135" t="s">
        <v>88</v>
      </c>
      <c r="L135" t="s">
        <v>516</v>
      </c>
      <c r="M135" t="s">
        <v>88</v>
      </c>
      <c r="N135" t="s">
        <v>88</v>
      </c>
      <c r="O135" t="s">
        <v>88</v>
      </c>
      <c r="P135" t="s">
        <v>88</v>
      </c>
      <c r="Q135" t="s">
        <v>88</v>
      </c>
      <c r="R135" t="s">
        <v>88</v>
      </c>
      <c r="S135" t="s">
        <v>88</v>
      </c>
      <c r="T135" t="s">
        <v>88</v>
      </c>
      <c r="U135" t="s">
        <v>88</v>
      </c>
      <c r="V135" t="s">
        <v>88</v>
      </c>
      <c r="W135" t="s">
        <v>89</v>
      </c>
      <c r="X135" t="s">
        <v>88</v>
      </c>
      <c r="Y135" t="s">
        <v>100</v>
      </c>
      <c r="Z135" t="s">
        <v>101</v>
      </c>
      <c r="AA135" t="s">
        <v>88</v>
      </c>
      <c r="AB135" t="s">
        <v>88</v>
      </c>
      <c r="AC135" t="s">
        <v>88</v>
      </c>
      <c r="AD135" t="s">
        <v>88</v>
      </c>
      <c r="AE135" t="str">
        <f>HYPERLINK("file:///C:/rest_photo/Mehmet Usta Edem Dondurma &amp; Künefe, Battalgazi (Kernek Mah. - Kanalboyu Cad.).jpg","Mehmet Usta Edem Dondurma &amp; Künefe, Battalgazi (Kernek Mah. - Kanalboyu Cad.)")</f>
        <v>Mehmet Usta Edem Dondurma &amp; Künefe, Battalgazi (Kernek Mah. - Kanalboyu Cad.)</v>
      </c>
      <c r="AF135" t="s">
        <v>81</v>
      </c>
      <c r="AG135" t="s">
        <v>99</v>
      </c>
      <c r="AH135" t="s">
        <v>88</v>
      </c>
      <c r="AI135" t="s">
        <v>88</v>
      </c>
      <c r="AJ135" t="s">
        <v>92</v>
      </c>
    </row>
    <row r="136" spans="2:36" x14ac:dyDescent="0.25">
      <c r="B136" t="s">
        <v>88</v>
      </c>
      <c r="C136" t="s">
        <v>88</v>
      </c>
      <c r="D136" t="s">
        <v>88</v>
      </c>
      <c r="E136" t="s">
        <v>88</v>
      </c>
      <c r="F136" t="s">
        <v>88</v>
      </c>
      <c r="G136" t="s">
        <v>88</v>
      </c>
      <c r="H136" t="s">
        <v>88</v>
      </c>
      <c r="I136" t="s">
        <v>88</v>
      </c>
      <c r="J136" t="s">
        <v>88</v>
      </c>
      <c r="K136" t="s">
        <v>88</v>
      </c>
      <c r="L136" t="s">
        <v>517</v>
      </c>
      <c r="M136" t="s">
        <v>88</v>
      </c>
      <c r="N136" t="s">
        <v>88</v>
      </c>
      <c r="O136" t="s">
        <v>88</v>
      </c>
      <c r="P136" t="s">
        <v>88</v>
      </c>
      <c r="Q136" t="s">
        <v>88</v>
      </c>
      <c r="R136" t="s">
        <v>88</v>
      </c>
      <c r="S136" t="s">
        <v>88</v>
      </c>
      <c r="T136" t="s">
        <v>88</v>
      </c>
      <c r="U136" t="s">
        <v>88</v>
      </c>
      <c r="V136" t="s">
        <v>88</v>
      </c>
      <c r="W136" t="s">
        <v>89</v>
      </c>
      <c r="X136" t="s">
        <v>88</v>
      </c>
      <c r="Y136" t="s">
        <v>90</v>
      </c>
      <c r="Z136" t="s">
        <v>113</v>
      </c>
      <c r="AA136" t="s">
        <v>88</v>
      </c>
      <c r="AB136" t="s">
        <v>88</v>
      </c>
      <c r="AC136" t="s">
        <v>88</v>
      </c>
      <c r="AD136" t="s">
        <v>88</v>
      </c>
      <c r="AE136" t="str">
        <f>HYPERLINK("file:///C:/rest_photo/Mersin 33 Tantuni, Yeşilyurt (Çilesiz Mah. - Fahri Kayahan Blv.).jpg","Mersin 33 Tantuni, Yeşilyurt (Çilesiz Mah. - Fahri Kayahan Blv.)")</f>
        <v>Mersin 33 Tantuni, Yeşilyurt (Çilesiz Mah. - Fahri Kayahan Blv.)</v>
      </c>
      <c r="AF136" t="s">
        <v>403</v>
      </c>
      <c r="AG136" t="s">
        <v>149</v>
      </c>
      <c r="AH136" t="s">
        <v>88</v>
      </c>
      <c r="AI136" t="s">
        <v>88</v>
      </c>
      <c r="AJ136" t="s">
        <v>92</v>
      </c>
    </row>
    <row r="137" spans="2:36" x14ac:dyDescent="0.25">
      <c r="B137" t="s">
        <v>88</v>
      </c>
      <c r="C137" t="s">
        <v>88</v>
      </c>
      <c r="D137" t="s">
        <v>88</v>
      </c>
      <c r="E137" t="s">
        <v>88</v>
      </c>
      <c r="F137" t="s">
        <v>88</v>
      </c>
      <c r="G137" t="s">
        <v>88</v>
      </c>
      <c r="H137" t="s">
        <v>88</v>
      </c>
      <c r="I137" t="s">
        <v>88</v>
      </c>
      <c r="J137" t="s">
        <v>88</v>
      </c>
      <c r="K137" t="s">
        <v>88</v>
      </c>
      <c r="L137" t="s">
        <v>517</v>
      </c>
      <c r="M137" t="s">
        <v>88</v>
      </c>
      <c r="N137" t="s">
        <v>88</v>
      </c>
      <c r="O137" t="s">
        <v>88</v>
      </c>
      <c r="P137" t="s">
        <v>88</v>
      </c>
      <c r="Q137" t="s">
        <v>88</v>
      </c>
      <c r="R137" t="s">
        <v>88</v>
      </c>
      <c r="S137" t="s">
        <v>88</v>
      </c>
      <c r="T137" t="s">
        <v>88</v>
      </c>
      <c r="U137" t="s">
        <v>88</v>
      </c>
      <c r="V137" t="s">
        <v>88</v>
      </c>
      <c r="W137" t="s">
        <v>89</v>
      </c>
      <c r="X137" t="s">
        <v>88</v>
      </c>
      <c r="Y137" t="s">
        <v>90</v>
      </c>
      <c r="Z137" t="s">
        <v>91</v>
      </c>
      <c r="AA137" t="s">
        <v>88</v>
      </c>
      <c r="AB137" t="s">
        <v>88</v>
      </c>
      <c r="AC137" t="s">
        <v>88</v>
      </c>
      <c r="AD137" t="s">
        <v>88</v>
      </c>
      <c r="AE137" t="str">
        <f>HYPERLINK("file:///C:/rest_photo/Mersin 33 Tantuni, Yeşilyurt (İnönü Mah. - İnönü Cad.).jpg","Mersin 33 Tantuni, Yeşilyurt (İnönü Mah. - İnönü Cad.)")</f>
        <v>Mersin 33 Tantuni, Yeşilyurt (İnönü Mah. - İnönü Cad.)</v>
      </c>
      <c r="AF137" t="s">
        <v>403</v>
      </c>
      <c r="AG137" t="s">
        <v>149</v>
      </c>
      <c r="AH137" t="s">
        <v>88</v>
      </c>
      <c r="AI137" t="s">
        <v>88</v>
      </c>
      <c r="AJ137" t="s">
        <v>92</v>
      </c>
    </row>
    <row r="138" spans="2:36" x14ac:dyDescent="0.25">
      <c r="B138" t="s">
        <v>88</v>
      </c>
      <c r="C138" t="s">
        <v>88</v>
      </c>
      <c r="D138" t="s">
        <v>88</v>
      </c>
      <c r="E138" t="s">
        <v>88</v>
      </c>
      <c r="F138" t="s">
        <v>88</v>
      </c>
      <c r="G138" t="s">
        <v>88</v>
      </c>
      <c r="H138" t="s">
        <v>88</v>
      </c>
      <c r="I138" t="s">
        <v>88</v>
      </c>
      <c r="J138" t="s">
        <v>88</v>
      </c>
      <c r="K138" t="s">
        <v>88</v>
      </c>
      <c r="L138" t="s">
        <v>518</v>
      </c>
      <c r="M138" t="s">
        <v>88</v>
      </c>
      <c r="N138" t="s">
        <v>88</v>
      </c>
      <c r="O138" t="s">
        <v>88</v>
      </c>
      <c r="P138" t="s">
        <v>88</v>
      </c>
      <c r="Q138" t="s">
        <v>88</v>
      </c>
      <c r="R138" t="s">
        <v>88</v>
      </c>
      <c r="S138" t="s">
        <v>88</v>
      </c>
      <c r="T138" t="s">
        <v>88</v>
      </c>
      <c r="U138" t="s">
        <v>88</v>
      </c>
      <c r="V138" t="s">
        <v>88</v>
      </c>
      <c r="W138" t="s">
        <v>89</v>
      </c>
      <c r="X138" t="s">
        <v>88</v>
      </c>
      <c r="Y138" t="s">
        <v>100</v>
      </c>
      <c r="Z138" t="s">
        <v>235</v>
      </c>
      <c r="AA138" t="s">
        <v>88</v>
      </c>
      <c r="AB138" t="s">
        <v>88</v>
      </c>
      <c r="AC138" t="s">
        <v>88</v>
      </c>
      <c r="AD138" t="s">
        <v>88</v>
      </c>
      <c r="AE138" t="str">
        <f>HYPERLINK("file:///C:/rest_photo/Mersin Chef Tantuni, Battalgazi (Niyazi Mah. - İnönü Cad.).jpg","Mersin Chef Tantuni, Battalgazi (Niyazi Mah. - İnönü Cad.)")</f>
        <v>Mersin Chef Tantuni, Battalgazi (Niyazi Mah. - İnönü Cad.)</v>
      </c>
      <c r="AF138" t="s">
        <v>483</v>
      </c>
      <c r="AG138" t="s">
        <v>149</v>
      </c>
      <c r="AH138" t="s">
        <v>88</v>
      </c>
      <c r="AI138" t="s">
        <v>88</v>
      </c>
      <c r="AJ138" t="s">
        <v>92</v>
      </c>
    </row>
    <row r="139" spans="2:36" x14ac:dyDescent="0.25">
      <c r="B139" t="s">
        <v>88</v>
      </c>
      <c r="C139" t="s">
        <v>88</v>
      </c>
      <c r="D139" t="s">
        <v>88</v>
      </c>
      <c r="E139" t="s">
        <v>88</v>
      </c>
      <c r="F139" t="s">
        <v>88</v>
      </c>
      <c r="G139" t="s">
        <v>88</v>
      </c>
      <c r="H139" t="s">
        <v>88</v>
      </c>
      <c r="I139" t="s">
        <v>88</v>
      </c>
      <c r="J139" t="s">
        <v>88</v>
      </c>
      <c r="K139" t="s">
        <v>88</v>
      </c>
      <c r="L139" t="s">
        <v>519</v>
      </c>
      <c r="M139" t="s">
        <v>88</v>
      </c>
      <c r="N139" t="s">
        <v>88</v>
      </c>
      <c r="O139" t="s">
        <v>88</v>
      </c>
      <c r="P139" t="s">
        <v>88</v>
      </c>
      <c r="Q139" t="s">
        <v>88</v>
      </c>
      <c r="R139" t="s">
        <v>88</v>
      </c>
      <c r="S139" t="s">
        <v>88</v>
      </c>
      <c r="T139" t="s">
        <v>88</v>
      </c>
      <c r="U139" t="s">
        <v>88</v>
      </c>
      <c r="V139" t="s">
        <v>88</v>
      </c>
      <c r="W139" t="s">
        <v>89</v>
      </c>
      <c r="X139" t="s">
        <v>88</v>
      </c>
      <c r="Y139" t="s">
        <v>90</v>
      </c>
      <c r="Z139" t="s">
        <v>133</v>
      </c>
      <c r="AA139" t="s">
        <v>88</v>
      </c>
      <c r="AB139" t="s">
        <v>88</v>
      </c>
      <c r="AC139" t="s">
        <v>88</v>
      </c>
      <c r="AD139" t="s">
        <v>88</v>
      </c>
      <c r="AE139" t="str">
        <f>HYPERLINK("file:///C:/rest_photo/Mersin Villa Tantuni, Yeşilyurt (Karakavak Mah.).jpg","Mersin Villa Tantuni, Yeşilyurt (Karakavak Mah.)")</f>
        <v>Mersin Villa Tantuni, Yeşilyurt (Karakavak Mah.)</v>
      </c>
      <c r="AF139" t="s">
        <v>406</v>
      </c>
      <c r="AG139" t="s">
        <v>149</v>
      </c>
      <c r="AH139" t="s">
        <v>88</v>
      </c>
      <c r="AI139" t="s">
        <v>88</v>
      </c>
      <c r="AJ139" t="s">
        <v>92</v>
      </c>
    </row>
    <row r="140" spans="2:36" x14ac:dyDescent="0.25">
      <c r="B140" t="s">
        <v>88</v>
      </c>
      <c r="C140" t="s">
        <v>88</v>
      </c>
      <c r="D140" t="s">
        <v>88</v>
      </c>
      <c r="E140" t="s">
        <v>88</v>
      </c>
      <c r="F140" t="s">
        <v>88</v>
      </c>
      <c r="G140" t="s">
        <v>88</v>
      </c>
      <c r="H140" t="s">
        <v>88</v>
      </c>
      <c r="I140" t="s">
        <v>88</v>
      </c>
      <c r="J140" t="s">
        <v>88</v>
      </c>
      <c r="K140" t="s">
        <v>88</v>
      </c>
      <c r="L140" t="s">
        <v>520</v>
      </c>
      <c r="M140" t="s">
        <v>88</v>
      </c>
      <c r="N140" t="s">
        <v>88</v>
      </c>
      <c r="O140" t="s">
        <v>88</v>
      </c>
      <c r="P140" t="s">
        <v>88</v>
      </c>
      <c r="Q140" t="s">
        <v>88</v>
      </c>
      <c r="R140" t="s">
        <v>88</v>
      </c>
      <c r="S140" t="s">
        <v>88</v>
      </c>
      <c r="T140" t="s">
        <v>88</v>
      </c>
      <c r="U140" t="s">
        <v>88</v>
      </c>
      <c r="V140" t="s">
        <v>88</v>
      </c>
      <c r="W140" t="s">
        <v>89</v>
      </c>
      <c r="X140" t="s">
        <v>88</v>
      </c>
      <c r="Y140" t="s">
        <v>100</v>
      </c>
      <c r="Z140" t="s">
        <v>299</v>
      </c>
      <c r="AA140" t="s">
        <v>88</v>
      </c>
      <c r="AB140" t="s">
        <v>88</v>
      </c>
      <c r="AC140" t="s">
        <v>88</v>
      </c>
      <c r="AD140" t="s">
        <v>88</v>
      </c>
      <c r="AE140" t="str">
        <f>HYPERLINK("file:///C:/rest_photo/Meşhur Adıyaman Çiğköftecisi Ramazan Doğru, Battalgazi (Selçuklu Mah.).jpg","Meşhur Adıyaman Çiğköftecisi Ramazan Doğru, Battalgazi (Selçuklu Mah.)")</f>
        <v>Meşhur Adıyaman Çiğköftecisi Ramazan Doğru, Battalgazi (Selçuklu Mah.)</v>
      </c>
      <c r="AF140" t="s">
        <v>403</v>
      </c>
      <c r="AG140" t="s">
        <v>106</v>
      </c>
      <c r="AH140" t="s">
        <v>88</v>
      </c>
      <c r="AI140" t="s">
        <v>88</v>
      </c>
      <c r="AJ140" t="s">
        <v>92</v>
      </c>
    </row>
    <row r="141" spans="2:36" x14ac:dyDescent="0.25">
      <c r="B141" t="s">
        <v>88</v>
      </c>
      <c r="C141" t="s">
        <v>88</v>
      </c>
      <c r="D141" t="s">
        <v>88</v>
      </c>
      <c r="E141" t="s">
        <v>88</v>
      </c>
      <c r="F141" t="s">
        <v>88</v>
      </c>
      <c r="G141" t="s">
        <v>88</v>
      </c>
      <c r="H141" t="s">
        <v>88</v>
      </c>
      <c r="I141" t="s">
        <v>88</v>
      </c>
      <c r="J141" t="s">
        <v>88</v>
      </c>
      <c r="K141" t="s">
        <v>88</v>
      </c>
      <c r="L141" t="s">
        <v>520</v>
      </c>
      <c r="M141" t="s">
        <v>88</v>
      </c>
      <c r="N141" t="s">
        <v>88</v>
      </c>
      <c r="O141" t="s">
        <v>88</v>
      </c>
      <c r="P141" t="s">
        <v>88</v>
      </c>
      <c r="Q141" t="s">
        <v>88</v>
      </c>
      <c r="R141" t="s">
        <v>88</v>
      </c>
      <c r="S141" t="s">
        <v>88</v>
      </c>
      <c r="T141" t="s">
        <v>88</v>
      </c>
      <c r="U141" t="s">
        <v>88</v>
      </c>
      <c r="V141" t="s">
        <v>88</v>
      </c>
      <c r="W141" t="s">
        <v>89</v>
      </c>
      <c r="X141" t="s">
        <v>88</v>
      </c>
      <c r="Y141" t="s">
        <v>90</v>
      </c>
      <c r="Z141" t="s">
        <v>282</v>
      </c>
      <c r="AA141" t="s">
        <v>88</v>
      </c>
      <c r="AB141" t="s">
        <v>88</v>
      </c>
      <c r="AC141" t="s">
        <v>88</v>
      </c>
      <c r="AD141" t="s">
        <v>88</v>
      </c>
      <c r="AE141" t="str">
        <f>HYPERLINK("file:///C:/rest_photo/Meşhur Adıyaman Çiğköftecisi Ramazan Doğru, Yeşilyurt (Şeyh Bayram Mah.).jpg","Meşhur Adıyaman Çiğköftecisi Ramazan Doğru, Yeşilyurt (Şeyh Bayram Mah.)")</f>
        <v>Meşhur Adıyaman Çiğköftecisi Ramazan Doğru, Yeşilyurt (Şeyh Bayram Mah.)</v>
      </c>
      <c r="AF141" t="s">
        <v>403</v>
      </c>
      <c r="AG141" t="s">
        <v>106</v>
      </c>
      <c r="AH141" t="s">
        <v>88</v>
      </c>
      <c r="AI141" t="s">
        <v>88</v>
      </c>
      <c r="AJ141" t="s">
        <v>92</v>
      </c>
    </row>
    <row r="142" spans="2:36" x14ac:dyDescent="0.25">
      <c r="B142" t="s">
        <v>88</v>
      </c>
      <c r="C142" t="s">
        <v>88</v>
      </c>
      <c r="D142" t="s">
        <v>88</v>
      </c>
      <c r="E142" t="s">
        <v>88</v>
      </c>
      <c r="F142" t="s">
        <v>88</v>
      </c>
      <c r="G142" t="s">
        <v>88</v>
      </c>
      <c r="H142" t="s">
        <v>88</v>
      </c>
      <c r="I142" t="s">
        <v>88</v>
      </c>
      <c r="J142" t="s">
        <v>88</v>
      </c>
      <c r="K142" t="s">
        <v>88</v>
      </c>
      <c r="L142" t="s">
        <v>521</v>
      </c>
      <c r="M142" t="s">
        <v>88</v>
      </c>
      <c r="N142" t="s">
        <v>88</v>
      </c>
      <c r="O142" t="s">
        <v>88</v>
      </c>
      <c r="P142" t="s">
        <v>88</v>
      </c>
      <c r="Q142" t="s">
        <v>88</v>
      </c>
      <c r="R142" t="s">
        <v>88</v>
      </c>
      <c r="S142" t="s">
        <v>88</v>
      </c>
      <c r="T142" t="s">
        <v>88</v>
      </c>
      <c r="U142" t="s">
        <v>88</v>
      </c>
      <c r="V142" t="s">
        <v>88</v>
      </c>
      <c r="W142" t="s">
        <v>89</v>
      </c>
      <c r="X142" t="s">
        <v>88</v>
      </c>
      <c r="Y142" t="s">
        <v>90</v>
      </c>
      <c r="Z142" t="s">
        <v>109</v>
      </c>
      <c r="AA142" t="s">
        <v>88</v>
      </c>
      <c r="AB142" t="s">
        <v>88</v>
      </c>
      <c r="AC142" t="s">
        <v>88</v>
      </c>
      <c r="AD142" t="s">
        <v>88</v>
      </c>
      <c r="AE142" t="str">
        <f>HYPERLINK("file:///C:/rest_photo/Meşhur Baklavacı Öztürk Usta, Yeşilyurt (Bostanbaşı Mah.).jpg","Meşhur Baklavacı Öztürk Usta, Yeşilyurt (Bostanbaşı Mah.)")</f>
        <v>Meşhur Baklavacı Öztürk Usta, Yeşilyurt (Bostanbaşı Mah.)</v>
      </c>
      <c r="AF142" t="s">
        <v>81</v>
      </c>
      <c r="AG142" t="s">
        <v>99</v>
      </c>
      <c r="AH142" t="s">
        <v>88</v>
      </c>
      <c r="AI142" t="s">
        <v>88</v>
      </c>
      <c r="AJ142" t="s">
        <v>92</v>
      </c>
    </row>
    <row r="143" spans="2:36" x14ac:dyDescent="0.25">
      <c r="B143" t="s">
        <v>88</v>
      </c>
      <c r="C143" t="s">
        <v>88</v>
      </c>
      <c r="D143" t="s">
        <v>88</v>
      </c>
      <c r="E143" t="s">
        <v>88</v>
      </c>
      <c r="F143" t="s">
        <v>88</v>
      </c>
      <c r="G143" t="s">
        <v>88</v>
      </c>
      <c r="H143" t="s">
        <v>88</v>
      </c>
      <c r="I143" t="s">
        <v>88</v>
      </c>
      <c r="J143" t="s">
        <v>88</v>
      </c>
      <c r="K143" t="s">
        <v>88</v>
      </c>
      <c r="L143" t="s">
        <v>521</v>
      </c>
      <c r="M143" t="s">
        <v>88</v>
      </c>
      <c r="N143" t="s">
        <v>88</v>
      </c>
      <c r="O143" t="s">
        <v>88</v>
      </c>
      <c r="P143" t="s">
        <v>88</v>
      </c>
      <c r="Q143" t="s">
        <v>88</v>
      </c>
      <c r="R143" t="s">
        <v>88</v>
      </c>
      <c r="S143" t="s">
        <v>88</v>
      </c>
      <c r="T143" t="s">
        <v>88</v>
      </c>
      <c r="U143" t="s">
        <v>88</v>
      </c>
      <c r="V143" t="s">
        <v>88</v>
      </c>
      <c r="W143" t="s">
        <v>89</v>
      </c>
      <c r="X143" t="s">
        <v>88</v>
      </c>
      <c r="Y143" t="s">
        <v>90</v>
      </c>
      <c r="Z143" t="s">
        <v>97</v>
      </c>
      <c r="AA143" t="s">
        <v>88</v>
      </c>
      <c r="AB143" t="s">
        <v>88</v>
      </c>
      <c r="AC143" t="s">
        <v>88</v>
      </c>
      <c r="AD143" t="s">
        <v>88</v>
      </c>
      <c r="AE143" t="str">
        <f>HYPERLINK("file:///C:/rest_photo/Meşhur Baklavacı Öztürk Usta, Yeşilyurt (Tecde Mah.).jpg","Meşhur Baklavacı Öztürk Usta, Yeşilyurt (Tecde Mah.)")</f>
        <v>Meşhur Baklavacı Öztürk Usta, Yeşilyurt (Tecde Mah.)</v>
      </c>
      <c r="AF143" t="s">
        <v>403</v>
      </c>
      <c r="AG143" t="s">
        <v>99</v>
      </c>
      <c r="AH143" t="s">
        <v>88</v>
      </c>
      <c r="AI143" t="s">
        <v>88</v>
      </c>
      <c r="AJ143" t="s">
        <v>92</v>
      </c>
    </row>
    <row r="144" spans="2:36" x14ac:dyDescent="0.25">
      <c r="B144" t="s">
        <v>88</v>
      </c>
      <c r="C144" t="s">
        <v>88</v>
      </c>
      <c r="D144" t="s">
        <v>88</v>
      </c>
      <c r="E144" t="s">
        <v>88</v>
      </c>
      <c r="F144" t="s">
        <v>88</v>
      </c>
      <c r="G144" t="s">
        <v>88</v>
      </c>
      <c r="H144" t="s">
        <v>88</v>
      </c>
      <c r="I144" t="s">
        <v>88</v>
      </c>
      <c r="J144" t="s">
        <v>88</v>
      </c>
      <c r="K144" t="s">
        <v>88</v>
      </c>
      <c r="L144" t="s">
        <v>521</v>
      </c>
      <c r="M144" t="s">
        <v>88</v>
      </c>
      <c r="N144" t="s">
        <v>88</v>
      </c>
      <c r="O144" t="s">
        <v>88</v>
      </c>
      <c r="P144" t="s">
        <v>88</v>
      </c>
      <c r="Q144" t="s">
        <v>88</v>
      </c>
      <c r="R144" t="s">
        <v>88</v>
      </c>
      <c r="S144" t="s">
        <v>88</v>
      </c>
      <c r="T144" t="s">
        <v>88</v>
      </c>
      <c r="U144" t="s">
        <v>88</v>
      </c>
      <c r="V144" t="s">
        <v>88</v>
      </c>
      <c r="W144" t="s">
        <v>89</v>
      </c>
      <c r="X144" t="s">
        <v>88</v>
      </c>
      <c r="Y144" t="s">
        <v>90</v>
      </c>
      <c r="Z144" t="s">
        <v>304</v>
      </c>
      <c r="AA144" t="s">
        <v>88</v>
      </c>
      <c r="AB144" t="s">
        <v>88</v>
      </c>
      <c r="AC144" t="s">
        <v>88</v>
      </c>
      <c r="AD144" t="s">
        <v>88</v>
      </c>
      <c r="AE144" t="str">
        <f>HYPERLINK("file:///C:/rest_photo/Meşhur Baklavacı Öztürk Usta, Yeşilyurt (Yakınca Mah.).jpg","Meşhur Baklavacı Öztürk Usta, Yeşilyurt (Yakınca Mah.)")</f>
        <v>Meşhur Baklavacı Öztürk Usta, Yeşilyurt (Yakınca Mah.)</v>
      </c>
      <c r="AF144" t="s">
        <v>81</v>
      </c>
      <c r="AG144" t="s">
        <v>99</v>
      </c>
      <c r="AH144" t="s">
        <v>88</v>
      </c>
      <c r="AI144" t="s">
        <v>88</v>
      </c>
      <c r="AJ144" t="s">
        <v>92</v>
      </c>
    </row>
    <row r="145" spans="2:36" x14ac:dyDescent="0.25">
      <c r="B145" t="s">
        <v>88</v>
      </c>
      <c r="C145" t="s">
        <v>88</v>
      </c>
      <c r="D145" t="s">
        <v>88</v>
      </c>
      <c r="E145" t="s">
        <v>88</v>
      </c>
      <c r="F145" t="s">
        <v>88</v>
      </c>
      <c r="G145" t="s">
        <v>88</v>
      </c>
      <c r="H145" t="s">
        <v>88</v>
      </c>
      <c r="I145" t="s">
        <v>88</v>
      </c>
      <c r="J145" t="s">
        <v>88</v>
      </c>
      <c r="K145" t="s">
        <v>88</v>
      </c>
      <c r="L145" t="s">
        <v>522</v>
      </c>
      <c r="M145" t="s">
        <v>88</v>
      </c>
      <c r="N145" t="s">
        <v>88</v>
      </c>
      <c r="O145" t="s">
        <v>88</v>
      </c>
      <c r="P145" t="s">
        <v>88</v>
      </c>
      <c r="Q145" t="s">
        <v>88</v>
      </c>
      <c r="R145" t="s">
        <v>88</v>
      </c>
      <c r="S145" t="s">
        <v>88</v>
      </c>
      <c r="T145" t="s">
        <v>88</v>
      </c>
      <c r="U145" t="s">
        <v>88</v>
      </c>
      <c r="V145" t="s">
        <v>88</v>
      </c>
      <c r="W145" t="s">
        <v>89</v>
      </c>
      <c r="X145" t="s">
        <v>88</v>
      </c>
      <c r="Y145" t="s">
        <v>100</v>
      </c>
      <c r="Z145" t="s">
        <v>306</v>
      </c>
      <c r="AA145" t="s">
        <v>88</v>
      </c>
      <c r="AB145" t="s">
        <v>88</v>
      </c>
      <c r="AC145" t="s">
        <v>88</v>
      </c>
      <c r="AD145" t="s">
        <v>88</v>
      </c>
      <c r="AE145" t="str">
        <f>HYPERLINK("file:///C:/rest_photo/Mis Pizza &amp; Simit, Battalgazi (Şıkşık Mah.).jpg","Mis Pizza &amp; Simit, Battalgazi (Şıkşık Mah.)")</f>
        <v>Mis Pizza &amp; Simit, Battalgazi (Şıkşık Mah.)</v>
      </c>
      <c r="AF145" t="s">
        <v>406</v>
      </c>
      <c r="AG145" t="s">
        <v>212</v>
      </c>
      <c r="AH145" t="s">
        <v>88</v>
      </c>
      <c r="AI145" t="s">
        <v>88</v>
      </c>
      <c r="AJ145" t="s">
        <v>92</v>
      </c>
    </row>
    <row r="146" spans="2:36" x14ac:dyDescent="0.25">
      <c r="B146" t="s">
        <v>88</v>
      </c>
      <c r="C146" t="s">
        <v>88</v>
      </c>
      <c r="D146" t="s">
        <v>88</v>
      </c>
      <c r="E146" t="s">
        <v>88</v>
      </c>
      <c r="F146" t="s">
        <v>88</v>
      </c>
      <c r="G146" t="s">
        <v>88</v>
      </c>
      <c r="H146" t="s">
        <v>88</v>
      </c>
      <c r="I146" t="s">
        <v>88</v>
      </c>
      <c r="J146" t="s">
        <v>88</v>
      </c>
      <c r="K146" t="s">
        <v>88</v>
      </c>
      <c r="L146" t="s">
        <v>523</v>
      </c>
      <c r="M146" t="s">
        <v>88</v>
      </c>
      <c r="N146" t="s">
        <v>88</v>
      </c>
      <c r="O146" t="s">
        <v>88</v>
      </c>
      <c r="P146" t="s">
        <v>88</v>
      </c>
      <c r="Q146" t="s">
        <v>88</v>
      </c>
      <c r="R146" t="s">
        <v>88</v>
      </c>
      <c r="S146" t="s">
        <v>88</v>
      </c>
      <c r="T146" t="s">
        <v>88</v>
      </c>
      <c r="U146" t="s">
        <v>88</v>
      </c>
      <c r="V146" t="s">
        <v>88</v>
      </c>
      <c r="W146" t="s">
        <v>89</v>
      </c>
      <c r="X146" t="s">
        <v>88</v>
      </c>
      <c r="Y146" t="s">
        <v>100</v>
      </c>
      <c r="Z146" t="s">
        <v>235</v>
      </c>
      <c r="AA146" t="s">
        <v>88</v>
      </c>
      <c r="AB146" t="s">
        <v>88</v>
      </c>
      <c r="AC146" t="s">
        <v>88</v>
      </c>
      <c r="AD146" t="s">
        <v>88</v>
      </c>
      <c r="AE146" t="str">
        <f>HYPERLINK("file:///C:/rest_photo/Miss Mangal, Battalgazi (Niyazi Mah. - İnönü Cad.).jpg","Miss Mangal, Battalgazi (Niyazi Mah. - İnönü Cad.)")</f>
        <v>Miss Mangal, Battalgazi (Niyazi Mah. - İnönü Cad.)</v>
      </c>
      <c r="AF146" t="s">
        <v>483</v>
      </c>
      <c r="AG146" t="s">
        <v>103</v>
      </c>
      <c r="AH146" t="s">
        <v>88</v>
      </c>
      <c r="AI146" t="s">
        <v>88</v>
      </c>
      <c r="AJ146" t="s">
        <v>92</v>
      </c>
    </row>
    <row r="147" spans="2:36" x14ac:dyDescent="0.25">
      <c r="B147" t="s">
        <v>88</v>
      </c>
      <c r="C147" t="s">
        <v>88</v>
      </c>
      <c r="D147" t="s">
        <v>88</v>
      </c>
      <c r="E147" t="s">
        <v>88</v>
      </c>
      <c r="F147" t="s">
        <v>88</v>
      </c>
      <c r="G147" t="s">
        <v>88</v>
      </c>
      <c r="H147" t="s">
        <v>88</v>
      </c>
      <c r="I147" t="s">
        <v>88</v>
      </c>
      <c r="J147" t="s">
        <v>88</v>
      </c>
      <c r="K147" t="s">
        <v>88</v>
      </c>
      <c r="L147" t="s">
        <v>524</v>
      </c>
      <c r="M147" t="s">
        <v>88</v>
      </c>
      <c r="N147" t="s">
        <v>88</v>
      </c>
      <c r="O147" t="s">
        <v>88</v>
      </c>
      <c r="P147" t="s">
        <v>88</v>
      </c>
      <c r="Q147" t="s">
        <v>88</v>
      </c>
      <c r="R147" t="s">
        <v>88</v>
      </c>
      <c r="S147" t="s">
        <v>88</v>
      </c>
      <c r="T147" t="s">
        <v>88</v>
      </c>
      <c r="U147" t="s">
        <v>88</v>
      </c>
      <c r="V147" t="s">
        <v>88</v>
      </c>
      <c r="W147" t="s">
        <v>89</v>
      </c>
      <c r="X147" t="s">
        <v>88</v>
      </c>
      <c r="Y147" t="s">
        <v>100</v>
      </c>
      <c r="Z147" t="s">
        <v>125</v>
      </c>
      <c r="AA147" t="s">
        <v>88</v>
      </c>
      <c r="AB147" t="s">
        <v>88</v>
      </c>
      <c r="AC147" t="s">
        <v>88</v>
      </c>
      <c r="AD147" t="s">
        <v>88</v>
      </c>
      <c r="AE147" t="str">
        <f>HYPERLINK("file:///C:/rest_photo/Mualla, Battalgazi (Kernek Mah.).jpg","Mualla, Battalgazi (Kernek Mah.)")</f>
        <v>Mualla, Battalgazi (Kernek Mah.)</v>
      </c>
      <c r="AF147" t="s">
        <v>421</v>
      </c>
      <c r="AG147" t="s">
        <v>99</v>
      </c>
      <c r="AH147" t="s">
        <v>88</v>
      </c>
      <c r="AI147" t="s">
        <v>88</v>
      </c>
      <c r="AJ147" t="s">
        <v>92</v>
      </c>
    </row>
    <row r="148" spans="2:36" x14ac:dyDescent="0.25">
      <c r="B148" t="s">
        <v>88</v>
      </c>
      <c r="C148" t="s">
        <v>88</v>
      </c>
      <c r="D148" t="s">
        <v>88</v>
      </c>
      <c r="E148" t="s">
        <v>88</v>
      </c>
      <c r="F148" t="s">
        <v>88</v>
      </c>
      <c r="G148" t="s">
        <v>88</v>
      </c>
      <c r="H148" t="s">
        <v>88</v>
      </c>
      <c r="I148" t="s">
        <v>88</v>
      </c>
      <c r="J148" t="s">
        <v>88</v>
      </c>
      <c r="K148" t="s">
        <v>88</v>
      </c>
      <c r="L148" t="s">
        <v>525</v>
      </c>
      <c r="M148" t="s">
        <v>88</v>
      </c>
      <c r="N148" t="s">
        <v>88</v>
      </c>
      <c r="O148" t="s">
        <v>88</v>
      </c>
      <c r="P148" t="s">
        <v>88</v>
      </c>
      <c r="Q148" t="s">
        <v>88</v>
      </c>
      <c r="R148" t="s">
        <v>88</v>
      </c>
      <c r="S148" t="s">
        <v>88</v>
      </c>
      <c r="T148" t="s">
        <v>88</v>
      </c>
      <c r="U148" t="s">
        <v>88</v>
      </c>
      <c r="V148" t="s">
        <v>88</v>
      </c>
      <c r="W148" t="s">
        <v>89</v>
      </c>
      <c r="X148" t="s">
        <v>88</v>
      </c>
      <c r="Y148" t="s">
        <v>100</v>
      </c>
      <c r="Z148" t="s">
        <v>310</v>
      </c>
      <c r="AA148" t="s">
        <v>88</v>
      </c>
      <c r="AB148" t="s">
        <v>88</v>
      </c>
      <c r="AC148" t="s">
        <v>88</v>
      </c>
      <c r="AD148" t="s">
        <v>88</v>
      </c>
      <c r="AE148" t="str">
        <f>HYPERLINK("file:///C:/rest_photo/Mutlu Kebap &amp; Mangal, Battalgazi (Hasan Varol Mah.).jpg","Mutlu Kebap &amp; Mangal, Battalgazi (Hasan Varol Mah.)")</f>
        <v>Mutlu Kebap &amp; Mangal, Battalgazi (Hasan Varol Mah.)</v>
      </c>
      <c r="AF148" t="s">
        <v>81</v>
      </c>
      <c r="AG148" t="s">
        <v>103</v>
      </c>
      <c r="AH148" t="s">
        <v>88</v>
      </c>
      <c r="AI148" t="s">
        <v>88</v>
      </c>
      <c r="AJ148" t="s">
        <v>92</v>
      </c>
    </row>
    <row r="149" spans="2:36" x14ac:dyDescent="0.25">
      <c r="B149" t="s">
        <v>88</v>
      </c>
      <c r="C149" t="s">
        <v>88</v>
      </c>
      <c r="D149" t="s">
        <v>88</v>
      </c>
      <c r="E149" t="s">
        <v>88</v>
      </c>
      <c r="F149" t="s">
        <v>88</v>
      </c>
      <c r="G149" t="s">
        <v>88</v>
      </c>
      <c r="H149" t="s">
        <v>88</v>
      </c>
      <c r="I149" t="s">
        <v>88</v>
      </c>
      <c r="J149" t="s">
        <v>88</v>
      </c>
      <c r="K149" t="s">
        <v>88</v>
      </c>
      <c r="L149" t="s">
        <v>526</v>
      </c>
      <c r="M149" t="s">
        <v>88</v>
      </c>
      <c r="N149" t="s">
        <v>88</v>
      </c>
      <c r="O149" t="s">
        <v>88</v>
      </c>
      <c r="P149" t="s">
        <v>88</v>
      </c>
      <c r="Q149" t="s">
        <v>88</v>
      </c>
      <c r="R149" t="s">
        <v>88</v>
      </c>
      <c r="S149" t="s">
        <v>88</v>
      </c>
      <c r="T149" t="s">
        <v>88</v>
      </c>
      <c r="U149" t="s">
        <v>88</v>
      </c>
      <c r="V149" t="s">
        <v>88</v>
      </c>
      <c r="W149" t="s">
        <v>89</v>
      </c>
      <c r="X149" t="s">
        <v>88</v>
      </c>
      <c r="Y149" t="s">
        <v>90</v>
      </c>
      <c r="Z149" t="s">
        <v>312</v>
      </c>
      <c r="AA149" t="s">
        <v>88</v>
      </c>
      <c r="AB149" t="s">
        <v>88</v>
      </c>
      <c r="AC149" t="s">
        <v>88</v>
      </c>
      <c r="AD149" t="s">
        <v>88</v>
      </c>
      <c r="AE149" t="str">
        <f>HYPERLINK("file:///C:/rest_photo/Nar Künefe, Yeşilyurt (Koyunoğlu Mah.).jpg","Nar Künefe, Yeşilyurt (Koyunoğlu Mah.)")</f>
        <v>Nar Künefe, Yeşilyurt (Koyunoğlu Mah.)</v>
      </c>
      <c r="AF149" t="s">
        <v>403</v>
      </c>
      <c r="AG149" t="s">
        <v>99</v>
      </c>
      <c r="AH149" t="s">
        <v>88</v>
      </c>
      <c r="AI149" t="s">
        <v>88</v>
      </c>
      <c r="AJ149" t="s">
        <v>92</v>
      </c>
    </row>
    <row r="150" spans="2:36" x14ac:dyDescent="0.25">
      <c r="B150" t="s">
        <v>88</v>
      </c>
      <c r="C150" t="s">
        <v>88</v>
      </c>
      <c r="D150" t="s">
        <v>88</v>
      </c>
      <c r="E150" t="s">
        <v>88</v>
      </c>
      <c r="F150" t="s">
        <v>88</v>
      </c>
      <c r="G150" t="s">
        <v>88</v>
      </c>
      <c r="H150" t="s">
        <v>88</v>
      </c>
      <c r="I150" t="s">
        <v>88</v>
      </c>
      <c r="J150" t="s">
        <v>88</v>
      </c>
      <c r="K150" t="s">
        <v>88</v>
      </c>
      <c r="L150" t="s">
        <v>526</v>
      </c>
      <c r="M150" t="s">
        <v>88</v>
      </c>
      <c r="N150" t="s">
        <v>88</v>
      </c>
      <c r="O150" t="s">
        <v>88</v>
      </c>
      <c r="P150" t="s">
        <v>88</v>
      </c>
      <c r="Q150" t="s">
        <v>88</v>
      </c>
      <c r="R150" t="s">
        <v>88</v>
      </c>
      <c r="S150" t="s">
        <v>88</v>
      </c>
      <c r="T150" t="s">
        <v>88</v>
      </c>
      <c r="U150" t="s">
        <v>88</v>
      </c>
      <c r="V150" t="s">
        <v>88</v>
      </c>
      <c r="W150" t="s">
        <v>89</v>
      </c>
      <c r="X150" t="s">
        <v>88</v>
      </c>
      <c r="Y150" t="s">
        <v>90</v>
      </c>
      <c r="Z150" t="s">
        <v>97</v>
      </c>
      <c r="AA150" t="s">
        <v>88</v>
      </c>
      <c r="AB150" t="s">
        <v>88</v>
      </c>
      <c r="AC150" t="s">
        <v>88</v>
      </c>
      <c r="AD150" t="s">
        <v>88</v>
      </c>
      <c r="AE150" t="str">
        <f>HYPERLINK("file:///C:/rest_photo/Nar Künefe, Yeşilyurt (Tecde Mah.).jpg","Nar Künefe, Yeşilyurt (Tecde Mah.)")</f>
        <v>Nar Künefe, Yeşilyurt (Tecde Mah.)</v>
      </c>
      <c r="AF150" t="s">
        <v>403</v>
      </c>
      <c r="AG150" t="s">
        <v>99</v>
      </c>
      <c r="AH150" t="s">
        <v>88</v>
      </c>
      <c r="AI150" t="s">
        <v>88</v>
      </c>
      <c r="AJ150" t="s">
        <v>92</v>
      </c>
    </row>
    <row r="151" spans="2:36" x14ac:dyDescent="0.25">
      <c r="B151" t="s">
        <v>88</v>
      </c>
      <c r="C151" t="s">
        <v>88</v>
      </c>
      <c r="D151" t="s">
        <v>88</v>
      </c>
      <c r="E151" t="s">
        <v>88</v>
      </c>
      <c r="F151" t="s">
        <v>88</v>
      </c>
      <c r="G151" t="s">
        <v>88</v>
      </c>
      <c r="H151" t="s">
        <v>88</v>
      </c>
      <c r="I151" t="s">
        <v>88</v>
      </c>
      <c r="J151" t="s">
        <v>88</v>
      </c>
      <c r="K151" t="s">
        <v>88</v>
      </c>
      <c r="L151" t="s">
        <v>527</v>
      </c>
      <c r="M151" t="s">
        <v>88</v>
      </c>
      <c r="N151" t="s">
        <v>88</v>
      </c>
      <c r="O151" t="s">
        <v>88</v>
      </c>
      <c r="P151" t="s">
        <v>88</v>
      </c>
      <c r="Q151" t="s">
        <v>88</v>
      </c>
      <c r="R151" t="s">
        <v>88</v>
      </c>
      <c r="S151" t="s">
        <v>88</v>
      </c>
      <c r="T151" t="s">
        <v>88</v>
      </c>
      <c r="U151" t="s">
        <v>88</v>
      </c>
      <c r="V151" t="s">
        <v>88</v>
      </c>
      <c r="W151" t="s">
        <v>89</v>
      </c>
      <c r="X151" t="s">
        <v>88</v>
      </c>
      <c r="Y151" t="s">
        <v>100</v>
      </c>
      <c r="Z151" t="s">
        <v>197</v>
      </c>
      <c r="AA151" t="s">
        <v>88</v>
      </c>
      <c r="AB151" t="s">
        <v>88</v>
      </c>
      <c r="AC151" t="s">
        <v>88</v>
      </c>
      <c r="AD151" t="s">
        <v>88</v>
      </c>
      <c r="AE151" t="str">
        <f>HYPERLINK("file:///C:/rest_photo/Nefiss Adıyaman Çiğ Köftecisi, Battalgazi (Büyük Hüseyinbey Mah.).jpg","Nefiss Adıyaman Çiğ Köftecisi, Battalgazi (Büyük Hüseyinbey Mah.)")</f>
        <v>Nefiss Adıyaman Çiğ Köftecisi, Battalgazi (Büyük Hüseyinbey Mah.)</v>
      </c>
      <c r="AF151" t="s">
        <v>81</v>
      </c>
      <c r="AG151" t="s">
        <v>106</v>
      </c>
      <c r="AH151" t="s">
        <v>88</v>
      </c>
      <c r="AI151" t="s">
        <v>88</v>
      </c>
      <c r="AJ151" t="s">
        <v>92</v>
      </c>
    </row>
    <row r="152" spans="2:36" x14ac:dyDescent="0.25">
      <c r="B152" t="s">
        <v>88</v>
      </c>
      <c r="C152" t="s">
        <v>88</v>
      </c>
      <c r="D152" t="s">
        <v>88</v>
      </c>
      <c r="E152" t="s">
        <v>88</v>
      </c>
      <c r="F152" t="s">
        <v>88</v>
      </c>
      <c r="G152" t="s">
        <v>88</v>
      </c>
      <c r="H152" t="s">
        <v>88</v>
      </c>
      <c r="I152" t="s">
        <v>88</v>
      </c>
      <c r="J152" t="s">
        <v>88</v>
      </c>
      <c r="K152" t="s">
        <v>88</v>
      </c>
      <c r="L152" t="s">
        <v>528</v>
      </c>
      <c r="M152" t="s">
        <v>88</v>
      </c>
      <c r="N152" t="s">
        <v>88</v>
      </c>
      <c r="O152" t="s">
        <v>88</v>
      </c>
      <c r="P152" t="s">
        <v>88</v>
      </c>
      <c r="Q152" t="s">
        <v>88</v>
      </c>
      <c r="R152" t="s">
        <v>88</v>
      </c>
      <c r="S152" t="s">
        <v>88</v>
      </c>
      <c r="T152" t="s">
        <v>88</v>
      </c>
      <c r="U152" t="s">
        <v>88</v>
      </c>
      <c r="V152" t="s">
        <v>88</v>
      </c>
      <c r="W152" t="s">
        <v>89</v>
      </c>
      <c r="X152" t="s">
        <v>88</v>
      </c>
      <c r="Y152" t="s">
        <v>100</v>
      </c>
      <c r="Z152" t="s">
        <v>158</v>
      </c>
      <c r="AA152" t="s">
        <v>88</v>
      </c>
      <c r="AB152" t="s">
        <v>88</v>
      </c>
      <c r="AC152" t="s">
        <v>88</v>
      </c>
      <c r="AD152" t="s">
        <v>88</v>
      </c>
      <c r="AE152" t="str">
        <f>HYPERLINK("file:///C:/rest_photo/Neşe Pizza, Battalgazi (Paşaköşkü Mah.).jpg","Neşe Pizza, Battalgazi (Paşaköşkü Mah.)")</f>
        <v>Neşe Pizza, Battalgazi (Paşaköşkü Mah.)</v>
      </c>
      <c r="AF152" t="s">
        <v>403</v>
      </c>
      <c r="AG152" t="s">
        <v>212</v>
      </c>
      <c r="AH152" t="s">
        <v>88</v>
      </c>
      <c r="AI152" t="s">
        <v>88</v>
      </c>
      <c r="AJ152" t="s">
        <v>92</v>
      </c>
    </row>
    <row r="153" spans="2:36" x14ac:dyDescent="0.25">
      <c r="B153" t="s">
        <v>88</v>
      </c>
      <c r="C153" t="s">
        <v>88</v>
      </c>
      <c r="D153" t="s">
        <v>88</v>
      </c>
      <c r="E153" t="s">
        <v>88</v>
      </c>
      <c r="F153" t="s">
        <v>88</v>
      </c>
      <c r="G153" t="s">
        <v>88</v>
      </c>
      <c r="H153" t="s">
        <v>88</v>
      </c>
      <c r="I153" t="s">
        <v>88</v>
      </c>
      <c r="J153" t="s">
        <v>88</v>
      </c>
      <c r="K153" t="s">
        <v>88</v>
      </c>
      <c r="L153" t="s">
        <v>529</v>
      </c>
      <c r="M153" t="s">
        <v>88</v>
      </c>
      <c r="N153" t="s">
        <v>88</v>
      </c>
      <c r="O153" t="s">
        <v>88</v>
      </c>
      <c r="P153" t="s">
        <v>88</v>
      </c>
      <c r="Q153" t="s">
        <v>88</v>
      </c>
      <c r="R153" t="s">
        <v>88</v>
      </c>
      <c r="S153" t="s">
        <v>88</v>
      </c>
      <c r="T153" t="s">
        <v>88</v>
      </c>
      <c r="U153" t="s">
        <v>88</v>
      </c>
      <c r="V153" t="s">
        <v>88</v>
      </c>
      <c r="W153" t="s">
        <v>89</v>
      </c>
      <c r="X153" t="s">
        <v>88</v>
      </c>
      <c r="Y153" t="s">
        <v>90</v>
      </c>
      <c r="Z153" t="s">
        <v>130</v>
      </c>
      <c r="AA153" t="s">
        <v>88</v>
      </c>
      <c r="AB153" t="s">
        <v>88</v>
      </c>
      <c r="AC153" t="s">
        <v>88</v>
      </c>
      <c r="AD153" t="s">
        <v>88</v>
      </c>
      <c r="AE153" t="str">
        <f>HYPERLINK("file:///C:/rest_photo/Numune Et - Tavuk Mangal, Yeşilyurt (Samanlı Mah.).jpg","Numune Et - Tavuk Mangal, Yeşilyurt (Samanlı Mah.)")</f>
        <v>Numune Et - Tavuk Mangal, Yeşilyurt (Samanlı Mah.)</v>
      </c>
      <c r="AF153" t="s">
        <v>406</v>
      </c>
      <c r="AG153" t="s">
        <v>186</v>
      </c>
      <c r="AH153" t="s">
        <v>88</v>
      </c>
      <c r="AI153" t="s">
        <v>88</v>
      </c>
      <c r="AJ153" t="s">
        <v>92</v>
      </c>
    </row>
    <row r="154" spans="2:36" x14ac:dyDescent="0.25">
      <c r="B154" t="s">
        <v>88</v>
      </c>
      <c r="C154" t="s">
        <v>88</v>
      </c>
      <c r="D154" t="s">
        <v>88</v>
      </c>
      <c r="E154" t="s">
        <v>88</v>
      </c>
      <c r="F154" t="s">
        <v>88</v>
      </c>
      <c r="G154" t="s">
        <v>88</v>
      </c>
      <c r="H154" t="s">
        <v>88</v>
      </c>
      <c r="I154" t="s">
        <v>88</v>
      </c>
      <c r="J154" t="s">
        <v>88</v>
      </c>
      <c r="K154" t="s">
        <v>88</v>
      </c>
      <c r="L154" t="s">
        <v>530</v>
      </c>
      <c r="M154" t="s">
        <v>88</v>
      </c>
      <c r="N154" t="s">
        <v>88</v>
      </c>
      <c r="O154" t="s">
        <v>88</v>
      </c>
      <c r="P154" t="s">
        <v>88</v>
      </c>
      <c r="Q154" t="s">
        <v>88</v>
      </c>
      <c r="R154" t="s">
        <v>88</v>
      </c>
      <c r="S154" t="s">
        <v>88</v>
      </c>
      <c r="T154" t="s">
        <v>88</v>
      </c>
      <c r="U154" t="s">
        <v>88</v>
      </c>
      <c r="V154" t="s">
        <v>88</v>
      </c>
      <c r="W154" t="s">
        <v>89</v>
      </c>
      <c r="X154" t="s">
        <v>88</v>
      </c>
      <c r="Y154" t="s">
        <v>100</v>
      </c>
      <c r="Z154" t="s">
        <v>120</v>
      </c>
      <c r="AA154" t="s">
        <v>88</v>
      </c>
      <c r="AB154" t="s">
        <v>88</v>
      </c>
      <c r="AC154" t="s">
        <v>88</v>
      </c>
      <c r="AD154" t="s">
        <v>88</v>
      </c>
      <c r="AE154" t="str">
        <f>HYPERLINK("file:///C:/rest_photo/Olivia Pizza, Battalgazi (Saray Mah.).jpg","Olivia Pizza, Battalgazi (Saray Mah.)")</f>
        <v>Olivia Pizza, Battalgazi (Saray Mah.)</v>
      </c>
      <c r="AF154" t="s">
        <v>406</v>
      </c>
      <c r="AG154" t="s">
        <v>212</v>
      </c>
      <c r="AH154" t="s">
        <v>88</v>
      </c>
      <c r="AI154" t="s">
        <v>88</v>
      </c>
      <c r="AJ154" t="s">
        <v>92</v>
      </c>
    </row>
    <row r="155" spans="2:36" x14ac:dyDescent="0.25">
      <c r="B155" t="s">
        <v>88</v>
      </c>
      <c r="C155" t="s">
        <v>88</v>
      </c>
      <c r="D155" t="s">
        <v>88</v>
      </c>
      <c r="E155" t="s">
        <v>88</v>
      </c>
      <c r="F155" t="s">
        <v>88</v>
      </c>
      <c r="G155" t="s">
        <v>88</v>
      </c>
      <c r="H155" t="s">
        <v>88</v>
      </c>
      <c r="I155" t="s">
        <v>88</v>
      </c>
      <c r="J155" t="s">
        <v>88</v>
      </c>
      <c r="K155" t="s">
        <v>88</v>
      </c>
      <c r="L155" t="s">
        <v>531</v>
      </c>
      <c r="M155" t="s">
        <v>88</v>
      </c>
      <c r="N155" t="s">
        <v>88</v>
      </c>
      <c r="O155" t="s">
        <v>88</v>
      </c>
      <c r="P155" t="s">
        <v>88</v>
      </c>
      <c r="Q155" t="s">
        <v>88</v>
      </c>
      <c r="R155" t="s">
        <v>88</v>
      </c>
      <c r="S155" t="s">
        <v>88</v>
      </c>
      <c r="T155" t="s">
        <v>88</v>
      </c>
      <c r="U155" t="s">
        <v>88</v>
      </c>
      <c r="V155" t="s">
        <v>88</v>
      </c>
      <c r="W155" t="s">
        <v>89</v>
      </c>
      <c r="X155" t="s">
        <v>88</v>
      </c>
      <c r="Y155" t="s">
        <v>90</v>
      </c>
      <c r="Z155" t="s">
        <v>91</v>
      </c>
      <c r="AA155" t="s">
        <v>88</v>
      </c>
      <c r="AB155" t="s">
        <v>88</v>
      </c>
      <c r="AC155" t="s">
        <v>88</v>
      </c>
      <c r="AD155" t="s">
        <v>88</v>
      </c>
      <c r="AE155" t="str">
        <f>HYPERLINK("file:///C:/rest_photo/Orient Pizza, Yeşilyurt (İnönü Mah. - İnönü Cad.).jpg","Orient Pizza, Yeşilyurt (İnönü Mah. - İnönü Cad.)")</f>
        <v>Orient Pizza, Yeşilyurt (İnönü Mah. - İnönü Cad.)</v>
      </c>
      <c r="AF155" t="s">
        <v>403</v>
      </c>
      <c r="AG155" t="s">
        <v>212</v>
      </c>
      <c r="AH155" t="s">
        <v>88</v>
      </c>
      <c r="AI155" t="s">
        <v>88</v>
      </c>
      <c r="AJ155" t="s">
        <v>92</v>
      </c>
    </row>
    <row r="156" spans="2:36" x14ac:dyDescent="0.25">
      <c r="B156" t="s">
        <v>88</v>
      </c>
      <c r="C156" t="s">
        <v>88</v>
      </c>
      <c r="D156" t="s">
        <v>88</v>
      </c>
      <c r="E156" t="s">
        <v>88</v>
      </c>
      <c r="F156" t="s">
        <v>88</v>
      </c>
      <c r="G156" t="s">
        <v>88</v>
      </c>
      <c r="H156" t="s">
        <v>88</v>
      </c>
      <c r="I156" t="s">
        <v>88</v>
      </c>
      <c r="J156" t="s">
        <v>88</v>
      </c>
      <c r="K156" t="s">
        <v>88</v>
      </c>
      <c r="L156" t="s">
        <v>320</v>
      </c>
      <c r="M156" t="s">
        <v>88</v>
      </c>
      <c r="N156" t="s">
        <v>88</v>
      </c>
      <c r="O156" t="s">
        <v>88</v>
      </c>
      <c r="P156" t="s">
        <v>88</v>
      </c>
      <c r="Q156" t="s">
        <v>88</v>
      </c>
      <c r="R156" t="s">
        <v>88</v>
      </c>
      <c r="S156" t="s">
        <v>88</v>
      </c>
      <c r="T156" t="s">
        <v>88</v>
      </c>
      <c r="U156" t="s">
        <v>88</v>
      </c>
      <c r="V156" t="s">
        <v>88</v>
      </c>
      <c r="W156" t="s">
        <v>89</v>
      </c>
      <c r="X156" t="s">
        <v>88</v>
      </c>
      <c r="Y156" t="s">
        <v>100</v>
      </c>
      <c r="Z156" t="s">
        <v>321</v>
      </c>
      <c r="AA156" t="s">
        <v>88</v>
      </c>
      <c r="AB156" t="s">
        <v>88</v>
      </c>
      <c r="AC156" t="s">
        <v>88</v>
      </c>
      <c r="AD156" t="s">
        <v>88</v>
      </c>
      <c r="AE156" t="str">
        <f>HYPERLINK("file:///C:/rest_photo/Oses Çiğ Köfte, Battalgazi (İskender Mah.).jpg","Oses Çiğ Köfte, Battalgazi (İskender Mah.)")</f>
        <v>Oses Çiğ Köfte, Battalgazi (İskender Mah.)</v>
      </c>
      <c r="AF156" t="s">
        <v>81</v>
      </c>
      <c r="AG156" t="s">
        <v>320</v>
      </c>
      <c r="AH156" t="s">
        <v>88</v>
      </c>
      <c r="AI156" t="s">
        <v>88</v>
      </c>
      <c r="AJ156" t="s">
        <v>92</v>
      </c>
    </row>
    <row r="157" spans="2:36" x14ac:dyDescent="0.25">
      <c r="B157" t="s">
        <v>88</v>
      </c>
      <c r="C157" t="s">
        <v>88</v>
      </c>
      <c r="D157" t="s">
        <v>88</v>
      </c>
      <c r="E157" t="s">
        <v>88</v>
      </c>
      <c r="F157" t="s">
        <v>88</v>
      </c>
      <c r="G157" t="s">
        <v>88</v>
      </c>
      <c r="H157" t="s">
        <v>88</v>
      </c>
      <c r="I157" t="s">
        <v>88</v>
      </c>
      <c r="J157" t="s">
        <v>88</v>
      </c>
      <c r="K157" t="s">
        <v>88</v>
      </c>
      <c r="L157" t="s">
        <v>320</v>
      </c>
      <c r="M157" t="s">
        <v>88</v>
      </c>
      <c r="N157" t="s">
        <v>88</v>
      </c>
      <c r="O157" t="s">
        <v>88</v>
      </c>
      <c r="P157" t="s">
        <v>88</v>
      </c>
      <c r="Q157" t="s">
        <v>88</v>
      </c>
      <c r="R157" t="s">
        <v>88</v>
      </c>
      <c r="S157" t="s">
        <v>88</v>
      </c>
      <c r="T157" t="s">
        <v>88</v>
      </c>
      <c r="U157" t="s">
        <v>88</v>
      </c>
      <c r="V157" t="s">
        <v>88</v>
      </c>
      <c r="W157" t="s">
        <v>89</v>
      </c>
      <c r="X157" t="s">
        <v>88</v>
      </c>
      <c r="Y157" t="s">
        <v>90</v>
      </c>
      <c r="Z157" t="s">
        <v>323</v>
      </c>
      <c r="AA157" t="s">
        <v>88</v>
      </c>
      <c r="AB157" t="s">
        <v>88</v>
      </c>
      <c r="AC157" t="s">
        <v>88</v>
      </c>
      <c r="AD157" t="s">
        <v>88</v>
      </c>
      <c r="AE157" t="str">
        <f>HYPERLINK("file:///C:/rest_photo/Oses Çiğ Köfte, Yeşilyurt (Çukurdere Mah.).jpg","Oses Çiğ Köfte, Yeşilyurt (Çukurdere Mah.)")</f>
        <v>Oses Çiğ Köfte, Yeşilyurt (Çukurdere Mah.)</v>
      </c>
      <c r="AF157" t="s">
        <v>81</v>
      </c>
      <c r="AG157" t="s">
        <v>320</v>
      </c>
      <c r="AH157" t="s">
        <v>88</v>
      </c>
      <c r="AI157" t="s">
        <v>88</v>
      </c>
      <c r="AJ157" t="s">
        <v>92</v>
      </c>
    </row>
    <row r="158" spans="2:36" x14ac:dyDescent="0.25">
      <c r="B158" t="s">
        <v>88</v>
      </c>
      <c r="C158" t="s">
        <v>88</v>
      </c>
      <c r="D158" t="s">
        <v>88</v>
      </c>
      <c r="E158" t="s">
        <v>88</v>
      </c>
      <c r="F158" t="s">
        <v>88</v>
      </c>
      <c r="G158" t="s">
        <v>88</v>
      </c>
      <c r="H158" t="s">
        <v>88</v>
      </c>
      <c r="I158" t="s">
        <v>88</v>
      </c>
      <c r="J158" t="s">
        <v>88</v>
      </c>
      <c r="K158" t="s">
        <v>88</v>
      </c>
      <c r="L158" t="s">
        <v>320</v>
      </c>
      <c r="M158" t="s">
        <v>88</v>
      </c>
      <c r="N158" t="s">
        <v>88</v>
      </c>
      <c r="O158" t="s">
        <v>88</v>
      </c>
      <c r="P158" t="s">
        <v>88</v>
      </c>
      <c r="Q158" t="s">
        <v>88</v>
      </c>
      <c r="R158" t="s">
        <v>88</v>
      </c>
      <c r="S158" t="s">
        <v>88</v>
      </c>
      <c r="T158" t="s">
        <v>88</v>
      </c>
      <c r="U158" t="s">
        <v>88</v>
      </c>
      <c r="V158" t="s">
        <v>88</v>
      </c>
      <c r="W158" t="s">
        <v>89</v>
      </c>
      <c r="X158" t="s">
        <v>88</v>
      </c>
      <c r="Y158" t="s">
        <v>90</v>
      </c>
      <c r="Z158" t="s">
        <v>97</v>
      </c>
      <c r="AA158" t="s">
        <v>88</v>
      </c>
      <c r="AB158" t="s">
        <v>88</v>
      </c>
      <c r="AC158" t="s">
        <v>88</v>
      </c>
      <c r="AD158" t="s">
        <v>88</v>
      </c>
      <c r="AE158" t="str">
        <f>HYPERLINK("file:///C:/rest_photo/Oses Çiğ Köfte, Yeşilyurt (Tecde Mah.).jpg","Oses Çiğ Köfte, Yeşilyurt (Tecde Mah.)")</f>
        <v>Oses Çiğ Köfte, Yeşilyurt (Tecde Mah.)</v>
      </c>
      <c r="AF158" t="s">
        <v>81</v>
      </c>
      <c r="AG158" t="s">
        <v>320</v>
      </c>
      <c r="AH158" t="s">
        <v>88</v>
      </c>
      <c r="AI158" t="s">
        <v>88</v>
      </c>
      <c r="AJ158" t="s">
        <v>92</v>
      </c>
    </row>
    <row r="159" spans="2:36" x14ac:dyDescent="0.25">
      <c r="B159" t="s">
        <v>88</v>
      </c>
      <c r="C159" t="s">
        <v>88</v>
      </c>
      <c r="D159" t="s">
        <v>88</v>
      </c>
      <c r="E159" t="s">
        <v>88</v>
      </c>
      <c r="F159" t="s">
        <v>88</v>
      </c>
      <c r="G159" t="s">
        <v>88</v>
      </c>
      <c r="H159" t="s">
        <v>88</v>
      </c>
      <c r="I159" t="s">
        <v>88</v>
      </c>
      <c r="J159" t="s">
        <v>88</v>
      </c>
      <c r="K159" t="s">
        <v>88</v>
      </c>
      <c r="L159" t="s">
        <v>320</v>
      </c>
      <c r="M159" t="s">
        <v>88</v>
      </c>
      <c r="N159" t="s">
        <v>88</v>
      </c>
      <c r="O159" t="s">
        <v>88</v>
      </c>
      <c r="P159" t="s">
        <v>88</v>
      </c>
      <c r="Q159" t="s">
        <v>88</v>
      </c>
      <c r="R159" t="s">
        <v>88</v>
      </c>
      <c r="S159" t="s">
        <v>88</v>
      </c>
      <c r="T159" t="s">
        <v>88</v>
      </c>
      <c r="U159" t="s">
        <v>88</v>
      </c>
      <c r="V159" t="s">
        <v>88</v>
      </c>
      <c r="W159" t="s">
        <v>89</v>
      </c>
      <c r="X159" t="s">
        <v>88</v>
      </c>
      <c r="Y159" t="s">
        <v>90</v>
      </c>
      <c r="Z159" t="s">
        <v>326</v>
      </c>
      <c r="AA159" t="s">
        <v>88</v>
      </c>
      <c r="AB159" t="s">
        <v>88</v>
      </c>
      <c r="AC159" t="s">
        <v>88</v>
      </c>
      <c r="AD159" t="s">
        <v>88</v>
      </c>
      <c r="AE159" t="str">
        <f>HYPERLINK("file:///C:/rest_photo/Oses Çiğ Köfte, Yeşilyurt (Tecde Mah. - Güngör Cad.).jpg","Oses Çiğ Köfte, Yeşilyurt (Tecde Mah. - Güngör Cad.)")</f>
        <v>Oses Çiğ Köfte, Yeşilyurt (Tecde Mah. - Güngör Cad.)</v>
      </c>
      <c r="AF159" t="s">
        <v>81</v>
      </c>
      <c r="AG159" t="s">
        <v>320</v>
      </c>
      <c r="AH159" t="s">
        <v>88</v>
      </c>
      <c r="AI159" t="s">
        <v>88</v>
      </c>
      <c r="AJ159" t="s">
        <v>92</v>
      </c>
    </row>
    <row r="160" spans="2:36" x14ac:dyDescent="0.25">
      <c r="B160" t="s">
        <v>88</v>
      </c>
      <c r="C160" t="s">
        <v>88</v>
      </c>
      <c r="D160" t="s">
        <v>88</v>
      </c>
      <c r="E160" t="s">
        <v>88</v>
      </c>
      <c r="F160" t="s">
        <v>88</v>
      </c>
      <c r="G160" t="s">
        <v>88</v>
      </c>
      <c r="H160" t="s">
        <v>88</v>
      </c>
      <c r="I160" t="s">
        <v>88</v>
      </c>
      <c r="J160" t="s">
        <v>88</v>
      </c>
      <c r="K160" t="s">
        <v>88</v>
      </c>
      <c r="L160" t="s">
        <v>532</v>
      </c>
      <c r="M160" t="s">
        <v>88</v>
      </c>
      <c r="N160" t="s">
        <v>88</v>
      </c>
      <c r="O160" t="s">
        <v>88</v>
      </c>
      <c r="P160" t="s">
        <v>88</v>
      </c>
      <c r="Q160" t="s">
        <v>88</v>
      </c>
      <c r="R160" t="s">
        <v>88</v>
      </c>
      <c r="S160" t="s">
        <v>88</v>
      </c>
      <c r="T160" t="s">
        <v>88</v>
      </c>
      <c r="U160" t="s">
        <v>88</v>
      </c>
      <c r="V160" t="s">
        <v>88</v>
      </c>
      <c r="W160" t="s">
        <v>89</v>
      </c>
      <c r="X160" t="s">
        <v>88</v>
      </c>
      <c r="Y160" t="s">
        <v>90</v>
      </c>
      <c r="Z160" t="s">
        <v>91</v>
      </c>
      <c r="AA160" t="s">
        <v>88</v>
      </c>
      <c r="AB160" t="s">
        <v>88</v>
      </c>
      <c r="AC160" t="s">
        <v>88</v>
      </c>
      <c r="AD160" t="s">
        <v>88</v>
      </c>
      <c r="AE160" t="str">
        <f>HYPERLINK("file:///C:/rest_photo/Öncü Döner, Yeşilyurt (İnönü Mah. - İnönü Cad.).jpg","Öncü Döner, Yeşilyurt (İnönü Mah. - İnönü Cad.)")</f>
        <v>Öncü Döner, Yeşilyurt (İnönü Mah. - İnönü Cad.)</v>
      </c>
      <c r="AF160" t="s">
        <v>533</v>
      </c>
      <c r="AG160" t="s">
        <v>139</v>
      </c>
      <c r="AH160" t="s">
        <v>88</v>
      </c>
      <c r="AI160" t="s">
        <v>88</v>
      </c>
      <c r="AJ160" t="s">
        <v>92</v>
      </c>
    </row>
    <row r="161" spans="2:36" x14ac:dyDescent="0.25">
      <c r="B161" t="s">
        <v>88</v>
      </c>
      <c r="C161" t="s">
        <v>88</v>
      </c>
      <c r="D161" t="s">
        <v>88</v>
      </c>
      <c r="E161" t="s">
        <v>88</v>
      </c>
      <c r="F161" t="s">
        <v>88</v>
      </c>
      <c r="G161" t="s">
        <v>88</v>
      </c>
      <c r="H161" t="s">
        <v>88</v>
      </c>
      <c r="I161" t="s">
        <v>88</v>
      </c>
      <c r="J161" t="s">
        <v>88</v>
      </c>
      <c r="K161" t="s">
        <v>88</v>
      </c>
      <c r="L161" t="s">
        <v>534</v>
      </c>
      <c r="M161" t="s">
        <v>88</v>
      </c>
      <c r="N161" t="s">
        <v>88</v>
      </c>
      <c r="O161" t="s">
        <v>88</v>
      </c>
      <c r="P161" t="s">
        <v>88</v>
      </c>
      <c r="Q161" t="s">
        <v>88</v>
      </c>
      <c r="R161" t="s">
        <v>88</v>
      </c>
      <c r="S161" t="s">
        <v>88</v>
      </c>
      <c r="T161" t="s">
        <v>88</v>
      </c>
      <c r="U161" t="s">
        <v>88</v>
      </c>
      <c r="V161" t="s">
        <v>88</v>
      </c>
      <c r="W161" t="s">
        <v>89</v>
      </c>
      <c r="X161" t="s">
        <v>88</v>
      </c>
      <c r="Y161" t="s">
        <v>100</v>
      </c>
      <c r="Z161" t="s">
        <v>158</v>
      </c>
      <c r="AA161" t="s">
        <v>88</v>
      </c>
      <c r="AB161" t="s">
        <v>88</v>
      </c>
      <c r="AC161" t="s">
        <v>88</v>
      </c>
      <c r="AD161" t="s">
        <v>88</v>
      </c>
      <c r="AE161" t="str">
        <f>HYPERLINK("file:///C:/rest_photo/Örnek Lahmacun &amp; Kebap, Battalgazi (Paşaköşkü Mah.).jpg","Örnek Lahmacun &amp; Kebap, Battalgazi (Paşaköşkü Mah.)")</f>
        <v>Örnek Lahmacun &amp; Kebap, Battalgazi (Paşaköşkü Mah.)</v>
      </c>
      <c r="AF161" t="s">
        <v>81</v>
      </c>
      <c r="AG161" t="s">
        <v>143</v>
      </c>
      <c r="AH161" t="s">
        <v>88</v>
      </c>
      <c r="AI161" t="s">
        <v>88</v>
      </c>
      <c r="AJ161" t="s">
        <v>92</v>
      </c>
    </row>
    <row r="162" spans="2:36" x14ac:dyDescent="0.25">
      <c r="B162" t="s">
        <v>88</v>
      </c>
      <c r="C162" t="s">
        <v>88</v>
      </c>
      <c r="D162" t="s">
        <v>88</v>
      </c>
      <c r="E162" t="s">
        <v>88</v>
      </c>
      <c r="F162" t="s">
        <v>88</v>
      </c>
      <c r="G162" t="s">
        <v>88</v>
      </c>
      <c r="H162" t="s">
        <v>88</v>
      </c>
      <c r="I162" t="s">
        <v>88</v>
      </c>
      <c r="J162" t="s">
        <v>88</v>
      </c>
      <c r="K162" t="s">
        <v>88</v>
      </c>
      <c r="L162" t="s">
        <v>535</v>
      </c>
      <c r="M162" t="s">
        <v>88</v>
      </c>
      <c r="N162" t="s">
        <v>88</v>
      </c>
      <c r="O162" t="s">
        <v>88</v>
      </c>
      <c r="P162" t="s">
        <v>88</v>
      </c>
      <c r="Q162" t="s">
        <v>88</v>
      </c>
      <c r="R162" t="s">
        <v>88</v>
      </c>
      <c r="S162" t="s">
        <v>88</v>
      </c>
      <c r="T162" t="s">
        <v>88</v>
      </c>
      <c r="U162" t="s">
        <v>88</v>
      </c>
      <c r="V162" t="s">
        <v>88</v>
      </c>
      <c r="W162" t="s">
        <v>89</v>
      </c>
      <c r="X162" t="s">
        <v>88</v>
      </c>
      <c r="Y162" t="s">
        <v>100</v>
      </c>
      <c r="Z162" t="s">
        <v>330</v>
      </c>
      <c r="AA162" t="s">
        <v>88</v>
      </c>
      <c r="AB162" t="s">
        <v>88</v>
      </c>
      <c r="AC162" t="s">
        <v>88</v>
      </c>
      <c r="AD162" t="s">
        <v>88</v>
      </c>
      <c r="AE162" t="str">
        <f>HYPERLINK("file:///C:/rest_photo/Öz Altınşiş Kebap Sarayı, Battalgazi (Dabakhane Mah.).jpg","Öz Altınşiş Kebap Sarayı, Battalgazi (Dabakhane Mah.)")</f>
        <v>Öz Altınşiş Kebap Sarayı, Battalgazi (Dabakhane Mah.)</v>
      </c>
      <c r="AF162" t="s">
        <v>81</v>
      </c>
      <c r="AG162" t="s">
        <v>103</v>
      </c>
      <c r="AH162" t="s">
        <v>88</v>
      </c>
      <c r="AI162" t="s">
        <v>88</v>
      </c>
      <c r="AJ162" t="s">
        <v>92</v>
      </c>
    </row>
    <row r="163" spans="2:36" x14ac:dyDescent="0.25">
      <c r="B163" t="s">
        <v>88</v>
      </c>
      <c r="C163" t="s">
        <v>88</v>
      </c>
      <c r="D163" t="s">
        <v>88</v>
      </c>
      <c r="E163" t="s">
        <v>88</v>
      </c>
      <c r="F163" t="s">
        <v>88</v>
      </c>
      <c r="G163" t="s">
        <v>88</v>
      </c>
      <c r="H163" t="s">
        <v>88</v>
      </c>
      <c r="I163" t="s">
        <v>88</v>
      </c>
      <c r="J163" t="s">
        <v>88</v>
      </c>
      <c r="K163" t="s">
        <v>88</v>
      </c>
      <c r="L163" t="s">
        <v>536</v>
      </c>
      <c r="M163" t="s">
        <v>88</v>
      </c>
      <c r="N163" t="s">
        <v>88</v>
      </c>
      <c r="O163" t="s">
        <v>88</v>
      </c>
      <c r="P163" t="s">
        <v>88</v>
      </c>
      <c r="Q163" t="s">
        <v>88</v>
      </c>
      <c r="R163" t="s">
        <v>88</v>
      </c>
      <c r="S163" t="s">
        <v>88</v>
      </c>
      <c r="T163" t="s">
        <v>88</v>
      </c>
      <c r="U163" t="s">
        <v>88</v>
      </c>
      <c r="V163" t="s">
        <v>88</v>
      </c>
      <c r="W163" t="s">
        <v>89</v>
      </c>
      <c r="X163" t="s">
        <v>88</v>
      </c>
      <c r="Y163" t="s">
        <v>100</v>
      </c>
      <c r="Z163" t="s">
        <v>163</v>
      </c>
      <c r="AA163" t="s">
        <v>88</v>
      </c>
      <c r="AB163" t="s">
        <v>88</v>
      </c>
      <c r="AC163" t="s">
        <v>88</v>
      </c>
      <c r="AD163" t="s">
        <v>88</v>
      </c>
      <c r="AE163" t="str">
        <f>HYPERLINK("file:///C:/rest_photo/Özeller Tantuni &amp; Döner, Battalgazi (Yenihamam Mah.).jpg","Özeller Tantuni &amp; Döner, Battalgazi (Yenihamam Mah.)")</f>
        <v>Özeller Tantuni &amp; Döner, Battalgazi (Yenihamam Mah.)</v>
      </c>
      <c r="AF163" t="s">
        <v>421</v>
      </c>
      <c r="AG163" t="s">
        <v>149</v>
      </c>
      <c r="AH163" t="s">
        <v>88</v>
      </c>
      <c r="AI163" t="s">
        <v>88</v>
      </c>
      <c r="AJ163" t="s">
        <v>92</v>
      </c>
    </row>
    <row r="164" spans="2:36" x14ac:dyDescent="0.25">
      <c r="B164" t="s">
        <v>88</v>
      </c>
      <c r="C164" t="s">
        <v>88</v>
      </c>
      <c r="D164" t="s">
        <v>88</v>
      </c>
      <c r="E164" t="s">
        <v>88</v>
      </c>
      <c r="F164" t="s">
        <v>88</v>
      </c>
      <c r="G164" t="s">
        <v>88</v>
      </c>
      <c r="H164" t="s">
        <v>88</v>
      </c>
      <c r="I164" t="s">
        <v>88</v>
      </c>
      <c r="J164" t="s">
        <v>88</v>
      </c>
      <c r="K164" t="s">
        <v>88</v>
      </c>
      <c r="L164" t="s">
        <v>333</v>
      </c>
      <c r="M164" t="s">
        <v>88</v>
      </c>
      <c r="N164" t="s">
        <v>88</v>
      </c>
      <c r="O164" t="s">
        <v>88</v>
      </c>
      <c r="P164" t="s">
        <v>88</v>
      </c>
      <c r="Q164" t="s">
        <v>88</v>
      </c>
      <c r="R164" t="s">
        <v>88</v>
      </c>
      <c r="S164" t="s">
        <v>88</v>
      </c>
      <c r="T164" t="s">
        <v>88</v>
      </c>
      <c r="U164" t="s">
        <v>88</v>
      </c>
      <c r="V164" t="s">
        <v>88</v>
      </c>
      <c r="W164" t="s">
        <v>89</v>
      </c>
      <c r="X164" t="s">
        <v>88</v>
      </c>
      <c r="Y164" t="s">
        <v>90</v>
      </c>
      <c r="Z164" t="s">
        <v>168</v>
      </c>
      <c r="AA164" t="s">
        <v>88</v>
      </c>
      <c r="AB164" t="s">
        <v>88</v>
      </c>
      <c r="AC164" t="s">
        <v>88</v>
      </c>
      <c r="AD164" t="s">
        <v>88</v>
      </c>
      <c r="AE164" t="str">
        <f>HYPERLINK("file:///C:/rest_photo/Özsüt, Yeşilyurt (Özalper Mah.).jpg","Özsüt, Yeşilyurt (Özalper Mah.)")</f>
        <v>Özsüt, Yeşilyurt (Özalper Mah.)</v>
      </c>
      <c r="AF164" t="s">
        <v>406</v>
      </c>
      <c r="AG164" t="s">
        <v>333</v>
      </c>
      <c r="AH164" t="s">
        <v>88</v>
      </c>
      <c r="AI164" t="s">
        <v>88</v>
      </c>
      <c r="AJ164" t="s">
        <v>92</v>
      </c>
    </row>
    <row r="165" spans="2:36" x14ac:dyDescent="0.25">
      <c r="B165" t="s">
        <v>88</v>
      </c>
      <c r="C165" t="s">
        <v>88</v>
      </c>
      <c r="D165" t="s">
        <v>88</v>
      </c>
      <c r="E165" t="s">
        <v>88</v>
      </c>
      <c r="F165" t="s">
        <v>88</v>
      </c>
      <c r="G165" t="s">
        <v>88</v>
      </c>
      <c r="H165" t="s">
        <v>88</v>
      </c>
      <c r="I165" t="s">
        <v>88</v>
      </c>
      <c r="J165" t="s">
        <v>88</v>
      </c>
      <c r="K165" t="s">
        <v>88</v>
      </c>
      <c r="L165" t="s">
        <v>537</v>
      </c>
      <c r="M165" t="s">
        <v>88</v>
      </c>
      <c r="N165" t="s">
        <v>88</v>
      </c>
      <c r="O165" t="s">
        <v>88</v>
      </c>
      <c r="P165" t="s">
        <v>88</v>
      </c>
      <c r="Q165" t="s">
        <v>88</v>
      </c>
      <c r="R165" t="s">
        <v>88</v>
      </c>
      <c r="S165" t="s">
        <v>88</v>
      </c>
      <c r="T165" t="s">
        <v>88</v>
      </c>
      <c r="U165" t="s">
        <v>88</v>
      </c>
      <c r="V165" t="s">
        <v>88</v>
      </c>
      <c r="W165" t="s">
        <v>89</v>
      </c>
      <c r="X165" t="s">
        <v>88</v>
      </c>
      <c r="Y165" t="s">
        <v>100</v>
      </c>
      <c r="Z165" t="s">
        <v>120</v>
      </c>
      <c r="AA165" t="s">
        <v>88</v>
      </c>
      <c r="AB165" t="s">
        <v>88</v>
      </c>
      <c r="AC165" t="s">
        <v>88</v>
      </c>
      <c r="AD165" t="s">
        <v>88</v>
      </c>
      <c r="AE165" t="str">
        <f>HYPERLINK("file:///C:/rest_photo/Öz Urfa Kebap &amp; Lahmacun, Battalgazi (Saray Mah.).jpg","Öz Urfa Kebap &amp; Lahmacun, Battalgazi (Saray Mah.)")</f>
        <v>Öz Urfa Kebap &amp; Lahmacun, Battalgazi (Saray Mah.)</v>
      </c>
      <c r="AF165" t="s">
        <v>406</v>
      </c>
      <c r="AG165" t="s">
        <v>103</v>
      </c>
      <c r="AH165" t="s">
        <v>88</v>
      </c>
      <c r="AI165" t="s">
        <v>88</v>
      </c>
      <c r="AJ165" t="s">
        <v>92</v>
      </c>
    </row>
    <row r="166" spans="2:36" x14ac:dyDescent="0.25">
      <c r="B166" t="s">
        <v>88</v>
      </c>
      <c r="C166" t="s">
        <v>88</v>
      </c>
      <c r="D166" t="s">
        <v>88</v>
      </c>
      <c r="E166" t="s">
        <v>88</v>
      </c>
      <c r="F166" t="s">
        <v>88</v>
      </c>
      <c r="G166" t="s">
        <v>88</v>
      </c>
      <c r="H166" t="s">
        <v>88</v>
      </c>
      <c r="I166" t="s">
        <v>88</v>
      </c>
      <c r="J166" t="s">
        <v>88</v>
      </c>
      <c r="K166" t="s">
        <v>88</v>
      </c>
      <c r="L166" t="s">
        <v>538</v>
      </c>
      <c r="M166" t="s">
        <v>88</v>
      </c>
      <c r="N166" t="s">
        <v>88</v>
      </c>
      <c r="O166" t="s">
        <v>88</v>
      </c>
      <c r="P166" t="s">
        <v>88</v>
      </c>
      <c r="Q166" t="s">
        <v>88</v>
      </c>
      <c r="R166" t="s">
        <v>88</v>
      </c>
      <c r="S166" t="s">
        <v>88</v>
      </c>
      <c r="T166" t="s">
        <v>88</v>
      </c>
      <c r="U166" t="s">
        <v>88</v>
      </c>
      <c r="V166" t="s">
        <v>88</v>
      </c>
      <c r="W166" t="s">
        <v>89</v>
      </c>
      <c r="X166" t="s">
        <v>88</v>
      </c>
      <c r="Y166" t="s">
        <v>90</v>
      </c>
      <c r="Z166" t="s">
        <v>91</v>
      </c>
      <c r="AA166" t="s">
        <v>88</v>
      </c>
      <c r="AB166" t="s">
        <v>88</v>
      </c>
      <c r="AC166" t="s">
        <v>88</v>
      </c>
      <c r="AD166" t="s">
        <v>88</v>
      </c>
      <c r="AE166" t="str">
        <f>HYPERLINK("file:///C:/rest_photo/Paper Roasting Coffee &amp; Chocolate, Yeşilyurt (İnönü Mah. - İnönü Cad.).jpg","Paper Roasting Coffee &amp; Chocolate, Yeşilyurt (İnönü Mah. - İnönü Cad.)")</f>
        <v>Paper Roasting Coffee &amp; Chocolate, Yeşilyurt (İnönü Mah. - İnönü Cad.)</v>
      </c>
      <c r="AF166" t="s">
        <v>81</v>
      </c>
      <c r="AG166" t="s">
        <v>99</v>
      </c>
      <c r="AH166" t="s">
        <v>88</v>
      </c>
      <c r="AI166" t="s">
        <v>88</v>
      </c>
      <c r="AJ166" t="s">
        <v>92</v>
      </c>
    </row>
    <row r="167" spans="2:36" x14ac:dyDescent="0.25">
      <c r="B167" t="s">
        <v>88</v>
      </c>
      <c r="C167" t="s">
        <v>88</v>
      </c>
      <c r="D167" t="s">
        <v>88</v>
      </c>
      <c r="E167" t="s">
        <v>88</v>
      </c>
      <c r="F167" t="s">
        <v>88</v>
      </c>
      <c r="G167" t="s">
        <v>88</v>
      </c>
      <c r="H167" t="s">
        <v>88</v>
      </c>
      <c r="I167" t="s">
        <v>88</v>
      </c>
      <c r="J167" t="s">
        <v>88</v>
      </c>
      <c r="K167" t="s">
        <v>88</v>
      </c>
      <c r="L167" t="s">
        <v>337</v>
      </c>
      <c r="M167" t="s">
        <v>88</v>
      </c>
      <c r="N167" t="s">
        <v>88</v>
      </c>
      <c r="O167" t="s">
        <v>88</v>
      </c>
      <c r="P167" t="s">
        <v>88</v>
      </c>
      <c r="Q167" t="s">
        <v>88</v>
      </c>
      <c r="R167" t="s">
        <v>88</v>
      </c>
      <c r="S167" t="s">
        <v>88</v>
      </c>
      <c r="T167" t="s">
        <v>88</v>
      </c>
      <c r="U167" t="s">
        <v>88</v>
      </c>
      <c r="V167" t="s">
        <v>88</v>
      </c>
      <c r="W167" t="s">
        <v>89</v>
      </c>
      <c r="X167" t="s">
        <v>88</v>
      </c>
      <c r="Y167" t="s">
        <v>90</v>
      </c>
      <c r="Z167" t="s">
        <v>94</v>
      </c>
      <c r="AA167" t="s">
        <v>88</v>
      </c>
      <c r="AB167" t="s">
        <v>88</v>
      </c>
      <c r="AC167" t="s">
        <v>88</v>
      </c>
      <c r="AD167" t="s">
        <v>88</v>
      </c>
      <c r="AE167" t="str">
        <f>HYPERLINK("file:///C:/rest_photo/Pasaport Pizza, Yeşilyurt (İnönü Mah. - Malatya Park Avm).jpg","Pasaport Pizza, Yeşilyurt (İnönü Mah. - Malatya Park Avm)")</f>
        <v>Pasaport Pizza, Yeşilyurt (İnönü Mah. - Malatya Park Avm)</v>
      </c>
      <c r="AF167" t="s">
        <v>406</v>
      </c>
      <c r="AG167" t="s">
        <v>337</v>
      </c>
      <c r="AH167" t="s">
        <v>88</v>
      </c>
      <c r="AI167" t="s">
        <v>88</v>
      </c>
      <c r="AJ167" t="s">
        <v>92</v>
      </c>
    </row>
    <row r="168" spans="2:36" x14ac:dyDescent="0.25">
      <c r="B168" t="s">
        <v>88</v>
      </c>
      <c r="C168" t="s">
        <v>88</v>
      </c>
      <c r="D168" t="s">
        <v>88</v>
      </c>
      <c r="E168" t="s">
        <v>88</v>
      </c>
      <c r="F168" t="s">
        <v>88</v>
      </c>
      <c r="G168" t="s">
        <v>88</v>
      </c>
      <c r="H168" t="s">
        <v>88</v>
      </c>
      <c r="I168" t="s">
        <v>88</v>
      </c>
      <c r="J168" t="s">
        <v>88</v>
      </c>
      <c r="K168" t="s">
        <v>88</v>
      </c>
      <c r="L168" t="s">
        <v>539</v>
      </c>
      <c r="M168" t="s">
        <v>88</v>
      </c>
      <c r="N168" t="s">
        <v>88</v>
      </c>
      <c r="O168" t="s">
        <v>88</v>
      </c>
      <c r="P168" t="s">
        <v>88</v>
      </c>
      <c r="Q168" t="s">
        <v>88</v>
      </c>
      <c r="R168" t="s">
        <v>88</v>
      </c>
      <c r="S168" t="s">
        <v>88</v>
      </c>
      <c r="T168" t="s">
        <v>88</v>
      </c>
      <c r="U168" t="s">
        <v>88</v>
      </c>
      <c r="V168" t="s">
        <v>88</v>
      </c>
      <c r="W168" t="s">
        <v>89</v>
      </c>
      <c r="X168" t="s">
        <v>88</v>
      </c>
      <c r="Y168" t="s">
        <v>100</v>
      </c>
      <c r="Z168" t="s">
        <v>158</v>
      </c>
      <c r="AA168" t="s">
        <v>88</v>
      </c>
      <c r="AB168" t="s">
        <v>88</v>
      </c>
      <c r="AC168" t="s">
        <v>88</v>
      </c>
      <c r="AD168" t="s">
        <v>88</v>
      </c>
      <c r="AE168" t="str">
        <f>HYPERLINK("file:///C:/rest_photo/Paşaköşkü Kebap &amp; Lahmacun, Battalgazi (Paşaköşkü Mah.).jpg","Paşaköşkü Kebap &amp; Lahmacun, Battalgazi (Paşaköşkü Mah.)")</f>
        <v>Paşaköşkü Kebap &amp; Lahmacun, Battalgazi (Paşaköşkü Mah.)</v>
      </c>
      <c r="AF168" t="s">
        <v>403</v>
      </c>
      <c r="AG168" t="s">
        <v>103</v>
      </c>
      <c r="AH168" t="s">
        <v>88</v>
      </c>
      <c r="AI168" t="s">
        <v>88</v>
      </c>
      <c r="AJ168" t="s">
        <v>92</v>
      </c>
    </row>
    <row r="169" spans="2:36" x14ac:dyDescent="0.25">
      <c r="B169" t="s">
        <v>88</v>
      </c>
      <c r="C169" t="s">
        <v>88</v>
      </c>
      <c r="D169" t="s">
        <v>88</v>
      </c>
      <c r="E169" t="s">
        <v>88</v>
      </c>
      <c r="F169" t="s">
        <v>88</v>
      </c>
      <c r="G169" t="s">
        <v>88</v>
      </c>
      <c r="H169" t="s">
        <v>88</v>
      </c>
      <c r="I169" t="s">
        <v>88</v>
      </c>
      <c r="J169" t="s">
        <v>88</v>
      </c>
      <c r="K169" t="s">
        <v>88</v>
      </c>
      <c r="L169" t="s">
        <v>540</v>
      </c>
      <c r="M169" t="s">
        <v>88</v>
      </c>
      <c r="N169" t="s">
        <v>88</v>
      </c>
      <c r="O169" t="s">
        <v>88</v>
      </c>
      <c r="P169" t="s">
        <v>88</v>
      </c>
      <c r="Q169" t="s">
        <v>88</v>
      </c>
      <c r="R169" t="s">
        <v>88</v>
      </c>
      <c r="S169" t="s">
        <v>88</v>
      </c>
      <c r="T169" t="s">
        <v>88</v>
      </c>
      <c r="U169" t="s">
        <v>88</v>
      </c>
      <c r="V169" t="s">
        <v>88</v>
      </c>
      <c r="W169" t="s">
        <v>89</v>
      </c>
      <c r="X169" t="s">
        <v>88</v>
      </c>
      <c r="Y169" t="s">
        <v>100</v>
      </c>
      <c r="Z169" t="s">
        <v>107</v>
      </c>
      <c r="AA169" t="s">
        <v>88</v>
      </c>
      <c r="AB169" t="s">
        <v>88</v>
      </c>
      <c r="AC169" t="s">
        <v>88</v>
      </c>
      <c r="AD169" t="s">
        <v>88</v>
      </c>
      <c r="AE169" t="str">
        <f>HYPERLINK("file:///C:/rest_photo/Pizza Life, Battalgazi (Fırat Mah.).jpg","Pizza Life, Battalgazi (Fırat Mah.)")</f>
        <v>Pizza Life, Battalgazi (Fırat Mah.)</v>
      </c>
      <c r="AF169" t="s">
        <v>406</v>
      </c>
      <c r="AG169" t="s">
        <v>212</v>
      </c>
      <c r="AH169" t="s">
        <v>88</v>
      </c>
      <c r="AI169" t="s">
        <v>88</v>
      </c>
      <c r="AJ169" t="s">
        <v>92</v>
      </c>
    </row>
    <row r="170" spans="2:36" x14ac:dyDescent="0.25">
      <c r="B170" t="s">
        <v>88</v>
      </c>
      <c r="C170" t="s">
        <v>88</v>
      </c>
      <c r="D170" t="s">
        <v>88</v>
      </c>
      <c r="E170" t="s">
        <v>88</v>
      </c>
      <c r="F170" t="s">
        <v>88</v>
      </c>
      <c r="G170" t="s">
        <v>88</v>
      </c>
      <c r="H170" t="s">
        <v>88</v>
      </c>
      <c r="I170" t="s">
        <v>88</v>
      </c>
      <c r="J170" t="s">
        <v>88</v>
      </c>
      <c r="K170" t="s">
        <v>88</v>
      </c>
      <c r="L170" t="s">
        <v>541</v>
      </c>
      <c r="M170" t="s">
        <v>88</v>
      </c>
      <c r="N170" t="s">
        <v>88</v>
      </c>
      <c r="O170" t="s">
        <v>88</v>
      </c>
      <c r="P170" t="s">
        <v>88</v>
      </c>
      <c r="Q170" t="s">
        <v>88</v>
      </c>
      <c r="R170" t="s">
        <v>88</v>
      </c>
      <c r="S170" t="s">
        <v>88</v>
      </c>
      <c r="T170" t="s">
        <v>88</v>
      </c>
      <c r="U170" t="s">
        <v>88</v>
      </c>
      <c r="V170" t="s">
        <v>88</v>
      </c>
      <c r="W170" t="s">
        <v>89</v>
      </c>
      <c r="X170" t="s">
        <v>88</v>
      </c>
      <c r="Y170" t="s">
        <v>90</v>
      </c>
      <c r="Z170" t="s">
        <v>113</v>
      </c>
      <c r="AA170" t="s">
        <v>88</v>
      </c>
      <c r="AB170" t="s">
        <v>88</v>
      </c>
      <c r="AC170" t="s">
        <v>88</v>
      </c>
      <c r="AD170" t="s">
        <v>88</v>
      </c>
      <c r="AE170" t="str">
        <f>HYPERLINK("file:///C:/rest_photo/Pizza Marino, Yeşilyurt (Çilesiz Mah. - Fahri Kayahan Blv.).jpg","Pizza Marino, Yeşilyurt (Çilesiz Mah. - Fahri Kayahan Blv.)")</f>
        <v>Pizza Marino, Yeşilyurt (Çilesiz Mah. - Fahri Kayahan Blv.)</v>
      </c>
      <c r="AF170" t="s">
        <v>81</v>
      </c>
      <c r="AG170" t="s">
        <v>212</v>
      </c>
      <c r="AH170" t="s">
        <v>88</v>
      </c>
      <c r="AI170" t="s">
        <v>88</v>
      </c>
      <c r="AJ170" t="s">
        <v>92</v>
      </c>
    </row>
    <row r="171" spans="2:36" x14ac:dyDescent="0.25">
      <c r="B171" t="s">
        <v>88</v>
      </c>
      <c r="C171" t="s">
        <v>88</v>
      </c>
      <c r="D171" t="s">
        <v>88</v>
      </c>
      <c r="E171" t="s">
        <v>88</v>
      </c>
      <c r="F171" t="s">
        <v>88</v>
      </c>
      <c r="G171" t="s">
        <v>88</v>
      </c>
      <c r="H171" t="s">
        <v>88</v>
      </c>
      <c r="I171" t="s">
        <v>88</v>
      </c>
      <c r="J171" t="s">
        <v>88</v>
      </c>
      <c r="K171" t="s">
        <v>88</v>
      </c>
      <c r="L171" t="s">
        <v>542</v>
      </c>
      <c r="M171" t="s">
        <v>88</v>
      </c>
      <c r="N171" t="s">
        <v>88</v>
      </c>
      <c r="O171" t="s">
        <v>88</v>
      </c>
      <c r="P171" t="s">
        <v>88</v>
      </c>
      <c r="Q171" t="s">
        <v>88</v>
      </c>
      <c r="R171" t="s">
        <v>88</v>
      </c>
      <c r="S171" t="s">
        <v>88</v>
      </c>
      <c r="T171" t="s">
        <v>88</v>
      </c>
      <c r="U171" t="s">
        <v>88</v>
      </c>
      <c r="V171" t="s">
        <v>88</v>
      </c>
      <c r="W171" t="s">
        <v>89</v>
      </c>
      <c r="X171" t="s">
        <v>88</v>
      </c>
      <c r="Y171" t="s">
        <v>90</v>
      </c>
      <c r="Z171" t="s">
        <v>97</v>
      </c>
      <c r="AA171" t="s">
        <v>88</v>
      </c>
      <c r="AB171" t="s">
        <v>88</v>
      </c>
      <c r="AC171" t="s">
        <v>88</v>
      </c>
      <c r="AD171" t="s">
        <v>88</v>
      </c>
      <c r="AE171" t="str">
        <f>HYPERLINK("file:///C:/rest_photo/Pizza My Marios, Yeşilyurt (Tecde Mah.).jpg","Pizza My Marios, Yeşilyurt (Tecde Mah.)")</f>
        <v>Pizza My Marios, Yeşilyurt (Tecde Mah.)</v>
      </c>
      <c r="AF171" t="s">
        <v>403</v>
      </c>
      <c r="AG171" t="s">
        <v>212</v>
      </c>
      <c r="AH171" t="s">
        <v>88</v>
      </c>
      <c r="AI171" t="s">
        <v>88</v>
      </c>
      <c r="AJ171" t="s">
        <v>92</v>
      </c>
    </row>
    <row r="172" spans="2:36" x14ac:dyDescent="0.25">
      <c r="B172" t="s">
        <v>88</v>
      </c>
      <c r="C172" t="s">
        <v>88</v>
      </c>
      <c r="D172" t="s">
        <v>88</v>
      </c>
      <c r="E172" t="s">
        <v>88</v>
      </c>
      <c r="F172" t="s">
        <v>88</v>
      </c>
      <c r="G172" t="s">
        <v>88</v>
      </c>
      <c r="H172" t="s">
        <v>88</v>
      </c>
      <c r="I172" t="s">
        <v>88</v>
      </c>
      <c r="J172" t="s">
        <v>88</v>
      </c>
      <c r="K172" t="s">
        <v>88</v>
      </c>
      <c r="L172" t="s">
        <v>543</v>
      </c>
      <c r="M172" t="s">
        <v>88</v>
      </c>
      <c r="N172" t="s">
        <v>88</v>
      </c>
      <c r="O172" t="s">
        <v>88</v>
      </c>
      <c r="P172" t="s">
        <v>88</v>
      </c>
      <c r="Q172" t="s">
        <v>88</v>
      </c>
      <c r="R172" t="s">
        <v>88</v>
      </c>
      <c r="S172" t="s">
        <v>88</v>
      </c>
      <c r="T172" t="s">
        <v>88</v>
      </c>
      <c r="U172" t="s">
        <v>88</v>
      </c>
      <c r="V172" t="s">
        <v>88</v>
      </c>
      <c r="W172" t="s">
        <v>89</v>
      </c>
      <c r="X172" t="s">
        <v>88</v>
      </c>
      <c r="Y172" t="s">
        <v>100</v>
      </c>
      <c r="Z172" t="s">
        <v>154</v>
      </c>
      <c r="AA172" t="s">
        <v>88</v>
      </c>
      <c r="AB172" t="s">
        <v>88</v>
      </c>
      <c r="AC172" t="s">
        <v>88</v>
      </c>
      <c r="AD172" t="s">
        <v>88</v>
      </c>
      <c r="AE172" t="str">
        <f>HYPERLINK("file:///C:/rest_photo/Pizza Real, Battalgazi (Bulgurlu Mah.).jpg","Pizza Real, Battalgazi (Bulgurlu Mah.)")</f>
        <v>Pizza Real, Battalgazi (Bulgurlu Mah.)</v>
      </c>
      <c r="AF172" t="s">
        <v>406</v>
      </c>
      <c r="AG172" t="s">
        <v>212</v>
      </c>
      <c r="AH172" t="s">
        <v>88</v>
      </c>
      <c r="AI172" t="s">
        <v>88</v>
      </c>
      <c r="AJ172" t="s">
        <v>92</v>
      </c>
    </row>
    <row r="173" spans="2:36" x14ac:dyDescent="0.25">
      <c r="B173" t="s">
        <v>88</v>
      </c>
      <c r="C173" t="s">
        <v>88</v>
      </c>
      <c r="D173" t="s">
        <v>88</v>
      </c>
      <c r="E173" t="s">
        <v>88</v>
      </c>
      <c r="F173" t="s">
        <v>88</v>
      </c>
      <c r="G173" t="s">
        <v>88</v>
      </c>
      <c r="H173" t="s">
        <v>88</v>
      </c>
      <c r="I173" t="s">
        <v>88</v>
      </c>
      <c r="J173" t="s">
        <v>88</v>
      </c>
      <c r="K173" t="s">
        <v>88</v>
      </c>
      <c r="L173" t="s">
        <v>543</v>
      </c>
      <c r="M173" t="s">
        <v>88</v>
      </c>
      <c r="N173" t="s">
        <v>88</v>
      </c>
      <c r="O173" t="s">
        <v>88</v>
      </c>
      <c r="P173" t="s">
        <v>88</v>
      </c>
      <c r="Q173" t="s">
        <v>88</v>
      </c>
      <c r="R173" t="s">
        <v>88</v>
      </c>
      <c r="S173" t="s">
        <v>88</v>
      </c>
      <c r="T173" t="s">
        <v>88</v>
      </c>
      <c r="U173" t="s">
        <v>88</v>
      </c>
      <c r="V173" t="s">
        <v>88</v>
      </c>
      <c r="W173" t="s">
        <v>89</v>
      </c>
      <c r="X173" t="s">
        <v>88</v>
      </c>
      <c r="Y173" t="s">
        <v>100</v>
      </c>
      <c r="Z173" t="s">
        <v>120</v>
      </c>
      <c r="AA173" t="s">
        <v>88</v>
      </c>
      <c r="AB173" t="s">
        <v>88</v>
      </c>
      <c r="AC173" t="s">
        <v>88</v>
      </c>
      <c r="AD173" t="s">
        <v>88</v>
      </c>
      <c r="AE173" t="str">
        <f>HYPERLINK("file:///C:/rest_photo/Pizza Real, Battalgazi (Saray Mah.).jpg","Pizza Real, Battalgazi (Saray Mah.)")</f>
        <v>Pizza Real, Battalgazi (Saray Mah.)</v>
      </c>
      <c r="AF173" t="s">
        <v>81</v>
      </c>
      <c r="AG173" t="s">
        <v>212</v>
      </c>
      <c r="AH173" t="s">
        <v>88</v>
      </c>
      <c r="AI173" t="s">
        <v>88</v>
      </c>
      <c r="AJ173" t="s">
        <v>92</v>
      </c>
    </row>
    <row r="174" spans="2:36" x14ac:dyDescent="0.25">
      <c r="B174" t="s">
        <v>88</v>
      </c>
      <c r="C174" t="s">
        <v>88</v>
      </c>
      <c r="D174" t="s">
        <v>88</v>
      </c>
      <c r="E174" t="s">
        <v>88</v>
      </c>
      <c r="F174" t="s">
        <v>88</v>
      </c>
      <c r="G174" t="s">
        <v>88</v>
      </c>
      <c r="H174" t="s">
        <v>88</v>
      </c>
      <c r="I174" t="s">
        <v>88</v>
      </c>
      <c r="J174" t="s">
        <v>88</v>
      </c>
      <c r="K174" t="s">
        <v>88</v>
      </c>
      <c r="L174" t="s">
        <v>543</v>
      </c>
      <c r="M174" t="s">
        <v>88</v>
      </c>
      <c r="N174" t="s">
        <v>88</v>
      </c>
      <c r="O174" t="s">
        <v>88</v>
      </c>
      <c r="P174" t="s">
        <v>88</v>
      </c>
      <c r="Q174" t="s">
        <v>88</v>
      </c>
      <c r="R174" t="s">
        <v>88</v>
      </c>
      <c r="S174" t="s">
        <v>88</v>
      </c>
      <c r="T174" t="s">
        <v>88</v>
      </c>
      <c r="U174" t="s">
        <v>88</v>
      </c>
      <c r="V174" t="s">
        <v>88</v>
      </c>
      <c r="W174" t="s">
        <v>89</v>
      </c>
      <c r="X174" t="s">
        <v>88</v>
      </c>
      <c r="Y174" t="s">
        <v>90</v>
      </c>
      <c r="Z174" t="s">
        <v>166</v>
      </c>
      <c r="AA174" t="s">
        <v>88</v>
      </c>
      <c r="AB174" t="s">
        <v>88</v>
      </c>
      <c r="AC174" t="s">
        <v>88</v>
      </c>
      <c r="AD174" t="s">
        <v>88</v>
      </c>
      <c r="AE174" t="str">
        <f>HYPERLINK("file:///C:/rest_photo/Pizza Real, Yeşilyurt (Cevatpaşa Mah. - Makro Avm).jpg","Pizza Real, Yeşilyurt (Cevatpaşa Mah. - Makro Avm)")</f>
        <v>Pizza Real, Yeşilyurt (Cevatpaşa Mah. - Makro Avm)</v>
      </c>
      <c r="AF174" t="s">
        <v>81</v>
      </c>
      <c r="AG174" t="s">
        <v>212</v>
      </c>
      <c r="AH174" t="s">
        <v>88</v>
      </c>
      <c r="AI174" t="s">
        <v>88</v>
      </c>
      <c r="AJ174" t="s">
        <v>92</v>
      </c>
    </row>
    <row r="175" spans="2:36" x14ac:dyDescent="0.25">
      <c r="B175" t="s">
        <v>88</v>
      </c>
      <c r="C175" t="s">
        <v>88</v>
      </c>
      <c r="D175" t="s">
        <v>88</v>
      </c>
      <c r="E175" t="s">
        <v>88</v>
      </c>
      <c r="F175" t="s">
        <v>88</v>
      </c>
      <c r="G175" t="s">
        <v>88</v>
      </c>
      <c r="H175" t="s">
        <v>88</v>
      </c>
      <c r="I175" t="s">
        <v>88</v>
      </c>
      <c r="J175" t="s">
        <v>88</v>
      </c>
      <c r="K175" t="s">
        <v>88</v>
      </c>
      <c r="L175" t="s">
        <v>543</v>
      </c>
      <c r="M175" t="s">
        <v>88</v>
      </c>
      <c r="N175" t="s">
        <v>88</v>
      </c>
      <c r="O175" t="s">
        <v>88</v>
      </c>
      <c r="P175" t="s">
        <v>88</v>
      </c>
      <c r="Q175" t="s">
        <v>88</v>
      </c>
      <c r="R175" t="s">
        <v>88</v>
      </c>
      <c r="S175" t="s">
        <v>88</v>
      </c>
      <c r="T175" t="s">
        <v>88</v>
      </c>
      <c r="U175" t="s">
        <v>88</v>
      </c>
      <c r="V175" t="s">
        <v>88</v>
      </c>
      <c r="W175" t="s">
        <v>89</v>
      </c>
      <c r="X175" t="s">
        <v>88</v>
      </c>
      <c r="Y175" t="s">
        <v>90</v>
      </c>
      <c r="Z175" t="s">
        <v>97</v>
      </c>
      <c r="AA175" t="s">
        <v>88</v>
      </c>
      <c r="AB175" t="s">
        <v>88</v>
      </c>
      <c r="AC175" t="s">
        <v>88</v>
      </c>
      <c r="AD175" t="s">
        <v>88</v>
      </c>
      <c r="AE175" t="str">
        <f>HYPERLINK("file:///C:/rest_photo/Pizza Real, Yeşilyurt (Tecde Mah.).jpg","Pizza Real, Yeşilyurt (Tecde Mah.)")</f>
        <v>Pizza Real, Yeşilyurt (Tecde Mah.)</v>
      </c>
      <c r="AF175" t="s">
        <v>403</v>
      </c>
      <c r="AG175" t="s">
        <v>212</v>
      </c>
      <c r="AH175" t="s">
        <v>88</v>
      </c>
      <c r="AI175" t="s">
        <v>88</v>
      </c>
      <c r="AJ175" t="s">
        <v>92</v>
      </c>
    </row>
    <row r="176" spans="2:36" x14ac:dyDescent="0.25">
      <c r="B176" t="s">
        <v>88</v>
      </c>
      <c r="C176" t="s">
        <v>88</v>
      </c>
      <c r="D176" t="s">
        <v>88</v>
      </c>
      <c r="E176" t="s">
        <v>88</v>
      </c>
      <c r="F176" t="s">
        <v>88</v>
      </c>
      <c r="G176" t="s">
        <v>88</v>
      </c>
      <c r="H176" t="s">
        <v>88</v>
      </c>
      <c r="I176" t="s">
        <v>88</v>
      </c>
      <c r="J176" t="s">
        <v>88</v>
      </c>
      <c r="K176" t="s">
        <v>88</v>
      </c>
      <c r="L176" t="s">
        <v>544</v>
      </c>
      <c r="M176" t="s">
        <v>88</v>
      </c>
      <c r="N176" t="s">
        <v>88</v>
      </c>
      <c r="O176" t="s">
        <v>88</v>
      </c>
      <c r="P176" t="s">
        <v>88</v>
      </c>
      <c r="Q176" t="s">
        <v>88</v>
      </c>
      <c r="R176" t="s">
        <v>88</v>
      </c>
      <c r="S176" t="s">
        <v>88</v>
      </c>
      <c r="T176" t="s">
        <v>88</v>
      </c>
      <c r="U176" t="s">
        <v>88</v>
      </c>
      <c r="V176" t="s">
        <v>88</v>
      </c>
      <c r="W176" t="s">
        <v>89</v>
      </c>
      <c r="X176" t="s">
        <v>88</v>
      </c>
      <c r="Y176" t="s">
        <v>100</v>
      </c>
      <c r="Z176" t="s">
        <v>158</v>
      </c>
      <c r="AA176" t="s">
        <v>88</v>
      </c>
      <c r="AB176" t="s">
        <v>88</v>
      </c>
      <c r="AC176" t="s">
        <v>88</v>
      </c>
      <c r="AD176" t="s">
        <v>88</v>
      </c>
      <c r="AE176" t="str">
        <f>HYPERLINK("file:///C:/rest_photo/Pizzatalia, Battalgazi (Paşaköşkü Mah.).jpg","Pizzatalia, Battalgazi (Paşaköşkü Mah.)")</f>
        <v>Pizzatalia, Battalgazi (Paşaköşkü Mah.)</v>
      </c>
      <c r="AF176" t="s">
        <v>81</v>
      </c>
      <c r="AG176" t="s">
        <v>212</v>
      </c>
      <c r="AH176" t="s">
        <v>88</v>
      </c>
      <c r="AI176" t="s">
        <v>88</v>
      </c>
      <c r="AJ176" t="s">
        <v>92</v>
      </c>
    </row>
    <row r="177" spans="2:36" x14ac:dyDescent="0.25">
      <c r="B177" t="s">
        <v>88</v>
      </c>
      <c r="C177" t="s">
        <v>88</v>
      </c>
      <c r="D177" t="s">
        <v>88</v>
      </c>
      <c r="E177" t="s">
        <v>88</v>
      </c>
      <c r="F177" t="s">
        <v>88</v>
      </c>
      <c r="G177" t="s">
        <v>88</v>
      </c>
      <c r="H177" t="s">
        <v>88</v>
      </c>
      <c r="I177" t="s">
        <v>88</v>
      </c>
      <c r="J177" t="s">
        <v>88</v>
      </c>
      <c r="K177" t="s">
        <v>88</v>
      </c>
      <c r="L177" t="s">
        <v>348</v>
      </c>
      <c r="M177" t="s">
        <v>88</v>
      </c>
      <c r="N177" t="s">
        <v>88</v>
      </c>
      <c r="O177" t="s">
        <v>88</v>
      </c>
      <c r="P177" t="s">
        <v>88</v>
      </c>
      <c r="Q177" t="s">
        <v>88</v>
      </c>
      <c r="R177" t="s">
        <v>88</v>
      </c>
      <c r="S177" t="s">
        <v>88</v>
      </c>
      <c r="T177" t="s">
        <v>88</v>
      </c>
      <c r="U177" t="s">
        <v>88</v>
      </c>
      <c r="V177" t="s">
        <v>88</v>
      </c>
      <c r="W177" t="s">
        <v>89</v>
      </c>
      <c r="X177" t="s">
        <v>88</v>
      </c>
      <c r="Y177" t="s">
        <v>90</v>
      </c>
      <c r="Z177" t="s">
        <v>94</v>
      </c>
      <c r="AA177" t="s">
        <v>88</v>
      </c>
      <c r="AB177" t="s">
        <v>88</v>
      </c>
      <c r="AC177" t="s">
        <v>88</v>
      </c>
      <c r="AD177" t="s">
        <v>88</v>
      </c>
      <c r="AE177" t="str">
        <f>HYPERLINK("file:///C:/rest_photo/Popeyes, Yeşilyurt (İnönü Mah. - Malatya Park Avm).jpg","Popeyes, Yeşilyurt (İnönü Mah. - Malatya Park Avm)")</f>
        <v>Popeyes, Yeşilyurt (İnönü Mah. - Malatya Park Avm)</v>
      </c>
      <c r="AF177" t="s">
        <v>502</v>
      </c>
      <c r="AG177" t="s">
        <v>348</v>
      </c>
      <c r="AH177" t="s">
        <v>88</v>
      </c>
      <c r="AI177" t="s">
        <v>88</v>
      </c>
      <c r="AJ177" t="s">
        <v>92</v>
      </c>
    </row>
    <row r="178" spans="2:36" x14ac:dyDescent="0.25">
      <c r="B178" t="s">
        <v>88</v>
      </c>
      <c r="C178" t="s">
        <v>88</v>
      </c>
      <c r="D178" t="s">
        <v>88</v>
      </c>
      <c r="E178" t="s">
        <v>88</v>
      </c>
      <c r="F178" t="s">
        <v>88</v>
      </c>
      <c r="G178" t="s">
        <v>88</v>
      </c>
      <c r="H178" t="s">
        <v>88</v>
      </c>
      <c r="I178" t="s">
        <v>88</v>
      </c>
      <c r="J178" t="s">
        <v>88</v>
      </c>
      <c r="K178" t="s">
        <v>88</v>
      </c>
      <c r="L178" t="s">
        <v>545</v>
      </c>
      <c r="M178" t="s">
        <v>88</v>
      </c>
      <c r="N178" t="s">
        <v>88</v>
      </c>
      <c r="O178" t="s">
        <v>88</v>
      </c>
      <c r="P178" t="s">
        <v>88</v>
      </c>
      <c r="Q178" t="s">
        <v>88</v>
      </c>
      <c r="R178" t="s">
        <v>88</v>
      </c>
      <c r="S178" t="s">
        <v>88</v>
      </c>
      <c r="T178" t="s">
        <v>88</v>
      </c>
      <c r="U178" t="s">
        <v>88</v>
      </c>
      <c r="V178" t="s">
        <v>88</v>
      </c>
      <c r="W178" t="s">
        <v>89</v>
      </c>
      <c r="X178" t="s">
        <v>88</v>
      </c>
      <c r="Y178" t="s">
        <v>90</v>
      </c>
      <c r="Z178" t="s">
        <v>109</v>
      </c>
      <c r="AA178" t="s">
        <v>88</v>
      </c>
      <c r="AB178" t="s">
        <v>88</v>
      </c>
      <c r="AC178" t="s">
        <v>88</v>
      </c>
      <c r="AD178" t="s">
        <v>88</v>
      </c>
      <c r="AE178" t="str">
        <f>HYPERLINK("file:///C:/rest_photo/Royal Pizza &amp; Burger, Yeşilyurt (Bostanbaşı Mah.).jpg","Royal Pizza &amp; Burger, Yeşilyurt (Bostanbaşı Mah.)")</f>
        <v>Royal Pizza &amp; Burger, Yeşilyurt (Bostanbaşı Mah.)</v>
      </c>
      <c r="AF178" t="s">
        <v>403</v>
      </c>
      <c r="AG178" t="s">
        <v>212</v>
      </c>
      <c r="AH178" t="s">
        <v>88</v>
      </c>
      <c r="AI178" t="s">
        <v>88</v>
      </c>
      <c r="AJ178" t="s">
        <v>92</v>
      </c>
    </row>
    <row r="179" spans="2:36" x14ac:dyDescent="0.25">
      <c r="B179" t="s">
        <v>88</v>
      </c>
      <c r="C179" t="s">
        <v>88</v>
      </c>
      <c r="D179" t="s">
        <v>88</v>
      </c>
      <c r="E179" t="s">
        <v>88</v>
      </c>
      <c r="F179" t="s">
        <v>88</v>
      </c>
      <c r="G179" t="s">
        <v>88</v>
      </c>
      <c r="H179" t="s">
        <v>88</v>
      </c>
      <c r="I179" t="s">
        <v>88</v>
      </c>
      <c r="J179" t="s">
        <v>88</v>
      </c>
      <c r="K179" t="s">
        <v>88</v>
      </c>
      <c r="L179" t="s">
        <v>546</v>
      </c>
      <c r="M179" t="s">
        <v>88</v>
      </c>
      <c r="N179" t="s">
        <v>88</v>
      </c>
      <c r="O179" t="s">
        <v>88</v>
      </c>
      <c r="P179" t="s">
        <v>88</v>
      </c>
      <c r="Q179" t="s">
        <v>88</v>
      </c>
      <c r="R179" t="s">
        <v>88</v>
      </c>
      <c r="S179" t="s">
        <v>88</v>
      </c>
      <c r="T179" t="s">
        <v>88</v>
      </c>
      <c r="U179" t="s">
        <v>88</v>
      </c>
      <c r="V179" t="s">
        <v>88</v>
      </c>
      <c r="W179" t="s">
        <v>89</v>
      </c>
      <c r="X179" t="s">
        <v>88</v>
      </c>
      <c r="Y179" t="s">
        <v>90</v>
      </c>
      <c r="Z179" t="s">
        <v>304</v>
      </c>
      <c r="AA179" t="s">
        <v>88</v>
      </c>
      <c r="AB179" t="s">
        <v>88</v>
      </c>
      <c r="AC179" t="s">
        <v>88</v>
      </c>
      <c r="AD179" t="s">
        <v>88</v>
      </c>
      <c r="AE179" t="str">
        <f>HYPERLINK("file:///C:/rest_photo/Saka Su, Yeşilyurt (Yakınca Mah.).jpg","Saka Su, Yeşilyurt (Yakınca Mah.)")</f>
        <v>Saka Su, Yeşilyurt (Yakınca Mah.)</v>
      </c>
      <c r="AF179" t="s">
        <v>547</v>
      </c>
      <c r="AG179" t="s">
        <v>351</v>
      </c>
      <c r="AH179" t="s">
        <v>88</v>
      </c>
      <c r="AI179" t="s">
        <v>88</v>
      </c>
      <c r="AJ179" t="s">
        <v>92</v>
      </c>
    </row>
    <row r="180" spans="2:36" x14ac:dyDescent="0.25">
      <c r="B180" t="s">
        <v>88</v>
      </c>
      <c r="C180" t="s">
        <v>88</v>
      </c>
      <c r="D180" t="s">
        <v>88</v>
      </c>
      <c r="E180" t="s">
        <v>88</v>
      </c>
      <c r="F180" t="s">
        <v>88</v>
      </c>
      <c r="G180" t="s">
        <v>88</v>
      </c>
      <c r="H180" t="s">
        <v>88</v>
      </c>
      <c r="I180" t="s">
        <v>88</v>
      </c>
      <c r="J180" t="s">
        <v>88</v>
      </c>
      <c r="K180" t="s">
        <v>88</v>
      </c>
      <c r="L180" t="s">
        <v>548</v>
      </c>
      <c r="M180" t="s">
        <v>88</v>
      </c>
      <c r="N180" t="s">
        <v>88</v>
      </c>
      <c r="O180" t="s">
        <v>88</v>
      </c>
      <c r="P180" t="s">
        <v>88</v>
      </c>
      <c r="Q180" t="s">
        <v>88</v>
      </c>
      <c r="R180" t="s">
        <v>88</v>
      </c>
      <c r="S180" t="s">
        <v>88</v>
      </c>
      <c r="T180" t="s">
        <v>88</v>
      </c>
      <c r="U180" t="s">
        <v>88</v>
      </c>
      <c r="V180" t="s">
        <v>88</v>
      </c>
      <c r="W180" t="s">
        <v>89</v>
      </c>
      <c r="X180" t="s">
        <v>88</v>
      </c>
      <c r="Y180" t="s">
        <v>90</v>
      </c>
      <c r="Z180" t="s">
        <v>353</v>
      </c>
      <c r="AA180" t="s">
        <v>88</v>
      </c>
      <c r="AB180" t="s">
        <v>88</v>
      </c>
      <c r="AC180" t="s">
        <v>88</v>
      </c>
      <c r="AD180" t="s">
        <v>88</v>
      </c>
      <c r="AE180" t="str">
        <f>HYPERLINK("file:///C:/rest_photo/Sandal Mangal Balık &amp; Tavuk, Yeşilyurt (Aşağıbağlar Mah. - Kuyuönü).jpg","Sandal Mangal Balık &amp; Tavuk, Yeşilyurt (Aşağıbağlar Mah. - Kuyuönü)")</f>
        <v>Sandal Mangal Balık &amp; Tavuk, Yeşilyurt (Aşağıbağlar Mah. - Kuyuönü)</v>
      </c>
      <c r="AF180" t="s">
        <v>440</v>
      </c>
      <c r="AG180" t="s">
        <v>127</v>
      </c>
      <c r="AH180" t="s">
        <v>88</v>
      </c>
      <c r="AI180" t="s">
        <v>88</v>
      </c>
      <c r="AJ180" t="s">
        <v>92</v>
      </c>
    </row>
    <row r="181" spans="2:36" x14ac:dyDescent="0.25">
      <c r="B181" t="s">
        <v>88</v>
      </c>
      <c r="C181" t="s">
        <v>88</v>
      </c>
      <c r="D181" t="s">
        <v>88</v>
      </c>
      <c r="E181" t="s">
        <v>88</v>
      </c>
      <c r="F181" t="s">
        <v>88</v>
      </c>
      <c r="G181" t="s">
        <v>88</v>
      </c>
      <c r="H181" t="s">
        <v>88</v>
      </c>
      <c r="I181" t="s">
        <v>88</v>
      </c>
      <c r="J181" t="s">
        <v>88</v>
      </c>
      <c r="K181" t="s">
        <v>88</v>
      </c>
      <c r="L181" t="s">
        <v>549</v>
      </c>
      <c r="M181" t="s">
        <v>88</v>
      </c>
      <c r="N181" t="s">
        <v>88</v>
      </c>
      <c r="O181" t="s">
        <v>88</v>
      </c>
      <c r="P181" t="s">
        <v>88</v>
      </c>
      <c r="Q181" t="s">
        <v>88</v>
      </c>
      <c r="R181" t="s">
        <v>88</v>
      </c>
      <c r="S181" t="s">
        <v>88</v>
      </c>
      <c r="T181" t="s">
        <v>88</v>
      </c>
      <c r="U181" t="s">
        <v>88</v>
      </c>
      <c r="V181" t="s">
        <v>88</v>
      </c>
      <c r="W181" t="s">
        <v>89</v>
      </c>
      <c r="X181" t="s">
        <v>88</v>
      </c>
      <c r="Y181" t="s">
        <v>90</v>
      </c>
      <c r="Z181" t="s">
        <v>166</v>
      </c>
      <c r="AA181" t="s">
        <v>88</v>
      </c>
      <c r="AB181" t="s">
        <v>88</v>
      </c>
      <c r="AC181" t="s">
        <v>88</v>
      </c>
      <c r="AD181" t="s">
        <v>88</v>
      </c>
      <c r="AE181" t="str">
        <f>HYPERLINK("file:///C:/rest_photo/Saray Lahmacun Pide &amp; Izgara, Yeşilyurt (Cevatpaşa Mah. - Makro Avm).jpg","Saray Lahmacun Pide &amp; Izgara, Yeşilyurt (Cevatpaşa Mah. - Makro Avm)")</f>
        <v>Saray Lahmacun Pide &amp; Izgara, Yeşilyurt (Cevatpaşa Mah. - Makro Avm)</v>
      </c>
      <c r="AF181" t="s">
        <v>81</v>
      </c>
      <c r="AG181" t="s">
        <v>143</v>
      </c>
      <c r="AH181" t="s">
        <v>88</v>
      </c>
      <c r="AI181" t="s">
        <v>88</v>
      </c>
      <c r="AJ181" t="s">
        <v>92</v>
      </c>
    </row>
    <row r="182" spans="2:36" x14ac:dyDescent="0.25">
      <c r="B182" t="s">
        <v>88</v>
      </c>
      <c r="C182" t="s">
        <v>88</v>
      </c>
      <c r="D182" t="s">
        <v>88</v>
      </c>
      <c r="E182" t="s">
        <v>88</v>
      </c>
      <c r="F182" t="s">
        <v>88</v>
      </c>
      <c r="G182" t="s">
        <v>88</v>
      </c>
      <c r="H182" t="s">
        <v>88</v>
      </c>
      <c r="I182" t="s">
        <v>88</v>
      </c>
      <c r="J182" t="s">
        <v>88</v>
      </c>
      <c r="K182" t="s">
        <v>88</v>
      </c>
      <c r="L182" t="s">
        <v>550</v>
      </c>
      <c r="M182" t="s">
        <v>88</v>
      </c>
      <c r="N182" t="s">
        <v>88</v>
      </c>
      <c r="O182" t="s">
        <v>88</v>
      </c>
      <c r="P182" t="s">
        <v>88</v>
      </c>
      <c r="Q182" t="s">
        <v>88</v>
      </c>
      <c r="R182" t="s">
        <v>88</v>
      </c>
      <c r="S182" t="s">
        <v>88</v>
      </c>
      <c r="T182" t="s">
        <v>88</v>
      </c>
      <c r="U182" t="s">
        <v>88</v>
      </c>
      <c r="V182" t="s">
        <v>88</v>
      </c>
      <c r="W182" t="s">
        <v>89</v>
      </c>
      <c r="X182" t="s">
        <v>88</v>
      </c>
      <c r="Y182" t="s">
        <v>90</v>
      </c>
      <c r="Z182" t="s">
        <v>356</v>
      </c>
      <c r="AA182" t="s">
        <v>88</v>
      </c>
      <c r="AB182" t="s">
        <v>88</v>
      </c>
      <c r="AC182" t="s">
        <v>88</v>
      </c>
      <c r="AD182" t="s">
        <v>88</v>
      </c>
      <c r="AE182" t="str">
        <f>HYPERLINK("file:///C:/rest_photo/Sedir Kebap Kavurma &amp; Ciğer, Yeşilyurt (Koşu Mah.).jpg","Sedir Kebap Kavurma &amp; Ciğer, Yeşilyurt (Koşu Mah.)")</f>
        <v>Sedir Kebap Kavurma &amp; Ciğer, Yeşilyurt (Koşu Mah.)</v>
      </c>
      <c r="AF182" t="s">
        <v>421</v>
      </c>
      <c r="AG182" t="s">
        <v>103</v>
      </c>
      <c r="AH182" t="s">
        <v>88</v>
      </c>
      <c r="AI182" t="s">
        <v>88</v>
      </c>
      <c r="AJ182" t="s">
        <v>92</v>
      </c>
    </row>
    <row r="183" spans="2:36" x14ac:dyDescent="0.25">
      <c r="B183" t="s">
        <v>88</v>
      </c>
      <c r="C183" t="s">
        <v>88</v>
      </c>
      <c r="D183" t="s">
        <v>88</v>
      </c>
      <c r="E183" t="s">
        <v>88</v>
      </c>
      <c r="F183" t="s">
        <v>88</v>
      </c>
      <c r="G183" t="s">
        <v>88</v>
      </c>
      <c r="H183" t="s">
        <v>88</v>
      </c>
      <c r="I183" t="s">
        <v>88</v>
      </c>
      <c r="J183" t="s">
        <v>88</v>
      </c>
      <c r="K183" t="s">
        <v>88</v>
      </c>
      <c r="L183" t="s">
        <v>551</v>
      </c>
      <c r="M183" t="s">
        <v>88</v>
      </c>
      <c r="N183" t="s">
        <v>88</v>
      </c>
      <c r="O183" t="s">
        <v>88</v>
      </c>
      <c r="P183" t="s">
        <v>88</v>
      </c>
      <c r="Q183" t="s">
        <v>88</v>
      </c>
      <c r="R183" t="s">
        <v>88</v>
      </c>
      <c r="S183" t="s">
        <v>88</v>
      </c>
      <c r="T183" t="s">
        <v>88</v>
      </c>
      <c r="U183" t="s">
        <v>88</v>
      </c>
      <c r="V183" t="s">
        <v>88</v>
      </c>
      <c r="W183" t="s">
        <v>89</v>
      </c>
      <c r="X183" t="s">
        <v>88</v>
      </c>
      <c r="Y183" t="s">
        <v>90</v>
      </c>
      <c r="Z183" t="s">
        <v>323</v>
      </c>
      <c r="AA183" t="s">
        <v>88</v>
      </c>
      <c r="AB183" t="s">
        <v>88</v>
      </c>
      <c r="AC183" t="s">
        <v>88</v>
      </c>
      <c r="AD183" t="s">
        <v>88</v>
      </c>
      <c r="AE183" t="str">
        <f>HYPERLINK("file:///C:/rest_photo/Sivas Köfte, Yeşilyurt (Çukurdere Mah.).jpg","Sivas Köfte, Yeşilyurt (Çukurdere Mah.)")</f>
        <v>Sivas Köfte, Yeşilyurt (Çukurdere Mah.)</v>
      </c>
      <c r="AF183" t="s">
        <v>403</v>
      </c>
      <c r="AG183" t="s">
        <v>208</v>
      </c>
      <c r="AH183" t="s">
        <v>88</v>
      </c>
      <c r="AI183" t="s">
        <v>88</v>
      </c>
      <c r="AJ183" t="s">
        <v>92</v>
      </c>
    </row>
    <row r="184" spans="2:36" x14ac:dyDescent="0.25">
      <c r="B184" t="s">
        <v>88</v>
      </c>
      <c r="C184" t="s">
        <v>88</v>
      </c>
      <c r="D184" t="s">
        <v>88</v>
      </c>
      <c r="E184" t="s">
        <v>88</v>
      </c>
      <c r="F184" t="s">
        <v>88</v>
      </c>
      <c r="G184" t="s">
        <v>88</v>
      </c>
      <c r="H184" t="s">
        <v>88</v>
      </c>
      <c r="I184" t="s">
        <v>88</v>
      </c>
      <c r="J184" t="s">
        <v>88</v>
      </c>
      <c r="K184" t="s">
        <v>88</v>
      </c>
      <c r="L184" t="s">
        <v>552</v>
      </c>
      <c r="M184" t="s">
        <v>88</v>
      </c>
      <c r="N184" t="s">
        <v>88</v>
      </c>
      <c r="O184" t="s">
        <v>88</v>
      </c>
      <c r="P184" t="s">
        <v>88</v>
      </c>
      <c r="Q184" t="s">
        <v>88</v>
      </c>
      <c r="R184" t="s">
        <v>88</v>
      </c>
      <c r="S184" t="s">
        <v>88</v>
      </c>
      <c r="T184" t="s">
        <v>88</v>
      </c>
      <c r="U184" t="s">
        <v>88</v>
      </c>
      <c r="V184" t="s">
        <v>88</v>
      </c>
      <c r="W184" t="s">
        <v>89</v>
      </c>
      <c r="X184" t="s">
        <v>88</v>
      </c>
      <c r="Y184" t="s">
        <v>90</v>
      </c>
      <c r="Z184" t="s">
        <v>109</v>
      </c>
      <c r="AA184" t="s">
        <v>88</v>
      </c>
      <c r="AB184" t="s">
        <v>88</v>
      </c>
      <c r="AC184" t="s">
        <v>88</v>
      </c>
      <c r="AD184" t="s">
        <v>88</v>
      </c>
      <c r="AE184" t="str">
        <f>HYPERLINK("file:///C:/rest_photo/Sofram Lokantası, Yeşilyurt (Bostanbaşı Mah.).jpg","Sofram Lokantası, Yeşilyurt (Bostanbaşı Mah.)")</f>
        <v>Sofram Lokantası, Yeşilyurt (Bostanbaşı Mah.)</v>
      </c>
      <c r="AF184" t="s">
        <v>421</v>
      </c>
      <c r="AG184" t="s">
        <v>103</v>
      </c>
      <c r="AH184" t="s">
        <v>88</v>
      </c>
      <c r="AI184" t="s">
        <v>88</v>
      </c>
      <c r="AJ184" t="s">
        <v>92</v>
      </c>
    </row>
    <row r="185" spans="2:36" x14ac:dyDescent="0.25">
      <c r="B185" t="s">
        <v>88</v>
      </c>
      <c r="C185" t="s">
        <v>88</v>
      </c>
      <c r="D185" t="s">
        <v>88</v>
      </c>
      <c r="E185" t="s">
        <v>88</v>
      </c>
      <c r="F185" t="s">
        <v>88</v>
      </c>
      <c r="G185" t="s">
        <v>88</v>
      </c>
      <c r="H185" t="s">
        <v>88</v>
      </c>
      <c r="I185" t="s">
        <v>88</v>
      </c>
      <c r="J185" t="s">
        <v>88</v>
      </c>
      <c r="K185" t="s">
        <v>88</v>
      </c>
      <c r="L185" t="s">
        <v>553</v>
      </c>
      <c r="M185" t="s">
        <v>88</v>
      </c>
      <c r="N185" t="s">
        <v>88</v>
      </c>
      <c r="O185" t="s">
        <v>88</v>
      </c>
      <c r="P185" t="s">
        <v>88</v>
      </c>
      <c r="Q185" t="s">
        <v>88</v>
      </c>
      <c r="R185" t="s">
        <v>88</v>
      </c>
      <c r="S185" t="s">
        <v>88</v>
      </c>
      <c r="T185" t="s">
        <v>88</v>
      </c>
      <c r="U185" t="s">
        <v>88</v>
      </c>
      <c r="V185" t="s">
        <v>88</v>
      </c>
      <c r="W185" t="s">
        <v>89</v>
      </c>
      <c r="X185" t="s">
        <v>88</v>
      </c>
      <c r="Y185" t="s">
        <v>100</v>
      </c>
      <c r="Z185" t="s">
        <v>246</v>
      </c>
      <c r="AA185" t="s">
        <v>88</v>
      </c>
      <c r="AB185" t="s">
        <v>88</v>
      </c>
      <c r="AC185" t="s">
        <v>88</v>
      </c>
      <c r="AD185" t="s">
        <v>88</v>
      </c>
      <c r="AE185" t="str">
        <f>HYPERLINK("file:///C:/rest_photo/Sortiee Cafe &amp; Restaurant, Battalgazi (İzzetiye Mah. - İnönü Cad.).jpg","Sortiee Cafe &amp; Restaurant, Battalgazi (İzzetiye Mah. - İnönü Cad.)")</f>
        <v>Sortiee Cafe &amp; Restaurant, Battalgazi (İzzetiye Mah. - İnönü Cad.)</v>
      </c>
      <c r="AF185" t="s">
        <v>406</v>
      </c>
      <c r="AG185" t="s">
        <v>173</v>
      </c>
      <c r="AH185" t="s">
        <v>88</v>
      </c>
      <c r="AI185" t="s">
        <v>88</v>
      </c>
      <c r="AJ185" t="s">
        <v>92</v>
      </c>
    </row>
    <row r="186" spans="2:36" x14ac:dyDescent="0.25">
      <c r="B186" t="s">
        <v>88</v>
      </c>
      <c r="C186" t="s">
        <v>88</v>
      </c>
      <c r="D186" t="s">
        <v>88</v>
      </c>
      <c r="E186" t="s">
        <v>88</v>
      </c>
      <c r="F186" t="s">
        <v>88</v>
      </c>
      <c r="G186" t="s">
        <v>88</v>
      </c>
      <c r="H186" t="s">
        <v>88</v>
      </c>
      <c r="I186" t="s">
        <v>88</v>
      </c>
      <c r="J186" t="s">
        <v>88</v>
      </c>
      <c r="K186" t="s">
        <v>88</v>
      </c>
      <c r="L186" t="s">
        <v>554</v>
      </c>
      <c r="M186" t="s">
        <v>88</v>
      </c>
      <c r="N186" t="s">
        <v>88</v>
      </c>
      <c r="O186" t="s">
        <v>88</v>
      </c>
      <c r="P186" t="s">
        <v>88</v>
      </c>
      <c r="Q186" t="s">
        <v>88</v>
      </c>
      <c r="R186" t="s">
        <v>88</v>
      </c>
      <c r="S186" t="s">
        <v>88</v>
      </c>
      <c r="T186" t="s">
        <v>88</v>
      </c>
      <c r="U186" t="s">
        <v>88</v>
      </c>
      <c r="V186" t="s">
        <v>88</v>
      </c>
      <c r="W186" t="s">
        <v>89</v>
      </c>
      <c r="X186" t="s">
        <v>88</v>
      </c>
      <c r="Y186" t="s">
        <v>90</v>
      </c>
      <c r="Z186" t="s">
        <v>91</v>
      </c>
      <c r="AA186" t="s">
        <v>88</v>
      </c>
      <c r="AB186" t="s">
        <v>88</v>
      </c>
      <c r="AC186" t="s">
        <v>88</v>
      </c>
      <c r="AD186" t="s">
        <v>88</v>
      </c>
      <c r="AE186" t="str">
        <f>HYPERLINK("file:///C:/rest_photo/Soykan Vitamin, Yeşilyurt (İnönü Mah. - İnönü Cad.).jpg","Soykan Vitamin, Yeşilyurt (İnönü Mah. - İnönü Cad.)")</f>
        <v>Soykan Vitamin, Yeşilyurt (İnönü Mah. - İnönü Cad.)</v>
      </c>
      <c r="AF186" t="s">
        <v>421</v>
      </c>
      <c r="AG186" t="s">
        <v>176</v>
      </c>
      <c r="AH186" t="s">
        <v>88</v>
      </c>
      <c r="AI186" t="s">
        <v>88</v>
      </c>
      <c r="AJ186" t="s">
        <v>92</v>
      </c>
    </row>
    <row r="187" spans="2:36" x14ac:dyDescent="0.25">
      <c r="B187" t="s">
        <v>88</v>
      </c>
      <c r="C187" t="s">
        <v>88</v>
      </c>
      <c r="D187" t="s">
        <v>88</v>
      </c>
      <c r="E187" t="s">
        <v>88</v>
      </c>
      <c r="F187" t="s">
        <v>88</v>
      </c>
      <c r="G187" t="s">
        <v>88</v>
      </c>
      <c r="H187" t="s">
        <v>88</v>
      </c>
      <c r="I187" t="s">
        <v>88</v>
      </c>
      <c r="J187" t="s">
        <v>88</v>
      </c>
      <c r="K187" t="s">
        <v>88</v>
      </c>
      <c r="L187" t="s">
        <v>554</v>
      </c>
      <c r="M187" t="s">
        <v>88</v>
      </c>
      <c r="N187" t="s">
        <v>88</v>
      </c>
      <c r="O187" t="s">
        <v>88</v>
      </c>
      <c r="P187" t="s">
        <v>88</v>
      </c>
      <c r="Q187" t="s">
        <v>88</v>
      </c>
      <c r="R187" t="s">
        <v>88</v>
      </c>
      <c r="S187" t="s">
        <v>88</v>
      </c>
      <c r="T187" t="s">
        <v>88</v>
      </c>
      <c r="U187" t="s">
        <v>88</v>
      </c>
      <c r="V187" t="s">
        <v>88</v>
      </c>
      <c r="W187" t="s">
        <v>89</v>
      </c>
      <c r="X187" t="s">
        <v>88</v>
      </c>
      <c r="Y187" t="s">
        <v>90</v>
      </c>
      <c r="Z187" t="s">
        <v>362</v>
      </c>
      <c r="AA187" t="s">
        <v>88</v>
      </c>
      <c r="AB187" t="s">
        <v>88</v>
      </c>
      <c r="AC187" t="s">
        <v>88</v>
      </c>
      <c r="AD187" t="s">
        <v>88</v>
      </c>
      <c r="AE187" t="str">
        <f>HYPERLINK("file:///C:/rest_photo/Soykan Vitamin, Yeşilyurt (İnönü Mah. - İnönü Cad. - Vilayet Arkası).jpg","Soykan Vitamin, Yeşilyurt (İnönü Mah. - İnönü Cad. - Vilayet Arkası)")</f>
        <v>Soykan Vitamin, Yeşilyurt (İnönü Mah. - İnönü Cad. - Vilayet Arkası)</v>
      </c>
      <c r="AF187" t="s">
        <v>406</v>
      </c>
      <c r="AG187" t="s">
        <v>176</v>
      </c>
      <c r="AH187" t="s">
        <v>88</v>
      </c>
      <c r="AI187" t="s">
        <v>88</v>
      </c>
      <c r="AJ187" t="s">
        <v>92</v>
      </c>
    </row>
    <row r="188" spans="2:36" x14ac:dyDescent="0.25">
      <c r="B188" t="s">
        <v>88</v>
      </c>
      <c r="C188" t="s">
        <v>88</v>
      </c>
      <c r="D188" t="s">
        <v>88</v>
      </c>
      <c r="E188" t="s">
        <v>88</v>
      </c>
      <c r="F188" t="s">
        <v>88</v>
      </c>
      <c r="G188" t="s">
        <v>88</v>
      </c>
      <c r="H188" t="s">
        <v>88</v>
      </c>
      <c r="I188" t="s">
        <v>88</v>
      </c>
      <c r="J188" t="s">
        <v>88</v>
      </c>
      <c r="K188" t="s">
        <v>88</v>
      </c>
      <c r="L188" t="s">
        <v>364</v>
      </c>
      <c r="M188" t="s">
        <v>88</v>
      </c>
      <c r="N188" t="s">
        <v>88</v>
      </c>
      <c r="O188" t="s">
        <v>88</v>
      </c>
      <c r="P188" t="s">
        <v>88</v>
      </c>
      <c r="Q188" t="s">
        <v>88</v>
      </c>
      <c r="R188" t="s">
        <v>88</v>
      </c>
      <c r="S188" t="s">
        <v>88</v>
      </c>
      <c r="T188" t="s">
        <v>88</v>
      </c>
      <c r="U188" t="s">
        <v>88</v>
      </c>
      <c r="V188" t="s">
        <v>88</v>
      </c>
      <c r="W188" t="s">
        <v>89</v>
      </c>
      <c r="X188" t="s">
        <v>88</v>
      </c>
      <c r="Y188" t="s">
        <v>90</v>
      </c>
      <c r="Z188" t="s">
        <v>113</v>
      </c>
      <c r="AA188" t="s">
        <v>88</v>
      </c>
      <c r="AB188" t="s">
        <v>88</v>
      </c>
      <c r="AC188" t="s">
        <v>88</v>
      </c>
      <c r="AD188" t="s">
        <v>88</v>
      </c>
      <c r="AE188" t="str">
        <f>HYPERLINK("file:///C:/rest_photo/Starbucks Coffee, Yeşilyurt (Çilesiz Mah. - Fahri Kayahan Blv.).jpg","Starbucks Coffee, Yeşilyurt (Çilesiz Mah. - Fahri Kayahan Blv.)")</f>
        <v>Starbucks Coffee, Yeşilyurt (Çilesiz Mah. - Fahri Kayahan Blv.)</v>
      </c>
      <c r="AF188" t="s">
        <v>81</v>
      </c>
      <c r="AG188" t="s">
        <v>364</v>
      </c>
      <c r="AH188" t="s">
        <v>88</v>
      </c>
      <c r="AI188" t="s">
        <v>88</v>
      </c>
      <c r="AJ188" t="s">
        <v>92</v>
      </c>
    </row>
    <row r="189" spans="2:36" x14ac:dyDescent="0.25">
      <c r="B189" t="s">
        <v>88</v>
      </c>
      <c r="C189" t="s">
        <v>88</v>
      </c>
      <c r="D189" t="s">
        <v>88</v>
      </c>
      <c r="E189" t="s">
        <v>88</v>
      </c>
      <c r="F189" t="s">
        <v>88</v>
      </c>
      <c r="G189" t="s">
        <v>88</v>
      </c>
      <c r="H189" t="s">
        <v>88</v>
      </c>
      <c r="I189" t="s">
        <v>88</v>
      </c>
      <c r="J189" t="s">
        <v>88</v>
      </c>
      <c r="K189" t="s">
        <v>88</v>
      </c>
      <c r="L189" t="s">
        <v>555</v>
      </c>
      <c r="M189" t="s">
        <v>88</v>
      </c>
      <c r="N189" t="s">
        <v>88</v>
      </c>
      <c r="O189" t="s">
        <v>88</v>
      </c>
      <c r="P189" t="s">
        <v>88</v>
      </c>
      <c r="Q189" t="s">
        <v>88</v>
      </c>
      <c r="R189" t="s">
        <v>88</v>
      </c>
      <c r="S189" t="s">
        <v>88</v>
      </c>
      <c r="T189" t="s">
        <v>88</v>
      </c>
      <c r="U189" t="s">
        <v>88</v>
      </c>
      <c r="V189" t="s">
        <v>88</v>
      </c>
      <c r="W189" t="s">
        <v>89</v>
      </c>
      <c r="X189" t="s">
        <v>88</v>
      </c>
      <c r="Y189" t="s">
        <v>90</v>
      </c>
      <c r="Z189" t="s">
        <v>113</v>
      </c>
      <c r="AA189" t="s">
        <v>88</v>
      </c>
      <c r="AB189" t="s">
        <v>88</v>
      </c>
      <c r="AC189" t="s">
        <v>88</v>
      </c>
      <c r="AD189" t="s">
        <v>88</v>
      </c>
      <c r="AE189" t="str">
        <f>HYPERLINK("file:///C:/rest_photo/Şampiyon Kokoreç, Yeşilyurt (Çilesiz Mah. - Fahri Kayahan Blv.).jpg","Şampiyon Kokoreç, Yeşilyurt (Çilesiz Mah. - Fahri Kayahan Blv.)")</f>
        <v>Şampiyon Kokoreç, Yeşilyurt (Çilesiz Mah. - Fahri Kayahan Blv.)</v>
      </c>
      <c r="AF189" t="s">
        <v>81</v>
      </c>
      <c r="AG189" t="s">
        <v>199</v>
      </c>
      <c r="AH189" t="s">
        <v>88</v>
      </c>
      <c r="AI189" t="s">
        <v>88</v>
      </c>
      <c r="AJ189" t="s">
        <v>92</v>
      </c>
    </row>
    <row r="190" spans="2:36" x14ac:dyDescent="0.25">
      <c r="B190" t="s">
        <v>88</v>
      </c>
      <c r="C190" t="s">
        <v>88</v>
      </c>
      <c r="D190" t="s">
        <v>88</v>
      </c>
      <c r="E190" t="s">
        <v>88</v>
      </c>
      <c r="F190" t="s">
        <v>88</v>
      </c>
      <c r="G190" t="s">
        <v>88</v>
      </c>
      <c r="H190" t="s">
        <v>88</v>
      </c>
      <c r="I190" t="s">
        <v>88</v>
      </c>
      <c r="J190" t="s">
        <v>88</v>
      </c>
      <c r="K190" t="s">
        <v>88</v>
      </c>
      <c r="L190" t="s">
        <v>556</v>
      </c>
      <c r="M190" t="s">
        <v>88</v>
      </c>
      <c r="N190" t="s">
        <v>88</v>
      </c>
      <c r="O190" t="s">
        <v>88</v>
      </c>
      <c r="P190" t="s">
        <v>88</v>
      </c>
      <c r="Q190" t="s">
        <v>88</v>
      </c>
      <c r="R190" t="s">
        <v>88</v>
      </c>
      <c r="S190" t="s">
        <v>88</v>
      </c>
      <c r="T190" t="s">
        <v>88</v>
      </c>
      <c r="U190" t="s">
        <v>88</v>
      </c>
      <c r="V190" t="s">
        <v>88</v>
      </c>
      <c r="W190" t="s">
        <v>89</v>
      </c>
      <c r="X190" t="s">
        <v>88</v>
      </c>
      <c r="Y190" t="s">
        <v>90</v>
      </c>
      <c r="Z190" t="s">
        <v>97</v>
      </c>
      <c r="AA190" t="s">
        <v>88</v>
      </c>
      <c r="AB190" t="s">
        <v>88</v>
      </c>
      <c r="AC190" t="s">
        <v>88</v>
      </c>
      <c r="AD190" t="s">
        <v>88</v>
      </c>
      <c r="AE190" t="str">
        <f>HYPERLINK("file:///C:/rest_photo/Şehr-i Zade Restaurant, Yeşilyurt (Tecde Mah.).jpg","Şehr-i Zade Restaurant, Yeşilyurt (Tecde Mah.)")</f>
        <v>Şehr-i Zade Restaurant, Yeşilyurt (Tecde Mah.)</v>
      </c>
      <c r="AF190" t="s">
        <v>403</v>
      </c>
      <c r="AG190" t="s">
        <v>103</v>
      </c>
      <c r="AH190" t="s">
        <v>88</v>
      </c>
      <c r="AI190" t="s">
        <v>88</v>
      </c>
      <c r="AJ190" t="s">
        <v>92</v>
      </c>
    </row>
    <row r="191" spans="2:36" x14ac:dyDescent="0.25">
      <c r="B191" t="s">
        <v>88</v>
      </c>
      <c r="C191" t="s">
        <v>88</v>
      </c>
      <c r="D191" t="s">
        <v>88</v>
      </c>
      <c r="E191" t="s">
        <v>88</v>
      </c>
      <c r="F191" t="s">
        <v>88</v>
      </c>
      <c r="G191" t="s">
        <v>88</v>
      </c>
      <c r="H191" t="s">
        <v>88</v>
      </c>
      <c r="I191" t="s">
        <v>88</v>
      </c>
      <c r="J191" t="s">
        <v>88</v>
      </c>
      <c r="K191" t="s">
        <v>88</v>
      </c>
      <c r="L191" t="s">
        <v>557</v>
      </c>
      <c r="M191" t="s">
        <v>88</v>
      </c>
      <c r="N191" t="s">
        <v>88</v>
      </c>
      <c r="O191" t="s">
        <v>88</v>
      </c>
      <c r="P191" t="s">
        <v>88</v>
      </c>
      <c r="Q191" t="s">
        <v>88</v>
      </c>
      <c r="R191" t="s">
        <v>88</v>
      </c>
      <c r="S191" t="s">
        <v>88</v>
      </c>
      <c r="T191" t="s">
        <v>88</v>
      </c>
      <c r="U191" t="s">
        <v>88</v>
      </c>
      <c r="V191" t="s">
        <v>88</v>
      </c>
      <c r="W191" t="s">
        <v>89</v>
      </c>
      <c r="X191" t="s">
        <v>88</v>
      </c>
      <c r="Y191" t="s">
        <v>100</v>
      </c>
      <c r="Z191" t="s">
        <v>368</v>
      </c>
      <c r="AA191" t="s">
        <v>88</v>
      </c>
      <c r="AB191" t="s">
        <v>88</v>
      </c>
      <c r="AC191" t="s">
        <v>88</v>
      </c>
      <c r="AD191" t="s">
        <v>88</v>
      </c>
      <c r="AE191" t="str">
        <f>HYPERLINK("file:///C:/rest_photo/Şelale Kebap, Battalgazi (Tandoğan Mah.).jpg","Şelale Kebap, Battalgazi (Tandoğan Mah.)")</f>
        <v>Şelale Kebap, Battalgazi (Tandoğan Mah.)</v>
      </c>
      <c r="AF191" t="s">
        <v>81</v>
      </c>
      <c r="AG191" t="s">
        <v>103</v>
      </c>
      <c r="AH191" t="s">
        <v>88</v>
      </c>
      <c r="AI191" t="s">
        <v>88</v>
      </c>
      <c r="AJ191" t="s">
        <v>92</v>
      </c>
    </row>
    <row r="192" spans="2:36" x14ac:dyDescent="0.25">
      <c r="B192" t="s">
        <v>88</v>
      </c>
      <c r="C192" t="s">
        <v>88</v>
      </c>
      <c r="D192" t="s">
        <v>88</v>
      </c>
      <c r="E192" t="s">
        <v>88</v>
      </c>
      <c r="F192" t="s">
        <v>88</v>
      </c>
      <c r="G192" t="s">
        <v>88</v>
      </c>
      <c r="H192" t="s">
        <v>88</v>
      </c>
      <c r="I192" t="s">
        <v>88</v>
      </c>
      <c r="J192" t="s">
        <v>88</v>
      </c>
      <c r="K192" t="s">
        <v>88</v>
      </c>
      <c r="L192" t="s">
        <v>558</v>
      </c>
      <c r="M192" t="s">
        <v>88</v>
      </c>
      <c r="N192" t="s">
        <v>88</v>
      </c>
      <c r="O192" t="s">
        <v>88</v>
      </c>
      <c r="P192" t="s">
        <v>88</v>
      </c>
      <c r="Q192" t="s">
        <v>88</v>
      </c>
      <c r="R192" t="s">
        <v>88</v>
      </c>
      <c r="S192" t="s">
        <v>88</v>
      </c>
      <c r="T192" t="s">
        <v>88</v>
      </c>
      <c r="U192" t="s">
        <v>88</v>
      </c>
      <c r="V192" t="s">
        <v>88</v>
      </c>
      <c r="W192" t="s">
        <v>89</v>
      </c>
      <c r="X192" t="s">
        <v>88</v>
      </c>
      <c r="Y192" t="s">
        <v>90</v>
      </c>
      <c r="Z192" t="s">
        <v>97</v>
      </c>
      <c r="AA192" t="s">
        <v>88</v>
      </c>
      <c r="AB192" t="s">
        <v>88</v>
      </c>
      <c r="AC192" t="s">
        <v>88</v>
      </c>
      <c r="AD192" t="s">
        <v>88</v>
      </c>
      <c r="AE192" t="str">
        <f>HYPERLINK("file:///C:/rest_photo/Şems-i Kahve, Yeşilyurt (Tecde Mah.).jpg","Şems-i Kahve, Yeşilyurt (Tecde Mah.)")</f>
        <v>Şems-i Kahve, Yeşilyurt (Tecde Mah.)</v>
      </c>
      <c r="AF192" t="s">
        <v>403</v>
      </c>
      <c r="AG192" t="s">
        <v>103</v>
      </c>
      <c r="AH192" t="s">
        <v>88</v>
      </c>
      <c r="AI192" t="s">
        <v>88</v>
      </c>
      <c r="AJ192" t="s">
        <v>92</v>
      </c>
    </row>
    <row r="193" spans="2:36" x14ac:dyDescent="0.25">
      <c r="B193" t="s">
        <v>88</v>
      </c>
      <c r="C193" t="s">
        <v>88</v>
      </c>
      <c r="D193" t="s">
        <v>88</v>
      </c>
      <c r="E193" t="s">
        <v>88</v>
      </c>
      <c r="F193" t="s">
        <v>88</v>
      </c>
      <c r="G193" t="s">
        <v>88</v>
      </c>
      <c r="H193" t="s">
        <v>88</v>
      </c>
      <c r="I193" t="s">
        <v>88</v>
      </c>
      <c r="J193" t="s">
        <v>88</v>
      </c>
      <c r="K193" t="s">
        <v>88</v>
      </c>
      <c r="L193" t="s">
        <v>559</v>
      </c>
      <c r="M193" t="s">
        <v>88</v>
      </c>
      <c r="N193" t="s">
        <v>88</v>
      </c>
      <c r="O193" t="s">
        <v>88</v>
      </c>
      <c r="P193" t="s">
        <v>88</v>
      </c>
      <c r="Q193" t="s">
        <v>88</v>
      </c>
      <c r="R193" t="s">
        <v>88</v>
      </c>
      <c r="S193" t="s">
        <v>88</v>
      </c>
      <c r="T193" t="s">
        <v>88</v>
      </c>
      <c r="U193" t="s">
        <v>88</v>
      </c>
      <c r="V193" t="s">
        <v>88</v>
      </c>
      <c r="W193" t="s">
        <v>89</v>
      </c>
      <c r="X193" t="s">
        <v>88</v>
      </c>
      <c r="Y193" t="s">
        <v>90</v>
      </c>
      <c r="Z193" t="s">
        <v>371</v>
      </c>
      <c r="AA193" t="s">
        <v>88</v>
      </c>
      <c r="AB193" t="s">
        <v>88</v>
      </c>
      <c r="AC193" t="s">
        <v>88</v>
      </c>
      <c r="AD193" t="s">
        <v>88</v>
      </c>
      <c r="AE193" t="str">
        <f>HYPERLINK("file:///C:/rest_photo/Şölen Çiğ Köfte, Yeşilyurt (Cemalgürsel Mah.).jpg","Şölen Çiğ Köfte, Yeşilyurt (Cemalgürsel Mah.)")</f>
        <v>Şölen Çiğ Köfte, Yeşilyurt (Cemalgürsel Mah.)</v>
      </c>
      <c r="AF193" t="s">
        <v>403</v>
      </c>
      <c r="AG193" t="s">
        <v>106</v>
      </c>
      <c r="AH193" t="s">
        <v>88</v>
      </c>
      <c r="AI193" t="s">
        <v>88</v>
      </c>
      <c r="AJ193" t="s">
        <v>92</v>
      </c>
    </row>
    <row r="194" spans="2:36" x14ac:dyDescent="0.25">
      <c r="B194" t="s">
        <v>88</v>
      </c>
      <c r="C194" t="s">
        <v>88</v>
      </c>
      <c r="D194" t="s">
        <v>88</v>
      </c>
      <c r="E194" t="s">
        <v>88</v>
      </c>
      <c r="F194" t="s">
        <v>88</v>
      </c>
      <c r="G194" t="s">
        <v>88</v>
      </c>
      <c r="H194" t="s">
        <v>88</v>
      </c>
      <c r="I194" t="s">
        <v>88</v>
      </c>
      <c r="J194" t="s">
        <v>88</v>
      </c>
      <c r="K194" t="s">
        <v>88</v>
      </c>
      <c r="L194" t="s">
        <v>560</v>
      </c>
      <c r="M194" t="s">
        <v>88</v>
      </c>
      <c r="N194" t="s">
        <v>88</v>
      </c>
      <c r="O194" t="s">
        <v>88</v>
      </c>
      <c r="P194" t="s">
        <v>88</v>
      </c>
      <c r="Q194" t="s">
        <v>88</v>
      </c>
      <c r="R194" t="s">
        <v>88</v>
      </c>
      <c r="S194" t="s">
        <v>88</v>
      </c>
      <c r="T194" t="s">
        <v>88</v>
      </c>
      <c r="U194" t="s">
        <v>88</v>
      </c>
      <c r="V194" t="s">
        <v>88</v>
      </c>
      <c r="W194" t="s">
        <v>89</v>
      </c>
      <c r="X194" t="s">
        <v>88</v>
      </c>
      <c r="Y194" t="s">
        <v>100</v>
      </c>
      <c r="Z194" t="s">
        <v>373</v>
      </c>
      <c r="AA194" t="s">
        <v>88</v>
      </c>
      <c r="AB194" t="s">
        <v>88</v>
      </c>
      <c r="AC194" t="s">
        <v>88</v>
      </c>
      <c r="AD194" t="s">
        <v>88</v>
      </c>
      <c r="AE194" t="str">
        <f>HYPERLINK("file:///C:/rest_photo/Tabakta Tavuk, Battalgazi (İstiklal Mah.).jpg","Tabakta Tavuk, Battalgazi (İstiklal Mah.)")</f>
        <v>Tabakta Tavuk, Battalgazi (İstiklal Mah.)</v>
      </c>
      <c r="AF194" t="s">
        <v>403</v>
      </c>
      <c r="AG194" t="s">
        <v>183</v>
      </c>
      <c r="AH194" t="s">
        <v>88</v>
      </c>
      <c r="AI194" t="s">
        <v>88</v>
      </c>
      <c r="AJ194" t="s">
        <v>92</v>
      </c>
    </row>
    <row r="195" spans="2:36" x14ac:dyDescent="0.25">
      <c r="B195" t="s">
        <v>88</v>
      </c>
      <c r="C195" t="s">
        <v>88</v>
      </c>
      <c r="D195" t="s">
        <v>88</v>
      </c>
      <c r="E195" t="s">
        <v>88</v>
      </c>
      <c r="F195" t="s">
        <v>88</v>
      </c>
      <c r="G195" t="s">
        <v>88</v>
      </c>
      <c r="H195" t="s">
        <v>88</v>
      </c>
      <c r="I195" t="s">
        <v>88</v>
      </c>
      <c r="J195" t="s">
        <v>88</v>
      </c>
      <c r="K195" t="s">
        <v>88</v>
      </c>
      <c r="L195" t="s">
        <v>561</v>
      </c>
      <c r="M195" t="s">
        <v>88</v>
      </c>
      <c r="N195" t="s">
        <v>88</v>
      </c>
      <c r="O195" t="s">
        <v>88</v>
      </c>
      <c r="P195" t="s">
        <v>88</v>
      </c>
      <c r="Q195" t="s">
        <v>88</v>
      </c>
      <c r="R195" t="s">
        <v>88</v>
      </c>
      <c r="S195" t="s">
        <v>88</v>
      </c>
      <c r="T195" t="s">
        <v>88</v>
      </c>
      <c r="U195" t="s">
        <v>88</v>
      </c>
      <c r="V195" t="s">
        <v>88</v>
      </c>
      <c r="W195" t="s">
        <v>89</v>
      </c>
      <c r="X195" t="s">
        <v>88</v>
      </c>
      <c r="Y195" t="s">
        <v>100</v>
      </c>
      <c r="Z195" t="s">
        <v>163</v>
      </c>
      <c r="AA195" t="s">
        <v>88</v>
      </c>
      <c r="AB195" t="s">
        <v>88</v>
      </c>
      <c r="AC195" t="s">
        <v>88</v>
      </c>
      <c r="AD195" t="s">
        <v>88</v>
      </c>
      <c r="AE195" t="str">
        <f>HYPERLINK("file:///C:/rest_photo/Tarihi Lale Lokantası, Battalgazi (Yenihamam Mah.).jpg","Tarihi Lale Lokantası, Battalgazi (Yenihamam Mah.)")</f>
        <v>Tarihi Lale Lokantası, Battalgazi (Yenihamam Mah.)</v>
      </c>
      <c r="AF195" t="s">
        <v>81</v>
      </c>
      <c r="AG195" t="s">
        <v>103</v>
      </c>
      <c r="AH195" t="s">
        <v>88</v>
      </c>
      <c r="AI195" t="s">
        <v>88</v>
      </c>
      <c r="AJ195" t="s">
        <v>92</v>
      </c>
    </row>
    <row r="196" spans="2:36" x14ac:dyDescent="0.25">
      <c r="B196" t="s">
        <v>88</v>
      </c>
      <c r="C196" t="s">
        <v>88</v>
      </c>
      <c r="D196" t="s">
        <v>88</v>
      </c>
      <c r="E196" t="s">
        <v>88</v>
      </c>
      <c r="F196" t="s">
        <v>88</v>
      </c>
      <c r="G196" t="s">
        <v>88</v>
      </c>
      <c r="H196" t="s">
        <v>88</v>
      </c>
      <c r="I196" t="s">
        <v>88</v>
      </c>
      <c r="J196" t="s">
        <v>88</v>
      </c>
      <c r="K196" t="s">
        <v>88</v>
      </c>
      <c r="L196" t="s">
        <v>562</v>
      </c>
      <c r="M196" t="s">
        <v>88</v>
      </c>
      <c r="N196" t="s">
        <v>88</v>
      </c>
      <c r="O196" t="s">
        <v>88</v>
      </c>
      <c r="P196" t="s">
        <v>88</v>
      </c>
      <c r="Q196" t="s">
        <v>88</v>
      </c>
      <c r="R196" t="s">
        <v>88</v>
      </c>
      <c r="S196" t="s">
        <v>88</v>
      </c>
      <c r="T196" t="s">
        <v>88</v>
      </c>
      <c r="U196" t="s">
        <v>88</v>
      </c>
      <c r="V196" t="s">
        <v>88</v>
      </c>
      <c r="W196" t="s">
        <v>89</v>
      </c>
      <c r="X196" t="s">
        <v>88</v>
      </c>
      <c r="Y196" t="s">
        <v>100</v>
      </c>
      <c r="Z196" t="s">
        <v>289</v>
      </c>
      <c r="AA196" t="s">
        <v>88</v>
      </c>
      <c r="AB196" t="s">
        <v>88</v>
      </c>
      <c r="AC196" t="s">
        <v>88</v>
      </c>
      <c r="AD196" t="s">
        <v>88</v>
      </c>
      <c r="AE196" t="str">
        <f>HYPERLINK("file:///C:/rest_photo/Tat Pizza &amp; Mangal, Battalgazi (Çöşnük Mah.).jpg","Tat Pizza &amp; Mangal, Battalgazi (Çöşnük Mah.)")</f>
        <v>Tat Pizza &amp; Mangal, Battalgazi (Çöşnük Mah.)</v>
      </c>
      <c r="AF196" t="s">
        <v>421</v>
      </c>
      <c r="AG196" t="s">
        <v>212</v>
      </c>
      <c r="AH196" t="s">
        <v>88</v>
      </c>
      <c r="AI196" t="s">
        <v>88</v>
      </c>
      <c r="AJ196" t="s">
        <v>92</v>
      </c>
    </row>
    <row r="197" spans="2:36" x14ac:dyDescent="0.25">
      <c r="B197" t="s">
        <v>88</v>
      </c>
      <c r="C197" t="s">
        <v>88</v>
      </c>
      <c r="D197" t="s">
        <v>88</v>
      </c>
      <c r="E197" t="s">
        <v>88</v>
      </c>
      <c r="F197" t="s">
        <v>88</v>
      </c>
      <c r="G197" t="s">
        <v>88</v>
      </c>
      <c r="H197" t="s">
        <v>88</v>
      </c>
      <c r="I197" t="s">
        <v>88</v>
      </c>
      <c r="J197" t="s">
        <v>88</v>
      </c>
      <c r="K197" t="s">
        <v>88</v>
      </c>
      <c r="L197" t="s">
        <v>563</v>
      </c>
      <c r="M197" t="s">
        <v>88</v>
      </c>
      <c r="N197" t="s">
        <v>88</v>
      </c>
      <c r="O197" t="s">
        <v>88</v>
      </c>
      <c r="P197" t="s">
        <v>88</v>
      </c>
      <c r="Q197" t="s">
        <v>88</v>
      </c>
      <c r="R197" t="s">
        <v>88</v>
      </c>
      <c r="S197" t="s">
        <v>88</v>
      </c>
      <c r="T197" t="s">
        <v>88</v>
      </c>
      <c r="U197" t="s">
        <v>88</v>
      </c>
      <c r="V197" t="s">
        <v>88</v>
      </c>
      <c r="W197" t="s">
        <v>89</v>
      </c>
      <c r="X197" t="s">
        <v>88</v>
      </c>
      <c r="Y197" t="s">
        <v>90</v>
      </c>
      <c r="Z197" t="s">
        <v>94</v>
      </c>
      <c r="AA197" t="s">
        <v>88</v>
      </c>
      <c r="AB197" t="s">
        <v>88</v>
      </c>
      <c r="AC197" t="s">
        <v>88</v>
      </c>
      <c r="AD197" t="s">
        <v>88</v>
      </c>
      <c r="AE197" t="str">
        <f>HYPERLINK("file:///C:/rest_photo/Tavada Tavuk, Yeşilyurt (İnönü Mah. - Malatya Park Avm).jpg","Tavada Tavuk, Yeşilyurt (İnönü Mah. - Malatya Park Avm)")</f>
        <v>Tavada Tavuk, Yeşilyurt (İnönü Mah. - Malatya Park Avm)</v>
      </c>
      <c r="AF197" t="s">
        <v>81</v>
      </c>
      <c r="AG197" t="s">
        <v>183</v>
      </c>
      <c r="AH197" t="s">
        <v>88</v>
      </c>
      <c r="AI197" t="s">
        <v>88</v>
      </c>
      <c r="AJ197" t="s">
        <v>92</v>
      </c>
    </row>
    <row r="198" spans="2:36" x14ac:dyDescent="0.25">
      <c r="B198" t="s">
        <v>88</v>
      </c>
      <c r="C198" t="s">
        <v>88</v>
      </c>
      <c r="D198" t="s">
        <v>88</v>
      </c>
      <c r="E198" t="s">
        <v>88</v>
      </c>
      <c r="F198" t="s">
        <v>88</v>
      </c>
      <c r="G198" t="s">
        <v>88</v>
      </c>
      <c r="H198" t="s">
        <v>88</v>
      </c>
      <c r="I198" t="s">
        <v>88</v>
      </c>
      <c r="J198" t="s">
        <v>88</v>
      </c>
      <c r="K198" t="s">
        <v>88</v>
      </c>
      <c r="L198" t="s">
        <v>378</v>
      </c>
      <c r="M198" t="s">
        <v>88</v>
      </c>
      <c r="N198" t="s">
        <v>88</v>
      </c>
      <c r="O198" t="s">
        <v>88</v>
      </c>
      <c r="P198" t="s">
        <v>88</v>
      </c>
      <c r="Q198" t="s">
        <v>88</v>
      </c>
      <c r="R198" t="s">
        <v>88</v>
      </c>
      <c r="S198" t="s">
        <v>88</v>
      </c>
      <c r="T198" t="s">
        <v>88</v>
      </c>
      <c r="U198" t="s">
        <v>88</v>
      </c>
      <c r="V198" t="s">
        <v>88</v>
      </c>
      <c r="W198" t="s">
        <v>89</v>
      </c>
      <c r="X198" t="s">
        <v>88</v>
      </c>
      <c r="Y198" t="s">
        <v>90</v>
      </c>
      <c r="Z198" t="s">
        <v>94</v>
      </c>
      <c r="AA198" t="s">
        <v>88</v>
      </c>
      <c r="AB198" t="s">
        <v>88</v>
      </c>
      <c r="AC198" t="s">
        <v>88</v>
      </c>
      <c r="AD198" t="s">
        <v>88</v>
      </c>
      <c r="AE198" t="str">
        <f>HYPERLINK("file:///C:/rest_photo/Tavuk Dünyası, Yeşilyurt (İnönü Mah. - Malatya Park Avm).jpg","Tavuk Dünyası, Yeşilyurt (İnönü Mah. - Malatya Park Avm)")</f>
        <v>Tavuk Dünyası, Yeşilyurt (İnönü Mah. - Malatya Park Avm)</v>
      </c>
      <c r="AF198" t="s">
        <v>421</v>
      </c>
      <c r="AG198" t="s">
        <v>378</v>
      </c>
      <c r="AH198" t="s">
        <v>88</v>
      </c>
      <c r="AI198" t="s">
        <v>88</v>
      </c>
      <c r="AJ198" t="s">
        <v>92</v>
      </c>
    </row>
    <row r="199" spans="2:36" x14ac:dyDescent="0.25">
      <c r="B199" t="s">
        <v>88</v>
      </c>
      <c r="C199" t="s">
        <v>88</v>
      </c>
      <c r="D199" t="s">
        <v>88</v>
      </c>
      <c r="E199" t="s">
        <v>88</v>
      </c>
      <c r="F199" t="s">
        <v>88</v>
      </c>
      <c r="G199" t="s">
        <v>88</v>
      </c>
      <c r="H199" t="s">
        <v>88</v>
      </c>
      <c r="I199" t="s">
        <v>88</v>
      </c>
      <c r="J199" t="s">
        <v>88</v>
      </c>
      <c r="K199" t="s">
        <v>88</v>
      </c>
      <c r="L199" t="s">
        <v>380</v>
      </c>
      <c r="M199" t="s">
        <v>88</v>
      </c>
      <c r="N199" t="s">
        <v>88</v>
      </c>
      <c r="O199" t="s">
        <v>88</v>
      </c>
      <c r="P199" t="s">
        <v>88</v>
      </c>
      <c r="Q199" t="s">
        <v>88</v>
      </c>
      <c r="R199" t="s">
        <v>88</v>
      </c>
      <c r="S199" t="s">
        <v>88</v>
      </c>
      <c r="T199" t="s">
        <v>88</v>
      </c>
      <c r="U199" t="s">
        <v>88</v>
      </c>
      <c r="V199" t="s">
        <v>88</v>
      </c>
      <c r="W199" t="s">
        <v>89</v>
      </c>
      <c r="X199" t="s">
        <v>88</v>
      </c>
      <c r="Y199" t="s">
        <v>90</v>
      </c>
      <c r="Z199" t="s">
        <v>133</v>
      </c>
      <c r="AA199" t="s">
        <v>88</v>
      </c>
      <c r="AB199" t="s">
        <v>88</v>
      </c>
      <c r="AC199" t="s">
        <v>88</v>
      </c>
      <c r="AD199" t="s">
        <v>88</v>
      </c>
      <c r="AE199" t="str">
        <f>HYPERLINK("file:///C:/rest_photo/Terra Pizza - Pizza Pizza, Yeşilyurt (Karakavak Mah.).jpg","Terra Pizza - Pizza Pizza, Yeşilyurt (Karakavak Mah.)")</f>
        <v>Terra Pizza - Pizza Pizza, Yeşilyurt (Karakavak Mah.)</v>
      </c>
      <c r="AF199" t="s">
        <v>406</v>
      </c>
      <c r="AG199" t="s">
        <v>380</v>
      </c>
      <c r="AH199" t="s">
        <v>88</v>
      </c>
      <c r="AI199" t="s">
        <v>88</v>
      </c>
      <c r="AJ199" t="s">
        <v>92</v>
      </c>
    </row>
    <row r="200" spans="2:36" x14ac:dyDescent="0.25">
      <c r="B200" t="s">
        <v>88</v>
      </c>
      <c r="C200" t="s">
        <v>88</v>
      </c>
      <c r="D200" t="s">
        <v>88</v>
      </c>
      <c r="E200" t="s">
        <v>88</v>
      </c>
      <c r="F200" t="s">
        <v>88</v>
      </c>
      <c r="G200" t="s">
        <v>88</v>
      </c>
      <c r="H200" t="s">
        <v>88</v>
      </c>
      <c r="I200" t="s">
        <v>88</v>
      </c>
      <c r="J200" t="s">
        <v>88</v>
      </c>
      <c r="K200" t="s">
        <v>88</v>
      </c>
      <c r="L200" t="s">
        <v>564</v>
      </c>
      <c r="M200" t="s">
        <v>88</v>
      </c>
      <c r="N200" t="s">
        <v>88</v>
      </c>
      <c r="O200" t="s">
        <v>88</v>
      </c>
      <c r="P200" t="s">
        <v>88</v>
      </c>
      <c r="Q200" t="s">
        <v>88</v>
      </c>
      <c r="R200" t="s">
        <v>88</v>
      </c>
      <c r="S200" t="s">
        <v>88</v>
      </c>
      <c r="T200" t="s">
        <v>88</v>
      </c>
      <c r="U200" t="s">
        <v>88</v>
      </c>
      <c r="V200" t="s">
        <v>88</v>
      </c>
      <c r="W200" t="s">
        <v>89</v>
      </c>
      <c r="X200" t="s">
        <v>88</v>
      </c>
      <c r="Y200" t="s">
        <v>90</v>
      </c>
      <c r="Z200" t="s">
        <v>111</v>
      </c>
      <c r="AA200" t="s">
        <v>88</v>
      </c>
      <c r="AB200" t="s">
        <v>88</v>
      </c>
      <c r="AC200" t="s">
        <v>88</v>
      </c>
      <c r="AD200" t="s">
        <v>88</v>
      </c>
      <c r="AE200" t="str">
        <f>HYPERLINK("file:///C:/rest_photo/Torku Ziyafet Döner, Yeşilyurt (Turgut Özal Mah.).jpg","Torku Ziyafet Döner, Yeşilyurt (Turgut Özal Mah.)")</f>
        <v>Torku Ziyafet Döner, Yeşilyurt (Turgut Özal Mah.)</v>
      </c>
      <c r="AF200" t="s">
        <v>81</v>
      </c>
      <c r="AG200" t="s">
        <v>139</v>
      </c>
      <c r="AH200" t="s">
        <v>88</v>
      </c>
      <c r="AI200" t="s">
        <v>88</v>
      </c>
      <c r="AJ200" t="s">
        <v>92</v>
      </c>
    </row>
    <row r="201" spans="2:36" x14ac:dyDescent="0.25">
      <c r="B201" t="s">
        <v>88</v>
      </c>
      <c r="C201" t="s">
        <v>88</v>
      </c>
      <c r="D201" t="s">
        <v>88</v>
      </c>
      <c r="E201" t="s">
        <v>88</v>
      </c>
      <c r="F201" t="s">
        <v>88</v>
      </c>
      <c r="G201" t="s">
        <v>88</v>
      </c>
      <c r="H201" t="s">
        <v>88</v>
      </c>
      <c r="I201" t="s">
        <v>88</v>
      </c>
      <c r="J201" t="s">
        <v>88</v>
      </c>
      <c r="K201" t="s">
        <v>88</v>
      </c>
      <c r="L201" t="s">
        <v>565</v>
      </c>
      <c r="M201" t="s">
        <v>88</v>
      </c>
      <c r="N201" t="s">
        <v>88</v>
      </c>
      <c r="O201" t="s">
        <v>88</v>
      </c>
      <c r="P201" t="s">
        <v>88</v>
      </c>
      <c r="Q201" t="s">
        <v>88</v>
      </c>
      <c r="R201" t="s">
        <v>88</v>
      </c>
      <c r="S201" t="s">
        <v>88</v>
      </c>
      <c r="T201" t="s">
        <v>88</v>
      </c>
      <c r="U201" t="s">
        <v>88</v>
      </c>
      <c r="V201" t="s">
        <v>88</v>
      </c>
      <c r="W201" t="s">
        <v>89</v>
      </c>
      <c r="X201" t="s">
        <v>88</v>
      </c>
      <c r="Y201" t="s">
        <v>90</v>
      </c>
      <c r="Z201" t="s">
        <v>166</v>
      </c>
      <c r="AA201" t="s">
        <v>88</v>
      </c>
      <c r="AB201" t="s">
        <v>88</v>
      </c>
      <c r="AC201" t="s">
        <v>88</v>
      </c>
      <c r="AD201" t="s">
        <v>88</v>
      </c>
      <c r="AE201" t="str">
        <f>HYPERLINK("file:///C:/rest_photo/Tramvay Köfte 1, Yeşilyurt (Cevatpaşa Mah. - Makro Avm).jpg","Tramvay Köfte 1, Yeşilyurt (Cevatpaşa Mah. - Makro Avm)")</f>
        <v>Tramvay Köfte 1, Yeşilyurt (Cevatpaşa Mah. - Makro Avm)</v>
      </c>
      <c r="AF201" t="s">
        <v>406</v>
      </c>
      <c r="AG201" t="s">
        <v>208</v>
      </c>
      <c r="AH201" t="s">
        <v>88</v>
      </c>
      <c r="AI201" t="s">
        <v>88</v>
      </c>
      <c r="AJ201" t="s">
        <v>92</v>
      </c>
    </row>
    <row r="202" spans="2:36" x14ac:dyDescent="0.25">
      <c r="B202" t="s">
        <v>88</v>
      </c>
      <c r="C202" t="s">
        <v>88</v>
      </c>
      <c r="D202" t="s">
        <v>88</v>
      </c>
      <c r="E202" t="s">
        <v>88</v>
      </c>
      <c r="F202" t="s">
        <v>88</v>
      </c>
      <c r="G202" t="s">
        <v>88</v>
      </c>
      <c r="H202" t="s">
        <v>88</v>
      </c>
      <c r="I202" t="s">
        <v>88</v>
      </c>
      <c r="J202" t="s">
        <v>88</v>
      </c>
      <c r="K202" t="s">
        <v>88</v>
      </c>
      <c r="L202" t="s">
        <v>566</v>
      </c>
      <c r="M202" t="s">
        <v>88</v>
      </c>
      <c r="N202" t="s">
        <v>88</v>
      </c>
      <c r="O202" t="s">
        <v>88</v>
      </c>
      <c r="P202" t="s">
        <v>88</v>
      </c>
      <c r="Q202" t="s">
        <v>88</v>
      </c>
      <c r="R202" t="s">
        <v>88</v>
      </c>
      <c r="S202" t="s">
        <v>88</v>
      </c>
      <c r="T202" t="s">
        <v>88</v>
      </c>
      <c r="U202" t="s">
        <v>88</v>
      </c>
      <c r="V202" t="s">
        <v>88</v>
      </c>
      <c r="W202" t="s">
        <v>89</v>
      </c>
      <c r="X202" t="s">
        <v>88</v>
      </c>
      <c r="Y202" t="s">
        <v>100</v>
      </c>
      <c r="Z202" t="s">
        <v>384</v>
      </c>
      <c r="AA202" t="s">
        <v>88</v>
      </c>
      <c r="AB202" t="s">
        <v>88</v>
      </c>
      <c r="AC202" t="s">
        <v>88</v>
      </c>
      <c r="AD202" t="s">
        <v>88</v>
      </c>
      <c r="AE202" t="str">
        <f>HYPERLINK("file:///C:/rest_photo/Umut Mangal Dünyası, Battalgazi (Aslanbey Mah.).jpg","Umut Mangal Dünyası, Battalgazi (Aslanbey Mah.)")</f>
        <v>Umut Mangal Dünyası, Battalgazi (Aslanbey Mah.)</v>
      </c>
      <c r="AF202" t="s">
        <v>406</v>
      </c>
      <c r="AG202" t="s">
        <v>127</v>
      </c>
      <c r="AH202" t="s">
        <v>88</v>
      </c>
      <c r="AI202" t="s">
        <v>88</v>
      </c>
      <c r="AJ202" t="s">
        <v>92</v>
      </c>
    </row>
    <row r="203" spans="2:36" x14ac:dyDescent="0.25">
      <c r="B203" t="s">
        <v>88</v>
      </c>
      <c r="C203" t="s">
        <v>88</v>
      </c>
      <c r="D203" t="s">
        <v>88</v>
      </c>
      <c r="E203" t="s">
        <v>88</v>
      </c>
      <c r="F203" t="s">
        <v>88</v>
      </c>
      <c r="G203" t="s">
        <v>88</v>
      </c>
      <c r="H203" t="s">
        <v>88</v>
      </c>
      <c r="I203" t="s">
        <v>88</v>
      </c>
      <c r="J203" t="s">
        <v>88</v>
      </c>
      <c r="K203" t="s">
        <v>88</v>
      </c>
      <c r="L203" t="s">
        <v>567</v>
      </c>
      <c r="M203" t="s">
        <v>88</v>
      </c>
      <c r="N203" t="s">
        <v>88</v>
      </c>
      <c r="O203" t="s">
        <v>88</v>
      </c>
      <c r="P203" t="s">
        <v>88</v>
      </c>
      <c r="Q203" t="s">
        <v>88</v>
      </c>
      <c r="R203" t="s">
        <v>88</v>
      </c>
      <c r="S203" t="s">
        <v>88</v>
      </c>
      <c r="T203" t="s">
        <v>88</v>
      </c>
      <c r="U203" t="s">
        <v>88</v>
      </c>
      <c r="V203" t="s">
        <v>88</v>
      </c>
      <c r="W203" t="s">
        <v>89</v>
      </c>
      <c r="X203" t="s">
        <v>88</v>
      </c>
      <c r="Y203" t="s">
        <v>90</v>
      </c>
      <c r="Z203" t="s">
        <v>147</v>
      </c>
      <c r="AA203" t="s">
        <v>88</v>
      </c>
      <c r="AB203" t="s">
        <v>88</v>
      </c>
      <c r="AC203" t="s">
        <v>88</v>
      </c>
      <c r="AD203" t="s">
        <v>88</v>
      </c>
      <c r="AE203" t="str">
        <f>HYPERLINK("file:///C:/rest_photo/Urfa Çiğköfte, Yeşilyurt (Zaviye Mah.).jpg","Urfa Çiğköfte, Yeşilyurt (Zaviye Mah.)")</f>
        <v>Urfa Çiğköfte, Yeşilyurt (Zaviye Mah.)</v>
      </c>
      <c r="AF203" t="s">
        <v>81</v>
      </c>
      <c r="AG203" t="s">
        <v>106</v>
      </c>
      <c r="AH203" t="s">
        <v>88</v>
      </c>
      <c r="AI203" t="s">
        <v>88</v>
      </c>
      <c r="AJ203" t="s">
        <v>92</v>
      </c>
    </row>
    <row r="204" spans="2:36" x14ac:dyDescent="0.25">
      <c r="B204" t="s">
        <v>88</v>
      </c>
      <c r="C204" t="s">
        <v>88</v>
      </c>
      <c r="D204" t="s">
        <v>88</v>
      </c>
      <c r="E204" t="s">
        <v>88</v>
      </c>
      <c r="F204" t="s">
        <v>88</v>
      </c>
      <c r="G204" t="s">
        <v>88</v>
      </c>
      <c r="H204" t="s">
        <v>88</v>
      </c>
      <c r="I204" t="s">
        <v>88</v>
      </c>
      <c r="J204" t="s">
        <v>88</v>
      </c>
      <c r="K204" t="s">
        <v>88</v>
      </c>
      <c r="L204" t="s">
        <v>387</v>
      </c>
      <c r="M204" t="s">
        <v>88</v>
      </c>
      <c r="N204" t="s">
        <v>88</v>
      </c>
      <c r="O204" t="s">
        <v>88</v>
      </c>
      <c r="P204" t="s">
        <v>88</v>
      </c>
      <c r="Q204" t="s">
        <v>88</v>
      </c>
      <c r="R204" t="s">
        <v>88</v>
      </c>
      <c r="S204" t="s">
        <v>88</v>
      </c>
      <c r="T204" t="s">
        <v>88</v>
      </c>
      <c r="U204" t="s">
        <v>88</v>
      </c>
      <c r="V204" t="s">
        <v>88</v>
      </c>
      <c r="W204" t="s">
        <v>89</v>
      </c>
      <c r="X204" t="s">
        <v>88</v>
      </c>
      <c r="Y204" t="s">
        <v>90</v>
      </c>
      <c r="Z204" t="s">
        <v>94</v>
      </c>
      <c r="AA204" t="s">
        <v>88</v>
      </c>
      <c r="AB204" t="s">
        <v>88</v>
      </c>
      <c r="AC204" t="s">
        <v>88</v>
      </c>
      <c r="AD204" t="s">
        <v>88</v>
      </c>
      <c r="AE204" t="str">
        <f>HYPERLINK("file:///C:/rest_photo/Usta Dönerci, Yeşilyurt (İnönü Mah. - Malatya Park Avm).jpg","Usta Dönerci, Yeşilyurt (İnönü Mah. - Malatya Park Avm)")</f>
        <v>Usta Dönerci, Yeşilyurt (İnönü Mah. - Malatya Park Avm)</v>
      </c>
      <c r="AF204" t="s">
        <v>502</v>
      </c>
      <c r="AG204" t="s">
        <v>387</v>
      </c>
      <c r="AH204" t="s">
        <v>88</v>
      </c>
      <c r="AI204" t="s">
        <v>88</v>
      </c>
      <c r="AJ204" t="s">
        <v>92</v>
      </c>
    </row>
    <row r="205" spans="2:36" x14ac:dyDescent="0.25">
      <c r="B205" t="s">
        <v>88</v>
      </c>
      <c r="C205" t="s">
        <v>88</v>
      </c>
      <c r="D205" t="s">
        <v>88</v>
      </c>
      <c r="E205" t="s">
        <v>88</v>
      </c>
      <c r="F205" t="s">
        <v>88</v>
      </c>
      <c r="G205" t="s">
        <v>88</v>
      </c>
      <c r="H205" t="s">
        <v>88</v>
      </c>
      <c r="I205" t="s">
        <v>88</v>
      </c>
      <c r="J205" t="s">
        <v>88</v>
      </c>
      <c r="K205" t="s">
        <v>88</v>
      </c>
      <c r="L205" t="s">
        <v>389</v>
      </c>
      <c r="M205" t="s">
        <v>88</v>
      </c>
      <c r="N205" t="s">
        <v>88</v>
      </c>
      <c r="O205" t="s">
        <v>88</v>
      </c>
      <c r="P205" t="s">
        <v>88</v>
      </c>
      <c r="Q205" t="s">
        <v>88</v>
      </c>
      <c r="R205" t="s">
        <v>88</v>
      </c>
      <c r="S205" t="s">
        <v>88</v>
      </c>
      <c r="T205" t="s">
        <v>88</v>
      </c>
      <c r="U205" t="s">
        <v>88</v>
      </c>
      <c r="V205" t="s">
        <v>88</v>
      </c>
      <c r="W205" t="s">
        <v>89</v>
      </c>
      <c r="X205" t="s">
        <v>88</v>
      </c>
      <c r="Y205" t="s">
        <v>90</v>
      </c>
      <c r="Z205" t="s">
        <v>91</v>
      </c>
      <c r="AA205" t="s">
        <v>88</v>
      </c>
      <c r="AB205" t="s">
        <v>88</v>
      </c>
      <c r="AC205" t="s">
        <v>88</v>
      </c>
      <c r="AD205" t="s">
        <v>88</v>
      </c>
      <c r="AE205" t="str">
        <f>HYPERLINK("file:///C:/rest_photo/Usta Pideci, Yeşilyurt (İnönü Mah. - İnönü Cad.).jpg","Usta Pideci, Yeşilyurt (İnönü Mah. - İnönü Cad.)")</f>
        <v>Usta Pideci, Yeşilyurt (İnönü Mah. - İnönü Cad.)</v>
      </c>
      <c r="AF205" t="s">
        <v>406</v>
      </c>
      <c r="AG205" t="s">
        <v>389</v>
      </c>
      <c r="AH205" t="s">
        <v>88</v>
      </c>
      <c r="AI205" t="s">
        <v>88</v>
      </c>
      <c r="AJ205" t="s">
        <v>92</v>
      </c>
    </row>
    <row r="206" spans="2:36" x14ac:dyDescent="0.25">
      <c r="B206" t="s">
        <v>88</v>
      </c>
      <c r="C206" t="s">
        <v>88</v>
      </c>
      <c r="D206" t="s">
        <v>88</v>
      </c>
      <c r="E206" t="s">
        <v>88</v>
      </c>
      <c r="F206" t="s">
        <v>88</v>
      </c>
      <c r="G206" t="s">
        <v>88</v>
      </c>
      <c r="H206" t="s">
        <v>88</v>
      </c>
      <c r="I206" t="s">
        <v>88</v>
      </c>
      <c r="J206" t="s">
        <v>88</v>
      </c>
      <c r="K206" t="s">
        <v>88</v>
      </c>
      <c r="L206" t="s">
        <v>568</v>
      </c>
      <c r="M206" t="s">
        <v>88</v>
      </c>
      <c r="N206" t="s">
        <v>88</v>
      </c>
      <c r="O206" t="s">
        <v>88</v>
      </c>
      <c r="P206" t="s">
        <v>88</v>
      </c>
      <c r="Q206" t="s">
        <v>88</v>
      </c>
      <c r="R206" t="s">
        <v>88</v>
      </c>
      <c r="S206" t="s">
        <v>88</v>
      </c>
      <c r="T206" t="s">
        <v>88</v>
      </c>
      <c r="U206" t="s">
        <v>88</v>
      </c>
      <c r="V206" t="s">
        <v>88</v>
      </c>
      <c r="W206" t="s">
        <v>89</v>
      </c>
      <c r="X206" t="s">
        <v>88</v>
      </c>
      <c r="Y206" t="s">
        <v>90</v>
      </c>
      <c r="Z206" t="s">
        <v>109</v>
      </c>
      <c r="AA206" t="s">
        <v>88</v>
      </c>
      <c r="AB206" t="s">
        <v>88</v>
      </c>
      <c r="AC206" t="s">
        <v>88</v>
      </c>
      <c r="AD206" t="s">
        <v>88</v>
      </c>
      <c r="AE206" t="str">
        <f>HYPERLINK("file:///C:/rest_photo/Ünlü Çiğ Köfteci Bayram Taştan, Yeşilyurt (Bostanbaşı Mah.).jpg","Ünlü Çiğ Köfteci Bayram Taştan, Yeşilyurt (Bostanbaşı Mah.)")</f>
        <v>Ünlü Çiğ Köfteci Bayram Taştan, Yeşilyurt (Bostanbaşı Mah.)</v>
      </c>
      <c r="AF206" t="s">
        <v>403</v>
      </c>
      <c r="AG206" t="s">
        <v>106</v>
      </c>
      <c r="AH206" t="s">
        <v>88</v>
      </c>
      <c r="AI206" t="s">
        <v>88</v>
      </c>
      <c r="AJ206" t="s">
        <v>92</v>
      </c>
    </row>
    <row r="207" spans="2:36" x14ac:dyDescent="0.25">
      <c r="B207" t="s">
        <v>88</v>
      </c>
      <c r="C207" t="s">
        <v>88</v>
      </c>
      <c r="D207" t="s">
        <v>88</v>
      </c>
      <c r="E207" t="s">
        <v>88</v>
      </c>
      <c r="F207" t="s">
        <v>88</v>
      </c>
      <c r="G207" t="s">
        <v>88</v>
      </c>
      <c r="H207" t="s">
        <v>88</v>
      </c>
      <c r="I207" t="s">
        <v>88</v>
      </c>
      <c r="J207" t="s">
        <v>88</v>
      </c>
      <c r="K207" t="s">
        <v>88</v>
      </c>
      <c r="L207" t="s">
        <v>569</v>
      </c>
      <c r="M207" t="s">
        <v>88</v>
      </c>
      <c r="N207" t="s">
        <v>88</v>
      </c>
      <c r="O207" t="s">
        <v>88</v>
      </c>
      <c r="P207" t="s">
        <v>88</v>
      </c>
      <c r="Q207" t="s">
        <v>88</v>
      </c>
      <c r="R207" t="s">
        <v>88</v>
      </c>
      <c r="S207" t="s">
        <v>88</v>
      </c>
      <c r="T207" t="s">
        <v>88</v>
      </c>
      <c r="U207" t="s">
        <v>88</v>
      </c>
      <c r="V207" t="s">
        <v>88</v>
      </c>
      <c r="W207" t="s">
        <v>89</v>
      </c>
      <c r="X207" t="s">
        <v>88</v>
      </c>
      <c r="Y207" t="s">
        <v>100</v>
      </c>
      <c r="Z207" t="s">
        <v>392</v>
      </c>
      <c r="AA207" t="s">
        <v>88</v>
      </c>
      <c r="AB207" t="s">
        <v>88</v>
      </c>
      <c r="AC207" t="s">
        <v>88</v>
      </c>
      <c r="AD207" t="s">
        <v>88</v>
      </c>
      <c r="AE207" t="str">
        <f>HYPERLINK("file:///C:/rest_photo/Ünlü Çiğ Köfteci Mehmet Usta, Battalgazi (Halfettin Mah.).jpg","Ünlü Çiğ Köfteci Mehmet Usta, Battalgazi (Halfettin Mah.)")</f>
        <v>Ünlü Çiğ Köfteci Mehmet Usta, Battalgazi (Halfettin Mah.)</v>
      </c>
      <c r="AF207" t="s">
        <v>403</v>
      </c>
      <c r="AG207" t="s">
        <v>106</v>
      </c>
      <c r="AH207" t="s">
        <v>88</v>
      </c>
      <c r="AI207" t="s">
        <v>88</v>
      </c>
      <c r="AJ207" t="s">
        <v>92</v>
      </c>
    </row>
    <row r="208" spans="2:36" x14ac:dyDescent="0.25">
      <c r="B208" t="s">
        <v>88</v>
      </c>
      <c r="C208" t="s">
        <v>88</v>
      </c>
      <c r="D208" t="s">
        <v>88</v>
      </c>
      <c r="E208" t="s">
        <v>88</v>
      </c>
      <c r="F208" t="s">
        <v>88</v>
      </c>
      <c r="G208" t="s">
        <v>88</v>
      </c>
      <c r="H208" t="s">
        <v>88</v>
      </c>
      <c r="I208" t="s">
        <v>88</v>
      </c>
      <c r="J208" t="s">
        <v>88</v>
      </c>
      <c r="K208" t="s">
        <v>88</v>
      </c>
      <c r="L208" t="s">
        <v>570</v>
      </c>
      <c r="M208" t="s">
        <v>88</v>
      </c>
      <c r="N208" t="s">
        <v>88</v>
      </c>
      <c r="O208" t="s">
        <v>88</v>
      </c>
      <c r="P208" t="s">
        <v>88</v>
      </c>
      <c r="Q208" t="s">
        <v>88</v>
      </c>
      <c r="R208" t="s">
        <v>88</v>
      </c>
      <c r="S208" t="s">
        <v>88</v>
      </c>
      <c r="T208" t="s">
        <v>88</v>
      </c>
      <c r="U208" t="s">
        <v>88</v>
      </c>
      <c r="V208" t="s">
        <v>88</v>
      </c>
      <c r="W208" t="s">
        <v>89</v>
      </c>
      <c r="X208" t="s">
        <v>88</v>
      </c>
      <c r="Y208" t="s">
        <v>100</v>
      </c>
      <c r="Z208" t="s">
        <v>394</v>
      </c>
      <c r="AA208" t="s">
        <v>88</v>
      </c>
      <c r="AB208" t="s">
        <v>88</v>
      </c>
      <c r="AC208" t="s">
        <v>88</v>
      </c>
      <c r="AD208" t="s">
        <v>88</v>
      </c>
      <c r="AE208" t="str">
        <f>HYPERLINK("file:///C:/rest_photo/Ünlü Çiğ Köfteci Müslüm Boztaş, Battalgazi (Şifa Mah. - İnönü Cad.).jpg","Ünlü Çiğ Köfteci Müslüm Boztaş, Battalgazi (Şifa Mah. - İnönü Cad.)")</f>
        <v>Ünlü Çiğ Köfteci Müslüm Boztaş, Battalgazi (Şifa Mah. - İnönü Cad.)</v>
      </c>
      <c r="AF208" t="s">
        <v>406</v>
      </c>
      <c r="AG208" t="s">
        <v>106</v>
      </c>
      <c r="AH208" t="s">
        <v>88</v>
      </c>
      <c r="AI208" t="s">
        <v>88</v>
      </c>
      <c r="AJ208" t="s">
        <v>92</v>
      </c>
    </row>
    <row r="209" spans="2:36" x14ac:dyDescent="0.25">
      <c r="B209" t="s">
        <v>88</v>
      </c>
      <c r="C209" t="s">
        <v>88</v>
      </c>
      <c r="D209" t="s">
        <v>88</v>
      </c>
      <c r="E209" t="s">
        <v>88</v>
      </c>
      <c r="F209" t="s">
        <v>88</v>
      </c>
      <c r="G209" t="s">
        <v>88</v>
      </c>
      <c r="H209" t="s">
        <v>88</v>
      </c>
      <c r="I209" t="s">
        <v>88</v>
      </c>
      <c r="J209" t="s">
        <v>88</v>
      </c>
      <c r="K209" t="s">
        <v>88</v>
      </c>
      <c r="L209" t="s">
        <v>571</v>
      </c>
      <c r="M209" t="s">
        <v>88</v>
      </c>
      <c r="N209" t="s">
        <v>88</v>
      </c>
      <c r="O209" t="s">
        <v>88</v>
      </c>
      <c r="P209" t="s">
        <v>88</v>
      </c>
      <c r="Q209" t="s">
        <v>88</v>
      </c>
      <c r="R209" t="s">
        <v>88</v>
      </c>
      <c r="S209" t="s">
        <v>88</v>
      </c>
      <c r="T209" t="s">
        <v>88</v>
      </c>
      <c r="U209" t="s">
        <v>88</v>
      </c>
      <c r="V209" t="s">
        <v>88</v>
      </c>
      <c r="W209" t="s">
        <v>89</v>
      </c>
      <c r="X209" t="s">
        <v>88</v>
      </c>
      <c r="Y209" t="s">
        <v>90</v>
      </c>
      <c r="Z209" t="s">
        <v>97</v>
      </c>
      <c r="AA209" t="s">
        <v>88</v>
      </c>
      <c r="AB209" t="s">
        <v>88</v>
      </c>
      <c r="AC209" t="s">
        <v>88</v>
      </c>
      <c r="AD209" t="s">
        <v>88</v>
      </c>
      <c r="AE209" t="str">
        <f>HYPERLINK("file:///C:/rest_photo/Ünlü Çiğ Köfteci Ömer Üngör, Yeşilyurt (Tecde Mah.).jpg","Ünlü Çiğ Köfteci Ömer Üngör, Yeşilyurt (Tecde Mah.)")</f>
        <v>Ünlü Çiğ Köfteci Ömer Üngör, Yeşilyurt (Tecde Mah.)</v>
      </c>
      <c r="AF209" t="s">
        <v>403</v>
      </c>
      <c r="AG209" t="s">
        <v>106</v>
      </c>
      <c r="AH209" t="s">
        <v>88</v>
      </c>
      <c r="AI209" t="s">
        <v>88</v>
      </c>
      <c r="AJ209" t="s">
        <v>92</v>
      </c>
    </row>
    <row r="210" spans="2:36" x14ac:dyDescent="0.25">
      <c r="B210" t="s">
        <v>88</v>
      </c>
      <c r="C210" t="s">
        <v>88</v>
      </c>
      <c r="D210" t="s">
        <v>88</v>
      </c>
      <c r="E210" t="s">
        <v>88</v>
      </c>
      <c r="F210" t="s">
        <v>88</v>
      </c>
      <c r="G210" t="s">
        <v>88</v>
      </c>
      <c r="H210" t="s">
        <v>88</v>
      </c>
      <c r="I210" t="s">
        <v>88</v>
      </c>
      <c r="J210" t="s">
        <v>88</v>
      </c>
      <c r="K210" t="s">
        <v>88</v>
      </c>
      <c r="L210" t="s">
        <v>572</v>
      </c>
      <c r="M210" t="s">
        <v>88</v>
      </c>
      <c r="N210" t="s">
        <v>88</v>
      </c>
      <c r="O210" t="s">
        <v>88</v>
      </c>
      <c r="P210" t="s">
        <v>88</v>
      </c>
      <c r="Q210" t="s">
        <v>88</v>
      </c>
      <c r="R210" t="s">
        <v>88</v>
      </c>
      <c r="S210" t="s">
        <v>88</v>
      </c>
      <c r="T210" t="s">
        <v>88</v>
      </c>
      <c r="U210" t="s">
        <v>88</v>
      </c>
      <c r="V210" t="s">
        <v>88</v>
      </c>
      <c r="W210" t="s">
        <v>89</v>
      </c>
      <c r="X210" t="s">
        <v>88</v>
      </c>
      <c r="Y210" t="s">
        <v>90</v>
      </c>
      <c r="Z210" t="s">
        <v>147</v>
      </c>
      <c r="AA210" t="s">
        <v>88</v>
      </c>
      <c r="AB210" t="s">
        <v>88</v>
      </c>
      <c r="AC210" t="s">
        <v>88</v>
      </c>
      <c r="AD210" t="s">
        <v>88</v>
      </c>
      <c r="AE210" t="str">
        <f>HYPERLINK("file:///C:/rest_photo/Ünlü Çiğ Köfteci Yusuf Usta, Yeşilyurt (Zaviye Mah.).jpg","Ünlü Çiğ Köfteci Yusuf Usta, Yeşilyurt (Zaviye Mah.)")</f>
        <v>Ünlü Çiğ Köfteci Yusuf Usta, Yeşilyurt (Zaviye Mah.)</v>
      </c>
      <c r="AF210" t="s">
        <v>81</v>
      </c>
      <c r="AG210" t="s">
        <v>106</v>
      </c>
      <c r="AH210" t="s">
        <v>88</v>
      </c>
      <c r="AI210" t="s">
        <v>88</v>
      </c>
      <c r="AJ210" t="s">
        <v>92</v>
      </c>
    </row>
    <row r="211" spans="2:36" x14ac:dyDescent="0.25">
      <c r="B211" t="s">
        <v>88</v>
      </c>
      <c r="C211" t="s">
        <v>88</v>
      </c>
      <c r="D211" t="s">
        <v>88</v>
      </c>
      <c r="E211" t="s">
        <v>88</v>
      </c>
      <c r="F211" t="s">
        <v>88</v>
      </c>
      <c r="G211" t="s">
        <v>88</v>
      </c>
      <c r="H211" t="s">
        <v>88</v>
      </c>
      <c r="I211" t="s">
        <v>88</v>
      </c>
      <c r="J211" t="s">
        <v>88</v>
      </c>
      <c r="K211" t="s">
        <v>88</v>
      </c>
      <c r="L211" t="s">
        <v>573</v>
      </c>
      <c r="M211" t="s">
        <v>88</v>
      </c>
      <c r="N211" t="s">
        <v>88</v>
      </c>
      <c r="O211" t="s">
        <v>88</v>
      </c>
      <c r="P211" t="s">
        <v>88</v>
      </c>
      <c r="Q211" t="s">
        <v>88</v>
      </c>
      <c r="R211" t="s">
        <v>88</v>
      </c>
      <c r="S211" t="s">
        <v>88</v>
      </c>
      <c r="T211" t="s">
        <v>88</v>
      </c>
      <c r="U211" t="s">
        <v>88</v>
      </c>
      <c r="V211" t="s">
        <v>88</v>
      </c>
      <c r="W211" t="s">
        <v>89</v>
      </c>
      <c r="X211" t="s">
        <v>88</v>
      </c>
      <c r="Y211" t="s">
        <v>90</v>
      </c>
      <c r="Z211" t="s">
        <v>97</v>
      </c>
      <c r="AA211" t="s">
        <v>88</v>
      </c>
      <c r="AB211" t="s">
        <v>88</v>
      </c>
      <c r="AC211" t="s">
        <v>88</v>
      </c>
      <c r="AD211" t="s">
        <v>88</v>
      </c>
      <c r="AE211" t="str">
        <f>HYPERLINK("file:///C:/rest_photo/Ünlü Sincik Çiğ Köfte, Yeşilyurt (Tecde Mah.).jpg","Ünlü Sincik Çiğ Köfte, Yeşilyurt (Tecde Mah.)")</f>
        <v>Ünlü Sincik Çiğ Köfte, Yeşilyurt (Tecde Mah.)</v>
      </c>
      <c r="AF211" t="s">
        <v>81</v>
      </c>
      <c r="AG211" t="s">
        <v>106</v>
      </c>
      <c r="AH211" t="s">
        <v>88</v>
      </c>
      <c r="AI211" t="s">
        <v>88</v>
      </c>
      <c r="AJ211" t="s">
        <v>92</v>
      </c>
    </row>
    <row r="212" spans="2:36" x14ac:dyDescent="0.25">
      <c r="B212" t="s">
        <v>88</v>
      </c>
      <c r="C212" t="s">
        <v>88</v>
      </c>
      <c r="D212" t="s">
        <v>88</v>
      </c>
      <c r="E212" t="s">
        <v>88</v>
      </c>
      <c r="F212" t="s">
        <v>88</v>
      </c>
      <c r="G212" t="s">
        <v>88</v>
      </c>
      <c r="H212" t="s">
        <v>88</v>
      </c>
      <c r="I212" t="s">
        <v>88</v>
      </c>
      <c r="J212" t="s">
        <v>88</v>
      </c>
      <c r="K212" t="s">
        <v>88</v>
      </c>
      <c r="L212" t="s">
        <v>574</v>
      </c>
      <c r="M212" t="s">
        <v>88</v>
      </c>
      <c r="N212" t="s">
        <v>88</v>
      </c>
      <c r="O212" t="s">
        <v>88</v>
      </c>
      <c r="P212" t="s">
        <v>88</v>
      </c>
      <c r="Q212" t="s">
        <v>88</v>
      </c>
      <c r="R212" t="s">
        <v>88</v>
      </c>
      <c r="S212" t="s">
        <v>88</v>
      </c>
      <c r="T212" t="s">
        <v>88</v>
      </c>
      <c r="U212" t="s">
        <v>88</v>
      </c>
      <c r="V212" t="s">
        <v>88</v>
      </c>
      <c r="W212" t="s">
        <v>89</v>
      </c>
      <c r="X212" t="s">
        <v>88</v>
      </c>
      <c r="Y212" t="s">
        <v>90</v>
      </c>
      <c r="Z212" t="s">
        <v>113</v>
      </c>
      <c r="AA212" t="s">
        <v>88</v>
      </c>
      <c r="AB212" t="s">
        <v>88</v>
      </c>
      <c r="AC212" t="s">
        <v>88</v>
      </c>
      <c r="AD212" t="s">
        <v>88</v>
      </c>
      <c r="AE212" t="str">
        <f>HYPERLINK("file:///C:/rest_photo/Ünlü Sincik Çiğ Köftecisi, Yeşilyurt (Çilesiz Mah. - Fahri Kayahan Blv.).jpg","Ünlü Sincik Çiğ Köftecisi, Yeşilyurt (Çilesiz Mah. - Fahri Kayahan Blv.)")</f>
        <v>Ünlü Sincik Çiğ Köftecisi, Yeşilyurt (Çilesiz Mah. - Fahri Kayahan Blv.)</v>
      </c>
      <c r="AF212" t="s">
        <v>81</v>
      </c>
      <c r="AG212" t="s">
        <v>106</v>
      </c>
      <c r="AH212" t="s">
        <v>88</v>
      </c>
      <c r="AI212" t="s">
        <v>88</v>
      </c>
      <c r="AJ212" t="s">
        <v>92</v>
      </c>
    </row>
    <row r="213" spans="2:36" x14ac:dyDescent="0.25">
      <c r="B213" t="s">
        <v>88</v>
      </c>
      <c r="C213" t="s">
        <v>88</v>
      </c>
      <c r="D213" t="s">
        <v>88</v>
      </c>
      <c r="E213" t="s">
        <v>88</v>
      </c>
      <c r="F213" t="s">
        <v>88</v>
      </c>
      <c r="G213" t="s">
        <v>88</v>
      </c>
      <c r="H213" t="s">
        <v>88</v>
      </c>
      <c r="I213" t="s">
        <v>88</v>
      </c>
      <c r="J213" t="s">
        <v>88</v>
      </c>
      <c r="K213" t="s">
        <v>88</v>
      </c>
      <c r="L213" t="s">
        <v>575</v>
      </c>
      <c r="M213" t="s">
        <v>88</v>
      </c>
      <c r="N213" t="s">
        <v>88</v>
      </c>
      <c r="O213" t="s">
        <v>88</v>
      </c>
      <c r="P213" t="s">
        <v>88</v>
      </c>
      <c r="Q213" t="s">
        <v>88</v>
      </c>
      <c r="R213" t="s">
        <v>88</v>
      </c>
      <c r="S213" t="s">
        <v>88</v>
      </c>
      <c r="T213" t="s">
        <v>88</v>
      </c>
      <c r="U213" t="s">
        <v>88</v>
      </c>
      <c r="V213" t="s">
        <v>88</v>
      </c>
      <c r="W213" t="s">
        <v>89</v>
      </c>
      <c r="X213" t="s">
        <v>88</v>
      </c>
      <c r="Y213" t="s">
        <v>90</v>
      </c>
      <c r="Z213" t="s">
        <v>91</v>
      </c>
      <c r="AA213" t="s">
        <v>88</v>
      </c>
      <c r="AB213" t="s">
        <v>88</v>
      </c>
      <c r="AC213" t="s">
        <v>88</v>
      </c>
      <c r="AD213" t="s">
        <v>88</v>
      </c>
      <c r="AE213" t="str">
        <f>HYPERLINK("file:///C:/rest_photo/Yeshilçam Cafe &amp; Restorant, Yeşilyurt (İnönü Mah. - İnönü Cad.).jpg","Yeshilçam Cafe &amp; Restorant, Yeşilyurt (İnönü Mah. - İnönü Cad.)")</f>
        <v>Yeshilçam Cafe &amp; Restorant, Yeşilyurt (İnönü Mah. - İnönü Cad.)</v>
      </c>
      <c r="AF213" t="s">
        <v>403</v>
      </c>
      <c r="AG213" t="s">
        <v>153</v>
      </c>
      <c r="AH213" t="s">
        <v>88</v>
      </c>
      <c r="AI213" t="s">
        <v>88</v>
      </c>
      <c r="AJ213" t="s">
        <v>92</v>
      </c>
    </row>
    <row r="214" spans="2:36" x14ac:dyDescent="0.25">
      <c r="B214" t="s">
        <v>88</v>
      </c>
      <c r="C214" t="s">
        <v>88</v>
      </c>
      <c r="D214" t="s">
        <v>88</v>
      </c>
      <c r="E214" t="s">
        <v>88</v>
      </c>
      <c r="F214" t="s">
        <v>88</v>
      </c>
      <c r="G214" t="s">
        <v>88</v>
      </c>
      <c r="H214" t="s">
        <v>88</v>
      </c>
      <c r="I214" t="s">
        <v>88</v>
      </c>
      <c r="J214" t="s">
        <v>88</v>
      </c>
      <c r="K214" t="s">
        <v>88</v>
      </c>
      <c r="L214" t="s">
        <v>576</v>
      </c>
      <c r="M214" t="s">
        <v>88</v>
      </c>
      <c r="N214" t="s">
        <v>88</v>
      </c>
      <c r="O214" t="s">
        <v>88</v>
      </c>
      <c r="P214" t="s">
        <v>88</v>
      </c>
      <c r="Q214" t="s">
        <v>88</v>
      </c>
      <c r="R214" t="s">
        <v>88</v>
      </c>
      <c r="S214" t="s">
        <v>88</v>
      </c>
      <c r="T214" t="s">
        <v>88</v>
      </c>
      <c r="U214" t="s">
        <v>88</v>
      </c>
      <c r="V214" t="s">
        <v>88</v>
      </c>
      <c r="W214" t="s">
        <v>89</v>
      </c>
      <c r="X214" t="s">
        <v>88</v>
      </c>
      <c r="Y214" t="s">
        <v>90</v>
      </c>
      <c r="Z214" t="s">
        <v>97</v>
      </c>
      <c r="AA214" t="s">
        <v>88</v>
      </c>
      <c r="AB214" t="s">
        <v>88</v>
      </c>
      <c r="AC214" t="s">
        <v>88</v>
      </c>
      <c r="AD214" t="s">
        <v>88</v>
      </c>
      <c r="AE214" t="str">
        <f>HYPERLINK("file:///C:/rest_photo/Yeşil Çiğ Köfte, Yeşilyurt (Tecde Mah.).jpg","Yeşil Çiğ Köfte, Yeşilyurt (Tecde Mah.)")</f>
        <v>Yeşil Çiğ Köfte, Yeşilyurt (Tecde Mah.)</v>
      </c>
      <c r="AF214" t="s">
        <v>406</v>
      </c>
      <c r="AG214" t="s">
        <v>106</v>
      </c>
      <c r="AH214" t="s">
        <v>88</v>
      </c>
      <c r="AI214" t="s">
        <v>88</v>
      </c>
      <c r="AJ214" t="s">
        <v>92</v>
      </c>
    </row>
    <row r="215" spans="2:36" x14ac:dyDescent="0.25">
      <c r="B215" t="s">
        <v>88</v>
      </c>
      <c r="C215" t="s">
        <v>88</v>
      </c>
      <c r="D215" t="s">
        <v>88</v>
      </c>
      <c r="E215" t="s">
        <v>88</v>
      </c>
      <c r="F215" t="s">
        <v>88</v>
      </c>
      <c r="G215" t="s">
        <v>88</v>
      </c>
      <c r="H215" t="s">
        <v>88</v>
      </c>
      <c r="I215" t="s">
        <v>88</v>
      </c>
      <c r="J215" t="s">
        <v>88</v>
      </c>
      <c r="K215" t="s">
        <v>88</v>
      </c>
      <c r="L215" t="s">
        <v>577</v>
      </c>
      <c r="M215" t="s">
        <v>88</v>
      </c>
      <c r="N215" t="s">
        <v>88</v>
      </c>
      <c r="O215" t="s">
        <v>88</v>
      </c>
      <c r="P215" t="s">
        <v>88</v>
      </c>
      <c r="Q215" t="s">
        <v>88</v>
      </c>
      <c r="R215" t="s">
        <v>88</v>
      </c>
      <c r="S215" t="s">
        <v>88</v>
      </c>
      <c r="T215" t="s">
        <v>88</v>
      </c>
      <c r="U215" t="s">
        <v>88</v>
      </c>
      <c r="V215" t="s">
        <v>88</v>
      </c>
      <c r="W215" t="s">
        <v>89</v>
      </c>
      <c r="X215" t="s">
        <v>88</v>
      </c>
      <c r="Y215" t="s">
        <v>90</v>
      </c>
      <c r="Z215" t="s">
        <v>109</v>
      </c>
      <c r="AA215" t="s">
        <v>88</v>
      </c>
      <c r="AB215" t="s">
        <v>88</v>
      </c>
      <c r="AC215" t="s">
        <v>88</v>
      </c>
      <c r="AD215" t="s">
        <v>88</v>
      </c>
      <c r="AE215" t="str">
        <f>HYPERLINK("file:///C:/rest_photo/Zener Döner, Yeşilyurt (Bostanbaşı Mah.).jpg","Zener Döner, Yeşilyurt (Bostanbaşı Mah.)")</f>
        <v>Zener Döner, Yeşilyurt (Bostanbaşı Mah.)</v>
      </c>
      <c r="AF215" t="s">
        <v>403</v>
      </c>
      <c r="AG215" t="s">
        <v>139</v>
      </c>
      <c r="AH215" t="s">
        <v>88</v>
      </c>
      <c r="AI215" t="s">
        <v>88</v>
      </c>
      <c r="AJ215" t="s">
        <v>92</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14281"/>
  <sheetViews>
    <sheetView workbookViewId="0">
      <selection activeCell="A3" sqref="A3:H14281"/>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x14ac:dyDescent="0.25">
      <c r="A3" t="s">
        <v>87</v>
      </c>
      <c r="B3" t="s">
        <v>578</v>
      </c>
      <c r="C3" t="s">
        <v>88</v>
      </c>
      <c r="D3" t="s">
        <v>579</v>
      </c>
      <c r="E3" t="s">
        <v>580</v>
      </c>
      <c r="F3" t="s">
        <v>88</v>
      </c>
      <c r="G3" t="s">
        <v>88</v>
      </c>
      <c r="H3" t="s">
        <v>92</v>
      </c>
      <c r="I3" s="2" t="s">
        <v>78</v>
      </c>
      <c r="J3" s="2" t="s">
        <v>78</v>
      </c>
      <c r="K3" s="2" t="s">
        <v>78</v>
      </c>
      <c r="L3" s="2" t="s">
        <v>78</v>
      </c>
      <c r="M3" s="2" t="s">
        <v>78</v>
      </c>
      <c r="N3" s="2" t="s">
        <v>78</v>
      </c>
      <c r="O3" s="2" t="s">
        <v>78</v>
      </c>
      <c r="P3" s="2" t="s">
        <v>78</v>
      </c>
      <c r="Q3" s="2" t="s">
        <v>78</v>
      </c>
      <c r="R3" s="2" t="s">
        <v>78</v>
      </c>
      <c r="S3" s="2" t="s">
        <v>78</v>
      </c>
      <c r="T3" s="2" t="s">
        <v>78</v>
      </c>
      <c r="U3" s="2" t="s">
        <v>78</v>
      </c>
      <c r="V3" s="2" t="s">
        <v>78</v>
      </c>
      <c r="W3" s="2" t="s">
        <v>78</v>
      </c>
      <c r="X3" s="2" t="s">
        <v>78</v>
      </c>
      <c r="Y3" s="2" t="s">
        <v>78</v>
      </c>
      <c r="Z3" t="s">
        <v>78</v>
      </c>
      <c r="AA3" t="s">
        <v>78</v>
      </c>
      <c r="AB3" t="s">
        <v>78</v>
      </c>
      <c r="AC3" t="s">
        <v>78</v>
      </c>
      <c r="AD3" t="s">
        <v>78</v>
      </c>
      <c r="AE3" t="s">
        <v>78</v>
      </c>
      <c r="AF3" t="s">
        <v>78</v>
      </c>
      <c r="AG3" t="s">
        <v>78</v>
      </c>
      <c r="AH3" t="s">
        <v>78</v>
      </c>
    </row>
    <row r="4" spans="1:34" x14ac:dyDescent="0.25">
      <c r="A4" t="s">
        <v>87</v>
      </c>
      <c r="B4" t="s">
        <v>402</v>
      </c>
      <c r="C4" t="s">
        <v>88</v>
      </c>
      <c r="D4" t="s">
        <v>581</v>
      </c>
      <c r="E4" t="s">
        <v>582</v>
      </c>
      <c r="F4" t="s">
        <v>88</v>
      </c>
      <c r="G4" t="s">
        <v>88</v>
      </c>
      <c r="H4" t="s">
        <v>92</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87</v>
      </c>
      <c r="B5" t="s">
        <v>583</v>
      </c>
      <c r="C5" t="s">
        <v>88</v>
      </c>
      <c r="D5" t="s">
        <v>584</v>
      </c>
      <c r="E5" t="s">
        <v>585</v>
      </c>
      <c r="F5" t="s">
        <v>88</v>
      </c>
      <c r="G5" t="s">
        <v>88</v>
      </c>
      <c r="H5" t="s">
        <v>92</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87</v>
      </c>
      <c r="B6" t="s">
        <v>586</v>
      </c>
      <c r="C6" t="s">
        <v>88</v>
      </c>
      <c r="D6" t="s">
        <v>587</v>
      </c>
      <c r="E6" t="s">
        <v>588</v>
      </c>
      <c r="F6" t="s">
        <v>88</v>
      </c>
      <c r="G6" t="s">
        <v>88</v>
      </c>
      <c r="H6" t="s">
        <v>92</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87</v>
      </c>
      <c r="B7" t="s">
        <v>589</v>
      </c>
      <c r="C7" t="s">
        <v>88</v>
      </c>
      <c r="D7" t="s">
        <v>590</v>
      </c>
      <c r="E7" t="s">
        <v>591</v>
      </c>
      <c r="F7" t="s">
        <v>88</v>
      </c>
      <c r="G7" t="s">
        <v>88</v>
      </c>
      <c r="H7" t="s">
        <v>92</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87</v>
      </c>
      <c r="B8" t="s">
        <v>592</v>
      </c>
      <c r="C8" t="s">
        <v>88</v>
      </c>
      <c r="D8" t="s">
        <v>593</v>
      </c>
      <c r="E8" t="s">
        <v>591</v>
      </c>
      <c r="F8" t="s">
        <v>88</v>
      </c>
      <c r="G8" t="s">
        <v>88</v>
      </c>
      <c r="H8" t="s">
        <v>92</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87</v>
      </c>
      <c r="B9" t="s">
        <v>594</v>
      </c>
      <c r="C9" t="s">
        <v>88</v>
      </c>
      <c r="D9" t="s">
        <v>595</v>
      </c>
      <c r="E9" t="s">
        <v>591</v>
      </c>
      <c r="F9" t="s">
        <v>88</v>
      </c>
      <c r="G9" t="s">
        <v>88</v>
      </c>
      <c r="H9" t="s">
        <v>92</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87</v>
      </c>
      <c r="B10" t="s">
        <v>596</v>
      </c>
      <c r="C10" t="s">
        <v>88</v>
      </c>
      <c r="D10" t="s">
        <v>597</v>
      </c>
      <c r="E10" t="s">
        <v>591</v>
      </c>
      <c r="F10" t="s">
        <v>88</v>
      </c>
      <c r="G10" t="s">
        <v>88</v>
      </c>
      <c r="H10" t="s">
        <v>92</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87</v>
      </c>
      <c r="B11" t="s">
        <v>598</v>
      </c>
      <c r="C11" t="s">
        <v>88</v>
      </c>
      <c r="D11" t="s">
        <v>599</v>
      </c>
      <c r="E11" t="s">
        <v>591</v>
      </c>
      <c r="F11" t="s">
        <v>88</v>
      </c>
      <c r="G11" t="s">
        <v>88</v>
      </c>
      <c r="H11" t="s">
        <v>92</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87</v>
      </c>
      <c r="B12" t="s">
        <v>600</v>
      </c>
      <c r="C12" t="s">
        <v>88</v>
      </c>
      <c r="D12" t="s">
        <v>601</v>
      </c>
      <c r="E12" t="s">
        <v>602</v>
      </c>
      <c r="F12" t="s">
        <v>88</v>
      </c>
      <c r="G12" t="s">
        <v>88</v>
      </c>
      <c r="H12" t="s">
        <v>92</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87</v>
      </c>
      <c r="B13" t="s">
        <v>603</v>
      </c>
      <c r="C13" t="s">
        <v>88</v>
      </c>
      <c r="D13" t="s">
        <v>604</v>
      </c>
      <c r="E13" t="s">
        <v>605</v>
      </c>
      <c r="F13" t="s">
        <v>88</v>
      </c>
      <c r="G13" t="s">
        <v>88</v>
      </c>
      <c r="H13" t="s">
        <v>92</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87</v>
      </c>
      <c r="B14" t="s">
        <v>606</v>
      </c>
      <c r="C14" t="s">
        <v>88</v>
      </c>
      <c r="D14" t="s">
        <v>88</v>
      </c>
      <c r="E14" t="s">
        <v>607</v>
      </c>
      <c r="F14" t="s">
        <v>88</v>
      </c>
      <c r="G14" t="s">
        <v>88</v>
      </c>
      <c r="H14" t="s">
        <v>92</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87</v>
      </c>
      <c r="B15" t="s">
        <v>608</v>
      </c>
      <c r="C15" t="s">
        <v>88</v>
      </c>
      <c r="D15" t="s">
        <v>88</v>
      </c>
      <c r="E15" t="s">
        <v>609</v>
      </c>
      <c r="F15" t="s">
        <v>88</v>
      </c>
      <c r="G15" t="s">
        <v>88</v>
      </c>
      <c r="H15" t="s">
        <v>92</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87</v>
      </c>
      <c r="B16" t="s">
        <v>610</v>
      </c>
      <c r="C16" t="s">
        <v>88</v>
      </c>
      <c r="D16" t="s">
        <v>88</v>
      </c>
      <c r="E16" t="s">
        <v>611</v>
      </c>
      <c r="F16" t="s">
        <v>88</v>
      </c>
      <c r="G16" t="s">
        <v>88</v>
      </c>
      <c r="H16" t="s">
        <v>92</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87</v>
      </c>
      <c r="B17" t="s">
        <v>612</v>
      </c>
      <c r="C17" t="s">
        <v>88</v>
      </c>
      <c r="D17" t="s">
        <v>88</v>
      </c>
      <c r="E17" t="s">
        <v>613</v>
      </c>
      <c r="F17" t="s">
        <v>88</v>
      </c>
      <c r="G17" t="s">
        <v>88</v>
      </c>
      <c r="H17" t="s">
        <v>92</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87</v>
      </c>
      <c r="B18" t="s">
        <v>614</v>
      </c>
      <c r="C18" t="s">
        <v>88</v>
      </c>
      <c r="D18" t="s">
        <v>88</v>
      </c>
      <c r="E18" t="s">
        <v>613</v>
      </c>
      <c r="F18" t="s">
        <v>88</v>
      </c>
      <c r="G18" t="s">
        <v>88</v>
      </c>
      <c r="H18" t="s">
        <v>92</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87</v>
      </c>
      <c r="B19" t="s">
        <v>615</v>
      </c>
      <c r="C19" t="s">
        <v>88</v>
      </c>
      <c r="D19" t="s">
        <v>88</v>
      </c>
      <c r="E19" t="s">
        <v>613</v>
      </c>
      <c r="F19" t="s">
        <v>88</v>
      </c>
      <c r="G19" t="s">
        <v>88</v>
      </c>
      <c r="H19" t="s">
        <v>92</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87</v>
      </c>
      <c r="B20" t="s">
        <v>616</v>
      </c>
      <c r="C20" t="s">
        <v>88</v>
      </c>
      <c r="D20" t="s">
        <v>88</v>
      </c>
      <c r="E20" t="s">
        <v>613</v>
      </c>
      <c r="F20" t="s">
        <v>88</v>
      </c>
      <c r="G20" t="s">
        <v>88</v>
      </c>
      <c r="H20" t="s">
        <v>92</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87</v>
      </c>
      <c r="B21" t="s">
        <v>617</v>
      </c>
      <c r="C21" t="s">
        <v>88</v>
      </c>
      <c r="D21" t="s">
        <v>88</v>
      </c>
      <c r="E21" t="s">
        <v>613</v>
      </c>
      <c r="F21" t="s">
        <v>88</v>
      </c>
      <c r="G21" t="s">
        <v>88</v>
      </c>
      <c r="H21" t="s">
        <v>92</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87</v>
      </c>
      <c r="B22" t="s">
        <v>618</v>
      </c>
      <c r="C22" t="s">
        <v>88</v>
      </c>
      <c r="D22" t="s">
        <v>88</v>
      </c>
      <c r="E22" t="s">
        <v>619</v>
      </c>
      <c r="F22" t="s">
        <v>88</v>
      </c>
      <c r="G22" t="s">
        <v>88</v>
      </c>
      <c r="H22" t="s">
        <v>92</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87</v>
      </c>
      <c r="B23" t="s">
        <v>620</v>
      </c>
      <c r="C23" t="s">
        <v>88</v>
      </c>
      <c r="D23" t="s">
        <v>88</v>
      </c>
      <c r="E23" t="s">
        <v>621</v>
      </c>
      <c r="F23" t="s">
        <v>88</v>
      </c>
      <c r="G23" t="s">
        <v>88</v>
      </c>
      <c r="H23" t="s">
        <v>92</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87</v>
      </c>
      <c r="B24" t="s">
        <v>622</v>
      </c>
      <c r="C24" t="s">
        <v>88</v>
      </c>
      <c r="D24" t="s">
        <v>88</v>
      </c>
      <c r="E24" t="s">
        <v>613</v>
      </c>
      <c r="F24" t="s">
        <v>88</v>
      </c>
      <c r="G24" t="s">
        <v>88</v>
      </c>
      <c r="H24" t="s">
        <v>92</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87</v>
      </c>
      <c r="B25" t="s">
        <v>623</v>
      </c>
      <c r="C25" t="s">
        <v>88</v>
      </c>
      <c r="D25" t="s">
        <v>88</v>
      </c>
      <c r="E25" t="s">
        <v>624</v>
      </c>
      <c r="F25" t="s">
        <v>88</v>
      </c>
      <c r="G25" t="s">
        <v>88</v>
      </c>
      <c r="H25" t="s">
        <v>92</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87</v>
      </c>
      <c r="B26" t="s">
        <v>625</v>
      </c>
      <c r="C26" t="s">
        <v>88</v>
      </c>
      <c r="D26" t="s">
        <v>88</v>
      </c>
      <c r="E26" t="s">
        <v>626</v>
      </c>
      <c r="F26" t="s">
        <v>88</v>
      </c>
      <c r="G26" t="s">
        <v>88</v>
      </c>
      <c r="H26" t="s">
        <v>92</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87</v>
      </c>
      <c r="B27" t="s">
        <v>627</v>
      </c>
      <c r="C27" t="s">
        <v>88</v>
      </c>
      <c r="D27" t="s">
        <v>628</v>
      </c>
      <c r="E27" t="s">
        <v>629</v>
      </c>
      <c r="F27" t="s">
        <v>88</v>
      </c>
      <c r="G27" t="s">
        <v>88</v>
      </c>
      <c r="H27" t="s">
        <v>92</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87</v>
      </c>
      <c r="B28" t="s">
        <v>630</v>
      </c>
      <c r="C28" t="s">
        <v>88</v>
      </c>
      <c r="D28" t="s">
        <v>631</v>
      </c>
      <c r="E28" t="s">
        <v>632</v>
      </c>
      <c r="F28" t="s">
        <v>88</v>
      </c>
      <c r="G28" t="s">
        <v>88</v>
      </c>
      <c r="H28" t="s">
        <v>92</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87</v>
      </c>
      <c r="B29" t="s">
        <v>633</v>
      </c>
      <c r="C29" t="s">
        <v>88</v>
      </c>
      <c r="D29" t="s">
        <v>634</v>
      </c>
      <c r="E29" t="s">
        <v>635</v>
      </c>
      <c r="F29" t="s">
        <v>88</v>
      </c>
      <c r="G29" t="s">
        <v>88</v>
      </c>
      <c r="H29" t="s">
        <v>92</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87</v>
      </c>
      <c r="B30" t="s">
        <v>636</v>
      </c>
      <c r="C30" t="s">
        <v>88</v>
      </c>
      <c r="D30" t="s">
        <v>637</v>
      </c>
      <c r="E30" t="s">
        <v>638</v>
      </c>
      <c r="F30" t="s">
        <v>88</v>
      </c>
      <c r="G30" t="s">
        <v>88</v>
      </c>
      <c r="H30" t="s">
        <v>92</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93</v>
      </c>
      <c r="B31" t="s">
        <v>627</v>
      </c>
      <c r="C31" t="s">
        <v>88</v>
      </c>
      <c r="D31" t="s">
        <v>628</v>
      </c>
      <c r="E31" t="s">
        <v>639</v>
      </c>
      <c r="F31" t="s">
        <v>88</v>
      </c>
      <c r="G31" t="s">
        <v>88</v>
      </c>
      <c r="H31" t="s">
        <v>92</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93</v>
      </c>
      <c r="B32" t="s">
        <v>630</v>
      </c>
      <c r="C32" t="s">
        <v>88</v>
      </c>
      <c r="D32" t="s">
        <v>631</v>
      </c>
      <c r="E32" t="s">
        <v>640</v>
      </c>
      <c r="F32" t="s">
        <v>88</v>
      </c>
      <c r="G32" t="s">
        <v>88</v>
      </c>
      <c r="H32" t="s">
        <v>92</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93</v>
      </c>
      <c r="B33" t="s">
        <v>633</v>
      </c>
      <c r="C33" t="s">
        <v>88</v>
      </c>
      <c r="D33" t="s">
        <v>634</v>
      </c>
      <c r="E33" t="s">
        <v>641</v>
      </c>
      <c r="F33" t="s">
        <v>88</v>
      </c>
      <c r="G33" t="s">
        <v>88</v>
      </c>
      <c r="H33" t="s">
        <v>92</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93</v>
      </c>
      <c r="B34" t="s">
        <v>636</v>
      </c>
      <c r="C34" t="s">
        <v>88</v>
      </c>
      <c r="D34" t="s">
        <v>637</v>
      </c>
      <c r="E34" t="s">
        <v>591</v>
      </c>
      <c r="F34" t="s">
        <v>88</v>
      </c>
      <c r="G34" t="s">
        <v>88</v>
      </c>
      <c r="H34" t="s">
        <v>92</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93</v>
      </c>
      <c r="B35" t="s">
        <v>402</v>
      </c>
      <c r="C35" t="s">
        <v>88</v>
      </c>
      <c r="D35" t="s">
        <v>581</v>
      </c>
      <c r="E35" t="s">
        <v>591</v>
      </c>
      <c r="F35" t="s">
        <v>88</v>
      </c>
      <c r="G35" t="s">
        <v>88</v>
      </c>
      <c r="H35" t="s">
        <v>92</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93</v>
      </c>
      <c r="B36" t="s">
        <v>583</v>
      </c>
      <c r="C36" t="s">
        <v>88</v>
      </c>
      <c r="D36" t="s">
        <v>584</v>
      </c>
      <c r="E36" t="s">
        <v>642</v>
      </c>
      <c r="F36" t="s">
        <v>88</v>
      </c>
      <c r="G36" t="s">
        <v>88</v>
      </c>
      <c r="H36" t="s">
        <v>92</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93</v>
      </c>
      <c r="B37" t="s">
        <v>586</v>
      </c>
      <c r="C37" t="s">
        <v>88</v>
      </c>
      <c r="D37" t="s">
        <v>587</v>
      </c>
      <c r="E37" t="s">
        <v>643</v>
      </c>
      <c r="F37" t="s">
        <v>88</v>
      </c>
      <c r="G37" t="s">
        <v>88</v>
      </c>
      <c r="H37" t="s">
        <v>92</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93</v>
      </c>
      <c r="B38" t="s">
        <v>589</v>
      </c>
      <c r="C38" t="s">
        <v>88</v>
      </c>
      <c r="D38" t="s">
        <v>590</v>
      </c>
      <c r="E38" t="s">
        <v>644</v>
      </c>
      <c r="F38" t="s">
        <v>88</v>
      </c>
      <c r="G38" t="s">
        <v>88</v>
      </c>
      <c r="H38" t="s">
        <v>92</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93</v>
      </c>
      <c r="B39" t="s">
        <v>592</v>
      </c>
      <c r="C39" t="s">
        <v>88</v>
      </c>
      <c r="D39" t="s">
        <v>593</v>
      </c>
      <c r="E39" t="s">
        <v>644</v>
      </c>
      <c r="F39" t="s">
        <v>88</v>
      </c>
      <c r="G39" t="s">
        <v>88</v>
      </c>
      <c r="H39" t="s">
        <v>92</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93</v>
      </c>
      <c r="B40" t="s">
        <v>594</v>
      </c>
      <c r="C40" t="s">
        <v>88</v>
      </c>
      <c r="D40" t="s">
        <v>595</v>
      </c>
      <c r="E40" t="s">
        <v>644</v>
      </c>
      <c r="F40" t="s">
        <v>88</v>
      </c>
      <c r="G40" t="s">
        <v>88</v>
      </c>
      <c r="H40" t="s">
        <v>92</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93</v>
      </c>
      <c r="B41" t="s">
        <v>645</v>
      </c>
      <c r="C41" t="s">
        <v>88</v>
      </c>
      <c r="D41" t="s">
        <v>646</v>
      </c>
      <c r="E41" t="s">
        <v>644</v>
      </c>
      <c r="F41" t="s">
        <v>88</v>
      </c>
      <c r="G41" t="s">
        <v>88</v>
      </c>
      <c r="H41" t="s">
        <v>92</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93</v>
      </c>
      <c r="B42" t="s">
        <v>596</v>
      </c>
      <c r="C42" t="s">
        <v>88</v>
      </c>
      <c r="D42" t="s">
        <v>597</v>
      </c>
      <c r="E42" t="s">
        <v>644</v>
      </c>
      <c r="F42" t="s">
        <v>88</v>
      </c>
      <c r="G42" t="s">
        <v>88</v>
      </c>
      <c r="H42" t="s">
        <v>92</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93</v>
      </c>
      <c r="B43" t="s">
        <v>598</v>
      </c>
      <c r="C43" t="s">
        <v>88</v>
      </c>
      <c r="D43" t="s">
        <v>599</v>
      </c>
      <c r="E43" t="s">
        <v>644</v>
      </c>
      <c r="F43" t="s">
        <v>88</v>
      </c>
      <c r="G43" t="s">
        <v>88</v>
      </c>
      <c r="H43" t="s">
        <v>92</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93</v>
      </c>
      <c r="B44" t="s">
        <v>600</v>
      </c>
      <c r="C44" t="s">
        <v>88</v>
      </c>
      <c r="D44" t="s">
        <v>601</v>
      </c>
      <c r="E44" t="s">
        <v>591</v>
      </c>
      <c r="F44" t="s">
        <v>88</v>
      </c>
      <c r="G44" t="s">
        <v>88</v>
      </c>
      <c r="H44" t="s">
        <v>92</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93</v>
      </c>
      <c r="B45" t="s">
        <v>603</v>
      </c>
      <c r="C45" t="s">
        <v>88</v>
      </c>
      <c r="D45" t="s">
        <v>604</v>
      </c>
      <c r="E45" t="s">
        <v>647</v>
      </c>
      <c r="F45" t="s">
        <v>88</v>
      </c>
      <c r="G45" t="s">
        <v>88</v>
      </c>
      <c r="H45" t="s">
        <v>92</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93</v>
      </c>
      <c r="B46" t="s">
        <v>606</v>
      </c>
      <c r="C46" t="s">
        <v>88</v>
      </c>
      <c r="D46" t="s">
        <v>88</v>
      </c>
      <c r="E46" t="s">
        <v>648</v>
      </c>
      <c r="F46" t="s">
        <v>88</v>
      </c>
      <c r="G46" t="s">
        <v>88</v>
      </c>
      <c r="H46" t="s">
        <v>92</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93</v>
      </c>
      <c r="B47" t="s">
        <v>610</v>
      </c>
      <c r="C47" t="s">
        <v>88</v>
      </c>
      <c r="D47" t="s">
        <v>88</v>
      </c>
      <c r="E47" t="s">
        <v>648</v>
      </c>
      <c r="F47" t="s">
        <v>88</v>
      </c>
      <c r="G47" t="s">
        <v>88</v>
      </c>
      <c r="H47" t="s">
        <v>92</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93</v>
      </c>
      <c r="B48" t="s">
        <v>608</v>
      </c>
      <c r="C48" t="s">
        <v>88</v>
      </c>
      <c r="D48" t="s">
        <v>88</v>
      </c>
      <c r="E48" t="s">
        <v>649</v>
      </c>
      <c r="F48" t="s">
        <v>88</v>
      </c>
      <c r="G48" t="s">
        <v>88</v>
      </c>
      <c r="H48" t="s">
        <v>92</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93</v>
      </c>
      <c r="B49" t="s">
        <v>612</v>
      </c>
      <c r="C49" t="s">
        <v>88</v>
      </c>
      <c r="D49" t="s">
        <v>88</v>
      </c>
      <c r="E49" t="s">
        <v>650</v>
      </c>
      <c r="F49" t="s">
        <v>88</v>
      </c>
      <c r="G49" t="s">
        <v>88</v>
      </c>
      <c r="H49" t="s">
        <v>92</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93</v>
      </c>
      <c r="B50" t="s">
        <v>651</v>
      </c>
      <c r="C50" t="s">
        <v>88</v>
      </c>
      <c r="D50" t="s">
        <v>88</v>
      </c>
      <c r="E50" t="s">
        <v>650</v>
      </c>
      <c r="F50" t="s">
        <v>88</v>
      </c>
      <c r="G50" t="s">
        <v>88</v>
      </c>
      <c r="H50" t="s">
        <v>92</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93</v>
      </c>
      <c r="B51" t="s">
        <v>614</v>
      </c>
      <c r="C51" t="s">
        <v>88</v>
      </c>
      <c r="D51" t="s">
        <v>88</v>
      </c>
      <c r="E51" t="s">
        <v>650</v>
      </c>
      <c r="F51" t="s">
        <v>88</v>
      </c>
      <c r="G51" t="s">
        <v>88</v>
      </c>
      <c r="H51" t="s">
        <v>92</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93</v>
      </c>
      <c r="B52" t="s">
        <v>615</v>
      </c>
      <c r="C52" t="s">
        <v>88</v>
      </c>
      <c r="D52" t="s">
        <v>88</v>
      </c>
      <c r="E52" t="s">
        <v>650</v>
      </c>
      <c r="F52" t="s">
        <v>88</v>
      </c>
      <c r="G52" t="s">
        <v>88</v>
      </c>
      <c r="H52" t="s">
        <v>92</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93</v>
      </c>
      <c r="B53" t="s">
        <v>616</v>
      </c>
      <c r="C53" t="s">
        <v>88</v>
      </c>
      <c r="D53" t="s">
        <v>88</v>
      </c>
      <c r="E53" t="s">
        <v>650</v>
      </c>
      <c r="F53" t="s">
        <v>88</v>
      </c>
      <c r="G53" t="s">
        <v>88</v>
      </c>
      <c r="H53" t="s">
        <v>92</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93</v>
      </c>
      <c r="B54" t="s">
        <v>617</v>
      </c>
      <c r="C54" t="s">
        <v>88</v>
      </c>
      <c r="D54" t="s">
        <v>88</v>
      </c>
      <c r="E54" t="s">
        <v>650</v>
      </c>
      <c r="F54" t="s">
        <v>88</v>
      </c>
      <c r="G54" t="s">
        <v>88</v>
      </c>
      <c r="H54" t="s">
        <v>92</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93</v>
      </c>
      <c r="B55" t="s">
        <v>618</v>
      </c>
      <c r="C55" t="s">
        <v>88</v>
      </c>
      <c r="D55" t="s">
        <v>88</v>
      </c>
      <c r="E55" t="s">
        <v>619</v>
      </c>
      <c r="F55" t="s">
        <v>88</v>
      </c>
      <c r="G55" t="s">
        <v>88</v>
      </c>
      <c r="H55" t="s">
        <v>92</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93</v>
      </c>
      <c r="B56" t="s">
        <v>620</v>
      </c>
      <c r="C56" t="s">
        <v>88</v>
      </c>
      <c r="D56" t="s">
        <v>88</v>
      </c>
      <c r="E56" t="s">
        <v>624</v>
      </c>
      <c r="F56" t="s">
        <v>88</v>
      </c>
      <c r="G56" t="s">
        <v>88</v>
      </c>
      <c r="H56" t="s">
        <v>92</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93</v>
      </c>
      <c r="B57" t="s">
        <v>622</v>
      </c>
      <c r="C57" t="s">
        <v>88</v>
      </c>
      <c r="D57" t="s">
        <v>88</v>
      </c>
      <c r="E57" t="s">
        <v>650</v>
      </c>
      <c r="F57" t="s">
        <v>88</v>
      </c>
      <c r="G57" t="s">
        <v>88</v>
      </c>
      <c r="H57" t="s">
        <v>92</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93</v>
      </c>
      <c r="B58" t="s">
        <v>623</v>
      </c>
      <c r="C58" t="s">
        <v>88</v>
      </c>
      <c r="D58" t="s">
        <v>88</v>
      </c>
      <c r="E58" t="s">
        <v>652</v>
      </c>
      <c r="F58" t="s">
        <v>88</v>
      </c>
      <c r="G58" t="s">
        <v>88</v>
      </c>
      <c r="H58" t="s">
        <v>92</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93</v>
      </c>
      <c r="B59" t="s">
        <v>625</v>
      </c>
      <c r="C59" t="s">
        <v>88</v>
      </c>
      <c r="D59" t="s">
        <v>88</v>
      </c>
      <c r="E59" t="s">
        <v>626</v>
      </c>
      <c r="F59" t="s">
        <v>88</v>
      </c>
      <c r="G59" t="s">
        <v>88</v>
      </c>
      <c r="H59" t="s">
        <v>92</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95</v>
      </c>
      <c r="B60" t="s">
        <v>653</v>
      </c>
      <c r="C60" t="s">
        <v>88</v>
      </c>
      <c r="D60" t="s">
        <v>654</v>
      </c>
      <c r="E60" t="s">
        <v>655</v>
      </c>
      <c r="F60" t="s">
        <v>88</v>
      </c>
      <c r="G60" t="s">
        <v>88</v>
      </c>
      <c r="H60" t="s">
        <v>92</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95</v>
      </c>
      <c r="B61" t="s">
        <v>656</v>
      </c>
      <c r="C61" t="s">
        <v>88</v>
      </c>
      <c r="D61" t="s">
        <v>657</v>
      </c>
      <c r="E61" t="s">
        <v>658</v>
      </c>
      <c r="F61" t="s">
        <v>88</v>
      </c>
      <c r="G61" t="s">
        <v>88</v>
      </c>
      <c r="H61" t="s">
        <v>92</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95</v>
      </c>
      <c r="B62" t="s">
        <v>659</v>
      </c>
      <c r="C62" t="s">
        <v>88</v>
      </c>
      <c r="D62" t="s">
        <v>660</v>
      </c>
      <c r="E62" t="s">
        <v>655</v>
      </c>
      <c r="F62" t="s">
        <v>88</v>
      </c>
      <c r="G62" t="s">
        <v>88</v>
      </c>
      <c r="H62" t="s">
        <v>92</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95</v>
      </c>
      <c r="B63" t="s">
        <v>661</v>
      </c>
      <c r="C63" t="s">
        <v>88</v>
      </c>
      <c r="D63" t="s">
        <v>662</v>
      </c>
      <c r="E63" t="s">
        <v>663</v>
      </c>
      <c r="F63" t="s">
        <v>88</v>
      </c>
      <c r="G63" t="s">
        <v>88</v>
      </c>
      <c r="H63" t="s">
        <v>92</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95</v>
      </c>
      <c r="B64" t="s">
        <v>664</v>
      </c>
      <c r="C64" t="s">
        <v>88</v>
      </c>
      <c r="D64" t="s">
        <v>665</v>
      </c>
      <c r="E64" t="s">
        <v>666</v>
      </c>
      <c r="F64" t="s">
        <v>88</v>
      </c>
      <c r="G64" t="s">
        <v>88</v>
      </c>
      <c r="H64" t="s">
        <v>92</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95</v>
      </c>
      <c r="B65" t="s">
        <v>667</v>
      </c>
      <c r="C65" t="s">
        <v>88</v>
      </c>
      <c r="D65" t="s">
        <v>668</v>
      </c>
      <c r="E65" t="s">
        <v>666</v>
      </c>
      <c r="F65" t="s">
        <v>88</v>
      </c>
      <c r="G65" t="s">
        <v>88</v>
      </c>
      <c r="H65" t="s">
        <v>92</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95</v>
      </c>
      <c r="B66" t="s">
        <v>664</v>
      </c>
      <c r="C66" t="s">
        <v>88</v>
      </c>
      <c r="D66" t="s">
        <v>665</v>
      </c>
      <c r="E66" t="s">
        <v>666</v>
      </c>
      <c r="F66" t="s">
        <v>88</v>
      </c>
      <c r="G66" t="s">
        <v>88</v>
      </c>
      <c r="H66" t="s">
        <v>92</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95</v>
      </c>
      <c r="B67" t="s">
        <v>669</v>
      </c>
      <c r="C67" t="s">
        <v>88</v>
      </c>
      <c r="D67" t="s">
        <v>670</v>
      </c>
      <c r="E67" t="s">
        <v>666</v>
      </c>
      <c r="F67" t="s">
        <v>88</v>
      </c>
      <c r="G67" t="s">
        <v>88</v>
      </c>
      <c r="H67" t="s">
        <v>92</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95</v>
      </c>
      <c r="B68" t="s">
        <v>671</v>
      </c>
      <c r="C68" t="s">
        <v>88</v>
      </c>
      <c r="D68" t="s">
        <v>672</v>
      </c>
      <c r="E68" t="s">
        <v>673</v>
      </c>
      <c r="F68" t="s">
        <v>88</v>
      </c>
      <c r="G68" t="s">
        <v>88</v>
      </c>
      <c r="H68" t="s">
        <v>92</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95</v>
      </c>
      <c r="B69" t="s">
        <v>674</v>
      </c>
      <c r="C69" t="s">
        <v>88</v>
      </c>
      <c r="D69" t="s">
        <v>675</v>
      </c>
      <c r="E69" t="s">
        <v>676</v>
      </c>
      <c r="F69" t="s">
        <v>88</v>
      </c>
      <c r="G69" t="s">
        <v>88</v>
      </c>
      <c r="H69" t="s">
        <v>92</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95</v>
      </c>
      <c r="B70" t="s">
        <v>661</v>
      </c>
      <c r="C70" t="s">
        <v>88</v>
      </c>
      <c r="D70" t="s">
        <v>662</v>
      </c>
      <c r="E70" t="s">
        <v>663</v>
      </c>
      <c r="F70" t="s">
        <v>88</v>
      </c>
      <c r="G70" t="s">
        <v>88</v>
      </c>
      <c r="H70" t="s">
        <v>92</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95</v>
      </c>
      <c r="B71" t="s">
        <v>677</v>
      </c>
      <c r="C71" t="s">
        <v>88</v>
      </c>
      <c r="D71" t="s">
        <v>678</v>
      </c>
      <c r="E71" t="s">
        <v>679</v>
      </c>
      <c r="F71" t="s">
        <v>88</v>
      </c>
      <c r="G71" t="s">
        <v>88</v>
      </c>
      <c r="H71" t="s">
        <v>92</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95</v>
      </c>
      <c r="B72" t="s">
        <v>656</v>
      </c>
      <c r="C72" t="s">
        <v>88</v>
      </c>
      <c r="D72" t="s">
        <v>657</v>
      </c>
      <c r="E72" t="s">
        <v>658</v>
      </c>
      <c r="F72" t="s">
        <v>88</v>
      </c>
      <c r="G72" t="s">
        <v>88</v>
      </c>
      <c r="H72" t="s">
        <v>92</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95</v>
      </c>
      <c r="B73" t="s">
        <v>680</v>
      </c>
      <c r="C73" t="s">
        <v>88</v>
      </c>
      <c r="D73" t="s">
        <v>681</v>
      </c>
      <c r="E73" t="s">
        <v>655</v>
      </c>
      <c r="F73" t="s">
        <v>88</v>
      </c>
      <c r="G73" t="s">
        <v>88</v>
      </c>
      <c r="H73" t="s">
        <v>92</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95</v>
      </c>
      <c r="B74" t="s">
        <v>682</v>
      </c>
      <c r="C74" t="s">
        <v>88</v>
      </c>
      <c r="D74" t="s">
        <v>683</v>
      </c>
      <c r="E74" t="s">
        <v>655</v>
      </c>
      <c r="F74" t="s">
        <v>88</v>
      </c>
      <c r="G74" t="s">
        <v>88</v>
      </c>
      <c r="H74" t="s">
        <v>92</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95</v>
      </c>
      <c r="B75" t="s">
        <v>684</v>
      </c>
      <c r="C75" t="s">
        <v>88</v>
      </c>
      <c r="D75" t="s">
        <v>685</v>
      </c>
      <c r="E75" t="s">
        <v>655</v>
      </c>
      <c r="F75" t="s">
        <v>88</v>
      </c>
      <c r="G75" t="s">
        <v>88</v>
      </c>
      <c r="H75" t="s">
        <v>92</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95</v>
      </c>
      <c r="B76" t="s">
        <v>686</v>
      </c>
      <c r="C76" t="s">
        <v>88</v>
      </c>
      <c r="D76" t="s">
        <v>687</v>
      </c>
      <c r="E76" t="s">
        <v>655</v>
      </c>
      <c r="F76" t="s">
        <v>88</v>
      </c>
      <c r="G76" t="s">
        <v>88</v>
      </c>
      <c r="H76" t="s">
        <v>92</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95</v>
      </c>
      <c r="B77" t="s">
        <v>688</v>
      </c>
      <c r="C77" t="s">
        <v>88</v>
      </c>
      <c r="D77" t="s">
        <v>689</v>
      </c>
      <c r="E77" t="s">
        <v>655</v>
      </c>
      <c r="F77" t="s">
        <v>88</v>
      </c>
      <c r="G77" t="s">
        <v>88</v>
      </c>
      <c r="H77" t="s">
        <v>92</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95</v>
      </c>
      <c r="B78" t="s">
        <v>690</v>
      </c>
      <c r="C78" t="s">
        <v>88</v>
      </c>
      <c r="D78" t="s">
        <v>691</v>
      </c>
      <c r="E78" t="s">
        <v>692</v>
      </c>
      <c r="F78" t="s">
        <v>88</v>
      </c>
      <c r="G78" t="s">
        <v>88</v>
      </c>
      <c r="H78" t="s">
        <v>92</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95</v>
      </c>
      <c r="B79" t="s">
        <v>653</v>
      </c>
      <c r="C79" t="s">
        <v>88</v>
      </c>
      <c r="D79" t="s">
        <v>654</v>
      </c>
      <c r="E79" t="s">
        <v>655</v>
      </c>
      <c r="F79" t="s">
        <v>88</v>
      </c>
      <c r="G79" t="s">
        <v>88</v>
      </c>
      <c r="H79" t="s">
        <v>92</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95</v>
      </c>
      <c r="B80" t="s">
        <v>693</v>
      </c>
      <c r="C80" t="s">
        <v>88</v>
      </c>
      <c r="D80" t="s">
        <v>694</v>
      </c>
      <c r="E80" t="s">
        <v>663</v>
      </c>
      <c r="F80" t="s">
        <v>88</v>
      </c>
      <c r="G80" t="s">
        <v>88</v>
      </c>
      <c r="H80" t="s">
        <v>92</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95</v>
      </c>
      <c r="B81" t="s">
        <v>695</v>
      </c>
      <c r="C81" t="s">
        <v>88</v>
      </c>
      <c r="D81" t="s">
        <v>694</v>
      </c>
      <c r="E81" t="s">
        <v>663</v>
      </c>
      <c r="F81" t="s">
        <v>88</v>
      </c>
      <c r="G81" t="s">
        <v>88</v>
      </c>
      <c r="H81" t="s">
        <v>92</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95</v>
      </c>
      <c r="B82" t="s">
        <v>696</v>
      </c>
      <c r="C82" t="s">
        <v>88</v>
      </c>
      <c r="D82" t="s">
        <v>697</v>
      </c>
      <c r="E82" t="s">
        <v>673</v>
      </c>
      <c r="F82" t="s">
        <v>88</v>
      </c>
      <c r="G82" t="s">
        <v>88</v>
      </c>
      <c r="H82" t="s">
        <v>92</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95</v>
      </c>
      <c r="B83" t="s">
        <v>698</v>
      </c>
      <c r="C83" t="s">
        <v>88</v>
      </c>
      <c r="D83" t="s">
        <v>699</v>
      </c>
      <c r="E83" t="s">
        <v>700</v>
      </c>
      <c r="F83" t="s">
        <v>88</v>
      </c>
      <c r="G83" t="s">
        <v>88</v>
      </c>
      <c r="H83" t="s">
        <v>92</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95</v>
      </c>
      <c r="B84" t="s">
        <v>659</v>
      </c>
      <c r="C84" t="s">
        <v>88</v>
      </c>
      <c r="D84" t="s">
        <v>660</v>
      </c>
      <c r="E84" t="s">
        <v>655</v>
      </c>
      <c r="F84" t="s">
        <v>88</v>
      </c>
      <c r="G84" t="s">
        <v>88</v>
      </c>
      <c r="H84" t="s">
        <v>92</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95</v>
      </c>
      <c r="B85" t="s">
        <v>701</v>
      </c>
      <c r="C85" t="s">
        <v>88</v>
      </c>
      <c r="D85" t="s">
        <v>88</v>
      </c>
      <c r="E85" t="s">
        <v>702</v>
      </c>
      <c r="F85" t="s">
        <v>88</v>
      </c>
      <c r="G85" t="s">
        <v>88</v>
      </c>
      <c r="H85" t="s">
        <v>92</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95</v>
      </c>
      <c r="B86" t="s">
        <v>703</v>
      </c>
      <c r="C86" t="s">
        <v>88</v>
      </c>
      <c r="D86" t="s">
        <v>88</v>
      </c>
      <c r="E86" t="s">
        <v>702</v>
      </c>
      <c r="F86" t="s">
        <v>88</v>
      </c>
      <c r="G86" t="s">
        <v>88</v>
      </c>
      <c r="H86" t="s">
        <v>92</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95</v>
      </c>
      <c r="B87" t="s">
        <v>704</v>
      </c>
      <c r="C87" t="s">
        <v>88</v>
      </c>
      <c r="D87" t="s">
        <v>88</v>
      </c>
      <c r="E87" t="s">
        <v>702</v>
      </c>
      <c r="F87" t="s">
        <v>88</v>
      </c>
      <c r="G87" t="s">
        <v>88</v>
      </c>
      <c r="H87" t="s">
        <v>92</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95</v>
      </c>
      <c r="B88" t="s">
        <v>705</v>
      </c>
      <c r="C88" t="s">
        <v>88</v>
      </c>
      <c r="D88" t="s">
        <v>88</v>
      </c>
      <c r="E88" t="s">
        <v>702</v>
      </c>
      <c r="F88" t="s">
        <v>88</v>
      </c>
      <c r="G88" t="s">
        <v>88</v>
      </c>
      <c r="H88" t="s">
        <v>92</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95</v>
      </c>
      <c r="B89" t="s">
        <v>706</v>
      </c>
      <c r="C89" t="s">
        <v>88</v>
      </c>
      <c r="D89" t="s">
        <v>88</v>
      </c>
      <c r="E89" t="s">
        <v>702</v>
      </c>
      <c r="F89" t="s">
        <v>88</v>
      </c>
      <c r="G89" t="s">
        <v>88</v>
      </c>
      <c r="H89" t="s">
        <v>92</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95</v>
      </c>
      <c r="B90" t="s">
        <v>707</v>
      </c>
      <c r="C90" t="s">
        <v>88</v>
      </c>
      <c r="D90" t="s">
        <v>88</v>
      </c>
      <c r="E90" t="s">
        <v>702</v>
      </c>
      <c r="F90" t="s">
        <v>88</v>
      </c>
      <c r="G90" t="s">
        <v>88</v>
      </c>
      <c r="H90" t="s">
        <v>92</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95</v>
      </c>
      <c r="B91" t="s">
        <v>708</v>
      </c>
      <c r="C91" t="s">
        <v>88</v>
      </c>
      <c r="D91" t="s">
        <v>88</v>
      </c>
      <c r="E91" t="s">
        <v>702</v>
      </c>
      <c r="F91" t="s">
        <v>88</v>
      </c>
      <c r="G91" t="s">
        <v>88</v>
      </c>
      <c r="H91" t="s">
        <v>92</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95</v>
      </c>
      <c r="B92" t="s">
        <v>618</v>
      </c>
      <c r="C92" t="s">
        <v>88</v>
      </c>
      <c r="D92" t="s">
        <v>88</v>
      </c>
      <c r="E92" t="s">
        <v>709</v>
      </c>
      <c r="F92" t="s">
        <v>88</v>
      </c>
      <c r="G92" t="s">
        <v>88</v>
      </c>
      <c r="H92" t="s">
        <v>92</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95</v>
      </c>
      <c r="B93" t="s">
        <v>620</v>
      </c>
      <c r="C93" t="s">
        <v>88</v>
      </c>
      <c r="D93" t="s">
        <v>88</v>
      </c>
      <c r="E93" t="s">
        <v>709</v>
      </c>
      <c r="F93" t="s">
        <v>88</v>
      </c>
      <c r="G93" t="s">
        <v>88</v>
      </c>
      <c r="H93" t="s">
        <v>92</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95</v>
      </c>
      <c r="B94" t="s">
        <v>622</v>
      </c>
      <c r="C94" t="s">
        <v>88</v>
      </c>
      <c r="D94" t="s">
        <v>88</v>
      </c>
      <c r="E94" t="s">
        <v>710</v>
      </c>
      <c r="F94" t="s">
        <v>88</v>
      </c>
      <c r="G94" t="s">
        <v>88</v>
      </c>
      <c r="H94" t="s">
        <v>92</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95</v>
      </c>
      <c r="B95" t="s">
        <v>623</v>
      </c>
      <c r="C95" t="s">
        <v>88</v>
      </c>
      <c r="D95" t="s">
        <v>88</v>
      </c>
      <c r="E95" t="s">
        <v>711</v>
      </c>
      <c r="F95" t="s">
        <v>88</v>
      </c>
      <c r="G95" t="s">
        <v>88</v>
      </c>
      <c r="H95" t="s">
        <v>92</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95</v>
      </c>
      <c r="B96" t="s">
        <v>712</v>
      </c>
      <c r="C96" t="s">
        <v>88</v>
      </c>
      <c r="D96" t="s">
        <v>88</v>
      </c>
      <c r="E96" t="s">
        <v>713</v>
      </c>
      <c r="F96" t="s">
        <v>88</v>
      </c>
      <c r="G96" t="s">
        <v>88</v>
      </c>
      <c r="H96" t="s">
        <v>92</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95</v>
      </c>
      <c r="B97" t="s">
        <v>714</v>
      </c>
      <c r="C97" t="s">
        <v>88</v>
      </c>
      <c r="D97" t="s">
        <v>88</v>
      </c>
      <c r="E97" t="s">
        <v>715</v>
      </c>
      <c r="F97" t="s">
        <v>88</v>
      </c>
      <c r="G97" t="s">
        <v>88</v>
      </c>
      <c r="H97" t="s">
        <v>92</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98</v>
      </c>
      <c r="B98" t="s">
        <v>716</v>
      </c>
      <c r="C98" t="s">
        <v>88</v>
      </c>
      <c r="D98" t="s">
        <v>660</v>
      </c>
      <c r="E98" t="s">
        <v>717</v>
      </c>
      <c r="F98" t="s">
        <v>88</v>
      </c>
      <c r="G98" t="s">
        <v>88</v>
      </c>
      <c r="H98" t="s">
        <v>92</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98</v>
      </c>
      <c r="B99" t="s">
        <v>718</v>
      </c>
      <c r="C99" t="s">
        <v>88</v>
      </c>
      <c r="D99" t="s">
        <v>660</v>
      </c>
      <c r="E99" t="s">
        <v>717</v>
      </c>
      <c r="F99" t="s">
        <v>88</v>
      </c>
      <c r="G99" t="s">
        <v>88</v>
      </c>
      <c r="H99" t="s">
        <v>92</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98</v>
      </c>
      <c r="B100" t="s">
        <v>719</v>
      </c>
      <c r="C100" t="s">
        <v>88</v>
      </c>
      <c r="D100" t="s">
        <v>720</v>
      </c>
      <c r="E100" t="s">
        <v>721</v>
      </c>
      <c r="F100" t="s">
        <v>88</v>
      </c>
      <c r="G100" t="s">
        <v>88</v>
      </c>
      <c r="H100" t="s">
        <v>92</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98</v>
      </c>
      <c r="B101" t="s">
        <v>722</v>
      </c>
      <c r="C101" t="s">
        <v>88</v>
      </c>
      <c r="D101" t="s">
        <v>660</v>
      </c>
      <c r="E101" t="s">
        <v>723</v>
      </c>
      <c r="F101" t="s">
        <v>88</v>
      </c>
      <c r="G101" t="s">
        <v>88</v>
      </c>
      <c r="H101" t="s">
        <v>92</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98</v>
      </c>
      <c r="B102" t="s">
        <v>724</v>
      </c>
      <c r="C102" t="s">
        <v>88</v>
      </c>
      <c r="D102" t="s">
        <v>660</v>
      </c>
      <c r="E102" t="s">
        <v>725</v>
      </c>
      <c r="F102" t="s">
        <v>88</v>
      </c>
      <c r="G102" t="s">
        <v>88</v>
      </c>
      <c r="H102" t="s">
        <v>92</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98</v>
      </c>
      <c r="B103" t="s">
        <v>722</v>
      </c>
      <c r="C103" t="s">
        <v>88</v>
      </c>
      <c r="D103" t="s">
        <v>660</v>
      </c>
      <c r="E103" t="s">
        <v>723</v>
      </c>
      <c r="F103" t="s">
        <v>88</v>
      </c>
      <c r="G103" t="s">
        <v>88</v>
      </c>
      <c r="H103" t="s">
        <v>92</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98</v>
      </c>
      <c r="B104" t="s">
        <v>724</v>
      </c>
      <c r="C104" t="s">
        <v>88</v>
      </c>
      <c r="D104" t="s">
        <v>660</v>
      </c>
      <c r="E104" t="s">
        <v>725</v>
      </c>
      <c r="F104" t="s">
        <v>88</v>
      </c>
      <c r="G104" t="s">
        <v>88</v>
      </c>
      <c r="H104" t="s">
        <v>92</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98</v>
      </c>
      <c r="B105" t="s">
        <v>716</v>
      </c>
      <c r="C105" t="s">
        <v>88</v>
      </c>
      <c r="D105" t="s">
        <v>660</v>
      </c>
      <c r="E105" t="s">
        <v>717</v>
      </c>
      <c r="F105" t="s">
        <v>88</v>
      </c>
      <c r="G105" t="s">
        <v>88</v>
      </c>
      <c r="H105" t="s">
        <v>92</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98</v>
      </c>
      <c r="B106" t="s">
        <v>726</v>
      </c>
      <c r="C106" t="s">
        <v>88</v>
      </c>
      <c r="D106" t="s">
        <v>660</v>
      </c>
      <c r="E106" t="s">
        <v>725</v>
      </c>
      <c r="F106" t="s">
        <v>88</v>
      </c>
      <c r="G106" t="s">
        <v>88</v>
      </c>
      <c r="H106" t="s">
        <v>92</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98</v>
      </c>
      <c r="B107" t="s">
        <v>718</v>
      </c>
      <c r="C107" t="s">
        <v>88</v>
      </c>
      <c r="D107" t="s">
        <v>660</v>
      </c>
      <c r="E107" t="s">
        <v>717</v>
      </c>
      <c r="F107" t="s">
        <v>88</v>
      </c>
      <c r="G107" t="s">
        <v>88</v>
      </c>
      <c r="H107" t="s">
        <v>92</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98</v>
      </c>
      <c r="B108" t="s">
        <v>727</v>
      </c>
      <c r="C108" t="s">
        <v>88</v>
      </c>
      <c r="D108" t="s">
        <v>660</v>
      </c>
      <c r="E108" t="s">
        <v>725</v>
      </c>
      <c r="F108" t="s">
        <v>88</v>
      </c>
      <c r="G108" t="s">
        <v>88</v>
      </c>
      <c r="H108" t="s">
        <v>92</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98</v>
      </c>
      <c r="B109" t="s">
        <v>728</v>
      </c>
      <c r="C109" t="s">
        <v>88</v>
      </c>
      <c r="D109" t="s">
        <v>720</v>
      </c>
      <c r="E109" t="s">
        <v>725</v>
      </c>
      <c r="F109" t="s">
        <v>88</v>
      </c>
      <c r="G109" t="s">
        <v>88</v>
      </c>
      <c r="H109" t="s">
        <v>92</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98</v>
      </c>
      <c r="B110" t="s">
        <v>729</v>
      </c>
      <c r="C110" t="s">
        <v>88</v>
      </c>
      <c r="D110" t="s">
        <v>730</v>
      </c>
      <c r="E110" t="s">
        <v>721</v>
      </c>
      <c r="F110" t="s">
        <v>88</v>
      </c>
      <c r="G110" t="s">
        <v>88</v>
      </c>
      <c r="H110" t="s">
        <v>92</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98</v>
      </c>
      <c r="B111" t="s">
        <v>719</v>
      </c>
      <c r="C111" t="s">
        <v>88</v>
      </c>
      <c r="D111" t="s">
        <v>720</v>
      </c>
      <c r="E111" t="s">
        <v>721</v>
      </c>
      <c r="F111" t="s">
        <v>88</v>
      </c>
      <c r="G111" t="s">
        <v>88</v>
      </c>
      <c r="H111" t="s">
        <v>92</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98</v>
      </c>
      <c r="B112" t="s">
        <v>731</v>
      </c>
      <c r="C112" t="s">
        <v>88</v>
      </c>
      <c r="D112" t="s">
        <v>720</v>
      </c>
      <c r="E112" t="s">
        <v>721</v>
      </c>
      <c r="F112" t="s">
        <v>88</v>
      </c>
      <c r="G112" t="s">
        <v>88</v>
      </c>
      <c r="H112" t="s">
        <v>92</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98</v>
      </c>
      <c r="B113" t="s">
        <v>612</v>
      </c>
      <c r="C113" t="s">
        <v>88</v>
      </c>
      <c r="D113" t="s">
        <v>88</v>
      </c>
      <c r="E113" t="s">
        <v>732</v>
      </c>
      <c r="F113" t="s">
        <v>88</v>
      </c>
      <c r="G113" t="s">
        <v>88</v>
      </c>
      <c r="H113" t="s">
        <v>92</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98</v>
      </c>
      <c r="B114" t="s">
        <v>614</v>
      </c>
      <c r="C114" t="s">
        <v>88</v>
      </c>
      <c r="D114" t="s">
        <v>88</v>
      </c>
      <c r="E114" t="s">
        <v>732</v>
      </c>
      <c r="F114" t="s">
        <v>88</v>
      </c>
      <c r="G114" t="s">
        <v>88</v>
      </c>
      <c r="H114" t="s">
        <v>92</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98</v>
      </c>
      <c r="B115" t="s">
        <v>615</v>
      </c>
      <c r="C115" t="s">
        <v>88</v>
      </c>
      <c r="D115" t="s">
        <v>88</v>
      </c>
      <c r="E115" t="s">
        <v>732</v>
      </c>
      <c r="F115" t="s">
        <v>88</v>
      </c>
      <c r="G115" t="s">
        <v>88</v>
      </c>
      <c r="H115" t="s">
        <v>92</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98</v>
      </c>
      <c r="B116" t="s">
        <v>616</v>
      </c>
      <c r="C116" t="s">
        <v>88</v>
      </c>
      <c r="D116" t="s">
        <v>88</v>
      </c>
      <c r="E116" t="s">
        <v>702</v>
      </c>
      <c r="F116" t="s">
        <v>88</v>
      </c>
      <c r="G116" t="s">
        <v>88</v>
      </c>
      <c r="H116" t="s">
        <v>92</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98</v>
      </c>
      <c r="B117" t="s">
        <v>617</v>
      </c>
      <c r="C117" t="s">
        <v>88</v>
      </c>
      <c r="D117" t="s">
        <v>88</v>
      </c>
      <c r="E117" t="s">
        <v>732</v>
      </c>
      <c r="F117" t="s">
        <v>88</v>
      </c>
      <c r="G117" t="s">
        <v>88</v>
      </c>
      <c r="H117" t="s">
        <v>92</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98</v>
      </c>
      <c r="B118" t="s">
        <v>733</v>
      </c>
      <c r="C118" t="s">
        <v>88</v>
      </c>
      <c r="D118" t="s">
        <v>88</v>
      </c>
      <c r="E118" t="s">
        <v>702</v>
      </c>
      <c r="F118" t="s">
        <v>88</v>
      </c>
      <c r="G118" t="s">
        <v>88</v>
      </c>
      <c r="H118" t="s">
        <v>92</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98</v>
      </c>
      <c r="B119" t="s">
        <v>620</v>
      </c>
      <c r="C119" t="s">
        <v>88</v>
      </c>
      <c r="D119" t="s">
        <v>88</v>
      </c>
      <c r="E119" t="s">
        <v>734</v>
      </c>
      <c r="F119" t="s">
        <v>88</v>
      </c>
      <c r="G119" t="s">
        <v>88</v>
      </c>
      <c r="H119" t="s">
        <v>92</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98</v>
      </c>
      <c r="B120" t="s">
        <v>622</v>
      </c>
      <c r="C120" t="s">
        <v>88</v>
      </c>
      <c r="D120" t="s">
        <v>88</v>
      </c>
      <c r="E120" t="s">
        <v>709</v>
      </c>
      <c r="F120" t="s">
        <v>88</v>
      </c>
      <c r="G120" t="s">
        <v>88</v>
      </c>
      <c r="H120" t="s">
        <v>92</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98</v>
      </c>
      <c r="B121" t="s">
        <v>623</v>
      </c>
      <c r="C121" t="s">
        <v>88</v>
      </c>
      <c r="D121" t="s">
        <v>88</v>
      </c>
      <c r="E121" t="s">
        <v>735</v>
      </c>
      <c r="F121" t="s">
        <v>88</v>
      </c>
      <c r="G121" t="s">
        <v>88</v>
      </c>
      <c r="H121" t="s">
        <v>92</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98</v>
      </c>
      <c r="B122" t="s">
        <v>625</v>
      </c>
      <c r="C122" t="s">
        <v>88</v>
      </c>
      <c r="D122" t="s">
        <v>88</v>
      </c>
      <c r="E122" t="s">
        <v>626</v>
      </c>
      <c r="F122" t="s">
        <v>88</v>
      </c>
      <c r="G122" t="s">
        <v>88</v>
      </c>
      <c r="H122" t="s">
        <v>92</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102</v>
      </c>
      <c r="B123" t="s">
        <v>736</v>
      </c>
      <c r="C123" t="s">
        <v>88</v>
      </c>
      <c r="D123" t="s">
        <v>737</v>
      </c>
      <c r="E123" t="s">
        <v>738</v>
      </c>
      <c r="F123" t="s">
        <v>88</v>
      </c>
      <c r="G123" t="s">
        <v>88</v>
      </c>
      <c r="H123" t="s">
        <v>92</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102</v>
      </c>
      <c r="B124" t="s">
        <v>739</v>
      </c>
      <c r="C124" t="s">
        <v>88</v>
      </c>
      <c r="D124" t="s">
        <v>737</v>
      </c>
      <c r="E124" t="s">
        <v>715</v>
      </c>
      <c r="F124" t="s">
        <v>88</v>
      </c>
      <c r="G124" t="s">
        <v>88</v>
      </c>
      <c r="H124" t="s">
        <v>92</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102</v>
      </c>
      <c r="B125" t="s">
        <v>740</v>
      </c>
      <c r="C125" t="s">
        <v>88</v>
      </c>
      <c r="D125" t="s">
        <v>737</v>
      </c>
      <c r="E125" t="s">
        <v>658</v>
      </c>
      <c r="F125" t="s">
        <v>88</v>
      </c>
      <c r="G125" t="s">
        <v>88</v>
      </c>
      <c r="H125" t="s">
        <v>92</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102</v>
      </c>
      <c r="B126" t="s">
        <v>741</v>
      </c>
      <c r="C126" t="s">
        <v>88</v>
      </c>
      <c r="D126" t="s">
        <v>742</v>
      </c>
      <c r="E126" t="s">
        <v>725</v>
      </c>
      <c r="F126" t="s">
        <v>88</v>
      </c>
      <c r="G126" t="s">
        <v>88</v>
      </c>
      <c r="H126" t="s">
        <v>92</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102</v>
      </c>
      <c r="B127" t="s">
        <v>743</v>
      </c>
      <c r="C127" t="s">
        <v>88</v>
      </c>
      <c r="D127" t="s">
        <v>737</v>
      </c>
      <c r="E127" t="s">
        <v>658</v>
      </c>
      <c r="F127" t="s">
        <v>88</v>
      </c>
      <c r="G127" t="s">
        <v>88</v>
      </c>
      <c r="H127" t="s">
        <v>92</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102</v>
      </c>
      <c r="B128" t="s">
        <v>741</v>
      </c>
      <c r="C128" t="s">
        <v>88</v>
      </c>
      <c r="D128" t="s">
        <v>742</v>
      </c>
      <c r="E128" t="s">
        <v>725</v>
      </c>
      <c r="F128" t="s">
        <v>88</v>
      </c>
      <c r="G128" t="s">
        <v>88</v>
      </c>
      <c r="H128" t="s">
        <v>92</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102</v>
      </c>
      <c r="B129" t="s">
        <v>744</v>
      </c>
      <c r="C129" t="s">
        <v>88</v>
      </c>
      <c r="D129" t="s">
        <v>745</v>
      </c>
      <c r="E129" t="s">
        <v>673</v>
      </c>
      <c r="F129" t="s">
        <v>88</v>
      </c>
      <c r="G129" t="s">
        <v>88</v>
      </c>
      <c r="H129" t="s">
        <v>92</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102</v>
      </c>
      <c r="B130" t="s">
        <v>746</v>
      </c>
      <c r="C130" t="s">
        <v>88</v>
      </c>
      <c r="D130" t="s">
        <v>747</v>
      </c>
      <c r="E130" t="s">
        <v>748</v>
      </c>
      <c r="F130" t="s">
        <v>88</v>
      </c>
      <c r="G130" t="s">
        <v>88</v>
      </c>
      <c r="H130" t="s">
        <v>92</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102</v>
      </c>
      <c r="B131" t="s">
        <v>749</v>
      </c>
      <c r="C131" t="s">
        <v>88</v>
      </c>
      <c r="D131" t="s">
        <v>750</v>
      </c>
      <c r="E131" t="s">
        <v>658</v>
      </c>
      <c r="F131" t="s">
        <v>88</v>
      </c>
      <c r="G131" t="s">
        <v>88</v>
      </c>
      <c r="H131" t="s">
        <v>92</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102</v>
      </c>
      <c r="B132" t="s">
        <v>751</v>
      </c>
      <c r="C132" t="s">
        <v>88</v>
      </c>
      <c r="D132" t="s">
        <v>752</v>
      </c>
      <c r="E132" t="s">
        <v>725</v>
      </c>
      <c r="F132" t="s">
        <v>88</v>
      </c>
      <c r="G132" t="s">
        <v>88</v>
      </c>
      <c r="H132" t="s">
        <v>92</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102</v>
      </c>
      <c r="B133" t="s">
        <v>753</v>
      </c>
      <c r="C133" t="s">
        <v>88</v>
      </c>
      <c r="D133" t="s">
        <v>754</v>
      </c>
      <c r="E133" t="s">
        <v>721</v>
      </c>
      <c r="F133" t="s">
        <v>88</v>
      </c>
      <c r="G133" t="s">
        <v>88</v>
      </c>
      <c r="H133" t="s">
        <v>92</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102</v>
      </c>
      <c r="B134" t="s">
        <v>755</v>
      </c>
      <c r="C134" t="s">
        <v>88</v>
      </c>
      <c r="D134" t="s">
        <v>756</v>
      </c>
      <c r="E134" t="s">
        <v>663</v>
      </c>
      <c r="F134" t="s">
        <v>88</v>
      </c>
      <c r="G134" t="s">
        <v>88</v>
      </c>
      <c r="H134" t="s">
        <v>92</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102</v>
      </c>
      <c r="B135" t="s">
        <v>757</v>
      </c>
      <c r="C135" t="s">
        <v>88</v>
      </c>
      <c r="D135" t="s">
        <v>758</v>
      </c>
      <c r="E135" t="s">
        <v>700</v>
      </c>
      <c r="F135" t="s">
        <v>88</v>
      </c>
      <c r="G135" t="s">
        <v>88</v>
      </c>
      <c r="H135" t="s">
        <v>92</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102</v>
      </c>
      <c r="B136" t="s">
        <v>759</v>
      </c>
      <c r="C136" t="s">
        <v>88</v>
      </c>
      <c r="D136" t="s">
        <v>737</v>
      </c>
      <c r="E136" t="s">
        <v>760</v>
      </c>
      <c r="F136" t="s">
        <v>88</v>
      </c>
      <c r="G136" t="s">
        <v>88</v>
      </c>
      <c r="H136" t="s">
        <v>92</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102</v>
      </c>
      <c r="B137" t="s">
        <v>761</v>
      </c>
      <c r="C137" t="s">
        <v>88</v>
      </c>
      <c r="D137" t="s">
        <v>737</v>
      </c>
      <c r="E137" t="s">
        <v>762</v>
      </c>
      <c r="F137" t="s">
        <v>88</v>
      </c>
      <c r="G137" t="s">
        <v>88</v>
      </c>
      <c r="H137" t="s">
        <v>92</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102</v>
      </c>
      <c r="B138" t="s">
        <v>763</v>
      </c>
      <c r="C138" t="s">
        <v>88</v>
      </c>
      <c r="D138" t="s">
        <v>737</v>
      </c>
      <c r="E138" t="s">
        <v>760</v>
      </c>
      <c r="F138" t="s">
        <v>88</v>
      </c>
      <c r="G138" t="s">
        <v>88</v>
      </c>
      <c r="H138" t="s">
        <v>92</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102</v>
      </c>
      <c r="B139" t="s">
        <v>740</v>
      </c>
      <c r="C139" t="s">
        <v>88</v>
      </c>
      <c r="D139" t="s">
        <v>737</v>
      </c>
      <c r="E139" t="s">
        <v>658</v>
      </c>
      <c r="F139" t="s">
        <v>88</v>
      </c>
      <c r="G139" t="s">
        <v>88</v>
      </c>
      <c r="H139" t="s">
        <v>92</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102</v>
      </c>
      <c r="B140" t="s">
        <v>764</v>
      </c>
      <c r="C140" t="s">
        <v>88</v>
      </c>
      <c r="D140" t="s">
        <v>737</v>
      </c>
      <c r="E140" t="s">
        <v>748</v>
      </c>
      <c r="F140" t="s">
        <v>88</v>
      </c>
      <c r="G140" t="s">
        <v>88</v>
      </c>
      <c r="H140" t="s">
        <v>92</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102</v>
      </c>
      <c r="B141" t="s">
        <v>743</v>
      </c>
      <c r="C141" t="s">
        <v>88</v>
      </c>
      <c r="D141" t="s">
        <v>737</v>
      </c>
      <c r="E141" t="s">
        <v>658</v>
      </c>
      <c r="F141" t="s">
        <v>88</v>
      </c>
      <c r="G141" t="s">
        <v>88</v>
      </c>
      <c r="H141" t="s">
        <v>92</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102</v>
      </c>
      <c r="B142" t="s">
        <v>765</v>
      </c>
      <c r="C142" t="s">
        <v>88</v>
      </c>
      <c r="D142" t="s">
        <v>737</v>
      </c>
      <c r="E142" t="s">
        <v>655</v>
      </c>
      <c r="F142" t="s">
        <v>88</v>
      </c>
      <c r="G142" t="s">
        <v>88</v>
      </c>
      <c r="H142" t="s">
        <v>92</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102</v>
      </c>
      <c r="B143" t="s">
        <v>766</v>
      </c>
      <c r="C143" t="s">
        <v>88</v>
      </c>
      <c r="D143" t="s">
        <v>737</v>
      </c>
      <c r="E143" t="s">
        <v>762</v>
      </c>
      <c r="F143" t="s">
        <v>88</v>
      </c>
      <c r="G143" t="s">
        <v>88</v>
      </c>
      <c r="H143" t="s">
        <v>92</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102</v>
      </c>
      <c r="B144" t="s">
        <v>767</v>
      </c>
      <c r="C144" t="s">
        <v>88</v>
      </c>
      <c r="D144" t="s">
        <v>737</v>
      </c>
      <c r="E144" t="s">
        <v>658</v>
      </c>
      <c r="F144" t="s">
        <v>88</v>
      </c>
      <c r="G144" t="s">
        <v>88</v>
      </c>
      <c r="H144" t="s">
        <v>92</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102</v>
      </c>
      <c r="B145" t="s">
        <v>768</v>
      </c>
      <c r="C145" t="s">
        <v>88</v>
      </c>
      <c r="D145" t="s">
        <v>737</v>
      </c>
      <c r="E145" t="s">
        <v>762</v>
      </c>
      <c r="F145" t="s">
        <v>88</v>
      </c>
      <c r="G145" t="s">
        <v>88</v>
      </c>
      <c r="H145" t="s">
        <v>92</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102</v>
      </c>
      <c r="B146" t="s">
        <v>769</v>
      </c>
      <c r="C146" t="s">
        <v>88</v>
      </c>
      <c r="D146" t="s">
        <v>770</v>
      </c>
      <c r="E146" t="s">
        <v>658</v>
      </c>
      <c r="F146" t="s">
        <v>88</v>
      </c>
      <c r="G146" t="s">
        <v>88</v>
      </c>
      <c r="H146" t="s">
        <v>92</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102</v>
      </c>
      <c r="B147" t="s">
        <v>736</v>
      </c>
      <c r="C147" t="s">
        <v>88</v>
      </c>
      <c r="D147" t="s">
        <v>737</v>
      </c>
      <c r="E147" t="s">
        <v>738</v>
      </c>
      <c r="F147" t="s">
        <v>88</v>
      </c>
      <c r="G147" t="s">
        <v>88</v>
      </c>
      <c r="H147" t="s">
        <v>92</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102</v>
      </c>
      <c r="B148" t="s">
        <v>771</v>
      </c>
      <c r="C148" t="s">
        <v>88</v>
      </c>
      <c r="D148" t="s">
        <v>772</v>
      </c>
      <c r="E148" t="s">
        <v>738</v>
      </c>
      <c r="F148" t="s">
        <v>88</v>
      </c>
      <c r="G148" t="s">
        <v>88</v>
      </c>
      <c r="H148" t="s">
        <v>92</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102</v>
      </c>
      <c r="B149" t="s">
        <v>773</v>
      </c>
      <c r="C149" t="s">
        <v>88</v>
      </c>
      <c r="D149" t="s">
        <v>774</v>
      </c>
      <c r="E149" t="s">
        <v>679</v>
      </c>
      <c r="F149" t="s">
        <v>88</v>
      </c>
      <c r="G149" t="s">
        <v>88</v>
      </c>
      <c r="H149" t="s">
        <v>92</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102</v>
      </c>
      <c r="B150" t="s">
        <v>775</v>
      </c>
      <c r="C150" t="s">
        <v>88</v>
      </c>
      <c r="D150" t="s">
        <v>774</v>
      </c>
      <c r="E150" t="s">
        <v>738</v>
      </c>
      <c r="F150" t="s">
        <v>88</v>
      </c>
      <c r="G150" t="s">
        <v>88</v>
      </c>
      <c r="H150" t="s">
        <v>92</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102</v>
      </c>
      <c r="B151" t="s">
        <v>776</v>
      </c>
      <c r="C151" t="s">
        <v>88</v>
      </c>
      <c r="D151" t="s">
        <v>737</v>
      </c>
      <c r="E151" t="s">
        <v>738</v>
      </c>
      <c r="F151" t="s">
        <v>88</v>
      </c>
      <c r="G151" t="s">
        <v>88</v>
      </c>
      <c r="H151" t="s">
        <v>92</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102</v>
      </c>
      <c r="B152" t="s">
        <v>739</v>
      </c>
      <c r="C152" t="s">
        <v>88</v>
      </c>
      <c r="D152" t="s">
        <v>737</v>
      </c>
      <c r="E152" t="s">
        <v>715</v>
      </c>
      <c r="F152" t="s">
        <v>88</v>
      </c>
      <c r="G152" t="s">
        <v>88</v>
      </c>
      <c r="H152" t="s">
        <v>92</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102</v>
      </c>
      <c r="B153" t="s">
        <v>777</v>
      </c>
      <c r="C153" t="s">
        <v>88</v>
      </c>
      <c r="D153" t="s">
        <v>737</v>
      </c>
      <c r="E153" t="s">
        <v>738</v>
      </c>
      <c r="F153" t="s">
        <v>88</v>
      </c>
      <c r="G153" t="s">
        <v>88</v>
      </c>
      <c r="H153" t="s">
        <v>92</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102</v>
      </c>
      <c r="B154" t="s">
        <v>778</v>
      </c>
      <c r="C154" t="s">
        <v>88</v>
      </c>
      <c r="D154" t="s">
        <v>737</v>
      </c>
      <c r="E154" t="s">
        <v>738</v>
      </c>
      <c r="F154" t="s">
        <v>88</v>
      </c>
      <c r="G154" t="s">
        <v>88</v>
      </c>
      <c r="H154" t="s">
        <v>92</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102</v>
      </c>
      <c r="B155" t="s">
        <v>779</v>
      </c>
      <c r="C155" t="s">
        <v>88</v>
      </c>
      <c r="D155" t="s">
        <v>737</v>
      </c>
      <c r="E155" t="s">
        <v>780</v>
      </c>
      <c r="F155" t="s">
        <v>88</v>
      </c>
      <c r="G155" t="s">
        <v>88</v>
      </c>
      <c r="H155" t="s">
        <v>92</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102</v>
      </c>
      <c r="B156" t="s">
        <v>781</v>
      </c>
      <c r="C156" t="s">
        <v>88</v>
      </c>
      <c r="D156" t="s">
        <v>737</v>
      </c>
      <c r="E156" t="s">
        <v>679</v>
      </c>
      <c r="F156" t="s">
        <v>88</v>
      </c>
      <c r="G156" t="s">
        <v>88</v>
      </c>
      <c r="H156" t="s">
        <v>92</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102</v>
      </c>
      <c r="B157" t="s">
        <v>782</v>
      </c>
      <c r="C157" t="s">
        <v>88</v>
      </c>
      <c r="D157" t="s">
        <v>737</v>
      </c>
      <c r="E157" t="s">
        <v>721</v>
      </c>
      <c r="F157" t="s">
        <v>88</v>
      </c>
      <c r="G157" t="s">
        <v>88</v>
      </c>
      <c r="H157" t="s">
        <v>92</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102</v>
      </c>
      <c r="B158" t="s">
        <v>783</v>
      </c>
      <c r="C158" t="s">
        <v>88</v>
      </c>
      <c r="D158" t="s">
        <v>737</v>
      </c>
      <c r="E158" t="s">
        <v>721</v>
      </c>
      <c r="F158" t="s">
        <v>88</v>
      </c>
      <c r="G158" t="s">
        <v>88</v>
      </c>
      <c r="H158" t="s">
        <v>92</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102</v>
      </c>
      <c r="B159" t="s">
        <v>784</v>
      </c>
      <c r="C159" t="s">
        <v>88</v>
      </c>
      <c r="D159" t="s">
        <v>737</v>
      </c>
      <c r="E159" t="s">
        <v>721</v>
      </c>
      <c r="F159" t="s">
        <v>88</v>
      </c>
      <c r="G159" t="s">
        <v>88</v>
      </c>
      <c r="H159" t="s">
        <v>92</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102</v>
      </c>
      <c r="B160" t="s">
        <v>785</v>
      </c>
      <c r="C160" t="s">
        <v>88</v>
      </c>
      <c r="D160" t="s">
        <v>737</v>
      </c>
      <c r="E160" t="s">
        <v>679</v>
      </c>
      <c r="F160" t="s">
        <v>88</v>
      </c>
      <c r="G160" t="s">
        <v>88</v>
      </c>
      <c r="H160" t="s">
        <v>92</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102</v>
      </c>
      <c r="B161" t="s">
        <v>786</v>
      </c>
      <c r="C161" t="s">
        <v>88</v>
      </c>
      <c r="D161" t="s">
        <v>737</v>
      </c>
      <c r="E161" t="s">
        <v>715</v>
      </c>
      <c r="F161" t="s">
        <v>88</v>
      </c>
      <c r="G161" t="s">
        <v>88</v>
      </c>
      <c r="H161" t="s">
        <v>92</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102</v>
      </c>
      <c r="B162" t="s">
        <v>787</v>
      </c>
      <c r="C162" t="s">
        <v>88</v>
      </c>
      <c r="D162" t="s">
        <v>788</v>
      </c>
      <c r="E162" t="s">
        <v>679</v>
      </c>
      <c r="F162" t="s">
        <v>88</v>
      </c>
      <c r="G162" t="s">
        <v>88</v>
      </c>
      <c r="H162" t="s">
        <v>92</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102</v>
      </c>
      <c r="B163" t="s">
        <v>789</v>
      </c>
      <c r="C163" t="s">
        <v>88</v>
      </c>
      <c r="D163" t="s">
        <v>790</v>
      </c>
      <c r="E163" t="s">
        <v>791</v>
      </c>
      <c r="F163" t="s">
        <v>88</v>
      </c>
      <c r="G163" t="s">
        <v>88</v>
      </c>
      <c r="H163" t="s">
        <v>92</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102</v>
      </c>
      <c r="B164" t="s">
        <v>792</v>
      </c>
      <c r="C164" t="s">
        <v>88</v>
      </c>
      <c r="D164" t="s">
        <v>793</v>
      </c>
      <c r="E164" t="s">
        <v>658</v>
      </c>
      <c r="F164" t="s">
        <v>88</v>
      </c>
      <c r="G164" t="s">
        <v>88</v>
      </c>
      <c r="H164" t="s">
        <v>92</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102</v>
      </c>
      <c r="B165" t="s">
        <v>612</v>
      </c>
      <c r="C165" t="s">
        <v>88</v>
      </c>
      <c r="D165" t="s">
        <v>88</v>
      </c>
      <c r="E165" t="s">
        <v>709</v>
      </c>
      <c r="F165" t="s">
        <v>88</v>
      </c>
      <c r="G165" t="s">
        <v>88</v>
      </c>
      <c r="H165" t="s">
        <v>92</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102</v>
      </c>
      <c r="B166" t="s">
        <v>615</v>
      </c>
      <c r="C166" t="s">
        <v>88</v>
      </c>
      <c r="D166" t="s">
        <v>88</v>
      </c>
      <c r="E166" t="s">
        <v>709</v>
      </c>
      <c r="F166" t="s">
        <v>88</v>
      </c>
      <c r="G166" t="s">
        <v>88</v>
      </c>
      <c r="H166" t="s">
        <v>92</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102</v>
      </c>
      <c r="B167" t="s">
        <v>794</v>
      </c>
      <c r="C167" t="s">
        <v>88</v>
      </c>
      <c r="D167" t="s">
        <v>88</v>
      </c>
      <c r="E167" t="s">
        <v>710</v>
      </c>
      <c r="F167" t="s">
        <v>88</v>
      </c>
      <c r="G167" t="s">
        <v>88</v>
      </c>
      <c r="H167" t="s">
        <v>92</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102</v>
      </c>
      <c r="B168" t="s">
        <v>795</v>
      </c>
      <c r="C168" t="s">
        <v>88</v>
      </c>
      <c r="D168" t="s">
        <v>88</v>
      </c>
      <c r="E168" t="s">
        <v>711</v>
      </c>
      <c r="F168" t="s">
        <v>88</v>
      </c>
      <c r="G168" t="s">
        <v>88</v>
      </c>
      <c r="H168" t="s">
        <v>92</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102</v>
      </c>
      <c r="B169" t="s">
        <v>796</v>
      </c>
      <c r="C169" t="s">
        <v>88</v>
      </c>
      <c r="D169" t="s">
        <v>88</v>
      </c>
      <c r="E169" t="s">
        <v>710</v>
      </c>
      <c r="F169" t="s">
        <v>88</v>
      </c>
      <c r="G169" t="s">
        <v>88</v>
      </c>
      <c r="H169" t="s">
        <v>92</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102</v>
      </c>
      <c r="B170" t="s">
        <v>797</v>
      </c>
      <c r="C170" t="s">
        <v>88</v>
      </c>
      <c r="D170" t="s">
        <v>88</v>
      </c>
      <c r="E170" t="s">
        <v>711</v>
      </c>
      <c r="F170" t="s">
        <v>88</v>
      </c>
      <c r="G170" t="s">
        <v>88</v>
      </c>
      <c r="H170" t="s">
        <v>92</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102</v>
      </c>
      <c r="B171" t="s">
        <v>622</v>
      </c>
      <c r="C171" t="s">
        <v>88</v>
      </c>
      <c r="D171" t="s">
        <v>88</v>
      </c>
      <c r="E171" t="s">
        <v>713</v>
      </c>
      <c r="F171" t="s">
        <v>88</v>
      </c>
      <c r="G171" t="s">
        <v>88</v>
      </c>
      <c r="H171" t="s">
        <v>92</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102</v>
      </c>
      <c r="B172" t="s">
        <v>623</v>
      </c>
      <c r="C172" t="s">
        <v>88</v>
      </c>
      <c r="D172" t="s">
        <v>88</v>
      </c>
      <c r="E172" t="s">
        <v>713</v>
      </c>
      <c r="F172" t="s">
        <v>88</v>
      </c>
      <c r="G172" t="s">
        <v>88</v>
      </c>
      <c r="H172" t="s">
        <v>92</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102</v>
      </c>
      <c r="B173" t="s">
        <v>798</v>
      </c>
      <c r="C173" t="s">
        <v>88</v>
      </c>
      <c r="D173" t="s">
        <v>88</v>
      </c>
      <c r="E173" t="s">
        <v>799</v>
      </c>
      <c r="F173" t="s">
        <v>88</v>
      </c>
      <c r="G173" t="s">
        <v>88</v>
      </c>
      <c r="H173" t="s">
        <v>92</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102</v>
      </c>
      <c r="B174" t="s">
        <v>800</v>
      </c>
      <c r="C174" t="s">
        <v>88</v>
      </c>
      <c r="D174" t="s">
        <v>88</v>
      </c>
      <c r="E174" t="s">
        <v>715</v>
      </c>
      <c r="F174" t="s">
        <v>88</v>
      </c>
      <c r="G174" t="s">
        <v>88</v>
      </c>
      <c r="H174" t="s">
        <v>92</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102</v>
      </c>
      <c r="B175" t="s">
        <v>801</v>
      </c>
      <c r="C175" t="s">
        <v>88</v>
      </c>
      <c r="D175" t="s">
        <v>802</v>
      </c>
      <c r="E175" t="s">
        <v>803</v>
      </c>
      <c r="F175" t="s">
        <v>88</v>
      </c>
      <c r="G175" t="s">
        <v>88</v>
      </c>
      <c r="H175" t="s">
        <v>92</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102</v>
      </c>
      <c r="B176" t="s">
        <v>804</v>
      </c>
      <c r="C176" t="s">
        <v>88</v>
      </c>
      <c r="D176" t="s">
        <v>802</v>
      </c>
      <c r="E176" t="s">
        <v>805</v>
      </c>
      <c r="F176" t="s">
        <v>88</v>
      </c>
      <c r="G176" t="s">
        <v>88</v>
      </c>
      <c r="H176" t="s">
        <v>92</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102</v>
      </c>
      <c r="B177" t="s">
        <v>806</v>
      </c>
      <c r="C177" t="s">
        <v>88</v>
      </c>
      <c r="D177" t="s">
        <v>802</v>
      </c>
      <c r="E177" t="s">
        <v>807</v>
      </c>
      <c r="F177" t="s">
        <v>88</v>
      </c>
      <c r="G177" t="s">
        <v>88</v>
      </c>
      <c r="H177" t="s">
        <v>92</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102</v>
      </c>
      <c r="B178" t="s">
        <v>808</v>
      </c>
      <c r="C178" t="s">
        <v>88</v>
      </c>
      <c r="D178" t="s">
        <v>802</v>
      </c>
      <c r="E178" t="s">
        <v>803</v>
      </c>
      <c r="F178" t="s">
        <v>88</v>
      </c>
      <c r="G178" t="s">
        <v>88</v>
      </c>
      <c r="H178" t="s">
        <v>92</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102</v>
      </c>
      <c r="B179" t="s">
        <v>809</v>
      </c>
      <c r="C179" t="s">
        <v>88</v>
      </c>
      <c r="D179" t="s">
        <v>802</v>
      </c>
      <c r="E179" t="s">
        <v>807</v>
      </c>
      <c r="F179" t="s">
        <v>88</v>
      </c>
      <c r="G179" t="s">
        <v>88</v>
      </c>
      <c r="H179" t="s">
        <v>92</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102</v>
      </c>
      <c r="B180" t="s">
        <v>810</v>
      </c>
      <c r="C180" t="s">
        <v>88</v>
      </c>
      <c r="D180" t="s">
        <v>811</v>
      </c>
      <c r="E180" t="s">
        <v>812</v>
      </c>
      <c r="F180" t="s">
        <v>88</v>
      </c>
      <c r="G180" t="s">
        <v>88</v>
      </c>
      <c r="H180" t="s">
        <v>92</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102</v>
      </c>
      <c r="B181" t="s">
        <v>813</v>
      </c>
      <c r="C181" t="s">
        <v>88</v>
      </c>
      <c r="D181" t="s">
        <v>811</v>
      </c>
      <c r="E181" t="s">
        <v>814</v>
      </c>
      <c r="F181" t="s">
        <v>88</v>
      </c>
      <c r="G181" t="s">
        <v>88</v>
      </c>
      <c r="H181" t="s">
        <v>92</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102</v>
      </c>
      <c r="B182" t="s">
        <v>625</v>
      </c>
      <c r="C182" t="s">
        <v>88</v>
      </c>
      <c r="D182" t="s">
        <v>88</v>
      </c>
      <c r="E182" t="s">
        <v>626</v>
      </c>
      <c r="F182" t="s">
        <v>88</v>
      </c>
      <c r="G182" t="s">
        <v>88</v>
      </c>
      <c r="H182" t="s">
        <v>92</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105</v>
      </c>
      <c r="B183" t="s">
        <v>789</v>
      </c>
      <c r="C183" t="s">
        <v>88</v>
      </c>
      <c r="D183" t="s">
        <v>815</v>
      </c>
      <c r="E183" t="s">
        <v>799</v>
      </c>
      <c r="F183" t="s">
        <v>88</v>
      </c>
      <c r="G183" t="s">
        <v>88</v>
      </c>
      <c r="H183" t="s">
        <v>92</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105</v>
      </c>
      <c r="B184" t="s">
        <v>816</v>
      </c>
      <c r="C184" t="s">
        <v>88</v>
      </c>
      <c r="D184" t="s">
        <v>817</v>
      </c>
      <c r="E184" t="s">
        <v>655</v>
      </c>
      <c r="F184" t="s">
        <v>88</v>
      </c>
      <c r="G184" t="s">
        <v>88</v>
      </c>
      <c r="H184" t="s">
        <v>92</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105</v>
      </c>
      <c r="B185" t="s">
        <v>818</v>
      </c>
      <c r="C185" t="s">
        <v>88</v>
      </c>
      <c r="D185" t="s">
        <v>819</v>
      </c>
      <c r="E185" t="s">
        <v>820</v>
      </c>
      <c r="F185" t="s">
        <v>88</v>
      </c>
      <c r="G185" t="s">
        <v>88</v>
      </c>
      <c r="H185" t="s">
        <v>92</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105</v>
      </c>
      <c r="B186" t="s">
        <v>821</v>
      </c>
      <c r="C186" t="s">
        <v>88</v>
      </c>
      <c r="D186" t="s">
        <v>822</v>
      </c>
      <c r="E186" t="s">
        <v>738</v>
      </c>
      <c r="F186" t="s">
        <v>88</v>
      </c>
      <c r="G186" t="s">
        <v>88</v>
      </c>
      <c r="H186" t="s">
        <v>92</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105</v>
      </c>
      <c r="B187" t="s">
        <v>823</v>
      </c>
      <c r="C187" t="s">
        <v>88</v>
      </c>
      <c r="D187" t="s">
        <v>824</v>
      </c>
      <c r="E187" t="s">
        <v>825</v>
      </c>
      <c r="F187" t="s">
        <v>88</v>
      </c>
      <c r="G187" t="s">
        <v>88</v>
      </c>
      <c r="H187" t="s">
        <v>92</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105</v>
      </c>
      <c r="B188" t="s">
        <v>789</v>
      </c>
      <c r="C188" t="s">
        <v>88</v>
      </c>
      <c r="D188" t="s">
        <v>815</v>
      </c>
      <c r="E188" t="s">
        <v>799</v>
      </c>
      <c r="F188" t="s">
        <v>88</v>
      </c>
      <c r="G188" t="s">
        <v>88</v>
      </c>
      <c r="H188" t="s">
        <v>92</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105</v>
      </c>
      <c r="B189" t="s">
        <v>821</v>
      </c>
      <c r="C189" t="s">
        <v>88</v>
      </c>
      <c r="D189" t="s">
        <v>822</v>
      </c>
      <c r="E189" t="s">
        <v>738</v>
      </c>
      <c r="F189" t="s">
        <v>88</v>
      </c>
      <c r="G189" t="s">
        <v>88</v>
      </c>
      <c r="H189" t="s">
        <v>92</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105</v>
      </c>
      <c r="B190" t="s">
        <v>826</v>
      </c>
      <c r="C190" t="s">
        <v>88</v>
      </c>
      <c r="D190" t="s">
        <v>827</v>
      </c>
      <c r="E190" t="s">
        <v>723</v>
      </c>
      <c r="F190" t="s">
        <v>88</v>
      </c>
      <c r="G190" t="s">
        <v>88</v>
      </c>
      <c r="H190" t="s">
        <v>92</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105</v>
      </c>
      <c r="B191" t="s">
        <v>828</v>
      </c>
      <c r="C191" t="s">
        <v>88</v>
      </c>
      <c r="D191" t="s">
        <v>829</v>
      </c>
      <c r="E191" t="s">
        <v>715</v>
      </c>
      <c r="F191" t="s">
        <v>88</v>
      </c>
      <c r="G191" t="s">
        <v>88</v>
      </c>
      <c r="H191" t="s">
        <v>92</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105</v>
      </c>
      <c r="B192" t="s">
        <v>830</v>
      </c>
      <c r="C192" t="s">
        <v>88</v>
      </c>
      <c r="D192" t="s">
        <v>831</v>
      </c>
      <c r="E192" t="s">
        <v>663</v>
      </c>
      <c r="F192" t="s">
        <v>88</v>
      </c>
      <c r="G192" t="s">
        <v>88</v>
      </c>
      <c r="H192" t="s">
        <v>92</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105</v>
      </c>
      <c r="B193" t="s">
        <v>832</v>
      </c>
      <c r="C193" t="s">
        <v>88</v>
      </c>
      <c r="D193" t="s">
        <v>833</v>
      </c>
      <c r="E193" t="s">
        <v>700</v>
      </c>
      <c r="F193" t="s">
        <v>88</v>
      </c>
      <c r="G193" t="s">
        <v>88</v>
      </c>
      <c r="H193" t="s">
        <v>92</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105</v>
      </c>
      <c r="B194" t="s">
        <v>816</v>
      </c>
      <c r="C194" t="s">
        <v>88</v>
      </c>
      <c r="D194" t="s">
        <v>817</v>
      </c>
      <c r="E194" t="s">
        <v>655</v>
      </c>
      <c r="F194" t="s">
        <v>88</v>
      </c>
      <c r="G194" t="s">
        <v>88</v>
      </c>
      <c r="H194" t="s">
        <v>92</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105</v>
      </c>
      <c r="B195" t="s">
        <v>818</v>
      </c>
      <c r="C195" t="s">
        <v>88</v>
      </c>
      <c r="D195" t="s">
        <v>819</v>
      </c>
      <c r="E195" t="s">
        <v>820</v>
      </c>
      <c r="F195" t="s">
        <v>88</v>
      </c>
      <c r="G195" t="s">
        <v>88</v>
      </c>
      <c r="H195" t="s">
        <v>92</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105</v>
      </c>
      <c r="B196" t="s">
        <v>834</v>
      </c>
      <c r="C196" t="s">
        <v>88</v>
      </c>
      <c r="D196" t="s">
        <v>835</v>
      </c>
      <c r="E196" t="s">
        <v>836</v>
      </c>
      <c r="F196" t="s">
        <v>88</v>
      </c>
      <c r="G196" t="s">
        <v>88</v>
      </c>
      <c r="H196" t="s">
        <v>92</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105</v>
      </c>
      <c r="B197" t="s">
        <v>837</v>
      </c>
      <c r="C197" t="s">
        <v>88</v>
      </c>
      <c r="D197" t="s">
        <v>824</v>
      </c>
      <c r="E197" t="s">
        <v>838</v>
      </c>
      <c r="F197" t="s">
        <v>88</v>
      </c>
      <c r="G197" t="s">
        <v>88</v>
      </c>
      <c r="H197" t="s">
        <v>92</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105</v>
      </c>
      <c r="B198" t="s">
        <v>839</v>
      </c>
      <c r="C198" t="s">
        <v>88</v>
      </c>
      <c r="D198" t="s">
        <v>840</v>
      </c>
      <c r="E198" t="s">
        <v>841</v>
      </c>
      <c r="F198" t="s">
        <v>88</v>
      </c>
      <c r="G198" t="s">
        <v>88</v>
      </c>
      <c r="H198" t="s">
        <v>92</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105</v>
      </c>
      <c r="B199" t="s">
        <v>823</v>
      </c>
      <c r="C199" t="s">
        <v>88</v>
      </c>
      <c r="D199" t="s">
        <v>824</v>
      </c>
      <c r="E199" t="s">
        <v>825</v>
      </c>
      <c r="F199" t="s">
        <v>88</v>
      </c>
      <c r="G199" t="s">
        <v>88</v>
      </c>
      <c r="H199" t="s">
        <v>92</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105</v>
      </c>
      <c r="B200" t="s">
        <v>842</v>
      </c>
      <c r="C200" t="s">
        <v>88</v>
      </c>
      <c r="D200" t="s">
        <v>843</v>
      </c>
      <c r="E200" t="s">
        <v>844</v>
      </c>
      <c r="F200" t="s">
        <v>88</v>
      </c>
      <c r="G200" t="s">
        <v>88</v>
      </c>
      <c r="H200" t="s">
        <v>92</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105</v>
      </c>
      <c r="B201" t="s">
        <v>845</v>
      </c>
      <c r="C201" t="s">
        <v>88</v>
      </c>
      <c r="D201" t="s">
        <v>88</v>
      </c>
      <c r="E201" t="s">
        <v>735</v>
      </c>
      <c r="F201" t="s">
        <v>88</v>
      </c>
      <c r="G201" t="s">
        <v>88</v>
      </c>
      <c r="H201" t="s">
        <v>92</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105</v>
      </c>
      <c r="B202" t="s">
        <v>612</v>
      </c>
      <c r="C202" t="s">
        <v>88</v>
      </c>
      <c r="D202" t="s">
        <v>88</v>
      </c>
      <c r="E202" t="s">
        <v>709</v>
      </c>
      <c r="F202" t="s">
        <v>88</v>
      </c>
      <c r="G202" t="s">
        <v>88</v>
      </c>
      <c r="H202" t="s">
        <v>92</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105</v>
      </c>
      <c r="B203" t="s">
        <v>846</v>
      </c>
      <c r="C203" t="s">
        <v>88</v>
      </c>
      <c r="D203" t="s">
        <v>847</v>
      </c>
      <c r="E203" t="s">
        <v>848</v>
      </c>
      <c r="F203" t="s">
        <v>88</v>
      </c>
      <c r="G203" t="s">
        <v>88</v>
      </c>
      <c r="H203" t="s">
        <v>92</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105</v>
      </c>
      <c r="B204" t="s">
        <v>618</v>
      </c>
      <c r="C204" t="s">
        <v>88</v>
      </c>
      <c r="D204" t="s">
        <v>88</v>
      </c>
      <c r="E204" t="s">
        <v>711</v>
      </c>
      <c r="F204" t="s">
        <v>88</v>
      </c>
      <c r="G204" t="s">
        <v>88</v>
      </c>
      <c r="H204" t="s">
        <v>92</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105</v>
      </c>
      <c r="B205" t="s">
        <v>795</v>
      </c>
      <c r="C205" t="s">
        <v>88</v>
      </c>
      <c r="D205" t="s">
        <v>88</v>
      </c>
      <c r="E205" t="s">
        <v>735</v>
      </c>
      <c r="F205" t="s">
        <v>88</v>
      </c>
      <c r="G205" t="s">
        <v>88</v>
      </c>
      <c r="H205" t="s">
        <v>92</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105</v>
      </c>
      <c r="B206" t="s">
        <v>797</v>
      </c>
      <c r="C206" t="s">
        <v>88</v>
      </c>
      <c r="D206" t="s">
        <v>88</v>
      </c>
      <c r="E206" t="s">
        <v>735</v>
      </c>
      <c r="F206" t="s">
        <v>88</v>
      </c>
      <c r="G206" t="s">
        <v>88</v>
      </c>
      <c r="H206" t="s">
        <v>92</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105</v>
      </c>
      <c r="B207" t="s">
        <v>622</v>
      </c>
      <c r="C207" t="s">
        <v>88</v>
      </c>
      <c r="D207" t="s">
        <v>88</v>
      </c>
      <c r="E207" t="s">
        <v>849</v>
      </c>
      <c r="F207" t="s">
        <v>88</v>
      </c>
      <c r="G207" t="s">
        <v>88</v>
      </c>
      <c r="H207" t="s">
        <v>92</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105</v>
      </c>
      <c r="B208" t="s">
        <v>623</v>
      </c>
      <c r="C208" t="s">
        <v>88</v>
      </c>
      <c r="D208" t="s">
        <v>88</v>
      </c>
      <c r="E208" t="s">
        <v>850</v>
      </c>
      <c r="F208" t="s">
        <v>88</v>
      </c>
      <c r="G208" t="s">
        <v>88</v>
      </c>
      <c r="H208" t="s">
        <v>92</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105</v>
      </c>
      <c r="B209" t="s">
        <v>798</v>
      </c>
      <c r="C209" t="s">
        <v>88</v>
      </c>
      <c r="D209" t="s">
        <v>88</v>
      </c>
      <c r="E209" t="s">
        <v>732</v>
      </c>
      <c r="F209" t="s">
        <v>88</v>
      </c>
      <c r="G209" t="s">
        <v>88</v>
      </c>
      <c r="H209" t="s">
        <v>92</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105</v>
      </c>
      <c r="B210" t="s">
        <v>851</v>
      </c>
      <c r="C210" t="s">
        <v>88</v>
      </c>
      <c r="D210" t="s">
        <v>847</v>
      </c>
      <c r="E210" t="s">
        <v>791</v>
      </c>
      <c r="F210" t="s">
        <v>88</v>
      </c>
      <c r="G210" t="s">
        <v>88</v>
      </c>
      <c r="H210" t="s">
        <v>92</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105</v>
      </c>
      <c r="B211" t="s">
        <v>852</v>
      </c>
      <c r="C211" t="s">
        <v>88</v>
      </c>
      <c r="D211" t="s">
        <v>88</v>
      </c>
      <c r="E211" t="s">
        <v>791</v>
      </c>
      <c r="F211" t="s">
        <v>88</v>
      </c>
      <c r="G211" t="s">
        <v>88</v>
      </c>
      <c r="H211" t="s">
        <v>92</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105</v>
      </c>
      <c r="B212" t="s">
        <v>625</v>
      </c>
      <c r="C212" t="s">
        <v>88</v>
      </c>
      <c r="D212" t="s">
        <v>88</v>
      </c>
      <c r="E212" t="s">
        <v>626</v>
      </c>
      <c r="F212" t="s">
        <v>88</v>
      </c>
      <c r="G212" t="s">
        <v>88</v>
      </c>
      <c r="H212" t="s">
        <v>92</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108</v>
      </c>
      <c r="B213" t="s">
        <v>789</v>
      </c>
      <c r="C213" t="s">
        <v>88</v>
      </c>
      <c r="D213" t="s">
        <v>853</v>
      </c>
      <c r="E213" t="s">
        <v>791</v>
      </c>
      <c r="F213" t="s">
        <v>88</v>
      </c>
      <c r="G213" t="s">
        <v>88</v>
      </c>
      <c r="H213" t="s">
        <v>92</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108</v>
      </c>
      <c r="B214" t="s">
        <v>854</v>
      </c>
      <c r="C214" t="s">
        <v>88</v>
      </c>
      <c r="D214" t="s">
        <v>855</v>
      </c>
      <c r="E214" t="s">
        <v>738</v>
      </c>
      <c r="F214" t="s">
        <v>88</v>
      </c>
      <c r="G214" t="s">
        <v>88</v>
      </c>
      <c r="H214" t="s">
        <v>92</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108</v>
      </c>
      <c r="B215" t="s">
        <v>823</v>
      </c>
      <c r="C215" t="s">
        <v>88</v>
      </c>
      <c r="D215" t="s">
        <v>856</v>
      </c>
      <c r="E215" t="s">
        <v>825</v>
      </c>
      <c r="F215" t="s">
        <v>88</v>
      </c>
      <c r="G215" t="s">
        <v>88</v>
      </c>
      <c r="H215" t="s">
        <v>92</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108</v>
      </c>
      <c r="B216" t="s">
        <v>830</v>
      </c>
      <c r="C216" t="s">
        <v>88</v>
      </c>
      <c r="D216" t="s">
        <v>857</v>
      </c>
      <c r="E216" t="s">
        <v>663</v>
      </c>
      <c r="F216" t="s">
        <v>88</v>
      </c>
      <c r="G216" t="s">
        <v>88</v>
      </c>
      <c r="H216" t="s">
        <v>92</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108</v>
      </c>
      <c r="B217" t="s">
        <v>816</v>
      </c>
      <c r="C217" t="s">
        <v>88</v>
      </c>
      <c r="D217" t="s">
        <v>858</v>
      </c>
      <c r="E217" t="s">
        <v>655</v>
      </c>
      <c r="F217" t="s">
        <v>88</v>
      </c>
      <c r="G217" t="s">
        <v>88</v>
      </c>
      <c r="H217" t="s">
        <v>92</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108</v>
      </c>
      <c r="B218" t="s">
        <v>859</v>
      </c>
      <c r="C218" t="s">
        <v>88</v>
      </c>
      <c r="D218" t="s">
        <v>860</v>
      </c>
      <c r="E218" t="s">
        <v>861</v>
      </c>
      <c r="F218" t="s">
        <v>88</v>
      </c>
      <c r="G218" t="s">
        <v>88</v>
      </c>
      <c r="H218" t="s">
        <v>92</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108</v>
      </c>
      <c r="B219" t="s">
        <v>789</v>
      </c>
      <c r="C219" t="s">
        <v>88</v>
      </c>
      <c r="D219" t="s">
        <v>853</v>
      </c>
      <c r="E219" t="s">
        <v>791</v>
      </c>
      <c r="F219" t="s">
        <v>88</v>
      </c>
      <c r="G219" t="s">
        <v>88</v>
      </c>
      <c r="H219" t="s">
        <v>92</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108</v>
      </c>
      <c r="B220" t="s">
        <v>862</v>
      </c>
      <c r="C220" t="s">
        <v>88</v>
      </c>
      <c r="D220" t="s">
        <v>863</v>
      </c>
      <c r="E220" t="s">
        <v>738</v>
      </c>
      <c r="F220" t="s">
        <v>88</v>
      </c>
      <c r="G220" t="s">
        <v>88</v>
      </c>
      <c r="H220" t="s">
        <v>92</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108</v>
      </c>
      <c r="B221" t="s">
        <v>854</v>
      </c>
      <c r="C221" t="s">
        <v>88</v>
      </c>
      <c r="D221" t="s">
        <v>855</v>
      </c>
      <c r="E221" t="s">
        <v>738</v>
      </c>
      <c r="F221" t="s">
        <v>88</v>
      </c>
      <c r="G221" t="s">
        <v>88</v>
      </c>
      <c r="H221" t="s">
        <v>92</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108</v>
      </c>
      <c r="B222" t="s">
        <v>830</v>
      </c>
      <c r="C222" t="s">
        <v>88</v>
      </c>
      <c r="D222" t="s">
        <v>857</v>
      </c>
      <c r="E222" t="s">
        <v>663</v>
      </c>
      <c r="F222" t="s">
        <v>88</v>
      </c>
      <c r="G222" t="s">
        <v>88</v>
      </c>
      <c r="H222" t="s">
        <v>92</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108</v>
      </c>
      <c r="B223" t="s">
        <v>832</v>
      </c>
      <c r="C223" t="s">
        <v>88</v>
      </c>
      <c r="D223" t="s">
        <v>864</v>
      </c>
      <c r="E223" t="s">
        <v>700</v>
      </c>
      <c r="F223" t="s">
        <v>88</v>
      </c>
      <c r="G223" t="s">
        <v>88</v>
      </c>
      <c r="H223" t="s">
        <v>92</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108</v>
      </c>
      <c r="B224" t="s">
        <v>865</v>
      </c>
      <c r="C224" t="s">
        <v>88</v>
      </c>
      <c r="D224" t="s">
        <v>866</v>
      </c>
      <c r="E224" t="s">
        <v>692</v>
      </c>
      <c r="F224" t="s">
        <v>88</v>
      </c>
      <c r="G224" t="s">
        <v>88</v>
      </c>
      <c r="H224" t="s">
        <v>92</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108</v>
      </c>
      <c r="B225" t="s">
        <v>816</v>
      </c>
      <c r="C225" t="s">
        <v>88</v>
      </c>
      <c r="D225" t="s">
        <v>858</v>
      </c>
      <c r="E225" t="s">
        <v>655</v>
      </c>
      <c r="F225" t="s">
        <v>88</v>
      </c>
      <c r="G225" t="s">
        <v>88</v>
      </c>
      <c r="H225" t="s">
        <v>92</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108</v>
      </c>
      <c r="B226" t="s">
        <v>867</v>
      </c>
      <c r="C226" t="s">
        <v>88</v>
      </c>
      <c r="D226" t="s">
        <v>868</v>
      </c>
      <c r="E226" t="s">
        <v>841</v>
      </c>
      <c r="F226" t="s">
        <v>88</v>
      </c>
      <c r="G226" t="s">
        <v>88</v>
      </c>
      <c r="H226" t="s">
        <v>92</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108</v>
      </c>
      <c r="B227" t="s">
        <v>823</v>
      </c>
      <c r="C227" t="s">
        <v>88</v>
      </c>
      <c r="D227" t="s">
        <v>856</v>
      </c>
      <c r="E227" t="s">
        <v>825</v>
      </c>
      <c r="F227" t="s">
        <v>88</v>
      </c>
      <c r="G227" t="s">
        <v>88</v>
      </c>
      <c r="H227" t="s">
        <v>92</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108</v>
      </c>
      <c r="B228" t="s">
        <v>845</v>
      </c>
      <c r="C228" t="s">
        <v>88</v>
      </c>
      <c r="D228" t="s">
        <v>88</v>
      </c>
      <c r="E228" t="s">
        <v>735</v>
      </c>
      <c r="F228" t="s">
        <v>88</v>
      </c>
      <c r="G228" t="s">
        <v>88</v>
      </c>
      <c r="H228" t="s">
        <v>92</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108</v>
      </c>
      <c r="B229" t="s">
        <v>701</v>
      </c>
      <c r="C229" t="s">
        <v>88</v>
      </c>
      <c r="D229" t="s">
        <v>88</v>
      </c>
      <c r="E229" t="s">
        <v>709</v>
      </c>
      <c r="F229" t="s">
        <v>88</v>
      </c>
      <c r="G229" t="s">
        <v>88</v>
      </c>
      <c r="H229" t="s">
        <v>92</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108</v>
      </c>
      <c r="B230" t="s">
        <v>869</v>
      </c>
      <c r="C230" t="s">
        <v>88</v>
      </c>
      <c r="D230" t="s">
        <v>88</v>
      </c>
      <c r="E230" t="s">
        <v>710</v>
      </c>
      <c r="F230" t="s">
        <v>88</v>
      </c>
      <c r="G230" t="s">
        <v>88</v>
      </c>
      <c r="H230" t="s">
        <v>92</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108</v>
      </c>
      <c r="B231" t="s">
        <v>705</v>
      </c>
      <c r="C231" t="s">
        <v>88</v>
      </c>
      <c r="D231" t="s">
        <v>88</v>
      </c>
      <c r="E231" t="s">
        <v>709</v>
      </c>
      <c r="F231" t="s">
        <v>88</v>
      </c>
      <c r="G231" t="s">
        <v>88</v>
      </c>
      <c r="H231" t="s">
        <v>92</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108</v>
      </c>
      <c r="B232" t="s">
        <v>870</v>
      </c>
      <c r="C232" t="s">
        <v>88</v>
      </c>
      <c r="D232" t="s">
        <v>88</v>
      </c>
      <c r="E232" t="s">
        <v>709</v>
      </c>
      <c r="F232" t="s">
        <v>88</v>
      </c>
      <c r="G232" t="s">
        <v>88</v>
      </c>
      <c r="H232" t="s">
        <v>92</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108</v>
      </c>
      <c r="B233" t="s">
        <v>871</v>
      </c>
      <c r="C233" t="s">
        <v>88</v>
      </c>
      <c r="D233" t="s">
        <v>88</v>
      </c>
      <c r="E233" t="s">
        <v>710</v>
      </c>
      <c r="F233" t="s">
        <v>88</v>
      </c>
      <c r="G233" t="s">
        <v>88</v>
      </c>
      <c r="H233" t="s">
        <v>92</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108</v>
      </c>
      <c r="B234" t="s">
        <v>872</v>
      </c>
      <c r="C234" t="s">
        <v>88</v>
      </c>
      <c r="D234" t="s">
        <v>88</v>
      </c>
      <c r="E234" t="s">
        <v>848</v>
      </c>
      <c r="F234" t="s">
        <v>88</v>
      </c>
      <c r="G234" t="s">
        <v>88</v>
      </c>
      <c r="H234" t="s">
        <v>92</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108</v>
      </c>
      <c r="B235" t="s">
        <v>873</v>
      </c>
      <c r="C235" t="s">
        <v>88</v>
      </c>
      <c r="D235" t="s">
        <v>88</v>
      </c>
      <c r="E235" t="s">
        <v>848</v>
      </c>
      <c r="F235" t="s">
        <v>88</v>
      </c>
      <c r="G235" t="s">
        <v>88</v>
      </c>
      <c r="H235" t="s">
        <v>92</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108</v>
      </c>
      <c r="B236" t="s">
        <v>874</v>
      </c>
      <c r="C236" t="s">
        <v>88</v>
      </c>
      <c r="D236" t="s">
        <v>88</v>
      </c>
      <c r="E236" t="s">
        <v>711</v>
      </c>
      <c r="F236" t="s">
        <v>88</v>
      </c>
      <c r="G236" t="s">
        <v>88</v>
      </c>
      <c r="H236" t="s">
        <v>92</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108</v>
      </c>
      <c r="B237" t="s">
        <v>875</v>
      </c>
      <c r="C237" t="s">
        <v>88</v>
      </c>
      <c r="D237" t="s">
        <v>88</v>
      </c>
      <c r="E237" t="s">
        <v>713</v>
      </c>
      <c r="F237" t="s">
        <v>88</v>
      </c>
      <c r="G237" t="s">
        <v>88</v>
      </c>
      <c r="H237" t="s">
        <v>92</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108</v>
      </c>
      <c r="B238" t="s">
        <v>714</v>
      </c>
      <c r="C238" t="s">
        <v>88</v>
      </c>
      <c r="D238" t="s">
        <v>88</v>
      </c>
      <c r="E238" t="s">
        <v>732</v>
      </c>
      <c r="F238" t="s">
        <v>88</v>
      </c>
      <c r="G238" t="s">
        <v>88</v>
      </c>
      <c r="H238" t="s">
        <v>92</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108</v>
      </c>
      <c r="B239" t="s">
        <v>625</v>
      </c>
      <c r="C239" t="s">
        <v>88</v>
      </c>
      <c r="D239" t="s">
        <v>88</v>
      </c>
      <c r="E239" t="s">
        <v>626</v>
      </c>
      <c r="F239" t="s">
        <v>88</v>
      </c>
      <c r="G239" t="s">
        <v>88</v>
      </c>
      <c r="H239" t="s">
        <v>92</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110</v>
      </c>
      <c r="B240" t="s">
        <v>876</v>
      </c>
      <c r="C240" t="s">
        <v>88</v>
      </c>
      <c r="D240" t="s">
        <v>877</v>
      </c>
      <c r="E240" t="s">
        <v>820</v>
      </c>
      <c r="F240" t="s">
        <v>88</v>
      </c>
      <c r="G240" t="s">
        <v>88</v>
      </c>
      <c r="H240" t="s">
        <v>92</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110</v>
      </c>
      <c r="B241" t="s">
        <v>736</v>
      </c>
      <c r="C241" t="s">
        <v>88</v>
      </c>
      <c r="D241" t="s">
        <v>878</v>
      </c>
      <c r="E241" t="s">
        <v>658</v>
      </c>
      <c r="F241" t="s">
        <v>88</v>
      </c>
      <c r="G241" t="s">
        <v>88</v>
      </c>
      <c r="H241" t="s">
        <v>92</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110</v>
      </c>
      <c r="B242" t="s">
        <v>879</v>
      </c>
      <c r="C242" t="s">
        <v>88</v>
      </c>
      <c r="D242" t="s">
        <v>880</v>
      </c>
      <c r="E242" t="s">
        <v>655</v>
      </c>
      <c r="F242" t="s">
        <v>88</v>
      </c>
      <c r="G242" t="s">
        <v>88</v>
      </c>
      <c r="H242" t="s">
        <v>92</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110</v>
      </c>
      <c r="B243" t="s">
        <v>881</v>
      </c>
      <c r="C243" t="s">
        <v>88</v>
      </c>
      <c r="D243" t="s">
        <v>877</v>
      </c>
      <c r="E243" t="s">
        <v>820</v>
      </c>
      <c r="F243" t="s">
        <v>88</v>
      </c>
      <c r="G243" t="s">
        <v>88</v>
      </c>
      <c r="H243" t="s">
        <v>92</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110</v>
      </c>
      <c r="B244" t="s">
        <v>882</v>
      </c>
      <c r="C244" t="s">
        <v>88</v>
      </c>
      <c r="D244" t="s">
        <v>880</v>
      </c>
      <c r="E244" t="s">
        <v>883</v>
      </c>
      <c r="F244" t="s">
        <v>88</v>
      </c>
      <c r="G244" t="s">
        <v>88</v>
      </c>
      <c r="H244" t="s">
        <v>92</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110</v>
      </c>
      <c r="B245" t="s">
        <v>884</v>
      </c>
      <c r="C245" t="s">
        <v>88</v>
      </c>
      <c r="D245" t="s">
        <v>885</v>
      </c>
      <c r="E245" t="s">
        <v>886</v>
      </c>
      <c r="F245" t="s">
        <v>88</v>
      </c>
      <c r="G245" t="s">
        <v>88</v>
      </c>
      <c r="H245" t="s">
        <v>92</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110</v>
      </c>
      <c r="B246" t="s">
        <v>887</v>
      </c>
      <c r="C246" t="s">
        <v>88</v>
      </c>
      <c r="D246" t="s">
        <v>888</v>
      </c>
      <c r="E246" t="s">
        <v>889</v>
      </c>
      <c r="F246" t="s">
        <v>88</v>
      </c>
      <c r="G246" t="s">
        <v>88</v>
      </c>
      <c r="H246" t="s">
        <v>92</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110</v>
      </c>
      <c r="B247" t="s">
        <v>882</v>
      </c>
      <c r="C247" t="s">
        <v>88</v>
      </c>
      <c r="D247" t="s">
        <v>880</v>
      </c>
      <c r="E247" t="s">
        <v>883</v>
      </c>
      <c r="F247" t="s">
        <v>88</v>
      </c>
      <c r="G247" t="s">
        <v>88</v>
      </c>
      <c r="H247" t="s">
        <v>92</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110</v>
      </c>
      <c r="B248" t="s">
        <v>879</v>
      </c>
      <c r="C248" t="s">
        <v>88</v>
      </c>
      <c r="D248" t="s">
        <v>880</v>
      </c>
      <c r="E248" t="s">
        <v>655</v>
      </c>
      <c r="F248" t="s">
        <v>88</v>
      </c>
      <c r="G248" t="s">
        <v>88</v>
      </c>
      <c r="H248" t="s">
        <v>92</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110</v>
      </c>
      <c r="B249" t="s">
        <v>890</v>
      </c>
      <c r="C249" t="s">
        <v>88</v>
      </c>
      <c r="D249" t="s">
        <v>88</v>
      </c>
      <c r="E249" t="s">
        <v>700</v>
      </c>
      <c r="F249" t="s">
        <v>88</v>
      </c>
      <c r="G249" t="s">
        <v>88</v>
      </c>
      <c r="H249" t="s">
        <v>92</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110</v>
      </c>
      <c r="B250" t="s">
        <v>891</v>
      </c>
      <c r="C250" t="s">
        <v>88</v>
      </c>
      <c r="D250" t="s">
        <v>88</v>
      </c>
      <c r="E250" t="s">
        <v>655</v>
      </c>
      <c r="F250" t="s">
        <v>88</v>
      </c>
      <c r="G250" t="s">
        <v>88</v>
      </c>
      <c r="H250" t="s">
        <v>92</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110</v>
      </c>
      <c r="B251" t="s">
        <v>892</v>
      </c>
      <c r="C251" t="s">
        <v>88</v>
      </c>
      <c r="D251" t="s">
        <v>88</v>
      </c>
      <c r="E251" t="s">
        <v>893</v>
      </c>
      <c r="F251" t="s">
        <v>88</v>
      </c>
      <c r="G251" t="s">
        <v>88</v>
      </c>
      <c r="H251" t="s">
        <v>92</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110</v>
      </c>
      <c r="B252" t="s">
        <v>894</v>
      </c>
      <c r="C252" t="s">
        <v>88</v>
      </c>
      <c r="D252" t="s">
        <v>88</v>
      </c>
      <c r="E252" t="s">
        <v>692</v>
      </c>
      <c r="F252" t="s">
        <v>88</v>
      </c>
      <c r="G252" t="s">
        <v>88</v>
      </c>
      <c r="H252" t="s">
        <v>92</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110</v>
      </c>
      <c r="B253" t="s">
        <v>895</v>
      </c>
      <c r="C253" t="s">
        <v>88</v>
      </c>
      <c r="D253" t="s">
        <v>88</v>
      </c>
      <c r="E253" t="s">
        <v>893</v>
      </c>
      <c r="F253" t="s">
        <v>88</v>
      </c>
      <c r="G253" t="s">
        <v>88</v>
      </c>
      <c r="H253" t="s">
        <v>92</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110</v>
      </c>
      <c r="B254" t="s">
        <v>896</v>
      </c>
      <c r="C254" t="s">
        <v>88</v>
      </c>
      <c r="D254" t="s">
        <v>88</v>
      </c>
      <c r="E254" t="s">
        <v>820</v>
      </c>
      <c r="F254" t="s">
        <v>88</v>
      </c>
      <c r="G254" t="s">
        <v>88</v>
      </c>
      <c r="H254" t="s">
        <v>92</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110</v>
      </c>
      <c r="B255" t="s">
        <v>876</v>
      </c>
      <c r="C255" t="s">
        <v>88</v>
      </c>
      <c r="D255" t="s">
        <v>877</v>
      </c>
      <c r="E255" t="s">
        <v>820</v>
      </c>
      <c r="F255" t="s">
        <v>88</v>
      </c>
      <c r="G255" t="s">
        <v>88</v>
      </c>
      <c r="H255" t="s">
        <v>92</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110</v>
      </c>
      <c r="B256" t="s">
        <v>897</v>
      </c>
      <c r="C256" t="s">
        <v>88</v>
      </c>
      <c r="D256" t="s">
        <v>877</v>
      </c>
      <c r="E256" t="s">
        <v>820</v>
      </c>
      <c r="F256" t="s">
        <v>88</v>
      </c>
      <c r="G256" t="s">
        <v>88</v>
      </c>
      <c r="H256" t="s">
        <v>92</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110</v>
      </c>
      <c r="B257" t="s">
        <v>898</v>
      </c>
      <c r="C257" t="s">
        <v>88</v>
      </c>
      <c r="D257" t="s">
        <v>877</v>
      </c>
      <c r="E257" t="s">
        <v>899</v>
      </c>
      <c r="F257" t="s">
        <v>88</v>
      </c>
      <c r="G257" t="s">
        <v>88</v>
      </c>
      <c r="H257" t="s">
        <v>92</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110</v>
      </c>
      <c r="B258" t="s">
        <v>900</v>
      </c>
      <c r="C258" t="s">
        <v>88</v>
      </c>
      <c r="D258" t="s">
        <v>877</v>
      </c>
      <c r="E258" t="s">
        <v>820</v>
      </c>
      <c r="F258" t="s">
        <v>88</v>
      </c>
      <c r="G258" t="s">
        <v>88</v>
      </c>
      <c r="H258" t="s">
        <v>92</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110</v>
      </c>
      <c r="B259" t="s">
        <v>765</v>
      </c>
      <c r="C259" t="s">
        <v>88</v>
      </c>
      <c r="D259" t="s">
        <v>877</v>
      </c>
      <c r="E259" t="s">
        <v>820</v>
      </c>
      <c r="F259" t="s">
        <v>88</v>
      </c>
      <c r="G259" t="s">
        <v>88</v>
      </c>
      <c r="H259" t="s">
        <v>92</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110</v>
      </c>
      <c r="B260" t="s">
        <v>881</v>
      </c>
      <c r="C260" t="s">
        <v>88</v>
      </c>
      <c r="D260" t="s">
        <v>877</v>
      </c>
      <c r="E260" t="s">
        <v>820</v>
      </c>
      <c r="F260" t="s">
        <v>88</v>
      </c>
      <c r="G260" t="s">
        <v>88</v>
      </c>
      <c r="H260" t="s">
        <v>92</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110</v>
      </c>
      <c r="B261" t="s">
        <v>901</v>
      </c>
      <c r="C261" t="s">
        <v>88</v>
      </c>
      <c r="D261" t="s">
        <v>877</v>
      </c>
      <c r="E261" t="s">
        <v>902</v>
      </c>
      <c r="F261" t="s">
        <v>88</v>
      </c>
      <c r="G261" t="s">
        <v>88</v>
      </c>
      <c r="H261" t="s">
        <v>92</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110</v>
      </c>
      <c r="B262" t="s">
        <v>903</v>
      </c>
      <c r="C262" t="s">
        <v>88</v>
      </c>
      <c r="D262" t="s">
        <v>877</v>
      </c>
      <c r="E262" t="s">
        <v>902</v>
      </c>
      <c r="F262" t="s">
        <v>88</v>
      </c>
      <c r="G262" t="s">
        <v>88</v>
      </c>
      <c r="H262" t="s">
        <v>92</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110</v>
      </c>
      <c r="B263" t="s">
        <v>904</v>
      </c>
      <c r="C263" t="s">
        <v>88</v>
      </c>
      <c r="D263" t="s">
        <v>877</v>
      </c>
      <c r="E263" t="s">
        <v>902</v>
      </c>
      <c r="F263" t="s">
        <v>88</v>
      </c>
      <c r="G263" t="s">
        <v>88</v>
      </c>
      <c r="H263" t="s">
        <v>92</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110</v>
      </c>
      <c r="B264" t="s">
        <v>905</v>
      </c>
      <c r="C264" t="s">
        <v>88</v>
      </c>
      <c r="D264" t="s">
        <v>877</v>
      </c>
      <c r="E264" t="s">
        <v>902</v>
      </c>
      <c r="F264" t="s">
        <v>88</v>
      </c>
      <c r="G264" t="s">
        <v>88</v>
      </c>
      <c r="H264" t="s">
        <v>92</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110</v>
      </c>
      <c r="B265" t="s">
        <v>906</v>
      </c>
      <c r="C265" t="s">
        <v>88</v>
      </c>
      <c r="D265" t="s">
        <v>877</v>
      </c>
      <c r="E265" t="s">
        <v>902</v>
      </c>
      <c r="F265" t="s">
        <v>88</v>
      </c>
      <c r="G265" t="s">
        <v>88</v>
      </c>
      <c r="H265" t="s">
        <v>92</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110</v>
      </c>
      <c r="B266" t="s">
        <v>907</v>
      </c>
      <c r="C266" t="s">
        <v>88</v>
      </c>
      <c r="D266" t="s">
        <v>877</v>
      </c>
      <c r="E266" t="s">
        <v>902</v>
      </c>
      <c r="F266" t="s">
        <v>88</v>
      </c>
      <c r="G266" t="s">
        <v>88</v>
      </c>
      <c r="H266" t="s">
        <v>92</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110</v>
      </c>
      <c r="B267" t="s">
        <v>908</v>
      </c>
      <c r="C267" t="s">
        <v>88</v>
      </c>
      <c r="D267" t="s">
        <v>877</v>
      </c>
      <c r="E267" t="s">
        <v>902</v>
      </c>
      <c r="F267" t="s">
        <v>88</v>
      </c>
      <c r="G267" t="s">
        <v>88</v>
      </c>
      <c r="H267" t="s">
        <v>92</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110</v>
      </c>
      <c r="B268" t="s">
        <v>909</v>
      </c>
      <c r="C268" t="s">
        <v>88</v>
      </c>
      <c r="D268" t="s">
        <v>877</v>
      </c>
      <c r="E268" t="s">
        <v>902</v>
      </c>
      <c r="F268" t="s">
        <v>88</v>
      </c>
      <c r="G268" t="s">
        <v>88</v>
      </c>
      <c r="H268" t="s">
        <v>92</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110</v>
      </c>
      <c r="B269" t="s">
        <v>910</v>
      </c>
      <c r="C269" t="s">
        <v>88</v>
      </c>
      <c r="D269" t="s">
        <v>877</v>
      </c>
      <c r="E269" t="s">
        <v>902</v>
      </c>
      <c r="F269" t="s">
        <v>88</v>
      </c>
      <c r="G269" t="s">
        <v>88</v>
      </c>
      <c r="H269" t="s">
        <v>92</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110</v>
      </c>
      <c r="B270" t="s">
        <v>911</v>
      </c>
      <c r="C270" t="s">
        <v>88</v>
      </c>
      <c r="D270" t="s">
        <v>877</v>
      </c>
      <c r="E270" t="s">
        <v>893</v>
      </c>
      <c r="F270" t="s">
        <v>88</v>
      </c>
      <c r="G270" t="s">
        <v>88</v>
      </c>
      <c r="H270" t="s">
        <v>92</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110</v>
      </c>
      <c r="B271" t="s">
        <v>912</v>
      </c>
      <c r="C271" t="s">
        <v>88</v>
      </c>
      <c r="D271" t="s">
        <v>877</v>
      </c>
      <c r="E271" t="s">
        <v>893</v>
      </c>
      <c r="F271" t="s">
        <v>88</v>
      </c>
      <c r="G271" t="s">
        <v>88</v>
      </c>
      <c r="H271" t="s">
        <v>92</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110</v>
      </c>
      <c r="B272" t="s">
        <v>743</v>
      </c>
      <c r="C272" t="s">
        <v>88</v>
      </c>
      <c r="D272" t="s">
        <v>877</v>
      </c>
      <c r="E272" t="s">
        <v>893</v>
      </c>
      <c r="F272" t="s">
        <v>88</v>
      </c>
      <c r="G272" t="s">
        <v>88</v>
      </c>
      <c r="H272" t="s">
        <v>92</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110</v>
      </c>
      <c r="B273" t="s">
        <v>913</v>
      </c>
      <c r="C273" t="s">
        <v>88</v>
      </c>
      <c r="D273" t="s">
        <v>877</v>
      </c>
      <c r="E273" t="s">
        <v>893</v>
      </c>
      <c r="F273" t="s">
        <v>88</v>
      </c>
      <c r="G273" t="s">
        <v>88</v>
      </c>
      <c r="H273" t="s">
        <v>92</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110</v>
      </c>
      <c r="B274" t="s">
        <v>764</v>
      </c>
      <c r="C274" t="s">
        <v>88</v>
      </c>
      <c r="D274" t="s">
        <v>877</v>
      </c>
      <c r="E274" t="s">
        <v>893</v>
      </c>
      <c r="F274" t="s">
        <v>88</v>
      </c>
      <c r="G274" t="s">
        <v>88</v>
      </c>
      <c r="H274" t="s">
        <v>92</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110</v>
      </c>
      <c r="B275" t="s">
        <v>914</v>
      </c>
      <c r="C275" t="s">
        <v>88</v>
      </c>
      <c r="D275" t="s">
        <v>877</v>
      </c>
      <c r="E275" t="s">
        <v>902</v>
      </c>
      <c r="F275" t="s">
        <v>88</v>
      </c>
      <c r="G275" t="s">
        <v>88</v>
      </c>
      <c r="H275" t="s">
        <v>92</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110</v>
      </c>
      <c r="B276" t="s">
        <v>915</v>
      </c>
      <c r="C276" t="s">
        <v>88</v>
      </c>
      <c r="D276" t="s">
        <v>916</v>
      </c>
      <c r="E276" t="s">
        <v>917</v>
      </c>
      <c r="F276" t="s">
        <v>88</v>
      </c>
      <c r="G276" t="s">
        <v>88</v>
      </c>
      <c r="H276" t="s">
        <v>92</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110</v>
      </c>
      <c r="B277" t="s">
        <v>918</v>
      </c>
      <c r="C277" t="s">
        <v>88</v>
      </c>
      <c r="D277" t="s">
        <v>919</v>
      </c>
      <c r="E277" t="s">
        <v>902</v>
      </c>
      <c r="F277" t="s">
        <v>88</v>
      </c>
      <c r="G277" t="s">
        <v>88</v>
      </c>
      <c r="H277" t="s">
        <v>92</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110</v>
      </c>
      <c r="B278" t="s">
        <v>920</v>
      </c>
      <c r="C278" t="s">
        <v>88</v>
      </c>
      <c r="D278" t="s">
        <v>919</v>
      </c>
      <c r="E278" t="s">
        <v>902</v>
      </c>
      <c r="F278" t="s">
        <v>88</v>
      </c>
      <c r="G278" t="s">
        <v>88</v>
      </c>
      <c r="H278" t="s">
        <v>92</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110</v>
      </c>
      <c r="B279" t="s">
        <v>736</v>
      </c>
      <c r="C279" t="s">
        <v>88</v>
      </c>
      <c r="D279" t="s">
        <v>878</v>
      </c>
      <c r="E279" t="s">
        <v>658</v>
      </c>
      <c r="F279" t="s">
        <v>88</v>
      </c>
      <c r="G279" t="s">
        <v>88</v>
      </c>
      <c r="H279" t="s">
        <v>92</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110</v>
      </c>
      <c r="B280" t="s">
        <v>921</v>
      </c>
      <c r="C280" t="s">
        <v>88</v>
      </c>
      <c r="D280" t="s">
        <v>922</v>
      </c>
      <c r="E280" t="s">
        <v>893</v>
      </c>
      <c r="F280" t="s">
        <v>88</v>
      </c>
      <c r="G280" t="s">
        <v>88</v>
      </c>
      <c r="H280" t="s">
        <v>92</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110</v>
      </c>
      <c r="B281" t="s">
        <v>923</v>
      </c>
      <c r="C281" t="s">
        <v>88</v>
      </c>
      <c r="D281" t="s">
        <v>922</v>
      </c>
      <c r="E281" t="s">
        <v>893</v>
      </c>
      <c r="F281" t="s">
        <v>88</v>
      </c>
      <c r="G281" t="s">
        <v>88</v>
      </c>
      <c r="H281" t="s">
        <v>92</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110</v>
      </c>
      <c r="B282" t="s">
        <v>924</v>
      </c>
      <c r="C282" t="s">
        <v>88</v>
      </c>
      <c r="D282" t="s">
        <v>922</v>
      </c>
      <c r="E282" t="s">
        <v>893</v>
      </c>
      <c r="F282" t="s">
        <v>88</v>
      </c>
      <c r="G282" t="s">
        <v>88</v>
      </c>
      <c r="H282" t="s">
        <v>92</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110</v>
      </c>
      <c r="B283" t="s">
        <v>925</v>
      </c>
      <c r="C283" t="s">
        <v>88</v>
      </c>
      <c r="D283" t="s">
        <v>878</v>
      </c>
      <c r="E283" t="s">
        <v>658</v>
      </c>
      <c r="F283" t="s">
        <v>88</v>
      </c>
      <c r="G283" t="s">
        <v>88</v>
      </c>
      <c r="H283" t="s">
        <v>92</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110</v>
      </c>
      <c r="B284" t="s">
        <v>777</v>
      </c>
      <c r="C284" t="s">
        <v>88</v>
      </c>
      <c r="D284" t="s">
        <v>922</v>
      </c>
      <c r="E284" t="s">
        <v>658</v>
      </c>
      <c r="F284" t="s">
        <v>88</v>
      </c>
      <c r="G284" t="s">
        <v>88</v>
      </c>
      <c r="H284" t="s">
        <v>92</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110</v>
      </c>
      <c r="B285" t="s">
        <v>739</v>
      </c>
      <c r="C285" t="s">
        <v>88</v>
      </c>
      <c r="D285" t="s">
        <v>922</v>
      </c>
      <c r="E285" t="s">
        <v>658</v>
      </c>
      <c r="F285" t="s">
        <v>88</v>
      </c>
      <c r="G285" t="s">
        <v>88</v>
      </c>
      <c r="H285" t="s">
        <v>92</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110</v>
      </c>
      <c r="B286" t="s">
        <v>701</v>
      </c>
      <c r="C286" t="s">
        <v>88</v>
      </c>
      <c r="D286" t="s">
        <v>88</v>
      </c>
      <c r="E286" t="s">
        <v>734</v>
      </c>
      <c r="F286" t="s">
        <v>88</v>
      </c>
      <c r="G286" t="s">
        <v>88</v>
      </c>
      <c r="H286" t="s">
        <v>92</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110</v>
      </c>
      <c r="B287" t="s">
        <v>705</v>
      </c>
      <c r="C287" t="s">
        <v>88</v>
      </c>
      <c r="D287" t="s">
        <v>88</v>
      </c>
      <c r="E287" t="s">
        <v>734</v>
      </c>
      <c r="F287" t="s">
        <v>88</v>
      </c>
      <c r="G287" t="s">
        <v>88</v>
      </c>
      <c r="H287" t="s">
        <v>92</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110</v>
      </c>
      <c r="B288" t="s">
        <v>706</v>
      </c>
      <c r="C288" t="s">
        <v>88</v>
      </c>
      <c r="D288" t="s">
        <v>88</v>
      </c>
      <c r="E288" t="s">
        <v>734</v>
      </c>
      <c r="F288" t="s">
        <v>88</v>
      </c>
      <c r="G288" t="s">
        <v>88</v>
      </c>
      <c r="H288" t="s">
        <v>92</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110</v>
      </c>
      <c r="B289" t="s">
        <v>707</v>
      </c>
      <c r="C289" t="s">
        <v>88</v>
      </c>
      <c r="D289" t="s">
        <v>88</v>
      </c>
      <c r="E289" t="s">
        <v>734</v>
      </c>
      <c r="F289" t="s">
        <v>88</v>
      </c>
      <c r="G289" t="s">
        <v>88</v>
      </c>
      <c r="H289" t="s">
        <v>92</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110</v>
      </c>
      <c r="B290" t="s">
        <v>708</v>
      </c>
      <c r="C290" t="s">
        <v>88</v>
      </c>
      <c r="D290" t="s">
        <v>88</v>
      </c>
      <c r="E290" t="s">
        <v>734</v>
      </c>
      <c r="F290" t="s">
        <v>88</v>
      </c>
      <c r="G290" t="s">
        <v>88</v>
      </c>
      <c r="H290" t="s">
        <v>92</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110</v>
      </c>
      <c r="B291" t="s">
        <v>846</v>
      </c>
      <c r="C291" t="s">
        <v>88</v>
      </c>
      <c r="D291" t="s">
        <v>88</v>
      </c>
      <c r="E291" t="s">
        <v>710</v>
      </c>
      <c r="F291" t="s">
        <v>88</v>
      </c>
      <c r="G291" t="s">
        <v>88</v>
      </c>
      <c r="H291" t="s">
        <v>92</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110</v>
      </c>
      <c r="B292" t="s">
        <v>618</v>
      </c>
      <c r="C292" t="s">
        <v>88</v>
      </c>
      <c r="D292" t="s">
        <v>88</v>
      </c>
      <c r="E292" t="s">
        <v>710</v>
      </c>
      <c r="F292" t="s">
        <v>88</v>
      </c>
      <c r="G292" t="s">
        <v>88</v>
      </c>
      <c r="H292" t="s">
        <v>92</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110</v>
      </c>
      <c r="B293" t="s">
        <v>926</v>
      </c>
      <c r="C293" t="s">
        <v>88</v>
      </c>
      <c r="D293" t="s">
        <v>88</v>
      </c>
      <c r="E293" t="s">
        <v>710</v>
      </c>
      <c r="F293" t="s">
        <v>88</v>
      </c>
      <c r="G293" t="s">
        <v>88</v>
      </c>
      <c r="H293" t="s">
        <v>92</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110</v>
      </c>
      <c r="B294" t="s">
        <v>927</v>
      </c>
      <c r="C294" t="s">
        <v>88</v>
      </c>
      <c r="D294" t="s">
        <v>88</v>
      </c>
      <c r="E294" t="s">
        <v>710</v>
      </c>
      <c r="F294" t="s">
        <v>88</v>
      </c>
      <c r="G294" t="s">
        <v>88</v>
      </c>
      <c r="H294" t="s">
        <v>92</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110</v>
      </c>
      <c r="B295" t="s">
        <v>928</v>
      </c>
      <c r="C295" t="s">
        <v>88</v>
      </c>
      <c r="D295" t="s">
        <v>88</v>
      </c>
      <c r="E295" t="s">
        <v>711</v>
      </c>
      <c r="F295" t="s">
        <v>88</v>
      </c>
      <c r="G295" t="s">
        <v>88</v>
      </c>
      <c r="H295" t="s">
        <v>92</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110</v>
      </c>
      <c r="B296" t="s">
        <v>929</v>
      </c>
      <c r="C296" t="s">
        <v>88</v>
      </c>
      <c r="D296" t="s">
        <v>88</v>
      </c>
      <c r="E296" t="s">
        <v>735</v>
      </c>
      <c r="F296" t="s">
        <v>88</v>
      </c>
      <c r="G296" t="s">
        <v>88</v>
      </c>
      <c r="H296" t="s">
        <v>92</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110</v>
      </c>
      <c r="B297" t="s">
        <v>625</v>
      </c>
      <c r="C297" t="s">
        <v>88</v>
      </c>
      <c r="D297" t="s">
        <v>88</v>
      </c>
      <c r="E297" t="s">
        <v>626</v>
      </c>
      <c r="F297" t="s">
        <v>88</v>
      </c>
      <c r="G297" t="s">
        <v>88</v>
      </c>
      <c r="H297" t="s">
        <v>92</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112</v>
      </c>
      <c r="B298" t="s">
        <v>789</v>
      </c>
      <c r="C298" t="s">
        <v>88</v>
      </c>
      <c r="D298" t="s">
        <v>930</v>
      </c>
      <c r="E298" t="s">
        <v>799</v>
      </c>
      <c r="F298" t="s">
        <v>88</v>
      </c>
      <c r="G298" t="s">
        <v>88</v>
      </c>
      <c r="H298" t="s">
        <v>92</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112</v>
      </c>
      <c r="B299" t="s">
        <v>931</v>
      </c>
      <c r="C299" t="s">
        <v>88</v>
      </c>
      <c r="D299" t="s">
        <v>932</v>
      </c>
      <c r="E299" t="s">
        <v>738</v>
      </c>
      <c r="F299" t="s">
        <v>88</v>
      </c>
      <c r="G299" t="s">
        <v>88</v>
      </c>
      <c r="H299" t="s">
        <v>92</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112</v>
      </c>
      <c r="B300" t="s">
        <v>933</v>
      </c>
      <c r="C300" t="s">
        <v>88</v>
      </c>
      <c r="D300" t="s">
        <v>934</v>
      </c>
      <c r="E300" t="s">
        <v>673</v>
      </c>
      <c r="F300" t="s">
        <v>88</v>
      </c>
      <c r="G300" t="s">
        <v>88</v>
      </c>
      <c r="H300" t="s">
        <v>92</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112</v>
      </c>
      <c r="B301" t="s">
        <v>935</v>
      </c>
      <c r="C301" t="s">
        <v>88</v>
      </c>
      <c r="D301" t="s">
        <v>936</v>
      </c>
      <c r="E301" t="s">
        <v>937</v>
      </c>
      <c r="F301" t="s">
        <v>88</v>
      </c>
      <c r="G301" t="s">
        <v>88</v>
      </c>
      <c r="H301" t="s">
        <v>92</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112</v>
      </c>
      <c r="B302" t="s">
        <v>938</v>
      </c>
      <c r="C302" t="s">
        <v>88</v>
      </c>
      <c r="D302" t="s">
        <v>939</v>
      </c>
      <c r="E302" t="s">
        <v>940</v>
      </c>
      <c r="F302" t="s">
        <v>88</v>
      </c>
      <c r="G302" t="s">
        <v>88</v>
      </c>
      <c r="H302" t="s">
        <v>92</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112</v>
      </c>
      <c r="B303" t="s">
        <v>938</v>
      </c>
      <c r="C303" t="s">
        <v>88</v>
      </c>
      <c r="D303" t="s">
        <v>939</v>
      </c>
      <c r="E303" t="s">
        <v>940</v>
      </c>
      <c r="F303" t="s">
        <v>88</v>
      </c>
      <c r="G303" t="s">
        <v>88</v>
      </c>
      <c r="H303" t="s">
        <v>92</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112</v>
      </c>
      <c r="B304" t="s">
        <v>789</v>
      </c>
      <c r="C304" t="s">
        <v>88</v>
      </c>
      <c r="D304" t="s">
        <v>930</v>
      </c>
      <c r="E304" t="s">
        <v>799</v>
      </c>
      <c r="F304" t="s">
        <v>88</v>
      </c>
      <c r="G304" t="s">
        <v>88</v>
      </c>
      <c r="H304" t="s">
        <v>92</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112</v>
      </c>
      <c r="B305" t="s">
        <v>931</v>
      </c>
      <c r="C305" t="s">
        <v>88</v>
      </c>
      <c r="D305" t="s">
        <v>932</v>
      </c>
      <c r="E305" t="s">
        <v>738</v>
      </c>
      <c r="F305" t="s">
        <v>88</v>
      </c>
      <c r="G305" t="s">
        <v>88</v>
      </c>
      <c r="H305" t="s">
        <v>92</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112</v>
      </c>
      <c r="B306" t="s">
        <v>935</v>
      </c>
      <c r="C306" t="s">
        <v>88</v>
      </c>
      <c r="D306" t="s">
        <v>936</v>
      </c>
      <c r="E306" t="s">
        <v>937</v>
      </c>
      <c r="F306" t="s">
        <v>88</v>
      </c>
      <c r="G306" t="s">
        <v>88</v>
      </c>
      <c r="H306" t="s">
        <v>92</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112</v>
      </c>
      <c r="B307" t="s">
        <v>933</v>
      </c>
      <c r="C307" t="s">
        <v>88</v>
      </c>
      <c r="D307" t="s">
        <v>941</v>
      </c>
      <c r="E307" t="s">
        <v>673</v>
      </c>
      <c r="F307" t="s">
        <v>88</v>
      </c>
      <c r="G307" t="s">
        <v>88</v>
      </c>
      <c r="H307" t="s">
        <v>92</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112</v>
      </c>
      <c r="B308" t="s">
        <v>942</v>
      </c>
      <c r="C308" t="s">
        <v>88</v>
      </c>
      <c r="D308" t="s">
        <v>943</v>
      </c>
      <c r="E308" t="s">
        <v>836</v>
      </c>
      <c r="F308" t="s">
        <v>88</v>
      </c>
      <c r="G308" t="s">
        <v>88</v>
      </c>
      <c r="H308" t="s">
        <v>92</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112</v>
      </c>
      <c r="B309" t="s">
        <v>944</v>
      </c>
      <c r="C309" t="s">
        <v>88</v>
      </c>
      <c r="D309" t="s">
        <v>88</v>
      </c>
      <c r="E309" t="s">
        <v>692</v>
      </c>
      <c r="F309" t="s">
        <v>88</v>
      </c>
      <c r="G309" t="s">
        <v>88</v>
      </c>
      <c r="H309" t="s">
        <v>92</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112</v>
      </c>
      <c r="B310" t="s">
        <v>823</v>
      </c>
      <c r="C310" t="s">
        <v>88</v>
      </c>
      <c r="D310" t="s">
        <v>945</v>
      </c>
      <c r="E310" t="s">
        <v>825</v>
      </c>
      <c r="F310" t="s">
        <v>88</v>
      </c>
      <c r="G310" t="s">
        <v>88</v>
      </c>
      <c r="H310" t="s">
        <v>92</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112</v>
      </c>
      <c r="B311" t="s">
        <v>946</v>
      </c>
      <c r="C311" t="s">
        <v>88</v>
      </c>
      <c r="D311" t="s">
        <v>947</v>
      </c>
      <c r="E311" t="s">
        <v>702</v>
      </c>
      <c r="F311" t="s">
        <v>88</v>
      </c>
      <c r="G311" t="s">
        <v>88</v>
      </c>
      <c r="H311" t="s">
        <v>92</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112</v>
      </c>
      <c r="B312" t="s">
        <v>948</v>
      </c>
      <c r="C312" t="s">
        <v>88</v>
      </c>
      <c r="D312" t="s">
        <v>949</v>
      </c>
      <c r="E312" t="s">
        <v>850</v>
      </c>
      <c r="F312" t="s">
        <v>88</v>
      </c>
      <c r="G312" t="s">
        <v>88</v>
      </c>
      <c r="H312" t="s">
        <v>92</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112</v>
      </c>
      <c r="B313" t="s">
        <v>950</v>
      </c>
      <c r="C313" t="s">
        <v>88</v>
      </c>
      <c r="D313" t="s">
        <v>88</v>
      </c>
      <c r="E313" t="s">
        <v>850</v>
      </c>
      <c r="F313" t="s">
        <v>88</v>
      </c>
      <c r="G313" t="s">
        <v>88</v>
      </c>
      <c r="H313" t="s">
        <v>92</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112</v>
      </c>
      <c r="B314" t="s">
        <v>951</v>
      </c>
      <c r="C314" t="s">
        <v>88</v>
      </c>
      <c r="D314" t="s">
        <v>88</v>
      </c>
      <c r="E314" t="s">
        <v>850</v>
      </c>
      <c r="F314" t="s">
        <v>88</v>
      </c>
      <c r="G314" t="s">
        <v>88</v>
      </c>
      <c r="H314" t="s">
        <v>92</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112</v>
      </c>
      <c r="B315" t="s">
        <v>952</v>
      </c>
      <c r="C315" t="s">
        <v>88</v>
      </c>
      <c r="D315" t="s">
        <v>88</v>
      </c>
      <c r="E315" t="s">
        <v>710</v>
      </c>
      <c r="F315" t="s">
        <v>88</v>
      </c>
      <c r="G315" t="s">
        <v>88</v>
      </c>
      <c r="H315" t="s">
        <v>92</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112</v>
      </c>
      <c r="B316" t="s">
        <v>953</v>
      </c>
      <c r="C316" t="s">
        <v>88</v>
      </c>
      <c r="D316" t="s">
        <v>88</v>
      </c>
      <c r="E316" t="s">
        <v>710</v>
      </c>
      <c r="F316" t="s">
        <v>88</v>
      </c>
      <c r="G316" t="s">
        <v>88</v>
      </c>
      <c r="H316" t="s">
        <v>92</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112</v>
      </c>
      <c r="B317" t="s">
        <v>954</v>
      </c>
      <c r="C317" t="s">
        <v>88</v>
      </c>
      <c r="D317" t="s">
        <v>88</v>
      </c>
      <c r="E317" t="s">
        <v>710</v>
      </c>
      <c r="F317" t="s">
        <v>88</v>
      </c>
      <c r="G317" t="s">
        <v>88</v>
      </c>
      <c r="H317" t="s">
        <v>92</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112</v>
      </c>
      <c r="B318" t="s">
        <v>612</v>
      </c>
      <c r="C318" t="s">
        <v>88</v>
      </c>
      <c r="D318" t="s">
        <v>88</v>
      </c>
      <c r="E318" t="s">
        <v>709</v>
      </c>
      <c r="F318" t="s">
        <v>88</v>
      </c>
      <c r="G318" t="s">
        <v>88</v>
      </c>
      <c r="H318" t="s">
        <v>92</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112</v>
      </c>
      <c r="B319" t="s">
        <v>955</v>
      </c>
      <c r="C319" t="s">
        <v>88</v>
      </c>
      <c r="D319" t="s">
        <v>88</v>
      </c>
      <c r="E319" t="s">
        <v>710</v>
      </c>
      <c r="F319" t="s">
        <v>88</v>
      </c>
      <c r="G319" t="s">
        <v>88</v>
      </c>
      <c r="H319" t="s">
        <v>92</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112</v>
      </c>
      <c r="B320" t="s">
        <v>618</v>
      </c>
      <c r="C320" t="s">
        <v>88</v>
      </c>
      <c r="D320" t="s">
        <v>88</v>
      </c>
      <c r="E320" t="s">
        <v>848</v>
      </c>
      <c r="F320" t="s">
        <v>88</v>
      </c>
      <c r="G320" t="s">
        <v>88</v>
      </c>
      <c r="H320" t="s">
        <v>92</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112</v>
      </c>
      <c r="B321" t="s">
        <v>797</v>
      </c>
      <c r="C321" t="s">
        <v>88</v>
      </c>
      <c r="D321" t="s">
        <v>88</v>
      </c>
      <c r="E321" t="s">
        <v>713</v>
      </c>
      <c r="F321" t="s">
        <v>88</v>
      </c>
      <c r="G321" t="s">
        <v>88</v>
      </c>
      <c r="H321" t="s">
        <v>92</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112</v>
      </c>
      <c r="B322" t="s">
        <v>622</v>
      </c>
      <c r="C322" t="s">
        <v>88</v>
      </c>
      <c r="D322" t="s">
        <v>88</v>
      </c>
      <c r="E322" t="s">
        <v>735</v>
      </c>
      <c r="F322" t="s">
        <v>88</v>
      </c>
      <c r="G322" t="s">
        <v>88</v>
      </c>
      <c r="H322" t="s">
        <v>92</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112</v>
      </c>
      <c r="B323" t="s">
        <v>623</v>
      </c>
      <c r="C323" t="s">
        <v>88</v>
      </c>
      <c r="D323" t="s">
        <v>88</v>
      </c>
      <c r="E323" t="s">
        <v>849</v>
      </c>
      <c r="F323" t="s">
        <v>88</v>
      </c>
      <c r="G323" t="s">
        <v>88</v>
      </c>
      <c r="H323" t="s">
        <v>92</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112</v>
      </c>
      <c r="B324" t="s">
        <v>956</v>
      </c>
      <c r="C324" t="s">
        <v>88</v>
      </c>
      <c r="D324" t="s">
        <v>88</v>
      </c>
      <c r="E324" t="s">
        <v>957</v>
      </c>
      <c r="F324" t="s">
        <v>88</v>
      </c>
      <c r="G324" t="s">
        <v>88</v>
      </c>
      <c r="H324" t="s">
        <v>92</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112</v>
      </c>
      <c r="B325" t="s">
        <v>958</v>
      </c>
      <c r="C325" t="s">
        <v>88</v>
      </c>
      <c r="D325" t="s">
        <v>88</v>
      </c>
      <c r="E325" t="s">
        <v>959</v>
      </c>
      <c r="F325" t="s">
        <v>88</v>
      </c>
      <c r="G325" t="s">
        <v>88</v>
      </c>
      <c r="H325" t="s">
        <v>92</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114</v>
      </c>
      <c r="B326" t="s">
        <v>789</v>
      </c>
      <c r="C326" t="s">
        <v>88</v>
      </c>
      <c r="D326" t="s">
        <v>960</v>
      </c>
      <c r="E326" t="s">
        <v>702</v>
      </c>
      <c r="F326" t="s">
        <v>88</v>
      </c>
      <c r="G326" t="s">
        <v>88</v>
      </c>
      <c r="H326" t="s">
        <v>92</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114</v>
      </c>
      <c r="B327" t="s">
        <v>854</v>
      </c>
      <c r="C327" t="s">
        <v>88</v>
      </c>
      <c r="D327" t="s">
        <v>961</v>
      </c>
      <c r="E327" t="s">
        <v>791</v>
      </c>
      <c r="F327" t="s">
        <v>88</v>
      </c>
      <c r="G327" t="s">
        <v>88</v>
      </c>
      <c r="H327" t="s">
        <v>92</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114</v>
      </c>
      <c r="B328" t="s">
        <v>816</v>
      </c>
      <c r="C328" t="s">
        <v>88</v>
      </c>
      <c r="D328" t="s">
        <v>962</v>
      </c>
      <c r="E328" t="s">
        <v>700</v>
      </c>
      <c r="F328" t="s">
        <v>88</v>
      </c>
      <c r="G328" t="s">
        <v>88</v>
      </c>
      <c r="H328" t="s">
        <v>92</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114</v>
      </c>
      <c r="B329" t="s">
        <v>818</v>
      </c>
      <c r="C329" t="s">
        <v>88</v>
      </c>
      <c r="D329" t="s">
        <v>962</v>
      </c>
      <c r="E329" t="s">
        <v>893</v>
      </c>
      <c r="F329" t="s">
        <v>88</v>
      </c>
      <c r="G329" t="s">
        <v>88</v>
      </c>
      <c r="H329" t="s">
        <v>92</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114</v>
      </c>
      <c r="B330" t="s">
        <v>963</v>
      </c>
      <c r="C330" t="s">
        <v>88</v>
      </c>
      <c r="D330" t="s">
        <v>962</v>
      </c>
      <c r="E330" t="s">
        <v>964</v>
      </c>
      <c r="F330" t="s">
        <v>88</v>
      </c>
      <c r="G330" t="s">
        <v>88</v>
      </c>
      <c r="H330" t="s">
        <v>92</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114</v>
      </c>
      <c r="B331" t="s">
        <v>965</v>
      </c>
      <c r="C331" t="s">
        <v>88</v>
      </c>
      <c r="D331" t="s">
        <v>88</v>
      </c>
      <c r="E331" t="s">
        <v>658</v>
      </c>
      <c r="F331" t="s">
        <v>88</v>
      </c>
      <c r="G331" t="s">
        <v>88</v>
      </c>
      <c r="H331" t="s">
        <v>92</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114</v>
      </c>
      <c r="B332" t="s">
        <v>944</v>
      </c>
      <c r="C332" t="s">
        <v>88</v>
      </c>
      <c r="D332" t="s">
        <v>88</v>
      </c>
      <c r="E332" t="s">
        <v>655</v>
      </c>
      <c r="F332" t="s">
        <v>88</v>
      </c>
      <c r="G332" t="s">
        <v>88</v>
      </c>
      <c r="H332" t="s">
        <v>92</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114</v>
      </c>
      <c r="B333" t="s">
        <v>701</v>
      </c>
      <c r="C333" t="s">
        <v>88</v>
      </c>
      <c r="D333" t="s">
        <v>88</v>
      </c>
      <c r="E333" t="s">
        <v>734</v>
      </c>
      <c r="F333" t="s">
        <v>88</v>
      </c>
      <c r="G333" t="s">
        <v>88</v>
      </c>
      <c r="H333" t="s">
        <v>92</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114</v>
      </c>
      <c r="B334" t="s">
        <v>705</v>
      </c>
      <c r="C334" t="s">
        <v>88</v>
      </c>
      <c r="D334" t="s">
        <v>88</v>
      </c>
      <c r="E334" t="s">
        <v>734</v>
      </c>
      <c r="F334" t="s">
        <v>88</v>
      </c>
      <c r="G334" t="s">
        <v>88</v>
      </c>
      <c r="H334" t="s">
        <v>92</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114</v>
      </c>
      <c r="B335" t="s">
        <v>846</v>
      </c>
      <c r="C335" t="s">
        <v>88</v>
      </c>
      <c r="D335" t="s">
        <v>88</v>
      </c>
      <c r="E335" t="s">
        <v>710</v>
      </c>
      <c r="F335" t="s">
        <v>88</v>
      </c>
      <c r="G335" t="s">
        <v>88</v>
      </c>
      <c r="H335" t="s">
        <v>92</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114</v>
      </c>
      <c r="B336" t="s">
        <v>618</v>
      </c>
      <c r="C336" t="s">
        <v>88</v>
      </c>
      <c r="D336" t="s">
        <v>88</v>
      </c>
      <c r="E336" t="s">
        <v>848</v>
      </c>
      <c r="F336" t="s">
        <v>88</v>
      </c>
      <c r="G336" t="s">
        <v>88</v>
      </c>
      <c r="H336" t="s">
        <v>92</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114</v>
      </c>
      <c r="B337" t="s">
        <v>622</v>
      </c>
      <c r="C337" t="s">
        <v>88</v>
      </c>
      <c r="D337" t="s">
        <v>88</v>
      </c>
      <c r="E337" t="s">
        <v>713</v>
      </c>
      <c r="F337" t="s">
        <v>88</v>
      </c>
      <c r="G337" t="s">
        <v>88</v>
      </c>
      <c r="H337" t="s">
        <v>92</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114</v>
      </c>
      <c r="B338" t="s">
        <v>623</v>
      </c>
      <c r="C338" t="s">
        <v>88</v>
      </c>
      <c r="D338" t="s">
        <v>88</v>
      </c>
      <c r="E338" t="s">
        <v>735</v>
      </c>
      <c r="F338" t="s">
        <v>88</v>
      </c>
      <c r="G338" t="s">
        <v>88</v>
      </c>
      <c r="H338" t="s">
        <v>92</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114</v>
      </c>
      <c r="B339" t="s">
        <v>714</v>
      </c>
      <c r="C339" t="s">
        <v>88</v>
      </c>
      <c r="D339" t="s">
        <v>88</v>
      </c>
      <c r="E339" t="s">
        <v>799</v>
      </c>
      <c r="F339" t="s">
        <v>88</v>
      </c>
      <c r="G339" t="s">
        <v>88</v>
      </c>
      <c r="H339" t="s">
        <v>92</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114</v>
      </c>
      <c r="B340" t="s">
        <v>625</v>
      </c>
      <c r="C340" t="s">
        <v>88</v>
      </c>
      <c r="D340" t="s">
        <v>88</v>
      </c>
      <c r="E340" t="s">
        <v>626</v>
      </c>
      <c r="F340" t="s">
        <v>88</v>
      </c>
      <c r="G340" t="s">
        <v>88</v>
      </c>
      <c r="H340" t="s">
        <v>92</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115</v>
      </c>
      <c r="B341" t="s">
        <v>789</v>
      </c>
      <c r="C341" t="s">
        <v>88</v>
      </c>
      <c r="D341" t="s">
        <v>966</v>
      </c>
      <c r="E341" t="s">
        <v>799</v>
      </c>
      <c r="F341" t="s">
        <v>88</v>
      </c>
      <c r="G341" t="s">
        <v>88</v>
      </c>
      <c r="H341" t="s">
        <v>92</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115</v>
      </c>
      <c r="B342" t="s">
        <v>823</v>
      </c>
      <c r="C342" t="s">
        <v>88</v>
      </c>
      <c r="D342" t="s">
        <v>967</v>
      </c>
      <c r="E342" t="s">
        <v>964</v>
      </c>
      <c r="F342" t="s">
        <v>88</v>
      </c>
      <c r="G342" t="s">
        <v>88</v>
      </c>
      <c r="H342" t="s">
        <v>92</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115</v>
      </c>
      <c r="B343" t="s">
        <v>968</v>
      </c>
      <c r="C343" t="s">
        <v>88</v>
      </c>
      <c r="D343" t="s">
        <v>969</v>
      </c>
      <c r="E343" t="s">
        <v>791</v>
      </c>
      <c r="F343" t="s">
        <v>88</v>
      </c>
      <c r="G343" t="s">
        <v>88</v>
      </c>
      <c r="H343" t="s">
        <v>92</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115</v>
      </c>
      <c r="B344" t="s">
        <v>816</v>
      </c>
      <c r="C344" t="s">
        <v>88</v>
      </c>
      <c r="D344" t="s">
        <v>970</v>
      </c>
      <c r="E344" t="s">
        <v>700</v>
      </c>
      <c r="F344" t="s">
        <v>88</v>
      </c>
      <c r="G344" t="s">
        <v>88</v>
      </c>
      <c r="H344" t="s">
        <v>92</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115</v>
      </c>
      <c r="B345" t="s">
        <v>935</v>
      </c>
      <c r="C345" t="s">
        <v>88</v>
      </c>
      <c r="D345" t="s">
        <v>971</v>
      </c>
      <c r="E345" t="s">
        <v>723</v>
      </c>
      <c r="F345" t="s">
        <v>88</v>
      </c>
      <c r="G345" t="s">
        <v>88</v>
      </c>
      <c r="H345" t="s">
        <v>92</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115</v>
      </c>
      <c r="B346" t="s">
        <v>789</v>
      </c>
      <c r="C346" t="s">
        <v>88</v>
      </c>
      <c r="D346" t="s">
        <v>966</v>
      </c>
      <c r="E346" t="s">
        <v>799</v>
      </c>
      <c r="F346" t="s">
        <v>88</v>
      </c>
      <c r="G346" t="s">
        <v>88</v>
      </c>
      <c r="H346" t="s">
        <v>92</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115</v>
      </c>
      <c r="B347" t="s">
        <v>968</v>
      </c>
      <c r="C347" t="s">
        <v>88</v>
      </c>
      <c r="D347" t="s">
        <v>969</v>
      </c>
      <c r="E347" t="s">
        <v>791</v>
      </c>
      <c r="F347" t="s">
        <v>88</v>
      </c>
      <c r="G347" t="s">
        <v>88</v>
      </c>
      <c r="H347" t="s">
        <v>92</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115</v>
      </c>
      <c r="B348" t="s">
        <v>972</v>
      </c>
      <c r="C348" t="s">
        <v>88</v>
      </c>
      <c r="D348" t="s">
        <v>973</v>
      </c>
      <c r="E348" t="s">
        <v>715</v>
      </c>
      <c r="F348" t="s">
        <v>88</v>
      </c>
      <c r="G348" t="s">
        <v>88</v>
      </c>
      <c r="H348" t="s">
        <v>92</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115</v>
      </c>
      <c r="B349" t="s">
        <v>935</v>
      </c>
      <c r="C349" t="s">
        <v>88</v>
      </c>
      <c r="D349" t="s">
        <v>971</v>
      </c>
      <c r="E349" t="s">
        <v>723</v>
      </c>
      <c r="F349" t="s">
        <v>88</v>
      </c>
      <c r="G349" t="s">
        <v>88</v>
      </c>
      <c r="H349" t="s">
        <v>92</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115</v>
      </c>
      <c r="B350" t="s">
        <v>974</v>
      </c>
      <c r="C350" t="s">
        <v>88</v>
      </c>
      <c r="D350" t="s">
        <v>975</v>
      </c>
      <c r="E350" t="s">
        <v>721</v>
      </c>
      <c r="F350" t="s">
        <v>88</v>
      </c>
      <c r="G350" t="s">
        <v>88</v>
      </c>
      <c r="H350" t="s">
        <v>92</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115</v>
      </c>
      <c r="B351" t="s">
        <v>816</v>
      </c>
      <c r="C351" t="s">
        <v>88</v>
      </c>
      <c r="D351" t="s">
        <v>970</v>
      </c>
      <c r="E351" t="s">
        <v>700</v>
      </c>
      <c r="F351" t="s">
        <v>88</v>
      </c>
      <c r="G351" t="s">
        <v>88</v>
      </c>
      <c r="H351" t="s">
        <v>92</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115</v>
      </c>
      <c r="B352" t="s">
        <v>976</v>
      </c>
      <c r="C352" t="s">
        <v>88</v>
      </c>
      <c r="D352" t="s">
        <v>977</v>
      </c>
      <c r="E352" t="s">
        <v>760</v>
      </c>
      <c r="F352" t="s">
        <v>88</v>
      </c>
      <c r="G352" t="s">
        <v>88</v>
      </c>
      <c r="H352" t="s">
        <v>92</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115</v>
      </c>
      <c r="B353" t="s">
        <v>942</v>
      </c>
      <c r="C353" t="s">
        <v>88</v>
      </c>
      <c r="D353" t="s">
        <v>978</v>
      </c>
      <c r="E353" t="s">
        <v>844</v>
      </c>
      <c r="F353" t="s">
        <v>88</v>
      </c>
      <c r="G353" t="s">
        <v>88</v>
      </c>
      <c r="H353" t="s">
        <v>92</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115</v>
      </c>
      <c r="B354" t="s">
        <v>823</v>
      </c>
      <c r="C354" t="s">
        <v>88</v>
      </c>
      <c r="D354" t="s">
        <v>967</v>
      </c>
      <c r="E354" t="s">
        <v>964</v>
      </c>
      <c r="F354" t="s">
        <v>88</v>
      </c>
      <c r="G354" t="s">
        <v>88</v>
      </c>
      <c r="H354" t="s">
        <v>92</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115</v>
      </c>
      <c r="B355" t="s">
        <v>944</v>
      </c>
      <c r="C355" t="s">
        <v>88</v>
      </c>
      <c r="D355" t="s">
        <v>88</v>
      </c>
      <c r="E355" t="s">
        <v>979</v>
      </c>
      <c r="F355" t="s">
        <v>88</v>
      </c>
      <c r="G355" t="s">
        <v>88</v>
      </c>
      <c r="H355" t="s">
        <v>92</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115</v>
      </c>
      <c r="B356" t="s">
        <v>612</v>
      </c>
      <c r="C356" t="s">
        <v>88</v>
      </c>
      <c r="D356" t="s">
        <v>88</v>
      </c>
      <c r="E356" t="s">
        <v>734</v>
      </c>
      <c r="F356" t="s">
        <v>88</v>
      </c>
      <c r="G356" t="s">
        <v>88</v>
      </c>
      <c r="H356" t="s">
        <v>92</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115</v>
      </c>
      <c r="B357" t="s">
        <v>705</v>
      </c>
      <c r="C357" t="s">
        <v>88</v>
      </c>
      <c r="D357" t="s">
        <v>88</v>
      </c>
      <c r="E357" t="s">
        <v>734</v>
      </c>
      <c r="F357" t="s">
        <v>88</v>
      </c>
      <c r="G357" t="s">
        <v>88</v>
      </c>
      <c r="H357" t="s">
        <v>92</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115</v>
      </c>
      <c r="B358" t="s">
        <v>615</v>
      </c>
      <c r="C358" t="s">
        <v>88</v>
      </c>
      <c r="D358" t="s">
        <v>88</v>
      </c>
      <c r="E358" t="s">
        <v>734</v>
      </c>
      <c r="F358" t="s">
        <v>88</v>
      </c>
      <c r="G358" t="s">
        <v>88</v>
      </c>
      <c r="H358" t="s">
        <v>92</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115</v>
      </c>
      <c r="B359" t="s">
        <v>794</v>
      </c>
      <c r="C359" t="s">
        <v>88</v>
      </c>
      <c r="D359" t="s">
        <v>88</v>
      </c>
      <c r="E359" t="s">
        <v>710</v>
      </c>
      <c r="F359" t="s">
        <v>88</v>
      </c>
      <c r="G359" t="s">
        <v>88</v>
      </c>
      <c r="H359" t="s">
        <v>92</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115</v>
      </c>
      <c r="B360" t="s">
        <v>926</v>
      </c>
      <c r="C360" t="s">
        <v>88</v>
      </c>
      <c r="D360" t="s">
        <v>88</v>
      </c>
      <c r="E360" t="s">
        <v>710</v>
      </c>
      <c r="F360" t="s">
        <v>88</v>
      </c>
      <c r="G360" t="s">
        <v>88</v>
      </c>
      <c r="H360" t="s">
        <v>92</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115</v>
      </c>
      <c r="B361" t="s">
        <v>618</v>
      </c>
      <c r="C361" t="s">
        <v>88</v>
      </c>
      <c r="D361" t="s">
        <v>88</v>
      </c>
      <c r="E361" t="s">
        <v>980</v>
      </c>
      <c r="F361" t="s">
        <v>88</v>
      </c>
      <c r="G361" t="s">
        <v>88</v>
      </c>
      <c r="H361" t="s">
        <v>92</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115</v>
      </c>
      <c r="B362" t="s">
        <v>795</v>
      </c>
      <c r="C362" t="s">
        <v>88</v>
      </c>
      <c r="D362" t="s">
        <v>88</v>
      </c>
      <c r="E362" t="s">
        <v>981</v>
      </c>
      <c r="F362" t="s">
        <v>88</v>
      </c>
      <c r="G362" t="s">
        <v>88</v>
      </c>
      <c r="H362" t="s">
        <v>92</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115</v>
      </c>
      <c r="B363" t="s">
        <v>797</v>
      </c>
      <c r="C363" t="s">
        <v>88</v>
      </c>
      <c r="D363" t="s">
        <v>88</v>
      </c>
      <c r="E363" t="s">
        <v>710</v>
      </c>
      <c r="F363" t="s">
        <v>88</v>
      </c>
      <c r="G363" t="s">
        <v>88</v>
      </c>
      <c r="H363" t="s">
        <v>92</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115</v>
      </c>
      <c r="B364" t="s">
        <v>622</v>
      </c>
      <c r="C364" t="s">
        <v>88</v>
      </c>
      <c r="D364" t="s">
        <v>88</v>
      </c>
      <c r="E364" t="s">
        <v>711</v>
      </c>
      <c r="F364" t="s">
        <v>88</v>
      </c>
      <c r="G364" t="s">
        <v>88</v>
      </c>
      <c r="H364" t="s">
        <v>92</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115</v>
      </c>
      <c r="B365" t="s">
        <v>623</v>
      </c>
      <c r="C365" t="s">
        <v>88</v>
      </c>
      <c r="D365" t="s">
        <v>88</v>
      </c>
      <c r="E365" t="s">
        <v>735</v>
      </c>
      <c r="F365" t="s">
        <v>88</v>
      </c>
      <c r="G365" t="s">
        <v>88</v>
      </c>
      <c r="H365" t="s">
        <v>92</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115</v>
      </c>
      <c r="B366" t="s">
        <v>798</v>
      </c>
      <c r="C366" t="s">
        <v>88</v>
      </c>
      <c r="D366" t="s">
        <v>88</v>
      </c>
      <c r="E366" t="s">
        <v>791</v>
      </c>
      <c r="F366" t="s">
        <v>88</v>
      </c>
      <c r="G366" t="s">
        <v>88</v>
      </c>
      <c r="H366" t="s">
        <v>92</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115</v>
      </c>
      <c r="B367" t="s">
        <v>982</v>
      </c>
      <c r="C367" t="s">
        <v>88</v>
      </c>
      <c r="D367" t="s">
        <v>88</v>
      </c>
      <c r="E367" t="s">
        <v>791</v>
      </c>
      <c r="F367" t="s">
        <v>88</v>
      </c>
      <c r="G367" t="s">
        <v>88</v>
      </c>
      <c r="H367" t="s">
        <v>92</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115</v>
      </c>
      <c r="B368" t="s">
        <v>983</v>
      </c>
      <c r="C368" t="s">
        <v>88</v>
      </c>
      <c r="D368" t="s">
        <v>847</v>
      </c>
      <c r="E368" t="s">
        <v>780</v>
      </c>
      <c r="F368" t="s">
        <v>88</v>
      </c>
      <c r="G368" t="s">
        <v>88</v>
      </c>
      <c r="H368" t="s">
        <v>92</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115</v>
      </c>
      <c r="B369" t="s">
        <v>625</v>
      </c>
      <c r="C369" t="s">
        <v>88</v>
      </c>
      <c r="D369" t="s">
        <v>88</v>
      </c>
      <c r="E369" t="s">
        <v>626</v>
      </c>
      <c r="F369" t="s">
        <v>88</v>
      </c>
      <c r="G369" t="s">
        <v>88</v>
      </c>
      <c r="H369" t="s">
        <v>92</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117</v>
      </c>
      <c r="B370" t="s">
        <v>984</v>
      </c>
      <c r="C370" t="s">
        <v>88</v>
      </c>
      <c r="D370" t="s">
        <v>985</v>
      </c>
      <c r="E370" t="s">
        <v>986</v>
      </c>
      <c r="F370" t="s">
        <v>88</v>
      </c>
      <c r="G370" t="s">
        <v>88</v>
      </c>
      <c r="H370" t="s">
        <v>92</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117</v>
      </c>
      <c r="B371" t="s">
        <v>987</v>
      </c>
      <c r="C371" t="s">
        <v>88</v>
      </c>
      <c r="D371" t="s">
        <v>988</v>
      </c>
      <c r="E371" t="s">
        <v>679</v>
      </c>
      <c r="F371" t="s">
        <v>88</v>
      </c>
      <c r="G371" t="s">
        <v>88</v>
      </c>
      <c r="H371" t="s">
        <v>92</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117</v>
      </c>
      <c r="B372" t="s">
        <v>789</v>
      </c>
      <c r="C372" t="s">
        <v>88</v>
      </c>
      <c r="D372" t="s">
        <v>989</v>
      </c>
      <c r="E372" t="s">
        <v>732</v>
      </c>
      <c r="F372" t="s">
        <v>88</v>
      </c>
      <c r="G372" t="s">
        <v>88</v>
      </c>
      <c r="H372" t="s">
        <v>92</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117</v>
      </c>
      <c r="B373" t="s">
        <v>935</v>
      </c>
      <c r="C373" t="s">
        <v>88</v>
      </c>
      <c r="D373" t="s">
        <v>990</v>
      </c>
      <c r="E373" t="s">
        <v>780</v>
      </c>
      <c r="F373" t="s">
        <v>88</v>
      </c>
      <c r="G373" t="s">
        <v>88</v>
      </c>
      <c r="H373" t="s">
        <v>92</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117</v>
      </c>
      <c r="B374" t="s">
        <v>816</v>
      </c>
      <c r="C374" t="s">
        <v>88</v>
      </c>
      <c r="D374" t="s">
        <v>991</v>
      </c>
      <c r="E374" t="s">
        <v>655</v>
      </c>
      <c r="F374" t="s">
        <v>88</v>
      </c>
      <c r="G374" t="s">
        <v>88</v>
      </c>
      <c r="H374" t="s">
        <v>92</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117</v>
      </c>
      <c r="B375" t="s">
        <v>823</v>
      </c>
      <c r="C375" t="s">
        <v>88</v>
      </c>
      <c r="D375" t="s">
        <v>992</v>
      </c>
      <c r="E375" t="s">
        <v>844</v>
      </c>
      <c r="F375" t="s">
        <v>88</v>
      </c>
      <c r="G375" t="s">
        <v>88</v>
      </c>
      <c r="H375" t="s">
        <v>92</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117</v>
      </c>
      <c r="B376" t="s">
        <v>768</v>
      </c>
      <c r="C376" t="s">
        <v>88</v>
      </c>
      <c r="D376" t="s">
        <v>993</v>
      </c>
      <c r="E376" t="s">
        <v>663</v>
      </c>
      <c r="F376" t="s">
        <v>88</v>
      </c>
      <c r="G376" t="s">
        <v>88</v>
      </c>
      <c r="H376" t="s">
        <v>92</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117</v>
      </c>
      <c r="B377" t="s">
        <v>740</v>
      </c>
      <c r="C377" t="s">
        <v>88</v>
      </c>
      <c r="D377" t="s">
        <v>994</v>
      </c>
      <c r="E377" t="s">
        <v>663</v>
      </c>
      <c r="F377" t="s">
        <v>88</v>
      </c>
      <c r="G377" t="s">
        <v>88</v>
      </c>
      <c r="H377" t="s">
        <v>92</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117</v>
      </c>
      <c r="B378" t="s">
        <v>881</v>
      </c>
      <c r="C378" t="s">
        <v>88</v>
      </c>
      <c r="D378" t="s">
        <v>88</v>
      </c>
      <c r="E378" t="s">
        <v>663</v>
      </c>
      <c r="F378" t="s">
        <v>88</v>
      </c>
      <c r="G378" t="s">
        <v>88</v>
      </c>
      <c r="H378" t="s">
        <v>92</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117</v>
      </c>
      <c r="B379" t="s">
        <v>995</v>
      </c>
      <c r="C379" t="s">
        <v>88</v>
      </c>
      <c r="D379" t="s">
        <v>996</v>
      </c>
      <c r="E379" t="s">
        <v>709</v>
      </c>
      <c r="F379" t="s">
        <v>88</v>
      </c>
      <c r="G379" t="s">
        <v>88</v>
      </c>
      <c r="H379" t="s">
        <v>92</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117</v>
      </c>
      <c r="B380" t="s">
        <v>701</v>
      </c>
      <c r="C380" t="s">
        <v>88</v>
      </c>
      <c r="D380" t="s">
        <v>88</v>
      </c>
      <c r="E380" t="s">
        <v>709</v>
      </c>
      <c r="F380" t="s">
        <v>88</v>
      </c>
      <c r="G380" t="s">
        <v>88</v>
      </c>
      <c r="H380" t="s">
        <v>92</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117</v>
      </c>
      <c r="B381" t="s">
        <v>705</v>
      </c>
      <c r="C381" t="s">
        <v>88</v>
      </c>
      <c r="D381" t="s">
        <v>88</v>
      </c>
      <c r="E381" t="s">
        <v>709</v>
      </c>
      <c r="F381" t="s">
        <v>88</v>
      </c>
      <c r="G381" t="s">
        <v>88</v>
      </c>
      <c r="H381" t="s">
        <v>92</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117</v>
      </c>
      <c r="B382" t="s">
        <v>997</v>
      </c>
      <c r="C382" t="s">
        <v>88</v>
      </c>
      <c r="D382" t="s">
        <v>88</v>
      </c>
      <c r="E382" t="s">
        <v>709</v>
      </c>
      <c r="F382" t="s">
        <v>88</v>
      </c>
      <c r="G382" t="s">
        <v>88</v>
      </c>
      <c r="H382" t="s">
        <v>92</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117</v>
      </c>
      <c r="B383" t="s">
        <v>612</v>
      </c>
      <c r="C383" t="s">
        <v>88</v>
      </c>
      <c r="D383" t="s">
        <v>88</v>
      </c>
      <c r="E383" t="s">
        <v>709</v>
      </c>
      <c r="F383" t="s">
        <v>88</v>
      </c>
      <c r="G383" t="s">
        <v>88</v>
      </c>
      <c r="H383" t="s">
        <v>92</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117</v>
      </c>
      <c r="B384" t="s">
        <v>614</v>
      </c>
      <c r="C384" t="s">
        <v>88</v>
      </c>
      <c r="D384" t="s">
        <v>88</v>
      </c>
      <c r="E384" t="s">
        <v>709</v>
      </c>
      <c r="F384" t="s">
        <v>88</v>
      </c>
      <c r="G384" t="s">
        <v>88</v>
      </c>
      <c r="H384" t="s">
        <v>92</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117</v>
      </c>
      <c r="B385" t="s">
        <v>615</v>
      </c>
      <c r="C385" t="s">
        <v>88</v>
      </c>
      <c r="D385" t="s">
        <v>88</v>
      </c>
      <c r="E385" t="s">
        <v>709</v>
      </c>
      <c r="F385" t="s">
        <v>88</v>
      </c>
      <c r="G385" t="s">
        <v>88</v>
      </c>
      <c r="H385" t="s">
        <v>92</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117</v>
      </c>
      <c r="B386" t="s">
        <v>794</v>
      </c>
      <c r="C386" t="s">
        <v>88</v>
      </c>
      <c r="D386" t="s">
        <v>88</v>
      </c>
      <c r="E386" t="s">
        <v>710</v>
      </c>
      <c r="F386" t="s">
        <v>88</v>
      </c>
      <c r="G386" t="s">
        <v>88</v>
      </c>
      <c r="H386" t="s">
        <v>92</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117</v>
      </c>
      <c r="B387" t="s">
        <v>618</v>
      </c>
      <c r="C387" t="s">
        <v>88</v>
      </c>
      <c r="D387" t="s">
        <v>88</v>
      </c>
      <c r="E387" t="s">
        <v>711</v>
      </c>
      <c r="F387" t="s">
        <v>88</v>
      </c>
      <c r="G387" t="s">
        <v>88</v>
      </c>
      <c r="H387" t="s">
        <v>92</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117</v>
      </c>
      <c r="B388" t="s">
        <v>795</v>
      </c>
      <c r="C388" t="s">
        <v>88</v>
      </c>
      <c r="D388" t="s">
        <v>88</v>
      </c>
      <c r="E388" t="s">
        <v>735</v>
      </c>
      <c r="F388" t="s">
        <v>88</v>
      </c>
      <c r="G388" t="s">
        <v>88</v>
      </c>
      <c r="H388" t="s">
        <v>92</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117</v>
      </c>
      <c r="B389" t="s">
        <v>797</v>
      </c>
      <c r="C389" t="s">
        <v>88</v>
      </c>
      <c r="D389" t="s">
        <v>88</v>
      </c>
      <c r="E389" t="s">
        <v>711</v>
      </c>
      <c r="F389" t="s">
        <v>88</v>
      </c>
      <c r="G389" t="s">
        <v>88</v>
      </c>
      <c r="H389" t="s">
        <v>92</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117</v>
      </c>
      <c r="B390" t="s">
        <v>622</v>
      </c>
      <c r="C390" t="s">
        <v>88</v>
      </c>
      <c r="D390" t="s">
        <v>88</v>
      </c>
      <c r="E390" t="s">
        <v>713</v>
      </c>
      <c r="F390" t="s">
        <v>88</v>
      </c>
      <c r="G390" t="s">
        <v>88</v>
      </c>
      <c r="H390" t="s">
        <v>92</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117</v>
      </c>
      <c r="B391" t="s">
        <v>623</v>
      </c>
      <c r="C391" t="s">
        <v>88</v>
      </c>
      <c r="D391" t="s">
        <v>88</v>
      </c>
      <c r="E391" t="s">
        <v>849</v>
      </c>
      <c r="F391" t="s">
        <v>88</v>
      </c>
      <c r="G391" t="s">
        <v>88</v>
      </c>
      <c r="H391" t="s">
        <v>92</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117</v>
      </c>
      <c r="B392" t="s">
        <v>714</v>
      </c>
      <c r="C392" t="s">
        <v>88</v>
      </c>
      <c r="D392" t="s">
        <v>88</v>
      </c>
      <c r="E392" t="s">
        <v>732</v>
      </c>
      <c r="F392" t="s">
        <v>88</v>
      </c>
      <c r="G392" t="s">
        <v>88</v>
      </c>
      <c r="H392" t="s">
        <v>92</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117</v>
      </c>
      <c r="B393" t="s">
        <v>998</v>
      </c>
      <c r="C393" t="s">
        <v>88</v>
      </c>
      <c r="D393" t="s">
        <v>88</v>
      </c>
      <c r="E393" t="s">
        <v>732</v>
      </c>
      <c r="F393" t="s">
        <v>88</v>
      </c>
      <c r="G393" t="s">
        <v>88</v>
      </c>
      <c r="H393" t="s">
        <v>92</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117</v>
      </c>
      <c r="B394" t="s">
        <v>798</v>
      </c>
      <c r="C394" t="s">
        <v>88</v>
      </c>
      <c r="D394" t="s">
        <v>88</v>
      </c>
      <c r="E394" t="s">
        <v>732</v>
      </c>
      <c r="F394" t="s">
        <v>88</v>
      </c>
      <c r="G394" t="s">
        <v>88</v>
      </c>
      <c r="H394" t="s">
        <v>92</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117</v>
      </c>
      <c r="B395" t="s">
        <v>982</v>
      </c>
      <c r="C395" t="s">
        <v>88</v>
      </c>
      <c r="D395" t="s">
        <v>88</v>
      </c>
      <c r="E395" t="s">
        <v>732</v>
      </c>
      <c r="F395" t="s">
        <v>88</v>
      </c>
      <c r="G395" t="s">
        <v>88</v>
      </c>
      <c r="H395" t="s">
        <v>92</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117</v>
      </c>
      <c r="B396" t="s">
        <v>625</v>
      </c>
      <c r="C396" t="s">
        <v>88</v>
      </c>
      <c r="D396" t="s">
        <v>88</v>
      </c>
      <c r="E396" t="s">
        <v>626</v>
      </c>
      <c r="F396" t="s">
        <v>88</v>
      </c>
      <c r="G396" t="s">
        <v>88</v>
      </c>
      <c r="H396" t="s">
        <v>92</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119</v>
      </c>
      <c r="B397" t="s">
        <v>972</v>
      </c>
      <c r="C397" t="s">
        <v>88</v>
      </c>
      <c r="D397" t="s">
        <v>999</v>
      </c>
      <c r="E397" t="s">
        <v>959</v>
      </c>
      <c r="F397" t="s">
        <v>88</v>
      </c>
      <c r="G397" t="s">
        <v>88</v>
      </c>
      <c r="H397" t="s">
        <v>92</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119</v>
      </c>
      <c r="B398" t="s">
        <v>789</v>
      </c>
      <c r="C398" t="s">
        <v>88</v>
      </c>
      <c r="D398" t="s">
        <v>1000</v>
      </c>
      <c r="E398" t="s">
        <v>791</v>
      </c>
      <c r="F398" t="s">
        <v>88</v>
      </c>
      <c r="G398" t="s">
        <v>88</v>
      </c>
      <c r="H398" t="s">
        <v>92</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119</v>
      </c>
      <c r="B399" t="s">
        <v>1001</v>
      </c>
      <c r="C399" t="s">
        <v>88</v>
      </c>
      <c r="D399" t="s">
        <v>1002</v>
      </c>
      <c r="E399" t="s">
        <v>791</v>
      </c>
      <c r="F399" t="s">
        <v>88</v>
      </c>
      <c r="G399" t="s">
        <v>88</v>
      </c>
      <c r="H399" t="s">
        <v>92</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119</v>
      </c>
      <c r="B400" t="s">
        <v>816</v>
      </c>
      <c r="C400" t="s">
        <v>88</v>
      </c>
      <c r="D400" t="s">
        <v>1003</v>
      </c>
      <c r="E400" t="s">
        <v>655</v>
      </c>
      <c r="F400" t="s">
        <v>88</v>
      </c>
      <c r="G400" t="s">
        <v>88</v>
      </c>
      <c r="H400" t="s">
        <v>92</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119</v>
      </c>
      <c r="B401" t="s">
        <v>1004</v>
      </c>
      <c r="C401" t="s">
        <v>88</v>
      </c>
      <c r="D401" t="s">
        <v>1005</v>
      </c>
      <c r="E401" t="s">
        <v>1006</v>
      </c>
      <c r="F401" t="s">
        <v>88</v>
      </c>
      <c r="G401" t="s">
        <v>88</v>
      </c>
      <c r="H401" t="s">
        <v>92</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119</v>
      </c>
      <c r="B402" t="s">
        <v>789</v>
      </c>
      <c r="C402" t="s">
        <v>88</v>
      </c>
      <c r="D402" t="s">
        <v>1000</v>
      </c>
      <c r="E402" t="s">
        <v>791</v>
      </c>
      <c r="F402" t="s">
        <v>88</v>
      </c>
      <c r="G402" t="s">
        <v>88</v>
      </c>
      <c r="H402" t="s">
        <v>92</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119</v>
      </c>
      <c r="B403" t="s">
        <v>1007</v>
      </c>
      <c r="C403" t="s">
        <v>88</v>
      </c>
      <c r="D403" t="s">
        <v>1008</v>
      </c>
      <c r="E403" t="s">
        <v>692</v>
      </c>
      <c r="F403" t="s">
        <v>88</v>
      </c>
      <c r="G403" t="s">
        <v>88</v>
      </c>
      <c r="H403" t="s">
        <v>92</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119</v>
      </c>
      <c r="B404" t="s">
        <v>1009</v>
      </c>
      <c r="C404" t="s">
        <v>88</v>
      </c>
      <c r="D404" t="s">
        <v>1008</v>
      </c>
      <c r="E404" t="s">
        <v>676</v>
      </c>
      <c r="F404" t="s">
        <v>88</v>
      </c>
      <c r="G404" t="s">
        <v>88</v>
      </c>
      <c r="H404" t="s">
        <v>92</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119</v>
      </c>
      <c r="B405" t="s">
        <v>1010</v>
      </c>
      <c r="C405" t="s">
        <v>88</v>
      </c>
      <c r="D405" t="s">
        <v>1008</v>
      </c>
      <c r="E405" t="s">
        <v>841</v>
      </c>
      <c r="F405" t="s">
        <v>88</v>
      </c>
      <c r="G405" t="s">
        <v>88</v>
      </c>
      <c r="H405" t="s">
        <v>92</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119</v>
      </c>
      <c r="B406" t="s">
        <v>1004</v>
      </c>
      <c r="C406" t="s">
        <v>88</v>
      </c>
      <c r="D406" t="s">
        <v>1005</v>
      </c>
      <c r="E406" t="s">
        <v>1006</v>
      </c>
      <c r="F406" t="s">
        <v>88</v>
      </c>
      <c r="G406" t="s">
        <v>88</v>
      </c>
      <c r="H406" t="s">
        <v>92</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119</v>
      </c>
      <c r="B407" t="s">
        <v>1011</v>
      </c>
      <c r="C407" t="s">
        <v>88</v>
      </c>
      <c r="D407" t="s">
        <v>1012</v>
      </c>
      <c r="E407" t="s">
        <v>692</v>
      </c>
      <c r="F407" t="s">
        <v>88</v>
      </c>
      <c r="G407" t="s">
        <v>88</v>
      </c>
      <c r="H407" t="s">
        <v>92</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119</v>
      </c>
      <c r="B408" t="s">
        <v>1013</v>
      </c>
      <c r="C408" t="s">
        <v>88</v>
      </c>
      <c r="D408" t="s">
        <v>1005</v>
      </c>
      <c r="E408" t="s">
        <v>838</v>
      </c>
      <c r="F408" t="s">
        <v>88</v>
      </c>
      <c r="G408" t="s">
        <v>88</v>
      </c>
      <c r="H408" t="s">
        <v>92</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119</v>
      </c>
      <c r="B409" t="s">
        <v>1014</v>
      </c>
      <c r="C409" t="s">
        <v>88</v>
      </c>
      <c r="D409" t="s">
        <v>1005</v>
      </c>
      <c r="E409" t="s">
        <v>1015</v>
      </c>
      <c r="F409" t="s">
        <v>88</v>
      </c>
      <c r="G409" t="s">
        <v>88</v>
      </c>
      <c r="H409" t="s">
        <v>92</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119</v>
      </c>
      <c r="B410" t="s">
        <v>1016</v>
      </c>
      <c r="C410" t="s">
        <v>88</v>
      </c>
      <c r="D410" t="s">
        <v>1017</v>
      </c>
      <c r="E410" t="s">
        <v>715</v>
      </c>
      <c r="F410" t="s">
        <v>88</v>
      </c>
      <c r="G410" t="s">
        <v>88</v>
      </c>
      <c r="H410" t="s">
        <v>92</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119</v>
      </c>
      <c r="B411" t="s">
        <v>972</v>
      </c>
      <c r="C411" t="s">
        <v>88</v>
      </c>
      <c r="D411" t="s">
        <v>999</v>
      </c>
      <c r="E411" t="s">
        <v>959</v>
      </c>
      <c r="F411" t="s">
        <v>88</v>
      </c>
      <c r="G411" t="s">
        <v>88</v>
      </c>
      <c r="H411" t="s">
        <v>92</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119</v>
      </c>
      <c r="B412" t="s">
        <v>854</v>
      </c>
      <c r="C412" t="s">
        <v>88</v>
      </c>
      <c r="D412" t="s">
        <v>1018</v>
      </c>
      <c r="E412" t="s">
        <v>738</v>
      </c>
      <c r="F412" t="s">
        <v>88</v>
      </c>
      <c r="G412" t="s">
        <v>88</v>
      </c>
      <c r="H412" t="s">
        <v>92</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119</v>
      </c>
      <c r="B413" t="s">
        <v>1019</v>
      </c>
      <c r="C413" t="s">
        <v>88</v>
      </c>
      <c r="D413" t="s">
        <v>1020</v>
      </c>
      <c r="E413" t="s">
        <v>937</v>
      </c>
      <c r="F413" t="s">
        <v>88</v>
      </c>
      <c r="G413" t="s">
        <v>88</v>
      </c>
      <c r="H413" t="s">
        <v>92</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119</v>
      </c>
      <c r="B414" t="s">
        <v>1021</v>
      </c>
      <c r="C414" t="s">
        <v>88</v>
      </c>
      <c r="D414" t="s">
        <v>1022</v>
      </c>
      <c r="E414" t="s">
        <v>658</v>
      </c>
      <c r="F414" t="s">
        <v>88</v>
      </c>
      <c r="G414" t="s">
        <v>88</v>
      </c>
      <c r="H414" t="s">
        <v>92</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119</v>
      </c>
      <c r="B415" t="s">
        <v>1023</v>
      </c>
      <c r="C415" t="s">
        <v>88</v>
      </c>
      <c r="D415" t="s">
        <v>1024</v>
      </c>
      <c r="E415" t="s">
        <v>723</v>
      </c>
      <c r="F415" t="s">
        <v>88</v>
      </c>
      <c r="G415" t="s">
        <v>88</v>
      </c>
      <c r="H415" t="s">
        <v>92</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119</v>
      </c>
      <c r="B416" t="s">
        <v>816</v>
      </c>
      <c r="C416" t="s">
        <v>88</v>
      </c>
      <c r="D416" t="s">
        <v>1003</v>
      </c>
      <c r="E416" t="s">
        <v>655</v>
      </c>
      <c r="F416" t="s">
        <v>88</v>
      </c>
      <c r="G416" t="s">
        <v>88</v>
      </c>
      <c r="H416" t="s">
        <v>92</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119</v>
      </c>
      <c r="B417" t="s">
        <v>942</v>
      </c>
      <c r="C417" t="s">
        <v>88</v>
      </c>
      <c r="D417" t="s">
        <v>1025</v>
      </c>
      <c r="E417" t="s">
        <v>676</v>
      </c>
      <c r="F417" t="s">
        <v>88</v>
      </c>
      <c r="G417" t="s">
        <v>88</v>
      </c>
      <c r="H417" t="s">
        <v>92</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119</v>
      </c>
      <c r="B418" t="s">
        <v>823</v>
      </c>
      <c r="C418" t="s">
        <v>88</v>
      </c>
      <c r="D418" t="s">
        <v>1026</v>
      </c>
      <c r="E418" t="s">
        <v>825</v>
      </c>
      <c r="F418" t="s">
        <v>88</v>
      </c>
      <c r="G418" t="s">
        <v>88</v>
      </c>
      <c r="H418" t="s">
        <v>92</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119</v>
      </c>
      <c r="B419" t="s">
        <v>842</v>
      </c>
      <c r="C419" t="s">
        <v>88</v>
      </c>
      <c r="D419" t="s">
        <v>1024</v>
      </c>
      <c r="E419" t="s">
        <v>1006</v>
      </c>
      <c r="F419" t="s">
        <v>88</v>
      </c>
      <c r="G419" t="s">
        <v>88</v>
      </c>
      <c r="H419" t="s">
        <v>92</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119</v>
      </c>
      <c r="B420" t="s">
        <v>1001</v>
      </c>
      <c r="C420" t="s">
        <v>88</v>
      </c>
      <c r="D420" t="s">
        <v>1002</v>
      </c>
      <c r="E420" t="s">
        <v>791</v>
      </c>
      <c r="F420" t="s">
        <v>88</v>
      </c>
      <c r="G420" t="s">
        <v>88</v>
      </c>
      <c r="H420" t="s">
        <v>92</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119</v>
      </c>
      <c r="B421" t="s">
        <v>1027</v>
      </c>
      <c r="C421" t="s">
        <v>88</v>
      </c>
      <c r="D421" t="s">
        <v>1028</v>
      </c>
      <c r="E421" t="s">
        <v>791</v>
      </c>
      <c r="F421" t="s">
        <v>88</v>
      </c>
      <c r="G421" t="s">
        <v>88</v>
      </c>
      <c r="H421" t="s">
        <v>92</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119</v>
      </c>
      <c r="B422" t="s">
        <v>1029</v>
      </c>
      <c r="C422" t="s">
        <v>88</v>
      </c>
      <c r="D422" t="s">
        <v>1030</v>
      </c>
      <c r="E422" t="s">
        <v>937</v>
      </c>
      <c r="F422" t="s">
        <v>88</v>
      </c>
      <c r="G422" t="s">
        <v>88</v>
      </c>
      <c r="H422" t="s">
        <v>92</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119</v>
      </c>
      <c r="B423" t="s">
        <v>701</v>
      </c>
      <c r="C423" t="s">
        <v>88</v>
      </c>
      <c r="D423" t="s">
        <v>88</v>
      </c>
      <c r="E423" t="s">
        <v>732</v>
      </c>
      <c r="F423" t="s">
        <v>88</v>
      </c>
      <c r="G423" t="s">
        <v>88</v>
      </c>
      <c r="H423" t="s">
        <v>92</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119</v>
      </c>
      <c r="B424" t="s">
        <v>705</v>
      </c>
      <c r="C424" t="s">
        <v>88</v>
      </c>
      <c r="D424" t="s">
        <v>88</v>
      </c>
      <c r="E424" t="s">
        <v>732</v>
      </c>
      <c r="F424" t="s">
        <v>88</v>
      </c>
      <c r="G424" t="s">
        <v>88</v>
      </c>
      <c r="H424" t="s">
        <v>92</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119</v>
      </c>
      <c r="B425" t="s">
        <v>612</v>
      </c>
      <c r="C425" t="s">
        <v>88</v>
      </c>
      <c r="D425" t="s">
        <v>88</v>
      </c>
      <c r="E425" t="s">
        <v>732</v>
      </c>
      <c r="F425" t="s">
        <v>88</v>
      </c>
      <c r="G425" t="s">
        <v>88</v>
      </c>
      <c r="H425" t="s">
        <v>92</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119</v>
      </c>
      <c r="B426" t="s">
        <v>1031</v>
      </c>
      <c r="C426" t="s">
        <v>88</v>
      </c>
      <c r="D426" t="s">
        <v>88</v>
      </c>
      <c r="E426" t="s">
        <v>710</v>
      </c>
      <c r="F426" t="s">
        <v>88</v>
      </c>
      <c r="G426" t="s">
        <v>88</v>
      </c>
      <c r="H426" t="s">
        <v>92</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119</v>
      </c>
      <c r="B427" t="s">
        <v>618</v>
      </c>
      <c r="C427" t="s">
        <v>88</v>
      </c>
      <c r="D427" t="s">
        <v>88</v>
      </c>
      <c r="E427" t="s">
        <v>711</v>
      </c>
      <c r="F427" t="s">
        <v>88</v>
      </c>
      <c r="G427" t="s">
        <v>88</v>
      </c>
      <c r="H427" t="s">
        <v>92</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119</v>
      </c>
      <c r="B428" t="s">
        <v>926</v>
      </c>
      <c r="C428" t="s">
        <v>88</v>
      </c>
      <c r="D428" t="s">
        <v>88</v>
      </c>
      <c r="E428" t="s">
        <v>848</v>
      </c>
      <c r="F428" t="s">
        <v>88</v>
      </c>
      <c r="G428" t="s">
        <v>88</v>
      </c>
      <c r="H428" t="s">
        <v>92</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119</v>
      </c>
      <c r="B429" t="s">
        <v>795</v>
      </c>
      <c r="C429" t="s">
        <v>88</v>
      </c>
      <c r="D429" t="s">
        <v>88</v>
      </c>
      <c r="E429" t="s">
        <v>735</v>
      </c>
      <c r="F429" t="s">
        <v>88</v>
      </c>
      <c r="G429" t="s">
        <v>88</v>
      </c>
      <c r="H429" t="s">
        <v>92</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119</v>
      </c>
      <c r="B430" t="s">
        <v>1032</v>
      </c>
      <c r="C430" t="s">
        <v>88</v>
      </c>
      <c r="D430" t="s">
        <v>88</v>
      </c>
      <c r="E430" t="s">
        <v>711</v>
      </c>
      <c r="F430" t="s">
        <v>88</v>
      </c>
      <c r="G430" t="s">
        <v>88</v>
      </c>
      <c r="H430" t="s">
        <v>92</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119</v>
      </c>
      <c r="B431" t="s">
        <v>929</v>
      </c>
      <c r="C431" t="s">
        <v>88</v>
      </c>
      <c r="D431" t="s">
        <v>88</v>
      </c>
      <c r="E431" t="s">
        <v>849</v>
      </c>
      <c r="F431" t="s">
        <v>88</v>
      </c>
      <c r="G431" t="s">
        <v>88</v>
      </c>
      <c r="H431" t="s">
        <v>92</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119</v>
      </c>
      <c r="B432" t="s">
        <v>798</v>
      </c>
      <c r="C432" t="s">
        <v>88</v>
      </c>
      <c r="D432" t="s">
        <v>88</v>
      </c>
      <c r="E432" t="s">
        <v>791</v>
      </c>
      <c r="F432" t="s">
        <v>88</v>
      </c>
      <c r="G432" t="s">
        <v>88</v>
      </c>
      <c r="H432" t="s">
        <v>92</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119</v>
      </c>
      <c r="B433" t="s">
        <v>1033</v>
      </c>
      <c r="C433" t="s">
        <v>88</v>
      </c>
      <c r="D433" t="s">
        <v>88</v>
      </c>
      <c r="E433" t="s">
        <v>799</v>
      </c>
      <c r="F433" t="s">
        <v>88</v>
      </c>
      <c r="G433" t="s">
        <v>88</v>
      </c>
      <c r="H433" t="s">
        <v>92</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119</v>
      </c>
      <c r="B434" t="s">
        <v>625</v>
      </c>
      <c r="C434" t="s">
        <v>88</v>
      </c>
      <c r="D434" t="s">
        <v>88</v>
      </c>
      <c r="E434" t="s">
        <v>626</v>
      </c>
      <c r="F434" t="s">
        <v>88</v>
      </c>
      <c r="G434" t="s">
        <v>88</v>
      </c>
      <c r="H434" t="s">
        <v>92</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121</v>
      </c>
      <c r="B435" t="s">
        <v>1034</v>
      </c>
      <c r="C435" t="s">
        <v>88</v>
      </c>
      <c r="D435" t="s">
        <v>88</v>
      </c>
      <c r="E435" t="s">
        <v>791</v>
      </c>
      <c r="F435" t="s">
        <v>88</v>
      </c>
      <c r="G435" t="s">
        <v>88</v>
      </c>
      <c r="H435" t="s">
        <v>92</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121</v>
      </c>
      <c r="B436" t="s">
        <v>1035</v>
      </c>
      <c r="C436" t="s">
        <v>88</v>
      </c>
      <c r="D436" t="s">
        <v>1036</v>
      </c>
      <c r="E436" t="s">
        <v>702</v>
      </c>
      <c r="F436" t="s">
        <v>88</v>
      </c>
      <c r="G436" t="s">
        <v>88</v>
      </c>
      <c r="H436" t="s">
        <v>92</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121</v>
      </c>
      <c r="B437" t="s">
        <v>1037</v>
      </c>
      <c r="C437" t="s">
        <v>88</v>
      </c>
      <c r="D437" t="s">
        <v>88</v>
      </c>
      <c r="E437" t="s">
        <v>780</v>
      </c>
      <c r="F437" t="s">
        <v>88</v>
      </c>
      <c r="G437" t="s">
        <v>88</v>
      </c>
      <c r="H437" t="s">
        <v>92</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121</v>
      </c>
      <c r="B438" t="s">
        <v>1038</v>
      </c>
      <c r="C438" t="s">
        <v>88</v>
      </c>
      <c r="D438" t="s">
        <v>88</v>
      </c>
      <c r="E438" t="s">
        <v>791</v>
      </c>
      <c r="F438" t="s">
        <v>88</v>
      </c>
      <c r="G438" t="s">
        <v>88</v>
      </c>
      <c r="H438" t="s">
        <v>92</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121</v>
      </c>
      <c r="B439" t="s">
        <v>1039</v>
      </c>
      <c r="C439" t="s">
        <v>88</v>
      </c>
      <c r="D439" t="s">
        <v>88</v>
      </c>
      <c r="E439" t="s">
        <v>780</v>
      </c>
      <c r="F439" t="s">
        <v>88</v>
      </c>
      <c r="G439" t="s">
        <v>88</v>
      </c>
      <c r="H439" t="s">
        <v>92</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121</v>
      </c>
      <c r="B440" t="s">
        <v>1040</v>
      </c>
      <c r="C440" t="s">
        <v>88</v>
      </c>
      <c r="D440" t="s">
        <v>88</v>
      </c>
      <c r="E440" t="s">
        <v>791</v>
      </c>
      <c r="F440" t="s">
        <v>88</v>
      </c>
      <c r="G440" t="s">
        <v>88</v>
      </c>
      <c r="H440" t="s">
        <v>92</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121</v>
      </c>
      <c r="B441" t="s">
        <v>1041</v>
      </c>
      <c r="C441" t="s">
        <v>88</v>
      </c>
      <c r="D441" t="s">
        <v>88</v>
      </c>
      <c r="E441" t="s">
        <v>791</v>
      </c>
      <c r="F441" t="s">
        <v>88</v>
      </c>
      <c r="G441" t="s">
        <v>88</v>
      </c>
      <c r="H441" t="s">
        <v>92</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121</v>
      </c>
      <c r="B442" t="s">
        <v>1042</v>
      </c>
      <c r="C442" t="s">
        <v>88</v>
      </c>
      <c r="D442" t="s">
        <v>88</v>
      </c>
      <c r="E442" t="s">
        <v>780</v>
      </c>
      <c r="F442" t="s">
        <v>88</v>
      </c>
      <c r="G442" t="s">
        <v>88</v>
      </c>
      <c r="H442" t="s">
        <v>92</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121</v>
      </c>
      <c r="B443" t="s">
        <v>1043</v>
      </c>
      <c r="C443" t="s">
        <v>88</v>
      </c>
      <c r="D443" t="s">
        <v>88</v>
      </c>
      <c r="E443" t="s">
        <v>791</v>
      </c>
      <c r="F443" t="s">
        <v>88</v>
      </c>
      <c r="G443" t="s">
        <v>88</v>
      </c>
      <c r="H443" t="s">
        <v>92</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121</v>
      </c>
      <c r="B444" t="s">
        <v>1044</v>
      </c>
      <c r="C444" t="s">
        <v>88</v>
      </c>
      <c r="D444" t="s">
        <v>88</v>
      </c>
      <c r="E444" t="s">
        <v>780</v>
      </c>
      <c r="F444" t="s">
        <v>88</v>
      </c>
      <c r="G444" t="s">
        <v>88</v>
      </c>
      <c r="H444" t="s">
        <v>92</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121</v>
      </c>
      <c r="B445" t="s">
        <v>1045</v>
      </c>
      <c r="C445" t="s">
        <v>88</v>
      </c>
      <c r="D445" t="s">
        <v>88</v>
      </c>
      <c r="E445" t="s">
        <v>780</v>
      </c>
      <c r="F445" t="s">
        <v>88</v>
      </c>
      <c r="G445" t="s">
        <v>88</v>
      </c>
      <c r="H445" t="s">
        <v>92</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121</v>
      </c>
      <c r="B446" t="s">
        <v>1046</v>
      </c>
      <c r="C446" t="s">
        <v>88</v>
      </c>
      <c r="D446" t="s">
        <v>88</v>
      </c>
      <c r="E446" t="s">
        <v>844</v>
      </c>
      <c r="F446" t="s">
        <v>88</v>
      </c>
      <c r="G446" t="s">
        <v>88</v>
      </c>
      <c r="H446" t="s">
        <v>92</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121</v>
      </c>
      <c r="B447" t="s">
        <v>1047</v>
      </c>
      <c r="C447" t="s">
        <v>88</v>
      </c>
      <c r="D447" t="s">
        <v>88</v>
      </c>
      <c r="E447" t="s">
        <v>844</v>
      </c>
      <c r="F447" t="s">
        <v>88</v>
      </c>
      <c r="G447" t="s">
        <v>88</v>
      </c>
      <c r="H447" t="s">
        <v>92</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121</v>
      </c>
      <c r="B448" t="s">
        <v>1048</v>
      </c>
      <c r="C448" t="s">
        <v>88</v>
      </c>
      <c r="D448" t="s">
        <v>88</v>
      </c>
      <c r="E448" t="s">
        <v>844</v>
      </c>
      <c r="F448" t="s">
        <v>88</v>
      </c>
      <c r="G448" t="s">
        <v>88</v>
      </c>
      <c r="H448" t="s">
        <v>92</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121</v>
      </c>
      <c r="B449" t="s">
        <v>1049</v>
      </c>
      <c r="C449" t="s">
        <v>88</v>
      </c>
      <c r="D449" t="s">
        <v>88</v>
      </c>
      <c r="E449" t="s">
        <v>844</v>
      </c>
      <c r="F449" t="s">
        <v>88</v>
      </c>
      <c r="G449" t="s">
        <v>88</v>
      </c>
      <c r="H449" t="s">
        <v>92</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121</v>
      </c>
      <c r="B450" t="s">
        <v>1050</v>
      </c>
      <c r="C450" t="s">
        <v>88</v>
      </c>
      <c r="D450" t="s">
        <v>1051</v>
      </c>
      <c r="E450" t="s">
        <v>1052</v>
      </c>
      <c r="F450" t="s">
        <v>88</v>
      </c>
      <c r="G450" t="s">
        <v>88</v>
      </c>
      <c r="H450" t="s">
        <v>92</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121</v>
      </c>
      <c r="B451" t="s">
        <v>1053</v>
      </c>
      <c r="C451" t="s">
        <v>88</v>
      </c>
      <c r="D451" t="s">
        <v>88</v>
      </c>
      <c r="E451" t="s">
        <v>812</v>
      </c>
      <c r="F451" t="s">
        <v>88</v>
      </c>
      <c r="G451" t="s">
        <v>88</v>
      </c>
      <c r="H451" t="s">
        <v>92</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121</v>
      </c>
      <c r="B452" t="s">
        <v>1054</v>
      </c>
      <c r="C452" t="s">
        <v>88</v>
      </c>
      <c r="D452" t="s">
        <v>88</v>
      </c>
      <c r="E452" t="s">
        <v>844</v>
      </c>
      <c r="F452" t="s">
        <v>88</v>
      </c>
      <c r="G452" t="s">
        <v>88</v>
      </c>
      <c r="H452" t="s">
        <v>92</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121</v>
      </c>
      <c r="B453" t="s">
        <v>1055</v>
      </c>
      <c r="C453" t="s">
        <v>88</v>
      </c>
      <c r="D453" t="s">
        <v>88</v>
      </c>
      <c r="E453" t="s">
        <v>844</v>
      </c>
      <c r="F453" t="s">
        <v>88</v>
      </c>
      <c r="G453" t="s">
        <v>88</v>
      </c>
      <c r="H453" t="s">
        <v>92</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121</v>
      </c>
      <c r="B454" t="s">
        <v>1056</v>
      </c>
      <c r="C454" t="s">
        <v>88</v>
      </c>
      <c r="D454" t="s">
        <v>88</v>
      </c>
      <c r="E454" t="s">
        <v>812</v>
      </c>
      <c r="F454" t="s">
        <v>88</v>
      </c>
      <c r="G454" t="s">
        <v>88</v>
      </c>
      <c r="H454" t="s">
        <v>92</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121</v>
      </c>
      <c r="B455" t="s">
        <v>1057</v>
      </c>
      <c r="C455" t="s">
        <v>88</v>
      </c>
      <c r="D455" t="s">
        <v>88</v>
      </c>
      <c r="E455" t="s">
        <v>812</v>
      </c>
      <c r="F455" t="s">
        <v>88</v>
      </c>
      <c r="G455" t="s">
        <v>88</v>
      </c>
      <c r="H455" t="s">
        <v>92</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121</v>
      </c>
      <c r="B456" t="s">
        <v>1058</v>
      </c>
      <c r="C456" t="s">
        <v>88</v>
      </c>
      <c r="D456" t="s">
        <v>88</v>
      </c>
      <c r="E456" t="s">
        <v>812</v>
      </c>
      <c r="F456" t="s">
        <v>88</v>
      </c>
      <c r="G456" t="s">
        <v>88</v>
      </c>
      <c r="H456" t="s">
        <v>92</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121</v>
      </c>
      <c r="B457" t="s">
        <v>1059</v>
      </c>
      <c r="C457" t="s">
        <v>88</v>
      </c>
      <c r="D457" t="s">
        <v>88</v>
      </c>
      <c r="E457" t="s">
        <v>1060</v>
      </c>
      <c r="F457" t="s">
        <v>88</v>
      </c>
      <c r="G457" t="s">
        <v>88</v>
      </c>
      <c r="H457" t="s">
        <v>92</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121</v>
      </c>
      <c r="B458" t="s">
        <v>1061</v>
      </c>
      <c r="C458" t="s">
        <v>88</v>
      </c>
      <c r="D458" t="s">
        <v>88</v>
      </c>
      <c r="E458" t="s">
        <v>803</v>
      </c>
      <c r="F458" t="s">
        <v>88</v>
      </c>
      <c r="G458" t="s">
        <v>88</v>
      </c>
      <c r="H458" t="s">
        <v>92</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121</v>
      </c>
      <c r="B459" t="s">
        <v>1062</v>
      </c>
      <c r="C459" t="s">
        <v>88</v>
      </c>
      <c r="D459" t="s">
        <v>88</v>
      </c>
      <c r="E459" t="s">
        <v>803</v>
      </c>
      <c r="F459" t="s">
        <v>88</v>
      </c>
      <c r="G459" t="s">
        <v>88</v>
      </c>
      <c r="H459" t="s">
        <v>92</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121</v>
      </c>
      <c r="B460" t="s">
        <v>1063</v>
      </c>
      <c r="C460" t="s">
        <v>88</v>
      </c>
      <c r="D460" t="s">
        <v>88</v>
      </c>
      <c r="E460" t="s">
        <v>803</v>
      </c>
      <c r="F460" t="s">
        <v>88</v>
      </c>
      <c r="G460" t="s">
        <v>88</v>
      </c>
      <c r="H460" t="s">
        <v>92</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121</v>
      </c>
      <c r="B461" t="s">
        <v>1064</v>
      </c>
      <c r="C461" t="s">
        <v>88</v>
      </c>
      <c r="D461" t="s">
        <v>88</v>
      </c>
      <c r="E461" t="s">
        <v>803</v>
      </c>
      <c r="F461" t="s">
        <v>88</v>
      </c>
      <c r="G461" t="s">
        <v>88</v>
      </c>
      <c r="H461" t="s">
        <v>92</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121</v>
      </c>
      <c r="B462" t="s">
        <v>1065</v>
      </c>
      <c r="C462" t="s">
        <v>88</v>
      </c>
      <c r="D462" t="s">
        <v>88</v>
      </c>
      <c r="E462" t="s">
        <v>1060</v>
      </c>
      <c r="F462" t="s">
        <v>88</v>
      </c>
      <c r="G462" t="s">
        <v>88</v>
      </c>
      <c r="H462" t="s">
        <v>92</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121</v>
      </c>
      <c r="B463" t="s">
        <v>1066</v>
      </c>
      <c r="C463" t="s">
        <v>88</v>
      </c>
      <c r="D463" t="s">
        <v>88</v>
      </c>
      <c r="E463" t="s">
        <v>803</v>
      </c>
      <c r="F463" t="s">
        <v>88</v>
      </c>
      <c r="G463" t="s">
        <v>88</v>
      </c>
      <c r="H463" t="s">
        <v>92</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121</v>
      </c>
      <c r="B464" t="s">
        <v>1067</v>
      </c>
      <c r="C464" t="s">
        <v>88</v>
      </c>
      <c r="D464" t="s">
        <v>1036</v>
      </c>
      <c r="E464" t="s">
        <v>1068</v>
      </c>
      <c r="F464" t="s">
        <v>88</v>
      </c>
      <c r="G464" t="s">
        <v>88</v>
      </c>
      <c r="H464" t="s">
        <v>92</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121</v>
      </c>
      <c r="B465" t="s">
        <v>1069</v>
      </c>
      <c r="C465" t="s">
        <v>88</v>
      </c>
      <c r="D465" t="s">
        <v>88</v>
      </c>
      <c r="E465" t="s">
        <v>803</v>
      </c>
      <c r="F465" t="s">
        <v>88</v>
      </c>
      <c r="G465" t="s">
        <v>88</v>
      </c>
      <c r="H465" t="s">
        <v>92</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121</v>
      </c>
      <c r="B466" t="s">
        <v>1070</v>
      </c>
      <c r="C466" t="s">
        <v>88</v>
      </c>
      <c r="D466" t="s">
        <v>88</v>
      </c>
      <c r="E466" t="s">
        <v>803</v>
      </c>
      <c r="F466" t="s">
        <v>88</v>
      </c>
      <c r="G466" t="s">
        <v>88</v>
      </c>
      <c r="H466" t="s">
        <v>92</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121</v>
      </c>
      <c r="B467" t="s">
        <v>1071</v>
      </c>
      <c r="C467" t="s">
        <v>88</v>
      </c>
      <c r="D467" t="s">
        <v>88</v>
      </c>
      <c r="E467" t="s">
        <v>803</v>
      </c>
      <c r="F467" t="s">
        <v>88</v>
      </c>
      <c r="G467" t="s">
        <v>88</v>
      </c>
      <c r="H467" t="s">
        <v>92</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121</v>
      </c>
      <c r="B468" t="s">
        <v>1072</v>
      </c>
      <c r="C468" t="s">
        <v>88</v>
      </c>
      <c r="D468" t="s">
        <v>88</v>
      </c>
      <c r="E468" t="s">
        <v>732</v>
      </c>
      <c r="F468" t="s">
        <v>88</v>
      </c>
      <c r="G468" t="s">
        <v>88</v>
      </c>
      <c r="H468" t="s">
        <v>92</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121</v>
      </c>
      <c r="B469" t="s">
        <v>1073</v>
      </c>
      <c r="C469" t="s">
        <v>88</v>
      </c>
      <c r="D469" t="s">
        <v>88</v>
      </c>
      <c r="E469" t="s">
        <v>702</v>
      </c>
      <c r="F469" t="s">
        <v>88</v>
      </c>
      <c r="G469" t="s">
        <v>88</v>
      </c>
      <c r="H469" t="s">
        <v>92</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121</v>
      </c>
      <c r="B470" t="s">
        <v>701</v>
      </c>
      <c r="C470" t="s">
        <v>88</v>
      </c>
      <c r="D470" t="s">
        <v>88</v>
      </c>
      <c r="E470" t="s">
        <v>732</v>
      </c>
      <c r="F470" t="s">
        <v>88</v>
      </c>
      <c r="G470" t="s">
        <v>88</v>
      </c>
      <c r="H470" t="s">
        <v>92</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121</v>
      </c>
      <c r="B471" t="s">
        <v>706</v>
      </c>
      <c r="C471" t="s">
        <v>88</v>
      </c>
      <c r="D471" t="s">
        <v>88</v>
      </c>
      <c r="E471" t="s">
        <v>732</v>
      </c>
      <c r="F471" t="s">
        <v>88</v>
      </c>
      <c r="G471" t="s">
        <v>88</v>
      </c>
      <c r="H471" t="s">
        <v>92</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121</v>
      </c>
      <c r="B472" t="s">
        <v>705</v>
      </c>
      <c r="C472" t="s">
        <v>88</v>
      </c>
      <c r="D472" t="s">
        <v>88</v>
      </c>
      <c r="E472" t="s">
        <v>732</v>
      </c>
      <c r="F472" t="s">
        <v>88</v>
      </c>
      <c r="G472" t="s">
        <v>88</v>
      </c>
      <c r="H472" t="s">
        <v>92</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121</v>
      </c>
      <c r="B473" t="s">
        <v>703</v>
      </c>
      <c r="C473" t="s">
        <v>88</v>
      </c>
      <c r="D473" t="s">
        <v>88</v>
      </c>
      <c r="E473" t="s">
        <v>732</v>
      </c>
      <c r="F473" t="s">
        <v>88</v>
      </c>
      <c r="G473" t="s">
        <v>88</v>
      </c>
      <c r="H473" t="s">
        <v>92</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121</v>
      </c>
      <c r="B474" t="s">
        <v>620</v>
      </c>
      <c r="C474" t="s">
        <v>88</v>
      </c>
      <c r="D474" t="s">
        <v>88</v>
      </c>
      <c r="E474" t="s">
        <v>710</v>
      </c>
      <c r="F474" t="s">
        <v>88</v>
      </c>
      <c r="G474" t="s">
        <v>88</v>
      </c>
      <c r="H474" t="s">
        <v>92</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121</v>
      </c>
      <c r="B475" t="s">
        <v>714</v>
      </c>
      <c r="C475" t="s">
        <v>88</v>
      </c>
      <c r="D475" t="s">
        <v>88</v>
      </c>
      <c r="E475" t="s">
        <v>702</v>
      </c>
      <c r="F475" t="s">
        <v>88</v>
      </c>
      <c r="G475" t="s">
        <v>88</v>
      </c>
      <c r="H475" t="s">
        <v>92</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121</v>
      </c>
      <c r="B476" t="s">
        <v>622</v>
      </c>
      <c r="C476" t="s">
        <v>88</v>
      </c>
      <c r="D476" t="s">
        <v>88</v>
      </c>
      <c r="E476" t="s">
        <v>711</v>
      </c>
      <c r="F476" t="s">
        <v>88</v>
      </c>
      <c r="G476" t="s">
        <v>88</v>
      </c>
      <c r="H476" t="s">
        <v>92</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121</v>
      </c>
      <c r="B477" t="s">
        <v>1074</v>
      </c>
      <c r="C477" t="s">
        <v>88</v>
      </c>
      <c r="D477" t="s">
        <v>88</v>
      </c>
      <c r="E477" t="s">
        <v>702</v>
      </c>
      <c r="F477" t="s">
        <v>88</v>
      </c>
      <c r="G477" t="s">
        <v>88</v>
      </c>
      <c r="H477" t="s">
        <v>92</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121</v>
      </c>
      <c r="B478" t="s">
        <v>712</v>
      </c>
      <c r="C478" t="s">
        <v>88</v>
      </c>
      <c r="D478" t="s">
        <v>88</v>
      </c>
      <c r="E478" t="s">
        <v>735</v>
      </c>
      <c r="F478" t="s">
        <v>88</v>
      </c>
      <c r="G478" t="s">
        <v>88</v>
      </c>
      <c r="H478" t="s">
        <v>92</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121</v>
      </c>
      <c r="B479" t="s">
        <v>998</v>
      </c>
      <c r="C479" t="s">
        <v>88</v>
      </c>
      <c r="D479" t="s">
        <v>88</v>
      </c>
      <c r="E479" t="s">
        <v>702</v>
      </c>
      <c r="F479" t="s">
        <v>88</v>
      </c>
      <c r="G479" t="s">
        <v>88</v>
      </c>
      <c r="H479" t="s">
        <v>92</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121</v>
      </c>
      <c r="B480" t="s">
        <v>708</v>
      </c>
      <c r="C480" t="s">
        <v>88</v>
      </c>
      <c r="D480" t="s">
        <v>88</v>
      </c>
      <c r="E480" t="s">
        <v>732</v>
      </c>
      <c r="F480" t="s">
        <v>88</v>
      </c>
      <c r="G480" t="s">
        <v>88</v>
      </c>
      <c r="H480" t="s">
        <v>92</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121</v>
      </c>
      <c r="B481" t="s">
        <v>1075</v>
      </c>
      <c r="C481" t="s">
        <v>88</v>
      </c>
      <c r="D481" t="s">
        <v>88</v>
      </c>
      <c r="E481" t="s">
        <v>702</v>
      </c>
      <c r="F481" t="s">
        <v>88</v>
      </c>
      <c r="G481" t="s">
        <v>88</v>
      </c>
      <c r="H481" t="s">
        <v>92</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121</v>
      </c>
      <c r="B482" t="s">
        <v>625</v>
      </c>
      <c r="C482" t="s">
        <v>88</v>
      </c>
      <c r="D482" t="s">
        <v>88</v>
      </c>
      <c r="E482" t="s">
        <v>626</v>
      </c>
      <c r="F482" t="s">
        <v>88</v>
      </c>
      <c r="G482" t="s">
        <v>88</v>
      </c>
      <c r="H482" t="s">
        <v>92</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123</v>
      </c>
      <c r="B483" t="s">
        <v>1076</v>
      </c>
      <c r="C483" t="s">
        <v>88</v>
      </c>
      <c r="D483" t="s">
        <v>1077</v>
      </c>
      <c r="E483" t="s">
        <v>844</v>
      </c>
      <c r="F483" t="s">
        <v>88</v>
      </c>
      <c r="G483" t="s">
        <v>88</v>
      </c>
      <c r="H483" t="s">
        <v>92</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123</v>
      </c>
      <c r="B484" t="s">
        <v>1078</v>
      </c>
      <c r="C484" t="s">
        <v>88</v>
      </c>
      <c r="D484" t="s">
        <v>1079</v>
      </c>
      <c r="E484" t="s">
        <v>964</v>
      </c>
      <c r="F484" t="s">
        <v>88</v>
      </c>
      <c r="G484" t="s">
        <v>88</v>
      </c>
      <c r="H484" t="s">
        <v>92</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123</v>
      </c>
      <c r="B485" t="s">
        <v>1080</v>
      </c>
      <c r="C485" t="s">
        <v>88</v>
      </c>
      <c r="D485" t="s">
        <v>88</v>
      </c>
      <c r="E485" t="s">
        <v>700</v>
      </c>
      <c r="F485" t="s">
        <v>88</v>
      </c>
      <c r="G485" t="s">
        <v>88</v>
      </c>
      <c r="H485" t="s">
        <v>92</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123</v>
      </c>
      <c r="B486" t="s">
        <v>1081</v>
      </c>
      <c r="C486" t="s">
        <v>88</v>
      </c>
      <c r="D486" t="s">
        <v>88</v>
      </c>
      <c r="E486" t="s">
        <v>812</v>
      </c>
      <c r="F486" t="s">
        <v>88</v>
      </c>
      <c r="G486" t="s">
        <v>88</v>
      </c>
      <c r="H486" t="s">
        <v>92</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123</v>
      </c>
      <c r="B487" t="s">
        <v>1082</v>
      </c>
      <c r="C487" t="s">
        <v>88</v>
      </c>
      <c r="D487" t="s">
        <v>88</v>
      </c>
      <c r="E487" t="s">
        <v>700</v>
      </c>
      <c r="F487" t="s">
        <v>88</v>
      </c>
      <c r="G487" t="s">
        <v>88</v>
      </c>
      <c r="H487" t="s">
        <v>92</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123</v>
      </c>
      <c r="B488" t="s">
        <v>1083</v>
      </c>
      <c r="C488" t="s">
        <v>88</v>
      </c>
      <c r="D488" t="s">
        <v>88</v>
      </c>
      <c r="E488" t="s">
        <v>700</v>
      </c>
      <c r="F488" t="s">
        <v>88</v>
      </c>
      <c r="G488" t="s">
        <v>88</v>
      </c>
      <c r="H488" t="s">
        <v>92</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123</v>
      </c>
      <c r="B489" t="s">
        <v>1084</v>
      </c>
      <c r="C489" t="s">
        <v>88</v>
      </c>
      <c r="D489" t="s">
        <v>1085</v>
      </c>
      <c r="E489" t="s">
        <v>700</v>
      </c>
      <c r="F489" t="s">
        <v>88</v>
      </c>
      <c r="G489" t="s">
        <v>88</v>
      </c>
      <c r="H489" t="s">
        <v>92</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123</v>
      </c>
      <c r="B490" t="s">
        <v>695</v>
      </c>
      <c r="C490" t="s">
        <v>88</v>
      </c>
      <c r="D490" t="s">
        <v>1086</v>
      </c>
      <c r="E490" t="s">
        <v>655</v>
      </c>
      <c r="F490" t="s">
        <v>88</v>
      </c>
      <c r="G490" t="s">
        <v>88</v>
      </c>
      <c r="H490" t="s">
        <v>92</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123</v>
      </c>
      <c r="B491" t="s">
        <v>693</v>
      </c>
      <c r="C491" t="s">
        <v>88</v>
      </c>
      <c r="D491" t="s">
        <v>1087</v>
      </c>
      <c r="E491" t="s">
        <v>700</v>
      </c>
      <c r="F491" t="s">
        <v>88</v>
      </c>
      <c r="G491" t="s">
        <v>88</v>
      </c>
      <c r="H491" t="s">
        <v>92</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123</v>
      </c>
      <c r="B492" t="s">
        <v>1076</v>
      </c>
      <c r="C492" t="s">
        <v>88</v>
      </c>
      <c r="D492" t="s">
        <v>1077</v>
      </c>
      <c r="E492" t="s">
        <v>844</v>
      </c>
      <c r="F492" t="s">
        <v>88</v>
      </c>
      <c r="G492" t="s">
        <v>88</v>
      </c>
      <c r="H492" t="s">
        <v>92</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123</v>
      </c>
      <c r="B493" t="s">
        <v>1088</v>
      </c>
      <c r="C493" t="s">
        <v>88</v>
      </c>
      <c r="D493" t="s">
        <v>88</v>
      </c>
      <c r="E493" t="s">
        <v>692</v>
      </c>
      <c r="F493" t="s">
        <v>88</v>
      </c>
      <c r="G493" t="s">
        <v>88</v>
      </c>
      <c r="H493" t="s">
        <v>92</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123</v>
      </c>
      <c r="B494" t="s">
        <v>1089</v>
      </c>
      <c r="C494" t="s">
        <v>88</v>
      </c>
      <c r="D494" t="s">
        <v>88</v>
      </c>
      <c r="E494" t="s">
        <v>692</v>
      </c>
      <c r="F494" t="s">
        <v>88</v>
      </c>
      <c r="G494" t="s">
        <v>88</v>
      </c>
      <c r="H494" t="s">
        <v>92</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123</v>
      </c>
      <c r="B495" t="s">
        <v>1090</v>
      </c>
      <c r="C495" t="s">
        <v>88</v>
      </c>
      <c r="D495" t="s">
        <v>88</v>
      </c>
      <c r="E495" t="s">
        <v>692</v>
      </c>
      <c r="F495" t="s">
        <v>88</v>
      </c>
      <c r="G495" t="s">
        <v>88</v>
      </c>
      <c r="H495" t="s">
        <v>92</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123</v>
      </c>
      <c r="B496" t="s">
        <v>1091</v>
      </c>
      <c r="C496" t="s">
        <v>88</v>
      </c>
      <c r="D496" t="s">
        <v>88</v>
      </c>
      <c r="E496" t="s">
        <v>692</v>
      </c>
      <c r="F496" t="s">
        <v>88</v>
      </c>
      <c r="G496" t="s">
        <v>88</v>
      </c>
      <c r="H496" t="s">
        <v>92</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123</v>
      </c>
      <c r="B497" t="s">
        <v>1092</v>
      </c>
      <c r="C497" t="s">
        <v>88</v>
      </c>
      <c r="D497" t="s">
        <v>88</v>
      </c>
      <c r="E497" t="s">
        <v>692</v>
      </c>
      <c r="F497" t="s">
        <v>88</v>
      </c>
      <c r="G497" t="s">
        <v>88</v>
      </c>
      <c r="H497" t="s">
        <v>92</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123</v>
      </c>
      <c r="B498" t="s">
        <v>1093</v>
      </c>
      <c r="C498" t="s">
        <v>88</v>
      </c>
      <c r="D498" t="s">
        <v>88</v>
      </c>
      <c r="E498" t="s">
        <v>692</v>
      </c>
      <c r="F498" t="s">
        <v>88</v>
      </c>
      <c r="G498" t="s">
        <v>88</v>
      </c>
      <c r="H498" t="s">
        <v>92</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123</v>
      </c>
      <c r="B499" t="s">
        <v>1094</v>
      </c>
      <c r="C499" t="s">
        <v>88</v>
      </c>
      <c r="D499" t="s">
        <v>88</v>
      </c>
      <c r="E499" t="s">
        <v>692</v>
      </c>
      <c r="F499" t="s">
        <v>88</v>
      </c>
      <c r="G499" t="s">
        <v>88</v>
      </c>
      <c r="H499" t="s">
        <v>92</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123</v>
      </c>
      <c r="B500" t="s">
        <v>1095</v>
      </c>
      <c r="C500" t="s">
        <v>88</v>
      </c>
      <c r="D500" t="s">
        <v>88</v>
      </c>
      <c r="E500" t="s">
        <v>692</v>
      </c>
      <c r="F500" t="s">
        <v>88</v>
      </c>
      <c r="G500" t="s">
        <v>88</v>
      </c>
      <c r="H500" t="s">
        <v>92</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123</v>
      </c>
      <c r="B501" t="s">
        <v>1096</v>
      </c>
      <c r="C501" t="s">
        <v>88</v>
      </c>
      <c r="D501" t="s">
        <v>88</v>
      </c>
      <c r="E501" t="s">
        <v>692</v>
      </c>
      <c r="F501" t="s">
        <v>88</v>
      </c>
      <c r="G501" t="s">
        <v>88</v>
      </c>
      <c r="H501" t="s">
        <v>92</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123</v>
      </c>
      <c r="B502" t="s">
        <v>1097</v>
      </c>
      <c r="C502" t="s">
        <v>88</v>
      </c>
      <c r="D502" t="s">
        <v>88</v>
      </c>
      <c r="E502" t="s">
        <v>692</v>
      </c>
      <c r="F502" t="s">
        <v>88</v>
      </c>
      <c r="G502" t="s">
        <v>88</v>
      </c>
      <c r="H502" t="s">
        <v>92</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123</v>
      </c>
      <c r="B503" t="s">
        <v>1098</v>
      </c>
      <c r="C503" t="s">
        <v>88</v>
      </c>
      <c r="D503" t="s">
        <v>88</v>
      </c>
      <c r="E503" t="s">
        <v>692</v>
      </c>
      <c r="F503" t="s">
        <v>88</v>
      </c>
      <c r="G503" t="s">
        <v>88</v>
      </c>
      <c r="H503" t="s">
        <v>92</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123</v>
      </c>
      <c r="B504" t="s">
        <v>1099</v>
      </c>
      <c r="C504" t="s">
        <v>88</v>
      </c>
      <c r="D504" t="s">
        <v>88</v>
      </c>
      <c r="E504" t="s">
        <v>692</v>
      </c>
      <c r="F504" t="s">
        <v>88</v>
      </c>
      <c r="G504" t="s">
        <v>88</v>
      </c>
      <c r="H504" t="s">
        <v>92</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123</v>
      </c>
      <c r="B505" t="s">
        <v>1100</v>
      </c>
      <c r="C505" t="s">
        <v>88</v>
      </c>
      <c r="D505" t="s">
        <v>88</v>
      </c>
      <c r="E505" t="s">
        <v>692</v>
      </c>
      <c r="F505" t="s">
        <v>88</v>
      </c>
      <c r="G505" t="s">
        <v>88</v>
      </c>
      <c r="H505" t="s">
        <v>92</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123</v>
      </c>
      <c r="B506" t="s">
        <v>1101</v>
      </c>
      <c r="C506" t="s">
        <v>88</v>
      </c>
      <c r="D506" t="s">
        <v>88</v>
      </c>
      <c r="E506" t="s">
        <v>692</v>
      </c>
      <c r="F506" t="s">
        <v>88</v>
      </c>
      <c r="G506" t="s">
        <v>88</v>
      </c>
      <c r="H506" t="s">
        <v>92</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123</v>
      </c>
      <c r="B507" t="s">
        <v>1102</v>
      </c>
      <c r="C507" t="s">
        <v>88</v>
      </c>
      <c r="D507" t="s">
        <v>88</v>
      </c>
      <c r="E507" t="s">
        <v>692</v>
      </c>
      <c r="F507" t="s">
        <v>88</v>
      </c>
      <c r="G507" t="s">
        <v>88</v>
      </c>
      <c r="H507" t="s">
        <v>92</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123</v>
      </c>
      <c r="B508" t="s">
        <v>1103</v>
      </c>
      <c r="C508" t="s">
        <v>88</v>
      </c>
      <c r="D508" t="s">
        <v>88</v>
      </c>
      <c r="E508" t="s">
        <v>692</v>
      </c>
      <c r="F508" t="s">
        <v>88</v>
      </c>
      <c r="G508" t="s">
        <v>88</v>
      </c>
      <c r="H508" t="s">
        <v>92</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123</v>
      </c>
      <c r="B509" t="s">
        <v>1104</v>
      </c>
      <c r="C509" t="s">
        <v>88</v>
      </c>
      <c r="D509" t="s">
        <v>88</v>
      </c>
      <c r="E509" t="s">
        <v>692</v>
      </c>
      <c r="F509" t="s">
        <v>88</v>
      </c>
      <c r="G509" t="s">
        <v>88</v>
      </c>
      <c r="H509" t="s">
        <v>92</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123</v>
      </c>
      <c r="B510" t="s">
        <v>1105</v>
      </c>
      <c r="C510" t="s">
        <v>88</v>
      </c>
      <c r="D510" t="s">
        <v>88</v>
      </c>
      <c r="E510" t="s">
        <v>692</v>
      </c>
      <c r="F510" t="s">
        <v>88</v>
      </c>
      <c r="G510" t="s">
        <v>88</v>
      </c>
      <c r="H510" t="s">
        <v>92</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123</v>
      </c>
      <c r="B511" t="s">
        <v>1106</v>
      </c>
      <c r="C511" t="s">
        <v>88</v>
      </c>
      <c r="D511" t="s">
        <v>88</v>
      </c>
      <c r="E511" t="s">
        <v>692</v>
      </c>
      <c r="F511" t="s">
        <v>88</v>
      </c>
      <c r="G511" t="s">
        <v>88</v>
      </c>
      <c r="H511" t="s">
        <v>92</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123</v>
      </c>
      <c r="B512" t="s">
        <v>1107</v>
      </c>
      <c r="C512" t="s">
        <v>88</v>
      </c>
      <c r="D512" t="s">
        <v>88</v>
      </c>
      <c r="E512" t="s">
        <v>692</v>
      </c>
      <c r="F512" t="s">
        <v>88</v>
      </c>
      <c r="G512" t="s">
        <v>88</v>
      </c>
      <c r="H512" t="s">
        <v>92</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123</v>
      </c>
      <c r="B513" t="s">
        <v>1108</v>
      </c>
      <c r="C513" t="s">
        <v>88</v>
      </c>
      <c r="D513" t="s">
        <v>88</v>
      </c>
      <c r="E513" t="s">
        <v>692</v>
      </c>
      <c r="F513" t="s">
        <v>88</v>
      </c>
      <c r="G513" t="s">
        <v>88</v>
      </c>
      <c r="H513" t="s">
        <v>92</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123</v>
      </c>
      <c r="B514" t="s">
        <v>129</v>
      </c>
      <c r="C514" t="s">
        <v>88</v>
      </c>
      <c r="D514" t="s">
        <v>1109</v>
      </c>
      <c r="E514" t="s">
        <v>655</v>
      </c>
      <c r="F514" t="s">
        <v>88</v>
      </c>
      <c r="G514" t="s">
        <v>88</v>
      </c>
      <c r="H514" t="s">
        <v>92</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123</v>
      </c>
      <c r="B515" t="s">
        <v>1110</v>
      </c>
      <c r="C515" t="s">
        <v>88</v>
      </c>
      <c r="D515" t="s">
        <v>1111</v>
      </c>
      <c r="E515" t="s">
        <v>700</v>
      </c>
      <c r="F515" t="s">
        <v>88</v>
      </c>
      <c r="G515" t="s">
        <v>88</v>
      </c>
      <c r="H515" t="s">
        <v>92</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123</v>
      </c>
      <c r="B516" t="s">
        <v>1112</v>
      </c>
      <c r="C516" t="s">
        <v>88</v>
      </c>
      <c r="D516" t="s">
        <v>1113</v>
      </c>
      <c r="E516" t="s">
        <v>700</v>
      </c>
      <c r="F516" t="s">
        <v>88</v>
      </c>
      <c r="G516" t="s">
        <v>88</v>
      </c>
      <c r="H516" t="s">
        <v>92</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123</v>
      </c>
      <c r="B517" t="s">
        <v>1114</v>
      </c>
      <c r="C517" t="s">
        <v>88</v>
      </c>
      <c r="D517" t="s">
        <v>1115</v>
      </c>
      <c r="E517" t="s">
        <v>700</v>
      </c>
      <c r="F517" t="s">
        <v>88</v>
      </c>
      <c r="G517" t="s">
        <v>88</v>
      </c>
      <c r="H517" t="s">
        <v>92</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123</v>
      </c>
      <c r="B518" t="s">
        <v>1116</v>
      </c>
      <c r="C518" t="s">
        <v>88</v>
      </c>
      <c r="D518" t="s">
        <v>88</v>
      </c>
      <c r="E518" t="s">
        <v>700</v>
      </c>
      <c r="F518" t="s">
        <v>88</v>
      </c>
      <c r="G518" t="s">
        <v>88</v>
      </c>
      <c r="H518" t="s">
        <v>92</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123</v>
      </c>
      <c r="B519" t="s">
        <v>1117</v>
      </c>
      <c r="C519" t="s">
        <v>88</v>
      </c>
      <c r="D519" t="s">
        <v>1118</v>
      </c>
      <c r="E519" t="s">
        <v>700</v>
      </c>
      <c r="F519" t="s">
        <v>88</v>
      </c>
      <c r="G519" t="s">
        <v>88</v>
      </c>
      <c r="H519" t="s">
        <v>92</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123</v>
      </c>
      <c r="B520" t="s">
        <v>1119</v>
      </c>
      <c r="C520" t="s">
        <v>88</v>
      </c>
      <c r="D520" t="s">
        <v>1120</v>
      </c>
      <c r="E520" t="s">
        <v>700</v>
      </c>
      <c r="F520" t="s">
        <v>88</v>
      </c>
      <c r="G520" t="s">
        <v>88</v>
      </c>
      <c r="H520" t="s">
        <v>92</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123</v>
      </c>
      <c r="B521" t="s">
        <v>1121</v>
      </c>
      <c r="C521" t="s">
        <v>88</v>
      </c>
      <c r="D521" t="s">
        <v>1122</v>
      </c>
      <c r="E521" t="s">
        <v>700</v>
      </c>
      <c r="F521" t="s">
        <v>88</v>
      </c>
      <c r="G521" t="s">
        <v>88</v>
      </c>
      <c r="H521" t="s">
        <v>92</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123</v>
      </c>
      <c r="B522" t="s">
        <v>1123</v>
      </c>
      <c r="C522" t="s">
        <v>88</v>
      </c>
      <c r="D522" t="s">
        <v>1124</v>
      </c>
      <c r="E522" t="s">
        <v>700</v>
      </c>
      <c r="F522" t="s">
        <v>88</v>
      </c>
      <c r="G522" t="s">
        <v>88</v>
      </c>
      <c r="H522" t="s">
        <v>92</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123</v>
      </c>
      <c r="B523" t="s">
        <v>1125</v>
      </c>
      <c r="C523" t="s">
        <v>88</v>
      </c>
      <c r="D523" t="s">
        <v>1126</v>
      </c>
      <c r="E523" t="s">
        <v>700</v>
      </c>
      <c r="F523" t="s">
        <v>88</v>
      </c>
      <c r="G523" t="s">
        <v>88</v>
      </c>
      <c r="H523" t="s">
        <v>92</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123</v>
      </c>
      <c r="B524" t="s">
        <v>1127</v>
      </c>
      <c r="C524" t="s">
        <v>88</v>
      </c>
      <c r="D524" t="s">
        <v>1128</v>
      </c>
      <c r="E524" t="s">
        <v>700</v>
      </c>
      <c r="F524" t="s">
        <v>88</v>
      </c>
      <c r="G524" t="s">
        <v>88</v>
      </c>
      <c r="H524" t="s">
        <v>92</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123</v>
      </c>
      <c r="B525" t="s">
        <v>1129</v>
      </c>
      <c r="C525" t="s">
        <v>88</v>
      </c>
      <c r="D525" t="s">
        <v>88</v>
      </c>
      <c r="E525" t="s">
        <v>700</v>
      </c>
      <c r="F525" t="s">
        <v>88</v>
      </c>
      <c r="G525" t="s">
        <v>88</v>
      </c>
      <c r="H525" t="s">
        <v>92</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123</v>
      </c>
      <c r="B526" t="s">
        <v>1130</v>
      </c>
      <c r="C526" t="s">
        <v>88</v>
      </c>
      <c r="D526" t="s">
        <v>88</v>
      </c>
      <c r="E526" t="s">
        <v>700</v>
      </c>
      <c r="F526" t="s">
        <v>88</v>
      </c>
      <c r="G526" t="s">
        <v>88</v>
      </c>
      <c r="H526" t="s">
        <v>92</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123</v>
      </c>
      <c r="B527" t="s">
        <v>1131</v>
      </c>
      <c r="C527" t="s">
        <v>88</v>
      </c>
      <c r="D527" t="s">
        <v>88</v>
      </c>
      <c r="E527" t="s">
        <v>700</v>
      </c>
      <c r="F527" t="s">
        <v>88</v>
      </c>
      <c r="G527" t="s">
        <v>88</v>
      </c>
      <c r="H527" t="s">
        <v>92</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123</v>
      </c>
      <c r="B528" t="s">
        <v>1132</v>
      </c>
      <c r="C528" t="s">
        <v>88</v>
      </c>
      <c r="D528" t="s">
        <v>88</v>
      </c>
      <c r="E528" t="s">
        <v>700</v>
      </c>
      <c r="F528" t="s">
        <v>88</v>
      </c>
      <c r="G528" t="s">
        <v>88</v>
      </c>
      <c r="H528" t="s">
        <v>92</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123</v>
      </c>
      <c r="B529" t="s">
        <v>1133</v>
      </c>
      <c r="C529" t="s">
        <v>88</v>
      </c>
      <c r="D529" t="s">
        <v>1109</v>
      </c>
      <c r="E529" t="s">
        <v>700</v>
      </c>
      <c r="F529" t="s">
        <v>88</v>
      </c>
      <c r="G529" t="s">
        <v>88</v>
      </c>
      <c r="H529" t="s">
        <v>92</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123</v>
      </c>
      <c r="B530" t="s">
        <v>1081</v>
      </c>
      <c r="C530" t="s">
        <v>88</v>
      </c>
      <c r="D530" t="s">
        <v>88</v>
      </c>
      <c r="E530" t="s">
        <v>812</v>
      </c>
      <c r="F530" t="s">
        <v>88</v>
      </c>
      <c r="G530" t="s">
        <v>88</v>
      </c>
      <c r="H530" t="s">
        <v>92</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123</v>
      </c>
      <c r="B531" t="s">
        <v>1134</v>
      </c>
      <c r="C531" t="s">
        <v>88</v>
      </c>
      <c r="D531" t="s">
        <v>88</v>
      </c>
      <c r="E531" t="s">
        <v>1135</v>
      </c>
      <c r="F531" t="s">
        <v>88</v>
      </c>
      <c r="G531" t="s">
        <v>88</v>
      </c>
      <c r="H531" t="s">
        <v>92</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123</v>
      </c>
      <c r="B532" t="s">
        <v>1136</v>
      </c>
      <c r="C532" t="s">
        <v>88</v>
      </c>
      <c r="D532" t="s">
        <v>88</v>
      </c>
      <c r="E532" t="s">
        <v>1137</v>
      </c>
      <c r="F532" t="s">
        <v>88</v>
      </c>
      <c r="G532" t="s">
        <v>88</v>
      </c>
      <c r="H532" t="s">
        <v>92</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123</v>
      </c>
      <c r="B533" t="s">
        <v>1138</v>
      </c>
      <c r="C533" t="s">
        <v>88</v>
      </c>
      <c r="D533" t="s">
        <v>88</v>
      </c>
      <c r="E533" t="s">
        <v>1139</v>
      </c>
      <c r="F533" t="s">
        <v>88</v>
      </c>
      <c r="G533" t="s">
        <v>88</v>
      </c>
      <c r="H533" t="s">
        <v>92</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123</v>
      </c>
      <c r="B534" t="s">
        <v>1140</v>
      </c>
      <c r="C534" t="s">
        <v>88</v>
      </c>
      <c r="D534" t="s">
        <v>88</v>
      </c>
      <c r="E534" t="s">
        <v>1139</v>
      </c>
      <c r="F534" t="s">
        <v>88</v>
      </c>
      <c r="G534" t="s">
        <v>88</v>
      </c>
      <c r="H534" t="s">
        <v>92</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123</v>
      </c>
      <c r="B535" t="s">
        <v>1141</v>
      </c>
      <c r="C535" t="s">
        <v>88</v>
      </c>
      <c r="D535" t="s">
        <v>88</v>
      </c>
      <c r="E535" t="s">
        <v>676</v>
      </c>
      <c r="F535" t="s">
        <v>88</v>
      </c>
      <c r="G535" t="s">
        <v>88</v>
      </c>
      <c r="H535" t="s">
        <v>92</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123</v>
      </c>
      <c r="B536" t="s">
        <v>1142</v>
      </c>
      <c r="C536" t="s">
        <v>88</v>
      </c>
      <c r="D536" t="s">
        <v>88</v>
      </c>
      <c r="E536" t="s">
        <v>676</v>
      </c>
      <c r="F536" t="s">
        <v>88</v>
      </c>
      <c r="G536" t="s">
        <v>88</v>
      </c>
      <c r="H536" t="s">
        <v>92</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123</v>
      </c>
      <c r="B537" t="s">
        <v>1143</v>
      </c>
      <c r="C537" t="s">
        <v>88</v>
      </c>
      <c r="D537" t="s">
        <v>88</v>
      </c>
      <c r="E537" t="s">
        <v>700</v>
      </c>
      <c r="F537" t="s">
        <v>88</v>
      </c>
      <c r="G537" t="s">
        <v>88</v>
      </c>
      <c r="H537" t="s">
        <v>92</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123</v>
      </c>
      <c r="B538" t="s">
        <v>1144</v>
      </c>
      <c r="C538" t="s">
        <v>88</v>
      </c>
      <c r="D538" t="s">
        <v>88</v>
      </c>
      <c r="E538" t="s">
        <v>700</v>
      </c>
      <c r="F538" t="s">
        <v>88</v>
      </c>
      <c r="G538" t="s">
        <v>88</v>
      </c>
      <c r="H538" t="s">
        <v>92</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123</v>
      </c>
      <c r="B539" t="s">
        <v>1080</v>
      </c>
      <c r="C539" t="s">
        <v>88</v>
      </c>
      <c r="D539" t="s">
        <v>88</v>
      </c>
      <c r="E539" t="s">
        <v>700</v>
      </c>
      <c r="F539" t="s">
        <v>88</v>
      </c>
      <c r="G539" t="s">
        <v>88</v>
      </c>
      <c r="H539" t="s">
        <v>92</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123</v>
      </c>
      <c r="B540" t="s">
        <v>1145</v>
      </c>
      <c r="C540" t="s">
        <v>88</v>
      </c>
      <c r="D540" t="s">
        <v>88</v>
      </c>
      <c r="E540" t="s">
        <v>700</v>
      </c>
      <c r="F540" t="s">
        <v>88</v>
      </c>
      <c r="G540" t="s">
        <v>88</v>
      </c>
      <c r="H540" t="s">
        <v>92</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123</v>
      </c>
      <c r="B541" t="s">
        <v>1082</v>
      </c>
      <c r="C541" t="s">
        <v>88</v>
      </c>
      <c r="D541" t="s">
        <v>88</v>
      </c>
      <c r="E541" t="s">
        <v>700</v>
      </c>
      <c r="F541" t="s">
        <v>88</v>
      </c>
      <c r="G541" t="s">
        <v>88</v>
      </c>
      <c r="H541" t="s">
        <v>92</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123</v>
      </c>
      <c r="B542" t="s">
        <v>1146</v>
      </c>
      <c r="C542" t="s">
        <v>88</v>
      </c>
      <c r="D542" t="s">
        <v>88</v>
      </c>
      <c r="E542" t="s">
        <v>700</v>
      </c>
      <c r="F542" t="s">
        <v>88</v>
      </c>
      <c r="G542" t="s">
        <v>88</v>
      </c>
      <c r="H542" t="s">
        <v>92</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123</v>
      </c>
      <c r="B543" t="s">
        <v>1147</v>
      </c>
      <c r="C543" t="s">
        <v>88</v>
      </c>
      <c r="D543" t="s">
        <v>88</v>
      </c>
      <c r="E543" t="s">
        <v>700</v>
      </c>
      <c r="F543" t="s">
        <v>88</v>
      </c>
      <c r="G543" t="s">
        <v>88</v>
      </c>
      <c r="H543" t="s">
        <v>92</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123</v>
      </c>
      <c r="B544" t="s">
        <v>1078</v>
      </c>
      <c r="C544" t="s">
        <v>88</v>
      </c>
      <c r="D544" t="s">
        <v>1079</v>
      </c>
      <c r="E544" t="s">
        <v>964</v>
      </c>
      <c r="F544" t="s">
        <v>88</v>
      </c>
      <c r="G544" t="s">
        <v>88</v>
      </c>
      <c r="H544" t="s">
        <v>92</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123</v>
      </c>
      <c r="B545" t="s">
        <v>701</v>
      </c>
      <c r="C545" t="s">
        <v>88</v>
      </c>
      <c r="D545" t="s">
        <v>88</v>
      </c>
      <c r="E545" t="s">
        <v>732</v>
      </c>
      <c r="F545" t="s">
        <v>88</v>
      </c>
      <c r="G545" t="s">
        <v>88</v>
      </c>
      <c r="H545" t="s">
        <v>92</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123</v>
      </c>
      <c r="B546" t="s">
        <v>704</v>
      </c>
      <c r="C546" t="s">
        <v>88</v>
      </c>
      <c r="D546" t="s">
        <v>88</v>
      </c>
      <c r="E546" t="s">
        <v>732</v>
      </c>
      <c r="F546" t="s">
        <v>88</v>
      </c>
      <c r="G546" t="s">
        <v>88</v>
      </c>
      <c r="H546" t="s">
        <v>92</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123</v>
      </c>
      <c r="B547" t="s">
        <v>705</v>
      </c>
      <c r="C547" t="s">
        <v>88</v>
      </c>
      <c r="D547" t="s">
        <v>88</v>
      </c>
      <c r="E547" t="s">
        <v>732</v>
      </c>
      <c r="F547" t="s">
        <v>88</v>
      </c>
      <c r="G547" t="s">
        <v>88</v>
      </c>
      <c r="H547" t="s">
        <v>92</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123</v>
      </c>
      <c r="B548" t="s">
        <v>706</v>
      </c>
      <c r="C548" t="s">
        <v>88</v>
      </c>
      <c r="D548" t="s">
        <v>88</v>
      </c>
      <c r="E548" t="s">
        <v>732</v>
      </c>
      <c r="F548" t="s">
        <v>88</v>
      </c>
      <c r="G548" t="s">
        <v>88</v>
      </c>
      <c r="H548" t="s">
        <v>92</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123</v>
      </c>
      <c r="B549" t="s">
        <v>707</v>
      </c>
      <c r="C549" t="s">
        <v>88</v>
      </c>
      <c r="D549" t="s">
        <v>88</v>
      </c>
      <c r="E549" t="s">
        <v>732</v>
      </c>
      <c r="F549" t="s">
        <v>88</v>
      </c>
      <c r="G549" t="s">
        <v>88</v>
      </c>
      <c r="H549" t="s">
        <v>92</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123</v>
      </c>
      <c r="B550" t="s">
        <v>1148</v>
      </c>
      <c r="C550" t="s">
        <v>88</v>
      </c>
      <c r="D550" t="s">
        <v>1109</v>
      </c>
      <c r="E550" t="s">
        <v>715</v>
      </c>
      <c r="F550" t="s">
        <v>88</v>
      </c>
      <c r="G550" t="s">
        <v>88</v>
      </c>
      <c r="H550" t="s">
        <v>92</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123</v>
      </c>
      <c r="B551" t="s">
        <v>1149</v>
      </c>
      <c r="C551" t="s">
        <v>88</v>
      </c>
      <c r="D551" t="s">
        <v>88</v>
      </c>
      <c r="E551" t="s">
        <v>715</v>
      </c>
      <c r="F551" t="s">
        <v>88</v>
      </c>
      <c r="G551" t="s">
        <v>88</v>
      </c>
      <c r="H551" t="s">
        <v>92</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123</v>
      </c>
      <c r="B552" t="s">
        <v>1150</v>
      </c>
      <c r="C552" t="s">
        <v>88</v>
      </c>
      <c r="D552" t="s">
        <v>88</v>
      </c>
      <c r="E552" t="s">
        <v>715</v>
      </c>
      <c r="F552" t="s">
        <v>88</v>
      </c>
      <c r="G552" t="s">
        <v>88</v>
      </c>
      <c r="H552" t="s">
        <v>92</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123</v>
      </c>
      <c r="B553" t="s">
        <v>622</v>
      </c>
      <c r="C553" t="s">
        <v>88</v>
      </c>
      <c r="D553" t="s">
        <v>88</v>
      </c>
      <c r="E553" t="s">
        <v>710</v>
      </c>
      <c r="F553" t="s">
        <v>88</v>
      </c>
      <c r="G553" t="s">
        <v>88</v>
      </c>
      <c r="H553" t="s">
        <v>92</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123</v>
      </c>
      <c r="B554" t="s">
        <v>1151</v>
      </c>
      <c r="C554" t="s">
        <v>88</v>
      </c>
      <c r="D554" t="s">
        <v>88</v>
      </c>
      <c r="E554" t="s">
        <v>805</v>
      </c>
      <c r="F554" t="s">
        <v>88</v>
      </c>
      <c r="G554" t="s">
        <v>88</v>
      </c>
      <c r="H554" t="s">
        <v>92</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123</v>
      </c>
      <c r="B555" t="s">
        <v>1152</v>
      </c>
      <c r="C555" t="s">
        <v>88</v>
      </c>
      <c r="D555" t="s">
        <v>88</v>
      </c>
      <c r="E555" t="s">
        <v>1153</v>
      </c>
      <c r="F555" t="s">
        <v>88</v>
      </c>
      <c r="G555" t="s">
        <v>88</v>
      </c>
      <c r="H555" t="s">
        <v>92</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123</v>
      </c>
      <c r="B556" t="s">
        <v>1154</v>
      </c>
      <c r="C556" t="s">
        <v>88</v>
      </c>
      <c r="D556" t="s">
        <v>88</v>
      </c>
      <c r="E556" t="s">
        <v>676</v>
      </c>
      <c r="F556" t="s">
        <v>88</v>
      </c>
      <c r="G556" t="s">
        <v>88</v>
      </c>
      <c r="H556" t="s">
        <v>92</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123</v>
      </c>
      <c r="B557" t="s">
        <v>1155</v>
      </c>
      <c r="C557" t="s">
        <v>88</v>
      </c>
      <c r="D557" t="s">
        <v>88</v>
      </c>
      <c r="E557" t="s">
        <v>844</v>
      </c>
      <c r="F557" t="s">
        <v>88</v>
      </c>
      <c r="G557" t="s">
        <v>88</v>
      </c>
      <c r="H557" t="s">
        <v>92</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123</v>
      </c>
      <c r="B558" t="s">
        <v>1156</v>
      </c>
      <c r="C558" t="s">
        <v>88</v>
      </c>
      <c r="D558" t="s">
        <v>88</v>
      </c>
      <c r="E558" t="s">
        <v>841</v>
      </c>
      <c r="F558" t="s">
        <v>88</v>
      </c>
      <c r="G558" t="s">
        <v>88</v>
      </c>
      <c r="H558" t="s">
        <v>92</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123</v>
      </c>
      <c r="B559" t="s">
        <v>1157</v>
      </c>
      <c r="C559" t="s">
        <v>88</v>
      </c>
      <c r="D559" t="s">
        <v>88</v>
      </c>
      <c r="E559" t="s">
        <v>964</v>
      </c>
      <c r="F559" t="s">
        <v>88</v>
      </c>
      <c r="G559" t="s">
        <v>88</v>
      </c>
      <c r="H559" t="s">
        <v>92</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123</v>
      </c>
      <c r="B560" t="s">
        <v>1158</v>
      </c>
      <c r="C560" t="s">
        <v>88</v>
      </c>
      <c r="D560" t="s">
        <v>88</v>
      </c>
      <c r="E560" t="s">
        <v>1153</v>
      </c>
      <c r="F560" t="s">
        <v>88</v>
      </c>
      <c r="G560" t="s">
        <v>88</v>
      </c>
      <c r="H560" t="s">
        <v>92</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123</v>
      </c>
      <c r="B561" t="s">
        <v>1159</v>
      </c>
      <c r="C561" t="s">
        <v>88</v>
      </c>
      <c r="D561" t="s">
        <v>88</v>
      </c>
      <c r="E561" t="s">
        <v>825</v>
      </c>
      <c r="F561" t="s">
        <v>88</v>
      </c>
      <c r="G561" t="s">
        <v>88</v>
      </c>
      <c r="H561" t="s">
        <v>92</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123</v>
      </c>
      <c r="B562" t="s">
        <v>1160</v>
      </c>
      <c r="C562" t="s">
        <v>88</v>
      </c>
      <c r="D562" t="s">
        <v>88</v>
      </c>
      <c r="E562" t="s">
        <v>825</v>
      </c>
      <c r="F562" t="s">
        <v>88</v>
      </c>
      <c r="G562" t="s">
        <v>88</v>
      </c>
      <c r="H562" t="s">
        <v>92</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123</v>
      </c>
      <c r="B563" t="s">
        <v>1161</v>
      </c>
      <c r="C563" t="s">
        <v>88</v>
      </c>
      <c r="D563" t="s">
        <v>88</v>
      </c>
      <c r="E563" t="s">
        <v>964</v>
      </c>
      <c r="F563" t="s">
        <v>88</v>
      </c>
      <c r="G563" t="s">
        <v>88</v>
      </c>
      <c r="H563" t="s">
        <v>92</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123</v>
      </c>
      <c r="B564" t="s">
        <v>1162</v>
      </c>
      <c r="C564" t="s">
        <v>88</v>
      </c>
      <c r="D564" t="s">
        <v>88</v>
      </c>
      <c r="E564" t="s">
        <v>964</v>
      </c>
      <c r="F564" t="s">
        <v>88</v>
      </c>
      <c r="G564" t="s">
        <v>88</v>
      </c>
      <c r="H564" t="s">
        <v>92</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123</v>
      </c>
      <c r="B565" t="s">
        <v>1163</v>
      </c>
      <c r="C565" t="s">
        <v>88</v>
      </c>
      <c r="D565" t="s">
        <v>88</v>
      </c>
      <c r="E565" t="s">
        <v>812</v>
      </c>
      <c r="F565" t="s">
        <v>88</v>
      </c>
      <c r="G565" t="s">
        <v>88</v>
      </c>
      <c r="H565" t="s">
        <v>92</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123</v>
      </c>
      <c r="B566" t="s">
        <v>1164</v>
      </c>
      <c r="C566" t="s">
        <v>88</v>
      </c>
      <c r="D566" t="s">
        <v>88</v>
      </c>
      <c r="E566" t="s">
        <v>825</v>
      </c>
      <c r="F566" t="s">
        <v>88</v>
      </c>
      <c r="G566" t="s">
        <v>88</v>
      </c>
      <c r="H566" t="s">
        <v>92</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123</v>
      </c>
      <c r="B567" t="s">
        <v>1165</v>
      </c>
      <c r="C567" t="s">
        <v>88</v>
      </c>
      <c r="D567" t="s">
        <v>1079</v>
      </c>
      <c r="E567" t="s">
        <v>1068</v>
      </c>
      <c r="F567" t="s">
        <v>88</v>
      </c>
      <c r="G567" t="s">
        <v>88</v>
      </c>
      <c r="H567" t="s">
        <v>92</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123</v>
      </c>
      <c r="B568" t="s">
        <v>1166</v>
      </c>
      <c r="C568" t="s">
        <v>88</v>
      </c>
      <c r="D568" t="s">
        <v>88</v>
      </c>
      <c r="E568" t="s">
        <v>1167</v>
      </c>
      <c r="F568" t="s">
        <v>88</v>
      </c>
      <c r="G568" t="s">
        <v>88</v>
      </c>
      <c r="H568" t="s">
        <v>92</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123</v>
      </c>
      <c r="B569" t="s">
        <v>1168</v>
      </c>
      <c r="C569" t="s">
        <v>88</v>
      </c>
      <c r="D569" t="s">
        <v>88</v>
      </c>
      <c r="E569" t="s">
        <v>641</v>
      </c>
      <c r="F569" t="s">
        <v>88</v>
      </c>
      <c r="G569" t="s">
        <v>88</v>
      </c>
      <c r="H569" t="s">
        <v>92</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123</v>
      </c>
      <c r="B570" t="s">
        <v>1053</v>
      </c>
      <c r="C570" t="s">
        <v>88</v>
      </c>
      <c r="D570" t="s">
        <v>88</v>
      </c>
      <c r="E570" t="s">
        <v>1068</v>
      </c>
      <c r="F570" t="s">
        <v>88</v>
      </c>
      <c r="G570" t="s">
        <v>88</v>
      </c>
      <c r="H570" t="s">
        <v>92</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123</v>
      </c>
      <c r="B571" t="s">
        <v>1169</v>
      </c>
      <c r="C571" t="s">
        <v>88</v>
      </c>
      <c r="D571" t="s">
        <v>88</v>
      </c>
      <c r="E571" t="s">
        <v>807</v>
      </c>
      <c r="F571" t="s">
        <v>88</v>
      </c>
      <c r="G571" t="s">
        <v>88</v>
      </c>
      <c r="H571" t="s">
        <v>92</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123</v>
      </c>
      <c r="B572" t="s">
        <v>1170</v>
      </c>
      <c r="C572" t="s">
        <v>88</v>
      </c>
      <c r="D572" t="s">
        <v>88</v>
      </c>
      <c r="E572" t="s">
        <v>1153</v>
      </c>
      <c r="F572" t="s">
        <v>88</v>
      </c>
      <c r="G572" t="s">
        <v>88</v>
      </c>
      <c r="H572" t="s">
        <v>92</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123</v>
      </c>
      <c r="B573" t="s">
        <v>1050</v>
      </c>
      <c r="C573" t="s">
        <v>88</v>
      </c>
      <c r="D573" t="s">
        <v>88</v>
      </c>
      <c r="E573" t="s">
        <v>1171</v>
      </c>
      <c r="F573" t="s">
        <v>88</v>
      </c>
      <c r="G573" t="s">
        <v>88</v>
      </c>
      <c r="H573" t="s">
        <v>92</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123</v>
      </c>
      <c r="B574" t="s">
        <v>1172</v>
      </c>
      <c r="C574" t="s">
        <v>88</v>
      </c>
      <c r="D574" t="s">
        <v>88</v>
      </c>
      <c r="E574" t="s">
        <v>1068</v>
      </c>
      <c r="F574" t="s">
        <v>88</v>
      </c>
      <c r="G574" t="s">
        <v>88</v>
      </c>
      <c r="H574" t="s">
        <v>92</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123</v>
      </c>
      <c r="B575" t="s">
        <v>1173</v>
      </c>
      <c r="C575" t="s">
        <v>88</v>
      </c>
      <c r="D575" t="s">
        <v>88</v>
      </c>
      <c r="E575" t="s">
        <v>641</v>
      </c>
      <c r="F575" t="s">
        <v>88</v>
      </c>
      <c r="G575" t="s">
        <v>88</v>
      </c>
      <c r="H575" t="s">
        <v>92</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123</v>
      </c>
      <c r="B576" t="s">
        <v>1057</v>
      </c>
      <c r="C576" t="s">
        <v>88</v>
      </c>
      <c r="D576" t="s">
        <v>88</v>
      </c>
      <c r="E576" t="s">
        <v>641</v>
      </c>
      <c r="F576" t="s">
        <v>88</v>
      </c>
      <c r="G576" t="s">
        <v>88</v>
      </c>
      <c r="H576" t="s">
        <v>92</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123</v>
      </c>
      <c r="B577" t="s">
        <v>1174</v>
      </c>
      <c r="C577" t="s">
        <v>88</v>
      </c>
      <c r="D577" t="s">
        <v>88</v>
      </c>
      <c r="E577" t="s">
        <v>1167</v>
      </c>
      <c r="F577" t="s">
        <v>88</v>
      </c>
      <c r="G577" t="s">
        <v>88</v>
      </c>
      <c r="H577" t="s">
        <v>92</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123</v>
      </c>
      <c r="B578" t="s">
        <v>1175</v>
      </c>
      <c r="C578" t="s">
        <v>88</v>
      </c>
      <c r="D578" t="s">
        <v>88</v>
      </c>
      <c r="E578" t="s">
        <v>1068</v>
      </c>
      <c r="F578" t="s">
        <v>88</v>
      </c>
      <c r="G578" t="s">
        <v>88</v>
      </c>
      <c r="H578" t="s">
        <v>92</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123</v>
      </c>
      <c r="B579" t="s">
        <v>625</v>
      </c>
      <c r="C579" t="s">
        <v>88</v>
      </c>
      <c r="D579" t="s">
        <v>88</v>
      </c>
      <c r="E579" t="s">
        <v>626</v>
      </c>
      <c r="F579" t="s">
        <v>88</v>
      </c>
      <c r="G579" t="s">
        <v>88</v>
      </c>
      <c r="H579" t="s">
        <v>92</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126</v>
      </c>
      <c r="B580" t="s">
        <v>1176</v>
      </c>
      <c r="C580" t="s">
        <v>88</v>
      </c>
      <c r="D580" t="s">
        <v>1177</v>
      </c>
      <c r="E580" t="s">
        <v>1178</v>
      </c>
      <c r="F580" t="s">
        <v>88</v>
      </c>
      <c r="G580" t="s">
        <v>88</v>
      </c>
      <c r="H580" t="s">
        <v>92</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126</v>
      </c>
      <c r="B581" t="s">
        <v>1179</v>
      </c>
      <c r="C581" t="s">
        <v>88</v>
      </c>
      <c r="D581" t="s">
        <v>1180</v>
      </c>
      <c r="E581" t="s">
        <v>1181</v>
      </c>
      <c r="F581" t="s">
        <v>88</v>
      </c>
      <c r="G581" t="s">
        <v>88</v>
      </c>
      <c r="H581" t="s">
        <v>92</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126</v>
      </c>
      <c r="B582" t="s">
        <v>1182</v>
      </c>
      <c r="C582" t="s">
        <v>88</v>
      </c>
      <c r="D582" t="s">
        <v>1183</v>
      </c>
      <c r="E582" t="s">
        <v>1184</v>
      </c>
      <c r="F582" t="s">
        <v>88</v>
      </c>
      <c r="G582" t="s">
        <v>88</v>
      </c>
      <c r="H582" t="s">
        <v>92</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126</v>
      </c>
      <c r="B583" t="s">
        <v>1185</v>
      </c>
      <c r="C583" t="s">
        <v>88</v>
      </c>
      <c r="D583" t="s">
        <v>1186</v>
      </c>
      <c r="E583" t="s">
        <v>1187</v>
      </c>
      <c r="F583" t="s">
        <v>88</v>
      </c>
      <c r="G583" t="s">
        <v>88</v>
      </c>
      <c r="H583" t="s">
        <v>92</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126</v>
      </c>
      <c r="B584" t="s">
        <v>1188</v>
      </c>
      <c r="C584" t="s">
        <v>88</v>
      </c>
      <c r="D584" t="s">
        <v>88</v>
      </c>
      <c r="E584" t="s">
        <v>1189</v>
      </c>
      <c r="F584" t="s">
        <v>88</v>
      </c>
      <c r="G584" t="s">
        <v>88</v>
      </c>
      <c r="H584" t="s">
        <v>92</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126</v>
      </c>
      <c r="B585" t="s">
        <v>1190</v>
      </c>
      <c r="C585" t="s">
        <v>88</v>
      </c>
      <c r="D585" t="s">
        <v>1191</v>
      </c>
      <c r="E585" t="s">
        <v>1181</v>
      </c>
      <c r="F585" t="s">
        <v>88</v>
      </c>
      <c r="G585" t="s">
        <v>88</v>
      </c>
      <c r="H585" t="s">
        <v>92</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126</v>
      </c>
      <c r="B586" t="s">
        <v>1192</v>
      </c>
      <c r="C586" t="s">
        <v>88</v>
      </c>
      <c r="D586" t="s">
        <v>1193</v>
      </c>
      <c r="E586" t="s">
        <v>1194</v>
      </c>
      <c r="F586" t="s">
        <v>88</v>
      </c>
      <c r="G586" t="s">
        <v>88</v>
      </c>
      <c r="H586" t="s">
        <v>92</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126</v>
      </c>
      <c r="B587" t="s">
        <v>1195</v>
      </c>
      <c r="C587" t="s">
        <v>88</v>
      </c>
      <c r="D587" t="s">
        <v>1196</v>
      </c>
      <c r="E587" t="s">
        <v>1194</v>
      </c>
      <c r="F587" t="s">
        <v>88</v>
      </c>
      <c r="G587" t="s">
        <v>88</v>
      </c>
      <c r="H587" t="s">
        <v>92</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126</v>
      </c>
      <c r="B588" t="s">
        <v>1179</v>
      </c>
      <c r="C588" t="s">
        <v>88</v>
      </c>
      <c r="D588" t="s">
        <v>1180</v>
      </c>
      <c r="E588" t="s">
        <v>1181</v>
      </c>
      <c r="F588" t="s">
        <v>88</v>
      </c>
      <c r="G588" t="s">
        <v>88</v>
      </c>
      <c r="H588" t="s">
        <v>92</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126</v>
      </c>
      <c r="B589" t="s">
        <v>1185</v>
      </c>
      <c r="C589" t="s">
        <v>88</v>
      </c>
      <c r="D589" t="s">
        <v>1186</v>
      </c>
      <c r="E589" t="s">
        <v>1187</v>
      </c>
      <c r="F589" t="s">
        <v>88</v>
      </c>
      <c r="G589" t="s">
        <v>88</v>
      </c>
      <c r="H589" t="s">
        <v>92</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126</v>
      </c>
      <c r="B590" t="s">
        <v>1197</v>
      </c>
      <c r="C590" t="s">
        <v>88</v>
      </c>
      <c r="D590" t="s">
        <v>1198</v>
      </c>
      <c r="E590" t="s">
        <v>1187</v>
      </c>
      <c r="F590" t="s">
        <v>88</v>
      </c>
      <c r="G590" t="s">
        <v>88</v>
      </c>
      <c r="H590" t="s">
        <v>92</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126</v>
      </c>
      <c r="B591" t="s">
        <v>1199</v>
      </c>
      <c r="C591" t="s">
        <v>88</v>
      </c>
      <c r="D591" t="s">
        <v>1200</v>
      </c>
      <c r="E591" t="s">
        <v>1187</v>
      </c>
      <c r="F591" t="s">
        <v>88</v>
      </c>
      <c r="G591" t="s">
        <v>88</v>
      </c>
      <c r="H591" t="s">
        <v>92</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126</v>
      </c>
      <c r="B592" t="s">
        <v>1201</v>
      </c>
      <c r="C592" t="s">
        <v>88</v>
      </c>
      <c r="D592" t="s">
        <v>1202</v>
      </c>
      <c r="E592" t="s">
        <v>1187</v>
      </c>
      <c r="F592" t="s">
        <v>88</v>
      </c>
      <c r="G592" t="s">
        <v>88</v>
      </c>
      <c r="H592" t="s">
        <v>92</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126</v>
      </c>
      <c r="B593" t="s">
        <v>1203</v>
      </c>
      <c r="C593" t="s">
        <v>88</v>
      </c>
      <c r="D593" t="s">
        <v>1204</v>
      </c>
      <c r="E593" t="s">
        <v>1194</v>
      </c>
      <c r="F593" t="s">
        <v>88</v>
      </c>
      <c r="G593" t="s">
        <v>88</v>
      </c>
      <c r="H593" t="s">
        <v>92</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126</v>
      </c>
      <c r="B594" t="s">
        <v>1205</v>
      </c>
      <c r="C594" t="s">
        <v>88</v>
      </c>
      <c r="D594" t="s">
        <v>1206</v>
      </c>
      <c r="E594" t="s">
        <v>1207</v>
      </c>
      <c r="F594" t="s">
        <v>88</v>
      </c>
      <c r="G594" t="s">
        <v>88</v>
      </c>
      <c r="H594" t="s">
        <v>92</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126</v>
      </c>
      <c r="B595" t="s">
        <v>1208</v>
      </c>
      <c r="C595" t="s">
        <v>88</v>
      </c>
      <c r="D595" t="s">
        <v>1204</v>
      </c>
      <c r="E595" t="s">
        <v>1209</v>
      </c>
      <c r="F595" t="s">
        <v>88</v>
      </c>
      <c r="G595" t="s">
        <v>88</v>
      </c>
      <c r="H595" t="s">
        <v>92</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126</v>
      </c>
      <c r="B596" t="s">
        <v>1210</v>
      </c>
      <c r="C596" t="s">
        <v>88</v>
      </c>
      <c r="D596" t="s">
        <v>1204</v>
      </c>
      <c r="E596" t="s">
        <v>1209</v>
      </c>
      <c r="F596" t="s">
        <v>88</v>
      </c>
      <c r="G596" t="s">
        <v>88</v>
      </c>
      <c r="H596" t="s">
        <v>92</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126</v>
      </c>
      <c r="B597" t="s">
        <v>1211</v>
      </c>
      <c r="C597" t="s">
        <v>88</v>
      </c>
      <c r="D597" t="s">
        <v>1206</v>
      </c>
      <c r="E597" t="s">
        <v>1207</v>
      </c>
      <c r="F597" t="s">
        <v>88</v>
      </c>
      <c r="G597" t="s">
        <v>88</v>
      </c>
      <c r="H597" t="s">
        <v>92</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126</v>
      </c>
      <c r="B598" t="s">
        <v>1212</v>
      </c>
      <c r="C598" t="s">
        <v>88</v>
      </c>
      <c r="D598" t="s">
        <v>1204</v>
      </c>
      <c r="E598" t="s">
        <v>692</v>
      </c>
      <c r="F598" t="s">
        <v>88</v>
      </c>
      <c r="G598" t="s">
        <v>88</v>
      </c>
      <c r="H598" t="s">
        <v>92</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126</v>
      </c>
      <c r="B599" t="s">
        <v>1213</v>
      </c>
      <c r="C599" t="s">
        <v>88</v>
      </c>
      <c r="D599" t="s">
        <v>1204</v>
      </c>
      <c r="E599" t="s">
        <v>1194</v>
      </c>
      <c r="F599" t="s">
        <v>88</v>
      </c>
      <c r="G599" t="s">
        <v>88</v>
      </c>
      <c r="H599" t="s">
        <v>92</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126</v>
      </c>
      <c r="B600" t="s">
        <v>1214</v>
      </c>
      <c r="C600" t="s">
        <v>88</v>
      </c>
      <c r="D600" t="s">
        <v>1204</v>
      </c>
      <c r="E600" t="s">
        <v>1194</v>
      </c>
      <c r="F600" t="s">
        <v>88</v>
      </c>
      <c r="G600" t="s">
        <v>88</v>
      </c>
      <c r="H600" t="s">
        <v>92</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126</v>
      </c>
      <c r="B601" t="s">
        <v>1215</v>
      </c>
      <c r="C601" t="s">
        <v>88</v>
      </c>
      <c r="D601" t="s">
        <v>1204</v>
      </c>
      <c r="E601" t="s">
        <v>1194</v>
      </c>
      <c r="F601" t="s">
        <v>88</v>
      </c>
      <c r="G601" t="s">
        <v>88</v>
      </c>
      <c r="H601" t="s">
        <v>92</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126</v>
      </c>
      <c r="B602" t="s">
        <v>1216</v>
      </c>
      <c r="C602" t="s">
        <v>88</v>
      </c>
      <c r="D602" t="s">
        <v>1204</v>
      </c>
      <c r="E602" t="s">
        <v>1194</v>
      </c>
      <c r="F602" t="s">
        <v>88</v>
      </c>
      <c r="G602" t="s">
        <v>88</v>
      </c>
      <c r="H602" t="s">
        <v>92</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126</v>
      </c>
      <c r="B603" t="s">
        <v>1217</v>
      </c>
      <c r="C603" t="s">
        <v>88</v>
      </c>
      <c r="D603" t="s">
        <v>1218</v>
      </c>
      <c r="E603" t="s">
        <v>1219</v>
      </c>
      <c r="F603" t="s">
        <v>88</v>
      </c>
      <c r="G603" t="s">
        <v>88</v>
      </c>
      <c r="H603" t="s">
        <v>92</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126</v>
      </c>
      <c r="B604" t="s">
        <v>1176</v>
      </c>
      <c r="C604" t="s">
        <v>88</v>
      </c>
      <c r="D604" t="s">
        <v>1177</v>
      </c>
      <c r="E604" t="s">
        <v>1178</v>
      </c>
      <c r="F604" t="s">
        <v>88</v>
      </c>
      <c r="G604" t="s">
        <v>88</v>
      </c>
      <c r="H604" t="s">
        <v>92</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126</v>
      </c>
      <c r="B605" t="s">
        <v>1220</v>
      </c>
      <c r="C605" t="s">
        <v>88</v>
      </c>
      <c r="D605" t="s">
        <v>1218</v>
      </c>
      <c r="E605" t="s">
        <v>1221</v>
      </c>
      <c r="F605" t="s">
        <v>88</v>
      </c>
      <c r="G605" t="s">
        <v>88</v>
      </c>
      <c r="H605" t="s">
        <v>92</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126</v>
      </c>
      <c r="B606" t="s">
        <v>1222</v>
      </c>
      <c r="C606" t="s">
        <v>88</v>
      </c>
      <c r="D606" t="s">
        <v>88</v>
      </c>
      <c r="E606" t="s">
        <v>762</v>
      </c>
      <c r="F606" t="s">
        <v>88</v>
      </c>
      <c r="G606" t="s">
        <v>88</v>
      </c>
      <c r="H606" t="s">
        <v>92</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126</v>
      </c>
      <c r="B607" t="s">
        <v>1223</v>
      </c>
      <c r="C607" t="s">
        <v>88</v>
      </c>
      <c r="D607" t="s">
        <v>88</v>
      </c>
      <c r="E607" t="s">
        <v>738</v>
      </c>
      <c r="F607" t="s">
        <v>88</v>
      </c>
      <c r="G607" t="s">
        <v>88</v>
      </c>
      <c r="H607" t="s">
        <v>92</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126</v>
      </c>
      <c r="B608" t="s">
        <v>1182</v>
      </c>
      <c r="C608" t="s">
        <v>88</v>
      </c>
      <c r="D608" t="s">
        <v>1183</v>
      </c>
      <c r="E608" t="s">
        <v>1184</v>
      </c>
      <c r="F608" t="s">
        <v>88</v>
      </c>
      <c r="G608" t="s">
        <v>88</v>
      </c>
      <c r="H608" t="s">
        <v>92</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126</v>
      </c>
      <c r="B609" t="s">
        <v>701</v>
      </c>
      <c r="C609" t="s">
        <v>88</v>
      </c>
      <c r="D609" t="s">
        <v>88</v>
      </c>
      <c r="E609" t="s">
        <v>1224</v>
      </c>
      <c r="F609" t="s">
        <v>88</v>
      </c>
      <c r="G609" t="s">
        <v>88</v>
      </c>
      <c r="H609" t="s">
        <v>92</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126</v>
      </c>
      <c r="B610" t="s">
        <v>703</v>
      </c>
      <c r="C610" t="s">
        <v>88</v>
      </c>
      <c r="D610" t="s">
        <v>88</v>
      </c>
      <c r="E610" t="s">
        <v>1224</v>
      </c>
      <c r="F610" t="s">
        <v>88</v>
      </c>
      <c r="G610" t="s">
        <v>88</v>
      </c>
      <c r="H610" t="s">
        <v>92</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126</v>
      </c>
      <c r="B611" t="s">
        <v>704</v>
      </c>
      <c r="C611" t="s">
        <v>88</v>
      </c>
      <c r="D611" t="s">
        <v>88</v>
      </c>
      <c r="E611" t="s">
        <v>1224</v>
      </c>
      <c r="F611" t="s">
        <v>88</v>
      </c>
      <c r="G611" t="s">
        <v>88</v>
      </c>
      <c r="H611" t="s">
        <v>92</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126</v>
      </c>
      <c r="B612" t="s">
        <v>705</v>
      </c>
      <c r="C612" t="s">
        <v>88</v>
      </c>
      <c r="D612" t="s">
        <v>88</v>
      </c>
      <c r="E612" t="s">
        <v>1224</v>
      </c>
      <c r="F612" t="s">
        <v>88</v>
      </c>
      <c r="G612" t="s">
        <v>88</v>
      </c>
      <c r="H612" t="s">
        <v>92</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126</v>
      </c>
      <c r="B613" t="s">
        <v>706</v>
      </c>
      <c r="C613" t="s">
        <v>88</v>
      </c>
      <c r="D613" t="s">
        <v>88</v>
      </c>
      <c r="E613" t="s">
        <v>1184</v>
      </c>
      <c r="F613" t="s">
        <v>88</v>
      </c>
      <c r="G613" t="s">
        <v>88</v>
      </c>
      <c r="H613" t="s">
        <v>92</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126</v>
      </c>
      <c r="B614" t="s">
        <v>707</v>
      </c>
      <c r="C614" t="s">
        <v>88</v>
      </c>
      <c r="D614" t="s">
        <v>88</v>
      </c>
      <c r="E614" t="s">
        <v>1224</v>
      </c>
      <c r="F614" t="s">
        <v>88</v>
      </c>
      <c r="G614" t="s">
        <v>88</v>
      </c>
      <c r="H614" t="s">
        <v>92</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126</v>
      </c>
      <c r="B615" t="s">
        <v>708</v>
      </c>
      <c r="C615" t="s">
        <v>88</v>
      </c>
      <c r="D615" t="s">
        <v>88</v>
      </c>
      <c r="E615" t="s">
        <v>1224</v>
      </c>
      <c r="F615" t="s">
        <v>88</v>
      </c>
      <c r="G615" t="s">
        <v>88</v>
      </c>
      <c r="H615" t="s">
        <v>92</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126</v>
      </c>
      <c r="B616" t="s">
        <v>846</v>
      </c>
      <c r="C616" t="s">
        <v>88</v>
      </c>
      <c r="D616" t="s">
        <v>88</v>
      </c>
      <c r="E616" t="s">
        <v>1224</v>
      </c>
      <c r="F616" t="s">
        <v>88</v>
      </c>
      <c r="G616" t="s">
        <v>88</v>
      </c>
      <c r="H616" t="s">
        <v>92</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126</v>
      </c>
      <c r="B617" t="s">
        <v>797</v>
      </c>
      <c r="C617" t="s">
        <v>88</v>
      </c>
      <c r="D617" t="s">
        <v>88</v>
      </c>
      <c r="E617" t="s">
        <v>1225</v>
      </c>
      <c r="F617" t="s">
        <v>88</v>
      </c>
      <c r="G617" t="s">
        <v>88</v>
      </c>
      <c r="H617" t="s">
        <v>92</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126</v>
      </c>
      <c r="B618" t="s">
        <v>622</v>
      </c>
      <c r="C618" t="s">
        <v>88</v>
      </c>
      <c r="D618" t="s">
        <v>88</v>
      </c>
      <c r="E618" t="s">
        <v>1226</v>
      </c>
      <c r="F618" t="s">
        <v>88</v>
      </c>
      <c r="G618" t="s">
        <v>88</v>
      </c>
      <c r="H618" t="s">
        <v>92</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126</v>
      </c>
      <c r="B619" t="s">
        <v>623</v>
      </c>
      <c r="C619" t="s">
        <v>88</v>
      </c>
      <c r="D619" t="s">
        <v>88</v>
      </c>
      <c r="E619" t="s">
        <v>1227</v>
      </c>
      <c r="F619" t="s">
        <v>88</v>
      </c>
      <c r="G619" t="s">
        <v>88</v>
      </c>
      <c r="H619" t="s">
        <v>92</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126</v>
      </c>
      <c r="B620" t="s">
        <v>1228</v>
      </c>
      <c r="C620" t="s">
        <v>88</v>
      </c>
      <c r="D620" t="s">
        <v>88</v>
      </c>
      <c r="E620" t="s">
        <v>1209</v>
      </c>
      <c r="F620" t="s">
        <v>88</v>
      </c>
      <c r="G620" t="s">
        <v>88</v>
      </c>
      <c r="H620" t="s">
        <v>92</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126</v>
      </c>
      <c r="B621" t="s">
        <v>1229</v>
      </c>
      <c r="C621" t="s">
        <v>88</v>
      </c>
      <c r="D621" t="s">
        <v>88</v>
      </c>
      <c r="E621" t="s">
        <v>1230</v>
      </c>
      <c r="F621" t="s">
        <v>88</v>
      </c>
      <c r="G621" t="s">
        <v>88</v>
      </c>
      <c r="H621" t="s">
        <v>92</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126</v>
      </c>
      <c r="B622" t="s">
        <v>1188</v>
      </c>
      <c r="C622" t="s">
        <v>88</v>
      </c>
      <c r="D622" t="s">
        <v>88</v>
      </c>
      <c r="E622" t="s">
        <v>1189</v>
      </c>
      <c r="F622" t="s">
        <v>88</v>
      </c>
      <c r="G622" t="s">
        <v>88</v>
      </c>
      <c r="H622" t="s">
        <v>92</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126</v>
      </c>
      <c r="B623" t="s">
        <v>1231</v>
      </c>
      <c r="C623" t="s">
        <v>88</v>
      </c>
      <c r="D623" t="s">
        <v>88</v>
      </c>
      <c r="E623" t="s">
        <v>1207</v>
      </c>
      <c r="F623" t="s">
        <v>88</v>
      </c>
      <c r="G623" t="s">
        <v>88</v>
      </c>
      <c r="H623" t="s">
        <v>92</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126</v>
      </c>
      <c r="B624" t="s">
        <v>1232</v>
      </c>
      <c r="C624" t="s">
        <v>88</v>
      </c>
      <c r="D624" t="s">
        <v>88</v>
      </c>
      <c r="E624" t="s">
        <v>1209</v>
      </c>
      <c r="F624" t="s">
        <v>88</v>
      </c>
      <c r="G624" t="s">
        <v>88</v>
      </c>
      <c r="H624" t="s">
        <v>92</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126</v>
      </c>
      <c r="B625" t="s">
        <v>1233</v>
      </c>
      <c r="C625" t="s">
        <v>88</v>
      </c>
      <c r="D625" t="s">
        <v>88</v>
      </c>
      <c r="E625" t="s">
        <v>1207</v>
      </c>
      <c r="F625" t="s">
        <v>88</v>
      </c>
      <c r="G625" t="s">
        <v>88</v>
      </c>
      <c r="H625" t="s">
        <v>92</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126</v>
      </c>
      <c r="B626" t="s">
        <v>1234</v>
      </c>
      <c r="C626" t="s">
        <v>88</v>
      </c>
      <c r="D626" t="s">
        <v>1235</v>
      </c>
      <c r="E626" t="s">
        <v>1236</v>
      </c>
      <c r="F626" t="s">
        <v>88</v>
      </c>
      <c r="G626" t="s">
        <v>88</v>
      </c>
      <c r="H626" t="s">
        <v>92</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126</v>
      </c>
      <c r="B627" t="s">
        <v>1237</v>
      </c>
      <c r="C627" t="s">
        <v>88</v>
      </c>
      <c r="D627" t="s">
        <v>1235</v>
      </c>
      <c r="E627" t="s">
        <v>1236</v>
      </c>
      <c r="F627" t="s">
        <v>88</v>
      </c>
      <c r="G627" t="s">
        <v>88</v>
      </c>
      <c r="H627" t="s">
        <v>92</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126</v>
      </c>
      <c r="B628" t="s">
        <v>1238</v>
      </c>
      <c r="C628" t="s">
        <v>88</v>
      </c>
      <c r="D628" t="s">
        <v>1235</v>
      </c>
      <c r="E628" t="s">
        <v>1236</v>
      </c>
      <c r="F628" t="s">
        <v>88</v>
      </c>
      <c r="G628" t="s">
        <v>88</v>
      </c>
      <c r="H628" t="s">
        <v>92</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126</v>
      </c>
      <c r="B629" t="s">
        <v>1239</v>
      </c>
      <c r="C629" t="s">
        <v>88</v>
      </c>
      <c r="D629" t="s">
        <v>1235</v>
      </c>
      <c r="E629" t="s">
        <v>1236</v>
      </c>
      <c r="F629" t="s">
        <v>88</v>
      </c>
      <c r="G629" t="s">
        <v>88</v>
      </c>
      <c r="H629" t="s">
        <v>92</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128</v>
      </c>
      <c r="B630" t="s">
        <v>1240</v>
      </c>
      <c r="C630" t="s">
        <v>88</v>
      </c>
      <c r="D630" t="s">
        <v>660</v>
      </c>
      <c r="E630" t="s">
        <v>1241</v>
      </c>
      <c r="F630" t="s">
        <v>88</v>
      </c>
      <c r="G630" t="s">
        <v>88</v>
      </c>
      <c r="H630" t="s">
        <v>92</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128</v>
      </c>
      <c r="B631" t="s">
        <v>1242</v>
      </c>
      <c r="C631" t="s">
        <v>88</v>
      </c>
      <c r="D631" t="s">
        <v>660</v>
      </c>
      <c r="E631" t="s">
        <v>748</v>
      </c>
      <c r="F631" t="s">
        <v>88</v>
      </c>
      <c r="G631" t="s">
        <v>88</v>
      </c>
      <c r="H631" t="s">
        <v>92</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128</v>
      </c>
      <c r="B632" t="s">
        <v>1243</v>
      </c>
      <c r="C632" t="s">
        <v>88</v>
      </c>
      <c r="D632" t="s">
        <v>1244</v>
      </c>
      <c r="E632" t="s">
        <v>658</v>
      </c>
      <c r="F632" t="s">
        <v>88</v>
      </c>
      <c r="G632" t="s">
        <v>88</v>
      </c>
      <c r="H632" t="s">
        <v>92</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128</v>
      </c>
      <c r="B633" t="s">
        <v>1245</v>
      </c>
      <c r="C633" t="s">
        <v>88</v>
      </c>
      <c r="D633" t="s">
        <v>660</v>
      </c>
      <c r="E633" t="s">
        <v>717</v>
      </c>
      <c r="F633" t="s">
        <v>88</v>
      </c>
      <c r="G633" t="s">
        <v>88</v>
      </c>
      <c r="H633" t="s">
        <v>92</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128</v>
      </c>
      <c r="B634" t="s">
        <v>1246</v>
      </c>
      <c r="C634" t="s">
        <v>88</v>
      </c>
      <c r="D634" t="s">
        <v>660</v>
      </c>
      <c r="E634" t="s">
        <v>748</v>
      </c>
      <c r="F634" t="s">
        <v>88</v>
      </c>
      <c r="G634" t="s">
        <v>88</v>
      </c>
      <c r="H634" t="s">
        <v>92</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128</v>
      </c>
      <c r="B635" t="s">
        <v>1247</v>
      </c>
      <c r="C635" t="s">
        <v>88</v>
      </c>
      <c r="D635" t="s">
        <v>1248</v>
      </c>
      <c r="E635" t="s">
        <v>1249</v>
      </c>
      <c r="F635" t="s">
        <v>88</v>
      </c>
      <c r="G635" t="s">
        <v>88</v>
      </c>
      <c r="H635" t="s">
        <v>92</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128</v>
      </c>
      <c r="B636" t="s">
        <v>1250</v>
      </c>
      <c r="C636" t="s">
        <v>88</v>
      </c>
      <c r="D636" t="s">
        <v>1251</v>
      </c>
      <c r="E636" t="s">
        <v>1252</v>
      </c>
      <c r="F636" t="s">
        <v>88</v>
      </c>
      <c r="G636" t="s">
        <v>88</v>
      </c>
      <c r="H636" t="s">
        <v>92</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128</v>
      </c>
      <c r="B637" t="s">
        <v>1253</v>
      </c>
      <c r="C637" t="s">
        <v>88</v>
      </c>
      <c r="D637" t="s">
        <v>1254</v>
      </c>
      <c r="E637" t="s">
        <v>1255</v>
      </c>
      <c r="F637" t="s">
        <v>88</v>
      </c>
      <c r="G637" t="s">
        <v>88</v>
      </c>
      <c r="H637" t="s">
        <v>92</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128</v>
      </c>
      <c r="B638" t="s">
        <v>669</v>
      </c>
      <c r="C638" t="s">
        <v>88</v>
      </c>
      <c r="D638" t="s">
        <v>1256</v>
      </c>
      <c r="E638" t="s">
        <v>841</v>
      </c>
      <c r="F638" t="s">
        <v>88</v>
      </c>
      <c r="G638" t="s">
        <v>88</v>
      </c>
      <c r="H638" t="s">
        <v>92</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128</v>
      </c>
      <c r="B639" t="s">
        <v>1257</v>
      </c>
      <c r="C639" t="s">
        <v>88</v>
      </c>
      <c r="D639" t="s">
        <v>1258</v>
      </c>
      <c r="E639" t="s">
        <v>1259</v>
      </c>
      <c r="F639" t="s">
        <v>88</v>
      </c>
      <c r="G639" t="s">
        <v>88</v>
      </c>
      <c r="H639" t="s">
        <v>92</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128</v>
      </c>
      <c r="B640" t="s">
        <v>1260</v>
      </c>
      <c r="C640" t="s">
        <v>88</v>
      </c>
      <c r="D640" t="s">
        <v>1261</v>
      </c>
      <c r="E640" t="s">
        <v>1255</v>
      </c>
      <c r="F640" t="s">
        <v>88</v>
      </c>
      <c r="G640" t="s">
        <v>88</v>
      </c>
      <c r="H640" t="s">
        <v>92</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128</v>
      </c>
      <c r="B641" t="s">
        <v>1246</v>
      </c>
      <c r="C641" t="s">
        <v>88</v>
      </c>
      <c r="D641" t="s">
        <v>660</v>
      </c>
      <c r="E641" t="s">
        <v>748</v>
      </c>
      <c r="F641" t="s">
        <v>88</v>
      </c>
      <c r="G641" t="s">
        <v>88</v>
      </c>
      <c r="H641" t="s">
        <v>92</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128</v>
      </c>
      <c r="B642" t="s">
        <v>1262</v>
      </c>
      <c r="C642" t="s">
        <v>88</v>
      </c>
      <c r="D642" t="s">
        <v>1263</v>
      </c>
      <c r="E642" t="s">
        <v>725</v>
      </c>
      <c r="F642" t="s">
        <v>88</v>
      </c>
      <c r="G642" t="s">
        <v>88</v>
      </c>
      <c r="H642" t="s">
        <v>92</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128</v>
      </c>
      <c r="B643" t="s">
        <v>1264</v>
      </c>
      <c r="C643" t="s">
        <v>88</v>
      </c>
      <c r="D643" t="s">
        <v>1265</v>
      </c>
      <c r="E643" t="s">
        <v>717</v>
      </c>
      <c r="F643" t="s">
        <v>88</v>
      </c>
      <c r="G643" t="s">
        <v>88</v>
      </c>
      <c r="H643" t="s">
        <v>92</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128</v>
      </c>
      <c r="B644" t="s">
        <v>1266</v>
      </c>
      <c r="C644" t="s">
        <v>88</v>
      </c>
      <c r="D644" t="s">
        <v>1267</v>
      </c>
      <c r="E644" t="s">
        <v>673</v>
      </c>
      <c r="F644" t="s">
        <v>88</v>
      </c>
      <c r="G644" t="s">
        <v>88</v>
      </c>
      <c r="H644" t="s">
        <v>92</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128</v>
      </c>
      <c r="B645" t="s">
        <v>1268</v>
      </c>
      <c r="C645" t="s">
        <v>88</v>
      </c>
      <c r="D645" t="s">
        <v>1269</v>
      </c>
      <c r="E645" t="s">
        <v>762</v>
      </c>
      <c r="F645" t="s">
        <v>88</v>
      </c>
      <c r="G645" t="s">
        <v>88</v>
      </c>
      <c r="H645" t="s">
        <v>92</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128</v>
      </c>
      <c r="B646" t="s">
        <v>1270</v>
      </c>
      <c r="C646" t="s">
        <v>88</v>
      </c>
      <c r="D646" t="s">
        <v>1271</v>
      </c>
      <c r="E646" t="s">
        <v>717</v>
      </c>
      <c r="F646" t="s">
        <v>88</v>
      </c>
      <c r="G646" t="s">
        <v>88</v>
      </c>
      <c r="H646" t="s">
        <v>92</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128</v>
      </c>
      <c r="B647" t="s">
        <v>1272</v>
      </c>
      <c r="C647" t="s">
        <v>88</v>
      </c>
      <c r="D647" t="s">
        <v>1273</v>
      </c>
      <c r="E647" t="s">
        <v>725</v>
      </c>
      <c r="F647" t="s">
        <v>88</v>
      </c>
      <c r="G647" t="s">
        <v>88</v>
      </c>
      <c r="H647" t="s">
        <v>92</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128</v>
      </c>
      <c r="B648" t="s">
        <v>1274</v>
      </c>
      <c r="C648" t="s">
        <v>88</v>
      </c>
      <c r="D648" t="s">
        <v>1275</v>
      </c>
      <c r="E648" t="s">
        <v>780</v>
      </c>
      <c r="F648" t="s">
        <v>88</v>
      </c>
      <c r="G648" t="s">
        <v>88</v>
      </c>
      <c r="H648" t="s">
        <v>92</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128</v>
      </c>
      <c r="B649" t="s">
        <v>1276</v>
      </c>
      <c r="C649" t="s">
        <v>88</v>
      </c>
      <c r="D649" t="s">
        <v>1277</v>
      </c>
      <c r="E649" t="s">
        <v>723</v>
      </c>
      <c r="F649" t="s">
        <v>88</v>
      </c>
      <c r="G649" t="s">
        <v>88</v>
      </c>
      <c r="H649" t="s">
        <v>92</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128</v>
      </c>
      <c r="B650" t="s">
        <v>1242</v>
      </c>
      <c r="C650" t="s">
        <v>88</v>
      </c>
      <c r="D650" t="s">
        <v>660</v>
      </c>
      <c r="E650" t="s">
        <v>748</v>
      </c>
      <c r="F650" t="s">
        <v>88</v>
      </c>
      <c r="G650" t="s">
        <v>88</v>
      </c>
      <c r="H650" t="s">
        <v>92</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128</v>
      </c>
      <c r="B651" t="s">
        <v>1240</v>
      </c>
      <c r="C651" t="s">
        <v>88</v>
      </c>
      <c r="D651" t="s">
        <v>660</v>
      </c>
      <c r="E651" t="s">
        <v>1241</v>
      </c>
      <c r="F651" t="s">
        <v>88</v>
      </c>
      <c r="G651" t="s">
        <v>88</v>
      </c>
      <c r="H651" t="s">
        <v>92</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128</v>
      </c>
      <c r="B652" t="s">
        <v>1278</v>
      </c>
      <c r="C652" t="s">
        <v>88</v>
      </c>
      <c r="D652" t="s">
        <v>1279</v>
      </c>
      <c r="E652" t="s">
        <v>655</v>
      </c>
      <c r="F652" t="s">
        <v>88</v>
      </c>
      <c r="G652" t="s">
        <v>88</v>
      </c>
      <c r="H652" t="s">
        <v>92</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128</v>
      </c>
      <c r="B653" t="s">
        <v>1280</v>
      </c>
      <c r="C653" t="s">
        <v>88</v>
      </c>
      <c r="D653" t="s">
        <v>1281</v>
      </c>
      <c r="E653" t="s">
        <v>1282</v>
      </c>
      <c r="F653" t="s">
        <v>88</v>
      </c>
      <c r="G653" t="s">
        <v>88</v>
      </c>
      <c r="H653" t="s">
        <v>92</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128</v>
      </c>
      <c r="B654" t="s">
        <v>1283</v>
      </c>
      <c r="C654" t="s">
        <v>88</v>
      </c>
      <c r="D654" t="s">
        <v>1284</v>
      </c>
      <c r="E654" t="s">
        <v>1241</v>
      </c>
      <c r="F654" t="s">
        <v>88</v>
      </c>
      <c r="G654" t="s">
        <v>88</v>
      </c>
      <c r="H654" t="s">
        <v>92</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128</v>
      </c>
      <c r="B655" t="s">
        <v>1285</v>
      </c>
      <c r="C655" t="s">
        <v>88</v>
      </c>
      <c r="D655" t="s">
        <v>1286</v>
      </c>
      <c r="E655" t="s">
        <v>655</v>
      </c>
      <c r="F655" t="s">
        <v>88</v>
      </c>
      <c r="G655" t="s">
        <v>88</v>
      </c>
      <c r="H655" t="s">
        <v>92</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128</v>
      </c>
      <c r="B656" t="s">
        <v>1287</v>
      </c>
      <c r="C656" t="s">
        <v>88</v>
      </c>
      <c r="D656" t="s">
        <v>1288</v>
      </c>
      <c r="E656" t="s">
        <v>760</v>
      </c>
      <c r="F656" t="s">
        <v>88</v>
      </c>
      <c r="G656" t="s">
        <v>88</v>
      </c>
      <c r="H656" t="s">
        <v>92</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128</v>
      </c>
      <c r="B657" t="s">
        <v>1289</v>
      </c>
      <c r="C657" t="s">
        <v>88</v>
      </c>
      <c r="D657" t="s">
        <v>1290</v>
      </c>
      <c r="E657" t="s">
        <v>1241</v>
      </c>
      <c r="F657" t="s">
        <v>88</v>
      </c>
      <c r="G657" t="s">
        <v>88</v>
      </c>
      <c r="H657" t="s">
        <v>92</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128</v>
      </c>
      <c r="B658" t="s">
        <v>1291</v>
      </c>
      <c r="C658" t="s">
        <v>88</v>
      </c>
      <c r="D658" t="s">
        <v>1292</v>
      </c>
      <c r="E658" t="s">
        <v>1241</v>
      </c>
      <c r="F658" t="s">
        <v>88</v>
      </c>
      <c r="G658" t="s">
        <v>88</v>
      </c>
      <c r="H658" t="s">
        <v>92</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128</v>
      </c>
      <c r="B659" t="s">
        <v>1293</v>
      </c>
      <c r="C659" t="s">
        <v>88</v>
      </c>
      <c r="D659" t="s">
        <v>1294</v>
      </c>
      <c r="E659" t="s">
        <v>1241</v>
      </c>
      <c r="F659" t="s">
        <v>88</v>
      </c>
      <c r="G659" t="s">
        <v>88</v>
      </c>
      <c r="H659" t="s">
        <v>92</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128</v>
      </c>
      <c r="B660" t="s">
        <v>1295</v>
      </c>
      <c r="C660" t="s">
        <v>88</v>
      </c>
      <c r="D660" t="s">
        <v>1296</v>
      </c>
      <c r="E660" t="s">
        <v>655</v>
      </c>
      <c r="F660" t="s">
        <v>88</v>
      </c>
      <c r="G660" t="s">
        <v>88</v>
      </c>
      <c r="H660" t="s">
        <v>92</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128</v>
      </c>
      <c r="B661" t="s">
        <v>1297</v>
      </c>
      <c r="C661" t="s">
        <v>88</v>
      </c>
      <c r="D661" t="s">
        <v>1279</v>
      </c>
      <c r="E661" t="s">
        <v>700</v>
      </c>
      <c r="F661" t="s">
        <v>88</v>
      </c>
      <c r="G661" t="s">
        <v>88</v>
      </c>
      <c r="H661" t="s">
        <v>92</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128</v>
      </c>
      <c r="B662" t="s">
        <v>1298</v>
      </c>
      <c r="C662" t="s">
        <v>88</v>
      </c>
      <c r="D662" t="s">
        <v>1286</v>
      </c>
      <c r="E662" t="s">
        <v>700</v>
      </c>
      <c r="F662" t="s">
        <v>88</v>
      </c>
      <c r="G662" t="s">
        <v>88</v>
      </c>
      <c r="H662" t="s">
        <v>92</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128</v>
      </c>
      <c r="B663" t="s">
        <v>1299</v>
      </c>
      <c r="C663" t="s">
        <v>88</v>
      </c>
      <c r="D663" t="s">
        <v>1288</v>
      </c>
      <c r="E663" t="s">
        <v>762</v>
      </c>
      <c r="F663" t="s">
        <v>88</v>
      </c>
      <c r="G663" t="s">
        <v>88</v>
      </c>
      <c r="H663" t="s">
        <v>92</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128</v>
      </c>
      <c r="B664" t="s">
        <v>1300</v>
      </c>
      <c r="C664" t="s">
        <v>88</v>
      </c>
      <c r="D664" t="s">
        <v>1284</v>
      </c>
      <c r="E664" t="s">
        <v>748</v>
      </c>
      <c r="F664" t="s">
        <v>88</v>
      </c>
      <c r="G664" t="s">
        <v>88</v>
      </c>
      <c r="H664" t="s">
        <v>92</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128</v>
      </c>
      <c r="B665" t="s">
        <v>1301</v>
      </c>
      <c r="C665" t="s">
        <v>88</v>
      </c>
      <c r="D665" t="s">
        <v>1281</v>
      </c>
      <c r="E665" t="s">
        <v>1241</v>
      </c>
      <c r="F665" t="s">
        <v>88</v>
      </c>
      <c r="G665" t="s">
        <v>88</v>
      </c>
      <c r="H665" t="s">
        <v>92</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128</v>
      </c>
      <c r="B666" t="s">
        <v>1302</v>
      </c>
      <c r="C666" t="s">
        <v>88</v>
      </c>
      <c r="D666" t="s">
        <v>1290</v>
      </c>
      <c r="E666" t="s">
        <v>748</v>
      </c>
      <c r="F666" t="s">
        <v>88</v>
      </c>
      <c r="G666" t="s">
        <v>88</v>
      </c>
      <c r="H666" t="s">
        <v>92</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128</v>
      </c>
      <c r="B667" t="s">
        <v>1303</v>
      </c>
      <c r="C667" t="s">
        <v>88</v>
      </c>
      <c r="D667" t="s">
        <v>1296</v>
      </c>
      <c r="E667" t="s">
        <v>700</v>
      </c>
      <c r="F667" t="s">
        <v>88</v>
      </c>
      <c r="G667" t="s">
        <v>88</v>
      </c>
      <c r="H667" t="s">
        <v>92</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128</v>
      </c>
      <c r="B668" t="s">
        <v>1304</v>
      </c>
      <c r="C668" t="s">
        <v>88</v>
      </c>
      <c r="D668" t="s">
        <v>1292</v>
      </c>
      <c r="E668" t="s">
        <v>748</v>
      </c>
      <c r="F668" t="s">
        <v>88</v>
      </c>
      <c r="G668" t="s">
        <v>88</v>
      </c>
      <c r="H668" t="s">
        <v>92</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128</v>
      </c>
      <c r="B669" t="s">
        <v>1305</v>
      </c>
      <c r="C669" t="s">
        <v>88</v>
      </c>
      <c r="D669" t="s">
        <v>1294</v>
      </c>
      <c r="E669" t="s">
        <v>748</v>
      </c>
      <c r="F669" t="s">
        <v>88</v>
      </c>
      <c r="G669" t="s">
        <v>88</v>
      </c>
      <c r="H669" t="s">
        <v>92</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128</v>
      </c>
      <c r="B670" t="s">
        <v>1306</v>
      </c>
      <c r="C670" t="s">
        <v>88</v>
      </c>
      <c r="D670" t="s">
        <v>1307</v>
      </c>
      <c r="E670" t="s">
        <v>725</v>
      </c>
      <c r="F670" t="s">
        <v>88</v>
      </c>
      <c r="G670" t="s">
        <v>88</v>
      </c>
      <c r="H670" t="s">
        <v>92</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128</v>
      </c>
      <c r="B671" t="s">
        <v>1243</v>
      </c>
      <c r="C671" t="s">
        <v>88</v>
      </c>
      <c r="D671" t="s">
        <v>1244</v>
      </c>
      <c r="E671" t="s">
        <v>658</v>
      </c>
      <c r="F671" t="s">
        <v>88</v>
      </c>
      <c r="G671" t="s">
        <v>88</v>
      </c>
      <c r="H671" t="s">
        <v>92</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128</v>
      </c>
      <c r="B672" t="s">
        <v>1308</v>
      </c>
      <c r="C672" t="s">
        <v>88</v>
      </c>
      <c r="D672" t="s">
        <v>1309</v>
      </c>
      <c r="E672" t="s">
        <v>725</v>
      </c>
      <c r="F672" t="s">
        <v>88</v>
      </c>
      <c r="G672" t="s">
        <v>88</v>
      </c>
      <c r="H672" t="s">
        <v>92</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128</v>
      </c>
      <c r="B673" t="s">
        <v>1310</v>
      </c>
      <c r="C673" t="s">
        <v>88</v>
      </c>
      <c r="D673" t="s">
        <v>1311</v>
      </c>
      <c r="E673" t="s">
        <v>725</v>
      </c>
      <c r="F673" t="s">
        <v>88</v>
      </c>
      <c r="G673" t="s">
        <v>88</v>
      </c>
      <c r="H673" t="s">
        <v>92</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128</v>
      </c>
      <c r="B674" t="s">
        <v>1312</v>
      </c>
      <c r="C674" t="s">
        <v>88</v>
      </c>
      <c r="D674" t="s">
        <v>1313</v>
      </c>
      <c r="E674" t="s">
        <v>725</v>
      </c>
      <c r="F674" t="s">
        <v>88</v>
      </c>
      <c r="G674" t="s">
        <v>88</v>
      </c>
      <c r="H674" t="s">
        <v>92</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128</v>
      </c>
      <c r="B675" t="s">
        <v>1314</v>
      </c>
      <c r="C675" t="s">
        <v>88</v>
      </c>
      <c r="D675" t="s">
        <v>1315</v>
      </c>
      <c r="E675" t="s">
        <v>883</v>
      </c>
      <c r="F675" t="s">
        <v>88</v>
      </c>
      <c r="G675" t="s">
        <v>88</v>
      </c>
      <c r="H675" t="s">
        <v>92</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128</v>
      </c>
      <c r="B676" t="s">
        <v>1316</v>
      </c>
      <c r="C676" t="s">
        <v>88</v>
      </c>
      <c r="D676" t="s">
        <v>1317</v>
      </c>
      <c r="E676" t="s">
        <v>725</v>
      </c>
      <c r="F676" t="s">
        <v>88</v>
      </c>
      <c r="G676" t="s">
        <v>88</v>
      </c>
      <c r="H676" t="s">
        <v>92</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128</v>
      </c>
      <c r="B677" t="s">
        <v>1318</v>
      </c>
      <c r="C677" t="s">
        <v>88</v>
      </c>
      <c r="D677" t="s">
        <v>1319</v>
      </c>
      <c r="E677" t="s">
        <v>717</v>
      </c>
      <c r="F677" t="s">
        <v>88</v>
      </c>
      <c r="G677" t="s">
        <v>88</v>
      </c>
      <c r="H677" t="s">
        <v>92</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128</v>
      </c>
      <c r="B678" t="s">
        <v>677</v>
      </c>
      <c r="C678" t="s">
        <v>88</v>
      </c>
      <c r="D678" t="s">
        <v>678</v>
      </c>
      <c r="E678" t="s">
        <v>723</v>
      </c>
      <c r="F678" t="s">
        <v>88</v>
      </c>
      <c r="G678" t="s">
        <v>88</v>
      </c>
      <c r="H678" t="s">
        <v>92</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128</v>
      </c>
      <c r="B679" t="s">
        <v>1245</v>
      </c>
      <c r="C679" t="s">
        <v>88</v>
      </c>
      <c r="D679" t="s">
        <v>660</v>
      </c>
      <c r="E679" t="s">
        <v>717</v>
      </c>
      <c r="F679" t="s">
        <v>88</v>
      </c>
      <c r="G679" t="s">
        <v>88</v>
      </c>
      <c r="H679" t="s">
        <v>92</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128</v>
      </c>
      <c r="B680" t="s">
        <v>1320</v>
      </c>
      <c r="C680" t="s">
        <v>88</v>
      </c>
      <c r="D680" t="s">
        <v>1321</v>
      </c>
      <c r="E680" t="s">
        <v>717</v>
      </c>
      <c r="F680" t="s">
        <v>88</v>
      </c>
      <c r="G680" t="s">
        <v>88</v>
      </c>
      <c r="H680" t="s">
        <v>92</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128</v>
      </c>
      <c r="B681" t="s">
        <v>1322</v>
      </c>
      <c r="C681" t="s">
        <v>88</v>
      </c>
      <c r="D681" t="s">
        <v>88</v>
      </c>
      <c r="E681" t="s">
        <v>723</v>
      </c>
      <c r="F681" t="s">
        <v>88</v>
      </c>
      <c r="G681" t="s">
        <v>88</v>
      </c>
      <c r="H681" t="s">
        <v>92</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128</v>
      </c>
      <c r="B682" t="s">
        <v>1072</v>
      </c>
      <c r="C682" t="s">
        <v>88</v>
      </c>
      <c r="D682" t="s">
        <v>88</v>
      </c>
      <c r="E682" t="s">
        <v>799</v>
      </c>
      <c r="F682" t="s">
        <v>88</v>
      </c>
      <c r="G682" t="s">
        <v>88</v>
      </c>
      <c r="H682" t="s">
        <v>92</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128</v>
      </c>
      <c r="B683" t="s">
        <v>701</v>
      </c>
      <c r="C683" t="s">
        <v>88</v>
      </c>
      <c r="D683" t="s">
        <v>88</v>
      </c>
      <c r="E683" t="s">
        <v>799</v>
      </c>
      <c r="F683" t="s">
        <v>88</v>
      </c>
      <c r="G683" t="s">
        <v>88</v>
      </c>
      <c r="H683" t="s">
        <v>92</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128</v>
      </c>
      <c r="B684" t="s">
        <v>703</v>
      </c>
      <c r="C684" t="s">
        <v>88</v>
      </c>
      <c r="D684" t="s">
        <v>88</v>
      </c>
      <c r="E684" t="s">
        <v>799</v>
      </c>
      <c r="F684" t="s">
        <v>88</v>
      </c>
      <c r="G684" t="s">
        <v>88</v>
      </c>
      <c r="H684" t="s">
        <v>92</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128</v>
      </c>
      <c r="B685" t="s">
        <v>705</v>
      </c>
      <c r="C685" t="s">
        <v>88</v>
      </c>
      <c r="D685" t="s">
        <v>88</v>
      </c>
      <c r="E685" t="s">
        <v>799</v>
      </c>
      <c r="F685" t="s">
        <v>88</v>
      </c>
      <c r="G685" t="s">
        <v>88</v>
      </c>
      <c r="H685" t="s">
        <v>92</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128</v>
      </c>
      <c r="B686" t="s">
        <v>706</v>
      </c>
      <c r="C686" t="s">
        <v>88</v>
      </c>
      <c r="D686" t="s">
        <v>88</v>
      </c>
      <c r="E686" t="s">
        <v>799</v>
      </c>
      <c r="F686" t="s">
        <v>88</v>
      </c>
      <c r="G686" t="s">
        <v>88</v>
      </c>
      <c r="H686" t="s">
        <v>92</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128</v>
      </c>
      <c r="B687" t="s">
        <v>707</v>
      </c>
      <c r="C687" t="s">
        <v>88</v>
      </c>
      <c r="D687" t="s">
        <v>88</v>
      </c>
      <c r="E687" t="s">
        <v>799</v>
      </c>
      <c r="F687" t="s">
        <v>88</v>
      </c>
      <c r="G687" t="s">
        <v>88</v>
      </c>
      <c r="H687" t="s">
        <v>92</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128</v>
      </c>
      <c r="B688" t="s">
        <v>708</v>
      </c>
      <c r="C688" t="s">
        <v>88</v>
      </c>
      <c r="D688" t="s">
        <v>88</v>
      </c>
      <c r="E688" t="s">
        <v>799</v>
      </c>
      <c r="F688" t="s">
        <v>88</v>
      </c>
      <c r="G688" t="s">
        <v>88</v>
      </c>
      <c r="H688" t="s">
        <v>92</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128</v>
      </c>
      <c r="B689" t="s">
        <v>618</v>
      </c>
      <c r="C689" t="s">
        <v>88</v>
      </c>
      <c r="D689" t="s">
        <v>88</v>
      </c>
      <c r="E689" t="s">
        <v>734</v>
      </c>
      <c r="F689" t="s">
        <v>88</v>
      </c>
      <c r="G689" t="s">
        <v>88</v>
      </c>
      <c r="H689" t="s">
        <v>92</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128</v>
      </c>
      <c r="B690" t="s">
        <v>620</v>
      </c>
      <c r="C690" t="s">
        <v>88</v>
      </c>
      <c r="D690" t="s">
        <v>88</v>
      </c>
      <c r="E690" t="s">
        <v>734</v>
      </c>
      <c r="F690" t="s">
        <v>88</v>
      </c>
      <c r="G690" t="s">
        <v>88</v>
      </c>
      <c r="H690" t="s">
        <v>92</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128</v>
      </c>
      <c r="B691" t="s">
        <v>712</v>
      </c>
      <c r="C691" t="s">
        <v>88</v>
      </c>
      <c r="D691" t="s">
        <v>88</v>
      </c>
      <c r="E691" t="s">
        <v>713</v>
      </c>
      <c r="F691" t="s">
        <v>88</v>
      </c>
      <c r="G691" t="s">
        <v>88</v>
      </c>
      <c r="H691" t="s">
        <v>92</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128</v>
      </c>
      <c r="B692" t="s">
        <v>714</v>
      </c>
      <c r="C692" t="s">
        <v>88</v>
      </c>
      <c r="D692" t="s">
        <v>88</v>
      </c>
      <c r="E692" t="s">
        <v>1323</v>
      </c>
      <c r="F692" t="s">
        <v>88</v>
      </c>
      <c r="G692" t="s">
        <v>88</v>
      </c>
      <c r="H692" t="s">
        <v>92</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128</v>
      </c>
      <c r="B693" t="s">
        <v>1074</v>
      </c>
      <c r="C693" t="s">
        <v>88</v>
      </c>
      <c r="D693" t="s">
        <v>88</v>
      </c>
      <c r="E693" t="s">
        <v>1323</v>
      </c>
      <c r="F693" t="s">
        <v>88</v>
      </c>
      <c r="G693" t="s">
        <v>88</v>
      </c>
      <c r="H693" t="s">
        <v>92</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128</v>
      </c>
      <c r="B694" t="s">
        <v>1075</v>
      </c>
      <c r="C694" t="s">
        <v>88</v>
      </c>
      <c r="D694" t="s">
        <v>88</v>
      </c>
      <c r="E694" t="s">
        <v>1323</v>
      </c>
      <c r="F694" t="s">
        <v>88</v>
      </c>
      <c r="G694" t="s">
        <v>88</v>
      </c>
      <c r="H694" t="s">
        <v>92</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128</v>
      </c>
      <c r="B695" t="s">
        <v>998</v>
      </c>
      <c r="C695" t="s">
        <v>88</v>
      </c>
      <c r="D695" t="s">
        <v>88</v>
      </c>
      <c r="E695" t="s">
        <v>1323</v>
      </c>
      <c r="F695" t="s">
        <v>88</v>
      </c>
      <c r="G695" t="s">
        <v>88</v>
      </c>
      <c r="H695" t="s">
        <v>92</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128</v>
      </c>
      <c r="B696" t="s">
        <v>1073</v>
      </c>
      <c r="C696" t="s">
        <v>88</v>
      </c>
      <c r="D696" t="s">
        <v>88</v>
      </c>
      <c r="E696" t="s">
        <v>1323</v>
      </c>
      <c r="F696" t="s">
        <v>88</v>
      </c>
      <c r="G696" t="s">
        <v>88</v>
      </c>
      <c r="H696" t="s">
        <v>92</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128</v>
      </c>
      <c r="B697" t="s">
        <v>1324</v>
      </c>
      <c r="C697" t="s">
        <v>88</v>
      </c>
      <c r="D697" t="s">
        <v>88</v>
      </c>
      <c r="E697" t="s">
        <v>780</v>
      </c>
      <c r="F697" t="s">
        <v>88</v>
      </c>
      <c r="G697" t="s">
        <v>88</v>
      </c>
      <c r="H697" t="s">
        <v>92</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128</v>
      </c>
      <c r="B698" t="s">
        <v>1325</v>
      </c>
      <c r="C698" t="s">
        <v>88</v>
      </c>
      <c r="D698" t="s">
        <v>88</v>
      </c>
      <c r="E698" t="s">
        <v>723</v>
      </c>
      <c r="F698" t="s">
        <v>88</v>
      </c>
      <c r="G698" t="s">
        <v>88</v>
      </c>
      <c r="H698" t="s">
        <v>92</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128</v>
      </c>
      <c r="B699" t="s">
        <v>1326</v>
      </c>
      <c r="C699" t="s">
        <v>88</v>
      </c>
      <c r="D699" t="s">
        <v>88</v>
      </c>
      <c r="E699" t="s">
        <v>723</v>
      </c>
      <c r="F699" t="s">
        <v>88</v>
      </c>
      <c r="G699" t="s">
        <v>88</v>
      </c>
      <c r="H699" t="s">
        <v>92</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128</v>
      </c>
      <c r="B700" t="s">
        <v>1327</v>
      </c>
      <c r="C700" t="s">
        <v>88</v>
      </c>
      <c r="D700" t="s">
        <v>1328</v>
      </c>
      <c r="E700" t="s">
        <v>937</v>
      </c>
      <c r="F700" t="s">
        <v>88</v>
      </c>
      <c r="G700" t="s">
        <v>88</v>
      </c>
      <c r="H700" t="s">
        <v>92</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128</v>
      </c>
      <c r="B701" t="s">
        <v>625</v>
      </c>
      <c r="C701" t="s">
        <v>88</v>
      </c>
      <c r="D701" t="s">
        <v>88</v>
      </c>
      <c r="E701" t="s">
        <v>626</v>
      </c>
      <c r="F701" t="s">
        <v>88</v>
      </c>
      <c r="G701" t="s">
        <v>88</v>
      </c>
      <c r="H701" t="s">
        <v>92</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131</v>
      </c>
      <c r="B702" t="s">
        <v>1329</v>
      </c>
      <c r="C702" t="s">
        <v>88</v>
      </c>
      <c r="D702" t="s">
        <v>660</v>
      </c>
      <c r="E702" t="s">
        <v>748</v>
      </c>
      <c r="F702" t="s">
        <v>88</v>
      </c>
      <c r="G702" t="s">
        <v>88</v>
      </c>
      <c r="H702" t="s">
        <v>92</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131</v>
      </c>
      <c r="B703" t="s">
        <v>1245</v>
      </c>
      <c r="C703" t="s">
        <v>88</v>
      </c>
      <c r="D703" t="s">
        <v>660</v>
      </c>
      <c r="E703" t="s">
        <v>717</v>
      </c>
      <c r="F703" t="s">
        <v>88</v>
      </c>
      <c r="G703" t="s">
        <v>88</v>
      </c>
      <c r="H703" t="s">
        <v>92</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131</v>
      </c>
      <c r="B704" t="s">
        <v>1330</v>
      </c>
      <c r="C704" t="s">
        <v>88</v>
      </c>
      <c r="D704" t="s">
        <v>660</v>
      </c>
      <c r="E704" t="s">
        <v>1241</v>
      </c>
      <c r="F704" t="s">
        <v>88</v>
      </c>
      <c r="G704" t="s">
        <v>88</v>
      </c>
      <c r="H704" t="s">
        <v>92</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131</v>
      </c>
      <c r="B705" t="s">
        <v>1246</v>
      </c>
      <c r="C705" t="s">
        <v>88</v>
      </c>
      <c r="D705" t="s">
        <v>660</v>
      </c>
      <c r="E705" t="s">
        <v>748</v>
      </c>
      <c r="F705" t="s">
        <v>88</v>
      </c>
      <c r="G705" t="s">
        <v>88</v>
      </c>
      <c r="H705" t="s">
        <v>92</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131</v>
      </c>
      <c r="B706" t="s">
        <v>1243</v>
      </c>
      <c r="C706" t="s">
        <v>88</v>
      </c>
      <c r="D706" t="s">
        <v>1244</v>
      </c>
      <c r="E706" t="s">
        <v>658</v>
      </c>
      <c r="F706" t="s">
        <v>88</v>
      </c>
      <c r="G706" t="s">
        <v>88</v>
      </c>
      <c r="H706" t="s">
        <v>92</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131</v>
      </c>
      <c r="B707" t="s">
        <v>1260</v>
      </c>
      <c r="C707" t="s">
        <v>88</v>
      </c>
      <c r="D707" t="s">
        <v>1261</v>
      </c>
      <c r="E707" t="s">
        <v>1255</v>
      </c>
      <c r="F707" t="s">
        <v>88</v>
      </c>
      <c r="G707" t="s">
        <v>88</v>
      </c>
      <c r="H707" t="s">
        <v>92</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131</v>
      </c>
      <c r="B708" t="s">
        <v>669</v>
      </c>
      <c r="C708" t="s">
        <v>88</v>
      </c>
      <c r="D708" t="s">
        <v>1256</v>
      </c>
      <c r="E708" t="s">
        <v>841</v>
      </c>
      <c r="F708" t="s">
        <v>88</v>
      </c>
      <c r="G708" t="s">
        <v>88</v>
      </c>
      <c r="H708" t="s">
        <v>92</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131</v>
      </c>
      <c r="B709" t="s">
        <v>1257</v>
      </c>
      <c r="C709" t="s">
        <v>88</v>
      </c>
      <c r="D709" t="s">
        <v>1258</v>
      </c>
      <c r="E709" t="s">
        <v>1259</v>
      </c>
      <c r="F709" t="s">
        <v>88</v>
      </c>
      <c r="G709" t="s">
        <v>88</v>
      </c>
      <c r="H709" t="s">
        <v>92</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131</v>
      </c>
      <c r="B710" t="s">
        <v>1253</v>
      </c>
      <c r="C710" t="s">
        <v>88</v>
      </c>
      <c r="D710" t="s">
        <v>1254</v>
      </c>
      <c r="E710" t="s">
        <v>1255</v>
      </c>
      <c r="F710" t="s">
        <v>88</v>
      </c>
      <c r="G710" t="s">
        <v>88</v>
      </c>
      <c r="H710" t="s">
        <v>92</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131</v>
      </c>
      <c r="B711" t="s">
        <v>1329</v>
      </c>
      <c r="C711" t="s">
        <v>88</v>
      </c>
      <c r="D711" t="s">
        <v>660</v>
      </c>
      <c r="E711" t="s">
        <v>748</v>
      </c>
      <c r="F711" t="s">
        <v>88</v>
      </c>
      <c r="G711" t="s">
        <v>88</v>
      </c>
      <c r="H711" t="s">
        <v>92</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131</v>
      </c>
      <c r="B712" t="s">
        <v>1331</v>
      </c>
      <c r="C712" t="s">
        <v>88</v>
      </c>
      <c r="D712" t="s">
        <v>660</v>
      </c>
      <c r="E712" t="s">
        <v>748</v>
      </c>
      <c r="F712" t="s">
        <v>88</v>
      </c>
      <c r="G712" t="s">
        <v>88</v>
      </c>
      <c r="H712" t="s">
        <v>92</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131</v>
      </c>
      <c r="B713" t="s">
        <v>1330</v>
      </c>
      <c r="C713" t="s">
        <v>88</v>
      </c>
      <c r="D713" t="s">
        <v>660</v>
      </c>
      <c r="E713" t="s">
        <v>1241</v>
      </c>
      <c r="F713" t="s">
        <v>88</v>
      </c>
      <c r="G713" t="s">
        <v>88</v>
      </c>
      <c r="H713" t="s">
        <v>92</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131</v>
      </c>
      <c r="B714" t="s">
        <v>1293</v>
      </c>
      <c r="C714" t="s">
        <v>88</v>
      </c>
      <c r="D714" t="s">
        <v>1294</v>
      </c>
      <c r="E714" t="s">
        <v>1241</v>
      </c>
      <c r="F714" t="s">
        <v>88</v>
      </c>
      <c r="G714" t="s">
        <v>88</v>
      </c>
      <c r="H714" t="s">
        <v>92</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131</v>
      </c>
      <c r="B715" t="s">
        <v>1278</v>
      </c>
      <c r="C715" t="s">
        <v>88</v>
      </c>
      <c r="D715" t="s">
        <v>1279</v>
      </c>
      <c r="E715" t="s">
        <v>655</v>
      </c>
      <c r="F715" t="s">
        <v>88</v>
      </c>
      <c r="G715" t="s">
        <v>88</v>
      </c>
      <c r="H715" t="s">
        <v>92</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131</v>
      </c>
      <c r="B716" t="s">
        <v>1285</v>
      </c>
      <c r="C716" t="s">
        <v>88</v>
      </c>
      <c r="D716" t="s">
        <v>1286</v>
      </c>
      <c r="E716" t="s">
        <v>655</v>
      </c>
      <c r="F716" t="s">
        <v>88</v>
      </c>
      <c r="G716" t="s">
        <v>88</v>
      </c>
      <c r="H716" t="s">
        <v>92</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131</v>
      </c>
      <c r="B717" t="s">
        <v>1283</v>
      </c>
      <c r="C717" t="s">
        <v>88</v>
      </c>
      <c r="D717" t="s">
        <v>1284</v>
      </c>
      <c r="E717" t="s">
        <v>1241</v>
      </c>
      <c r="F717" t="s">
        <v>88</v>
      </c>
      <c r="G717" t="s">
        <v>88</v>
      </c>
      <c r="H717" t="s">
        <v>92</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131</v>
      </c>
      <c r="B718" t="s">
        <v>1287</v>
      </c>
      <c r="C718" t="s">
        <v>88</v>
      </c>
      <c r="D718" t="s">
        <v>1288</v>
      </c>
      <c r="E718" t="s">
        <v>760</v>
      </c>
      <c r="F718" t="s">
        <v>88</v>
      </c>
      <c r="G718" t="s">
        <v>88</v>
      </c>
      <c r="H718" t="s">
        <v>92</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131</v>
      </c>
      <c r="B719" t="s">
        <v>1291</v>
      </c>
      <c r="C719" t="s">
        <v>88</v>
      </c>
      <c r="D719" t="s">
        <v>1292</v>
      </c>
      <c r="E719" t="s">
        <v>1241</v>
      </c>
      <c r="F719" t="s">
        <v>88</v>
      </c>
      <c r="G719" t="s">
        <v>88</v>
      </c>
      <c r="H719" t="s">
        <v>92</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131</v>
      </c>
      <c r="B720" t="s">
        <v>1295</v>
      </c>
      <c r="C720" t="s">
        <v>88</v>
      </c>
      <c r="D720" t="s">
        <v>1332</v>
      </c>
      <c r="E720" t="s">
        <v>655</v>
      </c>
      <c r="F720" t="s">
        <v>88</v>
      </c>
      <c r="G720" t="s">
        <v>88</v>
      </c>
      <c r="H720" t="s">
        <v>92</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131</v>
      </c>
      <c r="B721" t="s">
        <v>1280</v>
      </c>
      <c r="C721" t="s">
        <v>88</v>
      </c>
      <c r="D721" t="s">
        <v>1281</v>
      </c>
      <c r="E721" t="s">
        <v>1282</v>
      </c>
      <c r="F721" t="s">
        <v>88</v>
      </c>
      <c r="G721" t="s">
        <v>88</v>
      </c>
      <c r="H721" t="s">
        <v>92</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131</v>
      </c>
      <c r="B722" t="s">
        <v>1289</v>
      </c>
      <c r="C722" t="s">
        <v>88</v>
      </c>
      <c r="D722" t="s">
        <v>1290</v>
      </c>
      <c r="E722" t="s">
        <v>1241</v>
      </c>
      <c r="F722" t="s">
        <v>88</v>
      </c>
      <c r="G722" t="s">
        <v>88</v>
      </c>
      <c r="H722" t="s">
        <v>92</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131</v>
      </c>
      <c r="B723" t="s">
        <v>1305</v>
      </c>
      <c r="C723" t="s">
        <v>88</v>
      </c>
      <c r="D723" t="s">
        <v>1294</v>
      </c>
      <c r="E723" t="s">
        <v>748</v>
      </c>
      <c r="F723" t="s">
        <v>88</v>
      </c>
      <c r="G723" t="s">
        <v>88</v>
      </c>
      <c r="H723" t="s">
        <v>92</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131</v>
      </c>
      <c r="B724" t="s">
        <v>1297</v>
      </c>
      <c r="C724" t="s">
        <v>88</v>
      </c>
      <c r="D724" t="s">
        <v>1279</v>
      </c>
      <c r="E724" t="s">
        <v>700</v>
      </c>
      <c r="F724" t="s">
        <v>88</v>
      </c>
      <c r="G724" t="s">
        <v>88</v>
      </c>
      <c r="H724" t="s">
        <v>92</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131</v>
      </c>
      <c r="B725" t="s">
        <v>1298</v>
      </c>
      <c r="C725" t="s">
        <v>88</v>
      </c>
      <c r="D725" t="s">
        <v>1286</v>
      </c>
      <c r="E725" t="s">
        <v>700</v>
      </c>
      <c r="F725" t="s">
        <v>88</v>
      </c>
      <c r="G725" t="s">
        <v>88</v>
      </c>
      <c r="H725" t="s">
        <v>92</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131</v>
      </c>
      <c r="B726" t="s">
        <v>1300</v>
      </c>
      <c r="C726" t="s">
        <v>88</v>
      </c>
      <c r="D726" t="s">
        <v>1284</v>
      </c>
      <c r="E726" t="s">
        <v>748</v>
      </c>
      <c r="F726" t="s">
        <v>88</v>
      </c>
      <c r="G726" t="s">
        <v>88</v>
      </c>
      <c r="H726" t="s">
        <v>92</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131</v>
      </c>
      <c r="B727" t="s">
        <v>1299</v>
      </c>
      <c r="C727" t="s">
        <v>88</v>
      </c>
      <c r="D727" t="s">
        <v>1288</v>
      </c>
      <c r="E727" t="s">
        <v>762</v>
      </c>
      <c r="F727" t="s">
        <v>88</v>
      </c>
      <c r="G727" t="s">
        <v>88</v>
      </c>
      <c r="H727" t="s">
        <v>92</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131</v>
      </c>
      <c r="B728" t="s">
        <v>1304</v>
      </c>
      <c r="C728" t="s">
        <v>88</v>
      </c>
      <c r="D728" t="s">
        <v>1292</v>
      </c>
      <c r="E728" t="s">
        <v>748</v>
      </c>
      <c r="F728" t="s">
        <v>88</v>
      </c>
      <c r="G728" t="s">
        <v>88</v>
      </c>
      <c r="H728" t="s">
        <v>92</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131</v>
      </c>
      <c r="B729" t="s">
        <v>1303</v>
      </c>
      <c r="C729" t="s">
        <v>88</v>
      </c>
      <c r="D729" t="s">
        <v>1332</v>
      </c>
      <c r="E729" t="s">
        <v>700</v>
      </c>
      <c r="F729" t="s">
        <v>88</v>
      </c>
      <c r="G729" t="s">
        <v>88</v>
      </c>
      <c r="H729" t="s">
        <v>92</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131</v>
      </c>
      <c r="B730" t="s">
        <v>1301</v>
      </c>
      <c r="C730" t="s">
        <v>88</v>
      </c>
      <c r="D730" t="s">
        <v>1281</v>
      </c>
      <c r="E730" t="s">
        <v>1241</v>
      </c>
      <c r="F730" t="s">
        <v>88</v>
      </c>
      <c r="G730" t="s">
        <v>88</v>
      </c>
      <c r="H730" t="s">
        <v>92</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131</v>
      </c>
      <c r="B731" t="s">
        <v>1302</v>
      </c>
      <c r="C731" t="s">
        <v>88</v>
      </c>
      <c r="D731" t="s">
        <v>1290</v>
      </c>
      <c r="E731" t="s">
        <v>748</v>
      </c>
      <c r="F731" t="s">
        <v>88</v>
      </c>
      <c r="G731" t="s">
        <v>88</v>
      </c>
      <c r="H731" t="s">
        <v>92</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131</v>
      </c>
      <c r="B732" t="s">
        <v>1245</v>
      </c>
      <c r="C732" t="s">
        <v>88</v>
      </c>
      <c r="D732" t="s">
        <v>660</v>
      </c>
      <c r="E732" t="s">
        <v>717</v>
      </c>
      <c r="F732" t="s">
        <v>88</v>
      </c>
      <c r="G732" t="s">
        <v>88</v>
      </c>
      <c r="H732" t="s">
        <v>92</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131</v>
      </c>
      <c r="B733" t="s">
        <v>677</v>
      </c>
      <c r="C733" t="s">
        <v>88</v>
      </c>
      <c r="D733" t="s">
        <v>678</v>
      </c>
      <c r="E733" t="s">
        <v>723</v>
      </c>
      <c r="F733" t="s">
        <v>88</v>
      </c>
      <c r="G733" t="s">
        <v>88</v>
      </c>
      <c r="H733" t="s">
        <v>92</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131</v>
      </c>
      <c r="B734" t="s">
        <v>1318</v>
      </c>
      <c r="C734" t="s">
        <v>88</v>
      </c>
      <c r="D734" t="s">
        <v>1319</v>
      </c>
      <c r="E734" t="s">
        <v>717</v>
      </c>
      <c r="F734" t="s">
        <v>88</v>
      </c>
      <c r="G734" t="s">
        <v>88</v>
      </c>
      <c r="H734" t="s">
        <v>92</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131</v>
      </c>
      <c r="B735" t="s">
        <v>1320</v>
      </c>
      <c r="C735" t="s">
        <v>88</v>
      </c>
      <c r="D735" t="s">
        <v>1321</v>
      </c>
      <c r="E735" t="s">
        <v>717</v>
      </c>
      <c r="F735" t="s">
        <v>88</v>
      </c>
      <c r="G735" t="s">
        <v>88</v>
      </c>
      <c r="H735" t="s">
        <v>92</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131</v>
      </c>
      <c r="B736" t="s">
        <v>1316</v>
      </c>
      <c r="C736" t="s">
        <v>88</v>
      </c>
      <c r="D736" t="s">
        <v>1317</v>
      </c>
      <c r="E736" t="s">
        <v>725</v>
      </c>
      <c r="F736" t="s">
        <v>88</v>
      </c>
      <c r="G736" t="s">
        <v>88</v>
      </c>
      <c r="H736" t="s">
        <v>92</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131</v>
      </c>
      <c r="B737" t="s">
        <v>1312</v>
      </c>
      <c r="C737" t="s">
        <v>88</v>
      </c>
      <c r="D737" t="s">
        <v>1313</v>
      </c>
      <c r="E737" t="s">
        <v>725</v>
      </c>
      <c r="F737" t="s">
        <v>88</v>
      </c>
      <c r="G737" t="s">
        <v>88</v>
      </c>
      <c r="H737" t="s">
        <v>92</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131</v>
      </c>
      <c r="B738" t="s">
        <v>1310</v>
      </c>
      <c r="C738" t="s">
        <v>88</v>
      </c>
      <c r="D738" t="s">
        <v>1311</v>
      </c>
      <c r="E738" t="s">
        <v>725</v>
      </c>
      <c r="F738" t="s">
        <v>88</v>
      </c>
      <c r="G738" t="s">
        <v>88</v>
      </c>
      <c r="H738" t="s">
        <v>92</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131</v>
      </c>
      <c r="B739" t="s">
        <v>1308</v>
      </c>
      <c r="C739" t="s">
        <v>88</v>
      </c>
      <c r="D739" t="s">
        <v>1309</v>
      </c>
      <c r="E739" t="s">
        <v>725</v>
      </c>
      <c r="F739" t="s">
        <v>88</v>
      </c>
      <c r="G739" t="s">
        <v>88</v>
      </c>
      <c r="H739" t="s">
        <v>92</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131</v>
      </c>
      <c r="B740" t="s">
        <v>1306</v>
      </c>
      <c r="C740" t="s">
        <v>88</v>
      </c>
      <c r="D740" t="s">
        <v>1307</v>
      </c>
      <c r="E740" t="s">
        <v>725</v>
      </c>
      <c r="F740" t="s">
        <v>88</v>
      </c>
      <c r="G740" t="s">
        <v>88</v>
      </c>
      <c r="H740" t="s">
        <v>92</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131</v>
      </c>
      <c r="B741" t="s">
        <v>1243</v>
      </c>
      <c r="C741" t="s">
        <v>88</v>
      </c>
      <c r="D741" t="s">
        <v>1244</v>
      </c>
      <c r="E741" t="s">
        <v>658</v>
      </c>
      <c r="F741" t="s">
        <v>88</v>
      </c>
      <c r="G741" t="s">
        <v>88</v>
      </c>
      <c r="H741" t="s">
        <v>92</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131</v>
      </c>
      <c r="B742" t="s">
        <v>1314</v>
      </c>
      <c r="C742" t="s">
        <v>88</v>
      </c>
      <c r="D742" t="s">
        <v>1315</v>
      </c>
      <c r="E742" t="s">
        <v>883</v>
      </c>
      <c r="F742" t="s">
        <v>88</v>
      </c>
      <c r="G742" t="s">
        <v>88</v>
      </c>
      <c r="H742" t="s">
        <v>92</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131</v>
      </c>
      <c r="B743" t="s">
        <v>1246</v>
      </c>
      <c r="C743" t="s">
        <v>88</v>
      </c>
      <c r="D743" t="s">
        <v>660</v>
      </c>
      <c r="E743" t="s">
        <v>748</v>
      </c>
      <c r="F743" t="s">
        <v>88</v>
      </c>
      <c r="G743" t="s">
        <v>88</v>
      </c>
      <c r="H743" t="s">
        <v>92</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131</v>
      </c>
      <c r="B744" t="s">
        <v>1272</v>
      </c>
      <c r="C744" t="s">
        <v>88</v>
      </c>
      <c r="D744" t="s">
        <v>1333</v>
      </c>
      <c r="E744" t="s">
        <v>725</v>
      </c>
      <c r="F744" t="s">
        <v>88</v>
      </c>
      <c r="G744" t="s">
        <v>88</v>
      </c>
      <c r="H744" t="s">
        <v>92</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131</v>
      </c>
      <c r="B745" t="s">
        <v>1262</v>
      </c>
      <c r="C745" t="s">
        <v>88</v>
      </c>
      <c r="D745" t="s">
        <v>1334</v>
      </c>
      <c r="E745" t="s">
        <v>725</v>
      </c>
      <c r="F745" t="s">
        <v>88</v>
      </c>
      <c r="G745" t="s">
        <v>88</v>
      </c>
      <c r="H745" t="s">
        <v>92</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131</v>
      </c>
      <c r="B746" t="s">
        <v>1266</v>
      </c>
      <c r="C746" t="s">
        <v>88</v>
      </c>
      <c r="D746" t="s">
        <v>1335</v>
      </c>
      <c r="E746" t="s">
        <v>673</v>
      </c>
      <c r="F746" t="s">
        <v>88</v>
      </c>
      <c r="G746" t="s">
        <v>88</v>
      </c>
      <c r="H746" t="s">
        <v>92</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131</v>
      </c>
      <c r="B747" t="s">
        <v>1270</v>
      </c>
      <c r="C747" t="s">
        <v>88</v>
      </c>
      <c r="D747" t="s">
        <v>1336</v>
      </c>
      <c r="E747" t="s">
        <v>717</v>
      </c>
      <c r="F747" t="s">
        <v>88</v>
      </c>
      <c r="G747" t="s">
        <v>88</v>
      </c>
      <c r="H747" t="s">
        <v>92</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131</v>
      </c>
      <c r="B748" t="s">
        <v>1264</v>
      </c>
      <c r="C748" t="s">
        <v>88</v>
      </c>
      <c r="D748" t="s">
        <v>1337</v>
      </c>
      <c r="E748" t="s">
        <v>717</v>
      </c>
      <c r="F748" t="s">
        <v>88</v>
      </c>
      <c r="G748" t="s">
        <v>88</v>
      </c>
      <c r="H748" t="s">
        <v>92</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131</v>
      </c>
      <c r="B749" t="s">
        <v>1268</v>
      </c>
      <c r="C749" t="s">
        <v>88</v>
      </c>
      <c r="D749" t="s">
        <v>1338</v>
      </c>
      <c r="E749" t="s">
        <v>762</v>
      </c>
      <c r="F749" t="s">
        <v>88</v>
      </c>
      <c r="G749" t="s">
        <v>88</v>
      </c>
      <c r="H749" t="s">
        <v>92</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131</v>
      </c>
      <c r="B750" t="s">
        <v>1274</v>
      </c>
      <c r="C750" t="s">
        <v>88</v>
      </c>
      <c r="D750" t="s">
        <v>1275</v>
      </c>
      <c r="E750" t="s">
        <v>780</v>
      </c>
      <c r="F750" t="s">
        <v>88</v>
      </c>
      <c r="G750" t="s">
        <v>88</v>
      </c>
      <c r="H750" t="s">
        <v>92</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131</v>
      </c>
      <c r="B751" t="s">
        <v>1276</v>
      </c>
      <c r="C751" t="s">
        <v>88</v>
      </c>
      <c r="D751" t="s">
        <v>1277</v>
      </c>
      <c r="E751" t="s">
        <v>723</v>
      </c>
      <c r="F751" t="s">
        <v>88</v>
      </c>
      <c r="G751" t="s">
        <v>88</v>
      </c>
      <c r="H751" t="s">
        <v>92</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131</v>
      </c>
      <c r="B752" t="s">
        <v>1322</v>
      </c>
      <c r="C752" t="s">
        <v>88</v>
      </c>
      <c r="D752" t="s">
        <v>88</v>
      </c>
      <c r="E752" t="s">
        <v>723</v>
      </c>
      <c r="F752" t="s">
        <v>88</v>
      </c>
      <c r="G752" t="s">
        <v>88</v>
      </c>
      <c r="H752" t="s">
        <v>92</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131</v>
      </c>
      <c r="B753" t="s">
        <v>1072</v>
      </c>
      <c r="C753" t="s">
        <v>88</v>
      </c>
      <c r="D753" t="s">
        <v>88</v>
      </c>
      <c r="E753" t="s">
        <v>799</v>
      </c>
      <c r="F753" t="s">
        <v>88</v>
      </c>
      <c r="G753" t="s">
        <v>88</v>
      </c>
      <c r="H753" t="s">
        <v>92</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131</v>
      </c>
      <c r="B754" t="s">
        <v>701</v>
      </c>
      <c r="C754" t="s">
        <v>88</v>
      </c>
      <c r="D754" t="s">
        <v>88</v>
      </c>
      <c r="E754" t="s">
        <v>799</v>
      </c>
      <c r="F754" t="s">
        <v>88</v>
      </c>
      <c r="G754" t="s">
        <v>88</v>
      </c>
      <c r="H754" t="s">
        <v>92</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131</v>
      </c>
      <c r="B755" t="s">
        <v>703</v>
      </c>
      <c r="C755" t="s">
        <v>88</v>
      </c>
      <c r="D755" t="s">
        <v>88</v>
      </c>
      <c r="E755" t="s">
        <v>799</v>
      </c>
      <c r="F755" t="s">
        <v>88</v>
      </c>
      <c r="G755" t="s">
        <v>88</v>
      </c>
      <c r="H755" t="s">
        <v>92</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131</v>
      </c>
      <c r="B756" t="s">
        <v>705</v>
      </c>
      <c r="C756" t="s">
        <v>88</v>
      </c>
      <c r="D756" t="s">
        <v>88</v>
      </c>
      <c r="E756" t="s">
        <v>799</v>
      </c>
      <c r="F756" t="s">
        <v>88</v>
      </c>
      <c r="G756" t="s">
        <v>88</v>
      </c>
      <c r="H756" t="s">
        <v>92</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131</v>
      </c>
      <c r="B757" t="s">
        <v>706</v>
      </c>
      <c r="C757" t="s">
        <v>88</v>
      </c>
      <c r="D757" t="s">
        <v>88</v>
      </c>
      <c r="E757" t="s">
        <v>799</v>
      </c>
      <c r="F757" t="s">
        <v>88</v>
      </c>
      <c r="G757" t="s">
        <v>88</v>
      </c>
      <c r="H757" t="s">
        <v>92</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131</v>
      </c>
      <c r="B758" t="s">
        <v>707</v>
      </c>
      <c r="C758" t="s">
        <v>88</v>
      </c>
      <c r="D758" t="s">
        <v>88</v>
      </c>
      <c r="E758" t="s">
        <v>799</v>
      </c>
      <c r="F758" t="s">
        <v>88</v>
      </c>
      <c r="G758" t="s">
        <v>88</v>
      </c>
      <c r="H758" t="s">
        <v>92</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131</v>
      </c>
      <c r="B759" t="s">
        <v>708</v>
      </c>
      <c r="C759" t="s">
        <v>88</v>
      </c>
      <c r="D759" t="s">
        <v>88</v>
      </c>
      <c r="E759" t="s">
        <v>799</v>
      </c>
      <c r="F759" t="s">
        <v>88</v>
      </c>
      <c r="G759" t="s">
        <v>88</v>
      </c>
      <c r="H759" t="s">
        <v>92</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131</v>
      </c>
      <c r="B760" t="s">
        <v>618</v>
      </c>
      <c r="C760" t="s">
        <v>88</v>
      </c>
      <c r="D760" t="s">
        <v>88</v>
      </c>
      <c r="E760" t="s">
        <v>734</v>
      </c>
      <c r="F760" t="s">
        <v>88</v>
      </c>
      <c r="G760" t="s">
        <v>88</v>
      </c>
      <c r="H760" t="s">
        <v>92</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131</v>
      </c>
      <c r="B761" t="s">
        <v>620</v>
      </c>
      <c r="C761" t="s">
        <v>88</v>
      </c>
      <c r="D761" t="s">
        <v>88</v>
      </c>
      <c r="E761" t="s">
        <v>734</v>
      </c>
      <c r="F761" t="s">
        <v>88</v>
      </c>
      <c r="G761" t="s">
        <v>88</v>
      </c>
      <c r="H761" t="s">
        <v>92</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131</v>
      </c>
      <c r="B762" t="s">
        <v>712</v>
      </c>
      <c r="C762" t="s">
        <v>88</v>
      </c>
      <c r="D762" t="s">
        <v>88</v>
      </c>
      <c r="E762" t="s">
        <v>713</v>
      </c>
      <c r="F762" t="s">
        <v>88</v>
      </c>
      <c r="G762" t="s">
        <v>88</v>
      </c>
      <c r="H762" t="s">
        <v>92</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131</v>
      </c>
      <c r="B763" t="s">
        <v>714</v>
      </c>
      <c r="C763" t="s">
        <v>88</v>
      </c>
      <c r="D763" t="s">
        <v>88</v>
      </c>
      <c r="E763" t="s">
        <v>1323</v>
      </c>
      <c r="F763" t="s">
        <v>88</v>
      </c>
      <c r="G763" t="s">
        <v>88</v>
      </c>
      <c r="H763" t="s">
        <v>92</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131</v>
      </c>
      <c r="B764" t="s">
        <v>1075</v>
      </c>
      <c r="C764" t="s">
        <v>88</v>
      </c>
      <c r="D764" t="s">
        <v>88</v>
      </c>
      <c r="E764" t="s">
        <v>1323</v>
      </c>
      <c r="F764" t="s">
        <v>88</v>
      </c>
      <c r="G764" t="s">
        <v>88</v>
      </c>
      <c r="H764" t="s">
        <v>92</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131</v>
      </c>
      <c r="B765" t="s">
        <v>1074</v>
      </c>
      <c r="C765" t="s">
        <v>88</v>
      </c>
      <c r="D765" t="s">
        <v>88</v>
      </c>
      <c r="E765" t="s">
        <v>1323</v>
      </c>
      <c r="F765" t="s">
        <v>88</v>
      </c>
      <c r="G765" t="s">
        <v>88</v>
      </c>
      <c r="H765" t="s">
        <v>92</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131</v>
      </c>
      <c r="B766" t="s">
        <v>998</v>
      </c>
      <c r="C766" t="s">
        <v>88</v>
      </c>
      <c r="D766" t="s">
        <v>88</v>
      </c>
      <c r="E766" t="s">
        <v>1323</v>
      </c>
      <c r="F766" t="s">
        <v>88</v>
      </c>
      <c r="G766" t="s">
        <v>88</v>
      </c>
      <c r="H766" t="s">
        <v>92</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131</v>
      </c>
      <c r="B767" t="s">
        <v>1073</v>
      </c>
      <c r="C767" t="s">
        <v>88</v>
      </c>
      <c r="D767" t="s">
        <v>88</v>
      </c>
      <c r="E767" t="s">
        <v>1323</v>
      </c>
      <c r="F767" t="s">
        <v>88</v>
      </c>
      <c r="G767" t="s">
        <v>88</v>
      </c>
      <c r="H767" t="s">
        <v>92</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131</v>
      </c>
      <c r="B768" t="s">
        <v>1324</v>
      </c>
      <c r="C768" t="s">
        <v>88</v>
      </c>
      <c r="D768" t="s">
        <v>88</v>
      </c>
      <c r="E768" t="s">
        <v>780</v>
      </c>
      <c r="F768" t="s">
        <v>88</v>
      </c>
      <c r="G768" t="s">
        <v>88</v>
      </c>
      <c r="H768" t="s">
        <v>92</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131</v>
      </c>
      <c r="B769" t="s">
        <v>1325</v>
      </c>
      <c r="C769" t="s">
        <v>88</v>
      </c>
      <c r="D769" t="s">
        <v>88</v>
      </c>
      <c r="E769" t="s">
        <v>723</v>
      </c>
      <c r="F769" t="s">
        <v>88</v>
      </c>
      <c r="G769" t="s">
        <v>88</v>
      </c>
      <c r="H769" t="s">
        <v>92</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131</v>
      </c>
      <c r="B770" t="s">
        <v>1326</v>
      </c>
      <c r="C770" t="s">
        <v>88</v>
      </c>
      <c r="D770" t="s">
        <v>88</v>
      </c>
      <c r="E770" t="s">
        <v>723</v>
      </c>
      <c r="F770" t="s">
        <v>88</v>
      </c>
      <c r="G770" t="s">
        <v>88</v>
      </c>
      <c r="H770" t="s">
        <v>92</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131</v>
      </c>
      <c r="B771" t="s">
        <v>1327</v>
      </c>
      <c r="C771" t="s">
        <v>88</v>
      </c>
      <c r="D771" t="s">
        <v>1328</v>
      </c>
      <c r="E771" t="s">
        <v>937</v>
      </c>
      <c r="F771" t="s">
        <v>88</v>
      </c>
      <c r="G771" t="s">
        <v>88</v>
      </c>
      <c r="H771" t="s">
        <v>92</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131</v>
      </c>
      <c r="B772" t="s">
        <v>625</v>
      </c>
      <c r="C772" t="s">
        <v>88</v>
      </c>
      <c r="D772" t="s">
        <v>88</v>
      </c>
      <c r="E772" t="s">
        <v>626</v>
      </c>
      <c r="F772" t="s">
        <v>88</v>
      </c>
      <c r="G772" t="s">
        <v>88</v>
      </c>
      <c r="H772" t="s">
        <v>92</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132</v>
      </c>
      <c r="B773" t="s">
        <v>753</v>
      </c>
      <c r="C773" t="s">
        <v>88</v>
      </c>
      <c r="D773" t="s">
        <v>1339</v>
      </c>
      <c r="E773" t="s">
        <v>721</v>
      </c>
      <c r="F773" t="s">
        <v>88</v>
      </c>
      <c r="G773" t="s">
        <v>88</v>
      </c>
      <c r="H773" t="s">
        <v>92</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132</v>
      </c>
      <c r="B774" t="s">
        <v>1340</v>
      </c>
      <c r="C774" t="s">
        <v>88</v>
      </c>
      <c r="D774" t="s">
        <v>1341</v>
      </c>
      <c r="E774" t="s">
        <v>725</v>
      </c>
      <c r="F774" t="s">
        <v>88</v>
      </c>
      <c r="G774" t="s">
        <v>88</v>
      </c>
      <c r="H774" t="s">
        <v>92</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132</v>
      </c>
      <c r="B775" t="s">
        <v>1342</v>
      </c>
      <c r="C775" t="s">
        <v>88</v>
      </c>
      <c r="D775" t="s">
        <v>1343</v>
      </c>
      <c r="E775" t="s">
        <v>760</v>
      </c>
      <c r="F775" t="s">
        <v>88</v>
      </c>
      <c r="G775" t="s">
        <v>88</v>
      </c>
      <c r="H775" t="s">
        <v>92</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132</v>
      </c>
      <c r="B776" t="s">
        <v>741</v>
      </c>
      <c r="C776" t="s">
        <v>88</v>
      </c>
      <c r="D776" t="s">
        <v>1344</v>
      </c>
      <c r="E776" t="s">
        <v>721</v>
      </c>
      <c r="F776" t="s">
        <v>88</v>
      </c>
      <c r="G776" t="s">
        <v>88</v>
      </c>
      <c r="H776" t="s">
        <v>92</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132</v>
      </c>
      <c r="B777" t="s">
        <v>1345</v>
      </c>
      <c r="C777" t="s">
        <v>88</v>
      </c>
      <c r="D777" t="s">
        <v>1346</v>
      </c>
      <c r="E777" t="s">
        <v>692</v>
      </c>
      <c r="F777" t="s">
        <v>88</v>
      </c>
      <c r="G777" t="s">
        <v>88</v>
      </c>
      <c r="H777" t="s">
        <v>92</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132</v>
      </c>
      <c r="B778" t="s">
        <v>1347</v>
      </c>
      <c r="C778" t="s">
        <v>88</v>
      </c>
      <c r="D778" t="s">
        <v>1348</v>
      </c>
      <c r="E778" t="s">
        <v>723</v>
      </c>
      <c r="F778" t="s">
        <v>88</v>
      </c>
      <c r="G778" t="s">
        <v>88</v>
      </c>
      <c r="H778" t="s">
        <v>92</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132</v>
      </c>
      <c r="B779" t="s">
        <v>1349</v>
      </c>
      <c r="C779" t="s">
        <v>88</v>
      </c>
      <c r="D779" t="s">
        <v>1350</v>
      </c>
      <c r="E779" t="s">
        <v>780</v>
      </c>
      <c r="F779" t="s">
        <v>88</v>
      </c>
      <c r="G779" t="s">
        <v>88</v>
      </c>
      <c r="H779" t="s">
        <v>92</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132</v>
      </c>
      <c r="B780" t="s">
        <v>1351</v>
      </c>
      <c r="C780" t="s">
        <v>88</v>
      </c>
      <c r="D780" t="s">
        <v>1352</v>
      </c>
      <c r="E780" t="s">
        <v>1353</v>
      </c>
      <c r="F780" t="s">
        <v>88</v>
      </c>
      <c r="G780" t="s">
        <v>88</v>
      </c>
      <c r="H780" t="s">
        <v>92</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132</v>
      </c>
      <c r="B781" t="s">
        <v>1342</v>
      </c>
      <c r="C781" t="s">
        <v>88</v>
      </c>
      <c r="D781" t="s">
        <v>1343</v>
      </c>
      <c r="E781" t="s">
        <v>760</v>
      </c>
      <c r="F781" t="s">
        <v>88</v>
      </c>
      <c r="G781" t="s">
        <v>88</v>
      </c>
      <c r="H781" t="s">
        <v>92</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132</v>
      </c>
      <c r="B782" t="s">
        <v>1354</v>
      </c>
      <c r="C782" t="s">
        <v>88</v>
      </c>
      <c r="D782" t="s">
        <v>1355</v>
      </c>
      <c r="E782" t="s">
        <v>1353</v>
      </c>
      <c r="F782" t="s">
        <v>88</v>
      </c>
      <c r="G782" t="s">
        <v>88</v>
      </c>
      <c r="H782" t="s">
        <v>92</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132</v>
      </c>
      <c r="B783" t="s">
        <v>1356</v>
      </c>
      <c r="C783" t="s">
        <v>88</v>
      </c>
      <c r="D783" t="s">
        <v>1357</v>
      </c>
      <c r="E783" t="s">
        <v>692</v>
      </c>
      <c r="F783" t="s">
        <v>88</v>
      </c>
      <c r="G783" t="s">
        <v>88</v>
      </c>
      <c r="H783" t="s">
        <v>92</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132</v>
      </c>
      <c r="B784" t="s">
        <v>1358</v>
      </c>
      <c r="C784" t="s">
        <v>88</v>
      </c>
      <c r="D784" t="s">
        <v>1359</v>
      </c>
      <c r="E784" t="s">
        <v>1353</v>
      </c>
      <c r="F784" t="s">
        <v>88</v>
      </c>
      <c r="G784" t="s">
        <v>88</v>
      </c>
      <c r="H784" t="s">
        <v>92</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132</v>
      </c>
      <c r="B785" t="s">
        <v>1360</v>
      </c>
      <c r="C785" t="s">
        <v>88</v>
      </c>
      <c r="D785" t="s">
        <v>1361</v>
      </c>
      <c r="E785" t="s">
        <v>841</v>
      </c>
      <c r="F785" t="s">
        <v>88</v>
      </c>
      <c r="G785" t="s">
        <v>88</v>
      </c>
      <c r="H785" t="s">
        <v>92</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132</v>
      </c>
      <c r="B786" t="s">
        <v>1362</v>
      </c>
      <c r="C786" t="s">
        <v>88</v>
      </c>
      <c r="D786" t="s">
        <v>1346</v>
      </c>
      <c r="E786" t="s">
        <v>1353</v>
      </c>
      <c r="F786" t="s">
        <v>88</v>
      </c>
      <c r="G786" t="s">
        <v>88</v>
      </c>
      <c r="H786" t="s">
        <v>92</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132</v>
      </c>
      <c r="B787" t="s">
        <v>1363</v>
      </c>
      <c r="C787" t="s">
        <v>88</v>
      </c>
      <c r="D787" t="s">
        <v>1346</v>
      </c>
      <c r="E787" t="s">
        <v>655</v>
      </c>
      <c r="F787" t="s">
        <v>88</v>
      </c>
      <c r="G787" t="s">
        <v>88</v>
      </c>
      <c r="H787" t="s">
        <v>92</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132</v>
      </c>
      <c r="B788" t="s">
        <v>1364</v>
      </c>
      <c r="C788" t="s">
        <v>88</v>
      </c>
      <c r="D788" t="s">
        <v>1346</v>
      </c>
      <c r="E788" t="s">
        <v>883</v>
      </c>
      <c r="F788" t="s">
        <v>88</v>
      </c>
      <c r="G788" t="s">
        <v>88</v>
      </c>
      <c r="H788" t="s">
        <v>92</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132</v>
      </c>
      <c r="B789" t="s">
        <v>1365</v>
      </c>
      <c r="C789" t="s">
        <v>88</v>
      </c>
      <c r="D789" t="s">
        <v>1346</v>
      </c>
      <c r="E789" t="s">
        <v>760</v>
      </c>
      <c r="F789" t="s">
        <v>88</v>
      </c>
      <c r="G789" t="s">
        <v>88</v>
      </c>
      <c r="H789" t="s">
        <v>92</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132</v>
      </c>
      <c r="B790" t="s">
        <v>1345</v>
      </c>
      <c r="C790" t="s">
        <v>88</v>
      </c>
      <c r="D790" t="s">
        <v>1346</v>
      </c>
      <c r="E790" t="s">
        <v>692</v>
      </c>
      <c r="F790" t="s">
        <v>88</v>
      </c>
      <c r="G790" t="s">
        <v>88</v>
      </c>
      <c r="H790" t="s">
        <v>92</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132</v>
      </c>
      <c r="B791" t="s">
        <v>741</v>
      </c>
      <c r="C791" t="s">
        <v>88</v>
      </c>
      <c r="D791" t="s">
        <v>1344</v>
      </c>
      <c r="E791" t="s">
        <v>721</v>
      </c>
      <c r="F791" t="s">
        <v>88</v>
      </c>
      <c r="G791" t="s">
        <v>88</v>
      </c>
      <c r="H791" t="s">
        <v>92</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132</v>
      </c>
      <c r="B792" t="s">
        <v>751</v>
      </c>
      <c r="C792" t="s">
        <v>88</v>
      </c>
      <c r="D792" t="s">
        <v>1366</v>
      </c>
      <c r="E792" t="s">
        <v>721</v>
      </c>
      <c r="F792" t="s">
        <v>88</v>
      </c>
      <c r="G792" t="s">
        <v>88</v>
      </c>
      <c r="H792" t="s">
        <v>92</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132</v>
      </c>
      <c r="B793" t="s">
        <v>1340</v>
      </c>
      <c r="C793" t="s">
        <v>88</v>
      </c>
      <c r="D793" t="s">
        <v>1341</v>
      </c>
      <c r="E793" t="s">
        <v>725</v>
      </c>
      <c r="F793" t="s">
        <v>88</v>
      </c>
      <c r="G793" t="s">
        <v>88</v>
      </c>
      <c r="H793" t="s">
        <v>92</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132</v>
      </c>
      <c r="B794" t="s">
        <v>753</v>
      </c>
      <c r="C794" t="s">
        <v>88</v>
      </c>
      <c r="D794" t="s">
        <v>1339</v>
      </c>
      <c r="E794" t="s">
        <v>721</v>
      </c>
      <c r="F794" t="s">
        <v>88</v>
      </c>
      <c r="G794" t="s">
        <v>88</v>
      </c>
      <c r="H794" t="s">
        <v>92</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132</v>
      </c>
      <c r="B795" t="s">
        <v>1367</v>
      </c>
      <c r="C795" t="s">
        <v>88</v>
      </c>
      <c r="D795" t="s">
        <v>1368</v>
      </c>
      <c r="E795" t="s">
        <v>725</v>
      </c>
      <c r="F795" t="s">
        <v>88</v>
      </c>
      <c r="G795" t="s">
        <v>88</v>
      </c>
      <c r="H795" t="s">
        <v>92</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132</v>
      </c>
      <c r="B796" t="s">
        <v>1369</v>
      </c>
      <c r="C796" t="s">
        <v>88</v>
      </c>
      <c r="D796" t="s">
        <v>1370</v>
      </c>
      <c r="E796" t="s">
        <v>734</v>
      </c>
      <c r="F796" t="s">
        <v>88</v>
      </c>
      <c r="G796" t="s">
        <v>88</v>
      </c>
      <c r="H796" t="s">
        <v>92</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132</v>
      </c>
      <c r="B797" t="s">
        <v>846</v>
      </c>
      <c r="C797" t="s">
        <v>88</v>
      </c>
      <c r="D797" t="s">
        <v>88</v>
      </c>
      <c r="E797" t="s">
        <v>709</v>
      </c>
      <c r="F797" t="s">
        <v>88</v>
      </c>
      <c r="G797" t="s">
        <v>88</v>
      </c>
      <c r="H797" t="s">
        <v>92</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132</v>
      </c>
      <c r="B798" t="s">
        <v>618</v>
      </c>
      <c r="C798" t="s">
        <v>88</v>
      </c>
      <c r="D798" t="s">
        <v>88</v>
      </c>
      <c r="E798" t="s">
        <v>711</v>
      </c>
      <c r="F798" t="s">
        <v>88</v>
      </c>
      <c r="G798" t="s">
        <v>88</v>
      </c>
      <c r="H798" t="s">
        <v>92</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132</v>
      </c>
      <c r="B799" t="s">
        <v>926</v>
      </c>
      <c r="C799" t="s">
        <v>88</v>
      </c>
      <c r="D799" t="s">
        <v>88</v>
      </c>
      <c r="E799" t="s">
        <v>711</v>
      </c>
      <c r="F799" t="s">
        <v>88</v>
      </c>
      <c r="G799" t="s">
        <v>88</v>
      </c>
      <c r="H799" t="s">
        <v>92</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132</v>
      </c>
      <c r="B800" t="s">
        <v>622</v>
      </c>
      <c r="C800" t="s">
        <v>88</v>
      </c>
      <c r="D800" t="s">
        <v>88</v>
      </c>
      <c r="E800" t="s">
        <v>711</v>
      </c>
      <c r="F800" t="s">
        <v>88</v>
      </c>
      <c r="G800" t="s">
        <v>88</v>
      </c>
      <c r="H800" t="s">
        <v>92</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132</v>
      </c>
      <c r="B801" t="s">
        <v>623</v>
      </c>
      <c r="C801" t="s">
        <v>88</v>
      </c>
      <c r="D801" t="s">
        <v>88</v>
      </c>
      <c r="E801" t="s">
        <v>850</v>
      </c>
      <c r="F801" t="s">
        <v>88</v>
      </c>
      <c r="G801" t="s">
        <v>88</v>
      </c>
      <c r="H801" t="s">
        <v>92</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132</v>
      </c>
      <c r="B802" t="s">
        <v>714</v>
      </c>
      <c r="C802" t="s">
        <v>88</v>
      </c>
      <c r="D802" t="s">
        <v>88</v>
      </c>
      <c r="E802" t="s">
        <v>702</v>
      </c>
      <c r="F802" t="s">
        <v>88</v>
      </c>
      <c r="G802" t="s">
        <v>88</v>
      </c>
      <c r="H802" t="s">
        <v>92</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132</v>
      </c>
      <c r="B803" t="s">
        <v>625</v>
      </c>
      <c r="C803" t="s">
        <v>88</v>
      </c>
      <c r="D803" t="s">
        <v>88</v>
      </c>
      <c r="E803" t="s">
        <v>626</v>
      </c>
      <c r="F803" t="s">
        <v>88</v>
      </c>
      <c r="G803" t="s">
        <v>88</v>
      </c>
      <c r="H803" t="s">
        <v>92</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134</v>
      </c>
      <c r="B804" t="s">
        <v>1371</v>
      </c>
      <c r="C804" t="s">
        <v>88</v>
      </c>
      <c r="D804" t="s">
        <v>88</v>
      </c>
      <c r="E804" t="s">
        <v>1323</v>
      </c>
      <c r="F804" t="s">
        <v>88</v>
      </c>
      <c r="G804" t="s">
        <v>88</v>
      </c>
      <c r="H804" t="s">
        <v>92</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134</v>
      </c>
      <c r="B805" t="s">
        <v>1372</v>
      </c>
      <c r="C805" t="s">
        <v>88</v>
      </c>
      <c r="D805" t="s">
        <v>88</v>
      </c>
      <c r="E805" t="s">
        <v>702</v>
      </c>
      <c r="F805" t="s">
        <v>88</v>
      </c>
      <c r="G805" t="s">
        <v>88</v>
      </c>
      <c r="H805" t="s">
        <v>92</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134</v>
      </c>
      <c r="B806" t="s">
        <v>736</v>
      </c>
      <c r="C806" t="s">
        <v>88</v>
      </c>
      <c r="D806" t="s">
        <v>1373</v>
      </c>
      <c r="E806" t="s">
        <v>679</v>
      </c>
      <c r="F806" t="s">
        <v>88</v>
      </c>
      <c r="G806" t="s">
        <v>88</v>
      </c>
      <c r="H806" t="s">
        <v>92</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134</v>
      </c>
      <c r="B807" t="s">
        <v>1374</v>
      </c>
      <c r="C807" t="s">
        <v>88</v>
      </c>
      <c r="D807" t="s">
        <v>88</v>
      </c>
      <c r="E807" t="s">
        <v>709</v>
      </c>
      <c r="F807" t="s">
        <v>88</v>
      </c>
      <c r="G807" t="s">
        <v>88</v>
      </c>
      <c r="H807" t="s">
        <v>92</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134</v>
      </c>
      <c r="B808" t="s">
        <v>882</v>
      </c>
      <c r="C808" t="s">
        <v>88</v>
      </c>
      <c r="D808" t="s">
        <v>88</v>
      </c>
      <c r="E808" t="s">
        <v>673</v>
      </c>
      <c r="F808" t="s">
        <v>88</v>
      </c>
      <c r="G808" t="s">
        <v>88</v>
      </c>
      <c r="H808" t="s">
        <v>92</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134</v>
      </c>
      <c r="B809" t="s">
        <v>1375</v>
      </c>
      <c r="C809" t="s">
        <v>88</v>
      </c>
      <c r="D809" t="s">
        <v>1376</v>
      </c>
      <c r="E809" t="s">
        <v>1377</v>
      </c>
      <c r="F809" t="s">
        <v>88</v>
      </c>
      <c r="G809" t="s">
        <v>88</v>
      </c>
      <c r="H809" t="s">
        <v>92</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134</v>
      </c>
      <c r="B810" t="s">
        <v>1378</v>
      </c>
      <c r="C810" t="s">
        <v>88</v>
      </c>
      <c r="D810" t="s">
        <v>88</v>
      </c>
      <c r="E810" t="s">
        <v>738</v>
      </c>
      <c r="F810" t="s">
        <v>88</v>
      </c>
      <c r="G810" t="s">
        <v>88</v>
      </c>
      <c r="H810" t="s">
        <v>92</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134</v>
      </c>
      <c r="B811" t="s">
        <v>882</v>
      </c>
      <c r="C811" t="s">
        <v>88</v>
      </c>
      <c r="D811" t="s">
        <v>88</v>
      </c>
      <c r="E811" t="s">
        <v>673</v>
      </c>
      <c r="F811" t="s">
        <v>88</v>
      </c>
      <c r="G811" t="s">
        <v>88</v>
      </c>
      <c r="H811" t="s">
        <v>92</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134</v>
      </c>
      <c r="B812" t="s">
        <v>1371</v>
      </c>
      <c r="C812" t="s">
        <v>88</v>
      </c>
      <c r="D812" t="s">
        <v>88</v>
      </c>
      <c r="E812" t="s">
        <v>1323</v>
      </c>
      <c r="F812" t="s">
        <v>88</v>
      </c>
      <c r="G812" t="s">
        <v>88</v>
      </c>
      <c r="H812" t="s">
        <v>92</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134</v>
      </c>
      <c r="B813" t="s">
        <v>1372</v>
      </c>
      <c r="C813" t="s">
        <v>88</v>
      </c>
      <c r="D813" t="s">
        <v>88</v>
      </c>
      <c r="E813" t="s">
        <v>702</v>
      </c>
      <c r="F813" t="s">
        <v>88</v>
      </c>
      <c r="G813" t="s">
        <v>88</v>
      </c>
      <c r="H813" t="s">
        <v>92</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134</v>
      </c>
      <c r="B814" t="s">
        <v>1374</v>
      </c>
      <c r="C814" t="s">
        <v>88</v>
      </c>
      <c r="D814" t="s">
        <v>88</v>
      </c>
      <c r="E814" t="s">
        <v>709</v>
      </c>
      <c r="F814" t="s">
        <v>88</v>
      </c>
      <c r="G814" t="s">
        <v>88</v>
      </c>
      <c r="H814" t="s">
        <v>92</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134</v>
      </c>
      <c r="B815" t="s">
        <v>1379</v>
      </c>
      <c r="C815" t="s">
        <v>88</v>
      </c>
      <c r="D815" t="s">
        <v>88</v>
      </c>
      <c r="E815" t="s">
        <v>655</v>
      </c>
      <c r="F815" t="s">
        <v>88</v>
      </c>
      <c r="G815" t="s">
        <v>88</v>
      </c>
      <c r="H815" t="s">
        <v>92</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134</v>
      </c>
      <c r="B816" t="s">
        <v>895</v>
      </c>
      <c r="C816" t="s">
        <v>88</v>
      </c>
      <c r="D816" t="s">
        <v>88</v>
      </c>
      <c r="E816" t="s">
        <v>655</v>
      </c>
      <c r="F816" t="s">
        <v>88</v>
      </c>
      <c r="G816" t="s">
        <v>88</v>
      </c>
      <c r="H816" t="s">
        <v>92</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134</v>
      </c>
      <c r="B817" t="s">
        <v>891</v>
      </c>
      <c r="C817" t="s">
        <v>88</v>
      </c>
      <c r="D817" t="s">
        <v>88</v>
      </c>
      <c r="E817" t="s">
        <v>762</v>
      </c>
      <c r="F817" t="s">
        <v>88</v>
      </c>
      <c r="G817" t="s">
        <v>88</v>
      </c>
      <c r="H817" t="s">
        <v>92</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134</v>
      </c>
      <c r="B818" t="s">
        <v>892</v>
      </c>
      <c r="C818" t="s">
        <v>88</v>
      </c>
      <c r="D818" t="s">
        <v>88</v>
      </c>
      <c r="E818" t="s">
        <v>762</v>
      </c>
      <c r="F818" t="s">
        <v>88</v>
      </c>
      <c r="G818" t="s">
        <v>88</v>
      </c>
      <c r="H818" t="s">
        <v>92</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134</v>
      </c>
      <c r="B819" t="s">
        <v>1380</v>
      </c>
      <c r="C819" t="s">
        <v>88</v>
      </c>
      <c r="D819" t="s">
        <v>1381</v>
      </c>
      <c r="E819" t="s">
        <v>760</v>
      </c>
      <c r="F819" t="s">
        <v>88</v>
      </c>
      <c r="G819" t="s">
        <v>88</v>
      </c>
      <c r="H819" t="s">
        <v>92</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134</v>
      </c>
      <c r="B820" t="s">
        <v>890</v>
      </c>
      <c r="C820" t="s">
        <v>88</v>
      </c>
      <c r="D820" t="s">
        <v>88</v>
      </c>
      <c r="E820" t="s">
        <v>748</v>
      </c>
      <c r="F820" t="s">
        <v>88</v>
      </c>
      <c r="G820" t="s">
        <v>88</v>
      </c>
      <c r="H820" t="s">
        <v>92</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134</v>
      </c>
      <c r="B821" t="s">
        <v>1382</v>
      </c>
      <c r="C821" t="s">
        <v>88</v>
      </c>
      <c r="D821" t="s">
        <v>88</v>
      </c>
      <c r="E821" t="s">
        <v>748</v>
      </c>
      <c r="F821" t="s">
        <v>88</v>
      </c>
      <c r="G821" t="s">
        <v>88</v>
      </c>
      <c r="H821" t="s">
        <v>92</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134</v>
      </c>
      <c r="B822" t="s">
        <v>768</v>
      </c>
      <c r="C822" t="s">
        <v>88</v>
      </c>
      <c r="D822" t="s">
        <v>1383</v>
      </c>
      <c r="E822" t="s">
        <v>1282</v>
      </c>
      <c r="F822" t="s">
        <v>88</v>
      </c>
      <c r="G822" t="s">
        <v>88</v>
      </c>
      <c r="H822" t="s">
        <v>92</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134</v>
      </c>
      <c r="B823" t="s">
        <v>1384</v>
      </c>
      <c r="C823" t="s">
        <v>88</v>
      </c>
      <c r="D823" t="s">
        <v>1383</v>
      </c>
      <c r="E823" t="s">
        <v>692</v>
      </c>
      <c r="F823" t="s">
        <v>88</v>
      </c>
      <c r="G823" t="s">
        <v>88</v>
      </c>
      <c r="H823" t="s">
        <v>92</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134</v>
      </c>
      <c r="B824" t="s">
        <v>1385</v>
      </c>
      <c r="C824" t="s">
        <v>88</v>
      </c>
      <c r="D824" t="s">
        <v>1383</v>
      </c>
      <c r="E824" t="s">
        <v>1282</v>
      </c>
      <c r="F824" t="s">
        <v>88</v>
      </c>
      <c r="G824" t="s">
        <v>88</v>
      </c>
      <c r="H824" t="s">
        <v>92</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134</v>
      </c>
      <c r="B825" t="s">
        <v>1386</v>
      </c>
      <c r="C825" t="s">
        <v>88</v>
      </c>
      <c r="D825" t="s">
        <v>1387</v>
      </c>
      <c r="E825" t="s">
        <v>692</v>
      </c>
      <c r="F825" t="s">
        <v>88</v>
      </c>
      <c r="G825" t="s">
        <v>88</v>
      </c>
      <c r="H825" t="s">
        <v>92</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134</v>
      </c>
      <c r="B826" t="s">
        <v>759</v>
      </c>
      <c r="C826" t="s">
        <v>88</v>
      </c>
      <c r="D826" t="s">
        <v>1383</v>
      </c>
      <c r="E826" t="s">
        <v>1353</v>
      </c>
      <c r="F826" t="s">
        <v>88</v>
      </c>
      <c r="G826" t="s">
        <v>88</v>
      </c>
      <c r="H826" t="s">
        <v>92</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134</v>
      </c>
      <c r="B827" t="s">
        <v>740</v>
      </c>
      <c r="C827" t="s">
        <v>88</v>
      </c>
      <c r="D827" t="s">
        <v>1383</v>
      </c>
      <c r="E827" t="s">
        <v>883</v>
      </c>
      <c r="F827" t="s">
        <v>88</v>
      </c>
      <c r="G827" t="s">
        <v>88</v>
      </c>
      <c r="H827" t="s">
        <v>92</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134</v>
      </c>
      <c r="B828" t="s">
        <v>1388</v>
      </c>
      <c r="C828" t="s">
        <v>88</v>
      </c>
      <c r="D828" t="s">
        <v>1389</v>
      </c>
      <c r="E828" t="s">
        <v>1353</v>
      </c>
      <c r="F828" t="s">
        <v>88</v>
      </c>
      <c r="G828" t="s">
        <v>88</v>
      </c>
      <c r="H828" t="s">
        <v>92</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134</v>
      </c>
      <c r="B829" t="s">
        <v>769</v>
      </c>
      <c r="C829" t="s">
        <v>88</v>
      </c>
      <c r="D829" t="s">
        <v>1390</v>
      </c>
      <c r="E829" t="s">
        <v>825</v>
      </c>
      <c r="F829" t="s">
        <v>88</v>
      </c>
      <c r="G829" t="s">
        <v>88</v>
      </c>
      <c r="H829" t="s">
        <v>92</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134</v>
      </c>
      <c r="B830" t="s">
        <v>743</v>
      </c>
      <c r="C830" t="s">
        <v>88</v>
      </c>
      <c r="D830" t="s">
        <v>1383</v>
      </c>
      <c r="E830" t="s">
        <v>883</v>
      </c>
      <c r="F830" t="s">
        <v>88</v>
      </c>
      <c r="G830" t="s">
        <v>88</v>
      </c>
      <c r="H830" t="s">
        <v>92</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134</v>
      </c>
      <c r="B831" t="s">
        <v>1391</v>
      </c>
      <c r="C831" t="s">
        <v>88</v>
      </c>
      <c r="D831" t="s">
        <v>1383</v>
      </c>
      <c r="E831" t="s">
        <v>844</v>
      </c>
      <c r="F831" t="s">
        <v>88</v>
      </c>
      <c r="G831" t="s">
        <v>88</v>
      </c>
      <c r="H831" t="s">
        <v>92</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134</v>
      </c>
      <c r="B832" t="s">
        <v>1392</v>
      </c>
      <c r="C832" t="s">
        <v>88</v>
      </c>
      <c r="D832" t="s">
        <v>1393</v>
      </c>
      <c r="E832" t="s">
        <v>844</v>
      </c>
      <c r="F832" t="s">
        <v>88</v>
      </c>
      <c r="G832" t="s">
        <v>88</v>
      </c>
      <c r="H832" t="s">
        <v>92</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134</v>
      </c>
      <c r="B833" t="s">
        <v>764</v>
      </c>
      <c r="C833" t="s">
        <v>88</v>
      </c>
      <c r="D833" t="s">
        <v>1383</v>
      </c>
      <c r="E833" t="s">
        <v>883</v>
      </c>
      <c r="F833" t="s">
        <v>88</v>
      </c>
      <c r="G833" t="s">
        <v>88</v>
      </c>
      <c r="H833" t="s">
        <v>92</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134</v>
      </c>
      <c r="B834" t="s">
        <v>876</v>
      </c>
      <c r="C834" t="s">
        <v>88</v>
      </c>
      <c r="D834" t="s">
        <v>1383</v>
      </c>
      <c r="E834" t="s">
        <v>1282</v>
      </c>
      <c r="F834" t="s">
        <v>88</v>
      </c>
      <c r="G834" t="s">
        <v>88</v>
      </c>
      <c r="H834" t="s">
        <v>92</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134</v>
      </c>
      <c r="B835" t="s">
        <v>1394</v>
      </c>
      <c r="C835" t="s">
        <v>88</v>
      </c>
      <c r="D835" t="s">
        <v>1373</v>
      </c>
      <c r="E835" t="s">
        <v>663</v>
      </c>
      <c r="F835" t="s">
        <v>88</v>
      </c>
      <c r="G835" t="s">
        <v>88</v>
      </c>
      <c r="H835" t="s">
        <v>92</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134</v>
      </c>
      <c r="B836" t="s">
        <v>1395</v>
      </c>
      <c r="C836" t="s">
        <v>88</v>
      </c>
      <c r="D836" t="s">
        <v>1373</v>
      </c>
      <c r="E836" t="s">
        <v>679</v>
      </c>
      <c r="F836" t="s">
        <v>88</v>
      </c>
      <c r="G836" t="s">
        <v>88</v>
      </c>
      <c r="H836" t="s">
        <v>92</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134</v>
      </c>
      <c r="B837" t="s">
        <v>736</v>
      </c>
      <c r="C837" t="s">
        <v>88</v>
      </c>
      <c r="D837" t="s">
        <v>1373</v>
      </c>
      <c r="E837" t="s">
        <v>679</v>
      </c>
      <c r="F837" t="s">
        <v>88</v>
      </c>
      <c r="G837" t="s">
        <v>88</v>
      </c>
      <c r="H837" t="s">
        <v>92</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134</v>
      </c>
      <c r="B838" t="s">
        <v>923</v>
      </c>
      <c r="C838" t="s">
        <v>88</v>
      </c>
      <c r="D838" t="s">
        <v>1373</v>
      </c>
      <c r="E838" t="s">
        <v>679</v>
      </c>
      <c r="F838" t="s">
        <v>88</v>
      </c>
      <c r="G838" t="s">
        <v>88</v>
      </c>
      <c r="H838" t="s">
        <v>92</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134</v>
      </c>
      <c r="B839" t="s">
        <v>1396</v>
      </c>
      <c r="C839" t="s">
        <v>88</v>
      </c>
      <c r="D839" t="s">
        <v>1373</v>
      </c>
      <c r="E839" t="s">
        <v>663</v>
      </c>
      <c r="F839" t="s">
        <v>88</v>
      </c>
      <c r="G839" t="s">
        <v>88</v>
      </c>
      <c r="H839" t="s">
        <v>92</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134</v>
      </c>
      <c r="B840" t="s">
        <v>739</v>
      </c>
      <c r="C840" t="s">
        <v>88</v>
      </c>
      <c r="D840" t="s">
        <v>1373</v>
      </c>
      <c r="E840" t="s">
        <v>780</v>
      </c>
      <c r="F840" t="s">
        <v>88</v>
      </c>
      <c r="G840" t="s">
        <v>88</v>
      </c>
      <c r="H840" t="s">
        <v>92</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134</v>
      </c>
      <c r="B841" t="s">
        <v>1397</v>
      </c>
      <c r="C841" t="s">
        <v>88</v>
      </c>
      <c r="D841" t="s">
        <v>88</v>
      </c>
      <c r="E841" t="s">
        <v>709</v>
      </c>
      <c r="F841" t="s">
        <v>88</v>
      </c>
      <c r="G841" t="s">
        <v>88</v>
      </c>
      <c r="H841" t="s">
        <v>92</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134</v>
      </c>
      <c r="B842" t="s">
        <v>1398</v>
      </c>
      <c r="C842" t="s">
        <v>88</v>
      </c>
      <c r="D842" t="s">
        <v>88</v>
      </c>
      <c r="E842" t="s">
        <v>780</v>
      </c>
      <c r="F842" t="s">
        <v>88</v>
      </c>
      <c r="G842" t="s">
        <v>88</v>
      </c>
      <c r="H842" t="s">
        <v>92</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134</v>
      </c>
      <c r="B843" t="s">
        <v>701</v>
      </c>
      <c r="C843" t="s">
        <v>88</v>
      </c>
      <c r="D843" t="s">
        <v>88</v>
      </c>
      <c r="E843" t="s">
        <v>734</v>
      </c>
      <c r="F843" t="s">
        <v>88</v>
      </c>
      <c r="G843" t="s">
        <v>88</v>
      </c>
      <c r="H843" t="s">
        <v>92</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134</v>
      </c>
      <c r="B844" t="s">
        <v>704</v>
      </c>
      <c r="C844" t="s">
        <v>88</v>
      </c>
      <c r="D844" t="s">
        <v>88</v>
      </c>
      <c r="E844" t="s">
        <v>734</v>
      </c>
      <c r="F844" t="s">
        <v>88</v>
      </c>
      <c r="G844" t="s">
        <v>88</v>
      </c>
      <c r="H844" t="s">
        <v>92</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134</v>
      </c>
      <c r="B845" t="s">
        <v>705</v>
      </c>
      <c r="C845" t="s">
        <v>88</v>
      </c>
      <c r="D845" t="s">
        <v>88</v>
      </c>
      <c r="E845" t="s">
        <v>734</v>
      </c>
      <c r="F845" t="s">
        <v>88</v>
      </c>
      <c r="G845" t="s">
        <v>88</v>
      </c>
      <c r="H845" t="s">
        <v>92</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134</v>
      </c>
      <c r="B846" t="s">
        <v>706</v>
      </c>
      <c r="C846" t="s">
        <v>88</v>
      </c>
      <c r="D846" t="s">
        <v>88</v>
      </c>
      <c r="E846" t="s">
        <v>734</v>
      </c>
      <c r="F846" t="s">
        <v>88</v>
      </c>
      <c r="G846" t="s">
        <v>88</v>
      </c>
      <c r="H846" t="s">
        <v>92</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134</v>
      </c>
      <c r="B847" t="s">
        <v>708</v>
      </c>
      <c r="C847" t="s">
        <v>88</v>
      </c>
      <c r="D847" t="s">
        <v>88</v>
      </c>
      <c r="E847" t="s">
        <v>734</v>
      </c>
      <c r="F847" t="s">
        <v>88</v>
      </c>
      <c r="G847" t="s">
        <v>88</v>
      </c>
      <c r="H847" t="s">
        <v>92</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134</v>
      </c>
      <c r="B848" t="s">
        <v>846</v>
      </c>
      <c r="C848" t="s">
        <v>88</v>
      </c>
      <c r="D848" t="s">
        <v>88</v>
      </c>
      <c r="E848" t="s">
        <v>709</v>
      </c>
      <c r="F848" t="s">
        <v>88</v>
      </c>
      <c r="G848" t="s">
        <v>88</v>
      </c>
      <c r="H848" t="s">
        <v>92</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134</v>
      </c>
      <c r="B849" t="s">
        <v>618</v>
      </c>
      <c r="C849" t="s">
        <v>88</v>
      </c>
      <c r="D849" t="s">
        <v>88</v>
      </c>
      <c r="E849" t="s">
        <v>711</v>
      </c>
      <c r="F849" t="s">
        <v>88</v>
      </c>
      <c r="G849" t="s">
        <v>88</v>
      </c>
      <c r="H849" t="s">
        <v>92</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134</v>
      </c>
      <c r="B850" t="s">
        <v>1399</v>
      </c>
      <c r="C850" t="s">
        <v>88</v>
      </c>
      <c r="D850" t="s">
        <v>88</v>
      </c>
      <c r="E850" t="s">
        <v>711</v>
      </c>
      <c r="F850" t="s">
        <v>88</v>
      </c>
      <c r="G850" t="s">
        <v>88</v>
      </c>
      <c r="H850" t="s">
        <v>92</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134</v>
      </c>
      <c r="B851" t="s">
        <v>620</v>
      </c>
      <c r="C851" t="s">
        <v>88</v>
      </c>
      <c r="D851" t="s">
        <v>88</v>
      </c>
      <c r="E851" t="s">
        <v>711</v>
      </c>
      <c r="F851" t="s">
        <v>88</v>
      </c>
      <c r="G851" t="s">
        <v>88</v>
      </c>
      <c r="H851" t="s">
        <v>92</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134</v>
      </c>
      <c r="B852" t="s">
        <v>622</v>
      </c>
      <c r="C852" t="s">
        <v>88</v>
      </c>
      <c r="D852" t="s">
        <v>88</v>
      </c>
      <c r="E852" t="s">
        <v>735</v>
      </c>
      <c r="F852" t="s">
        <v>88</v>
      </c>
      <c r="G852" t="s">
        <v>88</v>
      </c>
      <c r="H852" t="s">
        <v>92</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134</v>
      </c>
      <c r="B853" t="s">
        <v>623</v>
      </c>
      <c r="C853" t="s">
        <v>88</v>
      </c>
      <c r="D853" t="s">
        <v>88</v>
      </c>
      <c r="E853" t="s">
        <v>735</v>
      </c>
      <c r="F853" t="s">
        <v>88</v>
      </c>
      <c r="G853" t="s">
        <v>88</v>
      </c>
      <c r="H853" t="s">
        <v>92</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134</v>
      </c>
      <c r="B854" t="s">
        <v>1400</v>
      </c>
      <c r="C854" t="s">
        <v>88</v>
      </c>
      <c r="D854" t="s">
        <v>1401</v>
      </c>
      <c r="E854" t="s">
        <v>838</v>
      </c>
      <c r="F854" t="s">
        <v>88</v>
      </c>
      <c r="G854" t="s">
        <v>88</v>
      </c>
      <c r="H854" t="s">
        <v>92</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134</v>
      </c>
      <c r="B855" t="s">
        <v>1234</v>
      </c>
      <c r="C855" t="s">
        <v>88</v>
      </c>
      <c r="D855" t="s">
        <v>1401</v>
      </c>
      <c r="E855" t="s">
        <v>964</v>
      </c>
      <c r="F855" t="s">
        <v>88</v>
      </c>
      <c r="G855" t="s">
        <v>88</v>
      </c>
      <c r="H855" t="s">
        <v>92</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134</v>
      </c>
      <c r="B856" t="s">
        <v>1237</v>
      </c>
      <c r="C856" t="s">
        <v>88</v>
      </c>
      <c r="D856" t="s">
        <v>1401</v>
      </c>
      <c r="E856" t="s">
        <v>964</v>
      </c>
      <c r="F856" t="s">
        <v>88</v>
      </c>
      <c r="G856" t="s">
        <v>88</v>
      </c>
      <c r="H856" t="s">
        <v>92</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134</v>
      </c>
      <c r="B857" t="s">
        <v>1402</v>
      </c>
      <c r="C857" t="s">
        <v>88</v>
      </c>
      <c r="D857" t="s">
        <v>1403</v>
      </c>
      <c r="E857" t="s">
        <v>964</v>
      </c>
      <c r="F857" t="s">
        <v>88</v>
      </c>
      <c r="G857" t="s">
        <v>88</v>
      </c>
      <c r="H857" t="s">
        <v>92</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134</v>
      </c>
      <c r="B858" t="s">
        <v>625</v>
      </c>
      <c r="C858" t="s">
        <v>88</v>
      </c>
      <c r="D858" t="s">
        <v>88</v>
      </c>
      <c r="E858" t="s">
        <v>626</v>
      </c>
      <c r="F858" t="s">
        <v>88</v>
      </c>
      <c r="G858" t="s">
        <v>88</v>
      </c>
      <c r="H858" t="s">
        <v>92</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136</v>
      </c>
      <c r="B859" t="s">
        <v>1404</v>
      </c>
      <c r="C859" t="s">
        <v>88</v>
      </c>
      <c r="D859" t="s">
        <v>1405</v>
      </c>
      <c r="E859" t="s">
        <v>1406</v>
      </c>
      <c r="F859" t="s">
        <v>88</v>
      </c>
      <c r="G859" t="s">
        <v>88</v>
      </c>
      <c r="H859" t="s">
        <v>92</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136</v>
      </c>
      <c r="B860" t="s">
        <v>1407</v>
      </c>
      <c r="C860" t="s">
        <v>88</v>
      </c>
      <c r="D860" t="s">
        <v>1408</v>
      </c>
      <c r="E860" t="s">
        <v>1406</v>
      </c>
      <c r="F860" t="s">
        <v>88</v>
      </c>
      <c r="G860" t="s">
        <v>88</v>
      </c>
      <c r="H860" t="s">
        <v>92</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136</v>
      </c>
      <c r="B861" t="s">
        <v>1409</v>
      </c>
      <c r="C861" t="s">
        <v>88</v>
      </c>
      <c r="D861" t="s">
        <v>1410</v>
      </c>
      <c r="E861" t="s">
        <v>1411</v>
      </c>
      <c r="F861" t="s">
        <v>88</v>
      </c>
      <c r="G861" t="s">
        <v>88</v>
      </c>
      <c r="H861" t="s">
        <v>92</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136</v>
      </c>
      <c r="B862" t="s">
        <v>1412</v>
      </c>
      <c r="C862" t="s">
        <v>88</v>
      </c>
      <c r="D862" t="s">
        <v>1413</v>
      </c>
      <c r="E862" t="s">
        <v>1414</v>
      </c>
      <c r="F862" t="s">
        <v>88</v>
      </c>
      <c r="G862" t="s">
        <v>88</v>
      </c>
      <c r="H862" t="s">
        <v>92</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136</v>
      </c>
      <c r="B863" t="s">
        <v>1415</v>
      </c>
      <c r="C863" t="s">
        <v>88</v>
      </c>
      <c r="D863" t="s">
        <v>1416</v>
      </c>
      <c r="E863" t="s">
        <v>1417</v>
      </c>
      <c r="F863" t="s">
        <v>88</v>
      </c>
      <c r="G863" t="s">
        <v>88</v>
      </c>
      <c r="H863" t="s">
        <v>92</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136</v>
      </c>
      <c r="B864" t="s">
        <v>1418</v>
      </c>
      <c r="C864" t="s">
        <v>88</v>
      </c>
      <c r="D864" t="s">
        <v>1419</v>
      </c>
      <c r="E864" t="s">
        <v>1420</v>
      </c>
      <c r="F864" t="s">
        <v>88</v>
      </c>
      <c r="G864" t="s">
        <v>88</v>
      </c>
      <c r="H864" t="s">
        <v>92</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136</v>
      </c>
      <c r="B865" t="s">
        <v>1421</v>
      </c>
      <c r="C865" t="s">
        <v>88</v>
      </c>
      <c r="D865" t="s">
        <v>1422</v>
      </c>
      <c r="E865" t="s">
        <v>1420</v>
      </c>
      <c r="F865" t="s">
        <v>88</v>
      </c>
      <c r="G865" t="s">
        <v>88</v>
      </c>
      <c r="H865" t="s">
        <v>92</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136</v>
      </c>
      <c r="B866" t="s">
        <v>1423</v>
      </c>
      <c r="C866" t="s">
        <v>88</v>
      </c>
      <c r="D866" t="s">
        <v>1419</v>
      </c>
      <c r="E866" t="s">
        <v>1420</v>
      </c>
      <c r="F866" t="s">
        <v>88</v>
      </c>
      <c r="G866" t="s">
        <v>88</v>
      </c>
      <c r="H866" t="s">
        <v>92</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136</v>
      </c>
      <c r="B867" t="s">
        <v>1424</v>
      </c>
      <c r="C867" t="s">
        <v>88</v>
      </c>
      <c r="D867" t="s">
        <v>1419</v>
      </c>
      <c r="E867" t="s">
        <v>1420</v>
      </c>
      <c r="F867" t="s">
        <v>88</v>
      </c>
      <c r="G867" t="s">
        <v>88</v>
      </c>
      <c r="H867" t="s">
        <v>92</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136</v>
      </c>
      <c r="B868" t="s">
        <v>1425</v>
      </c>
      <c r="C868" t="s">
        <v>88</v>
      </c>
      <c r="D868" t="s">
        <v>1426</v>
      </c>
      <c r="E868" t="s">
        <v>1427</v>
      </c>
      <c r="F868" t="s">
        <v>88</v>
      </c>
      <c r="G868" t="s">
        <v>88</v>
      </c>
      <c r="H868" t="s">
        <v>92</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136</v>
      </c>
      <c r="B869" t="s">
        <v>1428</v>
      </c>
      <c r="C869" t="s">
        <v>88</v>
      </c>
      <c r="D869" t="s">
        <v>1429</v>
      </c>
      <c r="E869" t="s">
        <v>1430</v>
      </c>
      <c r="F869" t="s">
        <v>88</v>
      </c>
      <c r="G869" t="s">
        <v>88</v>
      </c>
      <c r="H869" t="s">
        <v>92</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136</v>
      </c>
      <c r="B870" t="s">
        <v>1431</v>
      </c>
      <c r="C870" t="s">
        <v>88</v>
      </c>
      <c r="D870" t="s">
        <v>1432</v>
      </c>
      <c r="E870" t="s">
        <v>1433</v>
      </c>
      <c r="F870" t="s">
        <v>88</v>
      </c>
      <c r="G870" t="s">
        <v>88</v>
      </c>
      <c r="H870" t="s">
        <v>92</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136</v>
      </c>
      <c r="B871" t="s">
        <v>1434</v>
      </c>
      <c r="C871" t="s">
        <v>88</v>
      </c>
      <c r="D871" t="s">
        <v>1435</v>
      </c>
      <c r="E871" t="s">
        <v>1436</v>
      </c>
      <c r="F871" t="s">
        <v>88</v>
      </c>
      <c r="G871" t="s">
        <v>88</v>
      </c>
      <c r="H871" t="s">
        <v>92</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136</v>
      </c>
      <c r="B872" t="s">
        <v>1437</v>
      </c>
      <c r="C872" t="s">
        <v>88</v>
      </c>
      <c r="D872" t="s">
        <v>1438</v>
      </c>
      <c r="E872" t="s">
        <v>1406</v>
      </c>
      <c r="F872" t="s">
        <v>88</v>
      </c>
      <c r="G872" t="s">
        <v>88</v>
      </c>
      <c r="H872" t="s">
        <v>92</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136</v>
      </c>
      <c r="B873" t="s">
        <v>1439</v>
      </c>
      <c r="C873" t="s">
        <v>88</v>
      </c>
      <c r="D873" t="s">
        <v>1440</v>
      </c>
      <c r="E873" t="s">
        <v>1441</v>
      </c>
      <c r="F873" t="s">
        <v>88</v>
      </c>
      <c r="G873" t="s">
        <v>88</v>
      </c>
      <c r="H873" t="s">
        <v>92</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136</v>
      </c>
      <c r="B874" t="s">
        <v>1442</v>
      </c>
      <c r="C874" t="s">
        <v>88</v>
      </c>
      <c r="D874" t="s">
        <v>1443</v>
      </c>
      <c r="E874" t="s">
        <v>1414</v>
      </c>
      <c r="F874" t="s">
        <v>88</v>
      </c>
      <c r="G874" t="s">
        <v>88</v>
      </c>
      <c r="H874" t="s">
        <v>92</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136</v>
      </c>
      <c r="B875" t="s">
        <v>1444</v>
      </c>
      <c r="C875" t="s">
        <v>88</v>
      </c>
      <c r="D875" t="s">
        <v>1445</v>
      </c>
      <c r="E875" t="s">
        <v>1446</v>
      </c>
      <c r="F875" t="s">
        <v>88</v>
      </c>
      <c r="G875" t="s">
        <v>88</v>
      </c>
      <c r="H875" t="s">
        <v>92</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136</v>
      </c>
      <c r="B876" t="s">
        <v>1447</v>
      </c>
      <c r="C876" t="s">
        <v>88</v>
      </c>
      <c r="D876" t="s">
        <v>1448</v>
      </c>
      <c r="E876" t="s">
        <v>1449</v>
      </c>
      <c r="F876" t="s">
        <v>88</v>
      </c>
      <c r="G876" t="s">
        <v>88</v>
      </c>
      <c r="H876" t="s">
        <v>92</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136</v>
      </c>
      <c r="B877" t="s">
        <v>1450</v>
      </c>
      <c r="C877" t="s">
        <v>88</v>
      </c>
      <c r="D877" t="s">
        <v>1451</v>
      </c>
      <c r="E877" t="s">
        <v>1452</v>
      </c>
      <c r="F877" t="s">
        <v>88</v>
      </c>
      <c r="G877" t="s">
        <v>88</v>
      </c>
      <c r="H877" t="s">
        <v>92</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136</v>
      </c>
      <c r="B878" t="s">
        <v>1453</v>
      </c>
      <c r="C878" t="s">
        <v>88</v>
      </c>
      <c r="D878" t="s">
        <v>1454</v>
      </c>
      <c r="E878" t="s">
        <v>1052</v>
      </c>
      <c r="F878" t="s">
        <v>88</v>
      </c>
      <c r="G878" t="s">
        <v>88</v>
      </c>
      <c r="H878" t="s">
        <v>92</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136</v>
      </c>
      <c r="B879" t="s">
        <v>1455</v>
      </c>
      <c r="C879" t="s">
        <v>88</v>
      </c>
      <c r="D879" t="s">
        <v>1456</v>
      </c>
      <c r="E879" t="s">
        <v>1414</v>
      </c>
      <c r="F879" t="s">
        <v>88</v>
      </c>
      <c r="G879" t="s">
        <v>88</v>
      </c>
      <c r="H879" t="s">
        <v>92</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136</v>
      </c>
      <c r="B880" t="s">
        <v>1457</v>
      </c>
      <c r="C880" t="s">
        <v>88</v>
      </c>
      <c r="D880" t="s">
        <v>1458</v>
      </c>
      <c r="E880" t="s">
        <v>1459</v>
      </c>
      <c r="F880" t="s">
        <v>88</v>
      </c>
      <c r="G880" t="s">
        <v>88</v>
      </c>
      <c r="H880" t="s">
        <v>92</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136</v>
      </c>
      <c r="B881" t="s">
        <v>1460</v>
      </c>
      <c r="C881" t="s">
        <v>88</v>
      </c>
      <c r="D881" t="s">
        <v>1461</v>
      </c>
      <c r="E881" t="s">
        <v>1462</v>
      </c>
      <c r="F881" t="s">
        <v>88</v>
      </c>
      <c r="G881" t="s">
        <v>88</v>
      </c>
      <c r="H881" t="s">
        <v>92</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136</v>
      </c>
      <c r="B882" t="s">
        <v>1463</v>
      </c>
      <c r="C882" t="s">
        <v>88</v>
      </c>
      <c r="D882" t="s">
        <v>1464</v>
      </c>
      <c r="E882" t="s">
        <v>1406</v>
      </c>
      <c r="F882" t="s">
        <v>88</v>
      </c>
      <c r="G882" t="s">
        <v>88</v>
      </c>
      <c r="H882" t="s">
        <v>92</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136</v>
      </c>
      <c r="B883" t="s">
        <v>1465</v>
      </c>
      <c r="C883" t="s">
        <v>88</v>
      </c>
      <c r="D883" t="s">
        <v>1466</v>
      </c>
      <c r="E883" t="s">
        <v>1414</v>
      </c>
      <c r="F883" t="s">
        <v>88</v>
      </c>
      <c r="G883" t="s">
        <v>88</v>
      </c>
      <c r="H883" t="s">
        <v>92</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136</v>
      </c>
      <c r="B884" t="s">
        <v>1467</v>
      </c>
      <c r="C884" t="s">
        <v>88</v>
      </c>
      <c r="D884" t="s">
        <v>1468</v>
      </c>
      <c r="E884" t="s">
        <v>1459</v>
      </c>
      <c r="F884" t="s">
        <v>88</v>
      </c>
      <c r="G884" t="s">
        <v>88</v>
      </c>
      <c r="H884" t="s">
        <v>92</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136</v>
      </c>
      <c r="B885" t="s">
        <v>1469</v>
      </c>
      <c r="C885" t="s">
        <v>88</v>
      </c>
      <c r="D885" t="s">
        <v>1470</v>
      </c>
      <c r="E885" t="s">
        <v>1459</v>
      </c>
      <c r="F885" t="s">
        <v>88</v>
      </c>
      <c r="G885" t="s">
        <v>88</v>
      </c>
      <c r="H885" t="s">
        <v>92</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136</v>
      </c>
      <c r="B886" t="s">
        <v>1471</v>
      </c>
      <c r="C886" t="s">
        <v>88</v>
      </c>
      <c r="D886" t="s">
        <v>1472</v>
      </c>
      <c r="E886" t="s">
        <v>1406</v>
      </c>
      <c r="F886" t="s">
        <v>88</v>
      </c>
      <c r="G886" t="s">
        <v>88</v>
      </c>
      <c r="H886" t="s">
        <v>92</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136</v>
      </c>
      <c r="B887" t="s">
        <v>1473</v>
      </c>
      <c r="C887" t="s">
        <v>88</v>
      </c>
      <c r="D887" t="s">
        <v>1474</v>
      </c>
      <c r="E887" t="s">
        <v>1475</v>
      </c>
      <c r="F887" t="s">
        <v>88</v>
      </c>
      <c r="G887" t="s">
        <v>88</v>
      </c>
      <c r="H887" t="s">
        <v>92</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136</v>
      </c>
      <c r="B888" t="s">
        <v>1476</v>
      </c>
      <c r="C888" t="s">
        <v>88</v>
      </c>
      <c r="D888" t="s">
        <v>1477</v>
      </c>
      <c r="E888" t="s">
        <v>1478</v>
      </c>
      <c r="F888" t="s">
        <v>88</v>
      </c>
      <c r="G888" t="s">
        <v>88</v>
      </c>
      <c r="H888" t="s">
        <v>92</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136</v>
      </c>
      <c r="B889" t="s">
        <v>1479</v>
      </c>
      <c r="C889" t="s">
        <v>88</v>
      </c>
      <c r="D889" t="s">
        <v>1480</v>
      </c>
      <c r="E889" t="s">
        <v>1481</v>
      </c>
      <c r="F889" t="s">
        <v>88</v>
      </c>
      <c r="G889" t="s">
        <v>88</v>
      </c>
      <c r="H889" t="s">
        <v>92</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136</v>
      </c>
      <c r="B890" t="s">
        <v>1482</v>
      </c>
      <c r="C890" t="s">
        <v>88</v>
      </c>
      <c r="D890" t="s">
        <v>1483</v>
      </c>
      <c r="E890" t="s">
        <v>1484</v>
      </c>
      <c r="F890" t="s">
        <v>88</v>
      </c>
      <c r="G890" t="s">
        <v>88</v>
      </c>
      <c r="H890" t="s">
        <v>92</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136</v>
      </c>
      <c r="B891" t="s">
        <v>1485</v>
      </c>
      <c r="C891" t="s">
        <v>88</v>
      </c>
      <c r="D891" t="s">
        <v>1486</v>
      </c>
      <c r="E891" t="s">
        <v>1487</v>
      </c>
      <c r="F891" t="s">
        <v>88</v>
      </c>
      <c r="G891" t="s">
        <v>88</v>
      </c>
      <c r="H891" t="s">
        <v>92</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136</v>
      </c>
      <c r="B892" t="s">
        <v>1488</v>
      </c>
      <c r="C892" t="s">
        <v>88</v>
      </c>
      <c r="D892" t="s">
        <v>1489</v>
      </c>
      <c r="E892" t="s">
        <v>1490</v>
      </c>
      <c r="F892" t="s">
        <v>88</v>
      </c>
      <c r="G892" t="s">
        <v>88</v>
      </c>
      <c r="H892" t="s">
        <v>92</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136</v>
      </c>
      <c r="B893" t="s">
        <v>1491</v>
      </c>
      <c r="C893" t="s">
        <v>88</v>
      </c>
      <c r="D893" t="s">
        <v>1492</v>
      </c>
      <c r="E893" t="s">
        <v>1414</v>
      </c>
      <c r="F893" t="s">
        <v>88</v>
      </c>
      <c r="G893" t="s">
        <v>88</v>
      </c>
      <c r="H893" t="s">
        <v>92</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136</v>
      </c>
      <c r="B894" t="s">
        <v>1493</v>
      </c>
      <c r="C894" t="s">
        <v>88</v>
      </c>
      <c r="D894" t="s">
        <v>1494</v>
      </c>
      <c r="E894" t="s">
        <v>1495</v>
      </c>
      <c r="F894" t="s">
        <v>88</v>
      </c>
      <c r="G894" t="s">
        <v>88</v>
      </c>
      <c r="H894" t="s">
        <v>92</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136</v>
      </c>
      <c r="B895" t="s">
        <v>1496</v>
      </c>
      <c r="C895" t="s">
        <v>88</v>
      </c>
      <c r="D895" t="s">
        <v>1497</v>
      </c>
      <c r="E895" t="s">
        <v>1481</v>
      </c>
      <c r="F895" t="s">
        <v>88</v>
      </c>
      <c r="G895" t="s">
        <v>88</v>
      </c>
      <c r="H895" t="s">
        <v>92</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136</v>
      </c>
      <c r="B896" t="s">
        <v>1498</v>
      </c>
      <c r="C896" t="s">
        <v>88</v>
      </c>
      <c r="D896" t="s">
        <v>1499</v>
      </c>
      <c r="E896" t="s">
        <v>1484</v>
      </c>
      <c r="F896" t="s">
        <v>88</v>
      </c>
      <c r="G896" t="s">
        <v>88</v>
      </c>
      <c r="H896" t="s">
        <v>92</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136</v>
      </c>
      <c r="B897" t="s">
        <v>1500</v>
      </c>
      <c r="C897" t="s">
        <v>88</v>
      </c>
      <c r="D897" t="s">
        <v>1501</v>
      </c>
      <c r="E897" t="s">
        <v>1481</v>
      </c>
      <c r="F897" t="s">
        <v>88</v>
      </c>
      <c r="G897" t="s">
        <v>88</v>
      </c>
      <c r="H897" t="s">
        <v>92</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136</v>
      </c>
      <c r="B898" t="s">
        <v>1502</v>
      </c>
      <c r="C898" t="s">
        <v>88</v>
      </c>
      <c r="D898" t="s">
        <v>1503</v>
      </c>
      <c r="E898" t="s">
        <v>1478</v>
      </c>
      <c r="F898" t="s">
        <v>88</v>
      </c>
      <c r="G898" t="s">
        <v>88</v>
      </c>
      <c r="H898" t="s">
        <v>92</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136</v>
      </c>
      <c r="B899" t="s">
        <v>1504</v>
      </c>
      <c r="C899" t="s">
        <v>88</v>
      </c>
      <c r="D899" t="s">
        <v>1505</v>
      </c>
      <c r="E899" t="s">
        <v>1506</v>
      </c>
      <c r="F899" t="s">
        <v>88</v>
      </c>
      <c r="G899" t="s">
        <v>88</v>
      </c>
      <c r="H899" t="s">
        <v>92</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136</v>
      </c>
      <c r="B900" t="s">
        <v>1507</v>
      </c>
      <c r="C900" t="s">
        <v>88</v>
      </c>
      <c r="D900" t="s">
        <v>1508</v>
      </c>
      <c r="E900" t="s">
        <v>1509</v>
      </c>
      <c r="F900" t="s">
        <v>88</v>
      </c>
      <c r="G900" t="s">
        <v>88</v>
      </c>
      <c r="H900" t="s">
        <v>92</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136</v>
      </c>
      <c r="B901" t="s">
        <v>1510</v>
      </c>
      <c r="C901" t="s">
        <v>88</v>
      </c>
      <c r="D901" t="s">
        <v>1511</v>
      </c>
      <c r="E901" t="s">
        <v>1478</v>
      </c>
      <c r="F901" t="s">
        <v>88</v>
      </c>
      <c r="G901" t="s">
        <v>88</v>
      </c>
      <c r="H901" t="s">
        <v>92</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136</v>
      </c>
      <c r="B902" t="s">
        <v>1512</v>
      </c>
      <c r="C902" t="s">
        <v>88</v>
      </c>
      <c r="D902" t="s">
        <v>1513</v>
      </c>
      <c r="E902" t="s">
        <v>1452</v>
      </c>
      <c r="F902" t="s">
        <v>88</v>
      </c>
      <c r="G902" t="s">
        <v>88</v>
      </c>
      <c r="H902" t="s">
        <v>92</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136</v>
      </c>
      <c r="B903" t="s">
        <v>1514</v>
      </c>
      <c r="C903" t="s">
        <v>88</v>
      </c>
      <c r="D903" t="s">
        <v>1515</v>
      </c>
      <c r="E903" t="s">
        <v>1417</v>
      </c>
      <c r="F903" t="s">
        <v>88</v>
      </c>
      <c r="G903" t="s">
        <v>88</v>
      </c>
      <c r="H903" t="s">
        <v>92</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136</v>
      </c>
      <c r="B904" t="s">
        <v>1516</v>
      </c>
      <c r="C904" t="s">
        <v>88</v>
      </c>
      <c r="D904" t="s">
        <v>1517</v>
      </c>
      <c r="E904" t="s">
        <v>1518</v>
      </c>
      <c r="F904" t="s">
        <v>88</v>
      </c>
      <c r="G904" t="s">
        <v>88</v>
      </c>
      <c r="H904" t="s">
        <v>92</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136</v>
      </c>
      <c r="B905" t="s">
        <v>1519</v>
      </c>
      <c r="C905" t="s">
        <v>88</v>
      </c>
      <c r="D905" t="s">
        <v>1520</v>
      </c>
      <c r="E905" t="s">
        <v>1495</v>
      </c>
      <c r="F905" t="s">
        <v>88</v>
      </c>
      <c r="G905" t="s">
        <v>88</v>
      </c>
      <c r="H905" t="s">
        <v>92</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136</v>
      </c>
      <c r="B906" t="s">
        <v>1521</v>
      </c>
      <c r="C906" t="s">
        <v>88</v>
      </c>
      <c r="D906" t="s">
        <v>1522</v>
      </c>
      <c r="E906" t="s">
        <v>1523</v>
      </c>
      <c r="F906" t="s">
        <v>88</v>
      </c>
      <c r="G906" t="s">
        <v>88</v>
      </c>
      <c r="H906" t="s">
        <v>92</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136</v>
      </c>
      <c r="B907" t="s">
        <v>1524</v>
      </c>
      <c r="C907" t="s">
        <v>88</v>
      </c>
      <c r="D907" t="s">
        <v>1525</v>
      </c>
      <c r="E907" t="s">
        <v>1526</v>
      </c>
      <c r="F907" t="s">
        <v>88</v>
      </c>
      <c r="G907" t="s">
        <v>88</v>
      </c>
      <c r="H907" t="s">
        <v>92</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136</v>
      </c>
      <c r="B908" t="s">
        <v>1527</v>
      </c>
      <c r="C908" t="s">
        <v>88</v>
      </c>
      <c r="D908" t="s">
        <v>1528</v>
      </c>
      <c r="E908" t="s">
        <v>1523</v>
      </c>
      <c r="F908" t="s">
        <v>88</v>
      </c>
      <c r="G908" t="s">
        <v>88</v>
      </c>
      <c r="H908" t="s">
        <v>92</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136</v>
      </c>
      <c r="B909" t="s">
        <v>1529</v>
      </c>
      <c r="C909" t="s">
        <v>88</v>
      </c>
      <c r="D909" t="s">
        <v>1530</v>
      </c>
      <c r="E909" t="s">
        <v>1531</v>
      </c>
      <c r="F909" t="s">
        <v>88</v>
      </c>
      <c r="G909" t="s">
        <v>88</v>
      </c>
      <c r="H909" t="s">
        <v>92</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136</v>
      </c>
      <c r="B910" t="s">
        <v>1532</v>
      </c>
      <c r="C910" t="s">
        <v>88</v>
      </c>
      <c r="D910" t="s">
        <v>1533</v>
      </c>
      <c r="E910" t="s">
        <v>1490</v>
      </c>
      <c r="F910" t="s">
        <v>88</v>
      </c>
      <c r="G910" t="s">
        <v>88</v>
      </c>
      <c r="H910" t="s">
        <v>92</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136</v>
      </c>
      <c r="B911" t="s">
        <v>1534</v>
      </c>
      <c r="C911" t="s">
        <v>88</v>
      </c>
      <c r="D911" t="s">
        <v>1535</v>
      </c>
      <c r="E911" t="s">
        <v>1481</v>
      </c>
      <c r="F911" t="s">
        <v>88</v>
      </c>
      <c r="G911" t="s">
        <v>88</v>
      </c>
      <c r="H911" t="s">
        <v>92</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136</v>
      </c>
      <c r="B912" t="s">
        <v>1536</v>
      </c>
      <c r="C912" t="s">
        <v>88</v>
      </c>
      <c r="D912" t="s">
        <v>1537</v>
      </c>
      <c r="E912" t="s">
        <v>1052</v>
      </c>
      <c r="F912" t="s">
        <v>88</v>
      </c>
      <c r="G912" t="s">
        <v>88</v>
      </c>
      <c r="H912" t="s">
        <v>92</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136</v>
      </c>
      <c r="B913" t="s">
        <v>1538</v>
      </c>
      <c r="C913" t="s">
        <v>88</v>
      </c>
      <c r="D913" t="s">
        <v>1539</v>
      </c>
      <c r="E913" t="s">
        <v>1475</v>
      </c>
      <c r="F913" t="s">
        <v>88</v>
      </c>
      <c r="G913" t="s">
        <v>88</v>
      </c>
      <c r="H913" t="s">
        <v>92</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136</v>
      </c>
      <c r="B914" t="s">
        <v>1540</v>
      </c>
      <c r="C914" t="s">
        <v>88</v>
      </c>
      <c r="D914" t="s">
        <v>1541</v>
      </c>
      <c r="E914" t="s">
        <v>1490</v>
      </c>
      <c r="F914" t="s">
        <v>88</v>
      </c>
      <c r="G914" t="s">
        <v>88</v>
      </c>
      <c r="H914" t="s">
        <v>92</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136</v>
      </c>
      <c r="B915" t="s">
        <v>1542</v>
      </c>
      <c r="C915" t="s">
        <v>88</v>
      </c>
      <c r="D915" t="s">
        <v>1543</v>
      </c>
      <c r="E915" t="s">
        <v>1481</v>
      </c>
      <c r="F915" t="s">
        <v>88</v>
      </c>
      <c r="G915" t="s">
        <v>88</v>
      </c>
      <c r="H915" t="s">
        <v>92</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136</v>
      </c>
      <c r="B916" t="s">
        <v>1544</v>
      </c>
      <c r="C916" t="s">
        <v>88</v>
      </c>
      <c r="D916" t="s">
        <v>1545</v>
      </c>
      <c r="E916" t="s">
        <v>1481</v>
      </c>
      <c r="F916" t="s">
        <v>88</v>
      </c>
      <c r="G916" t="s">
        <v>88</v>
      </c>
      <c r="H916" t="s">
        <v>92</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136</v>
      </c>
      <c r="B917" t="s">
        <v>1546</v>
      </c>
      <c r="C917" t="s">
        <v>88</v>
      </c>
      <c r="D917" t="s">
        <v>1545</v>
      </c>
      <c r="E917" t="s">
        <v>1475</v>
      </c>
      <c r="F917" t="s">
        <v>88</v>
      </c>
      <c r="G917" t="s">
        <v>88</v>
      </c>
      <c r="H917" t="s">
        <v>92</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136</v>
      </c>
      <c r="B918" t="s">
        <v>1547</v>
      </c>
      <c r="C918" t="s">
        <v>88</v>
      </c>
      <c r="D918" t="s">
        <v>1548</v>
      </c>
      <c r="E918" t="s">
        <v>1518</v>
      </c>
      <c r="F918" t="s">
        <v>88</v>
      </c>
      <c r="G918" t="s">
        <v>88</v>
      </c>
      <c r="H918" t="s">
        <v>92</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136</v>
      </c>
      <c r="B919" t="s">
        <v>1549</v>
      </c>
      <c r="C919" t="s">
        <v>88</v>
      </c>
      <c r="D919" t="s">
        <v>1550</v>
      </c>
      <c r="E919" t="s">
        <v>1506</v>
      </c>
      <c r="F919" t="s">
        <v>88</v>
      </c>
      <c r="G919" t="s">
        <v>88</v>
      </c>
      <c r="H919" t="s">
        <v>92</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136</v>
      </c>
      <c r="B920" t="s">
        <v>1551</v>
      </c>
      <c r="C920" t="s">
        <v>88</v>
      </c>
      <c r="D920" t="s">
        <v>1552</v>
      </c>
      <c r="E920" t="s">
        <v>1487</v>
      </c>
      <c r="F920" t="s">
        <v>88</v>
      </c>
      <c r="G920" t="s">
        <v>88</v>
      </c>
      <c r="H920" t="s">
        <v>92</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136</v>
      </c>
      <c r="B921" t="s">
        <v>1553</v>
      </c>
      <c r="C921" t="s">
        <v>88</v>
      </c>
      <c r="D921" t="s">
        <v>1554</v>
      </c>
      <c r="E921" t="s">
        <v>1487</v>
      </c>
      <c r="F921" t="s">
        <v>88</v>
      </c>
      <c r="G921" t="s">
        <v>88</v>
      </c>
      <c r="H921" t="s">
        <v>92</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136</v>
      </c>
      <c r="B922" t="s">
        <v>1555</v>
      </c>
      <c r="C922" t="s">
        <v>88</v>
      </c>
      <c r="D922" t="s">
        <v>1554</v>
      </c>
      <c r="E922" t="s">
        <v>1556</v>
      </c>
      <c r="F922" t="s">
        <v>88</v>
      </c>
      <c r="G922" t="s">
        <v>88</v>
      </c>
      <c r="H922" t="s">
        <v>92</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136</v>
      </c>
      <c r="B923" t="s">
        <v>1557</v>
      </c>
      <c r="C923" t="s">
        <v>88</v>
      </c>
      <c r="D923" t="s">
        <v>1554</v>
      </c>
      <c r="E923" t="s">
        <v>1481</v>
      </c>
      <c r="F923" t="s">
        <v>88</v>
      </c>
      <c r="G923" t="s">
        <v>88</v>
      </c>
      <c r="H923" t="s">
        <v>92</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136</v>
      </c>
      <c r="B924" t="s">
        <v>1558</v>
      </c>
      <c r="C924" t="s">
        <v>88</v>
      </c>
      <c r="D924" t="s">
        <v>1559</v>
      </c>
      <c r="E924" t="s">
        <v>1506</v>
      </c>
      <c r="F924" t="s">
        <v>88</v>
      </c>
      <c r="G924" t="s">
        <v>88</v>
      </c>
      <c r="H924" t="s">
        <v>92</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136</v>
      </c>
      <c r="B925" t="s">
        <v>1560</v>
      </c>
      <c r="C925" t="s">
        <v>88</v>
      </c>
      <c r="D925" t="s">
        <v>1561</v>
      </c>
      <c r="E925" t="s">
        <v>1495</v>
      </c>
      <c r="F925" t="s">
        <v>88</v>
      </c>
      <c r="G925" t="s">
        <v>88</v>
      </c>
      <c r="H925" t="s">
        <v>92</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136</v>
      </c>
      <c r="B926" t="s">
        <v>1562</v>
      </c>
      <c r="C926" t="s">
        <v>88</v>
      </c>
      <c r="D926" t="s">
        <v>1563</v>
      </c>
      <c r="E926" t="s">
        <v>1556</v>
      </c>
      <c r="F926" t="s">
        <v>88</v>
      </c>
      <c r="G926" t="s">
        <v>88</v>
      </c>
      <c r="H926" t="s">
        <v>92</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136</v>
      </c>
      <c r="B927" t="s">
        <v>1564</v>
      </c>
      <c r="C927" t="s">
        <v>88</v>
      </c>
      <c r="D927" t="s">
        <v>1565</v>
      </c>
      <c r="E927" t="s">
        <v>1506</v>
      </c>
      <c r="F927" t="s">
        <v>88</v>
      </c>
      <c r="G927" t="s">
        <v>88</v>
      </c>
      <c r="H927" t="s">
        <v>92</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136</v>
      </c>
      <c r="B928" t="s">
        <v>1566</v>
      </c>
      <c r="C928" t="s">
        <v>88</v>
      </c>
      <c r="D928" t="s">
        <v>1567</v>
      </c>
      <c r="E928" t="s">
        <v>1568</v>
      </c>
      <c r="F928" t="s">
        <v>88</v>
      </c>
      <c r="G928" t="s">
        <v>88</v>
      </c>
      <c r="H928" t="s">
        <v>92</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136</v>
      </c>
      <c r="B929" t="s">
        <v>1569</v>
      </c>
      <c r="C929" t="s">
        <v>88</v>
      </c>
      <c r="D929" t="s">
        <v>1570</v>
      </c>
      <c r="E929" t="s">
        <v>1571</v>
      </c>
      <c r="F929" t="s">
        <v>88</v>
      </c>
      <c r="G929" t="s">
        <v>88</v>
      </c>
      <c r="H929" t="s">
        <v>92</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136</v>
      </c>
      <c r="B930" t="s">
        <v>1572</v>
      </c>
      <c r="C930" t="s">
        <v>88</v>
      </c>
      <c r="D930" t="s">
        <v>1573</v>
      </c>
      <c r="E930" t="s">
        <v>1574</v>
      </c>
      <c r="F930" t="s">
        <v>88</v>
      </c>
      <c r="G930" t="s">
        <v>88</v>
      </c>
      <c r="H930" t="s">
        <v>92</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136</v>
      </c>
      <c r="B931" t="s">
        <v>1575</v>
      </c>
      <c r="C931" t="s">
        <v>88</v>
      </c>
      <c r="D931" t="s">
        <v>1576</v>
      </c>
      <c r="E931" t="s">
        <v>1571</v>
      </c>
      <c r="F931" t="s">
        <v>88</v>
      </c>
      <c r="G931" t="s">
        <v>88</v>
      </c>
      <c r="H931" t="s">
        <v>92</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136</v>
      </c>
      <c r="B932" t="s">
        <v>1577</v>
      </c>
      <c r="C932" t="s">
        <v>88</v>
      </c>
      <c r="D932" t="s">
        <v>1578</v>
      </c>
      <c r="E932" t="s">
        <v>1568</v>
      </c>
      <c r="F932" t="s">
        <v>88</v>
      </c>
      <c r="G932" t="s">
        <v>88</v>
      </c>
      <c r="H932" t="s">
        <v>92</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136</v>
      </c>
      <c r="B933" t="s">
        <v>1579</v>
      </c>
      <c r="C933" t="s">
        <v>88</v>
      </c>
      <c r="D933" t="s">
        <v>1580</v>
      </c>
      <c r="E933" t="s">
        <v>1523</v>
      </c>
      <c r="F933" t="s">
        <v>88</v>
      </c>
      <c r="G933" t="s">
        <v>88</v>
      </c>
      <c r="H933" t="s">
        <v>92</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136</v>
      </c>
      <c r="B934" t="s">
        <v>1581</v>
      </c>
      <c r="C934" t="s">
        <v>88</v>
      </c>
      <c r="D934" t="s">
        <v>1580</v>
      </c>
      <c r="E934" t="s">
        <v>1509</v>
      </c>
      <c r="F934" t="s">
        <v>88</v>
      </c>
      <c r="G934" t="s">
        <v>88</v>
      </c>
      <c r="H934" t="s">
        <v>92</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136</v>
      </c>
      <c r="B935" t="s">
        <v>1582</v>
      </c>
      <c r="C935" t="s">
        <v>88</v>
      </c>
      <c r="D935" t="s">
        <v>1583</v>
      </c>
      <c r="E935" t="s">
        <v>1584</v>
      </c>
      <c r="F935" t="s">
        <v>88</v>
      </c>
      <c r="G935" t="s">
        <v>88</v>
      </c>
      <c r="H935" t="s">
        <v>92</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136</v>
      </c>
      <c r="B936" t="s">
        <v>1585</v>
      </c>
      <c r="C936" t="s">
        <v>88</v>
      </c>
      <c r="D936" t="s">
        <v>1586</v>
      </c>
      <c r="E936" t="s">
        <v>1571</v>
      </c>
      <c r="F936" t="s">
        <v>88</v>
      </c>
      <c r="G936" t="s">
        <v>88</v>
      </c>
      <c r="H936" t="s">
        <v>92</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136</v>
      </c>
      <c r="B937" t="s">
        <v>1587</v>
      </c>
      <c r="C937" t="s">
        <v>88</v>
      </c>
      <c r="D937" t="s">
        <v>88</v>
      </c>
      <c r="E937" t="s">
        <v>715</v>
      </c>
      <c r="F937" t="s">
        <v>88</v>
      </c>
      <c r="G937" t="s">
        <v>88</v>
      </c>
      <c r="H937" t="s">
        <v>92</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136</v>
      </c>
      <c r="B938" t="s">
        <v>1588</v>
      </c>
      <c r="C938" t="s">
        <v>88</v>
      </c>
      <c r="D938" t="s">
        <v>88</v>
      </c>
      <c r="E938" t="s">
        <v>1584</v>
      </c>
      <c r="F938" t="s">
        <v>88</v>
      </c>
      <c r="G938" t="s">
        <v>88</v>
      </c>
      <c r="H938" t="s">
        <v>92</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136</v>
      </c>
      <c r="B939" t="s">
        <v>1589</v>
      </c>
      <c r="C939" t="s">
        <v>88</v>
      </c>
      <c r="D939" t="s">
        <v>88</v>
      </c>
      <c r="E939" t="s">
        <v>1590</v>
      </c>
      <c r="F939" t="s">
        <v>88</v>
      </c>
      <c r="G939" t="s">
        <v>88</v>
      </c>
      <c r="H939" t="s">
        <v>92</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136</v>
      </c>
      <c r="B940" t="s">
        <v>1591</v>
      </c>
      <c r="C940" t="s">
        <v>88</v>
      </c>
      <c r="D940" t="s">
        <v>88</v>
      </c>
      <c r="E940" t="s">
        <v>1574</v>
      </c>
      <c r="F940" t="s">
        <v>88</v>
      </c>
      <c r="G940" t="s">
        <v>88</v>
      </c>
      <c r="H940" t="s">
        <v>92</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136</v>
      </c>
      <c r="B941" t="s">
        <v>1592</v>
      </c>
      <c r="C941" t="s">
        <v>88</v>
      </c>
      <c r="D941" t="s">
        <v>88</v>
      </c>
      <c r="E941" t="s">
        <v>957</v>
      </c>
      <c r="F941" t="s">
        <v>88</v>
      </c>
      <c r="G941" t="s">
        <v>88</v>
      </c>
      <c r="H941" t="s">
        <v>92</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136</v>
      </c>
      <c r="B942" t="s">
        <v>1593</v>
      </c>
      <c r="C942" t="s">
        <v>88</v>
      </c>
      <c r="D942" t="s">
        <v>88</v>
      </c>
      <c r="E942" t="s">
        <v>1594</v>
      </c>
      <c r="F942" t="s">
        <v>88</v>
      </c>
      <c r="G942" t="s">
        <v>88</v>
      </c>
      <c r="H942" t="s">
        <v>92</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136</v>
      </c>
      <c r="B943" t="s">
        <v>1595</v>
      </c>
      <c r="C943" t="s">
        <v>88</v>
      </c>
      <c r="D943" t="s">
        <v>88</v>
      </c>
      <c r="E943" t="s">
        <v>1596</v>
      </c>
      <c r="F943" t="s">
        <v>88</v>
      </c>
      <c r="G943" t="s">
        <v>88</v>
      </c>
      <c r="H943" t="s">
        <v>92</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136</v>
      </c>
      <c r="B944" t="s">
        <v>1597</v>
      </c>
      <c r="C944" t="s">
        <v>88</v>
      </c>
      <c r="D944" t="s">
        <v>88</v>
      </c>
      <c r="E944" t="s">
        <v>1598</v>
      </c>
      <c r="F944" t="s">
        <v>88</v>
      </c>
      <c r="G944" t="s">
        <v>88</v>
      </c>
      <c r="H944" t="s">
        <v>92</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136</v>
      </c>
      <c r="B945" t="s">
        <v>1599</v>
      </c>
      <c r="C945" t="s">
        <v>88</v>
      </c>
      <c r="D945" t="s">
        <v>88</v>
      </c>
      <c r="E945" t="s">
        <v>1600</v>
      </c>
      <c r="F945" t="s">
        <v>88</v>
      </c>
      <c r="G945" t="s">
        <v>88</v>
      </c>
      <c r="H945" t="s">
        <v>92</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136</v>
      </c>
      <c r="B946" t="s">
        <v>1601</v>
      </c>
      <c r="C946" t="s">
        <v>88</v>
      </c>
      <c r="D946" t="s">
        <v>88</v>
      </c>
      <c r="E946" t="s">
        <v>1568</v>
      </c>
      <c r="F946" t="s">
        <v>88</v>
      </c>
      <c r="G946" t="s">
        <v>88</v>
      </c>
      <c r="H946" t="s">
        <v>92</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136</v>
      </c>
      <c r="B947" t="s">
        <v>1602</v>
      </c>
      <c r="C947" t="s">
        <v>88</v>
      </c>
      <c r="D947" t="s">
        <v>88</v>
      </c>
      <c r="E947" t="s">
        <v>1600</v>
      </c>
      <c r="F947" t="s">
        <v>88</v>
      </c>
      <c r="G947" t="s">
        <v>88</v>
      </c>
      <c r="H947" t="s">
        <v>92</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136</v>
      </c>
      <c r="B948" t="s">
        <v>1603</v>
      </c>
      <c r="C948" t="s">
        <v>88</v>
      </c>
      <c r="D948" t="s">
        <v>88</v>
      </c>
      <c r="E948" t="s">
        <v>1596</v>
      </c>
      <c r="F948" t="s">
        <v>88</v>
      </c>
      <c r="G948" t="s">
        <v>88</v>
      </c>
      <c r="H948" t="s">
        <v>92</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136</v>
      </c>
      <c r="B949" t="s">
        <v>1604</v>
      </c>
      <c r="C949" t="s">
        <v>88</v>
      </c>
      <c r="D949" t="s">
        <v>88</v>
      </c>
      <c r="E949" t="s">
        <v>1598</v>
      </c>
      <c r="F949" t="s">
        <v>88</v>
      </c>
      <c r="G949" t="s">
        <v>88</v>
      </c>
      <c r="H949" t="s">
        <v>92</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136</v>
      </c>
      <c r="B950" t="s">
        <v>1605</v>
      </c>
      <c r="C950" t="s">
        <v>88</v>
      </c>
      <c r="D950" t="s">
        <v>88</v>
      </c>
      <c r="E950" t="s">
        <v>1600</v>
      </c>
      <c r="F950" t="s">
        <v>88</v>
      </c>
      <c r="G950" t="s">
        <v>88</v>
      </c>
      <c r="H950" t="s">
        <v>92</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136</v>
      </c>
      <c r="B951" t="s">
        <v>1606</v>
      </c>
      <c r="C951" t="s">
        <v>88</v>
      </c>
      <c r="D951" t="s">
        <v>88</v>
      </c>
      <c r="E951" t="s">
        <v>1590</v>
      </c>
      <c r="F951" t="s">
        <v>88</v>
      </c>
      <c r="G951" t="s">
        <v>88</v>
      </c>
      <c r="H951" t="s">
        <v>92</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136</v>
      </c>
      <c r="B952" t="s">
        <v>1607</v>
      </c>
      <c r="C952" t="s">
        <v>88</v>
      </c>
      <c r="D952" t="s">
        <v>88</v>
      </c>
      <c r="E952" t="s">
        <v>1556</v>
      </c>
      <c r="F952" t="s">
        <v>88</v>
      </c>
      <c r="G952" t="s">
        <v>88</v>
      </c>
      <c r="H952" t="s">
        <v>92</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136</v>
      </c>
      <c r="B953" t="s">
        <v>1608</v>
      </c>
      <c r="C953" t="s">
        <v>88</v>
      </c>
      <c r="D953" t="s">
        <v>88</v>
      </c>
      <c r="E953" t="s">
        <v>1571</v>
      </c>
      <c r="F953" t="s">
        <v>88</v>
      </c>
      <c r="G953" t="s">
        <v>88</v>
      </c>
      <c r="H953" t="s">
        <v>92</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136</v>
      </c>
      <c r="B954" t="s">
        <v>1609</v>
      </c>
      <c r="C954" t="s">
        <v>88</v>
      </c>
      <c r="D954" t="s">
        <v>88</v>
      </c>
      <c r="E954" t="s">
        <v>1610</v>
      </c>
      <c r="F954" t="s">
        <v>88</v>
      </c>
      <c r="G954" t="s">
        <v>88</v>
      </c>
      <c r="H954" t="s">
        <v>92</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136</v>
      </c>
      <c r="B955" t="s">
        <v>1611</v>
      </c>
      <c r="C955" t="s">
        <v>88</v>
      </c>
      <c r="D955" t="s">
        <v>88</v>
      </c>
      <c r="E955" t="s">
        <v>1610</v>
      </c>
      <c r="F955" t="s">
        <v>88</v>
      </c>
      <c r="G955" t="s">
        <v>88</v>
      </c>
      <c r="H955" t="s">
        <v>92</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136</v>
      </c>
      <c r="B956" t="s">
        <v>1612</v>
      </c>
      <c r="C956" t="s">
        <v>88</v>
      </c>
      <c r="D956" t="s">
        <v>88</v>
      </c>
      <c r="E956" t="s">
        <v>849</v>
      </c>
      <c r="F956" t="s">
        <v>88</v>
      </c>
      <c r="G956" t="s">
        <v>88</v>
      </c>
      <c r="H956" t="s">
        <v>92</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136</v>
      </c>
      <c r="B957" t="s">
        <v>1613</v>
      </c>
      <c r="C957" t="s">
        <v>88</v>
      </c>
      <c r="D957" t="s">
        <v>88</v>
      </c>
      <c r="E957" t="s">
        <v>849</v>
      </c>
      <c r="F957" t="s">
        <v>88</v>
      </c>
      <c r="G957" t="s">
        <v>88</v>
      </c>
      <c r="H957" t="s">
        <v>92</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136</v>
      </c>
      <c r="B958" t="s">
        <v>1614</v>
      </c>
      <c r="C958" t="s">
        <v>88</v>
      </c>
      <c r="D958" t="s">
        <v>88</v>
      </c>
      <c r="E958" t="s">
        <v>849</v>
      </c>
      <c r="F958" t="s">
        <v>88</v>
      </c>
      <c r="G958" t="s">
        <v>88</v>
      </c>
      <c r="H958" t="s">
        <v>92</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136</v>
      </c>
      <c r="B959" t="s">
        <v>1615</v>
      </c>
      <c r="C959" t="s">
        <v>88</v>
      </c>
      <c r="D959" t="s">
        <v>88</v>
      </c>
      <c r="E959" t="s">
        <v>1616</v>
      </c>
      <c r="F959" t="s">
        <v>88</v>
      </c>
      <c r="G959" t="s">
        <v>88</v>
      </c>
      <c r="H959" t="s">
        <v>92</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136</v>
      </c>
      <c r="B960" t="s">
        <v>1617</v>
      </c>
      <c r="C960" t="s">
        <v>88</v>
      </c>
      <c r="D960" t="s">
        <v>88</v>
      </c>
      <c r="E960" t="s">
        <v>849</v>
      </c>
      <c r="F960" t="s">
        <v>88</v>
      </c>
      <c r="G960" t="s">
        <v>88</v>
      </c>
      <c r="H960" t="s">
        <v>92</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136</v>
      </c>
      <c r="B961" t="s">
        <v>1618</v>
      </c>
      <c r="C961" t="s">
        <v>88</v>
      </c>
      <c r="D961" t="s">
        <v>88</v>
      </c>
      <c r="E961" t="s">
        <v>735</v>
      </c>
      <c r="F961" t="s">
        <v>88</v>
      </c>
      <c r="G961" t="s">
        <v>88</v>
      </c>
      <c r="H961" t="s">
        <v>92</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136</v>
      </c>
      <c r="B962" t="s">
        <v>1619</v>
      </c>
      <c r="C962" t="s">
        <v>88</v>
      </c>
      <c r="D962" t="s">
        <v>88</v>
      </c>
      <c r="E962" t="s">
        <v>732</v>
      </c>
      <c r="F962" t="s">
        <v>88</v>
      </c>
      <c r="G962" t="s">
        <v>88</v>
      </c>
      <c r="H962" t="s">
        <v>92</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136</v>
      </c>
      <c r="B963" t="s">
        <v>1620</v>
      </c>
      <c r="C963" t="s">
        <v>88</v>
      </c>
      <c r="D963" t="s">
        <v>88</v>
      </c>
      <c r="E963" t="s">
        <v>732</v>
      </c>
      <c r="F963" t="s">
        <v>88</v>
      </c>
      <c r="G963" t="s">
        <v>88</v>
      </c>
      <c r="H963" t="s">
        <v>92</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136</v>
      </c>
      <c r="B964" t="s">
        <v>1621</v>
      </c>
      <c r="C964" t="s">
        <v>88</v>
      </c>
      <c r="D964" t="s">
        <v>88</v>
      </c>
      <c r="E964" t="s">
        <v>732</v>
      </c>
      <c r="F964" t="s">
        <v>88</v>
      </c>
      <c r="G964" t="s">
        <v>88</v>
      </c>
      <c r="H964" t="s">
        <v>92</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136</v>
      </c>
      <c r="B965" t="s">
        <v>1622</v>
      </c>
      <c r="C965" t="s">
        <v>88</v>
      </c>
      <c r="D965" t="s">
        <v>88</v>
      </c>
      <c r="E965" t="s">
        <v>732</v>
      </c>
      <c r="F965" t="s">
        <v>88</v>
      </c>
      <c r="G965" t="s">
        <v>88</v>
      </c>
      <c r="H965" t="s">
        <v>92</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136</v>
      </c>
      <c r="B966" t="s">
        <v>1623</v>
      </c>
      <c r="C966" t="s">
        <v>88</v>
      </c>
      <c r="D966" t="s">
        <v>88</v>
      </c>
      <c r="E966" t="s">
        <v>732</v>
      </c>
      <c r="F966" t="s">
        <v>88</v>
      </c>
      <c r="G966" t="s">
        <v>88</v>
      </c>
      <c r="H966" t="s">
        <v>92</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136</v>
      </c>
      <c r="B967" t="s">
        <v>1624</v>
      </c>
      <c r="C967" t="s">
        <v>88</v>
      </c>
      <c r="D967" t="s">
        <v>88</v>
      </c>
      <c r="E967" t="s">
        <v>1625</v>
      </c>
      <c r="F967" t="s">
        <v>88</v>
      </c>
      <c r="G967" t="s">
        <v>88</v>
      </c>
      <c r="H967" t="s">
        <v>92</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136</v>
      </c>
      <c r="B968" t="s">
        <v>1626</v>
      </c>
      <c r="C968" t="s">
        <v>88</v>
      </c>
      <c r="D968" t="s">
        <v>88</v>
      </c>
      <c r="E968" t="s">
        <v>1625</v>
      </c>
      <c r="F968" t="s">
        <v>88</v>
      </c>
      <c r="G968" t="s">
        <v>88</v>
      </c>
      <c r="H968" t="s">
        <v>92</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136</v>
      </c>
      <c r="B969" t="s">
        <v>1627</v>
      </c>
      <c r="C969" t="s">
        <v>88</v>
      </c>
      <c r="D969" t="s">
        <v>88</v>
      </c>
      <c r="E969" t="s">
        <v>1625</v>
      </c>
      <c r="F969" t="s">
        <v>88</v>
      </c>
      <c r="G969" t="s">
        <v>88</v>
      </c>
      <c r="H969" t="s">
        <v>92</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136</v>
      </c>
      <c r="B970" t="s">
        <v>1628</v>
      </c>
      <c r="C970" t="s">
        <v>88</v>
      </c>
      <c r="D970" t="s">
        <v>88</v>
      </c>
      <c r="E970" t="s">
        <v>1625</v>
      </c>
      <c r="F970" t="s">
        <v>88</v>
      </c>
      <c r="G970" t="s">
        <v>88</v>
      </c>
      <c r="H970" t="s">
        <v>92</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136</v>
      </c>
      <c r="B971" t="s">
        <v>1629</v>
      </c>
      <c r="C971" t="s">
        <v>88</v>
      </c>
      <c r="D971" t="s">
        <v>88</v>
      </c>
      <c r="E971" t="s">
        <v>732</v>
      </c>
      <c r="F971" t="s">
        <v>88</v>
      </c>
      <c r="G971" t="s">
        <v>88</v>
      </c>
      <c r="H971" t="s">
        <v>92</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136</v>
      </c>
      <c r="B972" t="s">
        <v>1630</v>
      </c>
      <c r="C972" t="s">
        <v>88</v>
      </c>
      <c r="D972" t="s">
        <v>88</v>
      </c>
      <c r="E972" t="s">
        <v>732</v>
      </c>
      <c r="F972" t="s">
        <v>88</v>
      </c>
      <c r="G972" t="s">
        <v>88</v>
      </c>
      <c r="H972" t="s">
        <v>92</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136</v>
      </c>
      <c r="B973" t="s">
        <v>1631</v>
      </c>
      <c r="C973" t="s">
        <v>88</v>
      </c>
      <c r="D973" t="s">
        <v>88</v>
      </c>
      <c r="E973" t="s">
        <v>732</v>
      </c>
      <c r="F973" t="s">
        <v>88</v>
      </c>
      <c r="G973" t="s">
        <v>88</v>
      </c>
      <c r="H973" t="s">
        <v>92</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136</v>
      </c>
      <c r="B974" t="s">
        <v>1632</v>
      </c>
      <c r="C974" t="s">
        <v>88</v>
      </c>
      <c r="D974" t="s">
        <v>88</v>
      </c>
      <c r="E974" t="s">
        <v>1633</v>
      </c>
      <c r="F974" t="s">
        <v>88</v>
      </c>
      <c r="G974" t="s">
        <v>88</v>
      </c>
      <c r="H974" t="s">
        <v>92</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136</v>
      </c>
      <c r="B975" t="s">
        <v>1634</v>
      </c>
      <c r="C975" t="s">
        <v>88</v>
      </c>
      <c r="D975" t="s">
        <v>88</v>
      </c>
      <c r="E975" t="s">
        <v>1635</v>
      </c>
      <c r="F975" t="s">
        <v>88</v>
      </c>
      <c r="G975" t="s">
        <v>88</v>
      </c>
      <c r="H975" t="s">
        <v>92</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136</v>
      </c>
      <c r="B976" t="s">
        <v>1072</v>
      </c>
      <c r="C976" t="s">
        <v>88</v>
      </c>
      <c r="D976" t="s">
        <v>88</v>
      </c>
      <c r="E976" t="s">
        <v>1636</v>
      </c>
      <c r="F976" t="s">
        <v>88</v>
      </c>
      <c r="G976" t="s">
        <v>88</v>
      </c>
      <c r="H976" t="s">
        <v>92</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136</v>
      </c>
      <c r="B977" t="s">
        <v>701</v>
      </c>
      <c r="C977" t="s">
        <v>88</v>
      </c>
      <c r="D977" t="s">
        <v>88</v>
      </c>
      <c r="E977" t="s">
        <v>1636</v>
      </c>
      <c r="F977" t="s">
        <v>88</v>
      </c>
      <c r="G977" t="s">
        <v>88</v>
      </c>
      <c r="H977" t="s">
        <v>92</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136</v>
      </c>
      <c r="B978" t="s">
        <v>703</v>
      </c>
      <c r="C978" t="s">
        <v>88</v>
      </c>
      <c r="D978" t="s">
        <v>88</v>
      </c>
      <c r="E978" t="s">
        <v>1636</v>
      </c>
      <c r="F978" t="s">
        <v>88</v>
      </c>
      <c r="G978" t="s">
        <v>88</v>
      </c>
      <c r="H978" t="s">
        <v>92</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136</v>
      </c>
      <c r="B979" t="s">
        <v>705</v>
      </c>
      <c r="C979" t="s">
        <v>88</v>
      </c>
      <c r="D979" t="s">
        <v>88</v>
      </c>
      <c r="E979" t="s">
        <v>1636</v>
      </c>
      <c r="F979" t="s">
        <v>88</v>
      </c>
      <c r="G979" t="s">
        <v>88</v>
      </c>
      <c r="H979" t="s">
        <v>92</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136</v>
      </c>
      <c r="B980" t="s">
        <v>706</v>
      </c>
      <c r="C980" t="s">
        <v>88</v>
      </c>
      <c r="D980" t="s">
        <v>88</v>
      </c>
      <c r="E980" t="s">
        <v>1636</v>
      </c>
      <c r="F980" t="s">
        <v>88</v>
      </c>
      <c r="G980" t="s">
        <v>88</v>
      </c>
      <c r="H980" t="s">
        <v>92</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136</v>
      </c>
      <c r="B981" t="s">
        <v>1637</v>
      </c>
      <c r="C981" t="s">
        <v>88</v>
      </c>
      <c r="D981" t="s">
        <v>88</v>
      </c>
      <c r="E981" t="s">
        <v>1636</v>
      </c>
      <c r="F981" t="s">
        <v>88</v>
      </c>
      <c r="G981" t="s">
        <v>88</v>
      </c>
      <c r="H981" t="s">
        <v>92</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136</v>
      </c>
      <c r="B982" t="s">
        <v>1638</v>
      </c>
      <c r="C982" t="s">
        <v>88</v>
      </c>
      <c r="D982" t="s">
        <v>88</v>
      </c>
      <c r="E982" t="s">
        <v>1636</v>
      </c>
      <c r="F982" t="s">
        <v>88</v>
      </c>
      <c r="G982" t="s">
        <v>88</v>
      </c>
      <c r="H982" t="s">
        <v>92</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136</v>
      </c>
      <c r="B983" t="s">
        <v>1639</v>
      </c>
      <c r="C983" t="s">
        <v>88</v>
      </c>
      <c r="D983" t="s">
        <v>88</v>
      </c>
      <c r="E983" t="s">
        <v>1640</v>
      </c>
      <c r="F983" t="s">
        <v>88</v>
      </c>
      <c r="G983" t="s">
        <v>88</v>
      </c>
      <c r="H983" t="s">
        <v>92</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136</v>
      </c>
      <c r="B984" t="s">
        <v>1641</v>
      </c>
      <c r="C984" t="s">
        <v>88</v>
      </c>
      <c r="D984" t="s">
        <v>88</v>
      </c>
      <c r="E984" t="s">
        <v>1640</v>
      </c>
      <c r="F984" t="s">
        <v>88</v>
      </c>
      <c r="G984" t="s">
        <v>88</v>
      </c>
      <c r="H984" t="s">
        <v>92</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136</v>
      </c>
      <c r="B985" t="s">
        <v>1642</v>
      </c>
      <c r="C985" t="s">
        <v>88</v>
      </c>
      <c r="D985" t="s">
        <v>88</v>
      </c>
      <c r="E985" t="s">
        <v>1640</v>
      </c>
      <c r="F985" t="s">
        <v>88</v>
      </c>
      <c r="G985" t="s">
        <v>88</v>
      </c>
      <c r="H985" t="s">
        <v>92</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136</v>
      </c>
      <c r="B986" t="s">
        <v>1643</v>
      </c>
      <c r="C986" t="s">
        <v>88</v>
      </c>
      <c r="D986" t="s">
        <v>88</v>
      </c>
      <c r="E986" t="s">
        <v>1640</v>
      </c>
      <c r="F986" t="s">
        <v>88</v>
      </c>
      <c r="G986" t="s">
        <v>88</v>
      </c>
      <c r="H986" t="s">
        <v>92</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136</v>
      </c>
      <c r="B987" t="s">
        <v>1644</v>
      </c>
      <c r="C987" t="s">
        <v>88</v>
      </c>
      <c r="D987" t="s">
        <v>88</v>
      </c>
      <c r="E987" t="s">
        <v>1640</v>
      </c>
      <c r="F987" t="s">
        <v>88</v>
      </c>
      <c r="G987" t="s">
        <v>88</v>
      </c>
      <c r="H987" t="s">
        <v>92</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136</v>
      </c>
      <c r="B988" t="s">
        <v>1645</v>
      </c>
      <c r="C988" t="s">
        <v>88</v>
      </c>
      <c r="D988" t="s">
        <v>88</v>
      </c>
      <c r="E988" t="s">
        <v>1646</v>
      </c>
      <c r="F988" t="s">
        <v>88</v>
      </c>
      <c r="G988" t="s">
        <v>88</v>
      </c>
      <c r="H988" t="s">
        <v>92</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136</v>
      </c>
      <c r="B989" t="s">
        <v>1647</v>
      </c>
      <c r="C989" t="s">
        <v>88</v>
      </c>
      <c r="D989" t="s">
        <v>88</v>
      </c>
      <c r="E989" t="s">
        <v>1648</v>
      </c>
      <c r="F989" t="s">
        <v>88</v>
      </c>
      <c r="G989" t="s">
        <v>88</v>
      </c>
      <c r="H989" t="s">
        <v>92</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136</v>
      </c>
      <c r="B990" t="s">
        <v>1649</v>
      </c>
      <c r="C990" t="s">
        <v>88</v>
      </c>
      <c r="D990" t="s">
        <v>88</v>
      </c>
      <c r="E990" t="s">
        <v>1648</v>
      </c>
      <c r="F990" t="s">
        <v>88</v>
      </c>
      <c r="G990" t="s">
        <v>88</v>
      </c>
      <c r="H990" t="s">
        <v>92</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136</v>
      </c>
      <c r="B991" t="s">
        <v>1650</v>
      </c>
      <c r="C991" t="s">
        <v>88</v>
      </c>
      <c r="D991" t="s">
        <v>88</v>
      </c>
      <c r="E991" t="s">
        <v>1648</v>
      </c>
      <c r="F991" t="s">
        <v>88</v>
      </c>
      <c r="G991" t="s">
        <v>88</v>
      </c>
      <c r="H991" t="s">
        <v>92</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136</v>
      </c>
      <c r="B992" t="s">
        <v>1651</v>
      </c>
      <c r="C992" t="s">
        <v>88</v>
      </c>
      <c r="D992" t="s">
        <v>88</v>
      </c>
      <c r="E992" t="s">
        <v>1648</v>
      </c>
      <c r="F992" t="s">
        <v>88</v>
      </c>
      <c r="G992" t="s">
        <v>88</v>
      </c>
      <c r="H992" t="s">
        <v>92</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136</v>
      </c>
      <c r="B993" t="s">
        <v>623</v>
      </c>
      <c r="C993" t="s">
        <v>88</v>
      </c>
      <c r="D993" t="s">
        <v>88</v>
      </c>
      <c r="E993" t="s">
        <v>1652</v>
      </c>
      <c r="F993" t="s">
        <v>88</v>
      </c>
      <c r="G993" t="s">
        <v>88</v>
      </c>
      <c r="H993" t="s">
        <v>92</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136</v>
      </c>
      <c r="B994" t="s">
        <v>714</v>
      </c>
      <c r="C994" t="s">
        <v>88</v>
      </c>
      <c r="D994" t="s">
        <v>88</v>
      </c>
      <c r="E994" t="s">
        <v>1653</v>
      </c>
      <c r="F994" t="s">
        <v>88</v>
      </c>
      <c r="G994" t="s">
        <v>88</v>
      </c>
      <c r="H994" t="s">
        <v>92</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136</v>
      </c>
      <c r="B995" t="s">
        <v>1074</v>
      </c>
      <c r="C995" t="s">
        <v>88</v>
      </c>
      <c r="D995" t="s">
        <v>88</v>
      </c>
      <c r="E995" t="s">
        <v>1653</v>
      </c>
      <c r="F995" t="s">
        <v>88</v>
      </c>
      <c r="G995" t="s">
        <v>88</v>
      </c>
      <c r="H995" t="s">
        <v>92</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136</v>
      </c>
      <c r="B996" t="s">
        <v>1075</v>
      </c>
      <c r="C996" t="s">
        <v>88</v>
      </c>
      <c r="D996" t="s">
        <v>88</v>
      </c>
      <c r="E996" t="s">
        <v>1653</v>
      </c>
      <c r="F996" t="s">
        <v>88</v>
      </c>
      <c r="G996" t="s">
        <v>88</v>
      </c>
      <c r="H996" t="s">
        <v>92</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136</v>
      </c>
      <c r="B997" t="s">
        <v>998</v>
      </c>
      <c r="C997" t="s">
        <v>88</v>
      </c>
      <c r="D997" t="s">
        <v>88</v>
      </c>
      <c r="E997" t="s">
        <v>1653</v>
      </c>
      <c r="F997" t="s">
        <v>88</v>
      </c>
      <c r="G997" t="s">
        <v>88</v>
      </c>
      <c r="H997" t="s">
        <v>92</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136</v>
      </c>
      <c r="B998" t="s">
        <v>1073</v>
      </c>
      <c r="C998" t="s">
        <v>88</v>
      </c>
      <c r="D998" t="s">
        <v>88</v>
      </c>
      <c r="E998" t="s">
        <v>1653</v>
      </c>
      <c r="F998" t="s">
        <v>88</v>
      </c>
      <c r="G998" t="s">
        <v>88</v>
      </c>
      <c r="H998" t="s">
        <v>92</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136</v>
      </c>
      <c r="B999" t="s">
        <v>1654</v>
      </c>
      <c r="C999" t="s">
        <v>88</v>
      </c>
      <c r="D999" t="s">
        <v>88</v>
      </c>
      <c r="E999" t="s">
        <v>1653</v>
      </c>
      <c r="F999" t="s">
        <v>88</v>
      </c>
      <c r="G999" t="s">
        <v>88</v>
      </c>
      <c r="H999" t="s">
        <v>92</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136</v>
      </c>
      <c r="B1000" t="s">
        <v>1655</v>
      </c>
      <c r="C1000" t="s">
        <v>88</v>
      </c>
      <c r="D1000" t="s">
        <v>88</v>
      </c>
      <c r="E1000" t="s">
        <v>1653</v>
      </c>
      <c r="F1000" t="s">
        <v>88</v>
      </c>
      <c r="G1000" t="s">
        <v>88</v>
      </c>
      <c r="H1000" t="s">
        <v>92</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138</v>
      </c>
      <c r="B1001" t="s">
        <v>1656</v>
      </c>
      <c r="C1001" t="s">
        <v>88</v>
      </c>
      <c r="D1001" t="s">
        <v>1657</v>
      </c>
      <c r="E1001" t="s">
        <v>723</v>
      </c>
      <c r="F1001" t="s">
        <v>88</v>
      </c>
      <c r="G1001" t="s">
        <v>88</v>
      </c>
      <c r="H1001" t="s">
        <v>92</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138</v>
      </c>
      <c r="B1002" t="s">
        <v>1658</v>
      </c>
      <c r="C1002" t="s">
        <v>88</v>
      </c>
      <c r="D1002" t="s">
        <v>1657</v>
      </c>
      <c r="E1002" t="s">
        <v>663</v>
      </c>
      <c r="F1002" t="s">
        <v>88</v>
      </c>
      <c r="G1002" t="s">
        <v>88</v>
      </c>
      <c r="H1002" t="s">
        <v>92</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138</v>
      </c>
      <c r="B1003" t="s">
        <v>1659</v>
      </c>
      <c r="C1003" t="s">
        <v>88</v>
      </c>
      <c r="D1003" t="s">
        <v>1660</v>
      </c>
      <c r="E1003" t="s">
        <v>836</v>
      </c>
      <c r="F1003" t="s">
        <v>88</v>
      </c>
      <c r="G1003" t="s">
        <v>88</v>
      </c>
      <c r="H1003" t="s">
        <v>92</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138</v>
      </c>
      <c r="B1004" t="s">
        <v>1661</v>
      </c>
      <c r="C1004" t="s">
        <v>88</v>
      </c>
      <c r="D1004" t="s">
        <v>1662</v>
      </c>
      <c r="E1004" t="s">
        <v>1663</v>
      </c>
      <c r="F1004" t="s">
        <v>88</v>
      </c>
      <c r="G1004" t="s">
        <v>88</v>
      </c>
      <c r="H1004" t="s">
        <v>92</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138</v>
      </c>
      <c r="B1005" t="s">
        <v>1664</v>
      </c>
      <c r="C1005" t="s">
        <v>88</v>
      </c>
      <c r="D1005" t="s">
        <v>1660</v>
      </c>
      <c r="E1005" t="s">
        <v>836</v>
      </c>
      <c r="F1005" t="s">
        <v>88</v>
      </c>
      <c r="G1005" t="s">
        <v>88</v>
      </c>
      <c r="H1005" t="s">
        <v>92</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138</v>
      </c>
      <c r="B1006" t="s">
        <v>1661</v>
      </c>
      <c r="C1006" t="s">
        <v>88</v>
      </c>
      <c r="D1006" t="s">
        <v>1662</v>
      </c>
      <c r="E1006" t="s">
        <v>1663</v>
      </c>
      <c r="F1006" t="s">
        <v>88</v>
      </c>
      <c r="G1006" t="s">
        <v>88</v>
      </c>
      <c r="H1006" t="s">
        <v>92</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138</v>
      </c>
      <c r="B1007" t="s">
        <v>1665</v>
      </c>
      <c r="C1007" t="s">
        <v>88</v>
      </c>
      <c r="D1007" t="s">
        <v>1666</v>
      </c>
      <c r="E1007" t="s">
        <v>663</v>
      </c>
      <c r="F1007" t="s">
        <v>88</v>
      </c>
      <c r="G1007" t="s">
        <v>88</v>
      </c>
      <c r="H1007" t="s">
        <v>92</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138</v>
      </c>
      <c r="B1008" t="s">
        <v>1658</v>
      </c>
      <c r="C1008" t="s">
        <v>88</v>
      </c>
      <c r="D1008" t="s">
        <v>1657</v>
      </c>
      <c r="E1008" t="s">
        <v>663</v>
      </c>
      <c r="F1008" t="s">
        <v>88</v>
      </c>
      <c r="G1008" t="s">
        <v>88</v>
      </c>
      <c r="H1008" t="s">
        <v>92</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138</v>
      </c>
      <c r="B1009" t="s">
        <v>1659</v>
      </c>
      <c r="C1009" t="s">
        <v>88</v>
      </c>
      <c r="D1009" t="s">
        <v>1660</v>
      </c>
      <c r="E1009" t="s">
        <v>836</v>
      </c>
      <c r="F1009" t="s">
        <v>88</v>
      </c>
      <c r="G1009" t="s">
        <v>88</v>
      </c>
      <c r="H1009" t="s">
        <v>92</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138</v>
      </c>
      <c r="B1010" t="s">
        <v>1667</v>
      </c>
      <c r="C1010" t="s">
        <v>88</v>
      </c>
      <c r="D1010" t="s">
        <v>1660</v>
      </c>
      <c r="E1010" t="s">
        <v>1006</v>
      </c>
      <c r="F1010" t="s">
        <v>88</v>
      </c>
      <c r="G1010" t="s">
        <v>88</v>
      </c>
      <c r="H1010" t="s">
        <v>92</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138</v>
      </c>
      <c r="B1011" t="s">
        <v>1664</v>
      </c>
      <c r="C1011" t="s">
        <v>88</v>
      </c>
      <c r="D1011" t="s">
        <v>1660</v>
      </c>
      <c r="E1011" t="s">
        <v>836</v>
      </c>
      <c r="F1011" t="s">
        <v>88</v>
      </c>
      <c r="G1011" t="s">
        <v>88</v>
      </c>
      <c r="H1011" t="s">
        <v>92</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138</v>
      </c>
      <c r="B1012" t="s">
        <v>1668</v>
      </c>
      <c r="C1012" t="s">
        <v>88</v>
      </c>
      <c r="D1012" t="s">
        <v>1660</v>
      </c>
      <c r="E1012" t="s">
        <v>655</v>
      </c>
      <c r="F1012" t="s">
        <v>88</v>
      </c>
      <c r="G1012" t="s">
        <v>88</v>
      </c>
      <c r="H1012" t="s">
        <v>92</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138</v>
      </c>
      <c r="B1013" t="s">
        <v>1656</v>
      </c>
      <c r="C1013" t="s">
        <v>88</v>
      </c>
      <c r="D1013" t="s">
        <v>1657</v>
      </c>
      <c r="E1013" t="s">
        <v>723</v>
      </c>
      <c r="F1013" t="s">
        <v>88</v>
      </c>
      <c r="G1013" t="s">
        <v>88</v>
      </c>
      <c r="H1013" t="s">
        <v>92</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138</v>
      </c>
      <c r="B1014" t="s">
        <v>1669</v>
      </c>
      <c r="C1014" t="s">
        <v>88</v>
      </c>
      <c r="D1014" t="s">
        <v>1660</v>
      </c>
      <c r="E1014" t="s">
        <v>692</v>
      </c>
      <c r="F1014" t="s">
        <v>88</v>
      </c>
      <c r="G1014" t="s">
        <v>88</v>
      </c>
      <c r="H1014" t="s">
        <v>92</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138</v>
      </c>
      <c r="B1015" t="s">
        <v>701</v>
      </c>
      <c r="C1015" t="s">
        <v>88</v>
      </c>
      <c r="D1015" t="s">
        <v>88</v>
      </c>
      <c r="E1015" t="s">
        <v>702</v>
      </c>
      <c r="F1015" t="s">
        <v>88</v>
      </c>
      <c r="G1015" t="s">
        <v>88</v>
      </c>
      <c r="H1015" t="s">
        <v>92</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138</v>
      </c>
      <c r="B1016" t="s">
        <v>703</v>
      </c>
      <c r="C1016" t="s">
        <v>88</v>
      </c>
      <c r="D1016" t="s">
        <v>88</v>
      </c>
      <c r="E1016" t="s">
        <v>702</v>
      </c>
      <c r="F1016" t="s">
        <v>88</v>
      </c>
      <c r="G1016" t="s">
        <v>88</v>
      </c>
      <c r="H1016" t="s">
        <v>92</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138</v>
      </c>
      <c r="B1017" t="s">
        <v>704</v>
      </c>
      <c r="C1017" t="s">
        <v>88</v>
      </c>
      <c r="D1017" t="s">
        <v>88</v>
      </c>
      <c r="E1017" t="s">
        <v>702</v>
      </c>
      <c r="F1017" t="s">
        <v>88</v>
      </c>
      <c r="G1017" t="s">
        <v>88</v>
      </c>
      <c r="H1017" t="s">
        <v>92</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138</v>
      </c>
      <c r="B1018" t="s">
        <v>705</v>
      </c>
      <c r="C1018" t="s">
        <v>88</v>
      </c>
      <c r="D1018" t="s">
        <v>88</v>
      </c>
      <c r="E1018" t="s">
        <v>702</v>
      </c>
      <c r="F1018" t="s">
        <v>88</v>
      </c>
      <c r="G1018" t="s">
        <v>88</v>
      </c>
      <c r="H1018" t="s">
        <v>92</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138</v>
      </c>
      <c r="B1019" t="s">
        <v>706</v>
      </c>
      <c r="C1019" t="s">
        <v>88</v>
      </c>
      <c r="D1019" t="s">
        <v>88</v>
      </c>
      <c r="E1019" t="s">
        <v>702</v>
      </c>
      <c r="F1019" t="s">
        <v>88</v>
      </c>
      <c r="G1019" t="s">
        <v>88</v>
      </c>
      <c r="H1019" t="s">
        <v>92</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138</v>
      </c>
      <c r="B1020" t="s">
        <v>707</v>
      </c>
      <c r="C1020" t="s">
        <v>88</v>
      </c>
      <c r="D1020" t="s">
        <v>88</v>
      </c>
      <c r="E1020" t="s">
        <v>702</v>
      </c>
      <c r="F1020" t="s">
        <v>88</v>
      </c>
      <c r="G1020" t="s">
        <v>88</v>
      </c>
      <c r="H1020" t="s">
        <v>92</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138</v>
      </c>
      <c r="B1021" t="s">
        <v>708</v>
      </c>
      <c r="C1021" t="s">
        <v>88</v>
      </c>
      <c r="D1021" t="s">
        <v>88</v>
      </c>
      <c r="E1021" t="s">
        <v>702</v>
      </c>
      <c r="F1021" t="s">
        <v>88</v>
      </c>
      <c r="G1021" t="s">
        <v>88</v>
      </c>
      <c r="H1021" t="s">
        <v>92</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138</v>
      </c>
      <c r="B1022" t="s">
        <v>846</v>
      </c>
      <c r="C1022" t="s">
        <v>88</v>
      </c>
      <c r="D1022" t="s">
        <v>88</v>
      </c>
      <c r="E1022" t="s">
        <v>734</v>
      </c>
      <c r="F1022" t="s">
        <v>88</v>
      </c>
      <c r="G1022" t="s">
        <v>88</v>
      </c>
      <c r="H1022" t="s">
        <v>92</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138</v>
      </c>
      <c r="B1023" t="s">
        <v>1670</v>
      </c>
      <c r="C1023" t="s">
        <v>88</v>
      </c>
      <c r="D1023" t="s">
        <v>88</v>
      </c>
      <c r="E1023" t="s">
        <v>734</v>
      </c>
      <c r="F1023" t="s">
        <v>88</v>
      </c>
      <c r="G1023" t="s">
        <v>88</v>
      </c>
      <c r="H1023" t="s">
        <v>92</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138</v>
      </c>
      <c r="B1024" t="s">
        <v>618</v>
      </c>
      <c r="C1024" t="s">
        <v>88</v>
      </c>
      <c r="D1024" t="s">
        <v>88</v>
      </c>
      <c r="E1024" t="s">
        <v>734</v>
      </c>
      <c r="F1024" t="s">
        <v>88</v>
      </c>
      <c r="G1024" t="s">
        <v>88</v>
      </c>
      <c r="H1024" t="s">
        <v>92</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138</v>
      </c>
      <c r="B1025" t="s">
        <v>795</v>
      </c>
      <c r="C1025" t="s">
        <v>88</v>
      </c>
      <c r="D1025" t="s">
        <v>88</v>
      </c>
      <c r="E1025" t="s">
        <v>710</v>
      </c>
      <c r="F1025" t="s">
        <v>88</v>
      </c>
      <c r="G1025" t="s">
        <v>88</v>
      </c>
      <c r="H1025" t="s">
        <v>92</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138</v>
      </c>
      <c r="B1026" t="s">
        <v>620</v>
      </c>
      <c r="C1026" t="s">
        <v>88</v>
      </c>
      <c r="D1026" t="s">
        <v>88</v>
      </c>
      <c r="E1026" t="s">
        <v>709</v>
      </c>
      <c r="F1026" t="s">
        <v>88</v>
      </c>
      <c r="G1026" t="s">
        <v>88</v>
      </c>
      <c r="H1026" t="s">
        <v>92</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138</v>
      </c>
      <c r="B1027" t="s">
        <v>622</v>
      </c>
      <c r="C1027" t="s">
        <v>88</v>
      </c>
      <c r="D1027" t="s">
        <v>88</v>
      </c>
      <c r="E1027" t="s">
        <v>710</v>
      </c>
      <c r="F1027" t="s">
        <v>88</v>
      </c>
      <c r="G1027" t="s">
        <v>88</v>
      </c>
      <c r="H1027" t="s">
        <v>92</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138</v>
      </c>
      <c r="B1028" t="s">
        <v>623</v>
      </c>
      <c r="C1028" t="s">
        <v>88</v>
      </c>
      <c r="D1028" t="s">
        <v>88</v>
      </c>
      <c r="E1028" t="s">
        <v>711</v>
      </c>
      <c r="F1028" t="s">
        <v>88</v>
      </c>
      <c r="G1028" t="s">
        <v>88</v>
      </c>
      <c r="H1028" t="s">
        <v>92</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138</v>
      </c>
      <c r="B1029" t="s">
        <v>714</v>
      </c>
      <c r="C1029" t="s">
        <v>88</v>
      </c>
      <c r="D1029" t="s">
        <v>88</v>
      </c>
      <c r="E1029" t="s">
        <v>791</v>
      </c>
      <c r="F1029" t="s">
        <v>88</v>
      </c>
      <c r="G1029" t="s">
        <v>88</v>
      </c>
      <c r="H1029" t="s">
        <v>92</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138</v>
      </c>
      <c r="B1030" t="s">
        <v>1074</v>
      </c>
      <c r="C1030" t="s">
        <v>88</v>
      </c>
      <c r="D1030" t="s">
        <v>88</v>
      </c>
      <c r="E1030" t="s">
        <v>791</v>
      </c>
      <c r="F1030" t="s">
        <v>88</v>
      </c>
      <c r="G1030" t="s">
        <v>88</v>
      </c>
      <c r="H1030" t="s">
        <v>92</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138</v>
      </c>
      <c r="B1031" t="s">
        <v>1671</v>
      </c>
      <c r="C1031" t="s">
        <v>88</v>
      </c>
      <c r="D1031" t="s">
        <v>88</v>
      </c>
      <c r="E1031" t="s">
        <v>791</v>
      </c>
      <c r="F1031" t="s">
        <v>88</v>
      </c>
      <c r="G1031" t="s">
        <v>88</v>
      </c>
      <c r="H1031" t="s">
        <v>92</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138</v>
      </c>
      <c r="B1032" t="s">
        <v>998</v>
      </c>
      <c r="C1032" t="s">
        <v>88</v>
      </c>
      <c r="D1032" t="s">
        <v>88</v>
      </c>
      <c r="E1032" t="s">
        <v>791</v>
      </c>
      <c r="F1032" t="s">
        <v>88</v>
      </c>
      <c r="G1032" t="s">
        <v>88</v>
      </c>
      <c r="H1032" t="s">
        <v>92</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138</v>
      </c>
      <c r="B1033" t="s">
        <v>1073</v>
      </c>
      <c r="C1033" t="s">
        <v>88</v>
      </c>
      <c r="D1033" t="s">
        <v>88</v>
      </c>
      <c r="E1033" t="s">
        <v>791</v>
      </c>
      <c r="F1033" t="s">
        <v>88</v>
      </c>
      <c r="G1033" t="s">
        <v>88</v>
      </c>
      <c r="H1033" t="s">
        <v>92</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138</v>
      </c>
      <c r="B1034" t="s">
        <v>625</v>
      </c>
      <c r="C1034" t="s">
        <v>88</v>
      </c>
      <c r="D1034" t="s">
        <v>88</v>
      </c>
      <c r="E1034" t="s">
        <v>626</v>
      </c>
      <c r="F1034" t="s">
        <v>88</v>
      </c>
      <c r="G1034" t="s">
        <v>88</v>
      </c>
      <c r="H1034" t="s">
        <v>92</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140</v>
      </c>
      <c r="B1035" t="s">
        <v>739</v>
      </c>
      <c r="C1035" t="s">
        <v>88</v>
      </c>
      <c r="D1035" t="s">
        <v>1672</v>
      </c>
      <c r="E1035" t="s">
        <v>937</v>
      </c>
      <c r="F1035" t="s">
        <v>88</v>
      </c>
      <c r="G1035" t="s">
        <v>88</v>
      </c>
      <c r="H1035" t="s">
        <v>92</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140</v>
      </c>
      <c r="B1036" t="s">
        <v>1673</v>
      </c>
      <c r="C1036" t="s">
        <v>88</v>
      </c>
      <c r="D1036" t="s">
        <v>1674</v>
      </c>
      <c r="E1036" t="s">
        <v>1282</v>
      </c>
      <c r="F1036" t="s">
        <v>88</v>
      </c>
      <c r="G1036" t="s">
        <v>88</v>
      </c>
      <c r="H1036" t="s">
        <v>92</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140</v>
      </c>
      <c r="B1037" t="s">
        <v>736</v>
      </c>
      <c r="C1037" t="s">
        <v>88</v>
      </c>
      <c r="D1037" t="s">
        <v>1672</v>
      </c>
      <c r="E1037" t="s">
        <v>663</v>
      </c>
      <c r="F1037" t="s">
        <v>88</v>
      </c>
      <c r="G1037" t="s">
        <v>88</v>
      </c>
      <c r="H1037" t="s">
        <v>92</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140</v>
      </c>
      <c r="B1038" t="s">
        <v>876</v>
      </c>
      <c r="C1038" t="s">
        <v>88</v>
      </c>
      <c r="D1038" t="s">
        <v>1674</v>
      </c>
      <c r="E1038" t="s">
        <v>1006</v>
      </c>
      <c r="F1038" t="s">
        <v>88</v>
      </c>
      <c r="G1038" t="s">
        <v>88</v>
      </c>
      <c r="H1038" t="s">
        <v>92</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140</v>
      </c>
      <c r="B1039" t="s">
        <v>897</v>
      </c>
      <c r="C1039" t="s">
        <v>88</v>
      </c>
      <c r="D1039" t="s">
        <v>1674</v>
      </c>
      <c r="E1039" t="s">
        <v>836</v>
      </c>
      <c r="F1039" t="s">
        <v>88</v>
      </c>
      <c r="G1039" t="s">
        <v>88</v>
      </c>
      <c r="H1039" t="s">
        <v>92</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140</v>
      </c>
      <c r="B1040" t="s">
        <v>905</v>
      </c>
      <c r="C1040" t="s">
        <v>88</v>
      </c>
      <c r="D1040" t="s">
        <v>1674</v>
      </c>
      <c r="E1040" t="s">
        <v>836</v>
      </c>
      <c r="F1040" t="s">
        <v>88</v>
      </c>
      <c r="G1040" t="s">
        <v>88</v>
      </c>
      <c r="H1040" t="s">
        <v>92</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140</v>
      </c>
      <c r="B1041" t="s">
        <v>1675</v>
      </c>
      <c r="C1041" t="s">
        <v>88</v>
      </c>
      <c r="D1041" t="s">
        <v>1674</v>
      </c>
      <c r="E1041" t="s">
        <v>836</v>
      </c>
      <c r="F1041" t="s">
        <v>88</v>
      </c>
      <c r="G1041" t="s">
        <v>88</v>
      </c>
      <c r="H1041" t="s">
        <v>92</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140</v>
      </c>
      <c r="B1042" t="s">
        <v>763</v>
      </c>
      <c r="C1042" t="s">
        <v>88</v>
      </c>
      <c r="D1042" t="s">
        <v>1674</v>
      </c>
      <c r="E1042" t="s">
        <v>836</v>
      </c>
      <c r="F1042" t="s">
        <v>88</v>
      </c>
      <c r="G1042" t="s">
        <v>88</v>
      </c>
      <c r="H1042" t="s">
        <v>92</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140</v>
      </c>
      <c r="B1043" t="s">
        <v>907</v>
      </c>
      <c r="C1043" t="s">
        <v>88</v>
      </c>
      <c r="D1043" t="s">
        <v>1676</v>
      </c>
      <c r="E1043" t="s">
        <v>836</v>
      </c>
      <c r="F1043" t="s">
        <v>88</v>
      </c>
      <c r="G1043" t="s">
        <v>88</v>
      </c>
      <c r="H1043" t="s">
        <v>92</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140</v>
      </c>
      <c r="B1044" t="s">
        <v>1677</v>
      </c>
      <c r="C1044" t="s">
        <v>88</v>
      </c>
      <c r="D1044" t="s">
        <v>1674</v>
      </c>
      <c r="E1044" t="s">
        <v>1006</v>
      </c>
      <c r="F1044" t="s">
        <v>88</v>
      </c>
      <c r="G1044" t="s">
        <v>88</v>
      </c>
      <c r="H1044" t="s">
        <v>92</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140</v>
      </c>
      <c r="B1045" t="s">
        <v>1678</v>
      </c>
      <c r="C1045" t="s">
        <v>88</v>
      </c>
      <c r="D1045" t="s">
        <v>1674</v>
      </c>
      <c r="E1045" t="s">
        <v>838</v>
      </c>
      <c r="F1045" t="s">
        <v>88</v>
      </c>
      <c r="G1045" t="s">
        <v>88</v>
      </c>
      <c r="H1045" t="s">
        <v>92</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140</v>
      </c>
      <c r="B1046" t="s">
        <v>1679</v>
      </c>
      <c r="C1046" t="s">
        <v>88</v>
      </c>
      <c r="D1046" t="s">
        <v>1674</v>
      </c>
      <c r="E1046" t="s">
        <v>1680</v>
      </c>
      <c r="F1046" t="s">
        <v>88</v>
      </c>
      <c r="G1046" t="s">
        <v>88</v>
      </c>
      <c r="H1046" t="s">
        <v>92</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140</v>
      </c>
      <c r="B1047" t="s">
        <v>1681</v>
      </c>
      <c r="C1047" t="s">
        <v>88</v>
      </c>
      <c r="D1047" t="s">
        <v>1674</v>
      </c>
      <c r="E1047" t="s">
        <v>964</v>
      </c>
      <c r="F1047" t="s">
        <v>88</v>
      </c>
      <c r="G1047" t="s">
        <v>88</v>
      </c>
      <c r="H1047" t="s">
        <v>92</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140</v>
      </c>
      <c r="B1048" t="s">
        <v>1673</v>
      </c>
      <c r="C1048" t="s">
        <v>88</v>
      </c>
      <c r="D1048" t="s">
        <v>1674</v>
      </c>
      <c r="E1048" t="s">
        <v>1282</v>
      </c>
      <c r="F1048" t="s">
        <v>88</v>
      </c>
      <c r="G1048" t="s">
        <v>88</v>
      </c>
      <c r="H1048" t="s">
        <v>92</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140</v>
      </c>
      <c r="B1049" t="s">
        <v>1682</v>
      </c>
      <c r="C1049" t="s">
        <v>88</v>
      </c>
      <c r="D1049" t="s">
        <v>1674</v>
      </c>
      <c r="E1049" t="s">
        <v>1282</v>
      </c>
      <c r="F1049" t="s">
        <v>88</v>
      </c>
      <c r="G1049" t="s">
        <v>88</v>
      </c>
      <c r="H1049" t="s">
        <v>92</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140</v>
      </c>
      <c r="B1050" t="s">
        <v>769</v>
      </c>
      <c r="C1050" t="s">
        <v>88</v>
      </c>
      <c r="D1050" t="s">
        <v>1683</v>
      </c>
      <c r="E1050" t="s">
        <v>1171</v>
      </c>
      <c r="F1050" t="s">
        <v>88</v>
      </c>
      <c r="G1050" t="s">
        <v>88</v>
      </c>
      <c r="H1050" t="s">
        <v>92</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140</v>
      </c>
      <c r="B1051" t="s">
        <v>736</v>
      </c>
      <c r="C1051" t="s">
        <v>88</v>
      </c>
      <c r="D1051" t="s">
        <v>1672</v>
      </c>
      <c r="E1051" t="s">
        <v>663</v>
      </c>
      <c r="F1051" t="s">
        <v>88</v>
      </c>
      <c r="G1051" t="s">
        <v>88</v>
      </c>
      <c r="H1051" t="s">
        <v>92</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140</v>
      </c>
      <c r="B1052" t="s">
        <v>1395</v>
      </c>
      <c r="C1052" t="s">
        <v>88</v>
      </c>
      <c r="D1052" t="s">
        <v>1672</v>
      </c>
      <c r="E1052" t="s">
        <v>663</v>
      </c>
      <c r="F1052" t="s">
        <v>88</v>
      </c>
      <c r="G1052" t="s">
        <v>88</v>
      </c>
      <c r="H1052" t="s">
        <v>92</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140</v>
      </c>
      <c r="B1053" t="s">
        <v>739</v>
      </c>
      <c r="C1053" t="s">
        <v>88</v>
      </c>
      <c r="D1053" t="s">
        <v>1672</v>
      </c>
      <c r="E1053" t="s">
        <v>937</v>
      </c>
      <c r="F1053" t="s">
        <v>88</v>
      </c>
      <c r="G1053" t="s">
        <v>88</v>
      </c>
      <c r="H1053" t="s">
        <v>92</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140</v>
      </c>
      <c r="B1054" t="s">
        <v>1396</v>
      </c>
      <c r="C1054" t="s">
        <v>88</v>
      </c>
      <c r="D1054" t="s">
        <v>1672</v>
      </c>
      <c r="E1054" t="s">
        <v>700</v>
      </c>
      <c r="F1054" t="s">
        <v>88</v>
      </c>
      <c r="G1054" t="s">
        <v>88</v>
      </c>
      <c r="H1054" t="s">
        <v>92</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140</v>
      </c>
      <c r="B1055" t="s">
        <v>701</v>
      </c>
      <c r="C1055" t="s">
        <v>88</v>
      </c>
      <c r="D1055" t="s">
        <v>88</v>
      </c>
      <c r="E1055" t="s">
        <v>702</v>
      </c>
      <c r="F1055" t="s">
        <v>88</v>
      </c>
      <c r="G1055" t="s">
        <v>88</v>
      </c>
      <c r="H1055" t="s">
        <v>92</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140</v>
      </c>
      <c r="B1056" t="s">
        <v>703</v>
      </c>
      <c r="C1056" t="s">
        <v>88</v>
      </c>
      <c r="D1056" t="s">
        <v>88</v>
      </c>
      <c r="E1056" t="s">
        <v>702</v>
      </c>
      <c r="F1056" t="s">
        <v>88</v>
      </c>
      <c r="G1056" t="s">
        <v>88</v>
      </c>
      <c r="H1056" t="s">
        <v>92</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140</v>
      </c>
      <c r="B1057" t="s">
        <v>704</v>
      </c>
      <c r="C1057" t="s">
        <v>88</v>
      </c>
      <c r="D1057" t="s">
        <v>88</v>
      </c>
      <c r="E1057" t="s">
        <v>702</v>
      </c>
      <c r="F1057" t="s">
        <v>88</v>
      </c>
      <c r="G1057" t="s">
        <v>88</v>
      </c>
      <c r="H1057" t="s">
        <v>92</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140</v>
      </c>
      <c r="B1058" t="s">
        <v>705</v>
      </c>
      <c r="C1058" t="s">
        <v>88</v>
      </c>
      <c r="D1058" t="s">
        <v>88</v>
      </c>
      <c r="E1058" t="s">
        <v>702</v>
      </c>
      <c r="F1058" t="s">
        <v>88</v>
      </c>
      <c r="G1058" t="s">
        <v>88</v>
      </c>
      <c r="H1058" t="s">
        <v>92</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140</v>
      </c>
      <c r="B1059" t="s">
        <v>706</v>
      </c>
      <c r="C1059" t="s">
        <v>88</v>
      </c>
      <c r="D1059" t="s">
        <v>88</v>
      </c>
      <c r="E1059" t="s">
        <v>702</v>
      </c>
      <c r="F1059" t="s">
        <v>88</v>
      </c>
      <c r="G1059" t="s">
        <v>88</v>
      </c>
      <c r="H1059" t="s">
        <v>92</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140</v>
      </c>
      <c r="B1060" t="s">
        <v>1684</v>
      </c>
      <c r="C1060" t="s">
        <v>88</v>
      </c>
      <c r="D1060" t="s">
        <v>88</v>
      </c>
      <c r="E1060" t="s">
        <v>702</v>
      </c>
      <c r="F1060" t="s">
        <v>88</v>
      </c>
      <c r="G1060" t="s">
        <v>88</v>
      </c>
      <c r="H1060" t="s">
        <v>92</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140</v>
      </c>
      <c r="B1061" t="s">
        <v>708</v>
      </c>
      <c r="C1061" t="s">
        <v>88</v>
      </c>
      <c r="D1061" t="s">
        <v>88</v>
      </c>
      <c r="E1061" t="s">
        <v>702</v>
      </c>
      <c r="F1061" t="s">
        <v>88</v>
      </c>
      <c r="G1061" t="s">
        <v>88</v>
      </c>
      <c r="H1061" t="s">
        <v>92</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140</v>
      </c>
      <c r="B1062" t="s">
        <v>1685</v>
      </c>
      <c r="C1062" t="s">
        <v>88</v>
      </c>
      <c r="D1062" t="s">
        <v>88</v>
      </c>
      <c r="E1062" t="s">
        <v>734</v>
      </c>
      <c r="F1062" t="s">
        <v>88</v>
      </c>
      <c r="G1062" t="s">
        <v>88</v>
      </c>
      <c r="H1062" t="s">
        <v>92</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140</v>
      </c>
      <c r="B1063" t="s">
        <v>1686</v>
      </c>
      <c r="C1063" t="s">
        <v>88</v>
      </c>
      <c r="D1063" t="s">
        <v>88</v>
      </c>
      <c r="E1063" t="s">
        <v>734</v>
      </c>
      <c r="F1063" t="s">
        <v>88</v>
      </c>
      <c r="G1063" t="s">
        <v>88</v>
      </c>
      <c r="H1063" t="s">
        <v>92</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140</v>
      </c>
      <c r="B1064" t="s">
        <v>795</v>
      </c>
      <c r="C1064" t="s">
        <v>88</v>
      </c>
      <c r="D1064" t="s">
        <v>88</v>
      </c>
      <c r="E1064" t="s">
        <v>710</v>
      </c>
      <c r="F1064" t="s">
        <v>88</v>
      </c>
      <c r="G1064" t="s">
        <v>88</v>
      </c>
      <c r="H1064" t="s">
        <v>92</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140</v>
      </c>
      <c r="B1065" t="s">
        <v>797</v>
      </c>
      <c r="C1065" t="s">
        <v>88</v>
      </c>
      <c r="D1065" t="s">
        <v>88</v>
      </c>
      <c r="E1065" t="s">
        <v>734</v>
      </c>
      <c r="F1065" t="s">
        <v>88</v>
      </c>
      <c r="G1065" t="s">
        <v>88</v>
      </c>
      <c r="H1065" t="s">
        <v>92</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140</v>
      </c>
      <c r="B1066" t="s">
        <v>622</v>
      </c>
      <c r="C1066" t="s">
        <v>88</v>
      </c>
      <c r="D1066" t="s">
        <v>88</v>
      </c>
      <c r="E1066" t="s">
        <v>710</v>
      </c>
      <c r="F1066" t="s">
        <v>88</v>
      </c>
      <c r="G1066" t="s">
        <v>88</v>
      </c>
      <c r="H1066" t="s">
        <v>92</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140</v>
      </c>
      <c r="B1067" t="s">
        <v>623</v>
      </c>
      <c r="C1067" t="s">
        <v>88</v>
      </c>
      <c r="D1067" t="s">
        <v>88</v>
      </c>
      <c r="E1067" t="s">
        <v>711</v>
      </c>
      <c r="F1067" t="s">
        <v>88</v>
      </c>
      <c r="G1067" t="s">
        <v>88</v>
      </c>
      <c r="H1067" t="s">
        <v>92</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140</v>
      </c>
      <c r="B1068" t="s">
        <v>714</v>
      </c>
      <c r="C1068" t="s">
        <v>88</v>
      </c>
      <c r="D1068" t="s">
        <v>88</v>
      </c>
      <c r="E1068" t="s">
        <v>791</v>
      </c>
      <c r="F1068" t="s">
        <v>88</v>
      </c>
      <c r="G1068" t="s">
        <v>88</v>
      </c>
      <c r="H1068" t="s">
        <v>92</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140</v>
      </c>
      <c r="B1069" t="s">
        <v>1074</v>
      </c>
      <c r="C1069" t="s">
        <v>88</v>
      </c>
      <c r="D1069" t="s">
        <v>88</v>
      </c>
      <c r="E1069" t="s">
        <v>791</v>
      </c>
      <c r="F1069" t="s">
        <v>88</v>
      </c>
      <c r="G1069" t="s">
        <v>88</v>
      </c>
      <c r="H1069" t="s">
        <v>92</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140</v>
      </c>
      <c r="B1070" t="s">
        <v>1671</v>
      </c>
      <c r="C1070" t="s">
        <v>88</v>
      </c>
      <c r="D1070" t="s">
        <v>88</v>
      </c>
      <c r="E1070" t="s">
        <v>791</v>
      </c>
      <c r="F1070" t="s">
        <v>88</v>
      </c>
      <c r="G1070" t="s">
        <v>88</v>
      </c>
      <c r="H1070" t="s">
        <v>92</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140</v>
      </c>
      <c r="B1071" t="s">
        <v>998</v>
      </c>
      <c r="C1071" t="s">
        <v>88</v>
      </c>
      <c r="D1071" t="s">
        <v>88</v>
      </c>
      <c r="E1071" t="s">
        <v>791</v>
      </c>
      <c r="F1071" t="s">
        <v>88</v>
      </c>
      <c r="G1071" t="s">
        <v>88</v>
      </c>
      <c r="H1071" t="s">
        <v>92</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140</v>
      </c>
      <c r="B1072" t="s">
        <v>1073</v>
      </c>
      <c r="C1072" t="s">
        <v>88</v>
      </c>
      <c r="D1072" t="s">
        <v>88</v>
      </c>
      <c r="E1072" t="s">
        <v>791</v>
      </c>
      <c r="F1072" t="s">
        <v>88</v>
      </c>
      <c r="G1072" t="s">
        <v>88</v>
      </c>
      <c r="H1072" t="s">
        <v>92</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140</v>
      </c>
      <c r="B1073" t="s">
        <v>625</v>
      </c>
      <c r="C1073" t="s">
        <v>88</v>
      </c>
      <c r="D1073" t="s">
        <v>88</v>
      </c>
      <c r="E1073" t="s">
        <v>626</v>
      </c>
      <c r="F1073" t="s">
        <v>88</v>
      </c>
      <c r="G1073" t="s">
        <v>88</v>
      </c>
      <c r="H1073" t="s">
        <v>92</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141</v>
      </c>
      <c r="B1074" t="s">
        <v>1687</v>
      </c>
      <c r="C1074" t="s">
        <v>88</v>
      </c>
      <c r="D1074" t="s">
        <v>1688</v>
      </c>
      <c r="E1074" t="s">
        <v>710</v>
      </c>
      <c r="F1074" t="s">
        <v>88</v>
      </c>
      <c r="G1074" t="s">
        <v>88</v>
      </c>
      <c r="H1074" t="s">
        <v>92</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141</v>
      </c>
      <c r="B1075" t="s">
        <v>1689</v>
      </c>
      <c r="C1075" t="s">
        <v>88</v>
      </c>
      <c r="D1075" t="s">
        <v>88</v>
      </c>
      <c r="E1075" t="s">
        <v>710</v>
      </c>
      <c r="F1075" t="s">
        <v>88</v>
      </c>
      <c r="G1075" t="s">
        <v>88</v>
      </c>
      <c r="H1075" t="s">
        <v>92</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141</v>
      </c>
      <c r="B1076" t="s">
        <v>1690</v>
      </c>
      <c r="C1076" t="s">
        <v>88</v>
      </c>
      <c r="D1076" t="s">
        <v>1688</v>
      </c>
      <c r="E1076" t="s">
        <v>734</v>
      </c>
      <c r="F1076" t="s">
        <v>88</v>
      </c>
      <c r="G1076" t="s">
        <v>88</v>
      </c>
      <c r="H1076" t="s">
        <v>92</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141</v>
      </c>
      <c r="B1077" t="s">
        <v>1691</v>
      </c>
      <c r="C1077" t="s">
        <v>88</v>
      </c>
      <c r="D1077" t="s">
        <v>88</v>
      </c>
      <c r="E1077" t="s">
        <v>825</v>
      </c>
      <c r="F1077" t="s">
        <v>88</v>
      </c>
      <c r="G1077" t="s">
        <v>88</v>
      </c>
      <c r="H1077" t="s">
        <v>92</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141</v>
      </c>
      <c r="B1078" t="s">
        <v>1692</v>
      </c>
      <c r="C1078" t="s">
        <v>88</v>
      </c>
      <c r="D1078" t="s">
        <v>1693</v>
      </c>
      <c r="E1078" t="s">
        <v>655</v>
      </c>
      <c r="F1078" t="s">
        <v>88</v>
      </c>
      <c r="G1078" t="s">
        <v>88</v>
      </c>
      <c r="H1078" t="s">
        <v>92</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141</v>
      </c>
      <c r="B1079" t="s">
        <v>1694</v>
      </c>
      <c r="C1079" t="s">
        <v>88</v>
      </c>
      <c r="D1079" t="s">
        <v>88</v>
      </c>
      <c r="E1079" t="s">
        <v>655</v>
      </c>
      <c r="F1079" t="s">
        <v>88</v>
      </c>
      <c r="G1079" t="s">
        <v>88</v>
      </c>
      <c r="H1079" t="s">
        <v>92</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141</v>
      </c>
      <c r="B1080" t="s">
        <v>1695</v>
      </c>
      <c r="C1080" t="s">
        <v>88</v>
      </c>
      <c r="D1080" t="s">
        <v>88</v>
      </c>
      <c r="E1080" t="s">
        <v>825</v>
      </c>
      <c r="F1080" t="s">
        <v>88</v>
      </c>
      <c r="G1080" t="s">
        <v>88</v>
      </c>
      <c r="H1080" t="s">
        <v>92</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141</v>
      </c>
      <c r="B1081" t="s">
        <v>1696</v>
      </c>
      <c r="C1081" t="s">
        <v>88</v>
      </c>
      <c r="D1081" t="s">
        <v>1693</v>
      </c>
      <c r="E1081" t="s">
        <v>655</v>
      </c>
      <c r="F1081" t="s">
        <v>88</v>
      </c>
      <c r="G1081" t="s">
        <v>88</v>
      </c>
      <c r="H1081" t="s">
        <v>92</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141</v>
      </c>
      <c r="B1082" t="s">
        <v>1697</v>
      </c>
      <c r="C1082" t="s">
        <v>88</v>
      </c>
      <c r="D1082" t="s">
        <v>88</v>
      </c>
      <c r="E1082" t="s">
        <v>812</v>
      </c>
      <c r="F1082" t="s">
        <v>88</v>
      </c>
      <c r="G1082" t="s">
        <v>88</v>
      </c>
      <c r="H1082" t="s">
        <v>92</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141</v>
      </c>
      <c r="B1083" t="s">
        <v>1698</v>
      </c>
      <c r="C1083" t="s">
        <v>88</v>
      </c>
      <c r="D1083" t="s">
        <v>88</v>
      </c>
      <c r="E1083" t="s">
        <v>812</v>
      </c>
      <c r="F1083" t="s">
        <v>88</v>
      </c>
      <c r="G1083" t="s">
        <v>88</v>
      </c>
      <c r="H1083" t="s">
        <v>92</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141</v>
      </c>
      <c r="B1084" t="s">
        <v>1699</v>
      </c>
      <c r="C1084" t="s">
        <v>88</v>
      </c>
      <c r="D1084" t="s">
        <v>88</v>
      </c>
      <c r="E1084" t="s">
        <v>1153</v>
      </c>
      <c r="F1084" t="s">
        <v>88</v>
      </c>
      <c r="G1084" t="s">
        <v>88</v>
      </c>
      <c r="H1084" t="s">
        <v>92</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141</v>
      </c>
      <c r="B1085" t="s">
        <v>1700</v>
      </c>
      <c r="C1085" t="s">
        <v>88</v>
      </c>
      <c r="D1085" t="s">
        <v>88</v>
      </c>
      <c r="E1085" t="s">
        <v>1153</v>
      </c>
      <c r="F1085" t="s">
        <v>88</v>
      </c>
      <c r="G1085" t="s">
        <v>88</v>
      </c>
      <c r="H1085" t="s">
        <v>92</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141</v>
      </c>
      <c r="B1086" t="s">
        <v>1701</v>
      </c>
      <c r="C1086" t="s">
        <v>88</v>
      </c>
      <c r="D1086" t="s">
        <v>88</v>
      </c>
      <c r="E1086" t="s">
        <v>1171</v>
      </c>
      <c r="F1086" t="s">
        <v>88</v>
      </c>
      <c r="G1086" t="s">
        <v>88</v>
      </c>
      <c r="H1086" t="s">
        <v>92</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141</v>
      </c>
      <c r="B1087" t="s">
        <v>1702</v>
      </c>
      <c r="C1087" t="s">
        <v>88</v>
      </c>
      <c r="D1087" t="s">
        <v>1703</v>
      </c>
      <c r="E1087" t="s">
        <v>738</v>
      </c>
      <c r="F1087" t="s">
        <v>88</v>
      </c>
      <c r="G1087" t="s">
        <v>88</v>
      </c>
      <c r="H1087" t="s">
        <v>92</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141</v>
      </c>
      <c r="B1088" t="s">
        <v>701</v>
      </c>
      <c r="C1088" t="s">
        <v>88</v>
      </c>
      <c r="D1088" t="s">
        <v>88</v>
      </c>
      <c r="E1088" t="s">
        <v>702</v>
      </c>
      <c r="F1088" t="s">
        <v>88</v>
      </c>
      <c r="G1088" t="s">
        <v>88</v>
      </c>
      <c r="H1088" t="s">
        <v>92</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141</v>
      </c>
      <c r="B1089" t="s">
        <v>703</v>
      </c>
      <c r="C1089" t="s">
        <v>88</v>
      </c>
      <c r="D1089" t="s">
        <v>88</v>
      </c>
      <c r="E1089" t="s">
        <v>734</v>
      </c>
      <c r="F1089" t="s">
        <v>88</v>
      </c>
      <c r="G1089" t="s">
        <v>88</v>
      </c>
      <c r="H1089" t="s">
        <v>92</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141</v>
      </c>
      <c r="B1090" t="s">
        <v>704</v>
      </c>
      <c r="C1090" t="s">
        <v>88</v>
      </c>
      <c r="D1090" t="s">
        <v>88</v>
      </c>
      <c r="E1090" t="s">
        <v>702</v>
      </c>
      <c r="F1090" t="s">
        <v>88</v>
      </c>
      <c r="G1090" t="s">
        <v>88</v>
      </c>
      <c r="H1090" t="s">
        <v>92</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141</v>
      </c>
      <c r="B1091" t="s">
        <v>705</v>
      </c>
      <c r="C1091" t="s">
        <v>88</v>
      </c>
      <c r="D1091" t="s">
        <v>88</v>
      </c>
      <c r="E1091" t="s">
        <v>702</v>
      </c>
      <c r="F1091" t="s">
        <v>88</v>
      </c>
      <c r="G1091" t="s">
        <v>88</v>
      </c>
      <c r="H1091" t="s">
        <v>92</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141</v>
      </c>
      <c r="B1092" t="s">
        <v>706</v>
      </c>
      <c r="C1092" t="s">
        <v>88</v>
      </c>
      <c r="D1092" t="s">
        <v>88</v>
      </c>
      <c r="E1092" t="s">
        <v>702</v>
      </c>
      <c r="F1092" t="s">
        <v>88</v>
      </c>
      <c r="G1092" t="s">
        <v>88</v>
      </c>
      <c r="H1092" t="s">
        <v>92</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141</v>
      </c>
      <c r="B1093" t="s">
        <v>707</v>
      </c>
      <c r="C1093" t="s">
        <v>88</v>
      </c>
      <c r="D1093" t="s">
        <v>88</v>
      </c>
      <c r="E1093" t="s">
        <v>702</v>
      </c>
      <c r="F1093" t="s">
        <v>88</v>
      </c>
      <c r="G1093" t="s">
        <v>88</v>
      </c>
      <c r="H1093" t="s">
        <v>92</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141</v>
      </c>
      <c r="B1094" t="s">
        <v>1704</v>
      </c>
      <c r="C1094" t="s">
        <v>88</v>
      </c>
      <c r="D1094" t="s">
        <v>88</v>
      </c>
      <c r="E1094" t="s">
        <v>702</v>
      </c>
      <c r="F1094" t="s">
        <v>88</v>
      </c>
      <c r="G1094" t="s">
        <v>88</v>
      </c>
      <c r="H1094" t="s">
        <v>92</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141</v>
      </c>
      <c r="B1095" t="s">
        <v>846</v>
      </c>
      <c r="C1095" t="s">
        <v>88</v>
      </c>
      <c r="D1095" t="s">
        <v>88</v>
      </c>
      <c r="E1095" t="s">
        <v>734</v>
      </c>
      <c r="F1095" t="s">
        <v>88</v>
      </c>
      <c r="G1095" t="s">
        <v>88</v>
      </c>
      <c r="H1095" t="s">
        <v>92</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141</v>
      </c>
      <c r="B1096" t="s">
        <v>926</v>
      </c>
      <c r="C1096" t="s">
        <v>88</v>
      </c>
      <c r="D1096" t="s">
        <v>88</v>
      </c>
      <c r="E1096" t="s">
        <v>734</v>
      </c>
      <c r="F1096" t="s">
        <v>88</v>
      </c>
      <c r="G1096" t="s">
        <v>88</v>
      </c>
      <c r="H1096" t="s">
        <v>92</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141</v>
      </c>
      <c r="B1097" t="s">
        <v>618</v>
      </c>
      <c r="C1097" t="s">
        <v>88</v>
      </c>
      <c r="D1097" t="s">
        <v>88</v>
      </c>
      <c r="E1097" t="s">
        <v>734</v>
      </c>
      <c r="F1097" t="s">
        <v>88</v>
      </c>
      <c r="G1097" t="s">
        <v>88</v>
      </c>
      <c r="H1097" t="s">
        <v>92</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141</v>
      </c>
      <c r="B1098" t="s">
        <v>795</v>
      </c>
      <c r="C1098" t="s">
        <v>88</v>
      </c>
      <c r="D1098" t="s">
        <v>88</v>
      </c>
      <c r="E1098" t="s">
        <v>710</v>
      </c>
      <c r="F1098" t="s">
        <v>88</v>
      </c>
      <c r="G1098" t="s">
        <v>88</v>
      </c>
      <c r="H1098" t="s">
        <v>92</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141</v>
      </c>
      <c r="B1099" t="s">
        <v>620</v>
      </c>
      <c r="C1099" t="s">
        <v>88</v>
      </c>
      <c r="D1099" t="s">
        <v>88</v>
      </c>
      <c r="E1099" t="s">
        <v>709</v>
      </c>
      <c r="F1099" t="s">
        <v>88</v>
      </c>
      <c r="G1099" t="s">
        <v>88</v>
      </c>
      <c r="H1099" t="s">
        <v>92</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141</v>
      </c>
      <c r="B1100" t="s">
        <v>622</v>
      </c>
      <c r="C1100" t="s">
        <v>88</v>
      </c>
      <c r="D1100" t="s">
        <v>88</v>
      </c>
      <c r="E1100" t="s">
        <v>710</v>
      </c>
      <c r="F1100" t="s">
        <v>88</v>
      </c>
      <c r="G1100" t="s">
        <v>88</v>
      </c>
      <c r="H1100" t="s">
        <v>92</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141</v>
      </c>
      <c r="B1101" t="s">
        <v>623</v>
      </c>
      <c r="C1101" t="s">
        <v>88</v>
      </c>
      <c r="D1101" t="s">
        <v>88</v>
      </c>
      <c r="E1101" t="s">
        <v>711</v>
      </c>
      <c r="F1101" t="s">
        <v>88</v>
      </c>
      <c r="G1101" t="s">
        <v>88</v>
      </c>
      <c r="H1101" t="s">
        <v>92</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141</v>
      </c>
      <c r="B1102" t="s">
        <v>714</v>
      </c>
      <c r="C1102" t="s">
        <v>88</v>
      </c>
      <c r="D1102" t="s">
        <v>88</v>
      </c>
      <c r="E1102" t="s">
        <v>791</v>
      </c>
      <c r="F1102" t="s">
        <v>88</v>
      </c>
      <c r="G1102" t="s">
        <v>88</v>
      </c>
      <c r="H1102" t="s">
        <v>92</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141</v>
      </c>
      <c r="B1103" t="s">
        <v>1074</v>
      </c>
      <c r="C1103" t="s">
        <v>88</v>
      </c>
      <c r="D1103" t="s">
        <v>88</v>
      </c>
      <c r="E1103" t="s">
        <v>791</v>
      </c>
      <c r="F1103" t="s">
        <v>88</v>
      </c>
      <c r="G1103" t="s">
        <v>88</v>
      </c>
      <c r="H1103" t="s">
        <v>92</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141</v>
      </c>
      <c r="B1104" t="s">
        <v>1671</v>
      </c>
      <c r="C1104" t="s">
        <v>88</v>
      </c>
      <c r="D1104" t="s">
        <v>88</v>
      </c>
      <c r="E1104" t="s">
        <v>791</v>
      </c>
      <c r="F1104" t="s">
        <v>88</v>
      </c>
      <c r="G1104" t="s">
        <v>88</v>
      </c>
      <c r="H1104" t="s">
        <v>92</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141</v>
      </c>
      <c r="B1105" t="s">
        <v>998</v>
      </c>
      <c r="C1105" t="s">
        <v>88</v>
      </c>
      <c r="D1105" t="s">
        <v>88</v>
      </c>
      <c r="E1105" t="s">
        <v>791</v>
      </c>
      <c r="F1105" t="s">
        <v>88</v>
      </c>
      <c r="G1105" t="s">
        <v>88</v>
      </c>
      <c r="H1105" t="s">
        <v>92</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141</v>
      </c>
      <c r="B1106" t="s">
        <v>1705</v>
      </c>
      <c r="C1106" t="s">
        <v>88</v>
      </c>
      <c r="D1106" t="s">
        <v>88</v>
      </c>
      <c r="E1106" t="s">
        <v>791</v>
      </c>
      <c r="F1106" t="s">
        <v>88</v>
      </c>
      <c r="G1106" t="s">
        <v>88</v>
      </c>
      <c r="H1106" t="s">
        <v>92</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141</v>
      </c>
      <c r="B1107" t="s">
        <v>1141</v>
      </c>
      <c r="C1107" t="s">
        <v>88</v>
      </c>
      <c r="D1107" t="s">
        <v>88</v>
      </c>
      <c r="E1107" t="s">
        <v>676</v>
      </c>
      <c r="F1107" t="s">
        <v>88</v>
      </c>
      <c r="G1107" t="s">
        <v>88</v>
      </c>
      <c r="H1107" t="s">
        <v>92</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141</v>
      </c>
      <c r="B1108" t="s">
        <v>1142</v>
      </c>
      <c r="C1108" t="s">
        <v>88</v>
      </c>
      <c r="D1108" t="s">
        <v>88</v>
      </c>
      <c r="E1108" t="s">
        <v>676</v>
      </c>
      <c r="F1108" t="s">
        <v>88</v>
      </c>
      <c r="G1108" t="s">
        <v>88</v>
      </c>
      <c r="H1108" t="s">
        <v>92</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141</v>
      </c>
      <c r="B1109" t="s">
        <v>1706</v>
      </c>
      <c r="C1109" t="s">
        <v>88</v>
      </c>
      <c r="D1109" t="s">
        <v>88</v>
      </c>
      <c r="E1109" t="s">
        <v>676</v>
      </c>
      <c r="F1109" t="s">
        <v>88</v>
      </c>
      <c r="G1109" t="s">
        <v>88</v>
      </c>
      <c r="H1109" t="s">
        <v>92</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141</v>
      </c>
      <c r="B1110" t="s">
        <v>1707</v>
      </c>
      <c r="C1110" t="s">
        <v>88</v>
      </c>
      <c r="D1110" t="s">
        <v>88</v>
      </c>
      <c r="E1110" t="s">
        <v>844</v>
      </c>
      <c r="F1110" t="s">
        <v>88</v>
      </c>
      <c r="G1110" t="s">
        <v>88</v>
      </c>
      <c r="H1110" t="s">
        <v>92</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141</v>
      </c>
      <c r="B1111" t="s">
        <v>1708</v>
      </c>
      <c r="C1111" t="s">
        <v>88</v>
      </c>
      <c r="D1111" t="s">
        <v>88</v>
      </c>
      <c r="E1111" t="s">
        <v>844</v>
      </c>
      <c r="F1111" t="s">
        <v>88</v>
      </c>
      <c r="G1111" t="s">
        <v>88</v>
      </c>
      <c r="H1111" t="s">
        <v>92</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141</v>
      </c>
      <c r="B1112" t="s">
        <v>1709</v>
      </c>
      <c r="C1112" t="s">
        <v>88</v>
      </c>
      <c r="D1112" t="s">
        <v>88</v>
      </c>
      <c r="E1112" t="s">
        <v>1153</v>
      </c>
      <c r="F1112" t="s">
        <v>88</v>
      </c>
      <c r="G1112" t="s">
        <v>88</v>
      </c>
      <c r="H1112" t="s">
        <v>92</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141</v>
      </c>
      <c r="B1113" t="s">
        <v>1710</v>
      </c>
      <c r="C1113" t="s">
        <v>88</v>
      </c>
      <c r="D1113" t="s">
        <v>88</v>
      </c>
      <c r="E1113" t="s">
        <v>964</v>
      </c>
      <c r="F1113" t="s">
        <v>88</v>
      </c>
      <c r="G1113" t="s">
        <v>88</v>
      </c>
      <c r="H1113" t="s">
        <v>92</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141</v>
      </c>
      <c r="B1114" t="s">
        <v>1711</v>
      </c>
      <c r="C1114" t="s">
        <v>88</v>
      </c>
      <c r="D1114" t="s">
        <v>88</v>
      </c>
      <c r="E1114" t="s">
        <v>964</v>
      </c>
      <c r="F1114" t="s">
        <v>88</v>
      </c>
      <c r="G1114" t="s">
        <v>88</v>
      </c>
      <c r="H1114" t="s">
        <v>92</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141</v>
      </c>
      <c r="B1115" t="s">
        <v>1046</v>
      </c>
      <c r="C1115" t="s">
        <v>88</v>
      </c>
      <c r="D1115" t="s">
        <v>88</v>
      </c>
      <c r="E1115" t="s">
        <v>825</v>
      </c>
      <c r="F1115" t="s">
        <v>88</v>
      </c>
      <c r="G1115" t="s">
        <v>88</v>
      </c>
      <c r="H1115" t="s">
        <v>92</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141</v>
      </c>
      <c r="B1116" t="s">
        <v>1712</v>
      </c>
      <c r="C1116" t="s">
        <v>88</v>
      </c>
      <c r="D1116" t="s">
        <v>88</v>
      </c>
      <c r="E1116" t="s">
        <v>825</v>
      </c>
      <c r="F1116" t="s">
        <v>88</v>
      </c>
      <c r="G1116" t="s">
        <v>88</v>
      </c>
      <c r="H1116" t="s">
        <v>92</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141</v>
      </c>
      <c r="B1117" t="s">
        <v>1713</v>
      </c>
      <c r="C1117" t="s">
        <v>88</v>
      </c>
      <c r="D1117" t="s">
        <v>88</v>
      </c>
      <c r="E1117" t="s">
        <v>1714</v>
      </c>
      <c r="F1117" t="s">
        <v>88</v>
      </c>
      <c r="G1117" t="s">
        <v>88</v>
      </c>
      <c r="H1117" t="s">
        <v>92</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141</v>
      </c>
      <c r="B1118" t="s">
        <v>1715</v>
      </c>
      <c r="C1118" t="s">
        <v>88</v>
      </c>
      <c r="D1118" t="s">
        <v>88</v>
      </c>
      <c r="E1118" t="s">
        <v>1714</v>
      </c>
      <c r="F1118" t="s">
        <v>88</v>
      </c>
      <c r="G1118" t="s">
        <v>88</v>
      </c>
      <c r="H1118" t="s">
        <v>92</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141</v>
      </c>
      <c r="B1119" t="s">
        <v>1050</v>
      </c>
      <c r="C1119" t="s">
        <v>88</v>
      </c>
      <c r="D1119" t="s">
        <v>88</v>
      </c>
      <c r="E1119" t="s">
        <v>825</v>
      </c>
      <c r="F1119" t="s">
        <v>88</v>
      </c>
      <c r="G1119" t="s">
        <v>88</v>
      </c>
      <c r="H1119" t="s">
        <v>92</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141</v>
      </c>
      <c r="B1120" t="s">
        <v>1716</v>
      </c>
      <c r="C1120" t="s">
        <v>88</v>
      </c>
      <c r="D1120" t="s">
        <v>88</v>
      </c>
      <c r="E1120" t="s">
        <v>1717</v>
      </c>
      <c r="F1120" t="s">
        <v>88</v>
      </c>
      <c r="G1120" t="s">
        <v>88</v>
      </c>
      <c r="H1120" t="s">
        <v>92</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141</v>
      </c>
      <c r="B1121" t="s">
        <v>1053</v>
      </c>
      <c r="C1121" t="s">
        <v>88</v>
      </c>
      <c r="D1121" t="s">
        <v>88</v>
      </c>
      <c r="E1121" t="s">
        <v>1717</v>
      </c>
      <c r="F1121" t="s">
        <v>88</v>
      </c>
      <c r="G1121" t="s">
        <v>88</v>
      </c>
      <c r="H1121" t="s">
        <v>92</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141</v>
      </c>
      <c r="B1122" t="s">
        <v>1718</v>
      </c>
      <c r="C1122" t="s">
        <v>88</v>
      </c>
      <c r="D1122" t="s">
        <v>88</v>
      </c>
      <c r="E1122" t="s">
        <v>807</v>
      </c>
      <c r="F1122" t="s">
        <v>88</v>
      </c>
      <c r="G1122" t="s">
        <v>88</v>
      </c>
      <c r="H1122" t="s">
        <v>92</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141</v>
      </c>
      <c r="B1123" t="s">
        <v>1719</v>
      </c>
      <c r="C1123" t="s">
        <v>88</v>
      </c>
      <c r="D1123" t="s">
        <v>88</v>
      </c>
      <c r="E1123" t="s">
        <v>1717</v>
      </c>
      <c r="F1123" t="s">
        <v>88</v>
      </c>
      <c r="G1123" t="s">
        <v>88</v>
      </c>
      <c r="H1123" t="s">
        <v>92</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141</v>
      </c>
      <c r="B1124" t="s">
        <v>1720</v>
      </c>
      <c r="C1124" t="s">
        <v>88</v>
      </c>
      <c r="D1124" t="s">
        <v>88</v>
      </c>
      <c r="E1124" t="s">
        <v>641</v>
      </c>
      <c r="F1124" t="s">
        <v>88</v>
      </c>
      <c r="G1124" t="s">
        <v>88</v>
      </c>
      <c r="H1124" t="s">
        <v>92</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141</v>
      </c>
      <c r="B1125" t="s">
        <v>1055</v>
      </c>
      <c r="C1125" t="s">
        <v>88</v>
      </c>
      <c r="D1125" t="s">
        <v>88</v>
      </c>
      <c r="E1125" t="s">
        <v>841</v>
      </c>
      <c r="F1125" t="s">
        <v>88</v>
      </c>
      <c r="G1125" t="s">
        <v>88</v>
      </c>
      <c r="H1125" t="s">
        <v>92</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141</v>
      </c>
      <c r="B1126" t="s">
        <v>1721</v>
      </c>
      <c r="C1126" t="s">
        <v>88</v>
      </c>
      <c r="D1126" t="s">
        <v>88</v>
      </c>
      <c r="E1126" t="s">
        <v>1714</v>
      </c>
      <c r="F1126" t="s">
        <v>88</v>
      </c>
      <c r="G1126" t="s">
        <v>88</v>
      </c>
      <c r="H1126" t="s">
        <v>92</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141</v>
      </c>
      <c r="B1127" t="s">
        <v>1722</v>
      </c>
      <c r="C1127" t="s">
        <v>88</v>
      </c>
      <c r="D1127" t="s">
        <v>88</v>
      </c>
      <c r="E1127" t="s">
        <v>1717</v>
      </c>
      <c r="F1127" t="s">
        <v>88</v>
      </c>
      <c r="G1127" t="s">
        <v>88</v>
      </c>
      <c r="H1127" t="s">
        <v>92</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141</v>
      </c>
      <c r="B1128" t="s">
        <v>1723</v>
      </c>
      <c r="C1128" t="s">
        <v>88</v>
      </c>
      <c r="D1128" t="s">
        <v>88</v>
      </c>
      <c r="E1128" t="s">
        <v>1714</v>
      </c>
      <c r="F1128" t="s">
        <v>88</v>
      </c>
      <c r="G1128" t="s">
        <v>88</v>
      </c>
      <c r="H1128" t="s">
        <v>92</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141</v>
      </c>
      <c r="B1129" t="s">
        <v>1724</v>
      </c>
      <c r="C1129" t="s">
        <v>88</v>
      </c>
      <c r="D1129" t="s">
        <v>88</v>
      </c>
      <c r="E1129" t="s">
        <v>655</v>
      </c>
      <c r="F1129" t="s">
        <v>88</v>
      </c>
      <c r="G1129" t="s">
        <v>88</v>
      </c>
      <c r="H1129" t="s">
        <v>92</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141</v>
      </c>
      <c r="B1130" t="s">
        <v>1725</v>
      </c>
      <c r="C1130" t="s">
        <v>88</v>
      </c>
      <c r="D1130" t="s">
        <v>88</v>
      </c>
      <c r="E1130" t="s">
        <v>692</v>
      </c>
      <c r="F1130" t="s">
        <v>88</v>
      </c>
      <c r="G1130" t="s">
        <v>88</v>
      </c>
      <c r="H1130" t="s">
        <v>92</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141</v>
      </c>
      <c r="B1131" t="s">
        <v>1726</v>
      </c>
      <c r="C1131" t="s">
        <v>88</v>
      </c>
      <c r="D1131" t="s">
        <v>88</v>
      </c>
      <c r="E1131" t="s">
        <v>1714</v>
      </c>
      <c r="F1131" t="s">
        <v>88</v>
      </c>
      <c r="G1131" t="s">
        <v>88</v>
      </c>
      <c r="H1131" t="s">
        <v>92</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141</v>
      </c>
      <c r="B1132" t="s">
        <v>1727</v>
      </c>
      <c r="C1132" t="s">
        <v>88</v>
      </c>
      <c r="D1132" t="s">
        <v>88</v>
      </c>
      <c r="E1132" t="s">
        <v>1714</v>
      </c>
      <c r="F1132" t="s">
        <v>88</v>
      </c>
      <c r="G1132" t="s">
        <v>88</v>
      </c>
      <c r="H1132" t="s">
        <v>92</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141</v>
      </c>
      <c r="B1133" t="s">
        <v>625</v>
      </c>
      <c r="C1133" t="s">
        <v>88</v>
      </c>
      <c r="D1133" t="s">
        <v>88</v>
      </c>
      <c r="E1133" t="s">
        <v>626</v>
      </c>
      <c r="F1133" t="s">
        <v>88</v>
      </c>
      <c r="G1133" t="s">
        <v>88</v>
      </c>
      <c r="H1133" t="s">
        <v>92</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142</v>
      </c>
      <c r="B1134" t="s">
        <v>1728</v>
      </c>
      <c r="C1134" t="s">
        <v>88</v>
      </c>
      <c r="D1134" t="s">
        <v>1729</v>
      </c>
      <c r="E1134" t="s">
        <v>791</v>
      </c>
      <c r="F1134" t="s">
        <v>88</v>
      </c>
      <c r="G1134" t="s">
        <v>88</v>
      </c>
      <c r="H1134" t="s">
        <v>92</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142</v>
      </c>
      <c r="B1135" t="s">
        <v>1730</v>
      </c>
      <c r="C1135" t="s">
        <v>88</v>
      </c>
      <c r="D1135" t="s">
        <v>1729</v>
      </c>
      <c r="E1135" t="s">
        <v>723</v>
      </c>
      <c r="F1135" t="s">
        <v>88</v>
      </c>
      <c r="G1135" t="s">
        <v>88</v>
      </c>
      <c r="H1135" t="s">
        <v>92</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142</v>
      </c>
      <c r="B1136" t="s">
        <v>1380</v>
      </c>
      <c r="C1136" t="s">
        <v>88</v>
      </c>
      <c r="D1136" t="s">
        <v>1731</v>
      </c>
      <c r="E1136" t="s">
        <v>1282</v>
      </c>
      <c r="F1136" t="s">
        <v>88</v>
      </c>
      <c r="G1136" t="s">
        <v>88</v>
      </c>
      <c r="H1136" t="s">
        <v>92</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142</v>
      </c>
      <c r="B1137" t="s">
        <v>896</v>
      </c>
      <c r="C1137" t="s">
        <v>88</v>
      </c>
      <c r="D1137" t="s">
        <v>1729</v>
      </c>
      <c r="E1137" t="s">
        <v>655</v>
      </c>
      <c r="F1137" t="s">
        <v>88</v>
      </c>
      <c r="G1137" t="s">
        <v>88</v>
      </c>
      <c r="H1137" t="s">
        <v>92</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142</v>
      </c>
      <c r="B1138" t="s">
        <v>890</v>
      </c>
      <c r="C1138" t="s">
        <v>88</v>
      </c>
      <c r="D1138" t="s">
        <v>1729</v>
      </c>
      <c r="E1138" t="s">
        <v>663</v>
      </c>
      <c r="F1138" t="s">
        <v>88</v>
      </c>
      <c r="G1138" t="s">
        <v>88</v>
      </c>
      <c r="H1138" t="s">
        <v>92</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142</v>
      </c>
      <c r="B1139" t="s">
        <v>890</v>
      </c>
      <c r="C1139" t="s">
        <v>88</v>
      </c>
      <c r="D1139" t="s">
        <v>1729</v>
      </c>
      <c r="E1139" t="s">
        <v>663</v>
      </c>
      <c r="F1139" t="s">
        <v>88</v>
      </c>
      <c r="G1139" t="s">
        <v>88</v>
      </c>
      <c r="H1139" t="s">
        <v>92</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142</v>
      </c>
      <c r="B1140" t="s">
        <v>1732</v>
      </c>
      <c r="C1140" t="s">
        <v>88</v>
      </c>
      <c r="D1140" t="s">
        <v>1729</v>
      </c>
      <c r="E1140" t="s">
        <v>658</v>
      </c>
      <c r="F1140" t="s">
        <v>88</v>
      </c>
      <c r="G1140" t="s">
        <v>88</v>
      </c>
      <c r="H1140" t="s">
        <v>92</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142</v>
      </c>
      <c r="B1141" t="s">
        <v>1733</v>
      </c>
      <c r="C1141" t="s">
        <v>88</v>
      </c>
      <c r="D1141" t="s">
        <v>1729</v>
      </c>
      <c r="E1141" t="s">
        <v>655</v>
      </c>
      <c r="F1141" t="s">
        <v>88</v>
      </c>
      <c r="G1141" t="s">
        <v>88</v>
      </c>
      <c r="H1141" t="s">
        <v>92</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142</v>
      </c>
      <c r="B1142" t="s">
        <v>895</v>
      </c>
      <c r="C1142" t="s">
        <v>88</v>
      </c>
      <c r="D1142" t="s">
        <v>1729</v>
      </c>
      <c r="E1142" t="s">
        <v>717</v>
      </c>
      <c r="F1142" t="s">
        <v>88</v>
      </c>
      <c r="G1142" t="s">
        <v>88</v>
      </c>
      <c r="H1142" t="s">
        <v>92</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142</v>
      </c>
      <c r="B1143" t="s">
        <v>892</v>
      </c>
      <c r="C1143" t="s">
        <v>88</v>
      </c>
      <c r="D1143" t="s">
        <v>1729</v>
      </c>
      <c r="E1143" t="s">
        <v>748</v>
      </c>
      <c r="F1143" t="s">
        <v>88</v>
      </c>
      <c r="G1143" t="s">
        <v>88</v>
      </c>
      <c r="H1143" t="s">
        <v>92</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142</v>
      </c>
      <c r="B1144" t="s">
        <v>896</v>
      </c>
      <c r="C1144" t="s">
        <v>88</v>
      </c>
      <c r="D1144" t="s">
        <v>1729</v>
      </c>
      <c r="E1144" t="s">
        <v>655</v>
      </c>
      <c r="F1144" t="s">
        <v>88</v>
      </c>
      <c r="G1144" t="s">
        <v>88</v>
      </c>
      <c r="H1144" t="s">
        <v>92</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142</v>
      </c>
      <c r="B1145" t="s">
        <v>1380</v>
      </c>
      <c r="C1145" t="s">
        <v>88</v>
      </c>
      <c r="D1145" t="s">
        <v>1731</v>
      </c>
      <c r="E1145" t="s">
        <v>1282</v>
      </c>
      <c r="F1145" t="s">
        <v>88</v>
      </c>
      <c r="G1145" t="s">
        <v>88</v>
      </c>
      <c r="H1145" t="s">
        <v>92</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142</v>
      </c>
      <c r="B1146" t="s">
        <v>1728</v>
      </c>
      <c r="C1146" t="s">
        <v>88</v>
      </c>
      <c r="D1146" t="s">
        <v>1729</v>
      </c>
      <c r="E1146" t="s">
        <v>791</v>
      </c>
      <c r="F1146" t="s">
        <v>88</v>
      </c>
      <c r="G1146" t="s">
        <v>88</v>
      </c>
      <c r="H1146" t="s">
        <v>92</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142</v>
      </c>
      <c r="B1147" t="s">
        <v>1734</v>
      </c>
      <c r="C1147" t="s">
        <v>88</v>
      </c>
      <c r="D1147" t="s">
        <v>1729</v>
      </c>
      <c r="E1147" t="s">
        <v>709</v>
      </c>
      <c r="F1147" t="s">
        <v>88</v>
      </c>
      <c r="G1147" t="s">
        <v>88</v>
      </c>
      <c r="H1147" t="s">
        <v>92</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142</v>
      </c>
      <c r="B1148" t="s">
        <v>1730</v>
      </c>
      <c r="C1148" t="s">
        <v>88</v>
      </c>
      <c r="D1148" t="s">
        <v>1729</v>
      </c>
      <c r="E1148" t="s">
        <v>723</v>
      </c>
      <c r="F1148" t="s">
        <v>88</v>
      </c>
      <c r="G1148" t="s">
        <v>88</v>
      </c>
      <c r="H1148" t="s">
        <v>92</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142</v>
      </c>
      <c r="B1149" t="s">
        <v>701</v>
      </c>
      <c r="C1149" t="s">
        <v>88</v>
      </c>
      <c r="D1149" t="s">
        <v>88</v>
      </c>
      <c r="E1149" t="s">
        <v>702</v>
      </c>
      <c r="F1149" t="s">
        <v>88</v>
      </c>
      <c r="G1149" t="s">
        <v>88</v>
      </c>
      <c r="H1149" t="s">
        <v>92</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142</v>
      </c>
      <c r="B1150" t="s">
        <v>703</v>
      </c>
      <c r="C1150" t="s">
        <v>88</v>
      </c>
      <c r="D1150" t="s">
        <v>88</v>
      </c>
      <c r="E1150" t="s">
        <v>702</v>
      </c>
      <c r="F1150" t="s">
        <v>88</v>
      </c>
      <c r="G1150" t="s">
        <v>88</v>
      </c>
      <c r="H1150" t="s">
        <v>92</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142</v>
      </c>
      <c r="B1151" t="s">
        <v>704</v>
      </c>
      <c r="C1151" t="s">
        <v>88</v>
      </c>
      <c r="D1151" t="s">
        <v>88</v>
      </c>
      <c r="E1151" t="s">
        <v>702</v>
      </c>
      <c r="F1151" t="s">
        <v>88</v>
      </c>
      <c r="G1151" t="s">
        <v>88</v>
      </c>
      <c r="H1151" t="s">
        <v>92</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142</v>
      </c>
      <c r="B1152" t="s">
        <v>705</v>
      </c>
      <c r="C1152" t="s">
        <v>88</v>
      </c>
      <c r="D1152" t="s">
        <v>88</v>
      </c>
      <c r="E1152" t="s">
        <v>702</v>
      </c>
      <c r="F1152" t="s">
        <v>88</v>
      </c>
      <c r="G1152" t="s">
        <v>88</v>
      </c>
      <c r="H1152" t="s">
        <v>92</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142</v>
      </c>
      <c r="B1153" t="s">
        <v>706</v>
      </c>
      <c r="C1153" t="s">
        <v>88</v>
      </c>
      <c r="D1153" t="s">
        <v>88</v>
      </c>
      <c r="E1153" t="s">
        <v>702</v>
      </c>
      <c r="F1153" t="s">
        <v>88</v>
      </c>
      <c r="G1153" t="s">
        <v>88</v>
      </c>
      <c r="H1153" t="s">
        <v>92</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142</v>
      </c>
      <c r="B1154" t="s">
        <v>707</v>
      </c>
      <c r="C1154" t="s">
        <v>88</v>
      </c>
      <c r="D1154" t="s">
        <v>88</v>
      </c>
      <c r="E1154" t="s">
        <v>702</v>
      </c>
      <c r="F1154" t="s">
        <v>88</v>
      </c>
      <c r="G1154" t="s">
        <v>88</v>
      </c>
      <c r="H1154" t="s">
        <v>92</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142</v>
      </c>
      <c r="B1155" t="s">
        <v>708</v>
      </c>
      <c r="C1155" t="s">
        <v>88</v>
      </c>
      <c r="D1155" t="s">
        <v>88</v>
      </c>
      <c r="E1155" t="s">
        <v>702</v>
      </c>
      <c r="F1155" t="s">
        <v>88</v>
      </c>
      <c r="G1155" t="s">
        <v>88</v>
      </c>
      <c r="H1155" t="s">
        <v>92</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142</v>
      </c>
      <c r="B1156" t="s">
        <v>846</v>
      </c>
      <c r="C1156" t="s">
        <v>88</v>
      </c>
      <c r="D1156" t="s">
        <v>88</v>
      </c>
      <c r="E1156" t="s">
        <v>734</v>
      </c>
      <c r="F1156" t="s">
        <v>88</v>
      </c>
      <c r="G1156" t="s">
        <v>88</v>
      </c>
      <c r="H1156" t="s">
        <v>92</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142</v>
      </c>
      <c r="B1157" t="s">
        <v>926</v>
      </c>
      <c r="C1157" t="s">
        <v>88</v>
      </c>
      <c r="D1157" t="s">
        <v>88</v>
      </c>
      <c r="E1157" t="s">
        <v>709</v>
      </c>
      <c r="F1157" t="s">
        <v>88</v>
      </c>
      <c r="G1157" t="s">
        <v>88</v>
      </c>
      <c r="H1157" t="s">
        <v>92</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142</v>
      </c>
      <c r="B1158" t="s">
        <v>1686</v>
      </c>
      <c r="C1158" t="s">
        <v>88</v>
      </c>
      <c r="D1158" t="s">
        <v>88</v>
      </c>
      <c r="E1158" t="s">
        <v>734</v>
      </c>
      <c r="F1158" t="s">
        <v>88</v>
      </c>
      <c r="G1158" t="s">
        <v>88</v>
      </c>
      <c r="H1158" t="s">
        <v>92</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142</v>
      </c>
      <c r="B1159" t="s">
        <v>795</v>
      </c>
      <c r="C1159" t="s">
        <v>88</v>
      </c>
      <c r="D1159" t="s">
        <v>88</v>
      </c>
      <c r="E1159" t="s">
        <v>710</v>
      </c>
      <c r="F1159" t="s">
        <v>88</v>
      </c>
      <c r="G1159" t="s">
        <v>88</v>
      </c>
      <c r="H1159" t="s">
        <v>92</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142</v>
      </c>
      <c r="B1160" t="s">
        <v>1735</v>
      </c>
      <c r="C1160" t="s">
        <v>88</v>
      </c>
      <c r="D1160" t="s">
        <v>88</v>
      </c>
      <c r="E1160" t="s">
        <v>709</v>
      </c>
      <c r="F1160" t="s">
        <v>88</v>
      </c>
      <c r="G1160" t="s">
        <v>88</v>
      </c>
      <c r="H1160" t="s">
        <v>92</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142</v>
      </c>
      <c r="B1161" t="s">
        <v>622</v>
      </c>
      <c r="C1161" t="s">
        <v>88</v>
      </c>
      <c r="D1161" t="s">
        <v>88</v>
      </c>
      <c r="E1161" t="s">
        <v>711</v>
      </c>
      <c r="F1161" t="s">
        <v>88</v>
      </c>
      <c r="G1161" t="s">
        <v>88</v>
      </c>
      <c r="H1161" t="s">
        <v>92</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142</v>
      </c>
      <c r="B1162" t="s">
        <v>623</v>
      </c>
      <c r="C1162" t="s">
        <v>88</v>
      </c>
      <c r="D1162" t="s">
        <v>88</v>
      </c>
      <c r="E1162" t="s">
        <v>711</v>
      </c>
      <c r="F1162" t="s">
        <v>88</v>
      </c>
      <c r="G1162" t="s">
        <v>88</v>
      </c>
      <c r="H1162" t="s">
        <v>92</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142</v>
      </c>
      <c r="B1163" t="s">
        <v>714</v>
      </c>
      <c r="C1163" t="s">
        <v>88</v>
      </c>
      <c r="D1163" t="s">
        <v>88</v>
      </c>
      <c r="E1163" t="s">
        <v>791</v>
      </c>
      <c r="F1163" t="s">
        <v>88</v>
      </c>
      <c r="G1163" t="s">
        <v>88</v>
      </c>
      <c r="H1163" t="s">
        <v>92</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142</v>
      </c>
      <c r="B1164" t="s">
        <v>1074</v>
      </c>
      <c r="C1164" t="s">
        <v>88</v>
      </c>
      <c r="D1164" t="s">
        <v>88</v>
      </c>
      <c r="E1164" t="s">
        <v>791</v>
      </c>
      <c r="F1164" t="s">
        <v>88</v>
      </c>
      <c r="G1164" t="s">
        <v>88</v>
      </c>
      <c r="H1164" t="s">
        <v>92</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142</v>
      </c>
      <c r="B1165" t="s">
        <v>1671</v>
      </c>
      <c r="C1165" t="s">
        <v>88</v>
      </c>
      <c r="D1165" t="s">
        <v>88</v>
      </c>
      <c r="E1165" t="s">
        <v>791</v>
      </c>
      <c r="F1165" t="s">
        <v>88</v>
      </c>
      <c r="G1165" t="s">
        <v>88</v>
      </c>
      <c r="H1165" t="s">
        <v>92</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142</v>
      </c>
      <c r="B1166" t="s">
        <v>998</v>
      </c>
      <c r="C1166" t="s">
        <v>88</v>
      </c>
      <c r="D1166" t="s">
        <v>88</v>
      </c>
      <c r="E1166" t="s">
        <v>791</v>
      </c>
      <c r="F1166" t="s">
        <v>88</v>
      </c>
      <c r="G1166" t="s">
        <v>88</v>
      </c>
      <c r="H1166" t="s">
        <v>92</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142</v>
      </c>
      <c r="B1167" t="s">
        <v>1073</v>
      </c>
      <c r="C1167" t="s">
        <v>88</v>
      </c>
      <c r="D1167" t="s">
        <v>88</v>
      </c>
      <c r="E1167" t="s">
        <v>791</v>
      </c>
      <c r="F1167" t="s">
        <v>88</v>
      </c>
      <c r="G1167" t="s">
        <v>88</v>
      </c>
      <c r="H1167" t="s">
        <v>92</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142</v>
      </c>
      <c r="B1168" t="s">
        <v>625</v>
      </c>
      <c r="C1168" t="s">
        <v>88</v>
      </c>
      <c r="D1168" t="s">
        <v>88</v>
      </c>
      <c r="E1168" t="s">
        <v>626</v>
      </c>
      <c r="F1168" t="s">
        <v>88</v>
      </c>
      <c r="G1168" t="s">
        <v>88</v>
      </c>
      <c r="H1168" t="s">
        <v>92</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144</v>
      </c>
      <c r="B1169" t="s">
        <v>876</v>
      </c>
      <c r="C1169" t="s">
        <v>88</v>
      </c>
      <c r="D1169" t="s">
        <v>1736</v>
      </c>
      <c r="E1169" t="s">
        <v>692</v>
      </c>
      <c r="F1169" t="s">
        <v>88</v>
      </c>
      <c r="G1169" t="s">
        <v>88</v>
      </c>
      <c r="H1169" t="s">
        <v>92</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144</v>
      </c>
      <c r="B1170" t="s">
        <v>915</v>
      </c>
      <c r="C1170" t="s">
        <v>88</v>
      </c>
      <c r="D1170" t="s">
        <v>1737</v>
      </c>
      <c r="E1170" t="s">
        <v>825</v>
      </c>
      <c r="F1170" t="s">
        <v>88</v>
      </c>
      <c r="G1170" t="s">
        <v>88</v>
      </c>
      <c r="H1170" t="s">
        <v>92</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144</v>
      </c>
      <c r="B1171" t="s">
        <v>736</v>
      </c>
      <c r="C1171" t="s">
        <v>88</v>
      </c>
      <c r="D1171" t="s">
        <v>1738</v>
      </c>
      <c r="E1171" t="s">
        <v>723</v>
      </c>
      <c r="F1171" t="s">
        <v>88</v>
      </c>
      <c r="G1171" t="s">
        <v>88</v>
      </c>
      <c r="H1171" t="s">
        <v>92</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144</v>
      </c>
      <c r="B1172" t="s">
        <v>897</v>
      </c>
      <c r="C1172" t="s">
        <v>88</v>
      </c>
      <c r="D1172" t="s">
        <v>1739</v>
      </c>
      <c r="E1172" t="s">
        <v>692</v>
      </c>
      <c r="F1172" t="s">
        <v>88</v>
      </c>
      <c r="G1172" t="s">
        <v>88</v>
      </c>
      <c r="H1172" t="s">
        <v>92</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144</v>
      </c>
      <c r="B1173" t="s">
        <v>923</v>
      </c>
      <c r="C1173" t="s">
        <v>88</v>
      </c>
      <c r="D1173" t="s">
        <v>1738</v>
      </c>
      <c r="E1173" t="s">
        <v>723</v>
      </c>
      <c r="F1173" t="s">
        <v>88</v>
      </c>
      <c r="G1173" t="s">
        <v>88</v>
      </c>
      <c r="H1173" t="s">
        <v>92</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144</v>
      </c>
      <c r="B1174" t="s">
        <v>884</v>
      </c>
      <c r="C1174" t="s">
        <v>88</v>
      </c>
      <c r="D1174" t="s">
        <v>885</v>
      </c>
      <c r="E1174" t="s">
        <v>1740</v>
      </c>
      <c r="F1174" t="s">
        <v>88</v>
      </c>
      <c r="G1174" t="s">
        <v>88</v>
      </c>
      <c r="H1174" t="s">
        <v>92</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144</v>
      </c>
      <c r="B1175" t="s">
        <v>1741</v>
      </c>
      <c r="C1175" t="s">
        <v>88</v>
      </c>
      <c r="D1175" t="s">
        <v>1350</v>
      </c>
      <c r="E1175" t="s">
        <v>959</v>
      </c>
      <c r="F1175" t="s">
        <v>88</v>
      </c>
      <c r="G1175" t="s">
        <v>88</v>
      </c>
      <c r="H1175" t="s">
        <v>92</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144</v>
      </c>
      <c r="B1176" t="s">
        <v>1742</v>
      </c>
      <c r="C1176" t="s">
        <v>88</v>
      </c>
      <c r="D1176" t="s">
        <v>88</v>
      </c>
      <c r="E1176" t="s">
        <v>663</v>
      </c>
      <c r="F1176" t="s">
        <v>88</v>
      </c>
      <c r="G1176" t="s">
        <v>88</v>
      </c>
      <c r="H1176" t="s">
        <v>92</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144</v>
      </c>
      <c r="B1177" t="s">
        <v>876</v>
      </c>
      <c r="C1177" t="s">
        <v>88</v>
      </c>
      <c r="D1177" t="s">
        <v>1736</v>
      </c>
      <c r="E1177" t="s">
        <v>692</v>
      </c>
      <c r="F1177" t="s">
        <v>88</v>
      </c>
      <c r="G1177" t="s">
        <v>88</v>
      </c>
      <c r="H1177" t="s">
        <v>92</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144</v>
      </c>
      <c r="B1178" t="s">
        <v>881</v>
      </c>
      <c r="C1178" t="s">
        <v>88</v>
      </c>
      <c r="D1178" t="s">
        <v>1736</v>
      </c>
      <c r="E1178" t="s">
        <v>692</v>
      </c>
      <c r="F1178" t="s">
        <v>88</v>
      </c>
      <c r="G1178" t="s">
        <v>88</v>
      </c>
      <c r="H1178" t="s">
        <v>92</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144</v>
      </c>
      <c r="B1179" t="s">
        <v>1675</v>
      </c>
      <c r="C1179" t="s">
        <v>88</v>
      </c>
      <c r="D1179" t="s">
        <v>1736</v>
      </c>
      <c r="E1179" t="s">
        <v>820</v>
      </c>
      <c r="F1179" t="s">
        <v>88</v>
      </c>
      <c r="G1179" t="s">
        <v>88</v>
      </c>
      <c r="H1179" t="s">
        <v>92</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144</v>
      </c>
      <c r="B1180" t="s">
        <v>1743</v>
      </c>
      <c r="C1180" t="s">
        <v>88</v>
      </c>
      <c r="D1180" t="s">
        <v>1736</v>
      </c>
      <c r="E1180" t="s">
        <v>692</v>
      </c>
      <c r="F1180" t="s">
        <v>88</v>
      </c>
      <c r="G1180" t="s">
        <v>88</v>
      </c>
      <c r="H1180" t="s">
        <v>92</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144</v>
      </c>
      <c r="B1181" t="s">
        <v>915</v>
      </c>
      <c r="C1181" t="s">
        <v>88</v>
      </c>
      <c r="D1181" t="s">
        <v>1737</v>
      </c>
      <c r="E1181" t="s">
        <v>825</v>
      </c>
      <c r="F1181" t="s">
        <v>88</v>
      </c>
      <c r="G1181" t="s">
        <v>88</v>
      </c>
      <c r="H1181" t="s">
        <v>92</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144</v>
      </c>
      <c r="B1182" t="s">
        <v>740</v>
      </c>
      <c r="C1182" t="s">
        <v>88</v>
      </c>
      <c r="D1182" t="s">
        <v>1736</v>
      </c>
      <c r="E1182" t="s">
        <v>655</v>
      </c>
      <c r="F1182" t="s">
        <v>88</v>
      </c>
      <c r="G1182" t="s">
        <v>88</v>
      </c>
      <c r="H1182" t="s">
        <v>92</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144</v>
      </c>
      <c r="B1183" t="s">
        <v>897</v>
      </c>
      <c r="C1183" t="s">
        <v>88</v>
      </c>
      <c r="D1183" t="s">
        <v>1739</v>
      </c>
      <c r="E1183" t="s">
        <v>692</v>
      </c>
      <c r="F1183" t="s">
        <v>88</v>
      </c>
      <c r="G1183" t="s">
        <v>88</v>
      </c>
      <c r="H1183" t="s">
        <v>92</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144</v>
      </c>
      <c r="B1184" t="s">
        <v>736</v>
      </c>
      <c r="C1184" t="s">
        <v>88</v>
      </c>
      <c r="D1184" t="s">
        <v>1738</v>
      </c>
      <c r="E1184" t="s">
        <v>723</v>
      </c>
      <c r="F1184" t="s">
        <v>88</v>
      </c>
      <c r="G1184" t="s">
        <v>88</v>
      </c>
      <c r="H1184" t="s">
        <v>92</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144</v>
      </c>
      <c r="B1185" t="s">
        <v>923</v>
      </c>
      <c r="C1185" t="s">
        <v>88</v>
      </c>
      <c r="D1185" t="s">
        <v>1738</v>
      </c>
      <c r="E1185" t="s">
        <v>723</v>
      </c>
      <c r="F1185" t="s">
        <v>88</v>
      </c>
      <c r="G1185" t="s">
        <v>88</v>
      </c>
      <c r="H1185" t="s">
        <v>92</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144</v>
      </c>
      <c r="B1186" t="s">
        <v>1744</v>
      </c>
      <c r="C1186" t="s">
        <v>88</v>
      </c>
      <c r="D1186" t="s">
        <v>1738</v>
      </c>
      <c r="E1186" t="s">
        <v>723</v>
      </c>
      <c r="F1186" t="s">
        <v>88</v>
      </c>
      <c r="G1186" t="s">
        <v>88</v>
      </c>
      <c r="H1186" t="s">
        <v>92</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144</v>
      </c>
      <c r="B1187" t="s">
        <v>1395</v>
      </c>
      <c r="C1187" t="s">
        <v>88</v>
      </c>
      <c r="D1187" t="s">
        <v>1738</v>
      </c>
      <c r="E1187" t="s">
        <v>723</v>
      </c>
      <c r="F1187" t="s">
        <v>88</v>
      </c>
      <c r="G1187" t="s">
        <v>88</v>
      </c>
      <c r="H1187" t="s">
        <v>92</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144</v>
      </c>
      <c r="B1188" t="s">
        <v>1745</v>
      </c>
      <c r="C1188" t="s">
        <v>88</v>
      </c>
      <c r="D1188" t="s">
        <v>1738</v>
      </c>
      <c r="E1188" t="s">
        <v>663</v>
      </c>
      <c r="F1188" t="s">
        <v>88</v>
      </c>
      <c r="G1188" t="s">
        <v>88</v>
      </c>
      <c r="H1188" t="s">
        <v>92</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144</v>
      </c>
      <c r="B1189" t="s">
        <v>739</v>
      </c>
      <c r="C1189" t="s">
        <v>88</v>
      </c>
      <c r="D1189" t="s">
        <v>1738</v>
      </c>
      <c r="E1189" t="s">
        <v>738</v>
      </c>
      <c r="F1189" t="s">
        <v>88</v>
      </c>
      <c r="G1189" t="s">
        <v>88</v>
      </c>
      <c r="H1189" t="s">
        <v>92</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144</v>
      </c>
      <c r="B1190" t="s">
        <v>1746</v>
      </c>
      <c r="C1190" t="s">
        <v>88</v>
      </c>
      <c r="D1190" t="s">
        <v>88</v>
      </c>
      <c r="E1190" t="s">
        <v>791</v>
      </c>
      <c r="F1190" t="s">
        <v>88</v>
      </c>
      <c r="G1190" t="s">
        <v>88</v>
      </c>
      <c r="H1190" t="s">
        <v>92</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144</v>
      </c>
      <c r="B1191" t="s">
        <v>701</v>
      </c>
      <c r="C1191" t="s">
        <v>88</v>
      </c>
      <c r="D1191" t="s">
        <v>88</v>
      </c>
      <c r="E1191" t="s">
        <v>732</v>
      </c>
      <c r="F1191" t="s">
        <v>88</v>
      </c>
      <c r="G1191" t="s">
        <v>88</v>
      </c>
      <c r="H1191" t="s">
        <v>92</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144</v>
      </c>
      <c r="B1192" t="s">
        <v>705</v>
      </c>
      <c r="C1192" t="s">
        <v>88</v>
      </c>
      <c r="D1192" t="s">
        <v>88</v>
      </c>
      <c r="E1192" t="s">
        <v>732</v>
      </c>
      <c r="F1192" t="s">
        <v>88</v>
      </c>
      <c r="G1192" t="s">
        <v>88</v>
      </c>
      <c r="H1192" t="s">
        <v>92</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144</v>
      </c>
      <c r="B1193" t="s">
        <v>846</v>
      </c>
      <c r="C1193" t="s">
        <v>88</v>
      </c>
      <c r="D1193" t="s">
        <v>88</v>
      </c>
      <c r="E1193" t="s">
        <v>709</v>
      </c>
      <c r="F1193" t="s">
        <v>88</v>
      </c>
      <c r="G1193" t="s">
        <v>88</v>
      </c>
      <c r="H1193" t="s">
        <v>92</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144</v>
      </c>
      <c r="B1194" t="s">
        <v>618</v>
      </c>
      <c r="C1194" t="s">
        <v>88</v>
      </c>
      <c r="D1194" t="s">
        <v>88</v>
      </c>
      <c r="E1194" t="s">
        <v>711</v>
      </c>
      <c r="F1194" t="s">
        <v>88</v>
      </c>
      <c r="G1194" t="s">
        <v>88</v>
      </c>
      <c r="H1194" t="s">
        <v>92</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144</v>
      </c>
      <c r="B1195" t="s">
        <v>620</v>
      </c>
      <c r="C1195" t="s">
        <v>88</v>
      </c>
      <c r="D1195" t="s">
        <v>88</v>
      </c>
      <c r="E1195" t="s">
        <v>711</v>
      </c>
      <c r="F1195" t="s">
        <v>88</v>
      </c>
      <c r="G1195" t="s">
        <v>88</v>
      </c>
      <c r="H1195" t="s">
        <v>92</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144</v>
      </c>
      <c r="B1196" t="s">
        <v>622</v>
      </c>
      <c r="C1196" t="s">
        <v>88</v>
      </c>
      <c r="D1196" t="s">
        <v>88</v>
      </c>
      <c r="E1196" t="s">
        <v>711</v>
      </c>
      <c r="F1196" t="s">
        <v>88</v>
      </c>
      <c r="G1196" t="s">
        <v>88</v>
      </c>
      <c r="H1196" t="s">
        <v>92</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144</v>
      </c>
      <c r="B1197" t="s">
        <v>623</v>
      </c>
      <c r="C1197" t="s">
        <v>88</v>
      </c>
      <c r="D1197" t="s">
        <v>88</v>
      </c>
      <c r="E1197" t="s">
        <v>735</v>
      </c>
      <c r="F1197" t="s">
        <v>88</v>
      </c>
      <c r="G1197" t="s">
        <v>88</v>
      </c>
      <c r="H1197" t="s">
        <v>92</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144</v>
      </c>
      <c r="B1198" t="s">
        <v>625</v>
      </c>
      <c r="C1198" t="s">
        <v>88</v>
      </c>
      <c r="D1198" t="s">
        <v>88</v>
      </c>
      <c r="E1198" t="s">
        <v>626</v>
      </c>
      <c r="F1198" t="s">
        <v>88</v>
      </c>
      <c r="G1198" t="s">
        <v>88</v>
      </c>
      <c r="H1198" t="s">
        <v>92</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146</v>
      </c>
      <c r="B1199" t="s">
        <v>995</v>
      </c>
      <c r="C1199" t="s">
        <v>88</v>
      </c>
      <c r="D1199" t="s">
        <v>1747</v>
      </c>
      <c r="E1199" t="s">
        <v>799</v>
      </c>
      <c r="F1199" t="s">
        <v>88</v>
      </c>
      <c r="G1199" t="s">
        <v>88</v>
      </c>
      <c r="H1199" t="s">
        <v>92</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146</v>
      </c>
      <c r="B1200" t="s">
        <v>1748</v>
      </c>
      <c r="C1200" t="s">
        <v>88</v>
      </c>
      <c r="D1200" t="s">
        <v>1749</v>
      </c>
      <c r="E1200" t="s">
        <v>715</v>
      </c>
      <c r="F1200" t="s">
        <v>88</v>
      </c>
      <c r="G1200" t="s">
        <v>88</v>
      </c>
      <c r="H1200" t="s">
        <v>92</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146</v>
      </c>
      <c r="B1201" t="s">
        <v>1750</v>
      </c>
      <c r="C1201" t="s">
        <v>88</v>
      </c>
      <c r="D1201" t="s">
        <v>1751</v>
      </c>
      <c r="E1201" t="s">
        <v>655</v>
      </c>
      <c r="F1201" t="s">
        <v>88</v>
      </c>
      <c r="G1201" t="s">
        <v>88</v>
      </c>
      <c r="H1201" t="s">
        <v>92</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146</v>
      </c>
      <c r="B1202" t="s">
        <v>789</v>
      </c>
      <c r="C1202" t="s">
        <v>88</v>
      </c>
      <c r="D1202" t="s">
        <v>1752</v>
      </c>
      <c r="E1202" t="s">
        <v>791</v>
      </c>
      <c r="F1202" t="s">
        <v>88</v>
      </c>
      <c r="G1202" t="s">
        <v>88</v>
      </c>
      <c r="H1202" t="s">
        <v>92</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146</v>
      </c>
      <c r="B1203" t="s">
        <v>944</v>
      </c>
      <c r="C1203" t="s">
        <v>88</v>
      </c>
      <c r="D1203" t="s">
        <v>1753</v>
      </c>
      <c r="E1203" t="s">
        <v>655</v>
      </c>
      <c r="F1203" t="s">
        <v>88</v>
      </c>
      <c r="G1203" t="s">
        <v>88</v>
      </c>
      <c r="H1203" t="s">
        <v>92</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146</v>
      </c>
      <c r="B1204" t="s">
        <v>1754</v>
      </c>
      <c r="C1204" t="s">
        <v>88</v>
      </c>
      <c r="D1204" t="s">
        <v>1755</v>
      </c>
      <c r="E1204" t="s">
        <v>1756</v>
      </c>
      <c r="F1204" t="s">
        <v>88</v>
      </c>
      <c r="G1204" t="s">
        <v>88</v>
      </c>
      <c r="H1204" t="s">
        <v>92</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146</v>
      </c>
      <c r="B1205" t="s">
        <v>789</v>
      </c>
      <c r="C1205" t="s">
        <v>88</v>
      </c>
      <c r="D1205" t="s">
        <v>1752</v>
      </c>
      <c r="E1205" t="s">
        <v>791</v>
      </c>
      <c r="F1205" t="s">
        <v>88</v>
      </c>
      <c r="G1205" t="s">
        <v>88</v>
      </c>
      <c r="H1205" t="s">
        <v>92</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146</v>
      </c>
      <c r="B1206" t="s">
        <v>1748</v>
      </c>
      <c r="C1206" t="s">
        <v>88</v>
      </c>
      <c r="D1206" t="s">
        <v>1749</v>
      </c>
      <c r="E1206" t="s">
        <v>715</v>
      </c>
      <c r="F1206" t="s">
        <v>88</v>
      </c>
      <c r="G1206" t="s">
        <v>88</v>
      </c>
      <c r="H1206" t="s">
        <v>92</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146</v>
      </c>
      <c r="B1207" t="s">
        <v>1757</v>
      </c>
      <c r="C1207" t="s">
        <v>88</v>
      </c>
      <c r="D1207" t="s">
        <v>1758</v>
      </c>
      <c r="E1207" t="s">
        <v>679</v>
      </c>
      <c r="F1207" t="s">
        <v>88</v>
      </c>
      <c r="G1207" t="s">
        <v>88</v>
      </c>
      <c r="H1207" t="s">
        <v>92</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146</v>
      </c>
      <c r="B1208" t="s">
        <v>944</v>
      </c>
      <c r="C1208" t="s">
        <v>88</v>
      </c>
      <c r="D1208" t="s">
        <v>1753</v>
      </c>
      <c r="E1208" t="s">
        <v>655</v>
      </c>
      <c r="F1208" t="s">
        <v>88</v>
      </c>
      <c r="G1208" t="s">
        <v>88</v>
      </c>
      <c r="H1208" t="s">
        <v>92</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146</v>
      </c>
      <c r="B1209" t="s">
        <v>1750</v>
      </c>
      <c r="C1209" t="s">
        <v>88</v>
      </c>
      <c r="D1209" t="s">
        <v>1751</v>
      </c>
      <c r="E1209" t="s">
        <v>655</v>
      </c>
      <c r="F1209" t="s">
        <v>88</v>
      </c>
      <c r="G1209" t="s">
        <v>88</v>
      </c>
      <c r="H1209" t="s">
        <v>92</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146</v>
      </c>
      <c r="B1210" t="s">
        <v>1759</v>
      </c>
      <c r="C1210" t="s">
        <v>88</v>
      </c>
      <c r="D1210" t="s">
        <v>1760</v>
      </c>
      <c r="E1210" t="s">
        <v>676</v>
      </c>
      <c r="F1210" t="s">
        <v>88</v>
      </c>
      <c r="G1210" t="s">
        <v>88</v>
      </c>
      <c r="H1210" t="s">
        <v>92</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146</v>
      </c>
      <c r="B1211" t="s">
        <v>823</v>
      </c>
      <c r="C1211" t="s">
        <v>88</v>
      </c>
      <c r="D1211" t="s">
        <v>1761</v>
      </c>
      <c r="E1211" t="s">
        <v>825</v>
      </c>
      <c r="F1211" t="s">
        <v>88</v>
      </c>
      <c r="G1211" t="s">
        <v>88</v>
      </c>
      <c r="H1211" t="s">
        <v>92</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146</v>
      </c>
      <c r="B1212" t="s">
        <v>1762</v>
      </c>
      <c r="C1212" t="s">
        <v>88</v>
      </c>
      <c r="D1212" t="s">
        <v>1763</v>
      </c>
      <c r="E1212" t="s">
        <v>1135</v>
      </c>
      <c r="F1212" t="s">
        <v>88</v>
      </c>
      <c r="G1212" t="s">
        <v>88</v>
      </c>
      <c r="H1212" t="s">
        <v>92</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146</v>
      </c>
      <c r="B1213" t="s">
        <v>995</v>
      </c>
      <c r="C1213" t="s">
        <v>88</v>
      </c>
      <c r="D1213" t="s">
        <v>1747</v>
      </c>
      <c r="E1213" t="s">
        <v>799</v>
      </c>
      <c r="F1213" t="s">
        <v>88</v>
      </c>
      <c r="G1213" t="s">
        <v>88</v>
      </c>
      <c r="H1213" t="s">
        <v>92</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146</v>
      </c>
      <c r="B1214" t="s">
        <v>1764</v>
      </c>
      <c r="C1214" t="s">
        <v>88</v>
      </c>
      <c r="D1214" t="s">
        <v>88</v>
      </c>
      <c r="E1214" t="s">
        <v>1765</v>
      </c>
      <c r="F1214" t="s">
        <v>88</v>
      </c>
      <c r="G1214" t="s">
        <v>88</v>
      </c>
      <c r="H1214" t="s">
        <v>92</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146</v>
      </c>
      <c r="B1215" t="s">
        <v>701</v>
      </c>
      <c r="C1215" t="s">
        <v>88</v>
      </c>
      <c r="D1215" t="s">
        <v>88</v>
      </c>
      <c r="E1215" t="s">
        <v>709</v>
      </c>
      <c r="F1215" t="s">
        <v>88</v>
      </c>
      <c r="G1215" t="s">
        <v>88</v>
      </c>
      <c r="H1215" t="s">
        <v>92</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146</v>
      </c>
      <c r="B1216" t="s">
        <v>705</v>
      </c>
      <c r="C1216" t="s">
        <v>88</v>
      </c>
      <c r="D1216" t="s">
        <v>88</v>
      </c>
      <c r="E1216" t="s">
        <v>709</v>
      </c>
      <c r="F1216" t="s">
        <v>88</v>
      </c>
      <c r="G1216" t="s">
        <v>88</v>
      </c>
      <c r="H1216" t="s">
        <v>92</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146</v>
      </c>
      <c r="B1217" t="s">
        <v>1685</v>
      </c>
      <c r="C1217" t="s">
        <v>88</v>
      </c>
      <c r="D1217" t="s">
        <v>88</v>
      </c>
      <c r="E1217" t="s">
        <v>848</v>
      </c>
      <c r="F1217" t="s">
        <v>88</v>
      </c>
      <c r="G1217" t="s">
        <v>88</v>
      </c>
      <c r="H1217" t="s">
        <v>92</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146</v>
      </c>
      <c r="B1218" t="s">
        <v>618</v>
      </c>
      <c r="C1218" t="s">
        <v>88</v>
      </c>
      <c r="D1218" t="s">
        <v>88</v>
      </c>
      <c r="E1218" t="s">
        <v>711</v>
      </c>
      <c r="F1218" t="s">
        <v>88</v>
      </c>
      <c r="G1218" t="s">
        <v>88</v>
      </c>
      <c r="H1218" t="s">
        <v>92</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146</v>
      </c>
      <c r="B1219" t="s">
        <v>1766</v>
      </c>
      <c r="C1219" t="s">
        <v>88</v>
      </c>
      <c r="D1219" t="s">
        <v>88</v>
      </c>
      <c r="E1219" t="s">
        <v>711</v>
      </c>
      <c r="F1219" t="s">
        <v>88</v>
      </c>
      <c r="G1219" t="s">
        <v>88</v>
      </c>
      <c r="H1219" t="s">
        <v>92</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146</v>
      </c>
      <c r="B1220" t="s">
        <v>623</v>
      </c>
      <c r="C1220" t="s">
        <v>88</v>
      </c>
      <c r="D1220" t="s">
        <v>88</v>
      </c>
      <c r="E1220" t="s">
        <v>849</v>
      </c>
      <c r="F1220" t="s">
        <v>88</v>
      </c>
      <c r="G1220" t="s">
        <v>88</v>
      </c>
      <c r="H1220" t="s">
        <v>92</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146</v>
      </c>
      <c r="B1221" t="s">
        <v>1767</v>
      </c>
      <c r="C1221" t="s">
        <v>88</v>
      </c>
      <c r="D1221" t="s">
        <v>88</v>
      </c>
      <c r="E1221" t="s">
        <v>780</v>
      </c>
      <c r="F1221" t="s">
        <v>88</v>
      </c>
      <c r="G1221" t="s">
        <v>88</v>
      </c>
      <c r="H1221" t="s">
        <v>92</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148</v>
      </c>
      <c r="B1222" t="s">
        <v>1768</v>
      </c>
      <c r="C1222" t="s">
        <v>88</v>
      </c>
      <c r="D1222" t="s">
        <v>1769</v>
      </c>
      <c r="E1222" t="s">
        <v>883</v>
      </c>
      <c r="F1222" t="s">
        <v>88</v>
      </c>
      <c r="G1222" t="s">
        <v>88</v>
      </c>
      <c r="H1222" t="s">
        <v>92</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148</v>
      </c>
      <c r="B1223" t="s">
        <v>1770</v>
      </c>
      <c r="C1223" t="s">
        <v>88</v>
      </c>
      <c r="D1223" t="s">
        <v>1771</v>
      </c>
      <c r="E1223" t="s">
        <v>673</v>
      </c>
      <c r="F1223" t="s">
        <v>88</v>
      </c>
      <c r="G1223" t="s">
        <v>88</v>
      </c>
      <c r="H1223" t="s">
        <v>92</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148</v>
      </c>
      <c r="B1224" t="s">
        <v>1772</v>
      </c>
      <c r="C1224" t="s">
        <v>88</v>
      </c>
      <c r="D1224" t="s">
        <v>1773</v>
      </c>
      <c r="E1224" t="s">
        <v>762</v>
      </c>
      <c r="F1224" t="s">
        <v>88</v>
      </c>
      <c r="G1224" t="s">
        <v>88</v>
      </c>
      <c r="H1224" t="s">
        <v>92</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148</v>
      </c>
      <c r="B1225" t="s">
        <v>1774</v>
      </c>
      <c r="C1225" t="s">
        <v>88</v>
      </c>
      <c r="D1225" t="s">
        <v>1775</v>
      </c>
      <c r="E1225" t="s">
        <v>748</v>
      </c>
      <c r="F1225" t="s">
        <v>88</v>
      </c>
      <c r="G1225" t="s">
        <v>88</v>
      </c>
      <c r="H1225" t="s">
        <v>92</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148</v>
      </c>
      <c r="B1226" t="s">
        <v>1776</v>
      </c>
      <c r="C1226" t="s">
        <v>88</v>
      </c>
      <c r="D1226" t="s">
        <v>1777</v>
      </c>
      <c r="E1226" t="s">
        <v>700</v>
      </c>
      <c r="F1226" t="s">
        <v>88</v>
      </c>
      <c r="G1226" t="s">
        <v>88</v>
      </c>
      <c r="H1226" t="s">
        <v>92</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148</v>
      </c>
      <c r="B1227" t="s">
        <v>1778</v>
      </c>
      <c r="C1227" t="s">
        <v>88</v>
      </c>
      <c r="D1227" t="s">
        <v>1779</v>
      </c>
      <c r="E1227" t="s">
        <v>700</v>
      </c>
      <c r="F1227" t="s">
        <v>88</v>
      </c>
      <c r="G1227" t="s">
        <v>88</v>
      </c>
      <c r="H1227" t="s">
        <v>92</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148</v>
      </c>
      <c r="B1228" t="s">
        <v>1780</v>
      </c>
      <c r="C1228" t="s">
        <v>88</v>
      </c>
      <c r="D1228" t="s">
        <v>1781</v>
      </c>
      <c r="E1228" t="s">
        <v>738</v>
      </c>
      <c r="F1228" t="s">
        <v>88</v>
      </c>
      <c r="G1228" t="s">
        <v>88</v>
      </c>
      <c r="H1228" t="s">
        <v>92</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148</v>
      </c>
      <c r="B1229" t="s">
        <v>1782</v>
      </c>
      <c r="C1229" t="s">
        <v>88</v>
      </c>
      <c r="D1229" t="s">
        <v>1781</v>
      </c>
      <c r="E1229" t="s">
        <v>780</v>
      </c>
      <c r="F1229" t="s">
        <v>88</v>
      </c>
      <c r="G1229" t="s">
        <v>88</v>
      </c>
      <c r="H1229" t="s">
        <v>92</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148</v>
      </c>
      <c r="B1230" t="s">
        <v>1783</v>
      </c>
      <c r="C1230" t="s">
        <v>88</v>
      </c>
      <c r="D1230" t="s">
        <v>1784</v>
      </c>
      <c r="E1230" t="s">
        <v>721</v>
      </c>
      <c r="F1230" t="s">
        <v>88</v>
      </c>
      <c r="G1230" t="s">
        <v>88</v>
      </c>
      <c r="H1230" t="s">
        <v>92</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148</v>
      </c>
      <c r="B1231" t="s">
        <v>1785</v>
      </c>
      <c r="C1231" t="s">
        <v>88</v>
      </c>
      <c r="D1231" t="s">
        <v>1784</v>
      </c>
      <c r="E1231" t="s">
        <v>679</v>
      </c>
      <c r="F1231" t="s">
        <v>88</v>
      </c>
      <c r="G1231" t="s">
        <v>88</v>
      </c>
      <c r="H1231" t="s">
        <v>92</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148</v>
      </c>
      <c r="B1232" t="s">
        <v>1786</v>
      </c>
      <c r="C1232" t="s">
        <v>88</v>
      </c>
      <c r="D1232" t="s">
        <v>1787</v>
      </c>
      <c r="E1232" t="s">
        <v>673</v>
      </c>
      <c r="F1232" t="s">
        <v>88</v>
      </c>
      <c r="G1232" t="s">
        <v>88</v>
      </c>
      <c r="H1232" t="s">
        <v>92</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148</v>
      </c>
      <c r="B1233" t="s">
        <v>1788</v>
      </c>
      <c r="C1233" t="s">
        <v>88</v>
      </c>
      <c r="D1233" t="s">
        <v>1784</v>
      </c>
      <c r="E1233" t="s">
        <v>723</v>
      </c>
      <c r="F1233" t="s">
        <v>88</v>
      </c>
      <c r="G1233" t="s">
        <v>88</v>
      </c>
      <c r="H1233" t="s">
        <v>92</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148</v>
      </c>
      <c r="B1234" t="s">
        <v>1789</v>
      </c>
      <c r="C1234" t="s">
        <v>88</v>
      </c>
      <c r="D1234" t="s">
        <v>1784</v>
      </c>
      <c r="E1234" t="s">
        <v>738</v>
      </c>
      <c r="F1234" t="s">
        <v>88</v>
      </c>
      <c r="G1234" t="s">
        <v>88</v>
      </c>
      <c r="H1234" t="s">
        <v>92</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148</v>
      </c>
      <c r="B1235" t="s">
        <v>771</v>
      </c>
      <c r="C1235" t="s">
        <v>88</v>
      </c>
      <c r="D1235" t="s">
        <v>1784</v>
      </c>
      <c r="E1235" t="s">
        <v>738</v>
      </c>
      <c r="F1235" t="s">
        <v>88</v>
      </c>
      <c r="G1235" t="s">
        <v>88</v>
      </c>
      <c r="H1235" t="s">
        <v>92</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148</v>
      </c>
      <c r="B1236" t="s">
        <v>1790</v>
      </c>
      <c r="C1236" t="s">
        <v>88</v>
      </c>
      <c r="D1236" t="s">
        <v>1784</v>
      </c>
      <c r="E1236" t="s">
        <v>721</v>
      </c>
      <c r="F1236" t="s">
        <v>88</v>
      </c>
      <c r="G1236" t="s">
        <v>88</v>
      </c>
      <c r="H1236" t="s">
        <v>92</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148</v>
      </c>
      <c r="B1237" t="s">
        <v>608</v>
      </c>
      <c r="C1237" t="s">
        <v>88</v>
      </c>
      <c r="D1237" t="s">
        <v>88</v>
      </c>
      <c r="E1237" t="s">
        <v>715</v>
      </c>
      <c r="F1237" t="s">
        <v>88</v>
      </c>
      <c r="G1237" t="s">
        <v>88</v>
      </c>
      <c r="H1237" t="s">
        <v>92</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148</v>
      </c>
      <c r="B1238" t="s">
        <v>610</v>
      </c>
      <c r="C1238" t="s">
        <v>88</v>
      </c>
      <c r="D1238" t="s">
        <v>88</v>
      </c>
      <c r="E1238" t="s">
        <v>734</v>
      </c>
      <c r="F1238" t="s">
        <v>88</v>
      </c>
      <c r="G1238" t="s">
        <v>88</v>
      </c>
      <c r="H1238" t="s">
        <v>92</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148</v>
      </c>
      <c r="B1239" t="s">
        <v>1791</v>
      </c>
      <c r="C1239" t="s">
        <v>88</v>
      </c>
      <c r="D1239" t="s">
        <v>88</v>
      </c>
      <c r="E1239" t="s">
        <v>791</v>
      </c>
      <c r="F1239" t="s">
        <v>88</v>
      </c>
      <c r="G1239" t="s">
        <v>88</v>
      </c>
      <c r="H1239" t="s">
        <v>92</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148</v>
      </c>
      <c r="B1240" t="s">
        <v>1792</v>
      </c>
      <c r="C1240" t="s">
        <v>88</v>
      </c>
      <c r="D1240" t="s">
        <v>1793</v>
      </c>
      <c r="E1240" t="s">
        <v>791</v>
      </c>
      <c r="F1240" t="s">
        <v>88</v>
      </c>
      <c r="G1240" t="s">
        <v>88</v>
      </c>
      <c r="H1240" t="s">
        <v>92</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148</v>
      </c>
      <c r="B1241" t="s">
        <v>1794</v>
      </c>
      <c r="C1241" t="s">
        <v>88</v>
      </c>
      <c r="D1241" t="s">
        <v>1795</v>
      </c>
      <c r="E1241" t="s">
        <v>791</v>
      </c>
      <c r="F1241" t="s">
        <v>88</v>
      </c>
      <c r="G1241" t="s">
        <v>88</v>
      </c>
      <c r="H1241" t="s">
        <v>92</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148</v>
      </c>
      <c r="B1242" t="s">
        <v>1796</v>
      </c>
      <c r="C1242" t="s">
        <v>88</v>
      </c>
      <c r="D1242" t="s">
        <v>1797</v>
      </c>
      <c r="E1242" t="s">
        <v>709</v>
      </c>
      <c r="F1242" t="s">
        <v>88</v>
      </c>
      <c r="G1242" t="s">
        <v>88</v>
      </c>
      <c r="H1242" t="s">
        <v>92</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148</v>
      </c>
      <c r="B1243" t="s">
        <v>1798</v>
      </c>
      <c r="C1243" t="s">
        <v>88</v>
      </c>
      <c r="D1243" t="s">
        <v>1797</v>
      </c>
      <c r="E1243" t="s">
        <v>791</v>
      </c>
      <c r="F1243" t="s">
        <v>88</v>
      </c>
      <c r="G1243" t="s">
        <v>88</v>
      </c>
      <c r="H1243" t="s">
        <v>92</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148</v>
      </c>
      <c r="B1244" t="s">
        <v>1799</v>
      </c>
      <c r="C1244" t="s">
        <v>88</v>
      </c>
      <c r="D1244" t="s">
        <v>1797</v>
      </c>
      <c r="E1244" t="s">
        <v>663</v>
      </c>
      <c r="F1244" t="s">
        <v>88</v>
      </c>
      <c r="G1244" t="s">
        <v>88</v>
      </c>
      <c r="H1244" t="s">
        <v>92</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148</v>
      </c>
      <c r="B1245" t="s">
        <v>1019</v>
      </c>
      <c r="C1245" t="s">
        <v>88</v>
      </c>
      <c r="D1245" t="s">
        <v>1800</v>
      </c>
      <c r="E1245" t="s">
        <v>780</v>
      </c>
      <c r="F1245" t="s">
        <v>88</v>
      </c>
      <c r="G1245" t="s">
        <v>88</v>
      </c>
      <c r="H1245" t="s">
        <v>92</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148</v>
      </c>
      <c r="B1246" t="s">
        <v>789</v>
      </c>
      <c r="C1246" t="s">
        <v>88</v>
      </c>
      <c r="D1246" t="s">
        <v>1801</v>
      </c>
      <c r="E1246" t="s">
        <v>702</v>
      </c>
      <c r="F1246" t="s">
        <v>88</v>
      </c>
      <c r="G1246" t="s">
        <v>88</v>
      </c>
      <c r="H1246" t="s">
        <v>92</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148</v>
      </c>
      <c r="B1247" t="s">
        <v>1802</v>
      </c>
      <c r="C1247" t="s">
        <v>88</v>
      </c>
      <c r="D1247" t="s">
        <v>88</v>
      </c>
      <c r="E1247" t="s">
        <v>780</v>
      </c>
      <c r="F1247" t="s">
        <v>88</v>
      </c>
      <c r="G1247" t="s">
        <v>88</v>
      </c>
      <c r="H1247" t="s">
        <v>92</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148</v>
      </c>
      <c r="B1248" t="s">
        <v>1803</v>
      </c>
      <c r="C1248" t="s">
        <v>88</v>
      </c>
      <c r="D1248" t="s">
        <v>88</v>
      </c>
      <c r="E1248" t="s">
        <v>663</v>
      </c>
      <c r="F1248" t="s">
        <v>88</v>
      </c>
      <c r="G1248" t="s">
        <v>88</v>
      </c>
      <c r="H1248" t="s">
        <v>92</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148</v>
      </c>
      <c r="B1249" t="s">
        <v>1804</v>
      </c>
      <c r="C1249" t="s">
        <v>88</v>
      </c>
      <c r="D1249" t="s">
        <v>1805</v>
      </c>
      <c r="E1249" t="s">
        <v>663</v>
      </c>
      <c r="F1249" t="s">
        <v>88</v>
      </c>
      <c r="G1249" t="s">
        <v>88</v>
      </c>
      <c r="H1249" t="s">
        <v>92</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148</v>
      </c>
      <c r="B1250" t="s">
        <v>1806</v>
      </c>
      <c r="C1250" t="s">
        <v>88</v>
      </c>
      <c r="D1250" t="s">
        <v>88</v>
      </c>
      <c r="E1250" t="s">
        <v>663</v>
      </c>
      <c r="F1250" t="s">
        <v>88</v>
      </c>
      <c r="G1250" t="s">
        <v>88</v>
      </c>
      <c r="H1250" t="s">
        <v>92</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148</v>
      </c>
      <c r="B1251" t="s">
        <v>1807</v>
      </c>
      <c r="C1251" t="s">
        <v>88</v>
      </c>
      <c r="D1251" t="s">
        <v>88</v>
      </c>
      <c r="E1251" t="s">
        <v>663</v>
      </c>
      <c r="F1251" t="s">
        <v>88</v>
      </c>
      <c r="G1251" t="s">
        <v>88</v>
      </c>
      <c r="H1251" t="s">
        <v>92</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148</v>
      </c>
      <c r="B1252" t="s">
        <v>1808</v>
      </c>
      <c r="C1252" t="s">
        <v>88</v>
      </c>
      <c r="D1252" t="s">
        <v>1805</v>
      </c>
      <c r="E1252" t="s">
        <v>700</v>
      </c>
      <c r="F1252" t="s">
        <v>88</v>
      </c>
      <c r="G1252" t="s">
        <v>88</v>
      </c>
      <c r="H1252" t="s">
        <v>92</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148</v>
      </c>
      <c r="B1253" t="s">
        <v>1809</v>
      </c>
      <c r="C1253" t="s">
        <v>88</v>
      </c>
      <c r="D1253" t="s">
        <v>88</v>
      </c>
      <c r="E1253" t="s">
        <v>734</v>
      </c>
      <c r="F1253" t="s">
        <v>88</v>
      </c>
      <c r="G1253" t="s">
        <v>88</v>
      </c>
      <c r="H1253" t="s">
        <v>92</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148</v>
      </c>
      <c r="B1254" t="s">
        <v>952</v>
      </c>
      <c r="C1254" t="s">
        <v>88</v>
      </c>
      <c r="D1254" t="s">
        <v>88</v>
      </c>
      <c r="E1254" t="s">
        <v>710</v>
      </c>
      <c r="F1254" t="s">
        <v>88</v>
      </c>
      <c r="G1254" t="s">
        <v>88</v>
      </c>
      <c r="H1254" t="s">
        <v>92</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148</v>
      </c>
      <c r="B1255" t="s">
        <v>1810</v>
      </c>
      <c r="C1255" t="s">
        <v>88</v>
      </c>
      <c r="D1255" t="s">
        <v>88</v>
      </c>
      <c r="E1255" t="s">
        <v>710</v>
      </c>
      <c r="F1255" t="s">
        <v>88</v>
      </c>
      <c r="G1255" t="s">
        <v>88</v>
      </c>
      <c r="H1255" t="s">
        <v>92</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148</v>
      </c>
      <c r="B1256" t="s">
        <v>705</v>
      </c>
      <c r="C1256" t="s">
        <v>88</v>
      </c>
      <c r="D1256" t="s">
        <v>88</v>
      </c>
      <c r="E1256" t="s">
        <v>734</v>
      </c>
      <c r="F1256" t="s">
        <v>88</v>
      </c>
      <c r="G1256" t="s">
        <v>88</v>
      </c>
      <c r="H1256" t="s">
        <v>92</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148</v>
      </c>
      <c r="B1257" t="s">
        <v>708</v>
      </c>
      <c r="C1257" t="s">
        <v>88</v>
      </c>
      <c r="D1257" t="s">
        <v>88</v>
      </c>
      <c r="E1257" t="s">
        <v>734</v>
      </c>
      <c r="F1257" t="s">
        <v>88</v>
      </c>
      <c r="G1257" t="s">
        <v>88</v>
      </c>
      <c r="H1257" t="s">
        <v>92</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148</v>
      </c>
      <c r="B1258" t="s">
        <v>706</v>
      </c>
      <c r="C1258" t="s">
        <v>88</v>
      </c>
      <c r="D1258" t="s">
        <v>88</v>
      </c>
      <c r="E1258" t="s">
        <v>734</v>
      </c>
      <c r="F1258" t="s">
        <v>88</v>
      </c>
      <c r="G1258" t="s">
        <v>88</v>
      </c>
      <c r="H1258" t="s">
        <v>92</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148</v>
      </c>
      <c r="B1259" t="s">
        <v>707</v>
      </c>
      <c r="C1259" t="s">
        <v>88</v>
      </c>
      <c r="D1259" t="s">
        <v>88</v>
      </c>
      <c r="E1259" t="s">
        <v>734</v>
      </c>
      <c r="F1259" t="s">
        <v>88</v>
      </c>
      <c r="G1259" t="s">
        <v>88</v>
      </c>
      <c r="H1259" t="s">
        <v>92</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148</v>
      </c>
      <c r="B1260" t="s">
        <v>1811</v>
      </c>
      <c r="C1260" t="s">
        <v>88</v>
      </c>
      <c r="D1260" t="s">
        <v>88</v>
      </c>
      <c r="E1260" t="s">
        <v>734</v>
      </c>
      <c r="F1260" t="s">
        <v>88</v>
      </c>
      <c r="G1260" t="s">
        <v>88</v>
      </c>
      <c r="H1260" t="s">
        <v>92</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148</v>
      </c>
      <c r="B1261" t="s">
        <v>1812</v>
      </c>
      <c r="C1261" t="s">
        <v>88</v>
      </c>
      <c r="D1261" t="s">
        <v>88</v>
      </c>
      <c r="E1261" t="s">
        <v>734</v>
      </c>
      <c r="F1261" t="s">
        <v>88</v>
      </c>
      <c r="G1261" t="s">
        <v>88</v>
      </c>
      <c r="H1261" t="s">
        <v>92</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148</v>
      </c>
      <c r="B1262" t="s">
        <v>1813</v>
      </c>
      <c r="C1262" t="s">
        <v>88</v>
      </c>
      <c r="D1262" t="s">
        <v>88</v>
      </c>
      <c r="E1262" t="s">
        <v>734</v>
      </c>
      <c r="F1262" t="s">
        <v>88</v>
      </c>
      <c r="G1262" t="s">
        <v>88</v>
      </c>
      <c r="H1262" t="s">
        <v>92</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148</v>
      </c>
      <c r="B1263" t="s">
        <v>1814</v>
      </c>
      <c r="C1263" t="s">
        <v>88</v>
      </c>
      <c r="D1263" t="s">
        <v>88</v>
      </c>
      <c r="E1263" t="s">
        <v>734</v>
      </c>
      <c r="F1263" t="s">
        <v>88</v>
      </c>
      <c r="G1263" t="s">
        <v>88</v>
      </c>
      <c r="H1263" t="s">
        <v>92</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148</v>
      </c>
      <c r="B1264" t="s">
        <v>1815</v>
      </c>
      <c r="C1264" t="s">
        <v>88</v>
      </c>
      <c r="D1264" t="s">
        <v>1370</v>
      </c>
      <c r="E1264" t="s">
        <v>710</v>
      </c>
      <c r="F1264" t="s">
        <v>88</v>
      </c>
      <c r="G1264" t="s">
        <v>88</v>
      </c>
      <c r="H1264" t="s">
        <v>92</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148</v>
      </c>
      <c r="B1265" t="s">
        <v>1816</v>
      </c>
      <c r="C1265" t="s">
        <v>88</v>
      </c>
      <c r="D1265" t="s">
        <v>1370</v>
      </c>
      <c r="E1265" t="s">
        <v>710</v>
      </c>
      <c r="F1265" t="s">
        <v>88</v>
      </c>
      <c r="G1265" t="s">
        <v>88</v>
      </c>
      <c r="H1265" t="s">
        <v>92</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148</v>
      </c>
      <c r="B1266" t="s">
        <v>1817</v>
      </c>
      <c r="C1266" t="s">
        <v>88</v>
      </c>
      <c r="D1266" t="s">
        <v>88</v>
      </c>
      <c r="E1266" t="s">
        <v>734</v>
      </c>
      <c r="F1266" t="s">
        <v>88</v>
      </c>
      <c r="G1266" t="s">
        <v>88</v>
      </c>
      <c r="H1266" t="s">
        <v>92</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148</v>
      </c>
      <c r="B1267" t="s">
        <v>1818</v>
      </c>
      <c r="C1267" t="s">
        <v>88</v>
      </c>
      <c r="D1267" t="s">
        <v>88</v>
      </c>
      <c r="E1267" t="s">
        <v>734</v>
      </c>
      <c r="F1267" t="s">
        <v>88</v>
      </c>
      <c r="G1267" t="s">
        <v>88</v>
      </c>
      <c r="H1267" t="s">
        <v>92</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148</v>
      </c>
      <c r="B1268" t="s">
        <v>1819</v>
      </c>
      <c r="C1268" t="s">
        <v>88</v>
      </c>
      <c r="D1268" t="s">
        <v>88</v>
      </c>
      <c r="E1268" t="s">
        <v>734</v>
      </c>
      <c r="F1268" t="s">
        <v>88</v>
      </c>
      <c r="G1268" t="s">
        <v>88</v>
      </c>
      <c r="H1268" t="s">
        <v>92</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148</v>
      </c>
      <c r="B1269" t="s">
        <v>794</v>
      </c>
      <c r="C1269" t="s">
        <v>88</v>
      </c>
      <c r="D1269" t="s">
        <v>88</v>
      </c>
      <c r="E1269" t="s">
        <v>710</v>
      </c>
      <c r="F1269" t="s">
        <v>88</v>
      </c>
      <c r="G1269" t="s">
        <v>88</v>
      </c>
      <c r="H1269" t="s">
        <v>92</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148</v>
      </c>
      <c r="B1270" t="s">
        <v>1820</v>
      </c>
      <c r="C1270" t="s">
        <v>88</v>
      </c>
      <c r="D1270" t="s">
        <v>88</v>
      </c>
      <c r="E1270" t="s">
        <v>711</v>
      </c>
      <c r="F1270" t="s">
        <v>88</v>
      </c>
      <c r="G1270" t="s">
        <v>88</v>
      </c>
      <c r="H1270" t="s">
        <v>92</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148</v>
      </c>
      <c r="B1271" t="s">
        <v>927</v>
      </c>
      <c r="C1271" t="s">
        <v>88</v>
      </c>
      <c r="D1271" t="s">
        <v>88</v>
      </c>
      <c r="E1271" t="s">
        <v>711</v>
      </c>
      <c r="F1271" t="s">
        <v>88</v>
      </c>
      <c r="G1271" t="s">
        <v>88</v>
      </c>
      <c r="H1271" t="s">
        <v>92</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148</v>
      </c>
      <c r="B1272" t="s">
        <v>928</v>
      </c>
      <c r="C1272" t="s">
        <v>88</v>
      </c>
      <c r="D1272" t="s">
        <v>88</v>
      </c>
      <c r="E1272" t="s">
        <v>713</v>
      </c>
      <c r="F1272" t="s">
        <v>88</v>
      </c>
      <c r="G1272" t="s">
        <v>88</v>
      </c>
      <c r="H1272" t="s">
        <v>92</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148</v>
      </c>
      <c r="B1273" t="s">
        <v>929</v>
      </c>
      <c r="C1273" t="s">
        <v>88</v>
      </c>
      <c r="D1273" t="s">
        <v>88</v>
      </c>
      <c r="E1273" t="s">
        <v>849</v>
      </c>
      <c r="F1273" t="s">
        <v>88</v>
      </c>
      <c r="G1273" t="s">
        <v>88</v>
      </c>
      <c r="H1273" t="s">
        <v>92</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148</v>
      </c>
      <c r="B1274" t="s">
        <v>714</v>
      </c>
      <c r="C1274" t="s">
        <v>88</v>
      </c>
      <c r="D1274" t="s">
        <v>88</v>
      </c>
      <c r="E1274" t="s">
        <v>702</v>
      </c>
      <c r="F1274" t="s">
        <v>88</v>
      </c>
      <c r="G1274" t="s">
        <v>88</v>
      </c>
      <c r="H1274" t="s">
        <v>92</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148</v>
      </c>
      <c r="B1275" t="s">
        <v>798</v>
      </c>
      <c r="C1275" t="s">
        <v>88</v>
      </c>
      <c r="D1275" t="s">
        <v>88</v>
      </c>
      <c r="E1275" t="s">
        <v>702</v>
      </c>
      <c r="F1275" t="s">
        <v>88</v>
      </c>
      <c r="G1275" t="s">
        <v>88</v>
      </c>
      <c r="H1275" t="s">
        <v>92</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148</v>
      </c>
      <c r="B1276" t="s">
        <v>982</v>
      </c>
      <c r="C1276" t="s">
        <v>88</v>
      </c>
      <c r="D1276" t="s">
        <v>88</v>
      </c>
      <c r="E1276" t="s">
        <v>702</v>
      </c>
      <c r="F1276" t="s">
        <v>88</v>
      </c>
      <c r="G1276" t="s">
        <v>88</v>
      </c>
      <c r="H1276" t="s">
        <v>92</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148</v>
      </c>
      <c r="B1277" t="s">
        <v>1821</v>
      </c>
      <c r="C1277" t="s">
        <v>88</v>
      </c>
      <c r="D1277" t="s">
        <v>88</v>
      </c>
      <c r="E1277" t="s">
        <v>711</v>
      </c>
      <c r="F1277" t="s">
        <v>88</v>
      </c>
      <c r="G1277" t="s">
        <v>88</v>
      </c>
      <c r="H1277" t="s">
        <v>92</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148</v>
      </c>
      <c r="B1278" t="s">
        <v>1822</v>
      </c>
      <c r="C1278" t="s">
        <v>88</v>
      </c>
      <c r="D1278" t="s">
        <v>88</v>
      </c>
      <c r="E1278" t="s">
        <v>791</v>
      </c>
      <c r="F1278" t="s">
        <v>88</v>
      </c>
      <c r="G1278" t="s">
        <v>88</v>
      </c>
      <c r="H1278" t="s">
        <v>92</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148</v>
      </c>
      <c r="B1279" t="s">
        <v>1823</v>
      </c>
      <c r="C1279" t="s">
        <v>88</v>
      </c>
      <c r="D1279" t="s">
        <v>88</v>
      </c>
      <c r="E1279" t="s">
        <v>848</v>
      </c>
      <c r="F1279" t="s">
        <v>88</v>
      </c>
      <c r="G1279" t="s">
        <v>88</v>
      </c>
      <c r="H1279" t="s">
        <v>92</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148</v>
      </c>
      <c r="B1280" t="s">
        <v>625</v>
      </c>
      <c r="C1280" t="s">
        <v>88</v>
      </c>
      <c r="D1280" t="s">
        <v>88</v>
      </c>
      <c r="E1280" t="s">
        <v>626</v>
      </c>
      <c r="F1280" t="s">
        <v>88</v>
      </c>
      <c r="G1280" t="s">
        <v>88</v>
      </c>
      <c r="H1280" t="s">
        <v>92</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150</v>
      </c>
      <c r="B1281" t="s">
        <v>1824</v>
      </c>
      <c r="C1281" t="s">
        <v>88</v>
      </c>
      <c r="D1281" t="s">
        <v>1825</v>
      </c>
      <c r="E1281" t="s">
        <v>937</v>
      </c>
      <c r="F1281" t="s">
        <v>88</v>
      </c>
      <c r="G1281" t="s">
        <v>88</v>
      </c>
      <c r="H1281" t="s">
        <v>92</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150</v>
      </c>
      <c r="B1282" t="s">
        <v>1826</v>
      </c>
      <c r="C1282" t="s">
        <v>88</v>
      </c>
      <c r="D1282" t="s">
        <v>1827</v>
      </c>
      <c r="E1282" t="s">
        <v>721</v>
      </c>
      <c r="F1282" t="s">
        <v>88</v>
      </c>
      <c r="G1282" t="s">
        <v>88</v>
      </c>
      <c r="H1282" t="s">
        <v>92</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150</v>
      </c>
      <c r="B1283" t="s">
        <v>1828</v>
      </c>
      <c r="C1283" t="s">
        <v>88</v>
      </c>
      <c r="D1283" t="s">
        <v>1829</v>
      </c>
      <c r="E1283" t="s">
        <v>780</v>
      </c>
      <c r="F1283" t="s">
        <v>88</v>
      </c>
      <c r="G1283" t="s">
        <v>88</v>
      </c>
      <c r="H1283" t="s">
        <v>92</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150</v>
      </c>
      <c r="B1284" t="s">
        <v>1658</v>
      </c>
      <c r="C1284" t="s">
        <v>88</v>
      </c>
      <c r="D1284" t="s">
        <v>1827</v>
      </c>
      <c r="E1284" t="s">
        <v>780</v>
      </c>
      <c r="F1284" t="s">
        <v>88</v>
      </c>
      <c r="G1284" t="s">
        <v>88</v>
      </c>
      <c r="H1284" t="s">
        <v>92</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150</v>
      </c>
      <c r="B1285" t="s">
        <v>1830</v>
      </c>
      <c r="C1285" t="s">
        <v>88</v>
      </c>
      <c r="D1285" t="s">
        <v>1825</v>
      </c>
      <c r="E1285" t="s">
        <v>715</v>
      </c>
      <c r="F1285" t="s">
        <v>88</v>
      </c>
      <c r="G1285" t="s">
        <v>88</v>
      </c>
      <c r="H1285" t="s">
        <v>92</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150</v>
      </c>
      <c r="B1286" t="s">
        <v>1658</v>
      </c>
      <c r="C1286" t="s">
        <v>88</v>
      </c>
      <c r="D1286" t="s">
        <v>1827</v>
      </c>
      <c r="E1286" t="s">
        <v>780</v>
      </c>
      <c r="F1286" t="s">
        <v>88</v>
      </c>
      <c r="G1286" t="s">
        <v>88</v>
      </c>
      <c r="H1286" t="s">
        <v>92</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150</v>
      </c>
      <c r="B1287" t="s">
        <v>1826</v>
      </c>
      <c r="C1287" t="s">
        <v>88</v>
      </c>
      <c r="D1287" t="s">
        <v>1827</v>
      </c>
      <c r="E1287" t="s">
        <v>721</v>
      </c>
      <c r="F1287" t="s">
        <v>88</v>
      </c>
      <c r="G1287" t="s">
        <v>88</v>
      </c>
      <c r="H1287" t="s">
        <v>92</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150</v>
      </c>
      <c r="B1288" t="s">
        <v>1831</v>
      </c>
      <c r="C1288" t="s">
        <v>88</v>
      </c>
      <c r="D1288" t="s">
        <v>1827</v>
      </c>
      <c r="E1288" t="s">
        <v>715</v>
      </c>
      <c r="F1288" t="s">
        <v>88</v>
      </c>
      <c r="G1288" t="s">
        <v>88</v>
      </c>
      <c r="H1288" t="s">
        <v>92</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150</v>
      </c>
      <c r="B1289" t="s">
        <v>1830</v>
      </c>
      <c r="C1289" t="s">
        <v>88</v>
      </c>
      <c r="D1289" t="s">
        <v>1825</v>
      </c>
      <c r="E1289" t="s">
        <v>715</v>
      </c>
      <c r="F1289" t="s">
        <v>88</v>
      </c>
      <c r="G1289" t="s">
        <v>88</v>
      </c>
      <c r="H1289" t="s">
        <v>92</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150</v>
      </c>
      <c r="B1290" t="s">
        <v>1824</v>
      </c>
      <c r="C1290" t="s">
        <v>88</v>
      </c>
      <c r="D1290" t="s">
        <v>1825</v>
      </c>
      <c r="E1290" t="s">
        <v>937</v>
      </c>
      <c r="F1290" t="s">
        <v>88</v>
      </c>
      <c r="G1290" t="s">
        <v>88</v>
      </c>
      <c r="H1290" t="s">
        <v>92</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150</v>
      </c>
      <c r="B1291" t="s">
        <v>1832</v>
      </c>
      <c r="C1291" t="s">
        <v>88</v>
      </c>
      <c r="D1291" t="s">
        <v>1833</v>
      </c>
      <c r="E1291" t="s">
        <v>780</v>
      </c>
      <c r="F1291" t="s">
        <v>88</v>
      </c>
      <c r="G1291" t="s">
        <v>88</v>
      </c>
      <c r="H1291" t="s">
        <v>92</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150</v>
      </c>
      <c r="B1292" t="s">
        <v>1834</v>
      </c>
      <c r="C1292" t="s">
        <v>88</v>
      </c>
      <c r="D1292" t="s">
        <v>1835</v>
      </c>
      <c r="E1292" t="s">
        <v>780</v>
      </c>
      <c r="F1292" t="s">
        <v>88</v>
      </c>
      <c r="G1292" t="s">
        <v>88</v>
      </c>
      <c r="H1292" t="s">
        <v>92</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150</v>
      </c>
      <c r="B1293" t="s">
        <v>1828</v>
      </c>
      <c r="C1293" t="s">
        <v>88</v>
      </c>
      <c r="D1293" t="s">
        <v>1829</v>
      </c>
      <c r="E1293" t="s">
        <v>780</v>
      </c>
      <c r="F1293" t="s">
        <v>88</v>
      </c>
      <c r="G1293" t="s">
        <v>88</v>
      </c>
      <c r="H1293" t="s">
        <v>92</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150</v>
      </c>
      <c r="B1294" t="s">
        <v>1836</v>
      </c>
      <c r="C1294" t="s">
        <v>88</v>
      </c>
      <c r="D1294" t="s">
        <v>1825</v>
      </c>
      <c r="E1294" t="s">
        <v>799</v>
      </c>
      <c r="F1294" t="s">
        <v>88</v>
      </c>
      <c r="G1294" t="s">
        <v>88</v>
      </c>
      <c r="H1294" t="s">
        <v>92</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150</v>
      </c>
      <c r="B1295" t="s">
        <v>701</v>
      </c>
      <c r="C1295" t="s">
        <v>88</v>
      </c>
      <c r="D1295" t="s">
        <v>88</v>
      </c>
      <c r="E1295" t="s">
        <v>734</v>
      </c>
      <c r="F1295" t="s">
        <v>88</v>
      </c>
      <c r="G1295" t="s">
        <v>88</v>
      </c>
      <c r="H1295" t="s">
        <v>92</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150</v>
      </c>
      <c r="B1296" t="s">
        <v>705</v>
      </c>
      <c r="C1296" t="s">
        <v>88</v>
      </c>
      <c r="D1296" t="s">
        <v>88</v>
      </c>
      <c r="E1296" t="s">
        <v>734</v>
      </c>
      <c r="F1296" t="s">
        <v>88</v>
      </c>
      <c r="G1296" t="s">
        <v>88</v>
      </c>
      <c r="H1296" t="s">
        <v>92</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150</v>
      </c>
      <c r="B1297" t="s">
        <v>846</v>
      </c>
      <c r="C1297" t="s">
        <v>88</v>
      </c>
      <c r="D1297" t="s">
        <v>88</v>
      </c>
      <c r="E1297" t="s">
        <v>848</v>
      </c>
      <c r="F1297" t="s">
        <v>88</v>
      </c>
      <c r="G1297" t="s">
        <v>88</v>
      </c>
      <c r="H1297" t="s">
        <v>92</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150</v>
      </c>
      <c r="B1298" t="s">
        <v>795</v>
      </c>
      <c r="C1298" t="s">
        <v>88</v>
      </c>
      <c r="D1298" t="s">
        <v>88</v>
      </c>
      <c r="E1298" t="s">
        <v>735</v>
      </c>
      <c r="F1298" t="s">
        <v>88</v>
      </c>
      <c r="G1298" t="s">
        <v>88</v>
      </c>
      <c r="H1298" t="s">
        <v>92</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150</v>
      </c>
      <c r="B1299" t="s">
        <v>620</v>
      </c>
      <c r="C1299" t="s">
        <v>88</v>
      </c>
      <c r="D1299" t="s">
        <v>88</v>
      </c>
      <c r="E1299" t="s">
        <v>711</v>
      </c>
      <c r="F1299" t="s">
        <v>88</v>
      </c>
      <c r="G1299" t="s">
        <v>88</v>
      </c>
      <c r="H1299" t="s">
        <v>92</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150</v>
      </c>
      <c r="B1300" t="s">
        <v>622</v>
      </c>
      <c r="C1300" t="s">
        <v>88</v>
      </c>
      <c r="D1300" t="s">
        <v>88</v>
      </c>
      <c r="E1300" t="s">
        <v>735</v>
      </c>
      <c r="F1300" t="s">
        <v>88</v>
      </c>
      <c r="G1300" t="s">
        <v>88</v>
      </c>
      <c r="H1300" t="s">
        <v>92</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150</v>
      </c>
      <c r="B1301" t="s">
        <v>712</v>
      </c>
      <c r="C1301" t="s">
        <v>88</v>
      </c>
      <c r="D1301" t="s">
        <v>88</v>
      </c>
      <c r="E1301" t="s">
        <v>849</v>
      </c>
      <c r="F1301" t="s">
        <v>88</v>
      </c>
      <c r="G1301" t="s">
        <v>88</v>
      </c>
      <c r="H1301" t="s">
        <v>92</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150</v>
      </c>
      <c r="B1302" t="s">
        <v>714</v>
      </c>
      <c r="C1302" t="s">
        <v>88</v>
      </c>
      <c r="D1302" t="s">
        <v>88</v>
      </c>
      <c r="E1302" t="s">
        <v>702</v>
      </c>
      <c r="F1302" t="s">
        <v>88</v>
      </c>
      <c r="G1302" t="s">
        <v>88</v>
      </c>
      <c r="H1302" t="s">
        <v>92</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150</v>
      </c>
      <c r="B1303" t="s">
        <v>1671</v>
      </c>
      <c r="C1303" t="s">
        <v>88</v>
      </c>
      <c r="D1303" t="s">
        <v>88</v>
      </c>
      <c r="E1303" t="s">
        <v>702</v>
      </c>
      <c r="F1303" t="s">
        <v>88</v>
      </c>
      <c r="G1303" t="s">
        <v>88</v>
      </c>
      <c r="H1303" t="s">
        <v>92</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150</v>
      </c>
      <c r="B1304" t="s">
        <v>625</v>
      </c>
      <c r="C1304" t="s">
        <v>88</v>
      </c>
      <c r="D1304" t="s">
        <v>88</v>
      </c>
      <c r="E1304" t="s">
        <v>626</v>
      </c>
      <c r="F1304" t="s">
        <v>88</v>
      </c>
      <c r="G1304" t="s">
        <v>88</v>
      </c>
      <c r="H1304" t="s">
        <v>92</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152</v>
      </c>
      <c r="B1305" t="s">
        <v>1837</v>
      </c>
      <c r="C1305" t="s">
        <v>88</v>
      </c>
      <c r="D1305" t="s">
        <v>1838</v>
      </c>
      <c r="E1305" t="s">
        <v>1839</v>
      </c>
      <c r="F1305" t="s">
        <v>88</v>
      </c>
      <c r="G1305" t="s">
        <v>88</v>
      </c>
      <c r="H1305" t="s">
        <v>92</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152</v>
      </c>
      <c r="B1306" t="s">
        <v>1840</v>
      </c>
      <c r="C1306" t="s">
        <v>88</v>
      </c>
      <c r="D1306" t="s">
        <v>1841</v>
      </c>
      <c r="E1306" t="s">
        <v>959</v>
      </c>
      <c r="F1306" t="s">
        <v>88</v>
      </c>
      <c r="G1306" t="s">
        <v>88</v>
      </c>
      <c r="H1306" t="s">
        <v>92</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152</v>
      </c>
      <c r="B1307" t="s">
        <v>1842</v>
      </c>
      <c r="C1307" t="s">
        <v>88</v>
      </c>
      <c r="D1307" t="s">
        <v>1843</v>
      </c>
      <c r="E1307" t="s">
        <v>655</v>
      </c>
      <c r="F1307" t="s">
        <v>88</v>
      </c>
      <c r="G1307" t="s">
        <v>88</v>
      </c>
      <c r="H1307" t="s">
        <v>92</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152</v>
      </c>
      <c r="B1308" t="s">
        <v>1844</v>
      </c>
      <c r="C1308" t="s">
        <v>88</v>
      </c>
      <c r="D1308" t="s">
        <v>1845</v>
      </c>
      <c r="E1308" t="s">
        <v>1221</v>
      </c>
      <c r="F1308" t="s">
        <v>88</v>
      </c>
      <c r="G1308" t="s">
        <v>88</v>
      </c>
      <c r="H1308" t="s">
        <v>92</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152</v>
      </c>
      <c r="B1309" t="s">
        <v>1846</v>
      </c>
      <c r="C1309" t="s">
        <v>88</v>
      </c>
      <c r="D1309" t="s">
        <v>1847</v>
      </c>
      <c r="E1309" t="s">
        <v>1241</v>
      </c>
      <c r="F1309" t="s">
        <v>88</v>
      </c>
      <c r="G1309" t="s">
        <v>88</v>
      </c>
      <c r="H1309" t="s">
        <v>92</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152</v>
      </c>
      <c r="B1310" t="s">
        <v>1846</v>
      </c>
      <c r="C1310" t="s">
        <v>88</v>
      </c>
      <c r="D1310" t="s">
        <v>1847</v>
      </c>
      <c r="E1310" t="s">
        <v>1241</v>
      </c>
      <c r="F1310" t="s">
        <v>88</v>
      </c>
      <c r="G1310" t="s">
        <v>88</v>
      </c>
      <c r="H1310" t="s">
        <v>92</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152</v>
      </c>
      <c r="B1311" t="s">
        <v>1848</v>
      </c>
      <c r="C1311" t="s">
        <v>88</v>
      </c>
      <c r="D1311" t="s">
        <v>1849</v>
      </c>
      <c r="E1311" t="s">
        <v>700</v>
      </c>
      <c r="F1311" t="s">
        <v>88</v>
      </c>
      <c r="G1311" t="s">
        <v>88</v>
      </c>
      <c r="H1311" t="s">
        <v>92</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152</v>
      </c>
      <c r="B1312" t="s">
        <v>1850</v>
      </c>
      <c r="C1312" t="s">
        <v>88</v>
      </c>
      <c r="D1312" t="s">
        <v>1851</v>
      </c>
      <c r="E1312" t="s">
        <v>883</v>
      </c>
      <c r="F1312" t="s">
        <v>88</v>
      </c>
      <c r="G1312" t="s">
        <v>88</v>
      </c>
      <c r="H1312" t="s">
        <v>92</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152</v>
      </c>
      <c r="B1313" t="s">
        <v>1852</v>
      </c>
      <c r="C1313" t="s">
        <v>88</v>
      </c>
      <c r="D1313" t="s">
        <v>1853</v>
      </c>
      <c r="E1313" t="s">
        <v>655</v>
      </c>
      <c r="F1313" t="s">
        <v>88</v>
      </c>
      <c r="G1313" t="s">
        <v>88</v>
      </c>
      <c r="H1313" t="s">
        <v>92</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152</v>
      </c>
      <c r="B1314" t="s">
        <v>1854</v>
      </c>
      <c r="C1314" t="s">
        <v>88</v>
      </c>
      <c r="D1314" t="s">
        <v>1855</v>
      </c>
      <c r="E1314" t="s">
        <v>1006</v>
      </c>
      <c r="F1314" t="s">
        <v>88</v>
      </c>
      <c r="G1314" t="s">
        <v>88</v>
      </c>
      <c r="H1314" t="s">
        <v>92</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152</v>
      </c>
      <c r="B1315" t="s">
        <v>1856</v>
      </c>
      <c r="C1315" t="s">
        <v>88</v>
      </c>
      <c r="D1315" t="s">
        <v>1857</v>
      </c>
      <c r="E1315" t="s">
        <v>760</v>
      </c>
      <c r="F1315" t="s">
        <v>88</v>
      </c>
      <c r="G1315" t="s">
        <v>88</v>
      </c>
      <c r="H1315" t="s">
        <v>92</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152</v>
      </c>
      <c r="B1316" t="s">
        <v>671</v>
      </c>
      <c r="C1316" t="s">
        <v>88</v>
      </c>
      <c r="D1316" t="s">
        <v>1858</v>
      </c>
      <c r="E1316" t="s">
        <v>692</v>
      </c>
      <c r="F1316" t="s">
        <v>88</v>
      </c>
      <c r="G1316" t="s">
        <v>88</v>
      </c>
      <c r="H1316" t="s">
        <v>92</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152</v>
      </c>
      <c r="B1317" t="s">
        <v>1842</v>
      </c>
      <c r="C1317" t="s">
        <v>88</v>
      </c>
      <c r="D1317" t="s">
        <v>1843</v>
      </c>
      <c r="E1317" t="s">
        <v>655</v>
      </c>
      <c r="F1317" t="s">
        <v>88</v>
      </c>
      <c r="G1317" t="s">
        <v>88</v>
      </c>
      <c r="H1317" t="s">
        <v>92</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152</v>
      </c>
      <c r="B1318" t="s">
        <v>1859</v>
      </c>
      <c r="C1318" t="s">
        <v>88</v>
      </c>
      <c r="D1318" t="s">
        <v>1860</v>
      </c>
      <c r="E1318" t="s">
        <v>1353</v>
      </c>
      <c r="F1318" t="s">
        <v>88</v>
      </c>
      <c r="G1318" t="s">
        <v>88</v>
      </c>
      <c r="H1318" t="s">
        <v>92</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152</v>
      </c>
      <c r="B1319" t="s">
        <v>1861</v>
      </c>
      <c r="C1319" t="s">
        <v>88</v>
      </c>
      <c r="D1319" t="s">
        <v>1862</v>
      </c>
      <c r="E1319" t="s">
        <v>959</v>
      </c>
      <c r="F1319" t="s">
        <v>88</v>
      </c>
      <c r="G1319" t="s">
        <v>88</v>
      </c>
      <c r="H1319" t="s">
        <v>92</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152</v>
      </c>
      <c r="B1320" t="s">
        <v>1863</v>
      </c>
      <c r="C1320" t="s">
        <v>88</v>
      </c>
      <c r="D1320" t="s">
        <v>1864</v>
      </c>
      <c r="E1320" t="s">
        <v>959</v>
      </c>
      <c r="F1320" t="s">
        <v>88</v>
      </c>
      <c r="G1320" t="s">
        <v>88</v>
      </c>
      <c r="H1320" t="s">
        <v>92</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152</v>
      </c>
      <c r="B1321" t="s">
        <v>1865</v>
      </c>
      <c r="C1321" t="s">
        <v>88</v>
      </c>
      <c r="D1321" t="s">
        <v>1862</v>
      </c>
      <c r="E1321" t="s">
        <v>780</v>
      </c>
      <c r="F1321" t="s">
        <v>88</v>
      </c>
      <c r="G1321" t="s">
        <v>88</v>
      </c>
      <c r="H1321" t="s">
        <v>92</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152</v>
      </c>
      <c r="B1322" t="s">
        <v>1844</v>
      </c>
      <c r="C1322" t="s">
        <v>88</v>
      </c>
      <c r="D1322" t="s">
        <v>1845</v>
      </c>
      <c r="E1322" t="s">
        <v>1221</v>
      </c>
      <c r="F1322" t="s">
        <v>88</v>
      </c>
      <c r="G1322" t="s">
        <v>88</v>
      </c>
      <c r="H1322" t="s">
        <v>92</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152</v>
      </c>
      <c r="B1323" t="s">
        <v>1866</v>
      </c>
      <c r="C1323" t="s">
        <v>88</v>
      </c>
      <c r="D1323" t="s">
        <v>1867</v>
      </c>
      <c r="E1323" t="s">
        <v>721</v>
      </c>
      <c r="F1323" t="s">
        <v>88</v>
      </c>
      <c r="G1323" t="s">
        <v>88</v>
      </c>
      <c r="H1323" t="s">
        <v>92</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152</v>
      </c>
      <c r="B1324" t="s">
        <v>1840</v>
      </c>
      <c r="C1324" t="s">
        <v>88</v>
      </c>
      <c r="D1324" t="s">
        <v>1841</v>
      </c>
      <c r="E1324" t="s">
        <v>959</v>
      </c>
      <c r="F1324" t="s">
        <v>88</v>
      </c>
      <c r="G1324" t="s">
        <v>88</v>
      </c>
      <c r="H1324" t="s">
        <v>92</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152</v>
      </c>
      <c r="B1325" t="s">
        <v>1837</v>
      </c>
      <c r="C1325" t="s">
        <v>88</v>
      </c>
      <c r="D1325" t="s">
        <v>1838</v>
      </c>
      <c r="E1325" t="s">
        <v>1839</v>
      </c>
      <c r="F1325" t="s">
        <v>88</v>
      </c>
      <c r="G1325" t="s">
        <v>88</v>
      </c>
      <c r="H1325" t="s">
        <v>92</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152</v>
      </c>
      <c r="B1326" t="s">
        <v>1868</v>
      </c>
      <c r="C1326" t="s">
        <v>88</v>
      </c>
      <c r="D1326" t="s">
        <v>1869</v>
      </c>
      <c r="E1326" t="s">
        <v>748</v>
      </c>
      <c r="F1326" t="s">
        <v>88</v>
      </c>
      <c r="G1326" t="s">
        <v>88</v>
      </c>
      <c r="H1326" t="s">
        <v>92</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152</v>
      </c>
      <c r="B1327" t="s">
        <v>583</v>
      </c>
      <c r="C1327" t="s">
        <v>88</v>
      </c>
      <c r="D1327" t="s">
        <v>1870</v>
      </c>
      <c r="E1327" t="s">
        <v>717</v>
      </c>
      <c r="F1327" t="s">
        <v>88</v>
      </c>
      <c r="G1327" t="s">
        <v>88</v>
      </c>
      <c r="H1327" t="s">
        <v>92</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152</v>
      </c>
      <c r="B1328" t="s">
        <v>1871</v>
      </c>
      <c r="C1328" t="s">
        <v>88</v>
      </c>
      <c r="D1328" t="s">
        <v>1872</v>
      </c>
      <c r="E1328" t="s">
        <v>663</v>
      </c>
      <c r="F1328" t="s">
        <v>88</v>
      </c>
      <c r="G1328" t="s">
        <v>88</v>
      </c>
      <c r="H1328" t="s">
        <v>92</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152</v>
      </c>
      <c r="B1329" t="s">
        <v>608</v>
      </c>
      <c r="C1329" t="s">
        <v>88</v>
      </c>
      <c r="D1329" t="s">
        <v>88</v>
      </c>
      <c r="E1329" t="s">
        <v>791</v>
      </c>
      <c r="F1329" t="s">
        <v>88</v>
      </c>
      <c r="G1329" t="s">
        <v>88</v>
      </c>
      <c r="H1329" t="s">
        <v>92</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152</v>
      </c>
      <c r="B1330" t="s">
        <v>1873</v>
      </c>
      <c r="C1330" t="s">
        <v>88</v>
      </c>
      <c r="D1330" t="s">
        <v>88</v>
      </c>
      <c r="E1330" t="s">
        <v>791</v>
      </c>
      <c r="F1330" t="s">
        <v>88</v>
      </c>
      <c r="G1330" t="s">
        <v>88</v>
      </c>
      <c r="H1330" t="s">
        <v>92</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152</v>
      </c>
      <c r="B1331" t="s">
        <v>1874</v>
      </c>
      <c r="C1331" t="s">
        <v>88</v>
      </c>
      <c r="D1331" t="s">
        <v>88</v>
      </c>
      <c r="E1331" t="s">
        <v>791</v>
      </c>
      <c r="F1331" t="s">
        <v>88</v>
      </c>
      <c r="G1331" t="s">
        <v>88</v>
      </c>
      <c r="H1331" t="s">
        <v>92</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152</v>
      </c>
      <c r="B1332" t="s">
        <v>612</v>
      </c>
      <c r="C1332" t="s">
        <v>88</v>
      </c>
      <c r="D1332" t="s">
        <v>88</v>
      </c>
      <c r="E1332" t="s">
        <v>734</v>
      </c>
      <c r="F1332" t="s">
        <v>88</v>
      </c>
      <c r="G1332" t="s">
        <v>88</v>
      </c>
      <c r="H1332" t="s">
        <v>92</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152</v>
      </c>
      <c r="B1333" t="s">
        <v>615</v>
      </c>
      <c r="C1333" t="s">
        <v>88</v>
      </c>
      <c r="D1333" t="s">
        <v>88</v>
      </c>
      <c r="E1333" t="s">
        <v>734</v>
      </c>
      <c r="F1333" t="s">
        <v>88</v>
      </c>
      <c r="G1333" t="s">
        <v>88</v>
      </c>
      <c r="H1333" t="s">
        <v>92</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152</v>
      </c>
      <c r="B1334" t="s">
        <v>617</v>
      </c>
      <c r="C1334" t="s">
        <v>88</v>
      </c>
      <c r="D1334" t="s">
        <v>88</v>
      </c>
      <c r="E1334" t="s">
        <v>734</v>
      </c>
      <c r="F1334" t="s">
        <v>88</v>
      </c>
      <c r="G1334" t="s">
        <v>88</v>
      </c>
      <c r="H1334" t="s">
        <v>92</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152</v>
      </c>
      <c r="B1335" t="s">
        <v>733</v>
      </c>
      <c r="C1335" t="s">
        <v>88</v>
      </c>
      <c r="D1335" t="s">
        <v>88</v>
      </c>
      <c r="E1335" t="s">
        <v>734</v>
      </c>
      <c r="F1335" t="s">
        <v>88</v>
      </c>
      <c r="G1335" t="s">
        <v>88</v>
      </c>
      <c r="H1335" t="s">
        <v>92</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152</v>
      </c>
      <c r="B1336" t="s">
        <v>623</v>
      </c>
      <c r="C1336" t="s">
        <v>88</v>
      </c>
      <c r="D1336" t="s">
        <v>88</v>
      </c>
      <c r="E1336" t="s">
        <v>735</v>
      </c>
      <c r="F1336" t="s">
        <v>88</v>
      </c>
      <c r="G1336" t="s">
        <v>88</v>
      </c>
      <c r="H1336" t="s">
        <v>92</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152</v>
      </c>
      <c r="B1337" t="s">
        <v>625</v>
      </c>
      <c r="C1337" t="s">
        <v>88</v>
      </c>
      <c r="D1337" t="s">
        <v>88</v>
      </c>
      <c r="E1337" t="s">
        <v>626</v>
      </c>
      <c r="F1337" t="s">
        <v>88</v>
      </c>
      <c r="G1337" t="s">
        <v>88</v>
      </c>
      <c r="H1337" t="s">
        <v>92</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155</v>
      </c>
      <c r="B1338" t="s">
        <v>1875</v>
      </c>
      <c r="C1338" t="s">
        <v>88</v>
      </c>
      <c r="D1338" t="s">
        <v>88</v>
      </c>
      <c r="E1338" t="s">
        <v>791</v>
      </c>
      <c r="F1338" t="s">
        <v>88</v>
      </c>
      <c r="G1338" t="s">
        <v>88</v>
      </c>
      <c r="H1338" t="s">
        <v>92</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155</v>
      </c>
      <c r="B1339" t="s">
        <v>1876</v>
      </c>
      <c r="C1339" t="s">
        <v>88</v>
      </c>
      <c r="D1339" t="s">
        <v>88</v>
      </c>
      <c r="E1339" t="s">
        <v>780</v>
      </c>
      <c r="F1339" t="s">
        <v>88</v>
      </c>
      <c r="G1339" t="s">
        <v>88</v>
      </c>
      <c r="H1339" t="s">
        <v>92</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155</v>
      </c>
      <c r="B1340" t="s">
        <v>1877</v>
      </c>
      <c r="C1340" t="s">
        <v>88</v>
      </c>
      <c r="D1340" t="s">
        <v>88</v>
      </c>
      <c r="E1340" t="s">
        <v>780</v>
      </c>
      <c r="F1340" t="s">
        <v>88</v>
      </c>
      <c r="G1340" t="s">
        <v>88</v>
      </c>
      <c r="H1340" t="s">
        <v>92</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155</v>
      </c>
      <c r="B1341" t="s">
        <v>1878</v>
      </c>
      <c r="C1341" t="s">
        <v>88</v>
      </c>
      <c r="D1341" t="s">
        <v>88</v>
      </c>
      <c r="E1341" t="s">
        <v>780</v>
      </c>
      <c r="F1341" t="s">
        <v>88</v>
      </c>
      <c r="G1341" t="s">
        <v>88</v>
      </c>
      <c r="H1341" t="s">
        <v>92</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155</v>
      </c>
      <c r="B1342" t="s">
        <v>1879</v>
      </c>
      <c r="C1342" t="s">
        <v>88</v>
      </c>
      <c r="D1342" t="s">
        <v>88</v>
      </c>
      <c r="E1342" t="s">
        <v>780</v>
      </c>
      <c r="F1342" t="s">
        <v>88</v>
      </c>
      <c r="G1342" t="s">
        <v>88</v>
      </c>
      <c r="H1342" t="s">
        <v>92</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155</v>
      </c>
      <c r="B1343" t="s">
        <v>1880</v>
      </c>
      <c r="C1343" t="s">
        <v>88</v>
      </c>
      <c r="D1343" t="s">
        <v>88</v>
      </c>
      <c r="E1343" t="s">
        <v>780</v>
      </c>
      <c r="F1343" t="s">
        <v>88</v>
      </c>
      <c r="G1343" t="s">
        <v>88</v>
      </c>
      <c r="H1343" t="s">
        <v>92</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155</v>
      </c>
      <c r="B1344" t="s">
        <v>1881</v>
      </c>
      <c r="C1344" t="s">
        <v>88</v>
      </c>
      <c r="D1344" t="s">
        <v>88</v>
      </c>
      <c r="E1344" t="s">
        <v>780</v>
      </c>
      <c r="F1344" t="s">
        <v>88</v>
      </c>
      <c r="G1344" t="s">
        <v>88</v>
      </c>
      <c r="H1344" t="s">
        <v>92</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155</v>
      </c>
      <c r="B1345" t="s">
        <v>1882</v>
      </c>
      <c r="C1345" t="s">
        <v>88</v>
      </c>
      <c r="D1345" t="s">
        <v>88</v>
      </c>
      <c r="E1345" t="s">
        <v>780</v>
      </c>
      <c r="F1345" t="s">
        <v>88</v>
      </c>
      <c r="G1345" t="s">
        <v>88</v>
      </c>
      <c r="H1345" t="s">
        <v>92</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155</v>
      </c>
      <c r="B1346" t="s">
        <v>1883</v>
      </c>
      <c r="C1346" t="s">
        <v>88</v>
      </c>
      <c r="D1346" t="s">
        <v>88</v>
      </c>
      <c r="E1346" t="s">
        <v>780</v>
      </c>
      <c r="F1346" t="s">
        <v>88</v>
      </c>
      <c r="G1346" t="s">
        <v>88</v>
      </c>
      <c r="H1346" t="s">
        <v>92</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155</v>
      </c>
      <c r="B1347" t="s">
        <v>1884</v>
      </c>
      <c r="C1347" t="s">
        <v>88</v>
      </c>
      <c r="D1347" t="s">
        <v>88</v>
      </c>
      <c r="E1347" t="s">
        <v>780</v>
      </c>
      <c r="F1347" t="s">
        <v>88</v>
      </c>
      <c r="G1347" t="s">
        <v>88</v>
      </c>
      <c r="H1347" t="s">
        <v>92</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155</v>
      </c>
      <c r="B1348" t="s">
        <v>1885</v>
      </c>
      <c r="C1348" t="s">
        <v>88</v>
      </c>
      <c r="D1348" t="s">
        <v>88</v>
      </c>
      <c r="E1348" t="s">
        <v>791</v>
      </c>
      <c r="F1348" t="s">
        <v>88</v>
      </c>
      <c r="G1348" t="s">
        <v>88</v>
      </c>
      <c r="H1348" t="s">
        <v>92</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155</v>
      </c>
      <c r="B1349" t="s">
        <v>1886</v>
      </c>
      <c r="C1349" t="s">
        <v>88</v>
      </c>
      <c r="D1349" t="s">
        <v>88</v>
      </c>
      <c r="E1349" t="s">
        <v>780</v>
      </c>
      <c r="F1349" t="s">
        <v>88</v>
      </c>
      <c r="G1349" t="s">
        <v>88</v>
      </c>
      <c r="H1349" t="s">
        <v>92</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155</v>
      </c>
      <c r="B1350" t="s">
        <v>1887</v>
      </c>
      <c r="C1350" t="s">
        <v>88</v>
      </c>
      <c r="D1350" t="s">
        <v>88</v>
      </c>
      <c r="E1350" t="s">
        <v>780</v>
      </c>
      <c r="F1350" t="s">
        <v>88</v>
      </c>
      <c r="G1350" t="s">
        <v>88</v>
      </c>
      <c r="H1350" t="s">
        <v>92</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155</v>
      </c>
      <c r="B1351" t="s">
        <v>1888</v>
      </c>
      <c r="C1351" t="s">
        <v>88</v>
      </c>
      <c r="D1351" t="s">
        <v>88</v>
      </c>
      <c r="E1351" t="s">
        <v>780</v>
      </c>
      <c r="F1351" t="s">
        <v>88</v>
      </c>
      <c r="G1351" t="s">
        <v>88</v>
      </c>
      <c r="H1351" t="s">
        <v>92</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155</v>
      </c>
      <c r="B1352" t="s">
        <v>1889</v>
      </c>
      <c r="C1352" t="s">
        <v>88</v>
      </c>
      <c r="D1352" t="s">
        <v>1109</v>
      </c>
      <c r="E1352" t="s">
        <v>780</v>
      </c>
      <c r="F1352" t="s">
        <v>88</v>
      </c>
      <c r="G1352" t="s">
        <v>88</v>
      </c>
      <c r="H1352" t="s">
        <v>92</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155</v>
      </c>
      <c r="B1353" t="s">
        <v>1890</v>
      </c>
      <c r="C1353" t="s">
        <v>88</v>
      </c>
      <c r="D1353" t="s">
        <v>88</v>
      </c>
      <c r="E1353" t="s">
        <v>700</v>
      </c>
      <c r="F1353" t="s">
        <v>88</v>
      </c>
      <c r="G1353" t="s">
        <v>88</v>
      </c>
      <c r="H1353" t="s">
        <v>92</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155</v>
      </c>
      <c r="B1354" t="s">
        <v>1891</v>
      </c>
      <c r="C1354" t="s">
        <v>88</v>
      </c>
      <c r="D1354" t="s">
        <v>88</v>
      </c>
      <c r="E1354" t="s">
        <v>700</v>
      </c>
      <c r="F1354" t="s">
        <v>88</v>
      </c>
      <c r="G1354" t="s">
        <v>88</v>
      </c>
      <c r="H1354" t="s">
        <v>92</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155</v>
      </c>
      <c r="B1355" t="s">
        <v>1892</v>
      </c>
      <c r="C1355" t="s">
        <v>88</v>
      </c>
      <c r="D1355" t="s">
        <v>1109</v>
      </c>
      <c r="E1355" t="s">
        <v>700</v>
      </c>
      <c r="F1355" t="s">
        <v>88</v>
      </c>
      <c r="G1355" t="s">
        <v>88</v>
      </c>
      <c r="H1355" t="s">
        <v>92</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155</v>
      </c>
      <c r="B1356" t="s">
        <v>1893</v>
      </c>
      <c r="C1356" t="s">
        <v>88</v>
      </c>
      <c r="D1356" t="s">
        <v>88</v>
      </c>
      <c r="E1356" t="s">
        <v>655</v>
      </c>
      <c r="F1356" t="s">
        <v>88</v>
      </c>
      <c r="G1356" t="s">
        <v>88</v>
      </c>
      <c r="H1356" t="s">
        <v>92</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155</v>
      </c>
      <c r="B1357" t="s">
        <v>1894</v>
      </c>
      <c r="C1357" t="s">
        <v>88</v>
      </c>
      <c r="D1357" t="s">
        <v>88</v>
      </c>
      <c r="E1357" t="s">
        <v>655</v>
      </c>
      <c r="F1357" t="s">
        <v>88</v>
      </c>
      <c r="G1357" t="s">
        <v>88</v>
      </c>
      <c r="H1357" t="s">
        <v>92</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155</v>
      </c>
      <c r="B1358" t="s">
        <v>1895</v>
      </c>
      <c r="C1358" t="s">
        <v>88</v>
      </c>
      <c r="D1358" t="s">
        <v>1109</v>
      </c>
      <c r="E1358" t="s">
        <v>655</v>
      </c>
      <c r="F1358" t="s">
        <v>88</v>
      </c>
      <c r="G1358" t="s">
        <v>88</v>
      </c>
      <c r="H1358" t="s">
        <v>92</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155</v>
      </c>
      <c r="B1359" t="s">
        <v>1896</v>
      </c>
      <c r="C1359" t="s">
        <v>88</v>
      </c>
      <c r="D1359" t="s">
        <v>88</v>
      </c>
      <c r="E1359" t="s">
        <v>844</v>
      </c>
      <c r="F1359" t="s">
        <v>88</v>
      </c>
      <c r="G1359" t="s">
        <v>88</v>
      </c>
      <c r="H1359" t="s">
        <v>92</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155</v>
      </c>
      <c r="B1360" t="s">
        <v>1897</v>
      </c>
      <c r="C1360" t="s">
        <v>88</v>
      </c>
      <c r="D1360" t="s">
        <v>88</v>
      </c>
      <c r="E1360" t="s">
        <v>844</v>
      </c>
      <c r="F1360" t="s">
        <v>88</v>
      </c>
      <c r="G1360" t="s">
        <v>88</v>
      </c>
      <c r="H1360" t="s">
        <v>92</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155</v>
      </c>
      <c r="B1361" t="s">
        <v>1898</v>
      </c>
      <c r="C1361" t="s">
        <v>88</v>
      </c>
      <c r="D1361" t="s">
        <v>1109</v>
      </c>
      <c r="E1361" t="s">
        <v>844</v>
      </c>
      <c r="F1361" t="s">
        <v>88</v>
      </c>
      <c r="G1361" t="s">
        <v>88</v>
      </c>
      <c r="H1361" t="s">
        <v>92</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155</v>
      </c>
      <c r="B1362" t="s">
        <v>1899</v>
      </c>
      <c r="C1362" t="s">
        <v>88</v>
      </c>
      <c r="D1362" t="s">
        <v>88</v>
      </c>
      <c r="E1362" t="s">
        <v>844</v>
      </c>
      <c r="F1362" t="s">
        <v>88</v>
      </c>
      <c r="G1362" t="s">
        <v>88</v>
      </c>
      <c r="H1362" t="s">
        <v>92</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155</v>
      </c>
      <c r="B1363" t="s">
        <v>1900</v>
      </c>
      <c r="C1363" t="s">
        <v>88</v>
      </c>
      <c r="D1363" t="s">
        <v>88</v>
      </c>
      <c r="E1363" t="s">
        <v>844</v>
      </c>
      <c r="F1363" t="s">
        <v>88</v>
      </c>
      <c r="G1363" t="s">
        <v>88</v>
      </c>
      <c r="H1363" t="s">
        <v>92</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155</v>
      </c>
      <c r="B1364" t="s">
        <v>1901</v>
      </c>
      <c r="C1364" t="s">
        <v>88</v>
      </c>
      <c r="D1364" t="s">
        <v>1109</v>
      </c>
      <c r="E1364" t="s">
        <v>844</v>
      </c>
      <c r="F1364" t="s">
        <v>88</v>
      </c>
      <c r="G1364" t="s">
        <v>88</v>
      </c>
      <c r="H1364" t="s">
        <v>92</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155</v>
      </c>
      <c r="B1365" t="s">
        <v>1138</v>
      </c>
      <c r="C1365" t="s">
        <v>88</v>
      </c>
      <c r="D1365" t="s">
        <v>88</v>
      </c>
      <c r="E1365" t="s">
        <v>780</v>
      </c>
      <c r="F1365" t="s">
        <v>88</v>
      </c>
      <c r="G1365" t="s">
        <v>88</v>
      </c>
      <c r="H1365" t="s">
        <v>92</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155</v>
      </c>
      <c r="B1366" t="s">
        <v>1140</v>
      </c>
      <c r="C1366" t="s">
        <v>88</v>
      </c>
      <c r="D1366" t="s">
        <v>88</v>
      </c>
      <c r="E1366" t="s">
        <v>780</v>
      </c>
      <c r="F1366" t="s">
        <v>88</v>
      </c>
      <c r="G1366" t="s">
        <v>88</v>
      </c>
      <c r="H1366" t="s">
        <v>92</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155</v>
      </c>
      <c r="B1367" t="s">
        <v>1902</v>
      </c>
      <c r="C1367" t="s">
        <v>88</v>
      </c>
      <c r="D1367" t="s">
        <v>1903</v>
      </c>
      <c r="E1367" t="s">
        <v>844</v>
      </c>
      <c r="F1367" t="s">
        <v>88</v>
      </c>
      <c r="G1367" t="s">
        <v>88</v>
      </c>
      <c r="H1367" t="s">
        <v>92</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155</v>
      </c>
      <c r="B1368" t="s">
        <v>1904</v>
      </c>
      <c r="C1368" t="s">
        <v>88</v>
      </c>
      <c r="D1368" t="s">
        <v>1903</v>
      </c>
      <c r="E1368" t="s">
        <v>791</v>
      </c>
      <c r="F1368" t="s">
        <v>88</v>
      </c>
      <c r="G1368" t="s">
        <v>88</v>
      </c>
      <c r="H1368" t="s">
        <v>92</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155</v>
      </c>
      <c r="B1369" t="s">
        <v>1905</v>
      </c>
      <c r="C1369" t="s">
        <v>88</v>
      </c>
      <c r="D1369" t="s">
        <v>1903</v>
      </c>
      <c r="E1369" t="s">
        <v>663</v>
      </c>
      <c r="F1369" t="s">
        <v>88</v>
      </c>
      <c r="G1369" t="s">
        <v>88</v>
      </c>
      <c r="H1369" t="s">
        <v>92</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155</v>
      </c>
      <c r="B1370" t="s">
        <v>701</v>
      </c>
      <c r="C1370" t="s">
        <v>88</v>
      </c>
      <c r="D1370" t="s">
        <v>88</v>
      </c>
      <c r="E1370" t="s">
        <v>710</v>
      </c>
      <c r="F1370" t="s">
        <v>88</v>
      </c>
      <c r="G1370" t="s">
        <v>88</v>
      </c>
      <c r="H1370" t="s">
        <v>92</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155</v>
      </c>
      <c r="B1371" t="s">
        <v>703</v>
      </c>
      <c r="C1371" t="s">
        <v>88</v>
      </c>
      <c r="D1371" t="s">
        <v>88</v>
      </c>
      <c r="E1371" t="s">
        <v>710</v>
      </c>
      <c r="F1371" t="s">
        <v>88</v>
      </c>
      <c r="G1371" t="s">
        <v>88</v>
      </c>
      <c r="H1371" t="s">
        <v>92</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155</v>
      </c>
      <c r="B1372" t="s">
        <v>705</v>
      </c>
      <c r="C1372" t="s">
        <v>88</v>
      </c>
      <c r="D1372" t="s">
        <v>88</v>
      </c>
      <c r="E1372" t="s">
        <v>710</v>
      </c>
      <c r="F1372" t="s">
        <v>88</v>
      </c>
      <c r="G1372" t="s">
        <v>88</v>
      </c>
      <c r="H1372" t="s">
        <v>92</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155</v>
      </c>
      <c r="B1373" t="s">
        <v>706</v>
      </c>
      <c r="C1373" t="s">
        <v>88</v>
      </c>
      <c r="D1373" t="s">
        <v>88</v>
      </c>
      <c r="E1373" t="s">
        <v>710</v>
      </c>
      <c r="F1373" t="s">
        <v>88</v>
      </c>
      <c r="G1373" t="s">
        <v>88</v>
      </c>
      <c r="H1373" t="s">
        <v>92</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155</v>
      </c>
      <c r="B1374" t="s">
        <v>707</v>
      </c>
      <c r="C1374" t="s">
        <v>88</v>
      </c>
      <c r="D1374" t="s">
        <v>88</v>
      </c>
      <c r="E1374" t="s">
        <v>710</v>
      </c>
      <c r="F1374" t="s">
        <v>88</v>
      </c>
      <c r="G1374" t="s">
        <v>88</v>
      </c>
      <c r="H1374" t="s">
        <v>92</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155</v>
      </c>
      <c r="B1375" t="s">
        <v>708</v>
      </c>
      <c r="C1375" t="s">
        <v>88</v>
      </c>
      <c r="D1375" t="s">
        <v>88</v>
      </c>
      <c r="E1375" t="s">
        <v>710</v>
      </c>
      <c r="F1375" t="s">
        <v>88</v>
      </c>
      <c r="G1375" t="s">
        <v>88</v>
      </c>
      <c r="H1375" t="s">
        <v>92</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155</v>
      </c>
      <c r="B1376" t="s">
        <v>612</v>
      </c>
      <c r="C1376" t="s">
        <v>88</v>
      </c>
      <c r="D1376" t="s">
        <v>88</v>
      </c>
      <c r="E1376" t="s">
        <v>710</v>
      </c>
      <c r="F1376" t="s">
        <v>88</v>
      </c>
      <c r="G1376" t="s">
        <v>88</v>
      </c>
      <c r="H1376" t="s">
        <v>92</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155</v>
      </c>
      <c r="B1377" t="s">
        <v>651</v>
      </c>
      <c r="C1377" t="s">
        <v>88</v>
      </c>
      <c r="D1377" t="s">
        <v>88</v>
      </c>
      <c r="E1377" t="s">
        <v>710</v>
      </c>
      <c r="F1377" t="s">
        <v>88</v>
      </c>
      <c r="G1377" t="s">
        <v>88</v>
      </c>
      <c r="H1377" t="s">
        <v>92</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155</v>
      </c>
      <c r="B1378" t="s">
        <v>614</v>
      </c>
      <c r="C1378" t="s">
        <v>88</v>
      </c>
      <c r="D1378" t="s">
        <v>88</v>
      </c>
      <c r="E1378" t="s">
        <v>710</v>
      </c>
      <c r="F1378" t="s">
        <v>88</v>
      </c>
      <c r="G1378" t="s">
        <v>88</v>
      </c>
      <c r="H1378" t="s">
        <v>92</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155</v>
      </c>
      <c r="B1379" t="s">
        <v>615</v>
      </c>
      <c r="C1379" t="s">
        <v>88</v>
      </c>
      <c r="D1379" t="s">
        <v>88</v>
      </c>
      <c r="E1379" t="s">
        <v>710</v>
      </c>
      <c r="F1379" t="s">
        <v>88</v>
      </c>
      <c r="G1379" t="s">
        <v>88</v>
      </c>
      <c r="H1379" t="s">
        <v>92</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155</v>
      </c>
      <c r="B1380" t="s">
        <v>616</v>
      </c>
      <c r="C1380" t="s">
        <v>88</v>
      </c>
      <c r="D1380" t="s">
        <v>88</v>
      </c>
      <c r="E1380" t="s">
        <v>710</v>
      </c>
      <c r="F1380" t="s">
        <v>88</v>
      </c>
      <c r="G1380" t="s">
        <v>88</v>
      </c>
      <c r="H1380" t="s">
        <v>92</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155</v>
      </c>
      <c r="B1381" t="s">
        <v>620</v>
      </c>
      <c r="C1381" t="s">
        <v>88</v>
      </c>
      <c r="D1381" t="s">
        <v>88</v>
      </c>
      <c r="E1381" t="s">
        <v>713</v>
      </c>
      <c r="F1381" t="s">
        <v>88</v>
      </c>
      <c r="G1381" t="s">
        <v>88</v>
      </c>
      <c r="H1381" t="s">
        <v>92</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155</v>
      </c>
      <c r="B1382" t="s">
        <v>622</v>
      </c>
      <c r="C1382" t="s">
        <v>88</v>
      </c>
      <c r="D1382" t="s">
        <v>88</v>
      </c>
      <c r="E1382" t="s">
        <v>735</v>
      </c>
      <c r="F1382" t="s">
        <v>88</v>
      </c>
      <c r="G1382" t="s">
        <v>88</v>
      </c>
      <c r="H1382" t="s">
        <v>92</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155</v>
      </c>
      <c r="B1383" t="s">
        <v>623</v>
      </c>
      <c r="C1383" t="s">
        <v>88</v>
      </c>
      <c r="D1383" t="s">
        <v>88</v>
      </c>
      <c r="E1383" t="s">
        <v>849</v>
      </c>
      <c r="F1383" t="s">
        <v>88</v>
      </c>
      <c r="G1383" t="s">
        <v>88</v>
      </c>
      <c r="H1383" t="s">
        <v>92</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155</v>
      </c>
      <c r="B1384" t="s">
        <v>714</v>
      </c>
      <c r="C1384" t="s">
        <v>88</v>
      </c>
      <c r="D1384" t="s">
        <v>88</v>
      </c>
      <c r="E1384" t="s">
        <v>734</v>
      </c>
      <c r="F1384" t="s">
        <v>88</v>
      </c>
      <c r="G1384" t="s">
        <v>88</v>
      </c>
      <c r="H1384" t="s">
        <v>92</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155</v>
      </c>
      <c r="B1385" t="s">
        <v>1074</v>
      </c>
      <c r="C1385" t="s">
        <v>88</v>
      </c>
      <c r="D1385" t="s">
        <v>88</v>
      </c>
      <c r="E1385" t="s">
        <v>734</v>
      </c>
      <c r="F1385" t="s">
        <v>88</v>
      </c>
      <c r="G1385" t="s">
        <v>88</v>
      </c>
      <c r="H1385" t="s">
        <v>92</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155</v>
      </c>
      <c r="B1386" t="s">
        <v>998</v>
      </c>
      <c r="C1386" t="s">
        <v>88</v>
      </c>
      <c r="D1386" t="s">
        <v>88</v>
      </c>
      <c r="E1386" t="s">
        <v>734</v>
      </c>
      <c r="F1386" t="s">
        <v>88</v>
      </c>
      <c r="G1386" t="s">
        <v>88</v>
      </c>
      <c r="H1386" t="s">
        <v>92</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155</v>
      </c>
      <c r="B1387" t="s">
        <v>1073</v>
      </c>
      <c r="C1387" t="s">
        <v>88</v>
      </c>
      <c r="D1387" t="s">
        <v>88</v>
      </c>
      <c r="E1387" t="s">
        <v>734</v>
      </c>
      <c r="F1387" t="s">
        <v>88</v>
      </c>
      <c r="G1387" t="s">
        <v>88</v>
      </c>
      <c r="H1387" t="s">
        <v>92</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155</v>
      </c>
      <c r="B1388" t="s">
        <v>798</v>
      </c>
      <c r="C1388" t="s">
        <v>88</v>
      </c>
      <c r="D1388" t="s">
        <v>88</v>
      </c>
      <c r="E1388" t="s">
        <v>734</v>
      </c>
      <c r="F1388" t="s">
        <v>88</v>
      </c>
      <c r="G1388" t="s">
        <v>88</v>
      </c>
      <c r="H1388" t="s">
        <v>92</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155</v>
      </c>
      <c r="B1389" t="s">
        <v>1906</v>
      </c>
      <c r="C1389" t="s">
        <v>88</v>
      </c>
      <c r="D1389" t="s">
        <v>88</v>
      </c>
      <c r="E1389" t="s">
        <v>734</v>
      </c>
      <c r="F1389" t="s">
        <v>88</v>
      </c>
      <c r="G1389" t="s">
        <v>88</v>
      </c>
      <c r="H1389" t="s">
        <v>92</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155</v>
      </c>
      <c r="B1390" t="s">
        <v>1907</v>
      </c>
      <c r="C1390" t="s">
        <v>88</v>
      </c>
      <c r="D1390" t="s">
        <v>88</v>
      </c>
      <c r="E1390" t="s">
        <v>734</v>
      </c>
      <c r="F1390" t="s">
        <v>88</v>
      </c>
      <c r="G1390" t="s">
        <v>88</v>
      </c>
      <c r="H1390" t="s">
        <v>92</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155</v>
      </c>
      <c r="B1391" t="s">
        <v>982</v>
      </c>
      <c r="C1391" t="s">
        <v>88</v>
      </c>
      <c r="D1391" t="s">
        <v>88</v>
      </c>
      <c r="E1391" t="s">
        <v>734</v>
      </c>
      <c r="F1391" t="s">
        <v>88</v>
      </c>
      <c r="G1391" t="s">
        <v>88</v>
      </c>
      <c r="H1391" t="s">
        <v>92</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155</v>
      </c>
      <c r="B1392" t="s">
        <v>1908</v>
      </c>
      <c r="C1392" t="s">
        <v>88</v>
      </c>
      <c r="D1392" t="s">
        <v>88</v>
      </c>
      <c r="E1392" t="s">
        <v>734</v>
      </c>
      <c r="F1392" t="s">
        <v>88</v>
      </c>
      <c r="G1392" t="s">
        <v>88</v>
      </c>
      <c r="H1392" t="s">
        <v>92</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155</v>
      </c>
      <c r="B1393" t="s">
        <v>1909</v>
      </c>
      <c r="C1393" t="s">
        <v>88</v>
      </c>
      <c r="D1393" t="s">
        <v>1910</v>
      </c>
      <c r="E1393" t="s">
        <v>1911</v>
      </c>
      <c r="F1393" t="s">
        <v>88</v>
      </c>
      <c r="G1393" t="s">
        <v>88</v>
      </c>
      <c r="H1393" t="s">
        <v>92</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155</v>
      </c>
      <c r="B1394" t="s">
        <v>1912</v>
      </c>
      <c r="C1394" t="s">
        <v>88</v>
      </c>
      <c r="D1394" t="s">
        <v>1910</v>
      </c>
      <c r="E1394" t="s">
        <v>1911</v>
      </c>
      <c r="F1394" t="s">
        <v>88</v>
      </c>
      <c r="G1394" t="s">
        <v>88</v>
      </c>
      <c r="H1394" t="s">
        <v>92</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155</v>
      </c>
      <c r="B1395" t="s">
        <v>1913</v>
      </c>
      <c r="C1395" t="s">
        <v>88</v>
      </c>
      <c r="D1395" t="s">
        <v>1910</v>
      </c>
      <c r="E1395" t="s">
        <v>1911</v>
      </c>
      <c r="F1395" t="s">
        <v>88</v>
      </c>
      <c r="G1395" t="s">
        <v>88</v>
      </c>
      <c r="H1395" t="s">
        <v>92</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155</v>
      </c>
      <c r="B1396" t="s">
        <v>1914</v>
      </c>
      <c r="C1396" t="s">
        <v>88</v>
      </c>
      <c r="D1396" t="s">
        <v>1910</v>
      </c>
      <c r="E1396" t="s">
        <v>1911</v>
      </c>
      <c r="F1396" t="s">
        <v>88</v>
      </c>
      <c r="G1396" t="s">
        <v>88</v>
      </c>
      <c r="H1396" t="s">
        <v>92</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155</v>
      </c>
      <c r="B1397" t="s">
        <v>1915</v>
      </c>
      <c r="C1397" t="s">
        <v>88</v>
      </c>
      <c r="D1397" t="s">
        <v>1910</v>
      </c>
      <c r="E1397" t="s">
        <v>1911</v>
      </c>
      <c r="F1397" t="s">
        <v>88</v>
      </c>
      <c r="G1397" t="s">
        <v>88</v>
      </c>
      <c r="H1397" t="s">
        <v>92</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155</v>
      </c>
      <c r="B1398" t="s">
        <v>1916</v>
      </c>
      <c r="C1398" t="s">
        <v>88</v>
      </c>
      <c r="D1398" t="s">
        <v>1910</v>
      </c>
      <c r="E1398" t="s">
        <v>1911</v>
      </c>
      <c r="F1398" t="s">
        <v>88</v>
      </c>
      <c r="G1398" t="s">
        <v>88</v>
      </c>
      <c r="H1398" t="s">
        <v>92</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155</v>
      </c>
      <c r="B1399" t="s">
        <v>1917</v>
      </c>
      <c r="C1399" t="s">
        <v>88</v>
      </c>
      <c r="D1399" t="s">
        <v>1910</v>
      </c>
      <c r="E1399" t="s">
        <v>1911</v>
      </c>
      <c r="F1399" t="s">
        <v>88</v>
      </c>
      <c r="G1399" t="s">
        <v>88</v>
      </c>
      <c r="H1399" t="s">
        <v>92</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155</v>
      </c>
      <c r="B1400" t="s">
        <v>1918</v>
      </c>
      <c r="C1400" t="s">
        <v>88</v>
      </c>
      <c r="D1400" t="s">
        <v>1910</v>
      </c>
      <c r="E1400" t="s">
        <v>1911</v>
      </c>
      <c r="F1400" t="s">
        <v>88</v>
      </c>
      <c r="G1400" t="s">
        <v>88</v>
      </c>
      <c r="H1400" t="s">
        <v>92</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155</v>
      </c>
      <c r="B1401" t="s">
        <v>1919</v>
      </c>
      <c r="C1401" t="s">
        <v>88</v>
      </c>
      <c r="D1401" t="s">
        <v>1910</v>
      </c>
      <c r="E1401" t="s">
        <v>1920</v>
      </c>
      <c r="F1401" t="s">
        <v>88</v>
      </c>
      <c r="G1401" t="s">
        <v>88</v>
      </c>
      <c r="H1401" t="s">
        <v>92</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155</v>
      </c>
      <c r="B1402" t="s">
        <v>1921</v>
      </c>
      <c r="C1402" t="s">
        <v>88</v>
      </c>
      <c r="D1402" t="s">
        <v>1910</v>
      </c>
      <c r="E1402" t="s">
        <v>1060</v>
      </c>
      <c r="F1402" t="s">
        <v>88</v>
      </c>
      <c r="G1402" t="s">
        <v>88</v>
      </c>
      <c r="H1402" t="s">
        <v>92</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155</v>
      </c>
      <c r="B1403" t="s">
        <v>1046</v>
      </c>
      <c r="C1403" t="s">
        <v>88</v>
      </c>
      <c r="D1403" t="s">
        <v>88</v>
      </c>
      <c r="E1403" t="s">
        <v>692</v>
      </c>
      <c r="F1403" t="s">
        <v>88</v>
      </c>
      <c r="G1403" t="s">
        <v>88</v>
      </c>
      <c r="H1403" t="s">
        <v>92</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155</v>
      </c>
      <c r="B1404" t="s">
        <v>1053</v>
      </c>
      <c r="C1404" t="s">
        <v>88</v>
      </c>
      <c r="D1404" t="s">
        <v>88</v>
      </c>
      <c r="E1404" t="s">
        <v>825</v>
      </c>
      <c r="F1404" t="s">
        <v>88</v>
      </c>
      <c r="G1404" t="s">
        <v>88</v>
      </c>
      <c r="H1404" t="s">
        <v>92</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155</v>
      </c>
      <c r="B1405" t="s">
        <v>1922</v>
      </c>
      <c r="C1405" t="s">
        <v>88</v>
      </c>
      <c r="D1405" t="s">
        <v>88</v>
      </c>
      <c r="E1405" t="s">
        <v>812</v>
      </c>
      <c r="F1405" t="s">
        <v>88</v>
      </c>
      <c r="G1405" t="s">
        <v>88</v>
      </c>
      <c r="H1405" t="s">
        <v>92</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155</v>
      </c>
      <c r="B1406" t="s">
        <v>1165</v>
      </c>
      <c r="C1406" t="s">
        <v>88</v>
      </c>
      <c r="D1406" t="s">
        <v>88</v>
      </c>
      <c r="E1406" t="s">
        <v>812</v>
      </c>
      <c r="F1406" t="s">
        <v>88</v>
      </c>
      <c r="G1406" t="s">
        <v>88</v>
      </c>
      <c r="H1406" t="s">
        <v>92</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155</v>
      </c>
      <c r="B1407" t="s">
        <v>1923</v>
      </c>
      <c r="C1407" t="s">
        <v>88</v>
      </c>
      <c r="D1407" t="s">
        <v>88</v>
      </c>
      <c r="E1407" t="s">
        <v>812</v>
      </c>
      <c r="F1407" t="s">
        <v>88</v>
      </c>
      <c r="G1407" t="s">
        <v>88</v>
      </c>
      <c r="H1407" t="s">
        <v>92</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155</v>
      </c>
      <c r="B1408" t="s">
        <v>1924</v>
      </c>
      <c r="C1408" t="s">
        <v>88</v>
      </c>
      <c r="D1408" t="s">
        <v>88</v>
      </c>
      <c r="E1408" t="s">
        <v>812</v>
      </c>
      <c r="F1408" t="s">
        <v>88</v>
      </c>
      <c r="G1408" t="s">
        <v>88</v>
      </c>
      <c r="H1408" t="s">
        <v>92</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155</v>
      </c>
      <c r="B1409" t="s">
        <v>1925</v>
      </c>
      <c r="C1409" t="s">
        <v>88</v>
      </c>
      <c r="D1409" t="s">
        <v>88</v>
      </c>
      <c r="E1409" t="s">
        <v>812</v>
      </c>
      <c r="F1409" t="s">
        <v>88</v>
      </c>
      <c r="G1409" t="s">
        <v>88</v>
      </c>
      <c r="H1409" t="s">
        <v>92</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155</v>
      </c>
      <c r="B1410" t="s">
        <v>1926</v>
      </c>
      <c r="C1410" t="s">
        <v>88</v>
      </c>
      <c r="D1410" t="s">
        <v>88</v>
      </c>
      <c r="E1410" t="s">
        <v>812</v>
      </c>
      <c r="F1410" t="s">
        <v>88</v>
      </c>
      <c r="G1410" t="s">
        <v>88</v>
      </c>
      <c r="H1410" t="s">
        <v>92</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155</v>
      </c>
      <c r="B1411" t="s">
        <v>1927</v>
      </c>
      <c r="C1411" t="s">
        <v>88</v>
      </c>
      <c r="D1411" t="s">
        <v>88</v>
      </c>
      <c r="E1411" t="s">
        <v>812</v>
      </c>
      <c r="F1411" t="s">
        <v>88</v>
      </c>
      <c r="G1411" t="s">
        <v>88</v>
      </c>
      <c r="H1411" t="s">
        <v>92</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155</v>
      </c>
      <c r="B1412" t="s">
        <v>1928</v>
      </c>
      <c r="C1412" t="s">
        <v>88</v>
      </c>
      <c r="D1412" t="s">
        <v>88</v>
      </c>
      <c r="E1412" t="s">
        <v>812</v>
      </c>
      <c r="F1412" t="s">
        <v>88</v>
      </c>
      <c r="G1412" t="s">
        <v>88</v>
      </c>
      <c r="H1412" t="s">
        <v>92</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155</v>
      </c>
      <c r="B1413" t="s">
        <v>1929</v>
      </c>
      <c r="C1413" t="s">
        <v>88</v>
      </c>
      <c r="D1413" t="s">
        <v>88</v>
      </c>
      <c r="E1413" t="s">
        <v>676</v>
      </c>
      <c r="F1413" t="s">
        <v>88</v>
      </c>
      <c r="G1413" t="s">
        <v>88</v>
      </c>
      <c r="H1413" t="s">
        <v>92</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155</v>
      </c>
      <c r="B1414" t="s">
        <v>1930</v>
      </c>
      <c r="C1414" t="s">
        <v>88</v>
      </c>
      <c r="D1414" t="s">
        <v>88</v>
      </c>
      <c r="E1414" t="s">
        <v>825</v>
      </c>
      <c r="F1414" t="s">
        <v>88</v>
      </c>
      <c r="G1414" t="s">
        <v>88</v>
      </c>
      <c r="H1414" t="s">
        <v>92</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155</v>
      </c>
      <c r="B1415" t="s">
        <v>1931</v>
      </c>
      <c r="C1415" t="s">
        <v>88</v>
      </c>
      <c r="D1415" t="s">
        <v>88</v>
      </c>
      <c r="E1415" t="s">
        <v>805</v>
      </c>
      <c r="F1415" t="s">
        <v>88</v>
      </c>
      <c r="G1415" t="s">
        <v>88</v>
      </c>
      <c r="H1415" t="s">
        <v>92</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155</v>
      </c>
      <c r="B1416" t="s">
        <v>1932</v>
      </c>
      <c r="C1416" t="s">
        <v>88</v>
      </c>
      <c r="D1416" t="s">
        <v>88</v>
      </c>
      <c r="E1416" t="s">
        <v>1060</v>
      </c>
      <c r="F1416" t="s">
        <v>88</v>
      </c>
      <c r="G1416" t="s">
        <v>88</v>
      </c>
      <c r="H1416" t="s">
        <v>92</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155</v>
      </c>
      <c r="B1417" t="s">
        <v>625</v>
      </c>
      <c r="C1417" t="s">
        <v>88</v>
      </c>
      <c r="D1417" t="s">
        <v>88</v>
      </c>
      <c r="E1417" t="s">
        <v>626</v>
      </c>
      <c r="F1417" t="s">
        <v>88</v>
      </c>
      <c r="G1417" t="s">
        <v>88</v>
      </c>
      <c r="H1417" t="s">
        <v>92</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156</v>
      </c>
      <c r="B1418" t="s">
        <v>972</v>
      </c>
      <c r="C1418" t="s">
        <v>88</v>
      </c>
      <c r="D1418" t="s">
        <v>1933</v>
      </c>
      <c r="E1418" t="s">
        <v>791</v>
      </c>
      <c r="F1418" t="s">
        <v>88</v>
      </c>
      <c r="G1418" t="s">
        <v>88</v>
      </c>
      <c r="H1418" t="s">
        <v>92</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156</v>
      </c>
      <c r="B1419" t="s">
        <v>789</v>
      </c>
      <c r="C1419" t="s">
        <v>88</v>
      </c>
      <c r="D1419" t="s">
        <v>1934</v>
      </c>
      <c r="E1419" t="s">
        <v>702</v>
      </c>
      <c r="F1419" t="s">
        <v>88</v>
      </c>
      <c r="G1419" t="s">
        <v>88</v>
      </c>
      <c r="H1419" t="s">
        <v>92</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156</v>
      </c>
      <c r="B1420" t="s">
        <v>854</v>
      </c>
      <c r="C1420" t="s">
        <v>88</v>
      </c>
      <c r="D1420" t="s">
        <v>1935</v>
      </c>
      <c r="E1420" t="s">
        <v>799</v>
      </c>
      <c r="F1420" t="s">
        <v>88</v>
      </c>
      <c r="G1420" t="s">
        <v>88</v>
      </c>
      <c r="H1420" t="s">
        <v>92</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156</v>
      </c>
      <c r="B1421" t="s">
        <v>1936</v>
      </c>
      <c r="C1421" t="s">
        <v>88</v>
      </c>
      <c r="D1421" t="s">
        <v>1937</v>
      </c>
      <c r="E1421" t="s">
        <v>655</v>
      </c>
      <c r="F1421" t="s">
        <v>88</v>
      </c>
      <c r="G1421" t="s">
        <v>88</v>
      </c>
      <c r="H1421" t="s">
        <v>92</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156</v>
      </c>
      <c r="B1422" t="s">
        <v>1938</v>
      </c>
      <c r="C1422" t="s">
        <v>88</v>
      </c>
      <c r="D1422" t="s">
        <v>1939</v>
      </c>
      <c r="E1422" t="s">
        <v>836</v>
      </c>
      <c r="F1422" t="s">
        <v>88</v>
      </c>
      <c r="G1422" t="s">
        <v>88</v>
      </c>
      <c r="H1422" t="s">
        <v>92</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156</v>
      </c>
      <c r="B1423" t="s">
        <v>1940</v>
      </c>
      <c r="C1423" t="s">
        <v>88</v>
      </c>
      <c r="D1423" t="s">
        <v>1941</v>
      </c>
      <c r="E1423" t="s">
        <v>658</v>
      </c>
      <c r="F1423" t="s">
        <v>88</v>
      </c>
      <c r="G1423" t="s">
        <v>88</v>
      </c>
      <c r="H1423" t="s">
        <v>92</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156</v>
      </c>
      <c r="B1424" t="s">
        <v>1942</v>
      </c>
      <c r="C1424" t="s">
        <v>88</v>
      </c>
      <c r="D1424" t="s">
        <v>1943</v>
      </c>
      <c r="E1424" t="s">
        <v>1944</v>
      </c>
      <c r="F1424" t="s">
        <v>88</v>
      </c>
      <c r="G1424" t="s">
        <v>88</v>
      </c>
      <c r="H1424" t="s">
        <v>92</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156</v>
      </c>
      <c r="B1425" t="s">
        <v>789</v>
      </c>
      <c r="C1425" t="s">
        <v>88</v>
      </c>
      <c r="D1425" t="s">
        <v>1934</v>
      </c>
      <c r="E1425" t="s">
        <v>702</v>
      </c>
      <c r="F1425" t="s">
        <v>88</v>
      </c>
      <c r="G1425" t="s">
        <v>88</v>
      </c>
      <c r="H1425" t="s">
        <v>92</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156</v>
      </c>
      <c r="B1426" t="s">
        <v>854</v>
      </c>
      <c r="C1426" t="s">
        <v>88</v>
      </c>
      <c r="D1426" t="s">
        <v>1935</v>
      </c>
      <c r="E1426" t="s">
        <v>799</v>
      </c>
      <c r="F1426" t="s">
        <v>88</v>
      </c>
      <c r="G1426" t="s">
        <v>88</v>
      </c>
      <c r="H1426" t="s">
        <v>92</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156</v>
      </c>
      <c r="B1427" t="s">
        <v>972</v>
      </c>
      <c r="C1427" t="s">
        <v>88</v>
      </c>
      <c r="D1427" t="s">
        <v>1933</v>
      </c>
      <c r="E1427" t="s">
        <v>791</v>
      </c>
      <c r="F1427" t="s">
        <v>88</v>
      </c>
      <c r="G1427" t="s">
        <v>88</v>
      </c>
      <c r="H1427" t="s">
        <v>92</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156</v>
      </c>
      <c r="B1428" t="s">
        <v>935</v>
      </c>
      <c r="C1428" t="s">
        <v>88</v>
      </c>
      <c r="D1428" t="s">
        <v>1945</v>
      </c>
      <c r="E1428" t="s">
        <v>723</v>
      </c>
      <c r="F1428" t="s">
        <v>88</v>
      </c>
      <c r="G1428" t="s">
        <v>88</v>
      </c>
      <c r="H1428" t="s">
        <v>92</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156</v>
      </c>
      <c r="B1429" t="s">
        <v>832</v>
      </c>
      <c r="C1429" t="s">
        <v>88</v>
      </c>
      <c r="D1429" t="s">
        <v>1946</v>
      </c>
      <c r="E1429" t="s">
        <v>883</v>
      </c>
      <c r="F1429" t="s">
        <v>88</v>
      </c>
      <c r="G1429" t="s">
        <v>88</v>
      </c>
      <c r="H1429" t="s">
        <v>92</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156</v>
      </c>
      <c r="B1430" t="s">
        <v>1936</v>
      </c>
      <c r="C1430" t="s">
        <v>88</v>
      </c>
      <c r="D1430" t="s">
        <v>1937</v>
      </c>
      <c r="E1430" t="s">
        <v>655</v>
      </c>
      <c r="F1430" t="s">
        <v>88</v>
      </c>
      <c r="G1430" t="s">
        <v>88</v>
      </c>
      <c r="H1430" t="s">
        <v>92</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156</v>
      </c>
      <c r="B1431" t="s">
        <v>1938</v>
      </c>
      <c r="C1431" t="s">
        <v>88</v>
      </c>
      <c r="D1431" t="s">
        <v>1939</v>
      </c>
      <c r="E1431" t="s">
        <v>836</v>
      </c>
      <c r="F1431" t="s">
        <v>88</v>
      </c>
      <c r="G1431" t="s">
        <v>88</v>
      </c>
      <c r="H1431" t="s">
        <v>92</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156</v>
      </c>
      <c r="B1432" t="s">
        <v>1947</v>
      </c>
      <c r="C1432" t="s">
        <v>88</v>
      </c>
      <c r="D1432" t="s">
        <v>1948</v>
      </c>
      <c r="E1432" t="s">
        <v>841</v>
      </c>
      <c r="F1432" t="s">
        <v>88</v>
      </c>
      <c r="G1432" t="s">
        <v>88</v>
      </c>
      <c r="H1432" t="s">
        <v>92</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156</v>
      </c>
      <c r="B1433" t="s">
        <v>1949</v>
      </c>
      <c r="C1433" t="s">
        <v>88</v>
      </c>
      <c r="D1433" t="s">
        <v>88</v>
      </c>
      <c r="E1433" t="s">
        <v>723</v>
      </c>
      <c r="F1433" t="s">
        <v>88</v>
      </c>
      <c r="G1433" t="s">
        <v>88</v>
      </c>
      <c r="H1433" t="s">
        <v>92</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156</v>
      </c>
      <c r="B1434" t="s">
        <v>701</v>
      </c>
      <c r="C1434" t="s">
        <v>88</v>
      </c>
      <c r="D1434" t="s">
        <v>88</v>
      </c>
      <c r="E1434" t="s">
        <v>709</v>
      </c>
      <c r="F1434" t="s">
        <v>88</v>
      </c>
      <c r="G1434" t="s">
        <v>88</v>
      </c>
      <c r="H1434" t="s">
        <v>92</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156</v>
      </c>
      <c r="B1435" t="s">
        <v>705</v>
      </c>
      <c r="C1435" t="s">
        <v>88</v>
      </c>
      <c r="D1435" t="s">
        <v>88</v>
      </c>
      <c r="E1435" t="s">
        <v>709</v>
      </c>
      <c r="F1435" t="s">
        <v>88</v>
      </c>
      <c r="G1435" t="s">
        <v>88</v>
      </c>
      <c r="H1435" t="s">
        <v>92</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156</v>
      </c>
      <c r="B1436" t="s">
        <v>706</v>
      </c>
      <c r="C1436" t="s">
        <v>88</v>
      </c>
      <c r="D1436" t="s">
        <v>88</v>
      </c>
      <c r="E1436" t="s">
        <v>709</v>
      </c>
      <c r="F1436" t="s">
        <v>88</v>
      </c>
      <c r="G1436" t="s">
        <v>88</v>
      </c>
      <c r="H1436" t="s">
        <v>92</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156</v>
      </c>
      <c r="B1437" t="s">
        <v>708</v>
      </c>
      <c r="C1437" t="s">
        <v>88</v>
      </c>
      <c r="D1437" t="s">
        <v>88</v>
      </c>
      <c r="E1437" t="s">
        <v>732</v>
      </c>
      <c r="F1437" t="s">
        <v>88</v>
      </c>
      <c r="G1437" t="s">
        <v>88</v>
      </c>
      <c r="H1437" t="s">
        <v>92</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156</v>
      </c>
      <c r="B1438" t="s">
        <v>612</v>
      </c>
      <c r="C1438" t="s">
        <v>88</v>
      </c>
      <c r="D1438" t="s">
        <v>88</v>
      </c>
      <c r="E1438" t="s">
        <v>734</v>
      </c>
      <c r="F1438" t="s">
        <v>88</v>
      </c>
      <c r="G1438" t="s">
        <v>88</v>
      </c>
      <c r="H1438" t="s">
        <v>92</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156</v>
      </c>
      <c r="B1439" t="s">
        <v>952</v>
      </c>
      <c r="C1439" t="s">
        <v>88</v>
      </c>
      <c r="D1439" t="s">
        <v>1950</v>
      </c>
      <c r="E1439" t="s">
        <v>711</v>
      </c>
      <c r="F1439" t="s">
        <v>88</v>
      </c>
      <c r="G1439" t="s">
        <v>88</v>
      </c>
      <c r="H1439" t="s">
        <v>92</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156</v>
      </c>
      <c r="B1440" t="s">
        <v>954</v>
      </c>
      <c r="C1440" t="s">
        <v>88</v>
      </c>
      <c r="D1440" t="s">
        <v>1950</v>
      </c>
      <c r="E1440" t="s">
        <v>711</v>
      </c>
      <c r="F1440" t="s">
        <v>88</v>
      </c>
      <c r="G1440" t="s">
        <v>88</v>
      </c>
      <c r="H1440" t="s">
        <v>92</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156</v>
      </c>
      <c r="B1441" t="s">
        <v>707</v>
      </c>
      <c r="C1441" t="s">
        <v>88</v>
      </c>
      <c r="D1441" t="s">
        <v>88</v>
      </c>
      <c r="E1441" t="s">
        <v>732</v>
      </c>
      <c r="F1441" t="s">
        <v>88</v>
      </c>
      <c r="G1441" t="s">
        <v>88</v>
      </c>
      <c r="H1441" t="s">
        <v>92</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156</v>
      </c>
      <c r="B1442" t="s">
        <v>794</v>
      </c>
      <c r="C1442" t="s">
        <v>88</v>
      </c>
      <c r="D1442" t="s">
        <v>88</v>
      </c>
      <c r="E1442" t="s">
        <v>710</v>
      </c>
      <c r="F1442" t="s">
        <v>88</v>
      </c>
      <c r="G1442" t="s">
        <v>88</v>
      </c>
      <c r="H1442" t="s">
        <v>92</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156</v>
      </c>
      <c r="B1443" t="s">
        <v>926</v>
      </c>
      <c r="C1443" t="s">
        <v>88</v>
      </c>
      <c r="D1443" t="s">
        <v>88</v>
      </c>
      <c r="E1443" t="s">
        <v>848</v>
      </c>
      <c r="F1443" t="s">
        <v>88</v>
      </c>
      <c r="G1443" t="s">
        <v>88</v>
      </c>
      <c r="H1443" t="s">
        <v>92</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156</v>
      </c>
      <c r="B1444" t="s">
        <v>1951</v>
      </c>
      <c r="C1444" t="s">
        <v>88</v>
      </c>
      <c r="D1444" t="s">
        <v>88</v>
      </c>
      <c r="E1444" t="s">
        <v>713</v>
      </c>
      <c r="F1444" t="s">
        <v>88</v>
      </c>
      <c r="G1444" t="s">
        <v>88</v>
      </c>
      <c r="H1444" t="s">
        <v>92</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156</v>
      </c>
      <c r="B1445" t="s">
        <v>1820</v>
      </c>
      <c r="C1445" t="s">
        <v>88</v>
      </c>
      <c r="D1445" t="s">
        <v>88</v>
      </c>
      <c r="E1445" t="s">
        <v>711</v>
      </c>
      <c r="F1445" t="s">
        <v>88</v>
      </c>
      <c r="G1445" t="s">
        <v>88</v>
      </c>
      <c r="H1445" t="s">
        <v>92</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156</v>
      </c>
      <c r="B1446" t="s">
        <v>620</v>
      </c>
      <c r="C1446" t="s">
        <v>88</v>
      </c>
      <c r="D1446" t="s">
        <v>88</v>
      </c>
      <c r="E1446" t="s">
        <v>711</v>
      </c>
      <c r="F1446" t="s">
        <v>88</v>
      </c>
      <c r="G1446" t="s">
        <v>88</v>
      </c>
      <c r="H1446" t="s">
        <v>92</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156</v>
      </c>
      <c r="B1447" t="s">
        <v>622</v>
      </c>
      <c r="C1447" t="s">
        <v>88</v>
      </c>
      <c r="D1447" t="s">
        <v>88</v>
      </c>
      <c r="E1447" t="s">
        <v>735</v>
      </c>
      <c r="F1447" t="s">
        <v>88</v>
      </c>
      <c r="G1447" t="s">
        <v>88</v>
      </c>
      <c r="H1447" t="s">
        <v>92</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156</v>
      </c>
      <c r="B1448" t="s">
        <v>623</v>
      </c>
      <c r="C1448" t="s">
        <v>88</v>
      </c>
      <c r="D1448" t="s">
        <v>88</v>
      </c>
      <c r="E1448" t="s">
        <v>735</v>
      </c>
      <c r="F1448" t="s">
        <v>88</v>
      </c>
      <c r="G1448" t="s">
        <v>88</v>
      </c>
      <c r="H1448" t="s">
        <v>92</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156</v>
      </c>
      <c r="B1449" t="s">
        <v>714</v>
      </c>
      <c r="C1449" t="s">
        <v>88</v>
      </c>
      <c r="D1449" t="s">
        <v>88</v>
      </c>
      <c r="E1449" t="s">
        <v>1594</v>
      </c>
      <c r="F1449" t="s">
        <v>88</v>
      </c>
      <c r="G1449" t="s">
        <v>88</v>
      </c>
      <c r="H1449" t="s">
        <v>92</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156</v>
      </c>
      <c r="B1450" t="s">
        <v>983</v>
      </c>
      <c r="C1450" t="s">
        <v>88</v>
      </c>
      <c r="D1450" t="s">
        <v>88</v>
      </c>
      <c r="E1450" t="s">
        <v>702</v>
      </c>
      <c r="F1450" t="s">
        <v>88</v>
      </c>
      <c r="G1450" t="s">
        <v>88</v>
      </c>
      <c r="H1450" t="s">
        <v>92</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156</v>
      </c>
      <c r="B1451" t="s">
        <v>1952</v>
      </c>
      <c r="C1451" t="s">
        <v>88</v>
      </c>
      <c r="D1451" t="s">
        <v>88</v>
      </c>
      <c r="E1451" t="s">
        <v>780</v>
      </c>
      <c r="F1451" t="s">
        <v>88</v>
      </c>
      <c r="G1451" t="s">
        <v>88</v>
      </c>
      <c r="H1451" t="s">
        <v>92</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157</v>
      </c>
      <c r="B1452" t="s">
        <v>789</v>
      </c>
      <c r="C1452" t="s">
        <v>88</v>
      </c>
      <c r="D1452" t="s">
        <v>1953</v>
      </c>
      <c r="E1452" t="s">
        <v>799</v>
      </c>
      <c r="F1452" t="s">
        <v>88</v>
      </c>
      <c r="G1452" t="s">
        <v>88</v>
      </c>
      <c r="H1452" t="s">
        <v>92</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157</v>
      </c>
      <c r="B1453" t="s">
        <v>854</v>
      </c>
      <c r="C1453" t="s">
        <v>88</v>
      </c>
      <c r="D1453" t="s">
        <v>1954</v>
      </c>
      <c r="E1453" t="s">
        <v>791</v>
      </c>
      <c r="F1453" t="s">
        <v>88</v>
      </c>
      <c r="G1453" t="s">
        <v>88</v>
      </c>
      <c r="H1453" t="s">
        <v>92</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157</v>
      </c>
      <c r="B1454" t="s">
        <v>1955</v>
      </c>
      <c r="C1454" t="s">
        <v>88</v>
      </c>
      <c r="D1454" t="s">
        <v>1956</v>
      </c>
      <c r="E1454" t="s">
        <v>959</v>
      </c>
      <c r="F1454" t="s">
        <v>88</v>
      </c>
      <c r="G1454" t="s">
        <v>88</v>
      </c>
      <c r="H1454" t="s">
        <v>92</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157</v>
      </c>
      <c r="B1455" t="s">
        <v>935</v>
      </c>
      <c r="C1455" t="s">
        <v>88</v>
      </c>
      <c r="D1455" t="s">
        <v>1957</v>
      </c>
      <c r="E1455" t="s">
        <v>700</v>
      </c>
      <c r="F1455" t="s">
        <v>88</v>
      </c>
      <c r="G1455" t="s">
        <v>88</v>
      </c>
      <c r="H1455" t="s">
        <v>92</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157</v>
      </c>
      <c r="B1456" t="s">
        <v>832</v>
      </c>
      <c r="C1456" t="s">
        <v>88</v>
      </c>
      <c r="D1456" t="s">
        <v>1958</v>
      </c>
      <c r="E1456" t="s">
        <v>700</v>
      </c>
      <c r="F1456" t="s">
        <v>88</v>
      </c>
      <c r="G1456" t="s">
        <v>88</v>
      </c>
      <c r="H1456" t="s">
        <v>92</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157</v>
      </c>
      <c r="B1457" t="s">
        <v>816</v>
      </c>
      <c r="C1457" t="s">
        <v>88</v>
      </c>
      <c r="D1457" t="s">
        <v>1959</v>
      </c>
      <c r="E1457" t="s">
        <v>655</v>
      </c>
      <c r="F1457" t="s">
        <v>88</v>
      </c>
      <c r="G1457" t="s">
        <v>88</v>
      </c>
      <c r="H1457" t="s">
        <v>92</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157</v>
      </c>
      <c r="B1458" t="s">
        <v>834</v>
      </c>
      <c r="C1458" t="s">
        <v>88</v>
      </c>
      <c r="D1458" t="s">
        <v>1960</v>
      </c>
      <c r="E1458" t="s">
        <v>844</v>
      </c>
      <c r="F1458" t="s">
        <v>88</v>
      </c>
      <c r="G1458" t="s">
        <v>88</v>
      </c>
      <c r="H1458" t="s">
        <v>92</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157</v>
      </c>
      <c r="B1459" t="s">
        <v>823</v>
      </c>
      <c r="C1459" t="s">
        <v>88</v>
      </c>
      <c r="D1459" t="s">
        <v>1961</v>
      </c>
      <c r="E1459" t="s">
        <v>825</v>
      </c>
      <c r="F1459" t="s">
        <v>88</v>
      </c>
      <c r="G1459" t="s">
        <v>88</v>
      </c>
      <c r="H1459" t="s">
        <v>92</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157</v>
      </c>
      <c r="B1460" t="s">
        <v>1962</v>
      </c>
      <c r="C1460" t="s">
        <v>88</v>
      </c>
      <c r="D1460" t="s">
        <v>88</v>
      </c>
      <c r="E1460" t="s">
        <v>711</v>
      </c>
      <c r="F1460" t="s">
        <v>88</v>
      </c>
      <c r="G1460" t="s">
        <v>88</v>
      </c>
      <c r="H1460" t="s">
        <v>92</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157</v>
      </c>
      <c r="B1461" t="s">
        <v>1963</v>
      </c>
      <c r="C1461" t="s">
        <v>88</v>
      </c>
      <c r="D1461" t="s">
        <v>88</v>
      </c>
      <c r="E1461" t="s">
        <v>711</v>
      </c>
      <c r="F1461" t="s">
        <v>88</v>
      </c>
      <c r="G1461" t="s">
        <v>88</v>
      </c>
      <c r="H1461" t="s">
        <v>92</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157</v>
      </c>
      <c r="B1462" t="s">
        <v>623</v>
      </c>
      <c r="C1462" t="s">
        <v>88</v>
      </c>
      <c r="D1462" t="s">
        <v>88</v>
      </c>
      <c r="E1462" t="s">
        <v>849</v>
      </c>
      <c r="F1462" t="s">
        <v>88</v>
      </c>
      <c r="G1462" t="s">
        <v>88</v>
      </c>
      <c r="H1462" t="s">
        <v>92</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157</v>
      </c>
      <c r="B1463" t="s">
        <v>625</v>
      </c>
      <c r="C1463" t="s">
        <v>88</v>
      </c>
      <c r="D1463" t="s">
        <v>88</v>
      </c>
      <c r="E1463" t="s">
        <v>626</v>
      </c>
      <c r="F1463" t="s">
        <v>88</v>
      </c>
      <c r="G1463" t="s">
        <v>88</v>
      </c>
      <c r="H1463" t="s">
        <v>92</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159</v>
      </c>
      <c r="B1464" t="s">
        <v>789</v>
      </c>
      <c r="C1464" t="s">
        <v>88</v>
      </c>
      <c r="D1464" t="s">
        <v>1964</v>
      </c>
      <c r="E1464" t="s">
        <v>799</v>
      </c>
      <c r="F1464" t="s">
        <v>88</v>
      </c>
      <c r="G1464" t="s">
        <v>88</v>
      </c>
      <c r="H1464" t="s">
        <v>92</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159</v>
      </c>
      <c r="B1465" t="s">
        <v>1955</v>
      </c>
      <c r="C1465" t="s">
        <v>88</v>
      </c>
      <c r="D1465" t="s">
        <v>1965</v>
      </c>
      <c r="E1465" t="s">
        <v>780</v>
      </c>
      <c r="F1465" t="s">
        <v>88</v>
      </c>
      <c r="G1465" t="s">
        <v>88</v>
      </c>
      <c r="H1465" t="s">
        <v>92</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159</v>
      </c>
      <c r="B1466" t="s">
        <v>823</v>
      </c>
      <c r="C1466" t="s">
        <v>88</v>
      </c>
      <c r="D1466" t="s">
        <v>1966</v>
      </c>
      <c r="E1466" t="s">
        <v>964</v>
      </c>
      <c r="F1466" t="s">
        <v>88</v>
      </c>
      <c r="G1466" t="s">
        <v>88</v>
      </c>
      <c r="H1466" t="s">
        <v>92</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159</v>
      </c>
      <c r="B1467" t="s">
        <v>830</v>
      </c>
      <c r="C1467" t="s">
        <v>88</v>
      </c>
      <c r="D1467" t="s">
        <v>1966</v>
      </c>
      <c r="E1467" t="s">
        <v>679</v>
      </c>
      <c r="F1467" t="s">
        <v>88</v>
      </c>
      <c r="G1467" t="s">
        <v>88</v>
      </c>
      <c r="H1467" t="s">
        <v>92</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159</v>
      </c>
      <c r="B1468" t="s">
        <v>816</v>
      </c>
      <c r="C1468" t="s">
        <v>88</v>
      </c>
      <c r="D1468" t="s">
        <v>1966</v>
      </c>
      <c r="E1468" t="s">
        <v>762</v>
      </c>
      <c r="F1468" t="s">
        <v>88</v>
      </c>
      <c r="G1468" t="s">
        <v>88</v>
      </c>
      <c r="H1468" t="s">
        <v>92</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159</v>
      </c>
      <c r="B1469" t="s">
        <v>1967</v>
      </c>
      <c r="C1469" t="s">
        <v>88</v>
      </c>
      <c r="D1469" t="s">
        <v>1968</v>
      </c>
      <c r="E1469" t="s">
        <v>762</v>
      </c>
      <c r="F1469" t="s">
        <v>88</v>
      </c>
      <c r="G1469" t="s">
        <v>88</v>
      </c>
      <c r="H1469" t="s">
        <v>92</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159</v>
      </c>
      <c r="B1470" t="s">
        <v>1969</v>
      </c>
      <c r="C1470" t="s">
        <v>88</v>
      </c>
      <c r="D1470" t="s">
        <v>1970</v>
      </c>
      <c r="E1470" t="s">
        <v>1971</v>
      </c>
      <c r="F1470" t="s">
        <v>88</v>
      </c>
      <c r="G1470" t="s">
        <v>88</v>
      </c>
      <c r="H1470" t="s">
        <v>92</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159</v>
      </c>
      <c r="B1471" t="s">
        <v>1972</v>
      </c>
      <c r="C1471" t="s">
        <v>88</v>
      </c>
      <c r="D1471" t="s">
        <v>1973</v>
      </c>
      <c r="E1471" t="s">
        <v>937</v>
      </c>
      <c r="F1471" t="s">
        <v>88</v>
      </c>
      <c r="G1471" t="s">
        <v>88</v>
      </c>
      <c r="H1471" t="s">
        <v>92</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159</v>
      </c>
      <c r="B1472" t="s">
        <v>789</v>
      </c>
      <c r="C1472" t="s">
        <v>88</v>
      </c>
      <c r="D1472" t="s">
        <v>1964</v>
      </c>
      <c r="E1472" t="s">
        <v>799</v>
      </c>
      <c r="F1472" t="s">
        <v>88</v>
      </c>
      <c r="G1472" t="s">
        <v>88</v>
      </c>
      <c r="H1472" t="s">
        <v>92</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159</v>
      </c>
      <c r="B1473" t="s">
        <v>854</v>
      </c>
      <c r="C1473" t="s">
        <v>88</v>
      </c>
      <c r="D1473" t="s">
        <v>1974</v>
      </c>
      <c r="E1473" t="s">
        <v>715</v>
      </c>
      <c r="F1473" t="s">
        <v>88</v>
      </c>
      <c r="G1473" t="s">
        <v>88</v>
      </c>
      <c r="H1473" t="s">
        <v>92</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159</v>
      </c>
      <c r="B1474" t="s">
        <v>1955</v>
      </c>
      <c r="C1474" t="s">
        <v>88</v>
      </c>
      <c r="D1474" t="s">
        <v>1965</v>
      </c>
      <c r="E1474" t="s">
        <v>780</v>
      </c>
      <c r="F1474" t="s">
        <v>88</v>
      </c>
      <c r="G1474" t="s">
        <v>88</v>
      </c>
      <c r="H1474" t="s">
        <v>92</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159</v>
      </c>
      <c r="B1475" t="s">
        <v>830</v>
      </c>
      <c r="C1475" t="s">
        <v>88</v>
      </c>
      <c r="D1475" t="s">
        <v>1966</v>
      </c>
      <c r="E1475" t="s">
        <v>679</v>
      </c>
      <c r="F1475" t="s">
        <v>88</v>
      </c>
      <c r="G1475" t="s">
        <v>88</v>
      </c>
      <c r="H1475" t="s">
        <v>92</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159</v>
      </c>
      <c r="B1476" t="s">
        <v>965</v>
      </c>
      <c r="C1476" t="s">
        <v>88</v>
      </c>
      <c r="D1476" t="s">
        <v>88</v>
      </c>
      <c r="E1476" t="s">
        <v>679</v>
      </c>
      <c r="F1476" t="s">
        <v>88</v>
      </c>
      <c r="G1476" t="s">
        <v>88</v>
      </c>
      <c r="H1476" t="s">
        <v>92</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159</v>
      </c>
      <c r="B1477" t="s">
        <v>816</v>
      </c>
      <c r="C1477" t="s">
        <v>88</v>
      </c>
      <c r="D1477" t="s">
        <v>1966</v>
      </c>
      <c r="E1477" t="s">
        <v>762</v>
      </c>
      <c r="F1477" t="s">
        <v>88</v>
      </c>
      <c r="G1477" t="s">
        <v>88</v>
      </c>
      <c r="H1477" t="s">
        <v>92</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159</v>
      </c>
      <c r="B1478" t="s">
        <v>944</v>
      </c>
      <c r="C1478" t="s">
        <v>88</v>
      </c>
      <c r="D1478" t="s">
        <v>88</v>
      </c>
      <c r="E1478" t="s">
        <v>655</v>
      </c>
      <c r="F1478" t="s">
        <v>88</v>
      </c>
      <c r="G1478" t="s">
        <v>88</v>
      </c>
      <c r="H1478" t="s">
        <v>92</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159</v>
      </c>
      <c r="B1479" t="s">
        <v>942</v>
      </c>
      <c r="C1479" t="s">
        <v>88</v>
      </c>
      <c r="D1479" t="s">
        <v>1966</v>
      </c>
      <c r="E1479" t="s">
        <v>844</v>
      </c>
      <c r="F1479" t="s">
        <v>88</v>
      </c>
      <c r="G1479" t="s">
        <v>88</v>
      </c>
      <c r="H1479" t="s">
        <v>92</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159</v>
      </c>
      <c r="B1480" t="s">
        <v>823</v>
      </c>
      <c r="C1480" t="s">
        <v>88</v>
      </c>
      <c r="D1480" t="s">
        <v>1966</v>
      </c>
      <c r="E1480" t="s">
        <v>964</v>
      </c>
      <c r="F1480" t="s">
        <v>88</v>
      </c>
      <c r="G1480" t="s">
        <v>88</v>
      </c>
      <c r="H1480" t="s">
        <v>92</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159</v>
      </c>
      <c r="B1481" t="s">
        <v>1764</v>
      </c>
      <c r="C1481" t="s">
        <v>88</v>
      </c>
      <c r="D1481" t="s">
        <v>88</v>
      </c>
      <c r="E1481" t="s">
        <v>713</v>
      </c>
      <c r="F1481" t="s">
        <v>88</v>
      </c>
      <c r="G1481" t="s">
        <v>88</v>
      </c>
      <c r="H1481" t="s">
        <v>92</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159</v>
      </c>
      <c r="B1482" t="s">
        <v>1975</v>
      </c>
      <c r="C1482" t="s">
        <v>88</v>
      </c>
      <c r="D1482" t="s">
        <v>88</v>
      </c>
      <c r="E1482" t="s">
        <v>713</v>
      </c>
      <c r="F1482" t="s">
        <v>88</v>
      </c>
      <c r="G1482" t="s">
        <v>88</v>
      </c>
      <c r="H1482" t="s">
        <v>92</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159</v>
      </c>
      <c r="B1483" t="s">
        <v>1976</v>
      </c>
      <c r="C1483" t="s">
        <v>88</v>
      </c>
      <c r="D1483" t="s">
        <v>88</v>
      </c>
      <c r="E1483" t="s">
        <v>723</v>
      </c>
      <c r="F1483" t="s">
        <v>88</v>
      </c>
      <c r="G1483" t="s">
        <v>88</v>
      </c>
      <c r="H1483" t="s">
        <v>92</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159</v>
      </c>
      <c r="B1484" t="s">
        <v>705</v>
      </c>
      <c r="C1484" t="s">
        <v>88</v>
      </c>
      <c r="D1484" t="s">
        <v>88</v>
      </c>
      <c r="E1484" t="s">
        <v>709</v>
      </c>
      <c r="F1484" t="s">
        <v>88</v>
      </c>
      <c r="G1484" t="s">
        <v>88</v>
      </c>
      <c r="H1484" t="s">
        <v>92</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159</v>
      </c>
      <c r="B1485" t="s">
        <v>612</v>
      </c>
      <c r="C1485" t="s">
        <v>88</v>
      </c>
      <c r="D1485" t="s">
        <v>88</v>
      </c>
      <c r="E1485" t="s">
        <v>709</v>
      </c>
      <c r="F1485" t="s">
        <v>88</v>
      </c>
      <c r="G1485" t="s">
        <v>88</v>
      </c>
      <c r="H1485" t="s">
        <v>92</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159</v>
      </c>
      <c r="B1486" t="s">
        <v>1977</v>
      </c>
      <c r="C1486" t="s">
        <v>88</v>
      </c>
      <c r="D1486" t="s">
        <v>88</v>
      </c>
      <c r="E1486" t="s">
        <v>709</v>
      </c>
      <c r="F1486" t="s">
        <v>88</v>
      </c>
      <c r="G1486" t="s">
        <v>88</v>
      </c>
      <c r="H1486" t="s">
        <v>92</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159</v>
      </c>
      <c r="B1487" t="s">
        <v>846</v>
      </c>
      <c r="C1487" t="s">
        <v>88</v>
      </c>
      <c r="D1487" t="s">
        <v>88</v>
      </c>
      <c r="E1487" t="s">
        <v>1978</v>
      </c>
      <c r="F1487" t="s">
        <v>88</v>
      </c>
      <c r="G1487" t="s">
        <v>88</v>
      </c>
      <c r="H1487" t="s">
        <v>92</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159</v>
      </c>
      <c r="B1488" t="s">
        <v>1979</v>
      </c>
      <c r="C1488" t="s">
        <v>88</v>
      </c>
      <c r="D1488" t="s">
        <v>847</v>
      </c>
      <c r="E1488" t="s">
        <v>1978</v>
      </c>
      <c r="F1488" t="s">
        <v>88</v>
      </c>
      <c r="G1488" t="s">
        <v>88</v>
      </c>
      <c r="H1488" t="s">
        <v>92</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159</v>
      </c>
      <c r="B1489" t="s">
        <v>926</v>
      </c>
      <c r="C1489" t="s">
        <v>88</v>
      </c>
      <c r="D1489" t="s">
        <v>88</v>
      </c>
      <c r="E1489" t="s">
        <v>848</v>
      </c>
      <c r="F1489" t="s">
        <v>88</v>
      </c>
      <c r="G1489" t="s">
        <v>88</v>
      </c>
      <c r="H1489" t="s">
        <v>92</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159</v>
      </c>
      <c r="B1490" t="s">
        <v>1980</v>
      </c>
      <c r="C1490" t="s">
        <v>88</v>
      </c>
      <c r="D1490" t="s">
        <v>88</v>
      </c>
      <c r="E1490" t="s">
        <v>848</v>
      </c>
      <c r="F1490" t="s">
        <v>88</v>
      </c>
      <c r="G1490" t="s">
        <v>88</v>
      </c>
      <c r="H1490" t="s">
        <v>92</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159</v>
      </c>
      <c r="B1491" t="s">
        <v>618</v>
      </c>
      <c r="C1491" t="s">
        <v>88</v>
      </c>
      <c r="D1491" t="s">
        <v>88</v>
      </c>
      <c r="E1491" t="s">
        <v>711</v>
      </c>
      <c r="F1491" t="s">
        <v>88</v>
      </c>
      <c r="G1491" t="s">
        <v>88</v>
      </c>
      <c r="H1491" t="s">
        <v>92</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159</v>
      </c>
      <c r="B1492" t="s">
        <v>797</v>
      </c>
      <c r="C1492" t="s">
        <v>88</v>
      </c>
      <c r="D1492" t="s">
        <v>88</v>
      </c>
      <c r="E1492" t="s">
        <v>711</v>
      </c>
      <c r="F1492" t="s">
        <v>88</v>
      </c>
      <c r="G1492" t="s">
        <v>88</v>
      </c>
      <c r="H1492" t="s">
        <v>92</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159</v>
      </c>
      <c r="B1493" t="s">
        <v>622</v>
      </c>
      <c r="C1493" t="s">
        <v>88</v>
      </c>
      <c r="D1493" t="s">
        <v>88</v>
      </c>
      <c r="E1493" t="s">
        <v>711</v>
      </c>
      <c r="F1493" t="s">
        <v>88</v>
      </c>
      <c r="G1493" t="s">
        <v>88</v>
      </c>
      <c r="H1493" t="s">
        <v>92</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159</v>
      </c>
      <c r="B1494" t="s">
        <v>623</v>
      </c>
      <c r="C1494" t="s">
        <v>88</v>
      </c>
      <c r="D1494" t="s">
        <v>88</v>
      </c>
      <c r="E1494" t="s">
        <v>849</v>
      </c>
      <c r="F1494" t="s">
        <v>88</v>
      </c>
      <c r="G1494" t="s">
        <v>88</v>
      </c>
      <c r="H1494" t="s">
        <v>92</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159</v>
      </c>
      <c r="B1495" t="s">
        <v>714</v>
      </c>
      <c r="C1495" t="s">
        <v>88</v>
      </c>
      <c r="D1495" t="s">
        <v>88</v>
      </c>
      <c r="E1495" t="s">
        <v>702</v>
      </c>
      <c r="F1495" t="s">
        <v>88</v>
      </c>
      <c r="G1495" t="s">
        <v>88</v>
      </c>
      <c r="H1495" t="s">
        <v>92</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159</v>
      </c>
      <c r="B1496" t="s">
        <v>998</v>
      </c>
      <c r="C1496" t="s">
        <v>88</v>
      </c>
      <c r="D1496" t="s">
        <v>88</v>
      </c>
      <c r="E1496" t="s">
        <v>702</v>
      </c>
      <c r="F1496" t="s">
        <v>88</v>
      </c>
      <c r="G1496" t="s">
        <v>88</v>
      </c>
      <c r="H1496" t="s">
        <v>92</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159</v>
      </c>
      <c r="B1497" t="s">
        <v>1981</v>
      </c>
      <c r="C1497" t="s">
        <v>88</v>
      </c>
      <c r="D1497" t="s">
        <v>847</v>
      </c>
      <c r="E1497" t="s">
        <v>723</v>
      </c>
      <c r="F1497" t="s">
        <v>88</v>
      </c>
      <c r="G1497" t="s">
        <v>88</v>
      </c>
      <c r="H1497" t="s">
        <v>92</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159</v>
      </c>
      <c r="B1498" t="s">
        <v>1982</v>
      </c>
      <c r="C1498" t="s">
        <v>88</v>
      </c>
      <c r="D1498" t="s">
        <v>847</v>
      </c>
      <c r="E1498" t="s">
        <v>692</v>
      </c>
      <c r="F1498" t="s">
        <v>88</v>
      </c>
      <c r="G1498" t="s">
        <v>88</v>
      </c>
      <c r="H1498" t="s">
        <v>92</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159</v>
      </c>
      <c r="B1499" t="s">
        <v>625</v>
      </c>
      <c r="C1499" t="s">
        <v>88</v>
      </c>
      <c r="D1499" t="s">
        <v>88</v>
      </c>
      <c r="E1499" t="s">
        <v>626</v>
      </c>
      <c r="F1499" t="s">
        <v>88</v>
      </c>
      <c r="G1499" t="s">
        <v>88</v>
      </c>
      <c r="H1499" t="s">
        <v>92</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161</v>
      </c>
      <c r="B1500" t="s">
        <v>789</v>
      </c>
      <c r="C1500" t="s">
        <v>88</v>
      </c>
      <c r="D1500" t="s">
        <v>1964</v>
      </c>
      <c r="E1500" t="s">
        <v>799</v>
      </c>
      <c r="F1500" t="s">
        <v>88</v>
      </c>
      <c r="G1500" t="s">
        <v>88</v>
      </c>
      <c r="H1500" t="s">
        <v>92</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161</v>
      </c>
      <c r="B1501" t="s">
        <v>972</v>
      </c>
      <c r="C1501" t="s">
        <v>88</v>
      </c>
      <c r="D1501" t="s">
        <v>1965</v>
      </c>
      <c r="E1501" t="s">
        <v>780</v>
      </c>
      <c r="F1501" t="s">
        <v>88</v>
      </c>
      <c r="G1501" t="s">
        <v>88</v>
      </c>
      <c r="H1501" t="s">
        <v>92</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161</v>
      </c>
      <c r="B1502" t="s">
        <v>830</v>
      </c>
      <c r="C1502" t="s">
        <v>88</v>
      </c>
      <c r="D1502" t="s">
        <v>1966</v>
      </c>
      <c r="E1502" t="s">
        <v>679</v>
      </c>
      <c r="F1502" t="s">
        <v>88</v>
      </c>
      <c r="G1502" t="s">
        <v>88</v>
      </c>
      <c r="H1502" t="s">
        <v>92</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161</v>
      </c>
      <c r="B1503" t="s">
        <v>944</v>
      </c>
      <c r="C1503" t="s">
        <v>88</v>
      </c>
      <c r="D1503" t="s">
        <v>88</v>
      </c>
      <c r="E1503" t="s">
        <v>655</v>
      </c>
      <c r="F1503" t="s">
        <v>88</v>
      </c>
      <c r="G1503" t="s">
        <v>88</v>
      </c>
      <c r="H1503" t="s">
        <v>92</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161</v>
      </c>
      <c r="B1504" t="s">
        <v>816</v>
      </c>
      <c r="C1504" t="s">
        <v>88</v>
      </c>
      <c r="D1504" t="s">
        <v>1966</v>
      </c>
      <c r="E1504" t="s">
        <v>762</v>
      </c>
      <c r="F1504" t="s">
        <v>88</v>
      </c>
      <c r="G1504" t="s">
        <v>88</v>
      </c>
      <c r="H1504" t="s">
        <v>92</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161</v>
      </c>
      <c r="B1505" t="s">
        <v>1983</v>
      </c>
      <c r="C1505" t="s">
        <v>88</v>
      </c>
      <c r="D1505" t="s">
        <v>1984</v>
      </c>
      <c r="E1505" t="s">
        <v>937</v>
      </c>
      <c r="F1505" t="s">
        <v>88</v>
      </c>
      <c r="G1505" t="s">
        <v>88</v>
      </c>
      <c r="H1505" t="s">
        <v>92</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161</v>
      </c>
      <c r="B1506" t="s">
        <v>984</v>
      </c>
      <c r="C1506" t="s">
        <v>88</v>
      </c>
      <c r="D1506" t="s">
        <v>985</v>
      </c>
      <c r="E1506" t="s">
        <v>1985</v>
      </c>
      <c r="F1506" t="s">
        <v>88</v>
      </c>
      <c r="G1506" t="s">
        <v>88</v>
      </c>
      <c r="H1506" t="s">
        <v>92</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161</v>
      </c>
      <c r="B1507" t="s">
        <v>789</v>
      </c>
      <c r="C1507" t="s">
        <v>88</v>
      </c>
      <c r="D1507" t="s">
        <v>1964</v>
      </c>
      <c r="E1507" t="s">
        <v>799</v>
      </c>
      <c r="F1507" t="s">
        <v>88</v>
      </c>
      <c r="G1507" t="s">
        <v>88</v>
      </c>
      <c r="H1507" t="s">
        <v>92</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161</v>
      </c>
      <c r="B1508" t="s">
        <v>854</v>
      </c>
      <c r="C1508" t="s">
        <v>88</v>
      </c>
      <c r="D1508" t="s">
        <v>1974</v>
      </c>
      <c r="E1508" t="s">
        <v>715</v>
      </c>
      <c r="F1508" t="s">
        <v>88</v>
      </c>
      <c r="G1508" t="s">
        <v>88</v>
      </c>
      <c r="H1508" t="s">
        <v>92</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161</v>
      </c>
      <c r="B1509" t="s">
        <v>972</v>
      </c>
      <c r="C1509" t="s">
        <v>88</v>
      </c>
      <c r="D1509" t="s">
        <v>1965</v>
      </c>
      <c r="E1509" t="s">
        <v>780</v>
      </c>
      <c r="F1509" t="s">
        <v>88</v>
      </c>
      <c r="G1509" t="s">
        <v>88</v>
      </c>
      <c r="H1509" t="s">
        <v>92</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161</v>
      </c>
      <c r="B1510" t="s">
        <v>1986</v>
      </c>
      <c r="C1510" t="s">
        <v>88</v>
      </c>
      <c r="D1510" t="s">
        <v>1966</v>
      </c>
      <c r="E1510" t="s">
        <v>959</v>
      </c>
      <c r="F1510" t="s">
        <v>88</v>
      </c>
      <c r="G1510" t="s">
        <v>88</v>
      </c>
      <c r="H1510" t="s">
        <v>92</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161</v>
      </c>
      <c r="B1511" t="s">
        <v>830</v>
      </c>
      <c r="C1511" t="s">
        <v>88</v>
      </c>
      <c r="D1511" t="s">
        <v>1966</v>
      </c>
      <c r="E1511" t="s">
        <v>679</v>
      </c>
      <c r="F1511" t="s">
        <v>88</v>
      </c>
      <c r="G1511" t="s">
        <v>88</v>
      </c>
      <c r="H1511" t="s">
        <v>92</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161</v>
      </c>
      <c r="B1512" t="s">
        <v>965</v>
      </c>
      <c r="C1512" t="s">
        <v>88</v>
      </c>
      <c r="D1512" t="s">
        <v>88</v>
      </c>
      <c r="E1512" t="s">
        <v>679</v>
      </c>
      <c r="F1512" t="s">
        <v>88</v>
      </c>
      <c r="G1512" t="s">
        <v>88</v>
      </c>
      <c r="H1512" t="s">
        <v>92</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161</v>
      </c>
      <c r="B1513" t="s">
        <v>816</v>
      </c>
      <c r="C1513" t="s">
        <v>88</v>
      </c>
      <c r="D1513" t="s">
        <v>1966</v>
      </c>
      <c r="E1513" t="s">
        <v>762</v>
      </c>
      <c r="F1513" t="s">
        <v>88</v>
      </c>
      <c r="G1513" t="s">
        <v>88</v>
      </c>
      <c r="H1513" t="s">
        <v>92</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161</v>
      </c>
      <c r="B1514" t="s">
        <v>944</v>
      </c>
      <c r="C1514" t="s">
        <v>88</v>
      </c>
      <c r="D1514" t="s">
        <v>88</v>
      </c>
      <c r="E1514" t="s">
        <v>655</v>
      </c>
      <c r="F1514" t="s">
        <v>88</v>
      </c>
      <c r="G1514" t="s">
        <v>88</v>
      </c>
      <c r="H1514" t="s">
        <v>92</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161</v>
      </c>
      <c r="B1515" t="s">
        <v>942</v>
      </c>
      <c r="C1515" t="s">
        <v>88</v>
      </c>
      <c r="D1515" t="s">
        <v>1966</v>
      </c>
      <c r="E1515" t="s">
        <v>844</v>
      </c>
      <c r="F1515" t="s">
        <v>88</v>
      </c>
      <c r="G1515" t="s">
        <v>88</v>
      </c>
      <c r="H1515" t="s">
        <v>92</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161</v>
      </c>
      <c r="B1516" t="s">
        <v>823</v>
      </c>
      <c r="C1516" t="s">
        <v>88</v>
      </c>
      <c r="D1516" t="s">
        <v>1966</v>
      </c>
      <c r="E1516" t="s">
        <v>964</v>
      </c>
      <c r="F1516" t="s">
        <v>88</v>
      </c>
      <c r="G1516" t="s">
        <v>88</v>
      </c>
      <c r="H1516" t="s">
        <v>92</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161</v>
      </c>
      <c r="B1517" t="s">
        <v>1764</v>
      </c>
      <c r="C1517" t="s">
        <v>88</v>
      </c>
      <c r="D1517" t="s">
        <v>88</v>
      </c>
      <c r="E1517" t="s">
        <v>713</v>
      </c>
      <c r="F1517" t="s">
        <v>88</v>
      </c>
      <c r="G1517" t="s">
        <v>88</v>
      </c>
      <c r="H1517" t="s">
        <v>92</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161</v>
      </c>
      <c r="B1518" t="s">
        <v>1975</v>
      </c>
      <c r="C1518" t="s">
        <v>88</v>
      </c>
      <c r="D1518" t="s">
        <v>88</v>
      </c>
      <c r="E1518" t="s">
        <v>713</v>
      </c>
      <c r="F1518" t="s">
        <v>88</v>
      </c>
      <c r="G1518" t="s">
        <v>88</v>
      </c>
      <c r="H1518" t="s">
        <v>92</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161</v>
      </c>
      <c r="B1519" t="s">
        <v>1976</v>
      </c>
      <c r="C1519" t="s">
        <v>88</v>
      </c>
      <c r="D1519" t="s">
        <v>88</v>
      </c>
      <c r="E1519" t="s">
        <v>723</v>
      </c>
      <c r="F1519" t="s">
        <v>88</v>
      </c>
      <c r="G1519" t="s">
        <v>88</v>
      </c>
      <c r="H1519" t="s">
        <v>92</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161</v>
      </c>
      <c r="B1520" t="s">
        <v>701</v>
      </c>
      <c r="C1520" t="s">
        <v>88</v>
      </c>
      <c r="D1520" t="s">
        <v>88</v>
      </c>
      <c r="E1520" t="s">
        <v>709</v>
      </c>
      <c r="F1520" t="s">
        <v>88</v>
      </c>
      <c r="G1520" t="s">
        <v>88</v>
      </c>
      <c r="H1520" t="s">
        <v>92</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161</v>
      </c>
      <c r="B1521" t="s">
        <v>612</v>
      </c>
      <c r="C1521" t="s">
        <v>88</v>
      </c>
      <c r="D1521" t="s">
        <v>88</v>
      </c>
      <c r="E1521" t="s">
        <v>709</v>
      </c>
      <c r="F1521" t="s">
        <v>88</v>
      </c>
      <c r="G1521" t="s">
        <v>88</v>
      </c>
      <c r="H1521" t="s">
        <v>92</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161</v>
      </c>
      <c r="B1522" t="s">
        <v>846</v>
      </c>
      <c r="C1522" t="s">
        <v>88</v>
      </c>
      <c r="D1522" t="s">
        <v>88</v>
      </c>
      <c r="E1522" t="s">
        <v>1978</v>
      </c>
      <c r="F1522" t="s">
        <v>88</v>
      </c>
      <c r="G1522" t="s">
        <v>88</v>
      </c>
      <c r="H1522" t="s">
        <v>92</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161</v>
      </c>
      <c r="B1523" t="s">
        <v>1987</v>
      </c>
      <c r="C1523" t="s">
        <v>88</v>
      </c>
      <c r="D1523" t="s">
        <v>1988</v>
      </c>
      <c r="E1523" t="s">
        <v>848</v>
      </c>
      <c r="F1523" t="s">
        <v>88</v>
      </c>
      <c r="G1523" t="s">
        <v>88</v>
      </c>
      <c r="H1523" t="s">
        <v>92</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161</v>
      </c>
      <c r="B1524" t="s">
        <v>797</v>
      </c>
      <c r="C1524" t="s">
        <v>88</v>
      </c>
      <c r="D1524" t="s">
        <v>88</v>
      </c>
      <c r="E1524" t="s">
        <v>711</v>
      </c>
      <c r="F1524" t="s">
        <v>88</v>
      </c>
      <c r="G1524" t="s">
        <v>88</v>
      </c>
      <c r="H1524" t="s">
        <v>92</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161</v>
      </c>
      <c r="B1525" t="s">
        <v>622</v>
      </c>
      <c r="C1525" t="s">
        <v>88</v>
      </c>
      <c r="D1525" t="s">
        <v>88</v>
      </c>
      <c r="E1525" t="s">
        <v>711</v>
      </c>
      <c r="F1525" t="s">
        <v>88</v>
      </c>
      <c r="G1525" t="s">
        <v>88</v>
      </c>
      <c r="H1525" t="s">
        <v>92</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161</v>
      </c>
      <c r="B1526" t="s">
        <v>623</v>
      </c>
      <c r="C1526" t="s">
        <v>88</v>
      </c>
      <c r="D1526" t="s">
        <v>88</v>
      </c>
      <c r="E1526" t="s">
        <v>849</v>
      </c>
      <c r="F1526" t="s">
        <v>88</v>
      </c>
      <c r="G1526" t="s">
        <v>88</v>
      </c>
      <c r="H1526" t="s">
        <v>92</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161</v>
      </c>
      <c r="B1527" t="s">
        <v>714</v>
      </c>
      <c r="C1527" t="s">
        <v>88</v>
      </c>
      <c r="D1527" t="s">
        <v>88</v>
      </c>
      <c r="E1527" t="s">
        <v>702</v>
      </c>
      <c r="F1527" t="s">
        <v>88</v>
      </c>
      <c r="G1527" t="s">
        <v>88</v>
      </c>
      <c r="H1527" t="s">
        <v>92</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161</v>
      </c>
      <c r="B1528" t="s">
        <v>798</v>
      </c>
      <c r="C1528" t="s">
        <v>88</v>
      </c>
      <c r="D1528" t="s">
        <v>88</v>
      </c>
      <c r="E1528" t="s">
        <v>702</v>
      </c>
      <c r="F1528" t="s">
        <v>88</v>
      </c>
      <c r="G1528" t="s">
        <v>88</v>
      </c>
      <c r="H1528" t="s">
        <v>92</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161</v>
      </c>
      <c r="B1529" t="s">
        <v>852</v>
      </c>
      <c r="C1529" t="s">
        <v>88</v>
      </c>
      <c r="D1529" t="s">
        <v>88</v>
      </c>
      <c r="E1529" t="s">
        <v>715</v>
      </c>
      <c r="F1529" t="s">
        <v>88</v>
      </c>
      <c r="G1529" t="s">
        <v>88</v>
      </c>
      <c r="H1529" t="s">
        <v>92</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161</v>
      </c>
      <c r="B1530" t="s">
        <v>1989</v>
      </c>
      <c r="C1530" t="s">
        <v>88</v>
      </c>
      <c r="D1530" t="s">
        <v>88</v>
      </c>
      <c r="E1530" t="s">
        <v>715</v>
      </c>
      <c r="F1530" t="s">
        <v>88</v>
      </c>
      <c r="G1530" t="s">
        <v>88</v>
      </c>
      <c r="H1530" t="s">
        <v>92</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161</v>
      </c>
      <c r="B1531" t="s">
        <v>1990</v>
      </c>
      <c r="C1531" t="s">
        <v>88</v>
      </c>
      <c r="D1531" t="s">
        <v>88</v>
      </c>
      <c r="E1531" t="s">
        <v>715</v>
      </c>
      <c r="F1531" t="s">
        <v>88</v>
      </c>
      <c r="G1531" t="s">
        <v>88</v>
      </c>
      <c r="H1531" t="s">
        <v>92</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161</v>
      </c>
      <c r="B1532" t="s">
        <v>1991</v>
      </c>
      <c r="C1532" t="s">
        <v>88</v>
      </c>
      <c r="D1532" t="s">
        <v>88</v>
      </c>
      <c r="E1532" t="s">
        <v>723</v>
      </c>
      <c r="F1532" t="s">
        <v>88</v>
      </c>
      <c r="G1532" t="s">
        <v>88</v>
      </c>
      <c r="H1532" t="s">
        <v>92</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161</v>
      </c>
      <c r="B1533" t="s">
        <v>1992</v>
      </c>
      <c r="C1533" t="s">
        <v>88</v>
      </c>
      <c r="D1533" t="s">
        <v>88</v>
      </c>
      <c r="E1533" t="s">
        <v>692</v>
      </c>
      <c r="F1533" t="s">
        <v>88</v>
      </c>
      <c r="G1533" t="s">
        <v>88</v>
      </c>
      <c r="H1533" t="s">
        <v>92</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161</v>
      </c>
      <c r="B1534" t="s">
        <v>625</v>
      </c>
      <c r="C1534" t="s">
        <v>88</v>
      </c>
      <c r="D1534" t="s">
        <v>88</v>
      </c>
      <c r="E1534" t="s">
        <v>626</v>
      </c>
      <c r="F1534" t="s">
        <v>88</v>
      </c>
      <c r="G1534" t="s">
        <v>88</v>
      </c>
      <c r="H1534" t="s">
        <v>92</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162</v>
      </c>
      <c r="B1535" t="s">
        <v>1656</v>
      </c>
      <c r="C1535" t="s">
        <v>88</v>
      </c>
      <c r="D1535" t="s">
        <v>1993</v>
      </c>
      <c r="E1535" t="s">
        <v>715</v>
      </c>
      <c r="F1535" t="s">
        <v>88</v>
      </c>
      <c r="G1535" t="s">
        <v>88</v>
      </c>
      <c r="H1535" t="s">
        <v>92</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162</v>
      </c>
      <c r="B1536" t="s">
        <v>1658</v>
      </c>
      <c r="C1536" t="s">
        <v>88</v>
      </c>
      <c r="D1536" t="s">
        <v>772</v>
      </c>
      <c r="E1536" t="s">
        <v>780</v>
      </c>
      <c r="F1536" t="s">
        <v>88</v>
      </c>
      <c r="G1536" t="s">
        <v>88</v>
      </c>
      <c r="H1536" t="s">
        <v>92</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162</v>
      </c>
      <c r="B1537" t="s">
        <v>736</v>
      </c>
      <c r="C1537" t="s">
        <v>88</v>
      </c>
      <c r="D1537" t="s">
        <v>1994</v>
      </c>
      <c r="E1537" t="s">
        <v>780</v>
      </c>
      <c r="F1537" t="s">
        <v>88</v>
      </c>
      <c r="G1537" t="s">
        <v>88</v>
      </c>
      <c r="H1537" t="s">
        <v>92</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162</v>
      </c>
      <c r="B1538" t="s">
        <v>1669</v>
      </c>
      <c r="C1538" t="s">
        <v>88</v>
      </c>
      <c r="D1538" t="s">
        <v>1995</v>
      </c>
      <c r="E1538" t="s">
        <v>883</v>
      </c>
      <c r="F1538" t="s">
        <v>88</v>
      </c>
      <c r="G1538" t="s">
        <v>88</v>
      </c>
      <c r="H1538" t="s">
        <v>92</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162</v>
      </c>
      <c r="B1539" t="s">
        <v>876</v>
      </c>
      <c r="C1539" t="s">
        <v>88</v>
      </c>
      <c r="D1539" t="s">
        <v>1996</v>
      </c>
      <c r="E1539" t="s">
        <v>655</v>
      </c>
      <c r="F1539" t="s">
        <v>88</v>
      </c>
      <c r="G1539" t="s">
        <v>88</v>
      </c>
      <c r="H1539" t="s">
        <v>92</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162</v>
      </c>
      <c r="B1540" t="s">
        <v>1997</v>
      </c>
      <c r="C1540" t="s">
        <v>88</v>
      </c>
      <c r="D1540" t="s">
        <v>1662</v>
      </c>
      <c r="E1540" t="s">
        <v>1596</v>
      </c>
      <c r="F1540" t="s">
        <v>88</v>
      </c>
      <c r="G1540" t="s">
        <v>88</v>
      </c>
      <c r="H1540" t="s">
        <v>92</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162</v>
      </c>
      <c r="B1541" t="s">
        <v>1998</v>
      </c>
      <c r="C1541" t="s">
        <v>88</v>
      </c>
      <c r="D1541" t="s">
        <v>1999</v>
      </c>
      <c r="E1541" t="s">
        <v>1323</v>
      </c>
      <c r="F1541" t="s">
        <v>88</v>
      </c>
      <c r="G1541" t="s">
        <v>88</v>
      </c>
      <c r="H1541" t="s">
        <v>92</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162</v>
      </c>
      <c r="B1542" t="s">
        <v>1667</v>
      </c>
      <c r="C1542" t="s">
        <v>88</v>
      </c>
      <c r="D1542" t="s">
        <v>1995</v>
      </c>
      <c r="E1542" t="s">
        <v>655</v>
      </c>
      <c r="F1542" t="s">
        <v>88</v>
      </c>
      <c r="G1542" t="s">
        <v>88</v>
      </c>
      <c r="H1542" t="s">
        <v>92</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162</v>
      </c>
      <c r="B1543" t="s">
        <v>1659</v>
      </c>
      <c r="C1543" t="s">
        <v>88</v>
      </c>
      <c r="D1543" t="s">
        <v>2000</v>
      </c>
      <c r="E1543" t="s">
        <v>1006</v>
      </c>
      <c r="F1543" t="s">
        <v>88</v>
      </c>
      <c r="G1543" t="s">
        <v>88</v>
      </c>
      <c r="H1543" t="s">
        <v>92</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162</v>
      </c>
      <c r="B1544" t="s">
        <v>1664</v>
      </c>
      <c r="C1544" t="s">
        <v>88</v>
      </c>
      <c r="D1544" t="s">
        <v>1995</v>
      </c>
      <c r="E1544" t="s">
        <v>1282</v>
      </c>
      <c r="F1544" t="s">
        <v>88</v>
      </c>
      <c r="G1544" t="s">
        <v>88</v>
      </c>
      <c r="H1544" t="s">
        <v>92</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162</v>
      </c>
      <c r="B1545" t="s">
        <v>1658</v>
      </c>
      <c r="C1545" t="s">
        <v>88</v>
      </c>
      <c r="D1545" t="s">
        <v>772</v>
      </c>
      <c r="E1545" t="s">
        <v>780</v>
      </c>
      <c r="F1545" t="s">
        <v>88</v>
      </c>
      <c r="G1545" t="s">
        <v>88</v>
      </c>
      <c r="H1545" t="s">
        <v>92</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162</v>
      </c>
      <c r="B1546" t="s">
        <v>1668</v>
      </c>
      <c r="C1546" t="s">
        <v>88</v>
      </c>
      <c r="D1546" t="s">
        <v>2001</v>
      </c>
      <c r="E1546" t="s">
        <v>748</v>
      </c>
      <c r="F1546" t="s">
        <v>88</v>
      </c>
      <c r="G1546" t="s">
        <v>88</v>
      </c>
      <c r="H1546" t="s">
        <v>92</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162</v>
      </c>
      <c r="B1547" t="s">
        <v>2002</v>
      </c>
      <c r="C1547" t="s">
        <v>88</v>
      </c>
      <c r="D1547" t="s">
        <v>2000</v>
      </c>
      <c r="E1547" t="s">
        <v>655</v>
      </c>
      <c r="F1547" t="s">
        <v>88</v>
      </c>
      <c r="G1547" t="s">
        <v>88</v>
      </c>
      <c r="H1547" t="s">
        <v>92</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162</v>
      </c>
      <c r="B1548" t="s">
        <v>1669</v>
      </c>
      <c r="C1548" t="s">
        <v>88</v>
      </c>
      <c r="D1548" t="s">
        <v>1995</v>
      </c>
      <c r="E1548" t="s">
        <v>883</v>
      </c>
      <c r="F1548" t="s">
        <v>88</v>
      </c>
      <c r="G1548" t="s">
        <v>88</v>
      </c>
      <c r="H1548" t="s">
        <v>92</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162</v>
      </c>
      <c r="B1549" t="s">
        <v>1656</v>
      </c>
      <c r="C1549" t="s">
        <v>88</v>
      </c>
      <c r="D1549" t="s">
        <v>1993</v>
      </c>
      <c r="E1549" t="s">
        <v>715</v>
      </c>
      <c r="F1549" t="s">
        <v>88</v>
      </c>
      <c r="G1549" t="s">
        <v>88</v>
      </c>
      <c r="H1549" t="s">
        <v>92</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162</v>
      </c>
      <c r="B1550" t="s">
        <v>876</v>
      </c>
      <c r="C1550" t="s">
        <v>88</v>
      </c>
      <c r="D1550" t="s">
        <v>1996</v>
      </c>
      <c r="E1550" t="s">
        <v>655</v>
      </c>
      <c r="F1550" t="s">
        <v>88</v>
      </c>
      <c r="G1550" t="s">
        <v>88</v>
      </c>
      <c r="H1550" t="s">
        <v>92</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162</v>
      </c>
      <c r="B1551" t="s">
        <v>2003</v>
      </c>
      <c r="C1551" t="s">
        <v>88</v>
      </c>
      <c r="D1551" t="s">
        <v>1996</v>
      </c>
      <c r="E1551" t="s">
        <v>655</v>
      </c>
      <c r="F1551" t="s">
        <v>88</v>
      </c>
      <c r="G1551" t="s">
        <v>88</v>
      </c>
      <c r="H1551" t="s">
        <v>92</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162</v>
      </c>
      <c r="B1552" t="s">
        <v>881</v>
      </c>
      <c r="C1552" t="s">
        <v>88</v>
      </c>
      <c r="D1552" t="s">
        <v>1996</v>
      </c>
      <c r="E1552" t="s">
        <v>655</v>
      </c>
      <c r="F1552" t="s">
        <v>88</v>
      </c>
      <c r="G1552" t="s">
        <v>88</v>
      </c>
      <c r="H1552" t="s">
        <v>92</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162</v>
      </c>
      <c r="B1553" t="s">
        <v>898</v>
      </c>
      <c r="C1553" t="s">
        <v>88</v>
      </c>
      <c r="D1553" t="s">
        <v>1996</v>
      </c>
      <c r="E1553" t="s">
        <v>692</v>
      </c>
      <c r="F1553" t="s">
        <v>88</v>
      </c>
      <c r="G1553" t="s">
        <v>88</v>
      </c>
      <c r="H1553" t="s">
        <v>92</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162</v>
      </c>
      <c r="B1554" t="s">
        <v>740</v>
      </c>
      <c r="C1554" t="s">
        <v>88</v>
      </c>
      <c r="D1554" t="s">
        <v>1996</v>
      </c>
      <c r="E1554" t="s">
        <v>717</v>
      </c>
      <c r="F1554" t="s">
        <v>88</v>
      </c>
      <c r="G1554" t="s">
        <v>88</v>
      </c>
      <c r="H1554" t="s">
        <v>92</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162</v>
      </c>
      <c r="B1555" t="s">
        <v>769</v>
      </c>
      <c r="C1555" t="s">
        <v>88</v>
      </c>
      <c r="D1555" t="s">
        <v>2004</v>
      </c>
      <c r="E1555" t="s">
        <v>676</v>
      </c>
      <c r="F1555" t="s">
        <v>88</v>
      </c>
      <c r="G1555" t="s">
        <v>88</v>
      </c>
      <c r="H1555" t="s">
        <v>92</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162</v>
      </c>
      <c r="B1556" t="s">
        <v>2005</v>
      </c>
      <c r="C1556" t="s">
        <v>88</v>
      </c>
      <c r="D1556" t="s">
        <v>2006</v>
      </c>
      <c r="E1556" t="s">
        <v>1171</v>
      </c>
      <c r="F1556" t="s">
        <v>88</v>
      </c>
      <c r="G1556" t="s">
        <v>88</v>
      </c>
      <c r="H1556" t="s">
        <v>92</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162</v>
      </c>
      <c r="B1557" t="s">
        <v>2007</v>
      </c>
      <c r="C1557" t="s">
        <v>88</v>
      </c>
      <c r="D1557" t="s">
        <v>2008</v>
      </c>
      <c r="E1557" t="s">
        <v>1920</v>
      </c>
      <c r="F1557" t="s">
        <v>88</v>
      </c>
      <c r="G1557" t="s">
        <v>88</v>
      </c>
      <c r="H1557" t="s">
        <v>92</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162</v>
      </c>
      <c r="B1558" t="s">
        <v>736</v>
      </c>
      <c r="C1558" t="s">
        <v>88</v>
      </c>
      <c r="D1558" t="s">
        <v>1994</v>
      </c>
      <c r="E1558" t="s">
        <v>780</v>
      </c>
      <c r="F1558" t="s">
        <v>88</v>
      </c>
      <c r="G1558" t="s">
        <v>88</v>
      </c>
      <c r="H1558" t="s">
        <v>92</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162</v>
      </c>
      <c r="B1559" t="s">
        <v>739</v>
      </c>
      <c r="C1559" t="s">
        <v>88</v>
      </c>
      <c r="D1559" t="s">
        <v>772</v>
      </c>
      <c r="E1559" t="s">
        <v>959</v>
      </c>
      <c r="F1559" t="s">
        <v>88</v>
      </c>
      <c r="G1559" t="s">
        <v>88</v>
      </c>
      <c r="H1559" t="s">
        <v>92</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162</v>
      </c>
      <c r="B1560" t="s">
        <v>2009</v>
      </c>
      <c r="C1560" t="s">
        <v>88</v>
      </c>
      <c r="D1560" t="s">
        <v>772</v>
      </c>
      <c r="E1560" t="s">
        <v>937</v>
      </c>
      <c r="F1560" t="s">
        <v>88</v>
      </c>
      <c r="G1560" t="s">
        <v>88</v>
      </c>
      <c r="H1560" t="s">
        <v>92</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162</v>
      </c>
      <c r="B1561" t="s">
        <v>777</v>
      </c>
      <c r="C1561" t="s">
        <v>88</v>
      </c>
      <c r="D1561" t="s">
        <v>772</v>
      </c>
      <c r="E1561" t="s">
        <v>780</v>
      </c>
      <c r="F1561" t="s">
        <v>88</v>
      </c>
      <c r="G1561" t="s">
        <v>88</v>
      </c>
      <c r="H1561" t="s">
        <v>92</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162</v>
      </c>
      <c r="B1562" t="s">
        <v>768</v>
      </c>
      <c r="C1562" t="s">
        <v>88</v>
      </c>
      <c r="D1562" t="s">
        <v>1995</v>
      </c>
      <c r="E1562" t="s">
        <v>655</v>
      </c>
      <c r="F1562" t="s">
        <v>88</v>
      </c>
      <c r="G1562" t="s">
        <v>88</v>
      </c>
      <c r="H1562" t="s">
        <v>92</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162</v>
      </c>
      <c r="B1563" t="s">
        <v>2010</v>
      </c>
      <c r="C1563" t="s">
        <v>88</v>
      </c>
      <c r="D1563" t="s">
        <v>2011</v>
      </c>
      <c r="E1563" t="s">
        <v>1006</v>
      </c>
      <c r="F1563" t="s">
        <v>88</v>
      </c>
      <c r="G1563" t="s">
        <v>88</v>
      </c>
      <c r="H1563" t="s">
        <v>92</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162</v>
      </c>
      <c r="B1564" t="s">
        <v>2012</v>
      </c>
      <c r="C1564" t="s">
        <v>88</v>
      </c>
      <c r="D1564" t="s">
        <v>1993</v>
      </c>
      <c r="E1564" t="s">
        <v>780</v>
      </c>
      <c r="F1564" t="s">
        <v>88</v>
      </c>
      <c r="G1564" t="s">
        <v>88</v>
      </c>
      <c r="H1564" t="s">
        <v>92</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162</v>
      </c>
      <c r="B1565" t="s">
        <v>1322</v>
      </c>
      <c r="C1565" t="s">
        <v>88</v>
      </c>
      <c r="D1565" t="s">
        <v>88</v>
      </c>
      <c r="E1565" t="s">
        <v>702</v>
      </c>
      <c r="F1565" t="s">
        <v>88</v>
      </c>
      <c r="G1565" t="s">
        <v>88</v>
      </c>
      <c r="H1565" t="s">
        <v>92</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162</v>
      </c>
      <c r="B1566" t="s">
        <v>2013</v>
      </c>
      <c r="C1566" t="s">
        <v>88</v>
      </c>
      <c r="D1566" t="s">
        <v>88</v>
      </c>
      <c r="E1566" t="s">
        <v>702</v>
      </c>
      <c r="F1566" t="s">
        <v>88</v>
      </c>
      <c r="G1566" t="s">
        <v>88</v>
      </c>
      <c r="H1566" t="s">
        <v>92</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162</v>
      </c>
      <c r="B1567" t="s">
        <v>2014</v>
      </c>
      <c r="C1567" t="s">
        <v>88</v>
      </c>
      <c r="D1567" t="s">
        <v>88</v>
      </c>
      <c r="E1567" t="s">
        <v>702</v>
      </c>
      <c r="F1567" t="s">
        <v>88</v>
      </c>
      <c r="G1567" t="s">
        <v>88</v>
      </c>
      <c r="H1567" t="s">
        <v>92</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162</v>
      </c>
      <c r="B1568" t="s">
        <v>1072</v>
      </c>
      <c r="C1568" t="s">
        <v>88</v>
      </c>
      <c r="D1568" t="s">
        <v>88</v>
      </c>
      <c r="E1568" t="s">
        <v>734</v>
      </c>
      <c r="F1568" t="s">
        <v>88</v>
      </c>
      <c r="G1568" t="s">
        <v>88</v>
      </c>
      <c r="H1568" t="s">
        <v>92</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162</v>
      </c>
      <c r="B1569" t="s">
        <v>701</v>
      </c>
      <c r="C1569" t="s">
        <v>88</v>
      </c>
      <c r="D1569" t="s">
        <v>88</v>
      </c>
      <c r="E1569" t="s">
        <v>734</v>
      </c>
      <c r="F1569" t="s">
        <v>88</v>
      </c>
      <c r="G1569" t="s">
        <v>88</v>
      </c>
      <c r="H1569" t="s">
        <v>92</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162</v>
      </c>
      <c r="B1570" t="s">
        <v>1989</v>
      </c>
      <c r="C1570" t="s">
        <v>88</v>
      </c>
      <c r="D1570" t="s">
        <v>88</v>
      </c>
      <c r="E1570" t="s">
        <v>715</v>
      </c>
      <c r="F1570" t="s">
        <v>88</v>
      </c>
      <c r="G1570" t="s">
        <v>88</v>
      </c>
      <c r="H1570" t="s">
        <v>92</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162</v>
      </c>
      <c r="B1571" t="s">
        <v>705</v>
      </c>
      <c r="C1571" t="s">
        <v>88</v>
      </c>
      <c r="D1571" t="s">
        <v>88</v>
      </c>
      <c r="E1571" t="s">
        <v>734</v>
      </c>
      <c r="F1571" t="s">
        <v>88</v>
      </c>
      <c r="G1571" t="s">
        <v>88</v>
      </c>
      <c r="H1571" t="s">
        <v>92</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162</v>
      </c>
      <c r="B1572" t="s">
        <v>706</v>
      </c>
      <c r="C1572" t="s">
        <v>88</v>
      </c>
      <c r="D1572" t="s">
        <v>88</v>
      </c>
      <c r="E1572" t="s">
        <v>734</v>
      </c>
      <c r="F1572" t="s">
        <v>88</v>
      </c>
      <c r="G1572" t="s">
        <v>88</v>
      </c>
      <c r="H1572" t="s">
        <v>92</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162</v>
      </c>
      <c r="B1573" t="s">
        <v>707</v>
      </c>
      <c r="C1573" t="s">
        <v>88</v>
      </c>
      <c r="D1573" t="s">
        <v>88</v>
      </c>
      <c r="E1573" t="s">
        <v>734</v>
      </c>
      <c r="F1573" t="s">
        <v>88</v>
      </c>
      <c r="G1573" t="s">
        <v>88</v>
      </c>
      <c r="H1573" t="s">
        <v>92</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162</v>
      </c>
      <c r="B1574" t="s">
        <v>708</v>
      </c>
      <c r="C1574" t="s">
        <v>88</v>
      </c>
      <c r="D1574" t="s">
        <v>88</v>
      </c>
      <c r="E1574" t="s">
        <v>734</v>
      </c>
      <c r="F1574" t="s">
        <v>88</v>
      </c>
      <c r="G1574" t="s">
        <v>88</v>
      </c>
      <c r="H1574" t="s">
        <v>92</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162</v>
      </c>
      <c r="B1575" t="s">
        <v>846</v>
      </c>
      <c r="C1575" t="s">
        <v>88</v>
      </c>
      <c r="D1575" t="s">
        <v>847</v>
      </c>
      <c r="E1575" t="s">
        <v>710</v>
      </c>
      <c r="F1575" t="s">
        <v>88</v>
      </c>
      <c r="G1575" t="s">
        <v>88</v>
      </c>
      <c r="H1575" t="s">
        <v>92</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162</v>
      </c>
      <c r="B1576" t="s">
        <v>618</v>
      </c>
      <c r="C1576" t="s">
        <v>88</v>
      </c>
      <c r="D1576" t="s">
        <v>88</v>
      </c>
      <c r="E1576" t="s">
        <v>711</v>
      </c>
      <c r="F1576" t="s">
        <v>88</v>
      </c>
      <c r="G1576" t="s">
        <v>88</v>
      </c>
      <c r="H1576" t="s">
        <v>92</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162</v>
      </c>
      <c r="B1577" t="s">
        <v>620</v>
      </c>
      <c r="C1577" t="s">
        <v>88</v>
      </c>
      <c r="D1577" t="s">
        <v>88</v>
      </c>
      <c r="E1577" t="s">
        <v>710</v>
      </c>
      <c r="F1577" t="s">
        <v>88</v>
      </c>
      <c r="G1577" t="s">
        <v>88</v>
      </c>
      <c r="H1577" t="s">
        <v>92</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162</v>
      </c>
      <c r="B1578" t="s">
        <v>622</v>
      </c>
      <c r="C1578" t="s">
        <v>88</v>
      </c>
      <c r="D1578" t="s">
        <v>88</v>
      </c>
      <c r="E1578" t="s">
        <v>711</v>
      </c>
      <c r="F1578" t="s">
        <v>88</v>
      </c>
      <c r="G1578" t="s">
        <v>88</v>
      </c>
      <c r="H1578" t="s">
        <v>92</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162</v>
      </c>
      <c r="B1579" t="s">
        <v>623</v>
      </c>
      <c r="C1579" t="s">
        <v>88</v>
      </c>
      <c r="D1579" t="s">
        <v>88</v>
      </c>
      <c r="E1579" t="s">
        <v>735</v>
      </c>
      <c r="F1579" t="s">
        <v>88</v>
      </c>
      <c r="G1579" t="s">
        <v>88</v>
      </c>
      <c r="H1579" t="s">
        <v>92</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162</v>
      </c>
      <c r="B1580" t="s">
        <v>714</v>
      </c>
      <c r="C1580" t="s">
        <v>88</v>
      </c>
      <c r="D1580" t="s">
        <v>88</v>
      </c>
      <c r="E1580" t="s">
        <v>702</v>
      </c>
      <c r="F1580" t="s">
        <v>88</v>
      </c>
      <c r="G1580" t="s">
        <v>88</v>
      </c>
      <c r="H1580" t="s">
        <v>92</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162</v>
      </c>
      <c r="B1581" t="s">
        <v>998</v>
      </c>
      <c r="C1581" t="s">
        <v>88</v>
      </c>
      <c r="D1581" t="s">
        <v>88</v>
      </c>
      <c r="E1581" t="s">
        <v>702</v>
      </c>
      <c r="F1581" t="s">
        <v>88</v>
      </c>
      <c r="G1581" t="s">
        <v>88</v>
      </c>
      <c r="H1581" t="s">
        <v>92</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162</v>
      </c>
      <c r="B1582" t="s">
        <v>2015</v>
      </c>
      <c r="C1582" t="s">
        <v>88</v>
      </c>
      <c r="D1582" t="s">
        <v>88</v>
      </c>
      <c r="E1582" t="s">
        <v>1153</v>
      </c>
      <c r="F1582" t="s">
        <v>88</v>
      </c>
      <c r="G1582" t="s">
        <v>88</v>
      </c>
      <c r="H1582" t="s">
        <v>92</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162</v>
      </c>
      <c r="B1583" t="s">
        <v>809</v>
      </c>
      <c r="C1583" t="s">
        <v>88</v>
      </c>
      <c r="D1583" t="s">
        <v>88</v>
      </c>
      <c r="E1583" t="s">
        <v>2016</v>
      </c>
      <c r="F1583" t="s">
        <v>88</v>
      </c>
      <c r="G1583" t="s">
        <v>88</v>
      </c>
      <c r="H1583" t="s">
        <v>92</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162</v>
      </c>
      <c r="B1584" t="s">
        <v>2017</v>
      </c>
      <c r="C1584" t="s">
        <v>88</v>
      </c>
      <c r="D1584" t="s">
        <v>88</v>
      </c>
      <c r="E1584" t="s">
        <v>2016</v>
      </c>
      <c r="F1584" t="s">
        <v>88</v>
      </c>
      <c r="G1584" t="s">
        <v>88</v>
      </c>
      <c r="H1584" t="s">
        <v>92</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162</v>
      </c>
      <c r="B1585" t="s">
        <v>2018</v>
      </c>
      <c r="C1585" t="s">
        <v>88</v>
      </c>
      <c r="D1585" t="s">
        <v>88</v>
      </c>
      <c r="E1585" t="s">
        <v>844</v>
      </c>
      <c r="F1585" t="s">
        <v>88</v>
      </c>
      <c r="G1585" t="s">
        <v>88</v>
      </c>
      <c r="H1585" t="s">
        <v>92</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162</v>
      </c>
      <c r="B1586" t="s">
        <v>2019</v>
      </c>
      <c r="C1586" t="s">
        <v>88</v>
      </c>
      <c r="D1586" t="s">
        <v>88</v>
      </c>
      <c r="E1586" t="s">
        <v>814</v>
      </c>
      <c r="F1586" t="s">
        <v>88</v>
      </c>
      <c r="G1586" t="s">
        <v>88</v>
      </c>
      <c r="H1586" t="s">
        <v>92</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162</v>
      </c>
      <c r="B1587" t="s">
        <v>2020</v>
      </c>
      <c r="C1587" t="s">
        <v>88</v>
      </c>
      <c r="D1587" t="s">
        <v>88</v>
      </c>
      <c r="E1587" t="s">
        <v>814</v>
      </c>
      <c r="F1587" t="s">
        <v>88</v>
      </c>
      <c r="G1587" t="s">
        <v>88</v>
      </c>
      <c r="H1587" t="s">
        <v>92</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162</v>
      </c>
      <c r="B1588" t="s">
        <v>625</v>
      </c>
      <c r="C1588" t="s">
        <v>88</v>
      </c>
      <c r="D1588" t="s">
        <v>88</v>
      </c>
      <c r="E1588" t="s">
        <v>626</v>
      </c>
      <c r="F1588" t="s">
        <v>88</v>
      </c>
      <c r="G1588" t="s">
        <v>88</v>
      </c>
      <c r="H1588" t="s">
        <v>92</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164</v>
      </c>
      <c r="B1589" t="s">
        <v>2021</v>
      </c>
      <c r="C1589" t="s">
        <v>88</v>
      </c>
      <c r="D1589" t="s">
        <v>2022</v>
      </c>
      <c r="E1589" t="s">
        <v>1598</v>
      </c>
      <c r="F1589" t="s">
        <v>88</v>
      </c>
      <c r="G1589" t="s">
        <v>88</v>
      </c>
      <c r="H1589" t="s">
        <v>92</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164</v>
      </c>
      <c r="B1590" t="s">
        <v>1656</v>
      </c>
      <c r="C1590" t="s">
        <v>88</v>
      </c>
      <c r="D1590" t="s">
        <v>2023</v>
      </c>
      <c r="E1590" t="s">
        <v>780</v>
      </c>
      <c r="F1590" t="s">
        <v>88</v>
      </c>
      <c r="G1590" t="s">
        <v>88</v>
      </c>
      <c r="H1590" t="s">
        <v>92</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164</v>
      </c>
      <c r="B1591" t="s">
        <v>1836</v>
      </c>
      <c r="C1591" t="s">
        <v>88</v>
      </c>
      <c r="D1591" t="s">
        <v>2023</v>
      </c>
      <c r="E1591" t="s">
        <v>959</v>
      </c>
      <c r="F1591" t="s">
        <v>88</v>
      </c>
      <c r="G1591" t="s">
        <v>88</v>
      </c>
      <c r="H1591" t="s">
        <v>92</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164</v>
      </c>
      <c r="B1592" t="s">
        <v>896</v>
      </c>
      <c r="C1592" t="s">
        <v>88</v>
      </c>
      <c r="D1592" t="s">
        <v>88</v>
      </c>
      <c r="E1592" t="s">
        <v>655</v>
      </c>
      <c r="F1592" t="s">
        <v>88</v>
      </c>
      <c r="G1592" t="s">
        <v>88</v>
      </c>
      <c r="H1592" t="s">
        <v>92</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164</v>
      </c>
      <c r="B1593" t="s">
        <v>2024</v>
      </c>
      <c r="C1593" t="s">
        <v>88</v>
      </c>
      <c r="D1593" t="s">
        <v>88</v>
      </c>
      <c r="E1593" t="s">
        <v>893</v>
      </c>
      <c r="F1593" t="s">
        <v>88</v>
      </c>
      <c r="G1593" t="s">
        <v>88</v>
      </c>
      <c r="H1593" t="s">
        <v>92</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164</v>
      </c>
      <c r="B1594" t="s">
        <v>2021</v>
      </c>
      <c r="C1594" t="s">
        <v>88</v>
      </c>
      <c r="D1594" t="s">
        <v>2022</v>
      </c>
      <c r="E1594" t="s">
        <v>1598</v>
      </c>
      <c r="F1594" t="s">
        <v>88</v>
      </c>
      <c r="G1594" t="s">
        <v>88</v>
      </c>
      <c r="H1594" t="s">
        <v>92</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164</v>
      </c>
      <c r="B1595" t="s">
        <v>890</v>
      </c>
      <c r="C1595" t="s">
        <v>88</v>
      </c>
      <c r="D1595" t="s">
        <v>88</v>
      </c>
      <c r="E1595" t="s">
        <v>883</v>
      </c>
      <c r="F1595" t="s">
        <v>88</v>
      </c>
      <c r="G1595" t="s">
        <v>88</v>
      </c>
      <c r="H1595" t="s">
        <v>92</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164</v>
      </c>
      <c r="B1596" t="s">
        <v>892</v>
      </c>
      <c r="C1596" t="s">
        <v>88</v>
      </c>
      <c r="D1596" t="s">
        <v>88</v>
      </c>
      <c r="E1596" t="s">
        <v>1241</v>
      </c>
      <c r="F1596" t="s">
        <v>88</v>
      </c>
      <c r="G1596" t="s">
        <v>88</v>
      </c>
      <c r="H1596" t="s">
        <v>92</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164</v>
      </c>
      <c r="B1597" t="s">
        <v>894</v>
      </c>
      <c r="C1597" t="s">
        <v>88</v>
      </c>
      <c r="D1597" t="s">
        <v>88</v>
      </c>
      <c r="E1597" t="s">
        <v>655</v>
      </c>
      <c r="F1597" t="s">
        <v>88</v>
      </c>
      <c r="G1597" t="s">
        <v>88</v>
      </c>
      <c r="H1597" t="s">
        <v>92</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164</v>
      </c>
      <c r="B1598" t="s">
        <v>2025</v>
      </c>
      <c r="C1598" t="s">
        <v>88</v>
      </c>
      <c r="D1598" t="s">
        <v>88</v>
      </c>
      <c r="E1598" t="s">
        <v>883</v>
      </c>
      <c r="F1598" t="s">
        <v>88</v>
      </c>
      <c r="G1598" t="s">
        <v>88</v>
      </c>
      <c r="H1598" t="s">
        <v>92</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164</v>
      </c>
      <c r="B1599" t="s">
        <v>1733</v>
      </c>
      <c r="C1599" t="s">
        <v>88</v>
      </c>
      <c r="D1599" t="s">
        <v>88</v>
      </c>
      <c r="E1599" t="s">
        <v>655</v>
      </c>
      <c r="F1599" t="s">
        <v>88</v>
      </c>
      <c r="G1599" t="s">
        <v>88</v>
      </c>
      <c r="H1599" t="s">
        <v>92</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164</v>
      </c>
      <c r="B1600" t="s">
        <v>2026</v>
      </c>
      <c r="C1600" t="s">
        <v>88</v>
      </c>
      <c r="D1600" t="s">
        <v>88</v>
      </c>
      <c r="E1600" t="s">
        <v>760</v>
      </c>
      <c r="F1600" t="s">
        <v>88</v>
      </c>
      <c r="G1600" t="s">
        <v>88</v>
      </c>
      <c r="H1600" t="s">
        <v>92</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164</v>
      </c>
      <c r="B1601" t="s">
        <v>2024</v>
      </c>
      <c r="C1601" t="s">
        <v>88</v>
      </c>
      <c r="D1601" t="s">
        <v>88</v>
      </c>
      <c r="E1601" t="s">
        <v>893</v>
      </c>
      <c r="F1601" t="s">
        <v>88</v>
      </c>
      <c r="G1601" t="s">
        <v>88</v>
      </c>
      <c r="H1601" t="s">
        <v>92</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164</v>
      </c>
      <c r="B1602" t="s">
        <v>895</v>
      </c>
      <c r="C1602" t="s">
        <v>88</v>
      </c>
      <c r="D1602" t="s">
        <v>88</v>
      </c>
      <c r="E1602" t="s">
        <v>1241</v>
      </c>
      <c r="F1602" t="s">
        <v>88</v>
      </c>
      <c r="G1602" t="s">
        <v>88</v>
      </c>
      <c r="H1602" t="s">
        <v>92</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164</v>
      </c>
      <c r="B1603" t="s">
        <v>896</v>
      </c>
      <c r="C1603" t="s">
        <v>88</v>
      </c>
      <c r="D1603" t="s">
        <v>88</v>
      </c>
      <c r="E1603" t="s">
        <v>655</v>
      </c>
      <c r="F1603" t="s">
        <v>88</v>
      </c>
      <c r="G1603" t="s">
        <v>88</v>
      </c>
      <c r="H1603" t="s">
        <v>92</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164</v>
      </c>
      <c r="B1604" t="s">
        <v>1380</v>
      </c>
      <c r="C1604" t="s">
        <v>88</v>
      </c>
      <c r="D1604" t="s">
        <v>2027</v>
      </c>
      <c r="E1604" t="s">
        <v>655</v>
      </c>
      <c r="F1604" t="s">
        <v>88</v>
      </c>
      <c r="G1604" t="s">
        <v>88</v>
      </c>
      <c r="H1604" t="s">
        <v>92</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164</v>
      </c>
      <c r="B1605" t="s">
        <v>1668</v>
      </c>
      <c r="C1605" t="s">
        <v>88</v>
      </c>
      <c r="D1605" t="s">
        <v>2023</v>
      </c>
      <c r="E1605" t="s">
        <v>700</v>
      </c>
      <c r="F1605" t="s">
        <v>88</v>
      </c>
      <c r="G1605" t="s">
        <v>88</v>
      </c>
      <c r="H1605" t="s">
        <v>92</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164</v>
      </c>
      <c r="B1606" t="s">
        <v>1656</v>
      </c>
      <c r="C1606" t="s">
        <v>88</v>
      </c>
      <c r="D1606" t="s">
        <v>2023</v>
      </c>
      <c r="E1606" t="s">
        <v>780</v>
      </c>
      <c r="F1606" t="s">
        <v>88</v>
      </c>
      <c r="G1606" t="s">
        <v>88</v>
      </c>
      <c r="H1606" t="s">
        <v>92</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164</v>
      </c>
      <c r="B1607" t="s">
        <v>1836</v>
      </c>
      <c r="C1607" t="s">
        <v>88</v>
      </c>
      <c r="D1607" t="s">
        <v>2023</v>
      </c>
      <c r="E1607" t="s">
        <v>959</v>
      </c>
      <c r="F1607" t="s">
        <v>88</v>
      </c>
      <c r="G1607" t="s">
        <v>88</v>
      </c>
      <c r="H1607" t="s">
        <v>92</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164</v>
      </c>
      <c r="B1608" t="s">
        <v>612</v>
      </c>
      <c r="C1608" t="s">
        <v>88</v>
      </c>
      <c r="D1608" t="s">
        <v>88</v>
      </c>
      <c r="E1608" t="s">
        <v>732</v>
      </c>
      <c r="F1608" t="s">
        <v>88</v>
      </c>
      <c r="G1608" t="s">
        <v>88</v>
      </c>
      <c r="H1608" t="s">
        <v>92</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164</v>
      </c>
      <c r="B1609" t="s">
        <v>651</v>
      </c>
      <c r="C1609" t="s">
        <v>88</v>
      </c>
      <c r="D1609" t="s">
        <v>88</v>
      </c>
      <c r="E1609" t="s">
        <v>732</v>
      </c>
      <c r="F1609" t="s">
        <v>88</v>
      </c>
      <c r="G1609" t="s">
        <v>88</v>
      </c>
      <c r="H1609" t="s">
        <v>92</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164</v>
      </c>
      <c r="B1610" t="s">
        <v>614</v>
      </c>
      <c r="C1610" t="s">
        <v>88</v>
      </c>
      <c r="D1610" t="s">
        <v>88</v>
      </c>
      <c r="E1610" t="s">
        <v>732</v>
      </c>
      <c r="F1610" t="s">
        <v>88</v>
      </c>
      <c r="G1610" t="s">
        <v>88</v>
      </c>
      <c r="H1610" t="s">
        <v>92</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164</v>
      </c>
      <c r="B1611" t="s">
        <v>615</v>
      </c>
      <c r="C1611" t="s">
        <v>88</v>
      </c>
      <c r="D1611" t="s">
        <v>88</v>
      </c>
      <c r="E1611" t="s">
        <v>732</v>
      </c>
      <c r="F1611" t="s">
        <v>88</v>
      </c>
      <c r="G1611" t="s">
        <v>88</v>
      </c>
      <c r="H1611" t="s">
        <v>92</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164</v>
      </c>
      <c r="B1612" t="s">
        <v>616</v>
      </c>
      <c r="C1612" t="s">
        <v>88</v>
      </c>
      <c r="D1612" t="s">
        <v>88</v>
      </c>
      <c r="E1612" t="s">
        <v>732</v>
      </c>
      <c r="F1612" t="s">
        <v>88</v>
      </c>
      <c r="G1612" t="s">
        <v>88</v>
      </c>
      <c r="H1612" t="s">
        <v>92</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164</v>
      </c>
      <c r="B1613" t="s">
        <v>617</v>
      </c>
      <c r="C1613" t="s">
        <v>88</v>
      </c>
      <c r="D1613" t="s">
        <v>88</v>
      </c>
      <c r="E1613" t="s">
        <v>732</v>
      </c>
      <c r="F1613" t="s">
        <v>88</v>
      </c>
      <c r="G1613" t="s">
        <v>88</v>
      </c>
      <c r="H1613" t="s">
        <v>92</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164</v>
      </c>
      <c r="B1614" t="s">
        <v>846</v>
      </c>
      <c r="C1614" t="s">
        <v>88</v>
      </c>
      <c r="D1614" t="s">
        <v>88</v>
      </c>
      <c r="E1614" t="s">
        <v>734</v>
      </c>
      <c r="F1614" t="s">
        <v>88</v>
      </c>
      <c r="G1614" t="s">
        <v>88</v>
      </c>
      <c r="H1614" t="s">
        <v>92</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164</v>
      </c>
      <c r="B1615" t="s">
        <v>618</v>
      </c>
      <c r="C1615" t="s">
        <v>88</v>
      </c>
      <c r="D1615" t="s">
        <v>88</v>
      </c>
      <c r="E1615" t="s">
        <v>709</v>
      </c>
      <c r="F1615" t="s">
        <v>88</v>
      </c>
      <c r="G1615" t="s">
        <v>88</v>
      </c>
      <c r="H1615" t="s">
        <v>92</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164</v>
      </c>
      <c r="B1616" t="s">
        <v>795</v>
      </c>
      <c r="C1616" t="s">
        <v>88</v>
      </c>
      <c r="D1616" t="s">
        <v>88</v>
      </c>
      <c r="E1616" t="s">
        <v>711</v>
      </c>
      <c r="F1616" t="s">
        <v>88</v>
      </c>
      <c r="G1616" t="s">
        <v>88</v>
      </c>
      <c r="H1616" t="s">
        <v>92</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164</v>
      </c>
      <c r="B1617" t="s">
        <v>622</v>
      </c>
      <c r="C1617" t="s">
        <v>88</v>
      </c>
      <c r="D1617" t="s">
        <v>88</v>
      </c>
      <c r="E1617" t="s">
        <v>711</v>
      </c>
      <c r="F1617" t="s">
        <v>88</v>
      </c>
      <c r="G1617" t="s">
        <v>88</v>
      </c>
      <c r="H1617" t="s">
        <v>92</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164</v>
      </c>
      <c r="B1618" t="s">
        <v>623</v>
      </c>
      <c r="C1618" t="s">
        <v>88</v>
      </c>
      <c r="D1618" t="s">
        <v>88</v>
      </c>
      <c r="E1618" t="s">
        <v>735</v>
      </c>
      <c r="F1618" t="s">
        <v>88</v>
      </c>
      <c r="G1618" t="s">
        <v>88</v>
      </c>
      <c r="H1618" t="s">
        <v>92</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164</v>
      </c>
      <c r="B1619" t="s">
        <v>798</v>
      </c>
      <c r="C1619" t="s">
        <v>88</v>
      </c>
      <c r="D1619" t="s">
        <v>88</v>
      </c>
      <c r="E1619" t="s">
        <v>791</v>
      </c>
      <c r="F1619" t="s">
        <v>88</v>
      </c>
      <c r="G1619" t="s">
        <v>88</v>
      </c>
      <c r="H1619" t="s">
        <v>92</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164</v>
      </c>
      <c r="B1620" t="s">
        <v>982</v>
      </c>
      <c r="C1620" t="s">
        <v>88</v>
      </c>
      <c r="D1620" t="s">
        <v>88</v>
      </c>
      <c r="E1620" t="s">
        <v>791</v>
      </c>
      <c r="F1620" t="s">
        <v>88</v>
      </c>
      <c r="G1620" t="s">
        <v>88</v>
      </c>
      <c r="H1620" t="s">
        <v>92</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164</v>
      </c>
      <c r="B1621" t="s">
        <v>625</v>
      </c>
      <c r="C1621" t="s">
        <v>88</v>
      </c>
      <c r="D1621" t="s">
        <v>88</v>
      </c>
      <c r="E1621" t="s">
        <v>626</v>
      </c>
      <c r="F1621" t="s">
        <v>88</v>
      </c>
      <c r="G1621" t="s">
        <v>88</v>
      </c>
      <c r="H1621" t="s">
        <v>92</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165</v>
      </c>
      <c r="B1622" t="s">
        <v>2028</v>
      </c>
      <c r="C1622" t="s">
        <v>88</v>
      </c>
      <c r="D1622" t="s">
        <v>2029</v>
      </c>
      <c r="E1622" t="s">
        <v>717</v>
      </c>
      <c r="F1622" t="s">
        <v>88</v>
      </c>
      <c r="G1622" t="s">
        <v>88</v>
      </c>
      <c r="H1622" t="s">
        <v>92</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165</v>
      </c>
      <c r="B1623" t="s">
        <v>2030</v>
      </c>
      <c r="C1623" t="s">
        <v>88</v>
      </c>
      <c r="D1623" t="s">
        <v>2031</v>
      </c>
      <c r="E1623" t="s">
        <v>717</v>
      </c>
      <c r="F1623" t="s">
        <v>88</v>
      </c>
      <c r="G1623" t="s">
        <v>88</v>
      </c>
      <c r="H1623" t="s">
        <v>92</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165</v>
      </c>
      <c r="B1624" t="s">
        <v>1768</v>
      </c>
      <c r="C1624" t="s">
        <v>88</v>
      </c>
      <c r="D1624" t="s">
        <v>2032</v>
      </c>
      <c r="E1624" t="s">
        <v>655</v>
      </c>
      <c r="F1624" t="s">
        <v>88</v>
      </c>
      <c r="G1624" t="s">
        <v>88</v>
      </c>
      <c r="H1624" t="s">
        <v>92</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165</v>
      </c>
      <c r="B1625" t="s">
        <v>1770</v>
      </c>
      <c r="C1625" t="s">
        <v>88</v>
      </c>
      <c r="D1625" t="s">
        <v>2033</v>
      </c>
      <c r="E1625" t="s">
        <v>883</v>
      </c>
      <c r="F1625" t="s">
        <v>88</v>
      </c>
      <c r="G1625" t="s">
        <v>88</v>
      </c>
      <c r="H1625" t="s">
        <v>92</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165</v>
      </c>
      <c r="B1626" t="s">
        <v>1772</v>
      </c>
      <c r="C1626" t="s">
        <v>88</v>
      </c>
      <c r="D1626" t="s">
        <v>2034</v>
      </c>
      <c r="E1626" t="s">
        <v>883</v>
      </c>
      <c r="F1626" t="s">
        <v>88</v>
      </c>
      <c r="G1626" t="s">
        <v>88</v>
      </c>
      <c r="H1626" t="s">
        <v>92</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165</v>
      </c>
      <c r="B1627" t="s">
        <v>1774</v>
      </c>
      <c r="C1627" t="s">
        <v>88</v>
      </c>
      <c r="D1627" t="s">
        <v>2035</v>
      </c>
      <c r="E1627" t="s">
        <v>655</v>
      </c>
      <c r="F1627" t="s">
        <v>88</v>
      </c>
      <c r="G1627" t="s">
        <v>88</v>
      </c>
      <c r="H1627" t="s">
        <v>92</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165</v>
      </c>
      <c r="B1628" t="s">
        <v>2036</v>
      </c>
      <c r="C1628" t="s">
        <v>88</v>
      </c>
      <c r="D1628" t="s">
        <v>2037</v>
      </c>
      <c r="E1628" t="s">
        <v>717</v>
      </c>
      <c r="F1628" t="s">
        <v>88</v>
      </c>
      <c r="G1628" t="s">
        <v>88</v>
      </c>
      <c r="H1628" t="s">
        <v>92</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165</v>
      </c>
      <c r="B1629" t="s">
        <v>2038</v>
      </c>
      <c r="C1629" t="s">
        <v>88</v>
      </c>
      <c r="D1629" t="s">
        <v>2039</v>
      </c>
      <c r="E1629" t="s">
        <v>748</v>
      </c>
      <c r="F1629" t="s">
        <v>88</v>
      </c>
      <c r="G1629" t="s">
        <v>88</v>
      </c>
      <c r="H1629" t="s">
        <v>92</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165</v>
      </c>
      <c r="B1630" t="s">
        <v>1786</v>
      </c>
      <c r="C1630" t="s">
        <v>88</v>
      </c>
      <c r="D1630" t="s">
        <v>2040</v>
      </c>
      <c r="E1630" t="s">
        <v>748</v>
      </c>
      <c r="F1630" t="s">
        <v>88</v>
      </c>
      <c r="G1630" t="s">
        <v>88</v>
      </c>
      <c r="H1630" t="s">
        <v>92</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165</v>
      </c>
      <c r="B1631" t="s">
        <v>1783</v>
      </c>
      <c r="C1631" t="s">
        <v>88</v>
      </c>
      <c r="D1631" t="s">
        <v>2040</v>
      </c>
      <c r="E1631" t="s">
        <v>663</v>
      </c>
      <c r="F1631" t="s">
        <v>88</v>
      </c>
      <c r="G1631" t="s">
        <v>88</v>
      </c>
      <c r="H1631" t="s">
        <v>92</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165</v>
      </c>
      <c r="B1632" t="s">
        <v>1785</v>
      </c>
      <c r="C1632" t="s">
        <v>88</v>
      </c>
      <c r="D1632" t="s">
        <v>2040</v>
      </c>
      <c r="E1632" t="s">
        <v>663</v>
      </c>
      <c r="F1632" t="s">
        <v>88</v>
      </c>
      <c r="G1632" t="s">
        <v>88</v>
      </c>
      <c r="H1632" t="s">
        <v>92</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165</v>
      </c>
      <c r="B1633" t="s">
        <v>1790</v>
      </c>
      <c r="C1633" t="s">
        <v>88</v>
      </c>
      <c r="D1633" t="s">
        <v>2040</v>
      </c>
      <c r="E1633" t="s">
        <v>663</v>
      </c>
      <c r="F1633" t="s">
        <v>88</v>
      </c>
      <c r="G1633" t="s">
        <v>88</v>
      </c>
      <c r="H1633" t="s">
        <v>92</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165</v>
      </c>
      <c r="B1634" t="s">
        <v>1789</v>
      </c>
      <c r="C1634" t="s">
        <v>88</v>
      </c>
      <c r="D1634" t="s">
        <v>2040</v>
      </c>
      <c r="E1634" t="s">
        <v>723</v>
      </c>
      <c r="F1634" t="s">
        <v>88</v>
      </c>
      <c r="G1634" t="s">
        <v>88</v>
      </c>
      <c r="H1634" t="s">
        <v>92</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165</v>
      </c>
      <c r="B1635" t="s">
        <v>771</v>
      </c>
      <c r="C1635" t="s">
        <v>88</v>
      </c>
      <c r="D1635" t="s">
        <v>2040</v>
      </c>
      <c r="E1635" t="s">
        <v>723</v>
      </c>
      <c r="F1635" t="s">
        <v>88</v>
      </c>
      <c r="G1635" t="s">
        <v>88</v>
      </c>
      <c r="H1635" t="s">
        <v>92</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165</v>
      </c>
      <c r="B1636" t="s">
        <v>789</v>
      </c>
      <c r="C1636" t="s">
        <v>88</v>
      </c>
      <c r="D1636" t="s">
        <v>2041</v>
      </c>
      <c r="E1636" t="s">
        <v>791</v>
      </c>
      <c r="F1636" t="s">
        <v>88</v>
      </c>
      <c r="G1636" t="s">
        <v>88</v>
      </c>
      <c r="H1636" t="s">
        <v>92</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165</v>
      </c>
      <c r="B1637" t="s">
        <v>1019</v>
      </c>
      <c r="C1637" t="s">
        <v>88</v>
      </c>
      <c r="D1637" t="s">
        <v>2042</v>
      </c>
      <c r="E1637" t="s">
        <v>937</v>
      </c>
      <c r="F1637" t="s">
        <v>88</v>
      </c>
      <c r="G1637" t="s">
        <v>88</v>
      </c>
      <c r="H1637" t="s">
        <v>92</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165</v>
      </c>
      <c r="B1638" t="s">
        <v>2043</v>
      </c>
      <c r="C1638" t="s">
        <v>88</v>
      </c>
      <c r="D1638" t="s">
        <v>88</v>
      </c>
      <c r="E1638" t="s">
        <v>679</v>
      </c>
      <c r="F1638" t="s">
        <v>88</v>
      </c>
      <c r="G1638" t="s">
        <v>88</v>
      </c>
      <c r="H1638" t="s">
        <v>92</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165</v>
      </c>
      <c r="B1639" t="s">
        <v>2044</v>
      </c>
      <c r="C1639" t="s">
        <v>88</v>
      </c>
      <c r="D1639" t="s">
        <v>88</v>
      </c>
      <c r="E1639" t="s">
        <v>780</v>
      </c>
      <c r="F1639" t="s">
        <v>88</v>
      </c>
      <c r="G1639" t="s">
        <v>88</v>
      </c>
      <c r="H1639" t="s">
        <v>92</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165</v>
      </c>
      <c r="B1640" t="s">
        <v>1322</v>
      </c>
      <c r="C1640" t="s">
        <v>88</v>
      </c>
      <c r="D1640" t="s">
        <v>88</v>
      </c>
      <c r="E1640" t="s">
        <v>715</v>
      </c>
      <c r="F1640" t="s">
        <v>88</v>
      </c>
      <c r="G1640" t="s">
        <v>88</v>
      </c>
      <c r="H1640" t="s">
        <v>92</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165</v>
      </c>
      <c r="B1641" t="s">
        <v>1072</v>
      </c>
      <c r="C1641" t="s">
        <v>88</v>
      </c>
      <c r="D1641" t="s">
        <v>88</v>
      </c>
      <c r="E1641" t="s">
        <v>732</v>
      </c>
      <c r="F1641" t="s">
        <v>88</v>
      </c>
      <c r="G1641" t="s">
        <v>88</v>
      </c>
      <c r="H1641" t="s">
        <v>92</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165</v>
      </c>
      <c r="B1642" t="s">
        <v>701</v>
      </c>
      <c r="C1642" t="s">
        <v>88</v>
      </c>
      <c r="D1642" t="s">
        <v>88</v>
      </c>
      <c r="E1642" t="s">
        <v>732</v>
      </c>
      <c r="F1642" t="s">
        <v>88</v>
      </c>
      <c r="G1642" t="s">
        <v>88</v>
      </c>
      <c r="H1642" t="s">
        <v>92</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165</v>
      </c>
      <c r="B1643" t="s">
        <v>703</v>
      </c>
      <c r="C1643" t="s">
        <v>88</v>
      </c>
      <c r="D1643" t="s">
        <v>88</v>
      </c>
      <c r="E1643" t="s">
        <v>732</v>
      </c>
      <c r="F1643" t="s">
        <v>88</v>
      </c>
      <c r="G1643" t="s">
        <v>88</v>
      </c>
      <c r="H1643" t="s">
        <v>92</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165</v>
      </c>
      <c r="B1644" t="s">
        <v>705</v>
      </c>
      <c r="C1644" t="s">
        <v>88</v>
      </c>
      <c r="D1644" t="s">
        <v>88</v>
      </c>
      <c r="E1644" t="s">
        <v>732</v>
      </c>
      <c r="F1644" t="s">
        <v>88</v>
      </c>
      <c r="G1644" t="s">
        <v>88</v>
      </c>
      <c r="H1644" t="s">
        <v>92</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165</v>
      </c>
      <c r="B1645" t="s">
        <v>706</v>
      </c>
      <c r="C1645" t="s">
        <v>88</v>
      </c>
      <c r="D1645" t="s">
        <v>88</v>
      </c>
      <c r="E1645" t="s">
        <v>732</v>
      </c>
      <c r="F1645" t="s">
        <v>88</v>
      </c>
      <c r="G1645" t="s">
        <v>88</v>
      </c>
      <c r="H1645" t="s">
        <v>92</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165</v>
      </c>
      <c r="B1646" t="s">
        <v>707</v>
      </c>
      <c r="C1646" t="s">
        <v>88</v>
      </c>
      <c r="D1646" t="s">
        <v>88</v>
      </c>
      <c r="E1646" t="s">
        <v>732</v>
      </c>
      <c r="F1646" t="s">
        <v>88</v>
      </c>
      <c r="G1646" t="s">
        <v>88</v>
      </c>
      <c r="H1646" t="s">
        <v>92</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165</v>
      </c>
      <c r="B1647" t="s">
        <v>708</v>
      </c>
      <c r="C1647" t="s">
        <v>88</v>
      </c>
      <c r="D1647" t="s">
        <v>88</v>
      </c>
      <c r="E1647" t="s">
        <v>732</v>
      </c>
      <c r="F1647" t="s">
        <v>88</v>
      </c>
      <c r="G1647" t="s">
        <v>88</v>
      </c>
      <c r="H1647" t="s">
        <v>92</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165</v>
      </c>
      <c r="B1648" t="s">
        <v>794</v>
      </c>
      <c r="C1648" t="s">
        <v>88</v>
      </c>
      <c r="D1648" t="s">
        <v>88</v>
      </c>
      <c r="E1648" t="s">
        <v>709</v>
      </c>
      <c r="F1648" t="s">
        <v>88</v>
      </c>
      <c r="G1648" t="s">
        <v>88</v>
      </c>
      <c r="H1648" t="s">
        <v>92</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165</v>
      </c>
      <c r="B1649" t="s">
        <v>1821</v>
      </c>
      <c r="C1649" t="s">
        <v>88</v>
      </c>
      <c r="D1649" t="s">
        <v>88</v>
      </c>
      <c r="E1649" t="s">
        <v>711</v>
      </c>
      <c r="F1649" t="s">
        <v>88</v>
      </c>
      <c r="G1649" t="s">
        <v>88</v>
      </c>
      <c r="H1649" t="s">
        <v>92</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165</v>
      </c>
      <c r="B1650" t="s">
        <v>1820</v>
      </c>
      <c r="C1650" t="s">
        <v>88</v>
      </c>
      <c r="D1650" t="s">
        <v>88</v>
      </c>
      <c r="E1650" t="s">
        <v>711</v>
      </c>
      <c r="F1650" t="s">
        <v>88</v>
      </c>
      <c r="G1650" t="s">
        <v>88</v>
      </c>
      <c r="H1650" t="s">
        <v>92</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165</v>
      </c>
      <c r="B1651" t="s">
        <v>928</v>
      </c>
      <c r="C1651" t="s">
        <v>88</v>
      </c>
      <c r="D1651" t="s">
        <v>88</v>
      </c>
      <c r="E1651" t="s">
        <v>711</v>
      </c>
      <c r="F1651" t="s">
        <v>88</v>
      </c>
      <c r="G1651" t="s">
        <v>88</v>
      </c>
      <c r="H1651" t="s">
        <v>92</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165</v>
      </c>
      <c r="B1652" t="s">
        <v>623</v>
      </c>
      <c r="C1652" t="s">
        <v>88</v>
      </c>
      <c r="D1652" t="s">
        <v>88</v>
      </c>
      <c r="E1652" t="s">
        <v>735</v>
      </c>
      <c r="F1652" t="s">
        <v>88</v>
      </c>
      <c r="G1652" t="s">
        <v>88</v>
      </c>
      <c r="H1652" t="s">
        <v>92</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165</v>
      </c>
      <c r="B1653" t="s">
        <v>714</v>
      </c>
      <c r="C1653" t="s">
        <v>88</v>
      </c>
      <c r="D1653" t="s">
        <v>88</v>
      </c>
      <c r="E1653" t="s">
        <v>791</v>
      </c>
      <c r="F1653" t="s">
        <v>88</v>
      </c>
      <c r="G1653" t="s">
        <v>88</v>
      </c>
      <c r="H1653" t="s">
        <v>92</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165</v>
      </c>
      <c r="B1654" t="s">
        <v>625</v>
      </c>
      <c r="C1654" t="s">
        <v>88</v>
      </c>
      <c r="D1654" t="s">
        <v>88</v>
      </c>
      <c r="E1654" t="s">
        <v>626</v>
      </c>
      <c r="F1654" t="s">
        <v>88</v>
      </c>
      <c r="G1654" t="s">
        <v>88</v>
      </c>
      <c r="H1654" t="s">
        <v>92</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167</v>
      </c>
      <c r="B1655" t="s">
        <v>1785</v>
      </c>
      <c r="C1655" t="s">
        <v>88</v>
      </c>
      <c r="D1655" t="s">
        <v>2045</v>
      </c>
      <c r="E1655" t="s">
        <v>663</v>
      </c>
      <c r="F1655" t="s">
        <v>88</v>
      </c>
      <c r="G1655" t="s">
        <v>88</v>
      </c>
      <c r="H1655" t="s">
        <v>92</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167</v>
      </c>
      <c r="B1656" t="s">
        <v>771</v>
      </c>
      <c r="C1656" t="s">
        <v>88</v>
      </c>
      <c r="D1656" t="s">
        <v>2045</v>
      </c>
      <c r="E1656" t="s">
        <v>723</v>
      </c>
      <c r="F1656" t="s">
        <v>88</v>
      </c>
      <c r="G1656" t="s">
        <v>88</v>
      </c>
      <c r="H1656" t="s">
        <v>92</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167</v>
      </c>
      <c r="B1657" t="s">
        <v>736</v>
      </c>
      <c r="C1657" t="s">
        <v>88</v>
      </c>
      <c r="D1657" t="s">
        <v>2046</v>
      </c>
      <c r="E1657" t="s">
        <v>663</v>
      </c>
      <c r="F1657" t="s">
        <v>88</v>
      </c>
      <c r="G1657" t="s">
        <v>88</v>
      </c>
      <c r="H1657" t="s">
        <v>92</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167</v>
      </c>
      <c r="B1658" t="s">
        <v>1783</v>
      </c>
      <c r="C1658" t="s">
        <v>88</v>
      </c>
      <c r="D1658" t="s">
        <v>2045</v>
      </c>
      <c r="E1658" t="s">
        <v>663</v>
      </c>
      <c r="F1658" t="s">
        <v>88</v>
      </c>
      <c r="G1658" t="s">
        <v>88</v>
      </c>
      <c r="H1658" t="s">
        <v>92</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167</v>
      </c>
      <c r="B1659" t="s">
        <v>2030</v>
      </c>
      <c r="C1659" t="s">
        <v>88</v>
      </c>
      <c r="D1659" t="s">
        <v>2031</v>
      </c>
      <c r="E1659" t="s">
        <v>700</v>
      </c>
      <c r="F1659" t="s">
        <v>88</v>
      </c>
      <c r="G1659" t="s">
        <v>88</v>
      </c>
      <c r="H1659" t="s">
        <v>92</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167</v>
      </c>
      <c r="B1660" t="s">
        <v>2028</v>
      </c>
      <c r="C1660" t="s">
        <v>88</v>
      </c>
      <c r="D1660" t="s">
        <v>2029</v>
      </c>
      <c r="E1660" t="s">
        <v>762</v>
      </c>
      <c r="F1660" t="s">
        <v>88</v>
      </c>
      <c r="G1660" t="s">
        <v>88</v>
      </c>
      <c r="H1660" t="s">
        <v>92</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167</v>
      </c>
      <c r="B1661" t="s">
        <v>2036</v>
      </c>
      <c r="C1661" t="s">
        <v>88</v>
      </c>
      <c r="D1661" t="s">
        <v>2047</v>
      </c>
      <c r="E1661" t="s">
        <v>883</v>
      </c>
      <c r="F1661" t="s">
        <v>88</v>
      </c>
      <c r="G1661" t="s">
        <v>88</v>
      </c>
      <c r="H1661" t="s">
        <v>92</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167</v>
      </c>
      <c r="B1662" t="s">
        <v>2038</v>
      </c>
      <c r="C1662" t="s">
        <v>88</v>
      </c>
      <c r="D1662" t="s">
        <v>2048</v>
      </c>
      <c r="E1662" t="s">
        <v>700</v>
      </c>
      <c r="F1662" t="s">
        <v>88</v>
      </c>
      <c r="G1662" t="s">
        <v>88</v>
      </c>
      <c r="H1662" t="s">
        <v>92</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167</v>
      </c>
      <c r="B1663" t="s">
        <v>2049</v>
      </c>
      <c r="C1663" t="s">
        <v>88</v>
      </c>
      <c r="D1663" t="s">
        <v>2050</v>
      </c>
      <c r="E1663" t="s">
        <v>655</v>
      </c>
      <c r="F1663" t="s">
        <v>88</v>
      </c>
      <c r="G1663" t="s">
        <v>88</v>
      </c>
      <c r="H1663" t="s">
        <v>92</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167</v>
      </c>
      <c r="B1664" t="s">
        <v>2051</v>
      </c>
      <c r="C1664" t="s">
        <v>88</v>
      </c>
      <c r="D1664" t="s">
        <v>2052</v>
      </c>
      <c r="E1664" t="s">
        <v>883</v>
      </c>
      <c r="F1664" t="s">
        <v>88</v>
      </c>
      <c r="G1664" t="s">
        <v>88</v>
      </c>
      <c r="H1664" t="s">
        <v>92</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167</v>
      </c>
      <c r="B1665" t="s">
        <v>1786</v>
      </c>
      <c r="C1665" t="s">
        <v>88</v>
      </c>
      <c r="D1665" t="s">
        <v>2045</v>
      </c>
      <c r="E1665" t="s">
        <v>748</v>
      </c>
      <c r="F1665" t="s">
        <v>88</v>
      </c>
      <c r="G1665" t="s">
        <v>88</v>
      </c>
      <c r="H1665" t="s">
        <v>92</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167</v>
      </c>
      <c r="B1666" t="s">
        <v>1783</v>
      </c>
      <c r="C1666" t="s">
        <v>88</v>
      </c>
      <c r="D1666" t="s">
        <v>2045</v>
      </c>
      <c r="E1666" t="s">
        <v>663</v>
      </c>
      <c r="F1666" t="s">
        <v>88</v>
      </c>
      <c r="G1666" t="s">
        <v>88</v>
      </c>
      <c r="H1666" t="s">
        <v>92</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167</v>
      </c>
      <c r="B1667" t="s">
        <v>1785</v>
      </c>
      <c r="C1667" t="s">
        <v>88</v>
      </c>
      <c r="D1667" t="s">
        <v>2045</v>
      </c>
      <c r="E1667" t="s">
        <v>663</v>
      </c>
      <c r="F1667" t="s">
        <v>88</v>
      </c>
      <c r="G1667" t="s">
        <v>88</v>
      </c>
      <c r="H1667" t="s">
        <v>92</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167</v>
      </c>
      <c r="B1668" t="s">
        <v>1790</v>
      </c>
      <c r="C1668" t="s">
        <v>88</v>
      </c>
      <c r="D1668" t="s">
        <v>2045</v>
      </c>
      <c r="E1668" t="s">
        <v>663</v>
      </c>
      <c r="F1668" t="s">
        <v>88</v>
      </c>
      <c r="G1668" t="s">
        <v>88</v>
      </c>
      <c r="H1668" t="s">
        <v>92</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167</v>
      </c>
      <c r="B1669" t="s">
        <v>1789</v>
      </c>
      <c r="C1669" t="s">
        <v>88</v>
      </c>
      <c r="D1669" t="s">
        <v>2045</v>
      </c>
      <c r="E1669" t="s">
        <v>723</v>
      </c>
      <c r="F1669" t="s">
        <v>88</v>
      </c>
      <c r="G1669" t="s">
        <v>88</v>
      </c>
      <c r="H1669" t="s">
        <v>92</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167</v>
      </c>
      <c r="B1670" t="s">
        <v>771</v>
      </c>
      <c r="C1670" t="s">
        <v>88</v>
      </c>
      <c r="D1670" t="s">
        <v>2045</v>
      </c>
      <c r="E1670" t="s">
        <v>723</v>
      </c>
      <c r="F1670" t="s">
        <v>88</v>
      </c>
      <c r="G1670" t="s">
        <v>88</v>
      </c>
      <c r="H1670" t="s">
        <v>92</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167</v>
      </c>
      <c r="B1671" t="s">
        <v>2043</v>
      </c>
      <c r="C1671" t="s">
        <v>88</v>
      </c>
      <c r="D1671" t="s">
        <v>2053</v>
      </c>
      <c r="E1671" t="s">
        <v>679</v>
      </c>
      <c r="F1671" t="s">
        <v>88</v>
      </c>
      <c r="G1671" t="s">
        <v>88</v>
      </c>
      <c r="H1671" t="s">
        <v>92</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167</v>
      </c>
      <c r="B1672" t="s">
        <v>2044</v>
      </c>
      <c r="C1672" t="s">
        <v>88</v>
      </c>
      <c r="D1672" t="s">
        <v>2053</v>
      </c>
      <c r="E1672" t="s">
        <v>780</v>
      </c>
      <c r="F1672" t="s">
        <v>88</v>
      </c>
      <c r="G1672" t="s">
        <v>88</v>
      </c>
      <c r="H1672" t="s">
        <v>92</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167</v>
      </c>
      <c r="B1673" t="s">
        <v>2054</v>
      </c>
      <c r="C1673" t="s">
        <v>88</v>
      </c>
      <c r="D1673" t="s">
        <v>2055</v>
      </c>
      <c r="E1673" t="s">
        <v>844</v>
      </c>
      <c r="F1673" t="s">
        <v>88</v>
      </c>
      <c r="G1673" t="s">
        <v>88</v>
      </c>
      <c r="H1673" t="s">
        <v>92</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167</v>
      </c>
      <c r="B1674" t="s">
        <v>876</v>
      </c>
      <c r="C1674" t="s">
        <v>88</v>
      </c>
      <c r="D1674" t="s">
        <v>2055</v>
      </c>
      <c r="E1674" t="s">
        <v>1006</v>
      </c>
      <c r="F1674" t="s">
        <v>88</v>
      </c>
      <c r="G1674" t="s">
        <v>88</v>
      </c>
      <c r="H1674" t="s">
        <v>92</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167</v>
      </c>
      <c r="B1675" t="s">
        <v>2056</v>
      </c>
      <c r="C1675" t="s">
        <v>88</v>
      </c>
      <c r="D1675" t="s">
        <v>2055</v>
      </c>
      <c r="E1675" t="s">
        <v>844</v>
      </c>
      <c r="F1675" t="s">
        <v>88</v>
      </c>
      <c r="G1675" t="s">
        <v>88</v>
      </c>
      <c r="H1675" t="s">
        <v>92</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167</v>
      </c>
      <c r="B1676" t="s">
        <v>740</v>
      </c>
      <c r="C1676" t="s">
        <v>88</v>
      </c>
      <c r="D1676" t="s">
        <v>2055</v>
      </c>
      <c r="E1676" t="s">
        <v>760</v>
      </c>
      <c r="F1676" t="s">
        <v>88</v>
      </c>
      <c r="G1676" t="s">
        <v>88</v>
      </c>
      <c r="H1676" t="s">
        <v>92</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167</v>
      </c>
      <c r="B1677" t="s">
        <v>2057</v>
      </c>
      <c r="C1677" t="s">
        <v>88</v>
      </c>
      <c r="D1677" t="s">
        <v>2055</v>
      </c>
      <c r="E1677" t="s">
        <v>760</v>
      </c>
      <c r="F1677" t="s">
        <v>88</v>
      </c>
      <c r="G1677" t="s">
        <v>88</v>
      </c>
      <c r="H1677" t="s">
        <v>92</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167</v>
      </c>
      <c r="B1678" t="s">
        <v>2058</v>
      </c>
      <c r="C1678" t="s">
        <v>88</v>
      </c>
      <c r="D1678" t="s">
        <v>2046</v>
      </c>
      <c r="E1678" t="s">
        <v>663</v>
      </c>
      <c r="F1678" t="s">
        <v>88</v>
      </c>
      <c r="G1678" t="s">
        <v>88</v>
      </c>
      <c r="H1678" t="s">
        <v>92</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167</v>
      </c>
      <c r="B1679" t="s">
        <v>736</v>
      </c>
      <c r="C1679" t="s">
        <v>88</v>
      </c>
      <c r="D1679" t="s">
        <v>2046</v>
      </c>
      <c r="E1679" t="s">
        <v>663</v>
      </c>
      <c r="F1679" t="s">
        <v>88</v>
      </c>
      <c r="G1679" t="s">
        <v>88</v>
      </c>
      <c r="H1679" t="s">
        <v>92</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167</v>
      </c>
      <c r="B1680" t="s">
        <v>1396</v>
      </c>
      <c r="C1680" t="s">
        <v>88</v>
      </c>
      <c r="D1680" t="s">
        <v>2059</v>
      </c>
      <c r="E1680" t="s">
        <v>663</v>
      </c>
      <c r="F1680" t="s">
        <v>88</v>
      </c>
      <c r="G1680" t="s">
        <v>88</v>
      </c>
      <c r="H1680" t="s">
        <v>92</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167</v>
      </c>
      <c r="B1681" t="s">
        <v>739</v>
      </c>
      <c r="C1681" t="s">
        <v>88</v>
      </c>
      <c r="D1681" t="s">
        <v>2046</v>
      </c>
      <c r="E1681" t="s">
        <v>937</v>
      </c>
      <c r="F1681" t="s">
        <v>88</v>
      </c>
      <c r="G1681" t="s">
        <v>88</v>
      </c>
      <c r="H1681" t="s">
        <v>92</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167</v>
      </c>
      <c r="B1682" t="s">
        <v>106</v>
      </c>
      <c r="C1682" t="s">
        <v>88</v>
      </c>
      <c r="D1682" t="s">
        <v>2060</v>
      </c>
      <c r="E1682" t="s">
        <v>937</v>
      </c>
      <c r="F1682" t="s">
        <v>88</v>
      </c>
      <c r="G1682" t="s">
        <v>88</v>
      </c>
      <c r="H1682" t="s">
        <v>92</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167</v>
      </c>
      <c r="B1683" t="s">
        <v>789</v>
      </c>
      <c r="C1683" t="s">
        <v>88</v>
      </c>
      <c r="D1683" t="s">
        <v>2041</v>
      </c>
      <c r="E1683" t="s">
        <v>791</v>
      </c>
      <c r="F1683" t="s">
        <v>88</v>
      </c>
      <c r="G1683" t="s">
        <v>88</v>
      </c>
      <c r="H1683" t="s">
        <v>92</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167</v>
      </c>
      <c r="B1684" t="s">
        <v>1322</v>
      </c>
      <c r="C1684" t="s">
        <v>88</v>
      </c>
      <c r="D1684" t="s">
        <v>88</v>
      </c>
      <c r="E1684" t="s">
        <v>715</v>
      </c>
      <c r="F1684" t="s">
        <v>88</v>
      </c>
      <c r="G1684" t="s">
        <v>88</v>
      </c>
      <c r="H1684" t="s">
        <v>92</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167</v>
      </c>
      <c r="B1685" t="s">
        <v>1072</v>
      </c>
      <c r="C1685" t="s">
        <v>88</v>
      </c>
      <c r="D1685" t="s">
        <v>88</v>
      </c>
      <c r="E1685" t="s">
        <v>732</v>
      </c>
      <c r="F1685" t="s">
        <v>88</v>
      </c>
      <c r="G1685" t="s">
        <v>88</v>
      </c>
      <c r="H1685" t="s">
        <v>92</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167</v>
      </c>
      <c r="B1686" t="s">
        <v>701</v>
      </c>
      <c r="C1686" t="s">
        <v>88</v>
      </c>
      <c r="D1686" t="s">
        <v>88</v>
      </c>
      <c r="E1686" t="s">
        <v>732</v>
      </c>
      <c r="F1686" t="s">
        <v>88</v>
      </c>
      <c r="G1686" t="s">
        <v>88</v>
      </c>
      <c r="H1686" t="s">
        <v>92</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167</v>
      </c>
      <c r="B1687" t="s">
        <v>703</v>
      </c>
      <c r="C1687" t="s">
        <v>88</v>
      </c>
      <c r="D1687" t="s">
        <v>88</v>
      </c>
      <c r="E1687" t="s">
        <v>732</v>
      </c>
      <c r="F1687" t="s">
        <v>88</v>
      </c>
      <c r="G1687" t="s">
        <v>88</v>
      </c>
      <c r="H1687" t="s">
        <v>92</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167</v>
      </c>
      <c r="B1688" t="s">
        <v>705</v>
      </c>
      <c r="C1688" t="s">
        <v>88</v>
      </c>
      <c r="D1688" t="s">
        <v>88</v>
      </c>
      <c r="E1688" t="s">
        <v>732</v>
      </c>
      <c r="F1688" t="s">
        <v>88</v>
      </c>
      <c r="G1688" t="s">
        <v>88</v>
      </c>
      <c r="H1688" t="s">
        <v>92</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167</v>
      </c>
      <c r="B1689" t="s">
        <v>706</v>
      </c>
      <c r="C1689" t="s">
        <v>88</v>
      </c>
      <c r="D1689" t="s">
        <v>88</v>
      </c>
      <c r="E1689" t="s">
        <v>732</v>
      </c>
      <c r="F1689" t="s">
        <v>88</v>
      </c>
      <c r="G1689" t="s">
        <v>88</v>
      </c>
      <c r="H1689" t="s">
        <v>92</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167</v>
      </c>
      <c r="B1690" t="s">
        <v>707</v>
      </c>
      <c r="C1690" t="s">
        <v>88</v>
      </c>
      <c r="D1690" t="s">
        <v>88</v>
      </c>
      <c r="E1690" t="s">
        <v>732</v>
      </c>
      <c r="F1690" t="s">
        <v>88</v>
      </c>
      <c r="G1690" t="s">
        <v>88</v>
      </c>
      <c r="H1690" t="s">
        <v>92</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167</v>
      </c>
      <c r="B1691" t="s">
        <v>708</v>
      </c>
      <c r="C1691" t="s">
        <v>88</v>
      </c>
      <c r="D1691" t="s">
        <v>88</v>
      </c>
      <c r="E1691" t="s">
        <v>732</v>
      </c>
      <c r="F1691" t="s">
        <v>88</v>
      </c>
      <c r="G1691" t="s">
        <v>88</v>
      </c>
      <c r="H1691" t="s">
        <v>92</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167</v>
      </c>
      <c r="B1692" t="s">
        <v>794</v>
      </c>
      <c r="C1692" t="s">
        <v>88</v>
      </c>
      <c r="D1692" t="s">
        <v>88</v>
      </c>
      <c r="E1692" t="s">
        <v>709</v>
      </c>
      <c r="F1692" t="s">
        <v>88</v>
      </c>
      <c r="G1692" t="s">
        <v>88</v>
      </c>
      <c r="H1692" t="s">
        <v>92</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167</v>
      </c>
      <c r="B1693" t="s">
        <v>1820</v>
      </c>
      <c r="C1693" t="s">
        <v>88</v>
      </c>
      <c r="D1693" t="s">
        <v>88</v>
      </c>
      <c r="E1693" t="s">
        <v>711</v>
      </c>
      <c r="F1693" t="s">
        <v>88</v>
      </c>
      <c r="G1693" t="s">
        <v>88</v>
      </c>
      <c r="H1693" t="s">
        <v>92</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167</v>
      </c>
      <c r="B1694" t="s">
        <v>1821</v>
      </c>
      <c r="C1694" t="s">
        <v>88</v>
      </c>
      <c r="D1694" t="s">
        <v>88</v>
      </c>
      <c r="E1694" t="s">
        <v>711</v>
      </c>
      <c r="F1694" t="s">
        <v>88</v>
      </c>
      <c r="G1694" t="s">
        <v>88</v>
      </c>
      <c r="H1694" t="s">
        <v>92</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167</v>
      </c>
      <c r="B1695" t="s">
        <v>622</v>
      </c>
      <c r="C1695" t="s">
        <v>88</v>
      </c>
      <c r="D1695" t="s">
        <v>88</v>
      </c>
      <c r="E1695" t="s">
        <v>711</v>
      </c>
      <c r="F1695" t="s">
        <v>88</v>
      </c>
      <c r="G1695" t="s">
        <v>88</v>
      </c>
      <c r="H1695" t="s">
        <v>92</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167</v>
      </c>
      <c r="B1696" t="s">
        <v>623</v>
      </c>
      <c r="C1696" t="s">
        <v>88</v>
      </c>
      <c r="D1696" t="s">
        <v>88</v>
      </c>
      <c r="E1696" t="s">
        <v>735</v>
      </c>
      <c r="F1696" t="s">
        <v>88</v>
      </c>
      <c r="G1696" t="s">
        <v>88</v>
      </c>
      <c r="H1696" t="s">
        <v>92</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167</v>
      </c>
      <c r="B1697" t="s">
        <v>714</v>
      </c>
      <c r="C1697" t="s">
        <v>88</v>
      </c>
      <c r="D1697" t="s">
        <v>88</v>
      </c>
      <c r="E1697" t="s">
        <v>791</v>
      </c>
      <c r="F1697" t="s">
        <v>88</v>
      </c>
      <c r="G1697" t="s">
        <v>88</v>
      </c>
      <c r="H1697" t="s">
        <v>92</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167</v>
      </c>
      <c r="B1698" t="s">
        <v>625</v>
      </c>
      <c r="C1698" t="s">
        <v>88</v>
      </c>
      <c r="D1698" t="s">
        <v>88</v>
      </c>
      <c r="E1698" t="s">
        <v>626</v>
      </c>
      <c r="F1698" t="s">
        <v>88</v>
      </c>
      <c r="G1698" t="s">
        <v>88</v>
      </c>
      <c r="H1698" t="s">
        <v>92</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169</v>
      </c>
      <c r="B1699" t="s">
        <v>583</v>
      </c>
      <c r="C1699" t="s">
        <v>88</v>
      </c>
      <c r="D1699" t="s">
        <v>2061</v>
      </c>
      <c r="E1699" t="s">
        <v>605</v>
      </c>
      <c r="F1699" t="s">
        <v>88</v>
      </c>
      <c r="G1699" t="s">
        <v>88</v>
      </c>
      <c r="H1699" t="s">
        <v>92</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169</v>
      </c>
      <c r="B1700" t="s">
        <v>2062</v>
      </c>
      <c r="C1700" t="s">
        <v>88</v>
      </c>
      <c r="D1700" t="s">
        <v>2063</v>
      </c>
      <c r="E1700" t="s">
        <v>2064</v>
      </c>
      <c r="F1700" t="s">
        <v>88</v>
      </c>
      <c r="G1700" t="s">
        <v>88</v>
      </c>
      <c r="H1700" t="s">
        <v>92</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169</v>
      </c>
      <c r="B1701" t="s">
        <v>594</v>
      </c>
      <c r="C1701" t="s">
        <v>88</v>
      </c>
      <c r="D1701" t="s">
        <v>2065</v>
      </c>
      <c r="E1701" t="s">
        <v>2066</v>
      </c>
      <c r="F1701" t="s">
        <v>88</v>
      </c>
      <c r="G1701" t="s">
        <v>88</v>
      </c>
      <c r="H1701" t="s">
        <v>92</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169</v>
      </c>
      <c r="B1702" t="s">
        <v>2067</v>
      </c>
      <c r="C1702" t="s">
        <v>88</v>
      </c>
      <c r="D1702" t="s">
        <v>88</v>
      </c>
      <c r="E1702" t="s">
        <v>2068</v>
      </c>
      <c r="F1702" t="s">
        <v>88</v>
      </c>
      <c r="G1702" t="s">
        <v>88</v>
      </c>
      <c r="H1702" t="s">
        <v>92</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169</v>
      </c>
      <c r="B1703" t="s">
        <v>2069</v>
      </c>
      <c r="C1703" t="s">
        <v>88</v>
      </c>
      <c r="D1703" t="s">
        <v>2070</v>
      </c>
      <c r="E1703" t="s">
        <v>638</v>
      </c>
      <c r="F1703" t="s">
        <v>88</v>
      </c>
      <c r="G1703" t="s">
        <v>88</v>
      </c>
      <c r="H1703" t="s">
        <v>92</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169</v>
      </c>
      <c r="B1704" t="s">
        <v>2071</v>
      </c>
      <c r="C1704" t="s">
        <v>88</v>
      </c>
      <c r="D1704" t="s">
        <v>2072</v>
      </c>
      <c r="E1704" t="s">
        <v>2073</v>
      </c>
      <c r="F1704" t="s">
        <v>88</v>
      </c>
      <c r="G1704" t="s">
        <v>88</v>
      </c>
      <c r="H1704" t="s">
        <v>92</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169</v>
      </c>
      <c r="B1705" t="s">
        <v>594</v>
      </c>
      <c r="C1705" t="s">
        <v>88</v>
      </c>
      <c r="D1705" t="s">
        <v>2065</v>
      </c>
      <c r="E1705" t="s">
        <v>2066</v>
      </c>
      <c r="F1705" t="s">
        <v>88</v>
      </c>
      <c r="G1705" t="s">
        <v>88</v>
      </c>
      <c r="H1705" t="s">
        <v>92</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169</v>
      </c>
      <c r="B1706" t="s">
        <v>583</v>
      </c>
      <c r="C1706" t="s">
        <v>88</v>
      </c>
      <c r="D1706" t="s">
        <v>2061</v>
      </c>
      <c r="E1706" t="s">
        <v>605</v>
      </c>
      <c r="F1706" t="s">
        <v>88</v>
      </c>
      <c r="G1706" t="s">
        <v>88</v>
      </c>
      <c r="H1706" t="s">
        <v>92</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169</v>
      </c>
      <c r="B1707" t="s">
        <v>2062</v>
      </c>
      <c r="C1707" t="s">
        <v>88</v>
      </c>
      <c r="D1707" t="s">
        <v>2063</v>
      </c>
      <c r="E1707" t="s">
        <v>2064</v>
      </c>
      <c r="F1707" t="s">
        <v>88</v>
      </c>
      <c r="G1707" t="s">
        <v>88</v>
      </c>
      <c r="H1707" t="s">
        <v>92</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169</v>
      </c>
      <c r="B1708" t="s">
        <v>2074</v>
      </c>
      <c r="C1708" t="s">
        <v>88</v>
      </c>
      <c r="D1708" t="s">
        <v>2075</v>
      </c>
      <c r="E1708" t="s">
        <v>605</v>
      </c>
      <c r="F1708" t="s">
        <v>88</v>
      </c>
      <c r="G1708" t="s">
        <v>88</v>
      </c>
      <c r="H1708" t="s">
        <v>92</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169</v>
      </c>
      <c r="B1709" t="s">
        <v>600</v>
      </c>
      <c r="C1709" t="s">
        <v>88</v>
      </c>
      <c r="D1709" t="s">
        <v>2076</v>
      </c>
      <c r="E1709" t="s">
        <v>644</v>
      </c>
      <c r="F1709" t="s">
        <v>88</v>
      </c>
      <c r="G1709" t="s">
        <v>88</v>
      </c>
      <c r="H1709" t="s">
        <v>92</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169</v>
      </c>
      <c r="B1710" t="s">
        <v>2077</v>
      </c>
      <c r="C1710" t="s">
        <v>88</v>
      </c>
      <c r="D1710" t="s">
        <v>2078</v>
      </c>
      <c r="E1710" t="s">
        <v>2079</v>
      </c>
      <c r="F1710" t="s">
        <v>88</v>
      </c>
      <c r="G1710" t="s">
        <v>88</v>
      </c>
      <c r="H1710" t="s">
        <v>92</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169</v>
      </c>
      <c r="B1711" t="s">
        <v>645</v>
      </c>
      <c r="C1711" t="s">
        <v>88</v>
      </c>
      <c r="D1711" t="s">
        <v>2080</v>
      </c>
      <c r="E1711" t="s">
        <v>585</v>
      </c>
      <c r="F1711" t="s">
        <v>88</v>
      </c>
      <c r="G1711" t="s">
        <v>88</v>
      </c>
      <c r="H1711" t="s">
        <v>92</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169</v>
      </c>
      <c r="B1712" t="s">
        <v>2069</v>
      </c>
      <c r="C1712" t="s">
        <v>88</v>
      </c>
      <c r="D1712" t="s">
        <v>2070</v>
      </c>
      <c r="E1712" t="s">
        <v>638</v>
      </c>
      <c r="F1712" t="s">
        <v>88</v>
      </c>
      <c r="G1712" t="s">
        <v>88</v>
      </c>
      <c r="H1712" t="s">
        <v>92</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169</v>
      </c>
      <c r="B1713" t="s">
        <v>603</v>
      </c>
      <c r="C1713" t="s">
        <v>88</v>
      </c>
      <c r="D1713" t="s">
        <v>2081</v>
      </c>
      <c r="E1713" t="s">
        <v>2082</v>
      </c>
      <c r="F1713" t="s">
        <v>88</v>
      </c>
      <c r="G1713" t="s">
        <v>88</v>
      </c>
      <c r="H1713" t="s">
        <v>92</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169</v>
      </c>
      <c r="B1714" t="s">
        <v>2083</v>
      </c>
      <c r="C1714" t="s">
        <v>88</v>
      </c>
      <c r="D1714" t="s">
        <v>2084</v>
      </c>
      <c r="E1714" t="s">
        <v>609</v>
      </c>
      <c r="F1714" t="s">
        <v>88</v>
      </c>
      <c r="G1714" t="s">
        <v>88</v>
      </c>
      <c r="H1714" t="s">
        <v>92</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169</v>
      </c>
      <c r="B1715" t="s">
        <v>2085</v>
      </c>
      <c r="C1715" t="s">
        <v>88</v>
      </c>
      <c r="D1715" t="s">
        <v>2086</v>
      </c>
      <c r="E1715" t="s">
        <v>2087</v>
      </c>
      <c r="F1715" t="s">
        <v>88</v>
      </c>
      <c r="G1715" t="s">
        <v>88</v>
      </c>
      <c r="H1715" t="s">
        <v>92</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169</v>
      </c>
      <c r="B1716" t="s">
        <v>2088</v>
      </c>
      <c r="C1716" t="s">
        <v>88</v>
      </c>
      <c r="D1716" t="s">
        <v>2089</v>
      </c>
      <c r="E1716" t="s">
        <v>2066</v>
      </c>
      <c r="F1716" t="s">
        <v>88</v>
      </c>
      <c r="G1716" t="s">
        <v>88</v>
      </c>
      <c r="H1716" t="s">
        <v>92</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169</v>
      </c>
      <c r="B1717" t="s">
        <v>2090</v>
      </c>
      <c r="C1717" t="s">
        <v>88</v>
      </c>
      <c r="D1717" t="s">
        <v>2091</v>
      </c>
      <c r="E1717" t="s">
        <v>605</v>
      </c>
      <c r="F1717" t="s">
        <v>88</v>
      </c>
      <c r="G1717" t="s">
        <v>88</v>
      </c>
      <c r="H1717" t="s">
        <v>92</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169</v>
      </c>
      <c r="B1718" t="s">
        <v>2092</v>
      </c>
      <c r="C1718" t="s">
        <v>88</v>
      </c>
      <c r="D1718" t="s">
        <v>2093</v>
      </c>
      <c r="E1718" t="s">
        <v>2064</v>
      </c>
      <c r="F1718" t="s">
        <v>88</v>
      </c>
      <c r="G1718" t="s">
        <v>88</v>
      </c>
      <c r="H1718" t="s">
        <v>92</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169</v>
      </c>
      <c r="B1719" t="s">
        <v>2094</v>
      </c>
      <c r="C1719" t="s">
        <v>88</v>
      </c>
      <c r="D1719" t="s">
        <v>2095</v>
      </c>
      <c r="E1719" t="s">
        <v>2096</v>
      </c>
      <c r="F1719" t="s">
        <v>88</v>
      </c>
      <c r="G1719" t="s">
        <v>88</v>
      </c>
      <c r="H1719" t="s">
        <v>92</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169</v>
      </c>
      <c r="B1720" t="s">
        <v>2097</v>
      </c>
      <c r="C1720" t="s">
        <v>88</v>
      </c>
      <c r="D1720" t="s">
        <v>2080</v>
      </c>
      <c r="E1720" t="s">
        <v>2098</v>
      </c>
      <c r="F1720" t="s">
        <v>88</v>
      </c>
      <c r="G1720" t="s">
        <v>88</v>
      </c>
      <c r="H1720" t="s">
        <v>92</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169</v>
      </c>
      <c r="B1721" t="s">
        <v>2099</v>
      </c>
      <c r="C1721" t="s">
        <v>88</v>
      </c>
      <c r="D1721" t="s">
        <v>2100</v>
      </c>
      <c r="E1721" t="s">
        <v>2101</v>
      </c>
      <c r="F1721" t="s">
        <v>88</v>
      </c>
      <c r="G1721" t="s">
        <v>88</v>
      </c>
      <c r="H1721" t="s">
        <v>92</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169</v>
      </c>
      <c r="B1722" t="s">
        <v>2102</v>
      </c>
      <c r="C1722" t="s">
        <v>88</v>
      </c>
      <c r="D1722" t="s">
        <v>2103</v>
      </c>
      <c r="E1722" t="s">
        <v>588</v>
      </c>
      <c r="F1722" t="s">
        <v>88</v>
      </c>
      <c r="G1722" t="s">
        <v>88</v>
      </c>
      <c r="H1722" t="s">
        <v>92</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169</v>
      </c>
      <c r="B1723" t="s">
        <v>2067</v>
      </c>
      <c r="C1723" t="s">
        <v>88</v>
      </c>
      <c r="D1723" t="s">
        <v>88</v>
      </c>
      <c r="E1723" t="s">
        <v>2068</v>
      </c>
      <c r="F1723" t="s">
        <v>88</v>
      </c>
      <c r="G1723" t="s">
        <v>88</v>
      </c>
      <c r="H1723" t="s">
        <v>92</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169</v>
      </c>
      <c r="B1724" t="s">
        <v>2104</v>
      </c>
      <c r="C1724" t="s">
        <v>88</v>
      </c>
      <c r="D1724" t="s">
        <v>88</v>
      </c>
      <c r="E1724" t="s">
        <v>613</v>
      </c>
      <c r="F1724" t="s">
        <v>88</v>
      </c>
      <c r="G1724" t="s">
        <v>88</v>
      </c>
      <c r="H1724" t="s">
        <v>92</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169</v>
      </c>
      <c r="B1725" t="s">
        <v>2105</v>
      </c>
      <c r="C1725" t="s">
        <v>88</v>
      </c>
      <c r="D1725" t="s">
        <v>88</v>
      </c>
      <c r="E1725" t="s">
        <v>2106</v>
      </c>
      <c r="F1725" t="s">
        <v>88</v>
      </c>
      <c r="G1725" t="s">
        <v>88</v>
      </c>
      <c r="H1725" t="s">
        <v>92</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169</v>
      </c>
      <c r="B1726" t="s">
        <v>2107</v>
      </c>
      <c r="C1726" t="s">
        <v>88</v>
      </c>
      <c r="D1726" t="s">
        <v>88</v>
      </c>
      <c r="E1726" t="s">
        <v>2108</v>
      </c>
      <c r="F1726" t="s">
        <v>88</v>
      </c>
      <c r="G1726" t="s">
        <v>88</v>
      </c>
      <c r="H1726" t="s">
        <v>92</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169</v>
      </c>
      <c r="B1727" t="s">
        <v>2109</v>
      </c>
      <c r="C1727" t="s">
        <v>88</v>
      </c>
      <c r="D1727" t="s">
        <v>2110</v>
      </c>
      <c r="E1727" t="s">
        <v>642</v>
      </c>
      <c r="F1727" t="s">
        <v>88</v>
      </c>
      <c r="G1727" t="s">
        <v>88</v>
      </c>
      <c r="H1727" t="s">
        <v>92</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169</v>
      </c>
      <c r="B1728" t="s">
        <v>2111</v>
      </c>
      <c r="C1728" t="s">
        <v>88</v>
      </c>
      <c r="D1728" t="s">
        <v>2112</v>
      </c>
      <c r="E1728" t="s">
        <v>2064</v>
      </c>
      <c r="F1728" t="s">
        <v>88</v>
      </c>
      <c r="G1728" t="s">
        <v>88</v>
      </c>
      <c r="H1728" t="s">
        <v>92</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169</v>
      </c>
      <c r="B1729" t="s">
        <v>2113</v>
      </c>
      <c r="C1729" t="s">
        <v>88</v>
      </c>
      <c r="D1729" t="s">
        <v>2114</v>
      </c>
      <c r="E1729" t="s">
        <v>647</v>
      </c>
      <c r="F1729" t="s">
        <v>88</v>
      </c>
      <c r="G1729" t="s">
        <v>88</v>
      </c>
      <c r="H1729" t="s">
        <v>92</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169</v>
      </c>
      <c r="B1730" t="s">
        <v>2115</v>
      </c>
      <c r="C1730" t="s">
        <v>88</v>
      </c>
      <c r="D1730" t="s">
        <v>2116</v>
      </c>
      <c r="E1730" t="s">
        <v>2117</v>
      </c>
      <c r="F1730" t="s">
        <v>88</v>
      </c>
      <c r="G1730" t="s">
        <v>88</v>
      </c>
      <c r="H1730" t="s">
        <v>92</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169</v>
      </c>
      <c r="B1731" t="s">
        <v>2118</v>
      </c>
      <c r="C1731" t="s">
        <v>88</v>
      </c>
      <c r="D1731" t="s">
        <v>2116</v>
      </c>
      <c r="E1731" t="s">
        <v>2119</v>
      </c>
      <c r="F1731" t="s">
        <v>88</v>
      </c>
      <c r="G1731" t="s">
        <v>88</v>
      </c>
      <c r="H1731" t="s">
        <v>92</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169</v>
      </c>
      <c r="B1732" t="s">
        <v>2120</v>
      </c>
      <c r="C1732" t="s">
        <v>88</v>
      </c>
      <c r="D1732" t="s">
        <v>88</v>
      </c>
      <c r="E1732" t="s">
        <v>619</v>
      </c>
      <c r="F1732" t="s">
        <v>88</v>
      </c>
      <c r="G1732" t="s">
        <v>88</v>
      </c>
      <c r="H1732" t="s">
        <v>92</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169</v>
      </c>
      <c r="B1733" t="s">
        <v>2121</v>
      </c>
      <c r="C1733" t="s">
        <v>88</v>
      </c>
      <c r="D1733" t="s">
        <v>88</v>
      </c>
      <c r="E1733" t="s">
        <v>2108</v>
      </c>
      <c r="F1733" t="s">
        <v>88</v>
      </c>
      <c r="G1733" t="s">
        <v>88</v>
      </c>
      <c r="H1733" t="s">
        <v>92</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169</v>
      </c>
      <c r="B1734" t="s">
        <v>2122</v>
      </c>
      <c r="C1734" t="s">
        <v>88</v>
      </c>
      <c r="D1734" t="s">
        <v>2123</v>
      </c>
      <c r="E1734" t="s">
        <v>2106</v>
      </c>
      <c r="F1734" t="s">
        <v>88</v>
      </c>
      <c r="G1734" t="s">
        <v>88</v>
      </c>
      <c r="H1734" t="s">
        <v>92</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169</v>
      </c>
      <c r="B1735" t="s">
        <v>2124</v>
      </c>
      <c r="C1735" t="s">
        <v>88</v>
      </c>
      <c r="D1735" t="s">
        <v>2123</v>
      </c>
      <c r="E1735" t="s">
        <v>649</v>
      </c>
      <c r="F1735" t="s">
        <v>88</v>
      </c>
      <c r="G1735" t="s">
        <v>88</v>
      </c>
      <c r="H1735" t="s">
        <v>92</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169</v>
      </c>
      <c r="B1736" t="s">
        <v>2125</v>
      </c>
      <c r="C1736" t="s">
        <v>88</v>
      </c>
      <c r="D1736" t="s">
        <v>2123</v>
      </c>
      <c r="E1736" t="s">
        <v>649</v>
      </c>
      <c r="F1736" t="s">
        <v>88</v>
      </c>
      <c r="G1736" t="s">
        <v>88</v>
      </c>
      <c r="H1736" t="s">
        <v>92</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169</v>
      </c>
      <c r="B1737" t="s">
        <v>2126</v>
      </c>
      <c r="C1737" t="s">
        <v>88</v>
      </c>
      <c r="D1737" t="s">
        <v>2123</v>
      </c>
      <c r="E1737" t="s">
        <v>591</v>
      </c>
      <c r="F1737" t="s">
        <v>88</v>
      </c>
      <c r="G1737" t="s">
        <v>88</v>
      </c>
      <c r="H1737" t="s">
        <v>92</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169</v>
      </c>
      <c r="B1738" t="s">
        <v>2127</v>
      </c>
      <c r="C1738" t="s">
        <v>88</v>
      </c>
      <c r="D1738" t="s">
        <v>2123</v>
      </c>
      <c r="E1738" t="s">
        <v>649</v>
      </c>
      <c r="F1738" t="s">
        <v>88</v>
      </c>
      <c r="G1738" t="s">
        <v>88</v>
      </c>
      <c r="H1738" t="s">
        <v>92</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169</v>
      </c>
      <c r="B1739" t="s">
        <v>2128</v>
      </c>
      <c r="C1739" t="s">
        <v>88</v>
      </c>
      <c r="D1739" t="s">
        <v>2123</v>
      </c>
      <c r="E1739" t="s">
        <v>591</v>
      </c>
      <c r="F1739" t="s">
        <v>88</v>
      </c>
      <c r="G1739" t="s">
        <v>88</v>
      </c>
      <c r="H1739" t="s">
        <v>92</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169</v>
      </c>
      <c r="B1740" t="s">
        <v>2129</v>
      </c>
      <c r="C1740" t="s">
        <v>88</v>
      </c>
      <c r="D1740" t="s">
        <v>2123</v>
      </c>
      <c r="E1740" t="s">
        <v>2130</v>
      </c>
      <c r="F1740" t="s">
        <v>88</v>
      </c>
      <c r="G1740" t="s">
        <v>88</v>
      </c>
      <c r="H1740" t="s">
        <v>92</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169</v>
      </c>
      <c r="B1741" t="s">
        <v>2131</v>
      </c>
      <c r="C1741" t="s">
        <v>88</v>
      </c>
      <c r="D1741" t="s">
        <v>2123</v>
      </c>
      <c r="E1741" t="s">
        <v>2079</v>
      </c>
      <c r="F1741" t="s">
        <v>88</v>
      </c>
      <c r="G1741" t="s">
        <v>88</v>
      </c>
      <c r="H1741" t="s">
        <v>92</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169</v>
      </c>
      <c r="B1742" t="s">
        <v>2132</v>
      </c>
      <c r="C1742" t="s">
        <v>88</v>
      </c>
      <c r="D1742" t="s">
        <v>2123</v>
      </c>
      <c r="E1742" t="s">
        <v>2130</v>
      </c>
      <c r="F1742" t="s">
        <v>88</v>
      </c>
      <c r="G1742" t="s">
        <v>88</v>
      </c>
      <c r="H1742" t="s">
        <v>92</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169</v>
      </c>
      <c r="B1743" t="s">
        <v>2133</v>
      </c>
      <c r="C1743" t="s">
        <v>88</v>
      </c>
      <c r="D1743" t="s">
        <v>2123</v>
      </c>
      <c r="E1743" t="s">
        <v>2079</v>
      </c>
      <c r="F1743" t="s">
        <v>88</v>
      </c>
      <c r="G1743" t="s">
        <v>88</v>
      </c>
      <c r="H1743" t="s">
        <v>92</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169</v>
      </c>
      <c r="B1744" t="s">
        <v>1813</v>
      </c>
      <c r="C1744" t="s">
        <v>88</v>
      </c>
      <c r="D1744" t="s">
        <v>1370</v>
      </c>
      <c r="E1744" t="s">
        <v>619</v>
      </c>
      <c r="F1744" t="s">
        <v>88</v>
      </c>
      <c r="G1744" t="s">
        <v>88</v>
      </c>
      <c r="H1744" t="s">
        <v>92</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169</v>
      </c>
      <c r="B1745" t="s">
        <v>615</v>
      </c>
      <c r="C1745" t="s">
        <v>88</v>
      </c>
      <c r="D1745" t="s">
        <v>88</v>
      </c>
      <c r="E1745" t="s">
        <v>619</v>
      </c>
      <c r="F1745" t="s">
        <v>88</v>
      </c>
      <c r="G1745" t="s">
        <v>88</v>
      </c>
      <c r="H1745" t="s">
        <v>92</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169</v>
      </c>
      <c r="B1746" t="s">
        <v>616</v>
      </c>
      <c r="C1746" t="s">
        <v>88</v>
      </c>
      <c r="D1746" t="s">
        <v>88</v>
      </c>
      <c r="E1746" t="s">
        <v>619</v>
      </c>
      <c r="F1746" t="s">
        <v>88</v>
      </c>
      <c r="G1746" t="s">
        <v>88</v>
      </c>
      <c r="H1746" t="s">
        <v>92</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169</v>
      </c>
      <c r="B1747" t="s">
        <v>2134</v>
      </c>
      <c r="C1747" t="s">
        <v>88</v>
      </c>
      <c r="D1747" t="s">
        <v>88</v>
      </c>
      <c r="E1747" t="s">
        <v>621</v>
      </c>
      <c r="F1747" t="s">
        <v>88</v>
      </c>
      <c r="G1747" t="s">
        <v>88</v>
      </c>
      <c r="H1747" t="s">
        <v>92</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169</v>
      </c>
      <c r="B1748" t="s">
        <v>1811</v>
      </c>
      <c r="C1748" t="s">
        <v>88</v>
      </c>
      <c r="D1748" t="s">
        <v>1370</v>
      </c>
      <c r="E1748" t="s">
        <v>619</v>
      </c>
      <c r="F1748" t="s">
        <v>88</v>
      </c>
      <c r="G1748" t="s">
        <v>88</v>
      </c>
      <c r="H1748" t="s">
        <v>92</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169</v>
      </c>
      <c r="B1749" t="s">
        <v>617</v>
      </c>
      <c r="C1749" t="s">
        <v>88</v>
      </c>
      <c r="D1749" t="s">
        <v>88</v>
      </c>
      <c r="E1749" t="s">
        <v>619</v>
      </c>
      <c r="F1749" t="s">
        <v>88</v>
      </c>
      <c r="G1749" t="s">
        <v>88</v>
      </c>
      <c r="H1749" t="s">
        <v>92</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169</v>
      </c>
      <c r="B1750" t="s">
        <v>733</v>
      </c>
      <c r="C1750" t="s">
        <v>88</v>
      </c>
      <c r="D1750" t="s">
        <v>88</v>
      </c>
      <c r="E1750" t="s">
        <v>619</v>
      </c>
      <c r="F1750" t="s">
        <v>88</v>
      </c>
      <c r="G1750" t="s">
        <v>88</v>
      </c>
      <c r="H1750" t="s">
        <v>92</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169</v>
      </c>
      <c r="B1751" t="s">
        <v>2135</v>
      </c>
      <c r="C1751" t="s">
        <v>88</v>
      </c>
      <c r="D1751" t="s">
        <v>88</v>
      </c>
      <c r="E1751" t="s">
        <v>624</v>
      </c>
      <c r="F1751" t="s">
        <v>88</v>
      </c>
      <c r="G1751" t="s">
        <v>88</v>
      </c>
      <c r="H1751" t="s">
        <v>92</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169</v>
      </c>
      <c r="B1752" t="s">
        <v>620</v>
      </c>
      <c r="C1752" t="s">
        <v>88</v>
      </c>
      <c r="D1752" t="s">
        <v>88</v>
      </c>
      <c r="E1752" t="s">
        <v>624</v>
      </c>
      <c r="F1752" t="s">
        <v>88</v>
      </c>
      <c r="G1752" t="s">
        <v>88</v>
      </c>
      <c r="H1752" t="s">
        <v>92</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169</v>
      </c>
      <c r="B1753" t="s">
        <v>622</v>
      </c>
      <c r="C1753" t="s">
        <v>88</v>
      </c>
      <c r="D1753" t="s">
        <v>88</v>
      </c>
      <c r="E1753" t="s">
        <v>652</v>
      </c>
      <c r="F1753" t="s">
        <v>88</v>
      </c>
      <c r="G1753" t="s">
        <v>88</v>
      </c>
      <c r="H1753" t="s">
        <v>92</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169</v>
      </c>
      <c r="B1754" t="s">
        <v>623</v>
      </c>
      <c r="C1754" t="s">
        <v>88</v>
      </c>
      <c r="D1754" t="s">
        <v>88</v>
      </c>
      <c r="E1754" t="s">
        <v>2136</v>
      </c>
      <c r="F1754" t="s">
        <v>88</v>
      </c>
      <c r="G1754" t="s">
        <v>88</v>
      </c>
      <c r="H1754" t="s">
        <v>92</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169</v>
      </c>
      <c r="B1755" t="s">
        <v>798</v>
      </c>
      <c r="C1755" t="s">
        <v>88</v>
      </c>
      <c r="D1755" t="s">
        <v>88</v>
      </c>
      <c r="E1755" t="s">
        <v>613</v>
      </c>
      <c r="F1755" t="s">
        <v>88</v>
      </c>
      <c r="G1755" t="s">
        <v>88</v>
      </c>
      <c r="H1755" t="s">
        <v>92</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169</v>
      </c>
      <c r="B1756" t="s">
        <v>1907</v>
      </c>
      <c r="C1756" t="s">
        <v>88</v>
      </c>
      <c r="D1756" t="s">
        <v>88</v>
      </c>
      <c r="E1756" t="s">
        <v>613</v>
      </c>
      <c r="F1756" t="s">
        <v>88</v>
      </c>
      <c r="G1756" t="s">
        <v>88</v>
      </c>
      <c r="H1756" t="s">
        <v>92</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169</v>
      </c>
      <c r="B1757" t="s">
        <v>982</v>
      </c>
      <c r="C1757" t="s">
        <v>88</v>
      </c>
      <c r="D1757" t="s">
        <v>88</v>
      </c>
      <c r="E1757" t="s">
        <v>613</v>
      </c>
      <c r="F1757" t="s">
        <v>88</v>
      </c>
      <c r="G1757" t="s">
        <v>88</v>
      </c>
      <c r="H1757" t="s">
        <v>92</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169</v>
      </c>
      <c r="B1758" t="s">
        <v>612</v>
      </c>
      <c r="C1758" t="s">
        <v>88</v>
      </c>
      <c r="D1758" t="s">
        <v>88</v>
      </c>
      <c r="E1758" t="s">
        <v>619</v>
      </c>
      <c r="F1758" t="s">
        <v>88</v>
      </c>
      <c r="G1758" t="s">
        <v>88</v>
      </c>
      <c r="H1758" t="s">
        <v>92</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169</v>
      </c>
      <c r="B1759" t="s">
        <v>625</v>
      </c>
      <c r="C1759" t="s">
        <v>88</v>
      </c>
      <c r="D1759" t="s">
        <v>88</v>
      </c>
      <c r="E1759" t="s">
        <v>626</v>
      </c>
      <c r="F1759" t="s">
        <v>88</v>
      </c>
      <c r="G1759" t="s">
        <v>88</v>
      </c>
      <c r="H1759" t="s">
        <v>92</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171</v>
      </c>
      <c r="B1760" t="s">
        <v>583</v>
      </c>
      <c r="C1760" t="s">
        <v>88</v>
      </c>
      <c r="D1760" t="s">
        <v>2061</v>
      </c>
      <c r="E1760" t="s">
        <v>605</v>
      </c>
      <c r="F1760" t="s">
        <v>88</v>
      </c>
      <c r="G1760" t="s">
        <v>88</v>
      </c>
      <c r="H1760" t="s">
        <v>92</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171</v>
      </c>
      <c r="B1761" t="s">
        <v>594</v>
      </c>
      <c r="C1761" t="s">
        <v>88</v>
      </c>
      <c r="D1761" t="s">
        <v>2065</v>
      </c>
      <c r="E1761" t="s">
        <v>2066</v>
      </c>
      <c r="F1761" t="s">
        <v>88</v>
      </c>
      <c r="G1761" t="s">
        <v>88</v>
      </c>
      <c r="H1761" t="s">
        <v>92</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171</v>
      </c>
      <c r="B1762" t="s">
        <v>2069</v>
      </c>
      <c r="C1762" t="s">
        <v>88</v>
      </c>
      <c r="D1762" t="s">
        <v>2070</v>
      </c>
      <c r="E1762" t="s">
        <v>643</v>
      </c>
      <c r="F1762" t="s">
        <v>88</v>
      </c>
      <c r="G1762" t="s">
        <v>88</v>
      </c>
      <c r="H1762" t="s">
        <v>92</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171</v>
      </c>
      <c r="B1763" t="s">
        <v>2062</v>
      </c>
      <c r="C1763" t="s">
        <v>88</v>
      </c>
      <c r="D1763" t="s">
        <v>2063</v>
      </c>
      <c r="E1763" t="s">
        <v>2064</v>
      </c>
      <c r="F1763" t="s">
        <v>88</v>
      </c>
      <c r="G1763" t="s">
        <v>88</v>
      </c>
      <c r="H1763" t="s">
        <v>92</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171</v>
      </c>
      <c r="B1764" t="s">
        <v>2067</v>
      </c>
      <c r="C1764" t="s">
        <v>88</v>
      </c>
      <c r="D1764" t="s">
        <v>88</v>
      </c>
      <c r="E1764" t="s">
        <v>2068</v>
      </c>
      <c r="F1764" t="s">
        <v>88</v>
      </c>
      <c r="G1764" t="s">
        <v>88</v>
      </c>
      <c r="H1764" t="s">
        <v>92</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171</v>
      </c>
      <c r="B1765" t="s">
        <v>2071</v>
      </c>
      <c r="C1765" t="s">
        <v>88</v>
      </c>
      <c r="D1765" t="s">
        <v>2137</v>
      </c>
      <c r="E1765" t="s">
        <v>2073</v>
      </c>
      <c r="F1765" t="s">
        <v>88</v>
      </c>
      <c r="G1765" t="s">
        <v>88</v>
      </c>
      <c r="H1765" t="s">
        <v>92</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171</v>
      </c>
      <c r="B1766" t="s">
        <v>594</v>
      </c>
      <c r="C1766" t="s">
        <v>88</v>
      </c>
      <c r="D1766" t="s">
        <v>2065</v>
      </c>
      <c r="E1766" t="s">
        <v>2066</v>
      </c>
      <c r="F1766" t="s">
        <v>88</v>
      </c>
      <c r="G1766" t="s">
        <v>88</v>
      </c>
      <c r="H1766" t="s">
        <v>92</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171</v>
      </c>
      <c r="B1767" t="s">
        <v>583</v>
      </c>
      <c r="C1767" t="s">
        <v>88</v>
      </c>
      <c r="D1767" t="s">
        <v>2061</v>
      </c>
      <c r="E1767" t="s">
        <v>605</v>
      </c>
      <c r="F1767" t="s">
        <v>88</v>
      </c>
      <c r="G1767" t="s">
        <v>88</v>
      </c>
      <c r="H1767" t="s">
        <v>92</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171</v>
      </c>
      <c r="B1768" t="s">
        <v>2062</v>
      </c>
      <c r="C1768" t="s">
        <v>88</v>
      </c>
      <c r="D1768" t="s">
        <v>2063</v>
      </c>
      <c r="E1768" t="s">
        <v>2064</v>
      </c>
      <c r="F1768" t="s">
        <v>88</v>
      </c>
      <c r="G1768" t="s">
        <v>88</v>
      </c>
      <c r="H1768" t="s">
        <v>92</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171</v>
      </c>
      <c r="B1769" t="s">
        <v>2074</v>
      </c>
      <c r="C1769" t="s">
        <v>88</v>
      </c>
      <c r="D1769" t="s">
        <v>2075</v>
      </c>
      <c r="E1769" t="s">
        <v>605</v>
      </c>
      <c r="F1769" t="s">
        <v>88</v>
      </c>
      <c r="G1769" t="s">
        <v>88</v>
      </c>
      <c r="H1769" t="s">
        <v>92</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171</v>
      </c>
      <c r="B1770" t="s">
        <v>600</v>
      </c>
      <c r="C1770" t="s">
        <v>88</v>
      </c>
      <c r="D1770" t="s">
        <v>2076</v>
      </c>
      <c r="E1770" t="s">
        <v>644</v>
      </c>
      <c r="F1770" t="s">
        <v>88</v>
      </c>
      <c r="G1770" t="s">
        <v>88</v>
      </c>
      <c r="H1770" t="s">
        <v>92</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171</v>
      </c>
      <c r="B1771" t="s">
        <v>2077</v>
      </c>
      <c r="C1771" t="s">
        <v>88</v>
      </c>
      <c r="D1771" t="s">
        <v>2078</v>
      </c>
      <c r="E1771" t="s">
        <v>2079</v>
      </c>
      <c r="F1771" t="s">
        <v>88</v>
      </c>
      <c r="G1771" t="s">
        <v>88</v>
      </c>
      <c r="H1771" t="s">
        <v>92</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171</v>
      </c>
      <c r="B1772" t="s">
        <v>645</v>
      </c>
      <c r="C1772" t="s">
        <v>88</v>
      </c>
      <c r="D1772" t="s">
        <v>2138</v>
      </c>
      <c r="E1772" t="s">
        <v>585</v>
      </c>
      <c r="F1772" t="s">
        <v>88</v>
      </c>
      <c r="G1772" t="s">
        <v>88</v>
      </c>
      <c r="H1772" t="s">
        <v>92</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171</v>
      </c>
      <c r="B1773" t="s">
        <v>2069</v>
      </c>
      <c r="C1773" t="s">
        <v>88</v>
      </c>
      <c r="D1773" t="s">
        <v>2070</v>
      </c>
      <c r="E1773" t="s">
        <v>643</v>
      </c>
      <c r="F1773" t="s">
        <v>88</v>
      </c>
      <c r="G1773" t="s">
        <v>88</v>
      </c>
      <c r="H1773" t="s">
        <v>92</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171</v>
      </c>
      <c r="B1774" t="s">
        <v>603</v>
      </c>
      <c r="C1774" t="s">
        <v>88</v>
      </c>
      <c r="D1774" t="s">
        <v>2139</v>
      </c>
      <c r="E1774" t="s">
        <v>2082</v>
      </c>
      <c r="F1774" t="s">
        <v>88</v>
      </c>
      <c r="G1774" t="s">
        <v>88</v>
      </c>
      <c r="H1774" t="s">
        <v>92</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171</v>
      </c>
      <c r="B1775" t="s">
        <v>2083</v>
      </c>
      <c r="C1775" t="s">
        <v>88</v>
      </c>
      <c r="D1775" t="s">
        <v>2140</v>
      </c>
      <c r="E1775" t="s">
        <v>609</v>
      </c>
      <c r="F1775" t="s">
        <v>88</v>
      </c>
      <c r="G1775" t="s">
        <v>88</v>
      </c>
      <c r="H1775" t="s">
        <v>92</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171</v>
      </c>
      <c r="B1776" t="s">
        <v>2085</v>
      </c>
      <c r="C1776" t="s">
        <v>88</v>
      </c>
      <c r="D1776" t="s">
        <v>2141</v>
      </c>
      <c r="E1776" t="s">
        <v>2087</v>
      </c>
      <c r="F1776" t="s">
        <v>88</v>
      </c>
      <c r="G1776" t="s">
        <v>88</v>
      </c>
      <c r="H1776" t="s">
        <v>92</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171</v>
      </c>
      <c r="B1777" t="s">
        <v>2088</v>
      </c>
      <c r="C1777" t="s">
        <v>88</v>
      </c>
      <c r="D1777" t="s">
        <v>2142</v>
      </c>
      <c r="E1777" t="s">
        <v>2066</v>
      </c>
      <c r="F1777" t="s">
        <v>88</v>
      </c>
      <c r="G1777" t="s">
        <v>88</v>
      </c>
      <c r="H1777" t="s">
        <v>92</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171</v>
      </c>
      <c r="B1778" t="s">
        <v>2090</v>
      </c>
      <c r="C1778" t="s">
        <v>88</v>
      </c>
      <c r="D1778" t="s">
        <v>2143</v>
      </c>
      <c r="E1778" t="s">
        <v>605</v>
      </c>
      <c r="F1778" t="s">
        <v>88</v>
      </c>
      <c r="G1778" t="s">
        <v>88</v>
      </c>
      <c r="H1778" t="s">
        <v>92</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171</v>
      </c>
      <c r="B1779" t="s">
        <v>2092</v>
      </c>
      <c r="C1779" t="s">
        <v>88</v>
      </c>
      <c r="D1779" t="s">
        <v>2144</v>
      </c>
      <c r="E1779" t="s">
        <v>2064</v>
      </c>
      <c r="F1779" t="s">
        <v>88</v>
      </c>
      <c r="G1779" t="s">
        <v>88</v>
      </c>
      <c r="H1779" t="s">
        <v>92</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171</v>
      </c>
      <c r="B1780" t="s">
        <v>2145</v>
      </c>
      <c r="C1780" t="s">
        <v>88</v>
      </c>
      <c r="D1780" t="s">
        <v>2146</v>
      </c>
      <c r="E1780" t="s">
        <v>2096</v>
      </c>
      <c r="F1780" t="s">
        <v>88</v>
      </c>
      <c r="G1780" t="s">
        <v>88</v>
      </c>
      <c r="H1780" t="s">
        <v>92</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171</v>
      </c>
      <c r="B1781" t="s">
        <v>2097</v>
      </c>
      <c r="C1781" t="s">
        <v>88</v>
      </c>
      <c r="D1781" t="s">
        <v>2147</v>
      </c>
      <c r="E1781" t="s">
        <v>2098</v>
      </c>
      <c r="F1781" t="s">
        <v>88</v>
      </c>
      <c r="G1781" t="s">
        <v>88</v>
      </c>
      <c r="H1781" t="s">
        <v>92</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171</v>
      </c>
      <c r="B1782" t="s">
        <v>2148</v>
      </c>
      <c r="C1782" t="s">
        <v>88</v>
      </c>
      <c r="D1782" t="s">
        <v>2149</v>
      </c>
      <c r="E1782" t="s">
        <v>2101</v>
      </c>
      <c r="F1782" t="s">
        <v>88</v>
      </c>
      <c r="G1782" t="s">
        <v>88</v>
      </c>
      <c r="H1782" t="s">
        <v>92</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171</v>
      </c>
      <c r="B1783" t="s">
        <v>2150</v>
      </c>
      <c r="C1783" t="s">
        <v>88</v>
      </c>
      <c r="D1783" t="s">
        <v>2103</v>
      </c>
      <c r="E1783" t="s">
        <v>588</v>
      </c>
      <c r="F1783" t="s">
        <v>88</v>
      </c>
      <c r="G1783" t="s">
        <v>88</v>
      </c>
      <c r="H1783" t="s">
        <v>92</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171</v>
      </c>
      <c r="B1784" t="s">
        <v>2067</v>
      </c>
      <c r="C1784" t="s">
        <v>88</v>
      </c>
      <c r="D1784" t="s">
        <v>88</v>
      </c>
      <c r="E1784" t="s">
        <v>2068</v>
      </c>
      <c r="F1784" t="s">
        <v>88</v>
      </c>
      <c r="G1784" t="s">
        <v>88</v>
      </c>
      <c r="H1784" t="s">
        <v>92</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171</v>
      </c>
      <c r="B1785" t="s">
        <v>2104</v>
      </c>
      <c r="C1785" t="s">
        <v>88</v>
      </c>
      <c r="D1785" t="s">
        <v>88</v>
      </c>
      <c r="E1785" t="s">
        <v>613</v>
      </c>
      <c r="F1785" t="s">
        <v>88</v>
      </c>
      <c r="G1785" t="s">
        <v>88</v>
      </c>
      <c r="H1785" t="s">
        <v>92</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171</v>
      </c>
      <c r="B1786" t="s">
        <v>2105</v>
      </c>
      <c r="C1786" t="s">
        <v>88</v>
      </c>
      <c r="D1786" t="s">
        <v>88</v>
      </c>
      <c r="E1786" t="s">
        <v>2106</v>
      </c>
      <c r="F1786" t="s">
        <v>88</v>
      </c>
      <c r="G1786" t="s">
        <v>88</v>
      </c>
      <c r="H1786" t="s">
        <v>92</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171</v>
      </c>
      <c r="B1787" t="s">
        <v>2107</v>
      </c>
      <c r="C1787" t="s">
        <v>88</v>
      </c>
      <c r="D1787" t="s">
        <v>88</v>
      </c>
      <c r="E1787" t="s">
        <v>2108</v>
      </c>
      <c r="F1787" t="s">
        <v>88</v>
      </c>
      <c r="G1787" t="s">
        <v>88</v>
      </c>
      <c r="H1787" t="s">
        <v>92</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171</v>
      </c>
      <c r="B1788" t="s">
        <v>2109</v>
      </c>
      <c r="C1788" t="s">
        <v>88</v>
      </c>
      <c r="D1788" t="s">
        <v>2110</v>
      </c>
      <c r="E1788" t="s">
        <v>642</v>
      </c>
      <c r="F1788" t="s">
        <v>88</v>
      </c>
      <c r="G1788" t="s">
        <v>88</v>
      </c>
      <c r="H1788" t="s">
        <v>92</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171</v>
      </c>
      <c r="B1789" t="s">
        <v>2111</v>
      </c>
      <c r="C1789" t="s">
        <v>88</v>
      </c>
      <c r="D1789" t="s">
        <v>2112</v>
      </c>
      <c r="E1789" t="s">
        <v>2064</v>
      </c>
      <c r="F1789" t="s">
        <v>88</v>
      </c>
      <c r="G1789" t="s">
        <v>88</v>
      </c>
      <c r="H1789" t="s">
        <v>92</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171</v>
      </c>
      <c r="B1790" t="s">
        <v>2113</v>
      </c>
      <c r="C1790" t="s">
        <v>88</v>
      </c>
      <c r="D1790" t="s">
        <v>2114</v>
      </c>
      <c r="E1790" t="s">
        <v>647</v>
      </c>
      <c r="F1790" t="s">
        <v>88</v>
      </c>
      <c r="G1790" t="s">
        <v>88</v>
      </c>
      <c r="H1790" t="s">
        <v>92</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171</v>
      </c>
      <c r="B1791" t="s">
        <v>2151</v>
      </c>
      <c r="C1791" t="s">
        <v>88</v>
      </c>
      <c r="D1791" t="s">
        <v>2152</v>
      </c>
      <c r="E1791" t="s">
        <v>2066</v>
      </c>
      <c r="F1791" t="s">
        <v>88</v>
      </c>
      <c r="G1791" t="s">
        <v>88</v>
      </c>
      <c r="H1791" t="s">
        <v>92</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171</v>
      </c>
      <c r="B1792" t="s">
        <v>2125</v>
      </c>
      <c r="C1792" t="s">
        <v>88</v>
      </c>
      <c r="D1792" t="s">
        <v>2123</v>
      </c>
      <c r="E1792" t="s">
        <v>649</v>
      </c>
      <c r="F1792" t="s">
        <v>88</v>
      </c>
      <c r="G1792" t="s">
        <v>88</v>
      </c>
      <c r="H1792" t="s">
        <v>92</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171</v>
      </c>
      <c r="B1793" t="s">
        <v>2126</v>
      </c>
      <c r="C1793" t="s">
        <v>88</v>
      </c>
      <c r="D1793" t="s">
        <v>2123</v>
      </c>
      <c r="E1793" t="s">
        <v>591</v>
      </c>
      <c r="F1793" t="s">
        <v>88</v>
      </c>
      <c r="G1793" t="s">
        <v>88</v>
      </c>
      <c r="H1793" t="s">
        <v>92</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171</v>
      </c>
      <c r="B1794" t="s">
        <v>2129</v>
      </c>
      <c r="C1794" t="s">
        <v>88</v>
      </c>
      <c r="D1794" t="s">
        <v>2123</v>
      </c>
      <c r="E1794" t="s">
        <v>2130</v>
      </c>
      <c r="F1794" t="s">
        <v>88</v>
      </c>
      <c r="G1794" t="s">
        <v>88</v>
      </c>
      <c r="H1794" t="s">
        <v>92</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171</v>
      </c>
      <c r="B1795" t="s">
        <v>2131</v>
      </c>
      <c r="C1795" t="s">
        <v>88</v>
      </c>
      <c r="D1795" t="s">
        <v>2123</v>
      </c>
      <c r="E1795" t="s">
        <v>2079</v>
      </c>
      <c r="F1795" t="s">
        <v>88</v>
      </c>
      <c r="G1795" t="s">
        <v>88</v>
      </c>
      <c r="H1795" t="s">
        <v>92</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171</v>
      </c>
      <c r="B1796" t="s">
        <v>2124</v>
      </c>
      <c r="C1796" t="s">
        <v>88</v>
      </c>
      <c r="D1796" t="s">
        <v>2123</v>
      </c>
      <c r="E1796" t="s">
        <v>649</v>
      </c>
      <c r="F1796" t="s">
        <v>88</v>
      </c>
      <c r="G1796" t="s">
        <v>88</v>
      </c>
      <c r="H1796" t="s">
        <v>92</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171</v>
      </c>
      <c r="B1797" t="s">
        <v>2122</v>
      </c>
      <c r="C1797" t="s">
        <v>88</v>
      </c>
      <c r="D1797" t="s">
        <v>2123</v>
      </c>
      <c r="E1797" t="s">
        <v>2106</v>
      </c>
      <c r="F1797" t="s">
        <v>88</v>
      </c>
      <c r="G1797" t="s">
        <v>88</v>
      </c>
      <c r="H1797" t="s">
        <v>92</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171</v>
      </c>
      <c r="B1798" t="s">
        <v>2127</v>
      </c>
      <c r="C1798" t="s">
        <v>88</v>
      </c>
      <c r="D1798" t="s">
        <v>2123</v>
      </c>
      <c r="E1798" t="s">
        <v>649</v>
      </c>
      <c r="F1798" t="s">
        <v>88</v>
      </c>
      <c r="G1798" t="s">
        <v>88</v>
      </c>
      <c r="H1798" t="s">
        <v>92</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171</v>
      </c>
      <c r="B1799" t="s">
        <v>2128</v>
      </c>
      <c r="C1799" t="s">
        <v>88</v>
      </c>
      <c r="D1799" t="s">
        <v>2123</v>
      </c>
      <c r="E1799" t="s">
        <v>591</v>
      </c>
      <c r="F1799" t="s">
        <v>88</v>
      </c>
      <c r="G1799" t="s">
        <v>88</v>
      </c>
      <c r="H1799" t="s">
        <v>92</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171</v>
      </c>
      <c r="B1800" t="s">
        <v>2132</v>
      </c>
      <c r="C1800" t="s">
        <v>88</v>
      </c>
      <c r="D1800" t="s">
        <v>2123</v>
      </c>
      <c r="E1800" t="s">
        <v>2130</v>
      </c>
      <c r="F1800" t="s">
        <v>88</v>
      </c>
      <c r="G1800" t="s">
        <v>88</v>
      </c>
      <c r="H1800" t="s">
        <v>92</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171</v>
      </c>
      <c r="B1801" t="s">
        <v>2133</v>
      </c>
      <c r="C1801" t="s">
        <v>88</v>
      </c>
      <c r="D1801" t="s">
        <v>2123</v>
      </c>
      <c r="E1801" t="s">
        <v>2079</v>
      </c>
      <c r="F1801" t="s">
        <v>88</v>
      </c>
      <c r="G1801" t="s">
        <v>88</v>
      </c>
      <c r="H1801" t="s">
        <v>92</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171</v>
      </c>
      <c r="B1802" t="s">
        <v>2115</v>
      </c>
      <c r="C1802" t="s">
        <v>88</v>
      </c>
      <c r="D1802" t="s">
        <v>2116</v>
      </c>
      <c r="E1802" t="s">
        <v>2117</v>
      </c>
      <c r="F1802" t="s">
        <v>88</v>
      </c>
      <c r="G1802" t="s">
        <v>88</v>
      </c>
      <c r="H1802" t="s">
        <v>92</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171</v>
      </c>
      <c r="B1803" t="s">
        <v>2118</v>
      </c>
      <c r="C1803" t="s">
        <v>88</v>
      </c>
      <c r="D1803" t="s">
        <v>2116</v>
      </c>
      <c r="E1803" t="s">
        <v>2119</v>
      </c>
      <c r="F1803" t="s">
        <v>88</v>
      </c>
      <c r="G1803" t="s">
        <v>88</v>
      </c>
      <c r="H1803" t="s">
        <v>92</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171</v>
      </c>
      <c r="B1804" t="s">
        <v>2121</v>
      </c>
      <c r="C1804" t="s">
        <v>88</v>
      </c>
      <c r="D1804" t="s">
        <v>88</v>
      </c>
      <c r="E1804" t="s">
        <v>2108</v>
      </c>
      <c r="F1804" t="s">
        <v>88</v>
      </c>
      <c r="G1804" t="s">
        <v>88</v>
      </c>
      <c r="H1804" t="s">
        <v>92</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171</v>
      </c>
      <c r="B1805" t="s">
        <v>2120</v>
      </c>
      <c r="C1805" t="s">
        <v>88</v>
      </c>
      <c r="D1805" t="s">
        <v>88</v>
      </c>
      <c r="E1805" t="s">
        <v>619</v>
      </c>
      <c r="F1805" t="s">
        <v>88</v>
      </c>
      <c r="G1805" t="s">
        <v>88</v>
      </c>
      <c r="H1805" t="s">
        <v>92</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171</v>
      </c>
      <c r="B1806" t="s">
        <v>612</v>
      </c>
      <c r="C1806" t="s">
        <v>88</v>
      </c>
      <c r="D1806" t="s">
        <v>88</v>
      </c>
      <c r="E1806" t="s">
        <v>619</v>
      </c>
      <c r="F1806" t="s">
        <v>88</v>
      </c>
      <c r="G1806" t="s">
        <v>88</v>
      </c>
      <c r="H1806" t="s">
        <v>92</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171</v>
      </c>
      <c r="B1807" t="s">
        <v>614</v>
      </c>
      <c r="C1807" t="s">
        <v>88</v>
      </c>
      <c r="D1807" t="s">
        <v>88</v>
      </c>
      <c r="E1807" t="s">
        <v>619</v>
      </c>
      <c r="F1807" t="s">
        <v>88</v>
      </c>
      <c r="G1807" t="s">
        <v>88</v>
      </c>
      <c r="H1807" t="s">
        <v>92</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171</v>
      </c>
      <c r="B1808" t="s">
        <v>615</v>
      </c>
      <c r="C1808" t="s">
        <v>88</v>
      </c>
      <c r="D1808" t="s">
        <v>88</v>
      </c>
      <c r="E1808" t="s">
        <v>619</v>
      </c>
      <c r="F1808" t="s">
        <v>88</v>
      </c>
      <c r="G1808" t="s">
        <v>88</v>
      </c>
      <c r="H1808" t="s">
        <v>92</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171</v>
      </c>
      <c r="B1809" t="s">
        <v>616</v>
      </c>
      <c r="C1809" t="s">
        <v>88</v>
      </c>
      <c r="D1809" t="s">
        <v>88</v>
      </c>
      <c r="E1809" t="s">
        <v>619</v>
      </c>
      <c r="F1809" t="s">
        <v>88</v>
      </c>
      <c r="G1809" t="s">
        <v>88</v>
      </c>
      <c r="H1809" t="s">
        <v>92</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171</v>
      </c>
      <c r="B1810" t="s">
        <v>617</v>
      </c>
      <c r="C1810" t="s">
        <v>88</v>
      </c>
      <c r="D1810" t="s">
        <v>88</v>
      </c>
      <c r="E1810" t="s">
        <v>619</v>
      </c>
      <c r="F1810" t="s">
        <v>88</v>
      </c>
      <c r="G1810" t="s">
        <v>88</v>
      </c>
      <c r="H1810" t="s">
        <v>92</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171</v>
      </c>
      <c r="B1811" t="s">
        <v>733</v>
      </c>
      <c r="C1811" t="s">
        <v>88</v>
      </c>
      <c r="D1811" t="s">
        <v>88</v>
      </c>
      <c r="E1811" t="s">
        <v>619</v>
      </c>
      <c r="F1811" t="s">
        <v>88</v>
      </c>
      <c r="G1811" t="s">
        <v>88</v>
      </c>
      <c r="H1811" t="s">
        <v>92</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171</v>
      </c>
      <c r="B1812" t="s">
        <v>2153</v>
      </c>
      <c r="C1812" t="s">
        <v>88</v>
      </c>
      <c r="D1812" t="s">
        <v>88</v>
      </c>
      <c r="E1812" t="s">
        <v>621</v>
      </c>
      <c r="F1812" t="s">
        <v>88</v>
      </c>
      <c r="G1812" t="s">
        <v>88</v>
      </c>
      <c r="H1812" t="s">
        <v>92</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171</v>
      </c>
      <c r="B1813" t="s">
        <v>2154</v>
      </c>
      <c r="C1813" t="s">
        <v>88</v>
      </c>
      <c r="D1813" t="s">
        <v>88</v>
      </c>
      <c r="E1813" t="s">
        <v>621</v>
      </c>
      <c r="F1813" t="s">
        <v>88</v>
      </c>
      <c r="G1813" t="s">
        <v>88</v>
      </c>
      <c r="H1813" t="s">
        <v>92</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171</v>
      </c>
      <c r="B1814" t="s">
        <v>2135</v>
      </c>
      <c r="C1814" t="s">
        <v>88</v>
      </c>
      <c r="D1814" t="s">
        <v>88</v>
      </c>
      <c r="E1814" t="s">
        <v>624</v>
      </c>
      <c r="F1814" t="s">
        <v>88</v>
      </c>
      <c r="G1814" t="s">
        <v>88</v>
      </c>
      <c r="H1814" t="s">
        <v>92</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171</v>
      </c>
      <c r="B1815" t="s">
        <v>620</v>
      </c>
      <c r="C1815" t="s">
        <v>88</v>
      </c>
      <c r="D1815" t="s">
        <v>88</v>
      </c>
      <c r="E1815" t="s">
        <v>624</v>
      </c>
      <c r="F1815" t="s">
        <v>88</v>
      </c>
      <c r="G1815" t="s">
        <v>88</v>
      </c>
      <c r="H1815" t="s">
        <v>92</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171</v>
      </c>
      <c r="B1816" t="s">
        <v>622</v>
      </c>
      <c r="C1816" t="s">
        <v>88</v>
      </c>
      <c r="D1816" t="s">
        <v>88</v>
      </c>
      <c r="E1816" t="s">
        <v>652</v>
      </c>
      <c r="F1816" t="s">
        <v>88</v>
      </c>
      <c r="G1816" t="s">
        <v>88</v>
      </c>
      <c r="H1816" t="s">
        <v>92</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171</v>
      </c>
      <c r="B1817" t="s">
        <v>623</v>
      </c>
      <c r="C1817" t="s">
        <v>88</v>
      </c>
      <c r="D1817" t="s">
        <v>88</v>
      </c>
      <c r="E1817" t="s">
        <v>2136</v>
      </c>
      <c r="F1817" t="s">
        <v>88</v>
      </c>
      <c r="G1817" t="s">
        <v>88</v>
      </c>
      <c r="H1817" t="s">
        <v>92</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171</v>
      </c>
      <c r="B1818" t="s">
        <v>798</v>
      </c>
      <c r="C1818" t="s">
        <v>88</v>
      </c>
      <c r="D1818" t="s">
        <v>88</v>
      </c>
      <c r="E1818" t="s">
        <v>613</v>
      </c>
      <c r="F1818" t="s">
        <v>88</v>
      </c>
      <c r="G1818" t="s">
        <v>88</v>
      </c>
      <c r="H1818" t="s">
        <v>92</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171</v>
      </c>
      <c r="B1819" t="s">
        <v>625</v>
      </c>
      <c r="C1819" t="s">
        <v>88</v>
      </c>
      <c r="D1819" t="s">
        <v>88</v>
      </c>
      <c r="E1819" t="s">
        <v>626</v>
      </c>
      <c r="F1819" t="s">
        <v>88</v>
      </c>
      <c r="G1819" t="s">
        <v>88</v>
      </c>
      <c r="H1819" t="s">
        <v>92</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172</v>
      </c>
      <c r="B1820" t="s">
        <v>1780</v>
      </c>
      <c r="C1820" t="s">
        <v>88</v>
      </c>
      <c r="D1820" t="s">
        <v>2155</v>
      </c>
      <c r="E1820" t="s">
        <v>791</v>
      </c>
      <c r="F1820" t="s">
        <v>88</v>
      </c>
      <c r="G1820" t="s">
        <v>88</v>
      </c>
      <c r="H1820" t="s">
        <v>92</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172</v>
      </c>
      <c r="B1821" t="s">
        <v>2156</v>
      </c>
      <c r="C1821" t="s">
        <v>88</v>
      </c>
      <c r="D1821" t="s">
        <v>2157</v>
      </c>
      <c r="E1821" t="s">
        <v>655</v>
      </c>
      <c r="F1821" t="s">
        <v>88</v>
      </c>
      <c r="G1821" t="s">
        <v>88</v>
      </c>
      <c r="H1821" t="s">
        <v>92</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172</v>
      </c>
      <c r="B1822" t="s">
        <v>2158</v>
      </c>
      <c r="C1822" t="s">
        <v>88</v>
      </c>
      <c r="D1822" t="s">
        <v>2159</v>
      </c>
      <c r="E1822" t="s">
        <v>700</v>
      </c>
      <c r="F1822" t="s">
        <v>88</v>
      </c>
      <c r="G1822" t="s">
        <v>88</v>
      </c>
      <c r="H1822" t="s">
        <v>92</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172</v>
      </c>
      <c r="B1823" t="s">
        <v>2160</v>
      </c>
      <c r="C1823" t="s">
        <v>88</v>
      </c>
      <c r="D1823" t="s">
        <v>2161</v>
      </c>
      <c r="E1823" t="s">
        <v>655</v>
      </c>
      <c r="F1823" t="s">
        <v>88</v>
      </c>
      <c r="G1823" t="s">
        <v>88</v>
      </c>
      <c r="H1823" t="s">
        <v>92</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172</v>
      </c>
      <c r="B1824" t="s">
        <v>2162</v>
      </c>
      <c r="C1824" t="s">
        <v>88</v>
      </c>
      <c r="D1824" t="s">
        <v>2163</v>
      </c>
      <c r="E1824" t="s">
        <v>700</v>
      </c>
      <c r="F1824" t="s">
        <v>88</v>
      </c>
      <c r="G1824" t="s">
        <v>88</v>
      </c>
      <c r="H1824" t="s">
        <v>92</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172</v>
      </c>
      <c r="B1825" t="s">
        <v>2164</v>
      </c>
      <c r="C1825" t="s">
        <v>88</v>
      </c>
      <c r="D1825" t="s">
        <v>2165</v>
      </c>
      <c r="E1825" t="s">
        <v>2166</v>
      </c>
      <c r="F1825" t="s">
        <v>88</v>
      </c>
      <c r="G1825" t="s">
        <v>88</v>
      </c>
      <c r="H1825" t="s">
        <v>92</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172</v>
      </c>
      <c r="B1826" t="s">
        <v>2167</v>
      </c>
      <c r="C1826" t="s">
        <v>88</v>
      </c>
      <c r="D1826" t="s">
        <v>2168</v>
      </c>
      <c r="E1826" t="s">
        <v>655</v>
      </c>
      <c r="F1826" t="s">
        <v>88</v>
      </c>
      <c r="G1826" t="s">
        <v>88</v>
      </c>
      <c r="H1826" t="s">
        <v>92</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172</v>
      </c>
      <c r="B1827" t="s">
        <v>2169</v>
      </c>
      <c r="C1827" t="s">
        <v>88</v>
      </c>
      <c r="D1827" t="s">
        <v>2170</v>
      </c>
      <c r="E1827" t="s">
        <v>655</v>
      </c>
      <c r="F1827" t="s">
        <v>88</v>
      </c>
      <c r="G1827" t="s">
        <v>88</v>
      </c>
      <c r="H1827" t="s">
        <v>92</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172</v>
      </c>
      <c r="B1828" t="s">
        <v>2171</v>
      </c>
      <c r="C1828" t="s">
        <v>88</v>
      </c>
      <c r="D1828" t="s">
        <v>2172</v>
      </c>
      <c r="E1828" t="s">
        <v>655</v>
      </c>
      <c r="F1828" t="s">
        <v>88</v>
      </c>
      <c r="G1828" t="s">
        <v>88</v>
      </c>
      <c r="H1828" t="s">
        <v>92</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172</v>
      </c>
      <c r="B1829" t="s">
        <v>2173</v>
      </c>
      <c r="C1829" t="s">
        <v>88</v>
      </c>
      <c r="D1829" t="s">
        <v>2174</v>
      </c>
      <c r="E1829" t="s">
        <v>655</v>
      </c>
      <c r="F1829" t="s">
        <v>88</v>
      </c>
      <c r="G1829" t="s">
        <v>88</v>
      </c>
      <c r="H1829" t="s">
        <v>92</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172</v>
      </c>
      <c r="B1830" t="s">
        <v>2175</v>
      </c>
      <c r="C1830" t="s">
        <v>88</v>
      </c>
      <c r="D1830" t="s">
        <v>88</v>
      </c>
      <c r="E1830" t="s">
        <v>791</v>
      </c>
      <c r="F1830" t="s">
        <v>88</v>
      </c>
      <c r="G1830" t="s">
        <v>88</v>
      </c>
      <c r="H1830" t="s">
        <v>92</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172</v>
      </c>
      <c r="B1831" t="s">
        <v>2176</v>
      </c>
      <c r="C1831" t="s">
        <v>88</v>
      </c>
      <c r="D1831" t="s">
        <v>88</v>
      </c>
      <c r="E1831" t="s">
        <v>723</v>
      </c>
      <c r="F1831" t="s">
        <v>88</v>
      </c>
      <c r="G1831" t="s">
        <v>88</v>
      </c>
      <c r="H1831" t="s">
        <v>92</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172</v>
      </c>
      <c r="B1832" t="s">
        <v>2177</v>
      </c>
      <c r="C1832" t="s">
        <v>88</v>
      </c>
      <c r="D1832" t="s">
        <v>88</v>
      </c>
      <c r="E1832" t="s">
        <v>715</v>
      </c>
      <c r="F1832" t="s">
        <v>88</v>
      </c>
      <c r="G1832" t="s">
        <v>88</v>
      </c>
      <c r="H1832" t="s">
        <v>92</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172</v>
      </c>
      <c r="B1833" t="s">
        <v>2178</v>
      </c>
      <c r="C1833" t="s">
        <v>88</v>
      </c>
      <c r="D1833" t="s">
        <v>88</v>
      </c>
      <c r="E1833" t="s">
        <v>791</v>
      </c>
      <c r="F1833" t="s">
        <v>88</v>
      </c>
      <c r="G1833" t="s">
        <v>88</v>
      </c>
      <c r="H1833" t="s">
        <v>92</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172</v>
      </c>
      <c r="B1834" t="s">
        <v>2179</v>
      </c>
      <c r="C1834" t="s">
        <v>88</v>
      </c>
      <c r="D1834" t="s">
        <v>88</v>
      </c>
      <c r="E1834" t="s">
        <v>780</v>
      </c>
      <c r="F1834" t="s">
        <v>88</v>
      </c>
      <c r="G1834" t="s">
        <v>88</v>
      </c>
      <c r="H1834" t="s">
        <v>92</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172</v>
      </c>
      <c r="B1835" t="s">
        <v>2180</v>
      </c>
      <c r="C1835" t="s">
        <v>88</v>
      </c>
      <c r="D1835" t="s">
        <v>88</v>
      </c>
      <c r="E1835" t="s">
        <v>715</v>
      </c>
      <c r="F1835" t="s">
        <v>88</v>
      </c>
      <c r="G1835" t="s">
        <v>88</v>
      </c>
      <c r="H1835" t="s">
        <v>92</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172</v>
      </c>
      <c r="B1836" t="s">
        <v>2181</v>
      </c>
      <c r="C1836" t="s">
        <v>88</v>
      </c>
      <c r="D1836" t="s">
        <v>88</v>
      </c>
      <c r="E1836" t="s">
        <v>673</v>
      </c>
      <c r="F1836" t="s">
        <v>88</v>
      </c>
      <c r="G1836" t="s">
        <v>88</v>
      </c>
      <c r="H1836" t="s">
        <v>92</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172</v>
      </c>
      <c r="B1837" t="s">
        <v>2182</v>
      </c>
      <c r="C1837" t="s">
        <v>88</v>
      </c>
      <c r="D1837" t="s">
        <v>2183</v>
      </c>
      <c r="E1837" t="s">
        <v>700</v>
      </c>
      <c r="F1837" t="s">
        <v>88</v>
      </c>
      <c r="G1837" t="s">
        <v>88</v>
      </c>
      <c r="H1837" t="s">
        <v>92</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172</v>
      </c>
      <c r="B1838" t="s">
        <v>2184</v>
      </c>
      <c r="C1838" t="s">
        <v>88</v>
      </c>
      <c r="D1838" t="s">
        <v>88</v>
      </c>
      <c r="E1838" t="s">
        <v>663</v>
      </c>
      <c r="F1838" t="s">
        <v>88</v>
      </c>
      <c r="G1838" t="s">
        <v>88</v>
      </c>
      <c r="H1838" t="s">
        <v>92</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172</v>
      </c>
      <c r="B1839" t="s">
        <v>1780</v>
      </c>
      <c r="C1839" t="s">
        <v>88</v>
      </c>
      <c r="D1839" t="s">
        <v>2155</v>
      </c>
      <c r="E1839" t="s">
        <v>791</v>
      </c>
      <c r="F1839" t="s">
        <v>88</v>
      </c>
      <c r="G1839" t="s">
        <v>88</v>
      </c>
      <c r="H1839" t="s">
        <v>92</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172</v>
      </c>
      <c r="B1840" t="s">
        <v>2185</v>
      </c>
      <c r="C1840" t="s">
        <v>88</v>
      </c>
      <c r="D1840" t="s">
        <v>2186</v>
      </c>
      <c r="E1840" t="s">
        <v>738</v>
      </c>
      <c r="F1840" t="s">
        <v>88</v>
      </c>
      <c r="G1840" t="s">
        <v>88</v>
      </c>
      <c r="H1840" t="s">
        <v>92</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172</v>
      </c>
      <c r="B1841" t="s">
        <v>2187</v>
      </c>
      <c r="C1841" t="s">
        <v>88</v>
      </c>
      <c r="D1841" t="s">
        <v>2161</v>
      </c>
      <c r="E1841" t="s">
        <v>893</v>
      </c>
      <c r="F1841" t="s">
        <v>88</v>
      </c>
      <c r="G1841" t="s">
        <v>88</v>
      </c>
      <c r="H1841" t="s">
        <v>92</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172</v>
      </c>
      <c r="B1842" t="s">
        <v>2156</v>
      </c>
      <c r="C1842" t="s">
        <v>88</v>
      </c>
      <c r="D1842" t="s">
        <v>2157</v>
      </c>
      <c r="E1842" t="s">
        <v>655</v>
      </c>
      <c r="F1842" t="s">
        <v>88</v>
      </c>
      <c r="G1842" t="s">
        <v>88</v>
      </c>
      <c r="H1842" t="s">
        <v>92</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172</v>
      </c>
      <c r="B1843" t="s">
        <v>2188</v>
      </c>
      <c r="C1843" t="s">
        <v>88</v>
      </c>
      <c r="D1843" t="s">
        <v>2161</v>
      </c>
      <c r="E1843" t="s">
        <v>760</v>
      </c>
      <c r="F1843" t="s">
        <v>88</v>
      </c>
      <c r="G1843" t="s">
        <v>88</v>
      </c>
      <c r="H1843" t="s">
        <v>92</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172</v>
      </c>
      <c r="B1844" t="s">
        <v>2189</v>
      </c>
      <c r="C1844" t="s">
        <v>88</v>
      </c>
      <c r="D1844" t="s">
        <v>2190</v>
      </c>
      <c r="E1844" t="s">
        <v>700</v>
      </c>
      <c r="F1844" t="s">
        <v>88</v>
      </c>
      <c r="G1844" t="s">
        <v>88</v>
      </c>
      <c r="H1844" t="s">
        <v>92</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172</v>
      </c>
      <c r="B1845" t="s">
        <v>2158</v>
      </c>
      <c r="C1845" t="s">
        <v>88</v>
      </c>
      <c r="D1845" t="s">
        <v>2159</v>
      </c>
      <c r="E1845" t="s">
        <v>700</v>
      </c>
      <c r="F1845" t="s">
        <v>88</v>
      </c>
      <c r="G1845" t="s">
        <v>88</v>
      </c>
      <c r="H1845" t="s">
        <v>92</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172</v>
      </c>
      <c r="B1846" t="s">
        <v>2160</v>
      </c>
      <c r="C1846" t="s">
        <v>88</v>
      </c>
      <c r="D1846" t="s">
        <v>2161</v>
      </c>
      <c r="E1846" t="s">
        <v>655</v>
      </c>
      <c r="F1846" t="s">
        <v>88</v>
      </c>
      <c r="G1846" t="s">
        <v>88</v>
      </c>
      <c r="H1846" t="s">
        <v>92</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172</v>
      </c>
      <c r="B1847" t="s">
        <v>2191</v>
      </c>
      <c r="C1847" t="s">
        <v>88</v>
      </c>
      <c r="D1847" t="s">
        <v>2190</v>
      </c>
      <c r="E1847" t="s">
        <v>655</v>
      </c>
      <c r="F1847" t="s">
        <v>88</v>
      </c>
      <c r="G1847" t="s">
        <v>88</v>
      </c>
      <c r="H1847" t="s">
        <v>92</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172</v>
      </c>
      <c r="B1848" t="s">
        <v>2192</v>
      </c>
      <c r="C1848" t="s">
        <v>88</v>
      </c>
      <c r="D1848" t="s">
        <v>88</v>
      </c>
      <c r="E1848" t="s">
        <v>2193</v>
      </c>
      <c r="F1848" t="s">
        <v>88</v>
      </c>
      <c r="G1848" t="s">
        <v>88</v>
      </c>
      <c r="H1848" t="s">
        <v>92</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172</v>
      </c>
      <c r="B1849" t="s">
        <v>2194</v>
      </c>
      <c r="C1849" t="s">
        <v>88</v>
      </c>
      <c r="D1849" t="s">
        <v>2157</v>
      </c>
      <c r="E1849" t="s">
        <v>655</v>
      </c>
      <c r="F1849" t="s">
        <v>88</v>
      </c>
      <c r="G1849" t="s">
        <v>88</v>
      </c>
      <c r="H1849" t="s">
        <v>92</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172</v>
      </c>
      <c r="B1850" t="s">
        <v>2195</v>
      </c>
      <c r="C1850" t="s">
        <v>88</v>
      </c>
      <c r="D1850" t="s">
        <v>88</v>
      </c>
      <c r="E1850" t="s">
        <v>820</v>
      </c>
      <c r="F1850" t="s">
        <v>88</v>
      </c>
      <c r="G1850" t="s">
        <v>88</v>
      </c>
      <c r="H1850" t="s">
        <v>92</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172</v>
      </c>
      <c r="B1851" t="s">
        <v>2196</v>
      </c>
      <c r="C1851" t="s">
        <v>88</v>
      </c>
      <c r="D1851" t="s">
        <v>2157</v>
      </c>
      <c r="E1851" t="s">
        <v>700</v>
      </c>
      <c r="F1851" t="s">
        <v>88</v>
      </c>
      <c r="G1851" t="s">
        <v>88</v>
      </c>
      <c r="H1851" t="s">
        <v>92</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172</v>
      </c>
      <c r="B1852" t="s">
        <v>2197</v>
      </c>
      <c r="C1852" t="s">
        <v>88</v>
      </c>
      <c r="D1852" t="s">
        <v>2159</v>
      </c>
      <c r="E1852" t="s">
        <v>655</v>
      </c>
      <c r="F1852" t="s">
        <v>88</v>
      </c>
      <c r="G1852" t="s">
        <v>88</v>
      </c>
      <c r="H1852" t="s">
        <v>92</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172</v>
      </c>
      <c r="B1853" t="s">
        <v>2162</v>
      </c>
      <c r="C1853" t="s">
        <v>88</v>
      </c>
      <c r="D1853" t="s">
        <v>2163</v>
      </c>
      <c r="E1853" t="s">
        <v>700</v>
      </c>
      <c r="F1853" t="s">
        <v>88</v>
      </c>
      <c r="G1853" t="s">
        <v>88</v>
      </c>
      <c r="H1853" t="s">
        <v>92</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172</v>
      </c>
      <c r="B1854" t="s">
        <v>1667</v>
      </c>
      <c r="C1854" t="s">
        <v>88</v>
      </c>
      <c r="D1854" t="s">
        <v>2198</v>
      </c>
      <c r="E1854" t="s">
        <v>692</v>
      </c>
      <c r="F1854" t="s">
        <v>88</v>
      </c>
      <c r="G1854" t="s">
        <v>88</v>
      </c>
      <c r="H1854" t="s">
        <v>92</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172</v>
      </c>
      <c r="B1855" t="s">
        <v>2199</v>
      </c>
      <c r="C1855" t="s">
        <v>88</v>
      </c>
      <c r="D1855" t="s">
        <v>2200</v>
      </c>
      <c r="E1855" t="s">
        <v>663</v>
      </c>
      <c r="F1855" t="s">
        <v>88</v>
      </c>
      <c r="G1855" t="s">
        <v>88</v>
      </c>
      <c r="H1855" t="s">
        <v>92</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172</v>
      </c>
      <c r="B1856" t="s">
        <v>2201</v>
      </c>
      <c r="C1856" t="s">
        <v>88</v>
      </c>
      <c r="D1856" t="s">
        <v>2200</v>
      </c>
      <c r="E1856" t="s">
        <v>780</v>
      </c>
      <c r="F1856" t="s">
        <v>88</v>
      </c>
      <c r="G1856" t="s">
        <v>88</v>
      </c>
      <c r="H1856" t="s">
        <v>92</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172</v>
      </c>
      <c r="B1857" t="s">
        <v>2202</v>
      </c>
      <c r="C1857" t="s">
        <v>88</v>
      </c>
      <c r="D1857" t="s">
        <v>2200</v>
      </c>
      <c r="E1857" t="s">
        <v>780</v>
      </c>
      <c r="F1857" t="s">
        <v>88</v>
      </c>
      <c r="G1857" t="s">
        <v>88</v>
      </c>
      <c r="H1857" t="s">
        <v>92</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172</v>
      </c>
      <c r="B1858" t="s">
        <v>2203</v>
      </c>
      <c r="C1858" t="s">
        <v>88</v>
      </c>
      <c r="D1858" t="s">
        <v>2200</v>
      </c>
      <c r="E1858" t="s">
        <v>663</v>
      </c>
      <c r="F1858" t="s">
        <v>88</v>
      </c>
      <c r="G1858" t="s">
        <v>88</v>
      </c>
      <c r="H1858" t="s">
        <v>92</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172</v>
      </c>
      <c r="B1859" t="s">
        <v>2204</v>
      </c>
      <c r="C1859" t="s">
        <v>88</v>
      </c>
      <c r="D1859" t="s">
        <v>2200</v>
      </c>
      <c r="E1859" t="s">
        <v>663</v>
      </c>
      <c r="F1859" t="s">
        <v>88</v>
      </c>
      <c r="G1859" t="s">
        <v>88</v>
      </c>
      <c r="H1859" t="s">
        <v>92</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172</v>
      </c>
      <c r="B1860" t="s">
        <v>2205</v>
      </c>
      <c r="C1860" t="s">
        <v>88</v>
      </c>
      <c r="D1860" t="s">
        <v>2200</v>
      </c>
      <c r="E1860" t="s">
        <v>663</v>
      </c>
      <c r="F1860" t="s">
        <v>88</v>
      </c>
      <c r="G1860" t="s">
        <v>88</v>
      </c>
      <c r="H1860" t="s">
        <v>92</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172</v>
      </c>
      <c r="B1861" t="s">
        <v>2206</v>
      </c>
      <c r="C1861" t="s">
        <v>88</v>
      </c>
      <c r="D1861" t="s">
        <v>88</v>
      </c>
      <c r="E1861" t="s">
        <v>791</v>
      </c>
      <c r="F1861" t="s">
        <v>88</v>
      </c>
      <c r="G1861" t="s">
        <v>88</v>
      </c>
      <c r="H1861" t="s">
        <v>92</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172</v>
      </c>
      <c r="B1862" t="s">
        <v>2013</v>
      </c>
      <c r="C1862" t="s">
        <v>88</v>
      </c>
      <c r="D1862" t="s">
        <v>88</v>
      </c>
      <c r="E1862" t="s">
        <v>715</v>
      </c>
      <c r="F1862" t="s">
        <v>88</v>
      </c>
      <c r="G1862" t="s">
        <v>88</v>
      </c>
      <c r="H1862" t="s">
        <v>92</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172</v>
      </c>
      <c r="B1863" t="s">
        <v>2207</v>
      </c>
      <c r="C1863" t="s">
        <v>88</v>
      </c>
      <c r="D1863" t="s">
        <v>88</v>
      </c>
      <c r="E1863" t="s">
        <v>711</v>
      </c>
      <c r="F1863" t="s">
        <v>88</v>
      </c>
      <c r="G1863" t="s">
        <v>88</v>
      </c>
      <c r="H1863" t="s">
        <v>92</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172</v>
      </c>
      <c r="B1864" t="s">
        <v>2208</v>
      </c>
      <c r="C1864" t="s">
        <v>88</v>
      </c>
      <c r="D1864" t="s">
        <v>88</v>
      </c>
      <c r="E1864" t="s">
        <v>791</v>
      </c>
      <c r="F1864" t="s">
        <v>88</v>
      </c>
      <c r="G1864" t="s">
        <v>88</v>
      </c>
      <c r="H1864" t="s">
        <v>92</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172</v>
      </c>
      <c r="B1865" t="s">
        <v>610</v>
      </c>
      <c r="C1865" t="s">
        <v>88</v>
      </c>
      <c r="D1865" t="s">
        <v>2209</v>
      </c>
      <c r="E1865" t="s">
        <v>723</v>
      </c>
      <c r="F1865" t="s">
        <v>88</v>
      </c>
      <c r="G1865" t="s">
        <v>88</v>
      </c>
      <c r="H1865" t="s">
        <v>92</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172</v>
      </c>
      <c r="B1866" t="s">
        <v>2210</v>
      </c>
      <c r="C1866" t="s">
        <v>88</v>
      </c>
      <c r="D1866" t="s">
        <v>2209</v>
      </c>
      <c r="E1866" t="s">
        <v>723</v>
      </c>
      <c r="F1866" t="s">
        <v>88</v>
      </c>
      <c r="G1866" t="s">
        <v>88</v>
      </c>
      <c r="H1866" t="s">
        <v>92</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172</v>
      </c>
      <c r="B1867" t="s">
        <v>1322</v>
      </c>
      <c r="C1867" t="s">
        <v>88</v>
      </c>
      <c r="D1867" t="s">
        <v>2209</v>
      </c>
      <c r="E1867" t="s">
        <v>723</v>
      </c>
      <c r="F1867" t="s">
        <v>88</v>
      </c>
      <c r="G1867" t="s">
        <v>88</v>
      </c>
      <c r="H1867" t="s">
        <v>92</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172</v>
      </c>
      <c r="B1868" t="s">
        <v>106</v>
      </c>
      <c r="C1868" t="s">
        <v>88</v>
      </c>
      <c r="D1868" t="s">
        <v>2211</v>
      </c>
      <c r="E1868" t="s">
        <v>663</v>
      </c>
      <c r="F1868" t="s">
        <v>88</v>
      </c>
      <c r="G1868" t="s">
        <v>88</v>
      </c>
      <c r="H1868" t="s">
        <v>92</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172</v>
      </c>
      <c r="B1869" t="s">
        <v>2212</v>
      </c>
      <c r="C1869" t="s">
        <v>88</v>
      </c>
      <c r="D1869" t="s">
        <v>2213</v>
      </c>
      <c r="E1869" t="s">
        <v>702</v>
      </c>
      <c r="F1869" t="s">
        <v>88</v>
      </c>
      <c r="G1869" t="s">
        <v>88</v>
      </c>
      <c r="H1869" t="s">
        <v>92</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172</v>
      </c>
      <c r="B1870" t="s">
        <v>701</v>
      </c>
      <c r="C1870" t="s">
        <v>88</v>
      </c>
      <c r="D1870" t="s">
        <v>88</v>
      </c>
      <c r="E1870" t="s">
        <v>702</v>
      </c>
      <c r="F1870" t="s">
        <v>88</v>
      </c>
      <c r="G1870" t="s">
        <v>88</v>
      </c>
      <c r="H1870" t="s">
        <v>92</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172</v>
      </c>
      <c r="B1871" t="s">
        <v>623</v>
      </c>
      <c r="C1871" t="s">
        <v>88</v>
      </c>
      <c r="D1871" t="s">
        <v>88</v>
      </c>
      <c r="E1871" t="s">
        <v>713</v>
      </c>
      <c r="F1871" t="s">
        <v>88</v>
      </c>
      <c r="G1871" t="s">
        <v>88</v>
      </c>
      <c r="H1871" t="s">
        <v>92</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172</v>
      </c>
      <c r="B1872" t="s">
        <v>2214</v>
      </c>
      <c r="C1872" t="s">
        <v>88</v>
      </c>
      <c r="D1872" t="s">
        <v>88</v>
      </c>
      <c r="E1872" t="s">
        <v>1171</v>
      </c>
      <c r="F1872" t="s">
        <v>88</v>
      </c>
      <c r="G1872" t="s">
        <v>88</v>
      </c>
      <c r="H1872" t="s">
        <v>92</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172</v>
      </c>
      <c r="B1873" t="s">
        <v>2215</v>
      </c>
      <c r="C1873" t="s">
        <v>88</v>
      </c>
      <c r="D1873" t="s">
        <v>88</v>
      </c>
      <c r="E1873" t="s">
        <v>825</v>
      </c>
      <c r="F1873" t="s">
        <v>88</v>
      </c>
      <c r="G1873" t="s">
        <v>88</v>
      </c>
      <c r="H1873" t="s">
        <v>92</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172</v>
      </c>
      <c r="B1874" t="s">
        <v>2216</v>
      </c>
      <c r="C1874" t="s">
        <v>88</v>
      </c>
      <c r="D1874" t="s">
        <v>88</v>
      </c>
      <c r="E1874" t="s">
        <v>844</v>
      </c>
      <c r="F1874" t="s">
        <v>88</v>
      </c>
      <c r="G1874" t="s">
        <v>88</v>
      </c>
      <c r="H1874" t="s">
        <v>92</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172</v>
      </c>
      <c r="B1875" t="s">
        <v>2217</v>
      </c>
      <c r="C1875" t="s">
        <v>88</v>
      </c>
      <c r="D1875" t="s">
        <v>88</v>
      </c>
      <c r="E1875" t="s">
        <v>812</v>
      </c>
      <c r="F1875" t="s">
        <v>88</v>
      </c>
      <c r="G1875" t="s">
        <v>88</v>
      </c>
      <c r="H1875" t="s">
        <v>92</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172</v>
      </c>
      <c r="B1876" t="s">
        <v>2218</v>
      </c>
      <c r="C1876" t="s">
        <v>88</v>
      </c>
      <c r="D1876" t="s">
        <v>88</v>
      </c>
      <c r="E1876" t="s">
        <v>844</v>
      </c>
      <c r="F1876" t="s">
        <v>88</v>
      </c>
      <c r="G1876" t="s">
        <v>88</v>
      </c>
      <c r="H1876" t="s">
        <v>92</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172</v>
      </c>
      <c r="B1877" t="s">
        <v>2219</v>
      </c>
      <c r="C1877" t="s">
        <v>88</v>
      </c>
      <c r="D1877" t="s">
        <v>88</v>
      </c>
      <c r="E1877" t="s">
        <v>1171</v>
      </c>
      <c r="F1877" t="s">
        <v>88</v>
      </c>
      <c r="G1877" t="s">
        <v>88</v>
      </c>
      <c r="H1877" t="s">
        <v>92</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172</v>
      </c>
      <c r="B1878" t="s">
        <v>2220</v>
      </c>
      <c r="C1878" t="s">
        <v>88</v>
      </c>
      <c r="D1878" t="s">
        <v>88</v>
      </c>
      <c r="E1878" t="s">
        <v>1171</v>
      </c>
      <c r="F1878" t="s">
        <v>88</v>
      </c>
      <c r="G1878" t="s">
        <v>88</v>
      </c>
      <c r="H1878" t="s">
        <v>92</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172</v>
      </c>
      <c r="B1879" t="s">
        <v>2221</v>
      </c>
      <c r="C1879" t="s">
        <v>88</v>
      </c>
      <c r="D1879" t="s">
        <v>88</v>
      </c>
      <c r="E1879" t="s">
        <v>1714</v>
      </c>
      <c r="F1879" t="s">
        <v>88</v>
      </c>
      <c r="G1879" t="s">
        <v>88</v>
      </c>
      <c r="H1879" t="s">
        <v>92</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175</v>
      </c>
      <c r="B1880" t="s">
        <v>2222</v>
      </c>
      <c r="C1880" t="s">
        <v>88</v>
      </c>
      <c r="D1880" t="s">
        <v>2223</v>
      </c>
      <c r="E1880" t="s">
        <v>638</v>
      </c>
      <c r="F1880" t="s">
        <v>88</v>
      </c>
      <c r="G1880" t="s">
        <v>88</v>
      </c>
      <c r="H1880" t="s">
        <v>92</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175</v>
      </c>
      <c r="B1881" t="s">
        <v>2224</v>
      </c>
      <c r="C1881" t="s">
        <v>88</v>
      </c>
      <c r="D1881" t="s">
        <v>2225</v>
      </c>
      <c r="E1881" t="s">
        <v>692</v>
      </c>
      <c r="F1881" t="s">
        <v>88</v>
      </c>
      <c r="G1881" t="s">
        <v>88</v>
      </c>
      <c r="H1881" t="s">
        <v>92</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175</v>
      </c>
      <c r="B1882" t="s">
        <v>2226</v>
      </c>
      <c r="C1882" t="s">
        <v>88</v>
      </c>
      <c r="D1882" t="s">
        <v>88</v>
      </c>
      <c r="E1882" t="s">
        <v>791</v>
      </c>
      <c r="F1882" t="s">
        <v>88</v>
      </c>
      <c r="G1882" t="s">
        <v>88</v>
      </c>
      <c r="H1882" t="s">
        <v>92</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175</v>
      </c>
      <c r="B1883" t="s">
        <v>2227</v>
      </c>
      <c r="C1883" t="s">
        <v>88</v>
      </c>
      <c r="D1883" t="s">
        <v>2228</v>
      </c>
      <c r="E1883" t="s">
        <v>1006</v>
      </c>
      <c r="F1883" t="s">
        <v>88</v>
      </c>
      <c r="G1883" t="s">
        <v>88</v>
      </c>
      <c r="H1883" t="s">
        <v>92</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175</v>
      </c>
      <c r="B1884" t="s">
        <v>696</v>
      </c>
      <c r="C1884" t="s">
        <v>88</v>
      </c>
      <c r="D1884" t="s">
        <v>2229</v>
      </c>
      <c r="E1884" t="s">
        <v>762</v>
      </c>
      <c r="F1884" t="s">
        <v>88</v>
      </c>
      <c r="G1884" t="s">
        <v>88</v>
      </c>
      <c r="H1884" t="s">
        <v>92</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175</v>
      </c>
      <c r="B1885" t="s">
        <v>2230</v>
      </c>
      <c r="C1885" t="s">
        <v>88</v>
      </c>
      <c r="D1885" t="s">
        <v>2231</v>
      </c>
      <c r="E1885" t="s">
        <v>2232</v>
      </c>
      <c r="F1885" t="s">
        <v>88</v>
      </c>
      <c r="G1885" t="s">
        <v>88</v>
      </c>
      <c r="H1885" t="s">
        <v>92</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175</v>
      </c>
      <c r="B1886" t="s">
        <v>2233</v>
      </c>
      <c r="C1886" t="s">
        <v>88</v>
      </c>
      <c r="D1886" t="s">
        <v>2234</v>
      </c>
      <c r="E1886" t="s">
        <v>2235</v>
      </c>
      <c r="F1886" t="s">
        <v>88</v>
      </c>
      <c r="G1886" t="s">
        <v>88</v>
      </c>
      <c r="H1886" t="s">
        <v>92</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175</v>
      </c>
      <c r="B1887" t="s">
        <v>2236</v>
      </c>
      <c r="C1887" t="s">
        <v>88</v>
      </c>
      <c r="D1887" t="s">
        <v>2237</v>
      </c>
      <c r="E1887" t="s">
        <v>588</v>
      </c>
      <c r="F1887" t="s">
        <v>88</v>
      </c>
      <c r="G1887" t="s">
        <v>88</v>
      </c>
      <c r="H1887" t="s">
        <v>92</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175</v>
      </c>
      <c r="B1888" t="s">
        <v>2222</v>
      </c>
      <c r="C1888" t="s">
        <v>88</v>
      </c>
      <c r="D1888" t="s">
        <v>2223</v>
      </c>
      <c r="E1888" t="s">
        <v>638</v>
      </c>
      <c r="F1888" t="s">
        <v>88</v>
      </c>
      <c r="G1888" t="s">
        <v>88</v>
      </c>
      <c r="H1888" t="s">
        <v>92</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175</v>
      </c>
      <c r="B1889" t="s">
        <v>2238</v>
      </c>
      <c r="C1889" t="s">
        <v>88</v>
      </c>
      <c r="D1889" t="s">
        <v>2239</v>
      </c>
      <c r="E1889" t="s">
        <v>638</v>
      </c>
      <c r="F1889" t="s">
        <v>88</v>
      </c>
      <c r="G1889" t="s">
        <v>88</v>
      </c>
      <c r="H1889" t="s">
        <v>92</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175</v>
      </c>
      <c r="B1890" t="s">
        <v>1080</v>
      </c>
      <c r="C1890" t="s">
        <v>88</v>
      </c>
      <c r="D1890" t="s">
        <v>88</v>
      </c>
      <c r="E1890" t="s">
        <v>748</v>
      </c>
      <c r="F1890" t="s">
        <v>88</v>
      </c>
      <c r="G1890" t="s">
        <v>88</v>
      </c>
      <c r="H1890" t="s">
        <v>92</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175</v>
      </c>
      <c r="B1891" t="s">
        <v>1147</v>
      </c>
      <c r="C1891" t="s">
        <v>88</v>
      </c>
      <c r="D1891" t="s">
        <v>88</v>
      </c>
      <c r="E1891" t="s">
        <v>748</v>
      </c>
      <c r="F1891" t="s">
        <v>88</v>
      </c>
      <c r="G1891" t="s">
        <v>88</v>
      </c>
      <c r="H1891" t="s">
        <v>92</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175</v>
      </c>
      <c r="B1892" t="s">
        <v>1398</v>
      </c>
      <c r="C1892" t="s">
        <v>88</v>
      </c>
      <c r="D1892" t="s">
        <v>88</v>
      </c>
      <c r="E1892" t="s">
        <v>663</v>
      </c>
      <c r="F1892" t="s">
        <v>88</v>
      </c>
      <c r="G1892" t="s">
        <v>88</v>
      </c>
      <c r="H1892" t="s">
        <v>92</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175</v>
      </c>
      <c r="B1893" t="s">
        <v>2240</v>
      </c>
      <c r="C1893" t="s">
        <v>88</v>
      </c>
      <c r="D1893" t="s">
        <v>88</v>
      </c>
      <c r="E1893" t="s">
        <v>717</v>
      </c>
      <c r="F1893" t="s">
        <v>88</v>
      </c>
      <c r="G1893" t="s">
        <v>88</v>
      </c>
      <c r="H1893" t="s">
        <v>92</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175</v>
      </c>
      <c r="B1894" t="s">
        <v>2241</v>
      </c>
      <c r="C1894" t="s">
        <v>88</v>
      </c>
      <c r="D1894" t="s">
        <v>88</v>
      </c>
      <c r="E1894" t="s">
        <v>700</v>
      </c>
      <c r="F1894" t="s">
        <v>88</v>
      </c>
      <c r="G1894" t="s">
        <v>88</v>
      </c>
      <c r="H1894" t="s">
        <v>92</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175</v>
      </c>
      <c r="B1895" t="s">
        <v>2242</v>
      </c>
      <c r="C1895" t="s">
        <v>88</v>
      </c>
      <c r="D1895" t="s">
        <v>88</v>
      </c>
      <c r="E1895" t="s">
        <v>673</v>
      </c>
      <c r="F1895" t="s">
        <v>88</v>
      </c>
      <c r="G1895" t="s">
        <v>88</v>
      </c>
      <c r="H1895" t="s">
        <v>92</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175</v>
      </c>
      <c r="B1896" t="s">
        <v>2243</v>
      </c>
      <c r="C1896" t="s">
        <v>88</v>
      </c>
      <c r="D1896" t="s">
        <v>88</v>
      </c>
      <c r="E1896" t="s">
        <v>700</v>
      </c>
      <c r="F1896" t="s">
        <v>88</v>
      </c>
      <c r="G1896" t="s">
        <v>88</v>
      </c>
      <c r="H1896" t="s">
        <v>92</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175</v>
      </c>
      <c r="B1897" t="s">
        <v>2226</v>
      </c>
      <c r="C1897" t="s">
        <v>88</v>
      </c>
      <c r="D1897" t="s">
        <v>88</v>
      </c>
      <c r="E1897" t="s">
        <v>791</v>
      </c>
      <c r="F1897" t="s">
        <v>88</v>
      </c>
      <c r="G1897" t="s">
        <v>88</v>
      </c>
      <c r="H1897" t="s">
        <v>92</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175</v>
      </c>
      <c r="B1898" t="s">
        <v>2244</v>
      </c>
      <c r="C1898" t="s">
        <v>88</v>
      </c>
      <c r="D1898" t="s">
        <v>2245</v>
      </c>
      <c r="E1898" t="s">
        <v>655</v>
      </c>
      <c r="F1898" t="s">
        <v>88</v>
      </c>
      <c r="G1898" t="s">
        <v>88</v>
      </c>
      <c r="H1898" t="s">
        <v>92</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175</v>
      </c>
      <c r="B1899" t="s">
        <v>1272</v>
      </c>
      <c r="C1899" t="s">
        <v>88</v>
      </c>
      <c r="D1899" t="s">
        <v>2245</v>
      </c>
      <c r="E1899" t="s">
        <v>883</v>
      </c>
      <c r="F1899" t="s">
        <v>88</v>
      </c>
      <c r="G1899" t="s">
        <v>88</v>
      </c>
      <c r="H1899" t="s">
        <v>92</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175</v>
      </c>
      <c r="B1900" t="s">
        <v>696</v>
      </c>
      <c r="C1900" t="s">
        <v>88</v>
      </c>
      <c r="D1900" t="s">
        <v>2229</v>
      </c>
      <c r="E1900" t="s">
        <v>762</v>
      </c>
      <c r="F1900" t="s">
        <v>88</v>
      </c>
      <c r="G1900" t="s">
        <v>88</v>
      </c>
      <c r="H1900" t="s">
        <v>92</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175</v>
      </c>
      <c r="B1901" t="s">
        <v>2246</v>
      </c>
      <c r="C1901" t="s">
        <v>88</v>
      </c>
      <c r="D1901" t="s">
        <v>2245</v>
      </c>
      <c r="E1901" t="s">
        <v>700</v>
      </c>
      <c r="F1901" t="s">
        <v>88</v>
      </c>
      <c r="G1901" t="s">
        <v>88</v>
      </c>
      <c r="H1901" t="s">
        <v>92</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175</v>
      </c>
      <c r="B1902" t="s">
        <v>693</v>
      </c>
      <c r="C1902" t="s">
        <v>88</v>
      </c>
      <c r="D1902" t="s">
        <v>2245</v>
      </c>
      <c r="E1902" t="s">
        <v>673</v>
      </c>
      <c r="F1902" t="s">
        <v>88</v>
      </c>
      <c r="G1902" t="s">
        <v>88</v>
      </c>
      <c r="H1902" t="s">
        <v>92</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175</v>
      </c>
      <c r="B1903" t="s">
        <v>1266</v>
      </c>
      <c r="C1903" t="s">
        <v>88</v>
      </c>
      <c r="D1903" t="s">
        <v>2229</v>
      </c>
      <c r="E1903" t="s">
        <v>1241</v>
      </c>
      <c r="F1903" t="s">
        <v>88</v>
      </c>
      <c r="G1903" t="s">
        <v>88</v>
      </c>
      <c r="H1903" t="s">
        <v>92</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175</v>
      </c>
      <c r="B1904" t="s">
        <v>2247</v>
      </c>
      <c r="C1904" t="s">
        <v>88</v>
      </c>
      <c r="D1904" t="s">
        <v>2248</v>
      </c>
      <c r="E1904" t="s">
        <v>1241</v>
      </c>
      <c r="F1904" t="s">
        <v>88</v>
      </c>
      <c r="G1904" t="s">
        <v>88</v>
      </c>
      <c r="H1904" t="s">
        <v>92</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175</v>
      </c>
      <c r="B1905" t="s">
        <v>2249</v>
      </c>
      <c r="C1905" t="s">
        <v>88</v>
      </c>
      <c r="D1905" t="s">
        <v>2250</v>
      </c>
      <c r="E1905" t="s">
        <v>889</v>
      </c>
      <c r="F1905" t="s">
        <v>88</v>
      </c>
      <c r="G1905" t="s">
        <v>88</v>
      </c>
      <c r="H1905" t="s">
        <v>92</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175</v>
      </c>
      <c r="B1906" t="s">
        <v>2251</v>
      </c>
      <c r="C1906" t="s">
        <v>88</v>
      </c>
      <c r="D1906" t="s">
        <v>2252</v>
      </c>
      <c r="E1906" t="s">
        <v>655</v>
      </c>
      <c r="F1906" t="s">
        <v>88</v>
      </c>
      <c r="G1906" t="s">
        <v>88</v>
      </c>
      <c r="H1906" t="s">
        <v>92</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175</v>
      </c>
      <c r="B1907" t="s">
        <v>2253</v>
      </c>
      <c r="C1907" t="s">
        <v>88</v>
      </c>
      <c r="D1907" t="s">
        <v>2254</v>
      </c>
      <c r="E1907" t="s">
        <v>760</v>
      </c>
      <c r="F1907" t="s">
        <v>88</v>
      </c>
      <c r="G1907" t="s">
        <v>88</v>
      </c>
      <c r="H1907" t="s">
        <v>92</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175</v>
      </c>
      <c r="B1908" t="s">
        <v>2255</v>
      </c>
      <c r="C1908" t="s">
        <v>88</v>
      </c>
      <c r="D1908" t="s">
        <v>2256</v>
      </c>
      <c r="E1908" t="s">
        <v>820</v>
      </c>
      <c r="F1908" t="s">
        <v>88</v>
      </c>
      <c r="G1908" t="s">
        <v>88</v>
      </c>
      <c r="H1908" t="s">
        <v>92</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175</v>
      </c>
      <c r="B1909" t="s">
        <v>2179</v>
      </c>
      <c r="C1909" t="s">
        <v>88</v>
      </c>
      <c r="D1909" t="s">
        <v>2257</v>
      </c>
      <c r="E1909" t="s">
        <v>700</v>
      </c>
      <c r="F1909" t="s">
        <v>88</v>
      </c>
      <c r="G1909" t="s">
        <v>88</v>
      </c>
      <c r="H1909" t="s">
        <v>92</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175</v>
      </c>
      <c r="B1910" t="s">
        <v>2176</v>
      </c>
      <c r="C1910" t="s">
        <v>88</v>
      </c>
      <c r="D1910" t="s">
        <v>2257</v>
      </c>
      <c r="E1910" t="s">
        <v>1241</v>
      </c>
      <c r="F1910" t="s">
        <v>88</v>
      </c>
      <c r="G1910" t="s">
        <v>88</v>
      </c>
      <c r="H1910" t="s">
        <v>92</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175</v>
      </c>
      <c r="B1911" t="s">
        <v>2177</v>
      </c>
      <c r="C1911" t="s">
        <v>88</v>
      </c>
      <c r="D1911" t="s">
        <v>2257</v>
      </c>
      <c r="E1911" t="s">
        <v>717</v>
      </c>
      <c r="F1911" t="s">
        <v>88</v>
      </c>
      <c r="G1911" t="s">
        <v>88</v>
      </c>
      <c r="H1911" t="s">
        <v>92</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175</v>
      </c>
      <c r="B1912" t="s">
        <v>2258</v>
      </c>
      <c r="C1912" t="s">
        <v>88</v>
      </c>
      <c r="D1912" t="s">
        <v>2259</v>
      </c>
      <c r="E1912" t="s">
        <v>676</v>
      </c>
      <c r="F1912" t="s">
        <v>88</v>
      </c>
      <c r="G1912" t="s">
        <v>88</v>
      </c>
      <c r="H1912" t="s">
        <v>92</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175</v>
      </c>
      <c r="B1913" t="s">
        <v>2260</v>
      </c>
      <c r="C1913" t="s">
        <v>88</v>
      </c>
      <c r="D1913" t="s">
        <v>88</v>
      </c>
      <c r="E1913" t="s">
        <v>1714</v>
      </c>
      <c r="F1913" t="s">
        <v>88</v>
      </c>
      <c r="G1913" t="s">
        <v>88</v>
      </c>
      <c r="H1913" t="s">
        <v>92</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175</v>
      </c>
      <c r="B1914" t="s">
        <v>768</v>
      </c>
      <c r="C1914" t="s">
        <v>88</v>
      </c>
      <c r="D1914" t="s">
        <v>2259</v>
      </c>
      <c r="E1914" t="s">
        <v>844</v>
      </c>
      <c r="F1914" t="s">
        <v>88</v>
      </c>
      <c r="G1914" t="s">
        <v>88</v>
      </c>
      <c r="H1914" t="s">
        <v>92</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175</v>
      </c>
      <c r="B1915" t="s">
        <v>2261</v>
      </c>
      <c r="C1915" t="s">
        <v>88</v>
      </c>
      <c r="D1915" t="s">
        <v>2262</v>
      </c>
      <c r="E1915" t="s">
        <v>1714</v>
      </c>
      <c r="F1915" t="s">
        <v>88</v>
      </c>
      <c r="G1915" t="s">
        <v>88</v>
      </c>
      <c r="H1915" t="s">
        <v>92</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175</v>
      </c>
      <c r="B1916" t="s">
        <v>2263</v>
      </c>
      <c r="C1916" t="s">
        <v>88</v>
      </c>
      <c r="D1916" t="s">
        <v>2264</v>
      </c>
      <c r="E1916" t="s">
        <v>844</v>
      </c>
      <c r="F1916" t="s">
        <v>88</v>
      </c>
      <c r="G1916" t="s">
        <v>88</v>
      </c>
      <c r="H1916" t="s">
        <v>92</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175</v>
      </c>
      <c r="B1917" t="s">
        <v>2265</v>
      </c>
      <c r="C1917" t="s">
        <v>88</v>
      </c>
      <c r="D1917" t="s">
        <v>2266</v>
      </c>
      <c r="E1917" t="s">
        <v>844</v>
      </c>
      <c r="F1917" t="s">
        <v>88</v>
      </c>
      <c r="G1917" t="s">
        <v>88</v>
      </c>
      <c r="H1917" t="s">
        <v>92</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175</v>
      </c>
      <c r="B1918" t="s">
        <v>2267</v>
      </c>
      <c r="C1918" t="s">
        <v>88</v>
      </c>
      <c r="D1918" t="s">
        <v>2268</v>
      </c>
      <c r="E1918" t="s">
        <v>844</v>
      </c>
      <c r="F1918" t="s">
        <v>88</v>
      </c>
      <c r="G1918" t="s">
        <v>88</v>
      </c>
      <c r="H1918" t="s">
        <v>92</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175</v>
      </c>
      <c r="B1919" t="s">
        <v>2269</v>
      </c>
      <c r="C1919" t="s">
        <v>88</v>
      </c>
      <c r="D1919" t="s">
        <v>2270</v>
      </c>
      <c r="E1919" t="s">
        <v>844</v>
      </c>
      <c r="F1919" t="s">
        <v>88</v>
      </c>
      <c r="G1919" t="s">
        <v>88</v>
      </c>
      <c r="H1919" t="s">
        <v>92</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175</v>
      </c>
      <c r="B1920" t="s">
        <v>2271</v>
      </c>
      <c r="C1920" t="s">
        <v>88</v>
      </c>
      <c r="D1920" t="s">
        <v>2272</v>
      </c>
      <c r="E1920" t="s">
        <v>844</v>
      </c>
      <c r="F1920" t="s">
        <v>88</v>
      </c>
      <c r="G1920" t="s">
        <v>88</v>
      </c>
      <c r="H1920" t="s">
        <v>92</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175</v>
      </c>
      <c r="B1921" t="s">
        <v>2273</v>
      </c>
      <c r="C1921" t="s">
        <v>88</v>
      </c>
      <c r="D1921" t="s">
        <v>2274</v>
      </c>
      <c r="E1921" t="s">
        <v>844</v>
      </c>
      <c r="F1921" t="s">
        <v>88</v>
      </c>
      <c r="G1921" t="s">
        <v>88</v>
      </c>
      <c r="H1921" t="s">
        <v>92</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175</v>
      </c>
      <c r="B1922" t="s">
        <v>2275</v>
      </c>
      <c r="C1922" t="s">
        <v>88</v>
      </c>
      <c r="D1922" t="s">
        <v>2276</v>
      </c>
      <c r="E1922" t="s">
        <v>844</v>
      </c>
      <c r="F1922" t="s">
        <v>88</v>
      </c>
      <c r="G1922" t="s">
        <v>88</v>
      </c>
      <c r="H1922" t="s">
        <v>92</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175</v>
      </c>
      <c r="B1923" t="s">
        <v>2277</v>
      </c>
      <c r="C1923" t="s">
        <v>88</v>
      </c>
      <c r="D1923" t="s">
        <v>2276</v>
      </c>
      <c r="E1923" t="s">
        <v>844</v>
      </c>
      <c r="F1923" t="s">
        <v>88</v>
      </c>
      <c r="G1923" t="s">
        <v>88</v>
      </c>
      <c r="H1923" t="s">
        <v>92</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175</v>
      </c>
      <c r="B1924" t="s">
        <v>2278</v>
      </c>
      <c r="C1924" t="s">
        <v>88</v>
      </c>
      <c r="D1924" t="s">
        <v>2279</v>
      </c>
      <c r="E1924" t="s">
        <v>844</v>
      </c>
      <c r="F1924" t="s">
        <v>88</v>
      </c>
      <c r="G1924" t="s">
        <v>88</v>
      </c>
      <c r="H1924" t="s">
        <v>92</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175</v>
      </c>
      <c r="B1925" t="s">
        <v>2280</v>
      </c>
      <c r="C1925" t="s">
        <v>88</v>
      </c>
      <c r="D1925" t="s">
        <v>2281</v>
      </c>
      <c r="E1925" t="s">
        <v>836</v>
      </c>
      <c r="F1925" t="s">
        <v>88</v>
      </c>
      <c r="G1925" t="s">
        <v>88</v>
      </c>
      <c r="H1925" t="s">
        <v>92</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175</v>
      </c>
      <c r="B1926" t="s">
        <v>2282</v>
      </c>
      <c r="C1926" t="s">
        <v>88</v>
      </c>
      <c r="D1926" t="s">
        <v>88</v>
      </c>
      <c r="E1926" t="s">
        <v>836</v>
      </c>
      <c r="F1926" t="s">
        <v>88</v>
      </c>
      <c r="G1926" t="s">
        <v>88</v>
      </c>
      <c r="H1926" t="s">
        <v>92</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175</v>
      </c>
      <c r="B1927" t="s">
        <v>2283</v>
      </c>
      <c r="C1927" t="s">
        <v>88</v>
      </c>
      <c r="D1927" t="s">
        <v>2284</v>
      </c>
      <c r="E1927" t="s">
        <v>844</v>
      </c>
      <c r="F1927" t="s">
        <v>88</v>
      </c>
      <c r="G1927" t="s">
        <v>88</v>
      </c>
      <c r="H1927" t="s">
        <v>92</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175</v>
      </c>
      <c r="B1928" t="s">
        <v>2285</v>
      </c>
      <c r="C1928" t="s">
        <v>88</v>
      </c>
      <c r="D1928" t="s">
        <v>2286</v>
      </c>
      <c r="E1928" t="s">
        <v>676</v>
      </c>
      <c r="F1928" t="s">
        <v>88</v>
      </c>
      <c r="G1928" t="s">
        <v>88</v>
      </c>
      <c r="H1928" t="s">
        <v>92</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175</v>
      </c>
      <c r="B1929" t="s">
        <v>2287</v>
      </c>
      <c r="C1929" t="s">
        <v>88</v>
      </c>
      <c r="D1929" t="s">
        <v>2288</v>
      </c>
      <c r="E1929" t="s">
        <v>2289</v>
      </c>
      <c r="F1929" t="s">
        <v>88</v>
      </c>
      <c r="G1929" t="s">
        <v>88</v>
      </c>
      <c r="H1929" t="s">
        <v>92</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175</v>
      </c>
      <c r="B1930" t="s">
        <v>2290</v>
      </c>
      <c r="C1930" t="s">
        <v>88</v>
      </c>
      <c r="D1930" t="s">
        <v>2291</v>
      </c>
      <c r="E1930" t="s">
        <v>1006</v>
      </c>
      <c r="F1930" t="s">
        <v>88</v>
      </c>
      <c r="G1930" t="s">
        <v>88</v>
      </c>
      <c r="H1930" t="s">
        <v>92</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175</v>
      </c>
      <c r="B1931" t="s">
        <v>2292</v>
      </c>
      <c r="C1931" t="s">
        <v>88</v>
      </c>
      <c r="D1931" t="s">
        <v>88</v>
      </c>
      <c r="E1931" t="s">
        <v>676</v>
      </c>
      <c r="F1931" t="s">
        <v>88</v>
      </c>
      <c r="G1931" t="s">
        <v>88</v>
      </c>
      <c r="H1931" t="s">
        <v>92</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175</v>
      </c>
      <c r="B1932" t="s">
        <v>2293</v>
      </c>
      <c r="C1932" t="s">
        <v>88</v>
      </c>
      <c r="D1932" t="s">
        <v>88</v>
      </c>
      <c r="E1932" t="s">
        <v>2294</v>
      </c>
      <c r="F1932" t="s">
        <v>88</v>
      </c>
      <c r="G1932" t="s">
        <v>88</v>
      </c>
      <c r="H1932" t="s">
        <v>92</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175</v>
      </c>
      <c r="B1933" t="s">
        <v>2295</v>
      </c>
      <c r="C1933" t="s">
        <v>88</v>
      </c>
      <c r="D1933" t="s">
        <v>2296</v>
      </c>
      <c r="E1933" t="s">
        <v>844</v>
      </c>
      <c r="F1933" t="s">
        <v>88</v>
      </c>
      <c r="G1933" t="s">
        <v>88</v>
      </c>
      <c r="H1933" t="s">
        <v>92</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175</v>
      </c>
      <c r="B1934" t="s">
        <v>2297</v>
      </c>
      <c r="C1934" t="s">
        <v>88</v>
      </c>
      <c r="D1934" t="s">
        <v>2298</v>
      </c>
      <c r="E1934" t="s">
        <v>836</v>
      </c>
      <c r="F1934" t="s">
        <v>88</v>
      </c>
      <c r="G1934" t="s">
        <v>88</v>
      </c>
      <c r="H1934" t="s">
        <v>92</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175</v>
      </c>
      <c r="B1935" t="s">
        <v>2299</v>
      </c>
      <c r="C1935" t="s">
        <v>88</v>
      </c>
      <c r="D1935" t="s">
        <v>2300</v>
      </c>
      <c r="E1935" t="s">
        <v>836</v>
      </c>
      <c r="F1935" t="s">
        <v>88</v>
      </c>
      <c r="G1935" t="s">
        <v>88</v>
      </c>
      <c r="H1935" t="s">
        <v>92</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175</v>
      </c>
      <c r="B1936" t="s">
        <v>2301</v>
      </c>
      <c r="C1936" t="s">
        <v>88</v>
      </c>
      <c r="D1936" t="s">
        <v>2302</v>
      </c>
      <c r="E1936" t="s">
        <v>836</v>
      </c>
      <c r="F1936" t="s">
        <v>88</v>
      </c>
      <c r="G1936" t="s">
        <v>88</v>
      </c>
      <c r="H1936" t="s">
        <v>92</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175</v>
      </c>
      <c r="B1937" t="s">
        <v>2303</v>
      </c>
      <c r="C1937" t="s">
        <v>88</v>
      </c>
      <c r="D1937" t="s">
        <v>2304</v>
      </c>
      <c r="E1937" t="s">
        <v>836</v>
      </c>
      <c r="F1937" t="s">
        <v>88</v>
      </c>
      <c r="G1937" t="s">
        <v>88</v>
      </c>
      <c r="H1937" t="s">
        <v>92</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175</v>
      </c>
      <c r="B1938" t="s">
        <v>583</v>
      </c>
      <c r="C1938" t="s">
        <v>88</v>
      </c>
      <c r="D1938" t="s">
        <v>2305</v>
      </c>
      <c r="E1938" t="s">
        <v>1006</v>
      </c>
      <c r="F1938" t="s">
        <v>88</v>
      </c>
      <c r="G1938" t="s">
        <v>88</v>
      </c>
      <c r="H1938" t="s">
        <v>92</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175</v>
      </c>
      <c r="B1939" t="s">
        <v>1868</v>
      </c>
      <c r="C1939" t="s">
        <v>88</v>
      </c>
      <c r="D1939" t="s">
        <v>2306</v>
      </c>
      <c r="E1939" t="s">
        <v>820</v>
      </c>
      <c r="F1939" t="s">
        <v>88</v>
      </c>
      <c r="G1939" t="s">
        <v>88</v>
      </c>
      <c r="H1939" t="s">
        <v>92</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175</v>
      </c>
      <c r="B1940" t="s">
        <v>1871</v>
      </c>
      <c r="C1940" t="s">
        <v>88</v>
      </c>
      <c r="D1940" t="s">
        <v>2307</v>
      </c>
      <c r="E1940" t="s">
        <v>820</v>
      </c>
      <c r="F1940" t="s">
        <v>88</v>
      </c>
      <c r="G1940" t="s">
        <v>88</v>
      </c>
      <c r="H1940" t="s">
        <v>92</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175</v>
      </c>
      <c r="B1941" t="s">
        <v>2308</v>
      </c>
      <c r="C1941" t="s">
        <v>88</v>
      </c>
      <c r="D1941" t="s">
        <v>2309</v>
      </c>
      <c r="E1941" t="s">
        <v>838</v>
      </c>
      <c r="F1941" t="s">
        <v>88</v>
      </c>
      <c r="G1941" t="s">
        <v>88</v>
      </c>
      <c r="H1941" t="s">
        <v>92</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175</v>
      </c>
      <c r="B1942" t="s">
        <v>2310</v>
      </c>
      <c r="C1942" t="s">
        <v>88</v>
      </c>
      <c r="D1942" t="s">
        <v>2309</v>
      </c>
      <c r="E1942" t="s">
        <v>1353</v>
      </c>
      <c r="F1942" t="s">
        <v>88</v>
      </c>
      <c r="G1942" t="s">
        <v>88</v>
      </c>
      <c r="H1942" t="s">
        <v>92</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175</v>
      </c>
      <c r="B1943" t="s">
        <v>2311</v>
      </c>
      <c r="C1943" t="s">
        <v>88</v>
      </c>
      <c r="D1943" t="s">
        <v>2312</v>
      </c>
      <c r="E1943" t="s">
        <v>1756</v>
      </c>
      <c r="F1943" t="s">
        <v>88</v>
      </c>
      <c r="G1943" t="s">
        <v>88</v>
      </c>
      <c r="H1943" t="s">
        <v>92</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175</v>
      </c>
      <c r="B1944" t="s">
        <v>2313</v>
      </c>
      <c r="C1944" t="s">
        <v>88</v>
      </c>
      <c r="D1944" t="s">
        <v>2312</v>
      </c>
      <c r="E1944" t="s">
        <v>1015</v>
      </c>
      <c r="F1944" t="s">
        <v>88</v>
      </c>
      <c r="G1944" t="s">
        <v>88</v>
      </c>
      <c r="H1944" t="s">
        <v>92</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175</v>
      </c>
      <c r="B1945" t="s">
        <v>2314</v>
      </c>
      <c r="C1945" t="s">
        <v>88</v>
      </c>
      <c r="D1945" t="s">
        <v>88</v>
      </c>
      <c r="E1945" t="s">
        <v>893</v>
      </c>
      <c r="F1945" t="s">
        <v>88</v>
      </c>
      <c r="G1945" t="s">
        <v>88</v>
      </c>
      <c r="H1945" t="s">
        <v>92</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175</v>
      </c>
      <c r="B1946" t="s">
        <v>2315</v>
      </c>
      <c r="C1946" t="s">
        <v>88</v>
      </c>
      <c r="D1946" t="s">
        <v>88</v>
      </c>
      <c r="E1946" t="s">
        <v>893</v>
      </c>
      <c r="F1946" t="s">
        <v>88</v>
      </c>
      <c r="G1946" t="s">
        <v>88</v>
      </c>
      <c r="H1946" t="s">
        <v>92</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175</v>
      </c>
      <c r="B1947" t="s">
        <v>2316</v>
      </c>
      <c r="C1947" t="s">
        <v>88</v>
      </c>
      <c r="D1947" t="s">
        <v>88</v>
      </c>
      <c r="E1947" t="s">
        <v>844</v>
      </c>
      <c r="F1947" t="s">
        <v>88</v>
      </c>
      <c r="G1947" t="s">
        <v>88</v>
      </c>
      <c r="H1947" t="s">
        <v>92</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175</v>
      </c>
      <c r="B1948" t="s">
        <v>2317</v>
      </c>
      <c r="C1948" t="s">
        <v>88</v>
      </c>
      <c r="D1948" t="s">
        <v>88</v>
      </c>
      <c r="E1948" t="s">
        <v>1006</v>
      </c>
      <c r="F1948" t="s">
        <v>88</v>
      </c>
      <c r="G1948" t="s">
        <v>88</v>
      </c>
      <c r="H1948" t="s">
        <v>92</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175</v>
      </c>
      <c r="B1949" t="s">
        <v>2318</v>
      </c>
      <c r="C1949" t="s">
        <v>88</v>
      </c>
      <c r="D1949" t="s">
        <v>88</v>
      </c>
      <c r="E1949" t="s">
        <v>692</v>
      </c>
      <c r="F1949" t="s">
        <v>88</v>
      </c>
      <c r="G1949" t="s">
        <v>88</v>
      </c>
      <c r="H1949" t="s">
        <v>92</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175</v>
      </c>
      <c r="B1950" t="s">
        <v>2319</v>
      </c>
      <c r="C1950" t="s">
        <v>88</v>
      </c>
      <c r="D1950" t="s">
        <v>88</v>
      </c>
      <c r="E1950" t="s">
        <v>844</v>
      </c>
      <c r="F1950" t="s">
        <v>88</v>
      </c>
      <c r="G1950" t="s">
        <v>88</v>
      </c>
      <c r="H1950" t="s">
        <v>92</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175</v>
      </c>
      <c r="B1951" t="s">
        <v>2320</v>
      </c>
      <c r="C1951" t="s">
        <v>88</v>
      </c>
      <c r="D1951" t="s">
        <v>2321</v>
      </c>
      <c r="E1951" t="s">
        <v>1006</v>
      </c>
      <c r="F1951" t="s">
        <v>88</v>
      </c>
      <c r="G1951" t="s">
        <v>88</v>
      </c>
      <c r="H1951" t="s">
        <v>92</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175</v>
      </c>
      <c r="B1952" t="s">
        <v>2322</v>
      </c>
      <c r="C1952" t="s">
        <v>88</v>
      </c>
      <c r="D1952" t="s">
        <v>2323</v>
      </c>
      <c r="E1952" t="s">
        <v>692</v>
      </c>
      <c r="F1952" t="s">
        <v>88</v>
      </c>
      <c r="G1952" t="s">
        <v>88</v>
      </c>
      <c r="H1952" t="s">
        <v>92</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175</v>
      </c>
      <c r="B1953" t="s">
        <v>2324</v>
      </c>
      <c r="C1953" t="s">
        <v>88</v>
      </c>
      <c r="D1953" t="s">
        <v>2323</v>
      </c>
      <c r="E1953" t="s">
        <v>820</v>
      </c>
      <c r="F1953" t="s">
        <v>88</v>
      </c>
      <c r="G1953" t="s">
        <v>88</v>
      </c>
      <c r="H1953" t="s">
        <v>92</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175</v>
      </c>
      <c r="B1954" t="s">
        <v>2325</v>
      </c>
      <c r="C1954" t="s">
        <v>88</v>
      </c>
      <c r="D1954" t="s">
        <v>2323</v>
      </c>
      <c r="E1954" t="s">
        <v>844</v>
      </c>
      <c r="F1954" t="s">
        <v>88</v>
      </c>
      <c r="G1954" t="s">
        <v>88</v>
      </c>
      <c r="H1954" t="s">
        <v>92</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175</v>
      </c>
      <c r="B1955" t="s">
        <v>2227</v>
      </c>
      <c r="C1955" t="s">
        <v>88</v>
      </c>
      <c r="D1955" t="s">
        <v>2228</v>
      </c>
      <c r="E1955" t="s">
        <v>1006</v>
      </c>
      <c r="F1955" t="s">
        <v>88</v>
      </c>
      <c r="G1955" t="s">
        <v>88</v>
      </c>
      <c r="H1955" t="s">
        <v>92</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175</v>
      </c>
      <c r="B1956" t="s">
        <v>2326</v>
      </c>
      <c r="C1956" t="s">
        <v>88</v>
      </c>
      <c r="D1956" t="s">
        <v>2327</v>
      </c>
      <c r="E1956" t="s">
        <v>1756</v>
      </c>
      <c r="F1956" t="s">
        <v>88</v>
      </c>
      <c r="G1956" t="s">
        <v>88</v>
      </c>
      <c r="H1956" t="s">
        <v>92</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175</v>
      </c>
      <c r="B1957" t="s">
        <v>2224</v>
      </c>
      <c r="C1957" t="s">
        <v>88</v>
      </c>
      <c r="D1957" t="s">
        <v>2225</v>
      </c>
      <c r="E1957" t="s">
        <v>692</v>
      </c>
      <c r="F1957" t="s">
        <v>88</v>
      </c>
      <c r="G1957" t="s">
        <v>88</v>
      </c>
      <c r="H1957" t="s">
        <v>92</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175</v>
      </c>
      <c r="B1958" t="s">
        <v>2328</v>
      </c>
      <c r="C1958" t="s">
        <v>88</v>
      </c>
      <c r="D1958" t="s">
        <v>88</v>
      </c>
      <c r="E1958" t="s">
        <v>1282</v>
      </c>
      <c r="F1958" t="s">
        <v>88</v>
      </c>
      <c r="G1958" t="s">
        <v>88</v>
      </c>
      <c r="H1958" t="s">
        <v>92</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175</v>
      </c>
      <c r="B1959" t="s">
        <v>2329</v>
      </c>
      <c r="C1959" t="s">
        <v>88</v>
      </c>
      <c r="D1959" t="s">
        <v>88</v>
      </c>
      <c r="E1959" t="s">
        <v>820</v>
      </c>
      <c r="F1959" t="s">
        <v>88</v>
      </c>
      <c r="G1959" t="s">
        <v>88</v>
      </c>
      <c r="H1959" t="s">
        <v>92</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175</v>
      </c>
      <c r="B1960" t="s">
        <v>2330</v>
      </c>
      <c r="C1960" t="s">
        <v>88</v>
      </c>
      <c r="D1960" t="s">
        <v>88</v>
      </c>
      <c r="E1960" t="s">
        <v>725</v>
      </c>
      <c r="F1960" t="s">
        <v>88</v>
      </c>
      <c r="G1960" t="s">
        <v>88</v>
      </c>
      <c r="H1960" t="s">
        <v>92</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175</v>
      </c>
      <c r="B1961" t="s">
        <v>2331</v>
      </c>
      <c r="C1961" t="s">
        <v>88</v>
      </c>
      <c r="D1961" t="s">
        <v>88</v>
      </c>
      <c r="E1961" t="s">
        <v>1241</v>
      </c>
      <c r="F1961" t="s">
        <v>88</v>
      </c>
      <c r="G1961" t="s">
        <v>88</v>
      </c>
      <c r="H1961" t="s">
        <v>92</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175</v>
      </c>
      <c r="B1962" t="s">
        <v>2332</v>
      </c>
      <c r="C1962" t="s">
        <v>88</v>
      </c>
      <c r="D1962" t="s">
        <v>2333</v>
      </c>
      <c r="E1962" t="s">
        <v>760</v>
      </c>
      <c r="F1962" t="s">
        <v>88</v>
      </c>
      <c r="G1962" t="s">
        <v>88</v>
      </c>
      <c r="H1962" t="s">
        <v>92</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175</v>
      </c>
      <c r="B1963" t="s">
        <v>2334</v>
      </c>
      <c r="C1963" t="s">
        <v>88</v>
      </c>
      <c r="D1963" t="s">
        <v>2335</v>
      </c>
      <c r="E1963" t="s">
        <v>748</v>
      </c>
      <c r="F1963" t="s">
        <v>88</v>
      </c>
      <c r="G1963" t="s">
        <v>88</v>
      </c>
      <c r="H1963" t="s">
        <v>92</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175</v>
      </c>
      <c r="B1964" t="s">
        <v>2336</v>
      </c>
      <c r="C1964" t="s">
        <v>88</v>
      </c>
      <c r="D1964" t="s">
        <v>88</v>
      </c>
      <c r="E1964" t="s">
        <v>700</v>
      </c>
      <c r="F1964" t="s">
        <v>88</v>
      </c>
      <c r="G1964" t="s">
        <v>88</v>
      </c>
      <c r="H1964" t="s">
        <v>92</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175</v>
      </c>
      <c r="B1965" t="s">
        <v>2337</v>
      </c>
      <c r="C1965" t="s">
        <v>88</v>
      </c>
      <c r="D1965" t="s">
        <v>2338</v>
      </c>
      <c r="E1965" t="s">
        <v>1241</v>
      </c>
      <c r="F1965" t="s">
        <v>88</v>
      </c>
      <c r="G1965" t="s">
        <v>88</v>
      </c>
      <c r="H1965" t="s">
        <v>92</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175</v>
      </c>
      <c r="B1966" t="s">
        <v>2339</v>
      </c>
      <c r="C1966" t="s">
        <v>88</v>
      </c>
      <c r="D1966" t="s">
        <v>2340</v>
      </c>
      <c r="E1966" t="s">
        <v>979</v>
      </c>
      <c r="F1966" t="s">
        <v>88</v>
      </c>
      <c r="G1966" t="s">
        <v>88</v>
      </c>
      <c r="H1966" t="s">
        <v>92</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175</v>
      </c>
      <c r="B1967" t="s">
        <v>2341</v>
      </c>
      <c r="C1967" t="s">
        <v>88</v>
      </c>
      <c r="D1967" t="s">
        <v>2342</v>
      </c>
      <c r="E1967" t="s">
        <v>844</v>
      </c>
      <c r="F1967" t="s">
        <v>88</v>
      </c>
      <c r="G1967" t="s">
        <v>88</v>
      </c>
      <c r="H1967" t="s">
        <v>92</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175</v>
      </c>
      <c r="B1968" t="s">
        <v>2343</v>
      </c>
      <c r="C1968" t="s">
        <v>88</v>
      </c>
      <c r="D1968" t="s">
        <v>2344</v>
      </c>
      <c r="E1968" t="s">
        <v>964</v>
      </c>
      <c r="F1968" t="s">
        <v>88</v>
      </c>
      <c r="G1968" t="s">
        <v>88</v>
      </c>
      <c r="H1968" t="s">
        <v>92</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175</v>
      </c>
      <c r="B1969" t="s">
        <v>2345</v>
      </c>
      <c r="C1969" t="s">
        <v>88</v>
      </c>
      <c r="D1969" t="s">
        <v>2346</v>
      </c>
      <c r="E1969" t="s">
        <v>692</v>
      </c>
      <c r="F1969" t="s">
        <v>88</v>
      </c>
      <c r="G1969" t="s">
        <v>88</v>
      </c>
      <c r="H1969" t="s">
        <v>92</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175</v>
      </c>
      <c r="B1970" t="s">
        <v>2347</v>
      </c>
      <c r="C1970" t="s">
        <v>88</v>
      </c>
      <c r="D1970" t="s">
        <v>2348</v>
      </c>
      <c r="E1970" t="s">
        <v>1353</v>
      </c>
      <c r="F1970" t="s">
        <v>88</v>
      </c>
      <c r="G1970" t="s">
        <v>88</v>
      </c>
      <c r="H1970" t="s">
        <v>92</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175</v>
      </c>
      <c r="B1971" t="s">
        <v>2349</v>
      </c>
      <c r="C1971" t="s">
        <v>88</v>
      </c>
      <c r="D1971" t="s">
        <v>2350</v>
      </c>
      <c r="E1971" t="s">
        <v>692</v>
      </c>
      <c r="F1971" t="s">
        <v>88</v>
      </c>
      <c r="G1971" t="s">
        <v>88</v>
      </c>
      <c r="H1971" t="s">
        <v>92</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175</v>
      </c>
      <c r="B1972" t="s">
        <v>2351</v>
      </c>
      <c r="C1972" t="s">
        <v>88</v>
      </c>
      <c r="D1972" t="s">
        <v>2352</v>
      </c>
      <c r="E1972" t="s">
        <v>676</v>
      </c>
      <c r="F1972" t="s">
        <v>88</v>
      </c>
      <c r="G1972" t="s">
        <v>88</v>
      </c>
      <c r="H1972" t="s">
        <v>92</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175</v>
      </c>
      <c r="B1973" t="s">
        <v>2353</v>
      </c>
      <c r="C1973" t="s">
        <v>88</v>
      </c>
      <c r="D1973" t="s">
        <v>2354</v>
      </c>
      <c r="E1973" t="s">
        <v>760</v>
      </c>
      <c r="F1973" t="s">
        <v>88</v>
      </c>
      <c r="G1973" t="s">
        <v>88</v>
      </c>
      <c r="H1973" t="s">
        <v>92</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175</v>
      </c>
      <c r="B1974" t="s">
        <v>1608</v>
      </c>
      <c r="C1974" t="s">
        <v>88</v>
      </c>
      <c r="D1974" t="s">
        <v>2355</v>
      </c>
      <c r="E1974" t="s">
        <v>979</v>
      </c>
      <c r="F1974" t="s">
        <v>88</v>
      </c>
      <c r="G1974" t="s">
        <v>88</v>
      </c>
      <c r="H1974" t="s">
        <v>92</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175</v>
      </c>
      <c r="B1975" t="s">
        <v>2356</v>
      </c>
      <c r="C1975" t="s">
        <v>88</v>
      </c>
      <c r="D1975" t="s">
        <v>2357</v>
      </c>
      <c r="E1975" t="s">
        <v>692</v>
      </c>
      <c r="F1975" t="s">
        <v>88</v>
      </c>
      <c r="G1975" t="s">
        <v>88</v>
      </c>
      <c r="H1975" t="s">
        <v>92</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175</v>
      </c>
      <c r="B1976" t="s">
        <v>701</v>
      </c>
      <c r="C1976" t="s">
        <v>88</v>
      </c>
      <c r="D1976" t="s">
        <v>88</v>
      </c>
      <c r="E1976" t="s">
        <v>791</v>
      </c>
      <c r="F1976" t="s">
        <v>88</v>
      </c>
      <c r="G1976" t="s">
        <v>88</v>
      </c>
      <c r="H1976" t="s">
        <v>92</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175</v>
      </c>
      <c r="B1977" t="s">
        <v>704</v>
      </c>
      <c r="C1977" t="s">
        <v>88</v>
      </c>
      <c r="D1977" t="s">
        <v>88</v>
      </c>
      <c r="E1977" t="s">
        <v>791</v>
      </c>
      <c r="F1977" t="s">
        <v>88</v>
      </c>
      <c r="G1977" t="s">
        <v>88</v>
      </c>
      <c r="H1977" t="s">
        <v>92</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175</v>
      </c>
      <c r="B1978" t="s">
        <v>705</v>
      </c>
      <c r="C1978" t="s">
        <v>88</v>
      </c>
      <c r="D1978" t="s">
        <v>88</v>
      </c>
      <c r="E1978" t="s">
        <v>791</v>
      </c>
      <c r="F1978" t="s">
        <v>88</v>
      </c>
      <c r="G1978" t="s">
        <v>88</v>
      </c>
      <c r="H1978" t="s">
        <v>92</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175</v>
      </c>
      <c r="B1979" t="s">
        <v>706</v>
      </c>
      <c r="C1979" t="s">
        <v>88</v>
      </c>
      <c r="D1979" t="s">
        <v>88</v>
      </c>
      <c r="E1979" t="s">
        <v>791</v>
      </c>
      <c r="F1979" t="s">
        <v>88</v>
      </c>
      <c r="G1979" t="s">
        <v>88</v>
      </c>
      <c r="H1979" t="s">
        <v>92</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175</v>
      </c>
      <c r="B1980" t="s">
        <v>707</v>
      </c>
      <c r="C1980" t="s">
        <v>88</v>
      </c>
      <c r="D1980" t="s">
        <v>88</v>
      </c>
      <c r="E1980" t="s">
        <v>791</v>
      </c>
      <c r="F1980" t="s">
        <v>88</v>
      </c>
      <c r="G1980" t="s">
        <v>88</v>
      </c>
      <c r="H1980" t="s">
        <v>92</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175</v>
      </c>
      <c r="B1981" t="s">
        <v>733</v>
      </c>
      <c r="C1981" t="s">
        <v>88</v>
      </c>
      <c r="D1981" t="s">
        <v>88</v>
      </c>
      <c r="E1981" t="s">
        <v>791</v>
      </c>
      <c r="F1981" t="s">
        <v>88</v>
      </c>
      <c r="G1981" t="s">
        <v>88</v>
      </c>
      <c r="H1981" t="s">
        <v>92</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175</v>
      </c>
      <c r="B1982" t="s">
        <v>795</v>
      </c>
      <c r="C1982" t="s">
        <v>88</v>
      </c>
      <c r="D1982" t="s">
        <v>88</v>
      </c>
      <c r="E1982" t="s">
        <v>799</v>
      </c>
      <c r="F1982" t="s">
        <v>88</v>
      </c>
      <c r="G1982" t="s">
        <v>88</v>
      </c>
      <c r="H1982" t="s">
        <v>92</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175</v>
      </c>
      <c r="B1983" t="s">
        <v>622</v>
      </c>
      <c r="C1983" t="s">
        <v>88</v>
      </c>
      <c r="D1983" t="s">
        <v>88</v>
      </c>
      <c r="E1983" t="s">
        <v>702</v>
      </c>
      <c r="F1983" t="s">
        <v>88</v>
      </c>
      <c r="G1983" t="s">
        <v>88</v>
      </c>
      <c r="H1983" t="s">
        <v>92</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175</v>
      </c>
      <c r="B1984" t="s">
        <v>620</v>
      </c>
      <c r="C1984" t="s">
        <v>88</v>
      </c>
      <c r="D1984" t="s">
        <v>88</v>
      </c>
      <c r="E1984" t="s">
        <v>799</v>
      </c>
      <c r="F1984" t="s">
        <v>88</v>
      </c>
      <c r="G1984" t="s">
        <v>88</v>
      </c>
      <c r="H1984" t="s">
        <v>92</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175</v>
      </c>
      <c r="B1985" t="s">
        <v>623</v>
      </c>
      <c r="C1985" t="s">
        <v>88</v>
      </c>
      <c r="D1985" t="s">
        <v>88</v>
      </c>
      <c r="E1985" t="s">
        <v>710</v>
      </c>
      <c r="F1985" t="s">
        <v>88</v>
      </c>
      <c r="G1985" t="s">
        <v>88</v>
      </c>
      <c r="H1985" t="s">
        <v>92</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175</v>
      </c>
      <c r="B1986" t="s">
        <v>2358</v>
      </c>
      <c r="C1986" t="s">
        <v>88</v>
      </c>
      <c r="D1986" t="s">
        <v>88</v>
      </c>
      <c r="E1986" t="s">
        <v>715</v>
      </c>
      <c r="F1986" t="s">
        <v>88</v>
      </c>
      <c r="G1986" t="s">
        <v>88</v>
      </c>
      <c r="H1986" t="s">
        <v>92</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175</v>
      </c>
      <c r="B1987" t="s">
        <v>2359</v>
      </c>
      <c r="C1987" t="s">
        <v>88</v>
      </c>
      <c r="D1987" t="s">
        <v>88</v>
      </c>
      <c r="E1987" t="s">
        <v>2360</v>
      </c>
      <c r="F1987" t="s">
        <v>88</v>
      </c>
      <c r="G1987" t="s">
        <v>88</v>
      </c>
      <c r="H1987" t="s">
        <v>92</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175</v>
      </c>
      <c r="B1988" t="s">
        <v>625</v>
      </c>
      <c r="C1988" t="s">
        <v>88</v>
      </c>
      <c r="D1988" t="s">
        <v>88</v>
      </c>
      <c r="E1988" t="s">
        <v>626</v>
      </c>
      <c r="F1988" t="s">
        <v>88</v>
      </c>
      <c r="G1988" t="s">
        <v>88</v>
      </c>
      <c r="H1988" t="s">
        <v>92</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177</v>
      </c>
      <c r="B1989" t="s">
        <v>741</v>
      </c>
      <c r="C1989" t="s">
        <v>88</v>
      </c>
      <c r="D1989" t="s">
        <v>2361</v>
      </c>
      <c r="E1989" t="s">
        <v>725</v>
      </c>
      <c r="F1989" t="s">
        <v>88</v>
      </c>
      <c r="G1989" t="s">
        <v>88</v>
      </c>
      <c r="H1989" t="s">
        <v>92</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177</v>
      </c>
      <c r="B1990" t="s">
        <v>2362</v>
      </c>
      <c r="C1990" t="s">
        <v>88</v>
      </c>
      <c r="D1990" t="s">
        <v>2363</v>
      </c>
      <c r="E1990" t="s">
        <v>725</v>
      </c>
      <c r="F1990" t="s">
        <v>88</v>
      </c>
      <c r="G1990" t="s">
        <v>88</v>
      </c>
      <c r="H1990" t="s">
        <v>92</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177</v>
      </c>
      <c r="B1991" t="s">
        <v>2364</v>
      </c>
      <c r="C1991" t="s">
        <v>88</v>
      </c>
      <c r="D1991" t="s">
        <v>1729</v>
      </c>
      <c r="E1991" t="s">
        <v>791</v>
      </c>
      <c r="F1991" t="s">
        <v>88</v>
      </c>
      <c r="G1991" t="s">
        <v>88</v>
      </c>
      <c r="H1991" t="s">
        <v>92</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177</v>
      </c>
      <c r="B1992" t="s">
        <v>769</v>
      </c>
      <c r="C1992" t="s">
        <v>88</v>
      </c>
      <c r="D1992" t="s">
        <v>2365</v>
      </c>
      <c r="E1992" t="s">
        <v>676</v>
      </c>
      <c r="F1992" t="s">
        <v>88</v>
      </c>
      <c r="G1992" t="s">
        <v>88</v>
      </c>
      <c r="H1992" t="s">
        <v>92</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177</v>
      </c>
      <c r="B1993" t="s">
        <v>753</v>
      </c>
      <c r="C1993" t="s">
        <v>88</v>
      </c>
      <c r="D1993" t="s">
        <v>2366</v>
      </c>
      <c r="E1993" t="s">
        <v>663</v>
      </c>
      <c r="F1993" t="s">
        <v>88</v>
      </c>
      <c r="G1993" t="s">
        <v>88</v>
      </c>
      <c r="H1993" t="s">
        <v>92</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177</v>
      </c>
      <c r="B1994" t="s">
        <v>2367</v>
      </c>
      <c r="C1994" t="s">
        <v>88</v>
      </c>
      <c r="D1994" t="s">
        <v>2368</v>
      </c>
      <c r="E1994" t="s">
        <v>1839</v>
      </c>
      <c r="F1994" t="s">
        <v>88</v>
      </c>
      <c r="G1994" t="s">
        <v>88</v>
      </c>
      <c r="H1994" t="s">
        <v>92</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177</v>
      </c>
      <c r="B1995" t="s">
        <v>753</v>
      </c>
      <c r="C1995" t="s">
        <v>88</v>
      </c>
      <c r="D1995" t="s">
        <v>2366</v>
      </c>
      <c r="E1995" t="s">
        <v>663</v>
      </c>
      <c r="F1995" t="s">
        <v>88</v>
      </c>
      <c r="G1995" t="s">
        <v>88</v>
      </c>
      <c r="H1995" t="s">
        <v>92</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177</v>
      </c>
      <c r="B1996" t="s">
        <v>2362</v>
      </c>
      <c r="C1996" t="s">
        <v>88</v>
      </c>
      <c r="D1996" t="s">
        <v>2363</v>
      </c>
      <c r="E1996" t="s">
        <v>725</v>
      </c>
      <c r="F1996" t="s">
        <v>88</v>
      </c>
      <c r="G1996" t="s">
        <v>88</v>
      </c>
      <c r="H1996" t="s">
        <v>92</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177</v>
      </c>
      <c r="B1997" t="s">
        <v>741</v>
      </c>
      <c r="C1997" t="s">
        <v>88</v>
      </c>
      <c r="D1997" t="s">
        <v>2361</v>
      </c>
      <c r="E1997" t="s">
        <v>725</v>
      </c>
      <c r="F1997" t="s">
        <v>88</v>
      </c>
      <c r="G1997" t="s">
        <v>88</v>
      </c>
      <c r="H1997" t="s">
        <v>92</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177</v>
      </c>
      <c r="B1998" t="s">
        <v>2369</v>
      </c>
      <c r="C1998" t="s">
        <v>88</v>
      </c>
      <c r="D1998" t="s">
        <v>2370</v>
      </c>
      <c r="E1998" t="s">
        <v>725</v>
      </c>
      <c r="F1998" t="s">
        <v>88</v>
      </c>
      <c r="G1998" t="s">
        <v>88</v>
      </c>
      <c r="H1998" t="s">
        <v>92</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177</v>
      </c>
      <c r="B1999" t="s">
        <v>2371</v>
      </c>
      <c r="C1999" t="s">
        <v>88</v>
      </c>
      <c r="D1999" t="s">
        <v>2372</v>
      </c>
      <c r="E1999" t="s">
        <v>725</v>
      </c>
      <c r="F1999" t="s">
        <v>88</v>
      </c>
      <c r="G1999" t="s">
        <v>88</v>
      </c>
      <c r="H1999" t="s">
        <v>92</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177</v>
      </c>
      <c r="B2000" t="s">
        <v>1340</v>
      </c>
      <c r="C2000" t="s">
        <v>88</v>
      </c>
      <c r="D2000" t="s">
        <v>2373</v>
      </c>
      <c r="E2000" t="s">
        <v>673</v>
      </c>
      <c r="F2000" t="s">
        <v>88</v>
      </c>
      <c r="G2000" t="s">
        <v>88</v>
      </c>
      <c r="H2000" t="s">
        <v>92</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177</v>
      </c>
      <c r="B2001" t="s">
        <v>2374</v>
      </c>
      <c r="C2001" t="s">
        <v>88</v>
      </c>
      <c r="D2001" t="s">
        <v>2375</v>
      </c>
      <c r="E2001" t="s">
        <v>673</v>
      </c>
      <c r="F2001" t="s">
        <v>88</v>
      </c>
      <c r="G2001" t="s">
        <v>88</v>
      </c>
      <c r="H2001" t="s">
        <v>92</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177</v>
      </c>
      <c r="B2002" t="s">
        <v>1768</v>
      </c>
      <c r="C2002" t="s">
        <v>88</v>
      </c>
      <c r="D2002" t="s">
        <v>2376</v>
      </c>
      <c r="E2002" t="s">
        <v>1680</v>
      </c>
      <c r="F2002" t="s">
        <v>88</v>
      </c>
      <c r="G2002" t="s">
        <v>88</v>
      </c>
      <c r="H2002" t="s">
        <v>92</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177</v>
      </c>
      <c r="B2003" t="s">
        <v>1770</v>
      </c>
      <c r="C2003" t="s">
        <v>88</v>
      </c>
      <c r="D2003" t="s">
        <v>2377</v>
      </c>
      <c r="E2003" t="s">
        <v>2378</v>
      </c>
      <c r="F2003" t="s">
        <v>88</v>
      </c>
      <c r="G2003" t="s">
        <v>88</v>
      </c>
      <c r="H2003" t="s">
        <v>92</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177</v>
      </c>
      <c r="B2004" t="s">
        <v>2379</v>
      </c>
      <c r="C2004" t="s">
        <v>88</v>
      </c>
      <c r="D2004" t="s">
        <v>88</v>
      </c>
      <c r="E2004" t="s">
        <v>700</v>
      </c>
      <c r="F2004" t="s">
        <v>88</v>
      </c>
      <c r="G2004" t="s">
        <v>88</v>
      </c>
      <c r="H2004" t="s">
        <v>92</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177</v>
      </c>
      <c r="B2005" t="s">
        <v>2380</v>
      </c>
      <c r="C2005" t="s">
        <v>88</v>
      </c>
      <c r="D2005" t="s">
        <v>88</v>
      </c>
      <c r="E2005" t="s">
        <v>700</v>
      </c>
      <c r="F2005" t="s">
        <v>88</v>
      </c>
      <c r="G2005" t="s">
        <v>88</v>
      </c>
      <c r="H2005" t="s">
        <v>92</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177</v>
      </c>
      <c r="B2006" t="s">
        <v>2381</v>
      </c>
      <c r="C2006" t="s">
        <v>88</v>
      </c>
      <c r="D2006" t="s">
        <v>88</v>
      </c>
      <c r="E2006" t="s">
        <v>663</v>
      </c>
      <c r="F2006" t="s">
        <v>88</v>
      </c>
      <c r="G2006" t="s">
        <v>88</v>
      </c>
      <c r="H2006" t="s">
        <v>92</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177</v>
      </c>
      <c r="B2007" t="s">
        <v>2382</v>
      </c>
      <c r="C2007" t="s">
        <v>88</v>
      </c>
      <c r="D2007" t="s">
        <v>88</v>
      </c>
      <c r="E2007" t="s">
        <v>780</v>
      </c>
      <c r="F2007" t="s">
        <v>88</v>
      </c>
      <c r="G2007" t="s">
        <v>88</v>
      </c>
      <c r="H2007" t="s">
        <v>92</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177</v>
      </c>
      <c r="B2008" t="s">
        <v>2383</v>
      </c>
      <c r="C2008" t="s">
        <v>88</v>
      </c>
      <c r="D2008" t="s">
        <v>88</v>
      </c>
      <c r="E2008" t="s">
        <v>663</v>
      </c>
      <c r="F2008" t="s">
        <v>88</v>
      </c>
      <c r="G2008" t="s">
        <v>88</v>
      </c>
      <c r="H2008" t="s">
        <v>92</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177</v>
      </c>
      <c r="B2009" t="s">
        <v>876</v>
      </c>
      <c r="C2009" t="s">
        <v>88</v>
      </c>
      <c r="D2009" t="s">
        <v>2384</v>
      </c>
      <c r="E2009" t="s">
        <v>762</v>
      </c>
      <c r="F2009" t="s">
        <v>88</v>
      </c>
      <c r="G2009" t="s">
        <v>88</v>
      </c>
      <c r="H2009" t="s">
        <v>92</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177</v>
      </c>
      <c r="B2010" t="s">
        <v>2385</v>
      </c>
      <c r="C2010" t="s">
        <v>88</v>
      </c>
      <c r="D2010" t="s">
        <v>2386</v>
      </c>
      <c r="E2010" t="s">
        <v>825</v>
      </c>
      <c r="F2010" t="s">
        <v>88</v>
      </c>
      <c r="G2010" t="s">
        <v>88</v>
      </c>
      <c r="H2010" t="s">
        <v>92</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177</v>
      </c>
      <c r="B2011" t="s">
        <v>2387</v>
      </c>
      <c r="C2011" t="s">
        <v>88</v>
      </c>
      <c r="D2011" t="s">
        <v>2384</v>
      </c>
      <c r="E2011" t="s">
        <v>844</v>
      </c>
      <c r="F2011" t="s">
        <v>88</v>
      </c>
      <c r="G2011" t="s">
        <v>88</v>
      </c>
      <c r="H2011" t="s">
        <v>92</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177</v>
      </c>
      <c r="B2012" t="s">
        <v>905</v>
      </c>
      <c r="C2012" t="s">
        <v>88</v>
      </c>
      <c r="D2012" t="s">
        <v>2384</v>
      </c>
      <c r="E2012" t="s">
        <v>760</v>
      </c>
      <c r="F2012" t="s">
        <v>88</v>
      </c>
      <c r="G2012" t="s">
        <v>88</v>
      </c>
      <c r="H2012" t="s">
        <v>92</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177</v>
      </c>
      <c r="B2013" t="s">
        <v>763</v>
      </c>
      <c r="C2013" t="s">
        <v>88</v>
      </c>
      <c r="D2013" t="s">
        <v>2384</v>
      </c>
      <c r="E2013" t="s">
        <v>1353</v>
      </c>
      <c r="F2013" t="s">
        <v>88</v>
      </c>
      <c r="G2013" t="s">
        <v>88</v>
      </c>
      <c r="H2013" t="s">
        <v>92</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177</v>
      </c>
      <c r="B2014" t="s">
        <v>759</v>
      </c>
      <c r="C2014" t="s">
        <v>88</v>
      </c>
      <c r="D2014" t="s">
        <v>2384</v>
      </c>
      <c r="E2014" t="s">
        <v>760</v>
      </c>
      <c r="F2014" t="s">
        <v>88</v>
      </c>
      <c r="G2014" t="s">
        <v>88</v>
      </c>
      <c r="H2014" t="s">
        <v>92</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177</v>
      </c>
      <c r="B2015" t="s">
        <v>2388</v>
      </c>
      <c r="C2015" t="s">
        <v>88</v>
      </c>
      <c r="D2015" t="s">
        <v>2384</v>
      </c>
      <c r="E2015" t="s">
        <v>1282</v>
      </c>
      <c r="F2015" t="s">
        <v>88</v>
      </c>
      <c r="G2015" t="s">
        <v>88</v>
      </c>
      <c r="H2015" t="s">
        <v>92</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177</v>
      </c>
      <c r="B2016" t="s">
        <v>2389</v>
      </c>
      <c r="C2016" t="s">
        <v>88</v>
      </c>
      <c r="D2016" t="s">
        <v>2384</v>
      </c>
      <c r="E2016" t="s">
        <v>676</v>
      </c>
      <c r="F2016" t="s">
        <v>88</v>
      </c>
      <c r="G2016" t="s">
        <v>88</v>
      </c>
      <c r="H2016" t="s">
        <v>92</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177</v>
      </c>
      <c r="B2017" t="s">
        <v>2390</v>
      </c>
      <c r="C2017" t="s">
        <v>88</v>
      </c>
      <c r="D2017" t="s">
        <v>2384</v>
      </c>
      <c r="E2017" t="s">
        <v>676</v>
      </c>
      <c r="F2017" t="s">
        <v>88</v>
      </c>
      <c r="G2017" t="s">
        <v>88</v>
      </c>
      <c r="H2017" t="s">
        <v>92</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177</v>
      </c>
      <c r="B2018" t="s">
        <v>2391</v>
      </c>
      <c r="C2018" t="s">
        <v>88</v>
      </c>
      <c r="D2018" t="s">
        <v>2384</v>
      </c>
      <c r="E2018" t="s">
        <v>1282</v>
      </c>
      <c r="F2018" t="s">
        <v>88</v>
      </c>
      <c r="G2018" t="s">
        <v>88</v>
      </c>
      <c r="H2018" t="s">
        <v>92</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177</v>
      </c>
      <c r="B2019" t="s">
        <v>769</v>
      </c>
      <c r="C2019" t="s">
        <v>88</v>
      </c>
      <c r="D2019" t="s">
        <v>2365</v>
      </c>
      <c r="E2019" t="s">
        <v>676</v>
      </c>
      <c r="F2019" t="s">
        <v>88</v>
      </c>
      <c r="G2019" t="s">
        <v>88</v>
      </c>
      <c r="H2019" t="s">
        <v>92</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177</v>
      </c>
      <c r="B2020" t="s">
        <v>764</v>
      </c>
      <c r="C2020" t="s">
        <v>88</v>
      </c>
      <c r="D2020" t="s">
        <v>2384</v>
      </c>
      <c r="E2020" t="s">
        <v>717</v>
      </c>
      <c r="F2020" t="s">
        <v>88</v>
      </c>
      <c r="G2020" t="s">
        <v>88</v>
      </c>
      <c r="H2020" t="s">
        <v>92</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177</v>
      </c>
      <c r="B2021" t="s">
        <v>2054</v>
      </c>
      <c r="C2021" t="s">
        <v>88</v>
      </c>
      <c r="D2021" t="s">
        <v>2384</v>
      </c>
      <c r="E2021" t="s">
        <v>760</v>
      </c>
      <c r="F2021" t="s">
        <v>88</v>
      </c>
      <c r="G2021" t="s">
        <v>88</v>
      </c>
      <c r="H2021" t="s">
        <v>92</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177</v>
      </c>
      <c r="B2022" t="s">
        <v>768</v>
      </c>
      <c r="C2022" t="s">
        <v>88</v>
      </c>
      <c r="D2022" t="s">
        <v>2384</v>
      </c>
      <c r="E2022" t="s">
        <v>760</v>
      </c>
      <c r="F2022" t="s">
        <v>88</v>
      </c>
      <c r="G2022" t="s">
        <v>88</v>
      </c>
      <c r="H2022" t="s">
        <v>92</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177</v>
      </c>
      <c r="B2023" t="s">
        <v>898</v>
      </c>
      <c r="C2023" t="s">
        <v>88</v>
      </c>
      <c r="D2023" t="s">
        <v>2384</v>
      </c>
      <c r="E2023" t="s">
        <v>1353</v>
      </c>
      <c r="F2023" t="s">
        <v>88</v>
      </c>
      <c r="G2023" t="s">
        <v>88</v>
      </c>
      <c r="H2023" t="s">
        <v>92</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177</v>
      </c>
      <c r="B2024" t="s">
        <v>743</v>
      </c>
      <c r="C2024" t="s">
        <v>88</v>
      </c>
      <c r="D2024" t="s">
        <v>2384</v>
      </c>
      <c r="E2024" t="s">
        <v>717</v>
      </c>
      <c r="F2024" t="s">
        <v>88</v>
      </c>
      <c r="G2024" t="s">
        <v>88</v>
      </c>
      <c r="H2024" t="s">
        <v>92</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177</v>
      </c>
      <c r="B2025" t="s">
        <v>2392</v>
      </c>
      <c r="C2025" t="s">
        <v>88</v>
      </c>
      <c r="D2025" t="s">
        <v>2384</v>
      </c>
      <c r="E2025" t="s">
        <v>717</v>
      </c>
      <c r="F2025" t="s">
        <v>88</v>
      </c>
      <c r="G2025" t="s">
        <v>88</v>
      </c>
      <c r="H2025" t="s">
        <v>92</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177</v>
      </c>
      <c r="B2026" t="s">
        <v>740</v>
      </c>
      <c r="C2026" t="s">
        <v>88</v>
      </c>
      <c r="D2026" t="s">
        <v>2384</v>
      </c>
      <c r="E2026" t="s">
        <v>717</v>
      </c>
      <c r="F2026" t="s">
        <v>88</v>
      </c>
      <c r="G2026" t="s">
        <v>88</v>
      </c>
      <c r="H2026" t="s">
        <v>92</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177</v>
      </c>
      <c r="B2027" t="s">
        <v>2393</v>
      </c>
      <c r="C2027" t="s">
        <v>88</v>
      </c>
      <c r="D2027" t="s">
        <v>2384</v>
      </c>
      <c r="E2027" t="s">
        <v>844</v>
      </c>
      <c r="F2027" t="s">
        <v>88</v>
      </c>
      <c r="G2027" t="s">
        <v>88</v>
      </c>
      <c r="H2027" t="s">
        <v>92</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177</v>
      </c>
      <c r="B2028" t="s">
        <v>2394</v>
      </c>
      <c r="C2028" t="s">
        <v>88</v>
      </c>
      <c r="D2028" t="s">
        <v>2395</v>
      </c>
      <c r="E2028" t="s">
        <v>1006</v>
      </c>
      <c r="F2028" t="s">
        <v>88</v>
      </c>
      <c r="G2028" t="s">
        <v>88</v>
      </c>
      <c r="H2028" t="s">
        <v>92</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177</v>
      </c>
      <c r="B2029" t="s">
        <v>2396</v>
      </c>
      <c r="C2029" t="s">
        <v>88</v>
      </c>
      <c r="D2029" t="s">
        <v>2397</v>
      </c>
      <c r="E2029" t="s">
        <v>655</v>
      </c>
      <c r="F2029" t="s">
        <v>88</v>
      </c>
      <c r="G2029" t="s">
        <v>88</v>
      </c>
      <c r="H2029" t="s">
        <v>92</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177</v>
      </c>
      <c r="B2030" t="s">
        <v>2398</v>
      </c>
      <c r="C2030" t="s">
        <v>88</v>
      </c>
      <c r="D2030" t="s">
        <v>88</v>
      </c>
      <c r="E2030" t="s">
        <v>700</v>
      </c>
      <c r="F2030" t="s">
        <v>88</v>
      </c>
      <c r="G2030" t="s">
        <v>88</v>
      </c>
      <c r="H2030" t="s">
        <v>92</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177</v>
      </c>
      <c r="B2031" t="s">
        <v>2399</v>
      </c>
      <c r="C2031" t="s">
        <v>88</v>
      </c>
      <c r="D2031" t="s">
        <v>88</v>
      </c>
      <c r="E2031" t="s">
        <v>655</v>
      </c>
      <c r="F2031" t="s">
        <v>88</v>
      </c>
      <c r="G2031" t="s">
        <v>88</v>
      </c>
      <c r="H2031" t="s">
        <v>92</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177</v>
      </c>
      <c r="B2032" t="s">
        <v>2400</v>
      </c>
      <c r="C2032" t="s">
        <v>88</v>
      </c>
      <c r="D2032" t="s">
        <v>2401</v>
      </c>
      <c r="E2032" t="s">
        <v>723</v>
      </c>
      <c r="F2032" t="s">
        <v>88</v>
      </c>
      <c r="G2032" t="s">
        <v>88</v>
      </c>
      <c r="H2032" t="s">
        <v>92</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177</v>
      </c>
      <c r="B2033" t="s">
        <v>2402</v>
      </c>
      <c r="C2033" t="s">
        <v>88</v>
      </c>
      <c r="D2033" t="s">
        <v>2403</v>
      </c>
      <c r="E2033" t="s">
        <v>717</v>
      </c>
      <c r="F2033" t="s">
        <v>88</v>
      </c>
      <c r="G2033" t="s">
        <v>88</v>
      </c>
      <c r="H2033" t="s">
        <v>92</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177</v>
      </c>
      <c r="B2034" t="s">
        <v>2404</v>
      </c>
      <c r="C2034" t="s">
        <v>88</v>
      </c>
      <c r="D2034" t="s">
        <v>2403</v>
      </c>
      <c r="E2034" t="s">
        <v>717</v>
      </c>
      <c r="F2034" t="s">
        <v>88</v>
      </c>
      <c r="G2034" t="s">
        <v>88</v>
      </c>
      <c r="H2034" t="s">
        <v>92</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177</v>
      </c>
      <c r="B2035" t="s">
        <v>2405</v>
      </c>
      <c r="C2035" t="s">
        <v>88</v>
      </c>
      <c r="D2035" t="s">
        <v>2403</v>
      </c>
      <c r="E2035" t="s">
        <v>762</v>
      </c>
      <c r="F2035" t="s">
        <v>88</v>
      </c>
      <c r="G2035" t="s">
        <v>88</v>
      </c>
      <c r="H2035" t="s">
        <v>92</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177</v>
      </c>
      <c r="B2036" t="s">
        <v>2406</v>
      </c>
      <c r="C2036" t="s">
        <v>88</v>
      </c>
      <c r="D2036" t="s">
        <v>2403</v>
      </c>
      <c r="E2036" t="s">
        <v>692</v>
      </c>
      <c r="F2036" t="s">
        <v>88</v>
      </c>
      <c r="G2036" t="s">
        <v>88</v>
      </c>
      <c r="H2036" t="s">
        <v>92</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177</v>
      </c>
      <c r="B2037" t="s">
        <v>2407</v>
      </c>
      <c r="C2037" t="s">
        <v>88</v>
      </c>
      <c r="D2037" t="s">
        <v>2403</v>
      </c>
      <c r="E2037" t="s">
        <v>655</v>
      </c>
      <c r="F2037" t="s">
        <v>88</v>
      </c>
      <c r="G2037" t="s">
        <v>88</v>
      </c>
      <c r="H2037" t="s">
        <v>92</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177</v>
      </c>
      <c r="B2038" t="s">
        <v>2408</v>
      </c>
      <c r="C2038" t="s">
        <v>88</v>
      </c>
      <c r="D2038" t="s">
        <v>2403</v>
      </c>
      <c r="E2038" t="s">
        <v>673</v>
      </c>
      <c r="F2038" t="s">
        <v>88</v>
      </c>
      <c r="G2038" t="s">
        <v>88</v>
      </c>
      <c r="H2038" t="s">
        <v>92</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177</v>
      </c>
      <c r="B2039" t="s">
        <v>2409</v>
      </c>
      <c r="C2039" t="s">
        <v>88</v>
      </c>
      <c r="D2039" t="s">
        <v>2403</v>
      </c>
      <c r="E2039" t="s">
        <v>717</v>
      </c>
      <c r="F2039" t="s">
        <v>88</v>
      </c>
      <c r="G2039" t="s">
        <v>88</v>
      </c>
      <c r="H2039" t="s">
        <v>92</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177</v>
      </c>
      <c r="B2040" t="s">
        <v>948</v>
      </c>
      <c r="C2040" t="s">
        <v>88</v>
      </c>
      <c r="D2040" t="s">
        <v>88</v>
      </c>
      <c r="E2040" t="s">
        <v>735</v>
      </c>
      <c r="F2040" t="s">
        <v>88</v>
      </c>
      <c r="G2040" t="s">
        <v>88</v>
      </c>
      <c r="H2040" t="s">
        <v>92</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177</v>
      </c>
      <c r="B2041" t="s">
        <v>106</v>
      </c>
      <c r="C2041" t="s">
        <v>88</v>
      </c>
      <c r="D2041" t="s">
        <v>2410</v>
      </c>
      <c r="E2041" t="s">
        <v>663</v>
      </c>
      <c r="F2041" t="s">
        <v>88</v>
      </c>
      <c r="G2041" t="s">
        <v>88</v>
      </c>
      <c r="H2041" t="s">
        <v>92</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177</v>
      </c>
      <c r="B2042" t="s">
        <v>1322</v>
      </c>
      <c r="C2042" t="s">
        <v>88</v>
      </c>
      <c r="D2042" t="s">
        <v>2411</v>
      </c>
      <c r="E2042" t="s">
        <v>959</v>
      </c>
      <c r="F2042" t="s">
        <v>88</v>
      </c>
      <c r="G2042" t="s">
        <v>88</v>
      </c>
      <c r="H2042" t="s">
        <v>92</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177</v>
      </c>
      <c r="B2043" t="s">
        <v>2364</v>
      </c>
      <c r="C2043" t="s">
        <v>88</v>
      </c>
      <c r="D2043" t="s">
        <v>1729</v>
      </c>
      <c r="E2043" t="s">
        <v>791</v>
      </c>
      <c r="F2043" t="s">
        <v>88</v>
      </c>
      <c r="G2043" t="s">
        <v>88</v>
      </c>
      <c r="H2043" t="s">
        <v>92</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177</v>
      </c>
      <c r="B2044" t="s">
        <v>2412</v>
      </c>
      <c r="C2044" t="s">
        <v>88</v>
      </c>
      <c r="D2044" t="s">
        <v>88</v>
      </c>
      <c r="E2044" t="s">
        <v>710</v>
      </c>
      <c r="F2044" t="s">
        <v>88</v>
      </c>
      <c r="G2044" t="s">
        <v>88</v>
      </c>
      <c r="H2044" t="s">
        <v>92</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177</v>
      </c>
      <c r="B2045" t="s">
        <v>2413</v>
      </c>
      <c r="C2045" t="s">
        <v>88</v>
      </c>
      <c r="D2045" t="s">
        <v>88</v>
      </c>
      <c r="E2045" t="s">
        <v>711</v>
      </c>
      <c r="F2045" t="s">
        <v>88</v>
      </c>
      <c r="G2045" t="s">
        <v>88</v>
      </c>
      <c r="H2045" t="s">
        <v>92</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177</v>
      </c>
      <c r="B2046" t="s">
        <v>1146</v>
      </c>
      <c r="C2046" t="s">
        <v>88</v>
      </c>
      <c r="D2046" t="s">
        <v>88</v>
      </c>
      <c r="E2046" t="s">
        <v>738</v>
      </c>
      <c r="F2046" t="s">
        <v>88</v>
      </c>
      <c r="G2046" t="s">
        <v>88</v>
      </c>
      <c r="H2046" t="s">
        <v>92</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177</v>
      </c>
      <c r="B2047" t="s">
        <v>701</v>
      </c>
      <c r="C2047" t="s">
        <v>88</v>
      </c>
      <c r="D2047" t="s">
        <v>88</v>
      </c>
      <c r="E2047" t="s">
        <v>734</v>
      </c>
      <c r="F2047" t="s">
        <v>88</v>
      </c>
      <c r="G2047" t="s">
        <v>88</v>
      </c>
      <c r="H2047" t="s">
        <v>92</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177</v>
      </c>
      <c r="B2048" t="s">
        <v>704</v>
      </c>
      <c r="C2048" t="s">
        <v>88</v>
      </c>
      <c r="D2048" t="s">
        <v>88</v>
      </c>
      <c r="E2048" t="s">
        <v>734</v>
      </c>
      <c r="F2048" t="s">
        <v>88</v>
      </c>
      <c r="G2048" t="s">
        <v>88</v>
      </c>
      <c r="H2048" t="s">
        <v>92</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177</v>
      </c>
      <c r="B2049" t="s">
        <v>705</v>
      </c>
      <c r="C2049" t="s">
        <v>88</v>
      </c>
      <c r="D2049" t="s">
        <v>88</v>
      </c>
      <c r="E2049" t="s">
        <v>734</v>
      </c>
      <c r="F2049" t="s">
        <v>88</v>
      </c>
      <c r="G2049" t="s">
        <v>88</v>
      </c>
      <c r="H2049" t="s">
        <v>92</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177</v>
      </c>
      <c r="B2050" t="s">
        <v>707</v>
      </c>
      <c r="C2050" t="s">
        <v>88</v>
      </c>
      <c r="D2050" t="s">
        <v>88</v>
      </c>
      <c r="E2050" t="s">
        <v>734</v>
      </c>
      <c r="F2050" t="s">
        <v>88</v>
      </c>
      <c r="G2050" t="s">
        <v>88</v>
      </c>
      <c r="H2050" t="s">
        <v>92</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177</v>
      </c>
      <c r="B2051" t="s">
        <v>733</v>
      </c>
      <c r="C2051" t="s">
        <v>88</v>
      </c>
      <c r="D2051" t="s">
        <v>88</v>
      </c>
      <c r="E2051" t="s">
        <v>734</v>
      </c>
      <c r="F2051" t="s">
        <v>88</v>
      </c>
      <c r="G2051" t="s">
        <v>88</v>
      </c>
      <c r="H2051" t="s">
        <v>92</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177</v>
      </c>
      <c r="B2052" t="s">
        <v>846</v>
      </c>
      <c r="C2052" t="s">
        <v>88</v>
      </c>
      <c r="D2052" t="s">
        <v>88</v>
      </c>
      <c r="E2052" t="s">
        <v>709</v>
      </c>
      <c r="F2052" t="s">
        <v>88</v>
      </c>
      <c r="G2052" t="s">
        <v>88</v>
      </c>
      <c r="H2052" t="s">
        <v>92</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177</v>
      </c>
      <c r="B2053" t="s">
        <v>2414</v>
      </c>
      <c r="C2053" t="s">
        <v>88</v>
      </c>
      <c r="D2053" t="s">
        <v>88</v>
      </c>
      <c r="E2053" t="s">
        <v>710</v>
      </c>
      <c r="F2053" t="s">
        <v>88</v>
      </c>
      <c r="G2053" t="s">
        <v>88</v>
      </c>
      <c r="H2053" t="s">
        <v>92</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177</v>
      </c>
      <c r="B2054" t="s">
        <v>2415</v>
      </c>
      <c r="C2054" t="s">
        <v>88</v>
      </c>
      <c r="D2054" t="s">
        <v>88</v>
      </c>
      <c r="E2054" t="s">
        <v>710</v>
      </c>
      <c r="F2054" t="s">
        <v>88</v>
      </c>
      <c r="G2054" t="s">
        <v>88</v>
      </c>
      <c r="H2054" t="s">
        <v>92</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177</v>
      </c>
      <c r="B2055" t="s">
        <v>797</v>
      </c>
      <c r="C2055" t="s">
        <v>88</v>
      </c>
      <c r="D2055" t="s">
        <v>88</v>
      </c>
      <c r="E2055" t="s">
        <v>709</v>
      </c>
      <c r="F2055" t="s">
        <v>88</v>
      </c>
      <c r="G2055" t="s">
        <v>88</v>
      </c>
      <c r="H2055" t="s">
        <v>92</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177</v>
      </c>
      <c r="B2056" t="s">
        <v>622</v>
      </c>
      <c r="C2056" t="s">
        <v>88</v>
      </c>
      <c r="D2056" t="s">
        <v>88</v>
      </c>
      <c r="E2056" t="s">
        <v>710</v>
      </c>
      <c r="F2056" t="s">
        <v>88</v>
      </c>
      <c r="G2056" t="s">
        <v>88</v>
      </c>
      <c r="H2056" t="s">
        <v>92</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177</v>
      </c>
      <c r="B2057" t="s">
        <v>623</v>
      </c>
      <c r="C2057" t="s">
        <v>88</v>
      </c>
      <c r="D2057" t="s">
        <v>88</v>
      </c>
      <c r="E2057" t="s">
        <v>735</v>
      </c>
      <c r="F2057" t="s">
        <v>88</v>
      </c>
      <c r="G2057" t="s">
        <v>88</v>
      </c>
      <c r="H2057" t="s">
        <v>92</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177</v>
      </c>
      <c r="B2058" t="s">
        <v>714</v>
      </c>
      <c r="C2058" t="s">
        <v>88</v>
      </c>
      <c r="D2058" t="s">
        <v>88</v>
      </c>
      <c r="E2058" t="s">
        <v>791</v>
      </c>
      <c r="F2058" t="s">
        <v>88</v>
      </c>
      <c r="G2058" t="s">
        <v>88</v>
      </c>
      <c r="H2058" t="s">
        <v>92</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177</v>
      </c>
      <c r="B2059" t="s">
        <v>1671</v>
      </c>
      <c r="C2059" t="s">
        <v>88</v>
      </c>
      <c r="D2059" t="s">
        <v>88</v>
      </c>
      <c r="E2059" t="s">
        <v>791</v>
      </c>
      <c r="F2059" t="s">
        <v>88</v>
      </c>
      <c r="G2059" t="s">
        <v>88</v>
      </c>
      <c r="H2059" t="s">
        <v>92</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177</v>
      </c>
      <c r="B2060" t="s">
        <v>998</v>
      </c>
      <c r="C2060" t="s">
        <v>88</v>
      </c>
      <c r="D2060" t="s">
        <v>88</v>
      </c>
      <c r="E2060" t="s">
        <v>791</v>
      </c>
      <c r="F2060" t="s">
        <v>88</v>
      </c>
      <c r="G2060" t="s">
        <v>88</v>
      </c>
      <c r="H2060" t="s">
        <v>92</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177</v>
      </c>
      <c r="B2061" t="s">
        <v>1989</v>
      </c>
      <c r="C2061" t="s">
        <v>88</v>
      </c>
      <c r="D2061" t="s">
        <v>88</v>
      </c>
      <c r="E2061" t="s">
        <v>738</v>
      </c>
      <c r="F2061" t="s">
        <v>88</v>
      </c>
      <c r="G2061" t="s">
        <v>88</v>
      </c>
      <c r="H2061" t="s">
        <v>92</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177</v>
      </c>
      <c r="B2062" t="s">
        <v>1990</v>
      </c>
      <c r="C2062" t="s">
        <v>88</v>
      </c>
      <c r="D2062" t="s">
        <v>88</v>
      </c>
      <c r="E2062" t="s">
        <v>738</v>
      </c>
      <c r="F2062" t="s">
        <v>88</v>
      </c>
      <c r="G2062" t="s">
        <v>88</v>
      </c>
      <c r="H2062" t="s">
        <v>92</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177</v>
      </c>
      <c r="B2063" t="s">
        <v>2019</v>
      </c>
      <c r="C2063" t="s">
        <v>88</v>
      </c>
      <c r="D2063" t="s">
        <v>2416</v>
      </c>
      <c r="E2063" t="s">
        <v>812</v>
      </c>
      <c r="F2063" t="s">
        <v>88</v>
      </c>
      <c r="G2063" t="s">
        <v>88</v>
      </c>
      <c r="H2063" t="s">
        <v>92</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177</v>
      </c>
      <c r="B2064" t="s">
        <v>2417</v>
      </c>
      <c r="C2064" t="s">
        <v>88</v>
      </c>
      <c r="D2064" t="s">
        <v>2416</v>
      </c>
      <c r="E2064" t="s">
        <v>841</v>
      </c>
      <c r="F2064" t="s">
        <v>88</v>
      </c>
      <c r="G2064" t="s">
        <v>88</v>
      </c>
      <c r="H2064" t="s">
        <v>92</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177</v>
      </c>
      <c r="B2065" t="s">
        <v>2418</v>
      </c>
      <c r="C2065" t="s">
        <v>88</v>
      </c>
      <c r="D2065" t="s">
        <v>2416</v>
      </c>
      <c r="E2065" t="s">
        <v>803</v>
      </c>
      <c r="F2065" t="s">
        <v>88</v>
      </c>
      <c r="G2065" t="s">
        <v>88</v>
      </c>
      <c r="H2065" t="s">
        <v>92</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177</v>
      </c>
      <c r="B2066" t="s">
        <v>2419</v>
      </c>
      <c r="C2066" t="s">
        <v>88</v>
      </c>
      <c r="D2066" t="s">
        <v>2416</v>
      </c>
      <c r="E2066" t="s">
        <v>1714</v>
      </c>
      <c r="F2066" t="s">
        <v>88</v>
      </c>
      <c r="G2066" t="s">
        <v>88</v>
      </c>
      <c r="H2066" t="s">
        <v>92</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177</v>
      </c>
      <c r="B2067" t="s">
        <v>1237</v>
      </c>
      <c r="C2067" t="s">
        <v>88</v>
      </c>
      <c r="D2067" t="s">
        <v>2416</v>
      </c>
      <c r="E2067" t="s">
        <v>841</v>
      </c>
      <c r="F2067" t="s">
        <v>88</v>
      </c>
      <c r="G2067" t="s">
        <v>88</v>
      </c>
      <c r="H2067" t="s">
        <v>92</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177</v>
      </c>
      <c r="B2068" t="s">
        <v>2420</v>
      </c>
      <c r="C2068" t="s">
        <v>88</v>
      </c>
      <c r="D2068" t="s">
        <v>2416</v>
      </c>
      <c r="E2068" t="s">
        <v>2016</v>
      </c>
      <c r="F2068" t="s">
        <v>88</v>
      </c>
      <c r="G2068" t="s">
        <v>88</v>
      </c>
      <c r="H2068" t="s">
        <v>92</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177</v>
      </c>
      <c r="B2069" t="s">
        <v>2421</v>
      </c>
      <c r="C2069" t="s">
        <v>88</v>
      </c>
      <c r="D2069" t="s">
        <v>2416</v>
      </c>
      <c r="E2069" t="s">
        <v>841</v>
      </c>
      <c r="F2069" t="s">
        <v>88</v>
      </c>
      <c r="G2069" t="s">
        <v>88</v>
      </c>
      <c r="H2069" t="s">
        <v>92</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177</v>
      </c>
      <c r="B2070" t="s">
        <v>2422</v>
      </c>
      <c r="C2070" t="s">
        <v>88</v>
      </c>
      <c r="D2070" t="s">
        <v>2416</v>
      </c>
      <c r="E2070" t="s">
        <v>1153</v>
      </c>
      <c r="F2070" t="s">
        <v>88</v>
      </c>
      <c r="G2070" t="s">
        <v>88</v>
      </c>
      <c r="H2070" t="s">
        <v>92</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177</v>
      </c>
      <c r="B2071" t="s">
        <v>1238</v>
      </c>
      <c r="C2071" t="s">
        <v>88</v>
      </c>
      <c r="D2071" t="s">
        <v>2416</v>
      </c>
      <c r="E2071" t="s">
        <v>841</v>
      </c>
      <c r="F2071" t="s">
        <v>88</v>
      </c>
      <c r="G2071" t="s">
        <v>88</v>
      </c>
      <c r="H2071" t="s">
        <v>92</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177</v>
      </c>
      <c r="B2072" t="s">
        <v>2423</v>
      </c>
      <c r="C2072" t="s">
        <v>88</v>
      </c>
      <c r="D2072" t="s">
        <v>2416</v>
      </c>
      <c r="E2072" t="s">
        <v>641</v>
      </c>
      <c r="F2072" t="s">
        <v>88</v>
      </c>
      <c r="G2072" t="s">
        <v>88</v>
      </c>
      <c r="H2072" t="s">
        <v>92</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177</v>
      </c>
      <c r="B2073" t="s">
        <v>1234</v>
      </c>
      <c r="C2073" t="s">
        <v>88</v>
      </c>
      <c r="D2073" t="s">
        <v>2416</v>
      </c>
      <c r="E2073" t="s">
        <v>841</v>
      </c>
      <c r="F2073" t="s">
        <v>88</v>
      </c>
      <c r="G2073" t="s">
        <v>88</v>
      </c>
      <c r="H2073" t="s">
        <v>92</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177</v>
      </c>
      <c r="B2074" t="s">
        <v>2424</v>
      </c>
      <c r="C2074" t="s">
        <v>88</v>
      </c>
      <c r="D2074" t="s">
        <v>2425</v>
      </c>
      <c r="E2074" t="s">
        <v>841</v>
      </c>
      <c r="F2074" t="s">
        <v>88</v>
      </c>
      <c r="G2074" t="s">
        <v>88</v>
      </c>
      <c r="H2074" t="s">
        <v>92</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177</v>
      </c>
      <c r="B2075" t="s">
        <v>2426</v>
      </c>
      <c r="C2075" t="s">
        <v>88</v>
      </c>
      <c r="D2075" t="s">
        <v>2397</v>
      </c>
      <c r="E2075" t="s">
        <v>814</v>
      </c>
      <c r="F2075" t="s">
        <v>88</v>
      </c>
      <c r="G2075" t="s">
        <v>88</v>
      </c>
      <c r="H2075" t="s">
        <v>92</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177</v>
      </c>
      <c r="B2076" t="s">
        <v>2427</v>
      </c>
      <c r="C2076" t="s">
        <v>88</v>
      </c>
      <c r="D2076" t="s">
        <v>2428</v>
      </c>
      <c r="E2076" t="s">
        <v>814</v>
      </c>
      <c r="F2076" t="s">
        <v>88</v>
      </c>
      <c r="G2076" t="s">
        <v>88</v>
      </c>
      <c r="H2076" t="s">
        <v>92</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177</v>
      </c>
      <c r="B2077" t="s">
        <v>2429</v>
      </c>
      <c r="C2077" t="s">
        <v>88</v>
      </c>
      <c r="D2077" t="s">
        <v>2428</v>
      </c>
      <c r="E2077" t="s">
        <v>814</v>
      </c>
      <c r="F2077" t="s">
        <v>88</v>
      </c>
      <c r="G2077" t="s">
        <v>88</v>
      </c>
      <c r="H2077" t="s">
        <v>92</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177</v>
      </c>
      <c r="B2078" t="s">
        <v>2430</v>
      </c>
      <c r="C2078" t="s">
        <v>88</v>
      </c>
      <c r="D2078" t="s">
        <v>2428</v>
      </c>
      <c r="E2078" t="s">
        <v>814</v>
      </c>
      <c r="F2078" t="s">
        <v>88</v>
      </c>
      <c r="G2078" t="s">
        <v>88</v>
      </c>
      <c r="H2078" t="s">
        <v>92</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177</v>
      </c>
      <c r="B2079" t="s">
        <v>2431</v>
      </c>
      <c r="C2079" t="s">
        <v>88</v>
      </c>
      <c r="D2079" t="s">
        <v>2428</v>
      </c>
      <c r="E2079" t="s">
        <v>814</v>
      </c>
      <c r="F2079" t="s">
        <v>88</v>
      </c>
      <c r="G2079" t="s">
        <v>88</v>
      </c>
      <c r="H2079" t="s">
        <v>92</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177</v>
      </c>
      <c r="B2080" t="s">
        <v>2432</v>
      </c>
      <c r="C2080" t="s">
        <v>88</v>
      </c>
      <c r="D2080" t="s">
        <v>2428</v>
      </c>
      <c r="E2080" t="s">
        <v>814</v>
      </c>
      <c r="F2080" t="s">
        <v>88</v>
      </c>
      <c r="G2080" t="s">
        <v>88</v>
      </c>
      <c r="H2080" t="s">
        <v>92</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177</v>
      </c>
      <c r="B2081" t="s">
        <v>625</v>
      </c>
      <c r="C2081" t="s">
        <v>88</v>
      </c>
      <c r="D2081" t="s">
        <v>88</v>
      </c>
      <c r="E2081" t="s">
        <v>626</v>
      </c>
      <c r="F2081" t="s">
        <v>88</v>
      </c>
      <c r="G2081" t="s">
        <v>88</v>
      </c>
      <c r="H2081" t="s">
        <v>92</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178</v>
      </c>
      <c r="B2082" t="s">
        <v>771</v>
      </c>
      <c r="C2082" t="s">
        <v>88</v>
      </c>
      <c r="D2082" t="s">
        <v>2433</v>
      </c>
      <c r="E2082" t="s">
        <v>959</v>
      </c>
      <c r="F2082" t="s">
        <v>88</v>
      </c>
      <c r="G2082" t="s">
        <v>88</v>
      </c>
      <c r="H2082" t="s">
        <v>92</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178</v>
      </c>
      <c r="B2083" t="s">
        <v>1785</v>
      </c>
      <c r="C2083" t="s">
        <v>88</v>
      </c>
      <c r="D2083" t="s">
        <v>2433</v>
      </c>
      <c r="E2083" t="s">
        <v>679</v>
      </c>
      <c r="F2083" t="s">
        <v>88</v>
      </c>
      <c r="G2083" t="s">
        <v>88</v>
      </c>
      <c r="H2083" t="s">
        <v>92</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178</v>
      </c>
      <c r="B2084" t="s">
        <v>2434</v>
      </c>
      <c r="C2084" t="s">
        <v>88</v>
      </c>
      <c r="D2084" t="s">
        <v>2433</v>
      </c>
      <c r="E2084" t="s">
        <v>959</v>
      </c>
      <c r="F2084" t="s">
        <v>88</v>
      </c>
      <c r="G2084" t="s">
        <v>88</v>
      </c>
      <c r="H2084" t="s">
        <v>92</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178</v>
      </c>
      <c r="B2085" t="s">
        <v>2435</v>
      </c>
      <c r="C2085" t="s">
        <v>88</v>
      </c>
      <c r="D2085" t="s">
        <v>2433</v>
      </c>
      <c r="E2085" t="s">
        <v>679</v>
      </c>
      <c r="F2085" t="s">
        <v>88</v>
      </c>
      <c r="G2085" t="s">
        <v>88</v>
      </c>
      <c r="H2085" t="s">
        <v>92</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178</v>
      </c>
      <c r="B2086" t="s">
        <v>1790</v>
      </c>
      <c r="C2086" t="s">
        <v>88</v>
      </c>
      <c r="D2086" t="s">
        <v>2433</v>
      </c>
      <c r="E2086" t="s">
        <v>679</v>
      </c>
      <c r="F2086" t="s">
        <v>88</v>
      </c>
      <c r="G2086" t="s">
        <v>88</v>
      </c>
      <c r="H2086" t="s">
        <v>92</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178</v>
      </c>
      <c r="B2087" t="s">
        <v>2436</v>
      </c>
      <c r="C2087" t="s">
        <v>88</v>
      </c>
      <c r="D2087" t="s">
        <v>2437</v>
      </c>
      <c r="E2087" t="s">
        <v>1139</v>
      </c>
      <c r="F2087" t="s">
        <v>88</v>
      </c>
      <c r="G2087" t="s">
        <v>88</v>
      </c>
      <c r="H2087" t="s">
        <v>92</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178</v>
      </c>
      <c r="B2088" t="s">
        <v>1786</v>
      </c>
      <c r="C2088" t="s">
        <v>88</v>
      </c>
      <c r="D2088" t="s">
        <v>2433</v>
      </c>
      <c r="E2088" t="s">
        <v>673</v>
      </c>
      <c r="F2088" t="s">
        <v>88</v>
      </c>
      <c r="G2088" t="s">
        <v>88</v>
      </c>
      <c r="H2088" t="s">
        <v>92</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178</v>
      </c>
      <c r="B2089" t="s">
        <v>1785</v>
      </c>
      <c r="C2089" t="s">
        <v>88</v>
      </c>
      <c r="D2089" t="s">
        <v>2433</v>
      </c>
      <c r="E2089" t="s">
        <v>679</v>
      </c>
      <c r="F2089" t="s">
        <v>88</v>
      </c>
      <c r="G2089" t="s">
        <v>88</v>
      </c>
      <c r="H2089" t="s">
        <v>92</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178</v>
      </c>
      <c r="B2090" t="s">
        <v>2435</v>
      </c>
      <c r="C2090" t="s">
        <v>88</v>
      </c>
      <c r="D2090" t="s">
        <v>2433</v>
      </c>
      <c r="E2090" t="s">
        <v>679</v>
      </c>
      <c r="F2090" t="s">
        <v>88</v>
      </c>
      <c r="G2090" t="s">
        <v>88</v>
      </c>
      <c r="H2090" t="s">
        <v>92</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178</v>
      </c>
      <c r="B2091" t="s">
        <v>2438</v>
      </c>
      <c r="C2091" t="s">
        <v>88</v>
      </c>
      <c r="D2091" t="s">
        <v>2433</v>
      </c>
      <c r="E2091" t="s">
        <v>791</v>
      </c>
      <c r="F2091" t="s">
        <v>88</v>
      </c>
      <c r="G2091" t="s">
        <v>88</v>
      </c>
      <c r="H2091" t="s">
        <v>92</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178</v>
      </c>
      <c r="B2092" t="s">
        <v>2439</v>
      </c>
      <c r="C2092" t="s">
        <v>88</v>
      </c>
      <c r="D2092" t="s">
        <v>2433</v>
      </c>
      <c r="E2092" t="s">
        <v>762</v>
      </c>
      <c r="F2092" t="s">
        <v>88</v>
      </c>
      <c r="G2092" t="s">
        <v>88</v>
      </c>
      <c r="H2092" t="s">
        <v>92</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178</v>
      </c>
      <c r="B2093" t="s">
        <v>1790</v>
      </c>
      <c r="C2093" t="s">
        <v>88</v>
      </c>
      <c r="D2093" t="s">
        <v>2433</v>
      </c>
      <c r="E2093" t="s">
        <v>679</v>
      </c>
      <c r="F2093" t="s">
        <v>88</v>
      </c>
      <c r="G2093" t="s">
        <v>88</v>
      </c>
      <c r="H2093" t="s">
        <v>92</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178</v>
      </c>
      <c r="B2094" t="s">
        <v>771</v>
      </c>
      <c r="C2094" t="s">
        <v>88</v>
      </c>
      <c r="D2094" t="s">
        <v>2433</v>
      </c>
      <c r="E2094" t="s">
        <v>959</v>
      </c>
      <c r="F2094" t="s">
        <v>88</v>
      </c>
      <c r="G2094" t="s">
        <v>88</v>
      </c>
      <c r="H2094" t="s">
        <v>92</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178</v>
      </c>
      <c r="B2095" t="s">
        <v>2434</v>
      </c>
      <c r="C2095" t="s">
        <v>88</v>
      </c>
      <c r="D2095" t="s">
        <v>2433</v>
      </c>
      <c r="E2095" t="s">
        <v>959</v>
      </c>
      <c r="F2095" t="s">
        <v>88</v>
      </c>
      <c r="G2095" t="s">
        <v>88</v>
      </c>
      <c r="H2095" t="s">
        <v>92</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178</v>
      </c>
      <c r="B2096" t="s">
        <v>2440</v>
      </c>
      <c r="C2096" t="s">
        <v>88</v>
      </c>
      <c r="D2096" t="s">
        <v>2433</v>
      </c>
      <c r="E2096" t="s">
        <v>732</v>
      </c>
      <c r="F2096" t="s">
        <v>88</v>
      </c>
      <c r="G2096" t="s">
        <v>88</v>
      </c>
      <c r="H2096" t="s">
        <v>92</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178</v>
      </c>
      <c r="B2097" t="s">
        <v>2441</v>
      </c>
      <c r="C2097" t="s">
        <v>88</v>
      </c>
      <c r="D2097" t="s">
        <v>2433</v>
      </c>
      <c r="E2097" t="s">
        <v>721</v>
      </c>
      <c r="F2097" t="s">
        <v>88</v>
      </c>
      <c r="G2097" t="s">
        <v>88</v>
      </c>
      <c r="H2097" t="s">
        <v>92</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178</v>
      </c>
      <c r="B2098" t="s">
        <v>701</v>
      </c>
      <c r="C2098" t="s">
        <v>88</v>
      </c>
      <c r="D2098" t="s">
        <v>88</v>
      </c>
      <c r="E2098" t="s">
        <v>732</v>
      </c>
      <c r="F2098" t="s">
        <v>88</v>
      </c>
      <c r="G2098" t="s">
        <v>88</v>
      </c>
      <c r="H2098" t="s">
        <v>92</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178</v>
      </c>
      <c r="B2099" t="s">
        <v>705</v>
      </c>
      <c r="C2099" t="s">
        <v>88</v>
      </c>
      <c r="D2099" t="s">
        <v>88</v>
      </c>
      <c r="E2099" t="s">
        <v>732</v>
      </c>
      <c r="F2099" t="s">
        <v>88</v>
      </c>
      <c r="G2099" t="s">
        <v>88</v>
      </c>
      <c r="H2099" t="s">
        <v>92</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178</v>
      </c>
      <c r="B2100" t="s">
        <v>706</v>
      </c>
      <c r="C2100" t="s">
        <v>88</v>
      </c>
      <c r="D2100" t="s">
        <v>88</v>
      </c>
      <c r="E2100" t="s">
        <v>732</v>
      </c>
      <c r="F2100" t="s">
        <v>88</v>
      </c>
      <c r="G2100" t="s">
        <v>88</v>
      </c>
      <c r="H2100" t="s">
        <v>92</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178</v>
      </c>
      <c r="B2101" t="s">
        <v>707</v>
      </c>
      <c r="C2101" t="s">
        <v>88</v>
      </c>
      <c r="D2101" t="s">
        <v>88</v>
      </c>
      <c r="E2101" t="s">
        <v>732</v>
      </c>
      <c r="F2101" t="s">
        <v>88</v>
      </c>
      <c r="G2101" t="s">
        <v>88</v>
      </c>
      <c r="H2101" t="s">
        <v>92</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178</v>
      </c>
      <c r="B2102" t="s">
        <v>952</v>
      </c>
      <c r="C2102" t="s">
        <v>88</v>
      </c>
      <c r="D2102" t="s">
        <v>88</v>
      </c>
      <c r="E2102" t="s">
        <v>734</v>
      </c>
      <c r="F2102" t="s">
        <v>88</v>
      </c>
      <c r="G2102" t="s">
        <v>88</v>
      </c>
      <c r="H2102" t="s">
        <v>92</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178</v>
      </c>
      <c r="B2103" t="s">
        <v>846</v>
      </c>
      <c r="C2103" t="s">
        <v>88</v>
      </c>
      <c r="D2103" t="s">
        <v>88</v>
      </c>
      <c r="E2103" t="s">
        <v>734</v>
      </c>
      <c r="F2103" t="s">
        <v>88</v>
      </c>
      <c r="G2103" t="s">
        <v>88</v>
      </c>
      <c r="H2103" t="s">
        <v>92</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178</v>
      </c>
      <c r="B2104" t="s">
        <v>2442</v>
      </c>
      <c r="C2104" t="s">
        <v>88</v>
      </c>
      <c r="D2104" t="s">
        <v>88</v>
      </c>
      <c r="E2104" t="s">
        <v>711</v>
      </c>
      <c r="F2104" t="s">
        <v>88</v>
      </c>
      <c r="G2104" t="s">
        <v>88</v>
      </c>
      <c r="H2104" t="s">
        <v>92</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178</v>
      </c>
      <c r="B2105" t="s">
        <v>618</v>
      </c>
      <c r="C2105" t="s">
        <v>88</v>
      </c>
      <c r="D2105" t="s">
        <v>88</v>
      </c>
      <c r="E2105" t="s">
        <v>711</v>
      </c>
      <c r="F2105" t="s">
        <v>88</v>
      </c>
      <c r="G2105" t="s">
        <v>88</v>
      </c>
      <c r="H2105" t="s">
        <v>92</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178</v>
      </c>
      <c r="B2106" t="s">
        <v>622</v>
      </c>
      <c r="C2106" t="s">
        <v>88</v>
      </c>
      <c r="D2106" t="s">
        <v>88</v>
      </c>
      <c r="E2106" t="s">
        <v>711</v>
      </c>
      <c r="F2106" t="s">
        <v>88</v>
      </c>
      <c r="G2106" t="s">
        <v>88</v>
      </c>
      <c r="H2106" t="s">
        <v>92</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178</v>
      </c>
      <c r="B2107" t="s">
        <v>623</v>
      </c>
      <c r="C2107" t="s">
        <v>88</v>
      </c>
      <c r="D2107" t="s">
        <v>88</v>
      </c>
      <c r="E2107" t="s">
        <v>735</v>
      </c>
      <c r="F2107" t="s">
        <v>88</v>
      </c>
      <c r="G2107" t="s">
        <v>88</v>
      </c>
      <c r="H2107" t="s">
        <v>92</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178</v>
      </c>
      <c r="B2108" t="s">
        <v>625</v>
      </c>
      <c r="C2108" t="s">
        <v>88</v>
      </c>
      <c r="D2108" t="s">
        <v>88</v>
      </c>
      <c r="E2108" t="s">
        <v>626</v>
      </c>
      <c r="F2108" t="s">
        <v>88</v>
      </c>
      <c r="G2108" t="s">
        <v>88</v>
      </c>
      <c r="H2108" t="s">
        <v>92</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179</v>
      </c>
      <c r="B2109" t="s">
        <v>2443</v>
      </c>
      <c r="C2109" t="s">
        <v>88</v>
      </c>
      <c r="D2109" t="s">
        <v>2444</v>
      </c>
      <c r="E2109" t="s">
        <v>2445</v>
      </c>
      <c r="F2109" t="s">
        <v>88</v>
      </c>
      <c r="G2109" t="s">
        <v>88</v>
      </c>
      <c r="H2109" t="s">
        <v>92</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179</v>
      </c>
      <c r="B2110" t="s">
        <v>2446</v>
      </c>
      <c r="C2110" t="s">
        <v>88</v>
      </c>
      <c r="D2110" t="s">
        <v>2447</v>
      </c>
      <c r="E2110" t="s">
        <v>717</v>
      </c>
      <c r="F2110" t="s">
        <v>88</v>
      </c>
      <c r="G2110" t="s">
        <v>88</v>
      </c>
      <c r="H2110" t="s">
        <v>92</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179</v>
      </c>
      <c r="B2111" t="s">
        <v>2448</v>
      </c>
      <c r="C2111" t="s">
        <v>88</v>
      </c>
      <c r="D2111" t="s">
        <v>2449</v>
      </c>
      <c r="E2111" t="s">
        <v>2450</v>
      </c>
      <c r="F2111" t="s">
        <v>88</v>
      </c>
      <c r="G2111" t="s">
        <v>88</v>
      </c>
      <c r="H2111" t="s">
        <v>92</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179</v>
      </c>
      <c r="B2112" t="s">
        <v>2451</v>
      </c>
      <c r="C2112" t="s">
        <v>88</v>
      </c>
      <c r="D2112" t="s">
        <v>2452</v>
      </c>
      <c r="E2112" t="s">
        <v>2378</v>
      </c>
      <c r="F2112" t="s">
        <v>88</v>
      </c>
      <c r="G2112" t="s">
        <v>88</v>
      </c>
      <c r="H2112" t="s">
        <v>92</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179</v>
      </c>
      <c r="B2113" t="s">
        <v>2453</v>
      </c>
      <c r="C2113" t="s">
        <v>88</v>
      </c>
      <c r="D2113" t="s">
        <v>2454</v>
      </c>
      <c r="E2113" t="s">
        <v>2455</v>
      </c>
      <c r="F2113" t="s">
        <v>88</v>
      </c>
      <c r="G2113" t="s">
        <v>88</v>
      </c>
      <c r="H2113" t="s">
        <v>92</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179</v>
      </c>
      <c r="B2114" t="s">
        <v>2456</v>
      </c>
      <c r="C2114" t="s">
        <v>88</v>
      </c>
      <c r="D2114" t="s">
        <v>2457</v>
      </c>
      <c r="E2114" t="s">
        <v>721</v>
      </c>
      <c r="F2114" t="s">
        <v>88</v>
      </c>
      <c r="G2114" t="s">
        <v>88</v>
      </c>
      <c r="H2114" t="s">
        <v>92</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179</v>
      </c>
      <c r="B2115" t="s">
        <v>2453</v>
      </c>
      <c r="C2115" t="s">
        <v>88</v>
      </c>
      <c r="D2115" t="s">
        <v>2454</v>
      </c>
      <c r="E2115" t="s">
        <v>2455</v>
      </c>
      <c r="F2115" t="s">
        <v>88</v>
      </c>
      <c r="G2115" t="s">
        <v>88</v>
      </c>
      <c r="H2115" t="s">
        <v>92</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179</v>
      </c>
      <c r="B2116" t="s">
        <v>2458</v>
      </c>
      <c r="C2116" t="s">
        <v>88</v>
      </c>
      <c r="D2116" t="s">
        <v>2459</v>
      </c>
      <c r="E2116" t="s">
        <v>658</v>
      </c>
      <c r="F2116" t="s">
        <v>88</v>
      </c>
      <c r="G2116" t="s">
        <v>88</v>
      </c>
      <c r="H2116" t="s">
        <v>92</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179</v>
      </c>
      <c r="B2117" t="s">
        <v>2443</v>
      </c>
      <c r="C2117" t="s">
        <v>88</v>
      </c>
      <c r="D2117" t="s">
        <v>2444</v>
      </c>
      <c r="E2117" t="s">
        <v>2445</v>
      </c>
      <c r="F2117" t="s">
        <v>88</v>
      </c>
      <c r="G2117" t="s">
        <v>88</v>
      </c>
      <c r="H2117" t="s">
        <v>92</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179</v>
      </c>
      <c r="B2118" t="s">
        <v>2460</v>
      </c>
      <c r="C2118" t="s">
        <v>88</v>
      </c>
      <c r="D2118" t="s">
        <v>2461</v>
      </c>
      <c r="E2118" t="s">
        <v>717</v>
      </c>
      <c r="F2118" t="s">
        <v>88</v>
      </c>
      <c r="G2118" t="s">
        <v>88</v>
      </c>
      <c r="H2118" t="s">
        <v>92</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179</v>
      </c>
      <c r="B2119" t="s">
        <v>2462</v>
      </c>
      <c r="C2119" t="s">
        <v>88</v>
      </c>
      <c r="D2119" t="s">
        <v>2463</v>
      </c>
      <c r="E2119" t="s">
        <v>2464</v>
      </c>
      <c r="F2119" t="s">
        <v>88</v>
      </c>
      <c r="G2119" t="s">
        <v>88</v>
      </c>
      <c r="H2119" t="s">
        <v>92</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179</v>
      </c>
      <c r="B2120" t="s">
        <v>2465</v>
      </c>
      <c r="C2120" t="s">
        <v>88</v>
      </c>
      <c r="D2120" t="s">
        <v>2466</v>
      </c>
      <c r="E2120" t="s">
        <v>2467</v>
      </c>
      <c r="F2120" t="s">
        <v>88</v>
      </c>
      <c r="G2120" t="s">
        <v>88</v>
      </c>
      <c r="H2120" t="s">
        <v>92</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179</v>
      </c>
      <c r="B2121" t="s">
        <v>2446</v>
      </c>
      <c r="C2121" t="s">
        <v>88</v>
      </c>
      <c r="D2121" t="s">
        <v>2447</v>
      </c>
      <c r="E2121" t="s">
        <v>717</v>
      </c>
      <c r="F2121" t="s">
        <v>88</v>
      </c>
      <c r="G2121" t="s">
        <v>88</v>
      </c>
      <c r="H2121" t="s">
        <v>92</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179</v>
      </c>
      <c r="B2122" t="s">
        <v>2468</v>
      </c>
      <c r="C2122" t="s">
        <v>88</v>
      </c>
      <c r="D2122" t="s">
        <v>2469</v>
      </c>
      <c r="E2122" t="s">
        <v>2470</v>
      </c>
      <c r="F2122" t="s">
        <v>88</v>
      </c>
      <c r="G2122" t="s">
        <v>88</v>
      </c>
      <c r="H2122" t="s">
        <v>92</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179</v>
      </c>
      <c r="B2123" t="s">
        <v>1859</v>
      </c>
      <c r="C2123" t="s">
        <v>88</v>
      </c>
      <c r="D2123" t="s">
        <v>2471</v>
      </c>
      <c r="E2123" t="s">
        <v>2464</v>
      </c>
      <c r="F2123" t="s">
        <v>88</v>
      </c>
      <c r="G2123" t="s">
        <v>88</v>
      </c>
      <c r="H2123" t="s">
        <v>92</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179</v>
      </c>
      <c r="B2124" t="s">
        <v>2472</v>
      </c>
      <c r="C2124" t="s">
        <v>88</v>
      </c>
      <c r="D2124" t="s">
        <v>2473</v>
      </c>
      <c r="E2124" t="s">
        <v>883</v>
      </c>
      <c r="F2124" t="s">
        <v>88</v>
      </c>
      <c r="G2124" t="s">
        <v>88</v>
      </c>
      <c r="H2124" t="s">
        <v>92</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179</v>
      </c>
      <c r="B2125" t="s">
        <v>2474</v>
      </c>
      <c r="C2125" t="s">
        <v>88</v>
      </c>
      <c r="D2125" t="s">
        <v>2475</v>
      </c>
      <c r="E2125" t="s">
        <v>673</v>
      </c>
      <c r="F2125" t="s">
        <v>88</v>
      </c>
      <c r="G2125" t="s">
        <v>88</v>
      </c>
      <c r="H2125" t="s">
        <v>92</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179</v>
      </c>
      <c r="B2126" t="s">
        <v>2476</v>
      </c>
      <c r="C2126" t="s">
        <v>88</v>
      </c>
      <c r="D2126" t="s">
        <v>2477</v>
      </c>
      <c r="E2126" t="s">
        <v>2478</v>
      </c>
      <c r="F2126" t="s">
        <v>88</v>
      </c>
      <c r="G2126" t="s">
        <v>88</v>
      </c>
      <c r="H2126" t="s">
        <v>92</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179</v>
      </c>
      <c r="B2127" t="s">
        <v>2479</v>
      </c>
      <c r="C2127" t="s">
        <v>88</v>
      </c>
      <c r="D2127" t="s">
        <v>2480</v>
      </c>
      <c r="E2127" t="s">
        <v>2481</v>
      </c>
      <c r="F2127" t="s">
        <v>88</v>
      </c>
      <c r="G2127" t="s">
        <v>88</v>
      </c>
      <c r="H2127" t="s">
        <v>92</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179</v>
      </c>
      <c r="B2128" t="s">
        <v>2451</v>
      </c>
      <c r="C2128" t="s">
        <v>88</v>
      </c>
      <c r="D2128" t="s">
        <v>2452</v>
      </c>
      <c r="E2128" t="s">
        <v>2378</v>
      </c>
      <c r="F2128" t="s">
        <v>88</v>
      </c>
      <c r="G2128" t="s">
        <v>88</v>
      </c>
      <c r="H2128" t="s">
        <v>92</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179</v>
      </c>
      <c r="B2129" t="s">
        <v>2448</v>
      </c>
      <c r="C2129" t="s">
        <v>88</v>
      </c>
      <c r="D2129" t="s">
        <v>2449</v>
      </c>
      <c r="E2129" t="s">
        <v>2450</v>
      </c>
      <c r="F2129" t="s">
        <v>88</v>
      </c>
      <c r="G2129" t="s">
        <v>88</v>
      </c>
      <c r="H2129" t="s">
        <v>92</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179</v>
      </c>
      <c r="B2130" t="s">
        <v>2482</v>
      </c>
      <c r="C2130" t="s">
        <v>88</v>
      </c>
      <c r="D2130" t="s">
        <v>2483</v>
      </c>
      <c r="E2130" t="s">
        <v>902</v>
      </c>
      <c r="F2130" t="s">
        <v>88</v>
      </c>
      <c r="G2130" t="s">
        <v>88</v>
      </c>
      <c r="H2130" t="s">
        <v>92</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179</v>
      </c>
      <c r="B2131" t="s">
        <v>2484</v>
      </c>
      <c r="C2131" t="s">
        <v>88</v>
      </c>
      <c r="D2131" t="s">
        <v>2485</v>
      </c>
      <c r="E2131" t="s">
        <v>838</v>
      </c>
      <c r="F2131" t="s">
        <v>88</v>
      </c>
      <c r="G2131" t="s">
        <v>88</v>
      </c>
      <c r="H2131" t="s">
        <v>92</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179</v>
      </c>
      <c r="B2132" t="s">
        <v>2486</v>
      </c>
      <c r="C2132" t="s">
        <v>88</v>
      </c>
      <c r="D2132" t="s">
        <v>2487</v>
      </c>
      <c r="E2132" t="s">
        <v>964</v>
      </c>
      <c r="F2132" t="s">
        <v>88</v>
      </c>
      <c r="G2132" t="s">
        <v>88</v>
      </c>
      <c r="H2132" t="s">
        <v>92</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179</v>
      </c>
      <c r="B2133" t="s">
        <v>2488</v>
      </c>
      <c r="C2133" t="s">
        <v>88</v>
      </c>
      <c r="D2133" t="s">
        <v>2489</v>
      </c>
      <c r="E2133" t="s">
        <v>2490</v>
      </c>
      <c r="F2133" t="s">
        <v>88</v>
      </c>
      <c r="G2133" t="s">
        <v>88</v>
      </c>
      <c r="H2133" t="s">
        <v>92</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179</v>
      </c>
      <c r="B2134" t="s">
        <v>2491</v>
      </c>
      <c r="C2134" t="s">
        <v>88</v>
      </c>
      <c r="D2134" t="s">
        <v>2492</v>
      </c>
      <c r="E2134" t="s">
        <v>2493</v>
      </c>
      <c r="F2134" t="s">
        <v>88</v>
      </c>
      <c r="G2134" t="s">
        <v>88</v>
      </c>
      <c r="H2134" t="s">
        <v>92</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179</v>
      </c>
      <c r="B2135" t="s">
        <v>2494</v>
      </c>
      <c r="C2135" t="s">
        <v>88</v>
      </c>
      <c r="D2135" t="s">
        <v>2495</v>
      </c>
      <c r="E2135" t="s">
        <v>2496</v>
      </c>
      <c r="F2135" t="s">
        <v>88</v>
      </c>
      <c r="G2135" t="s">
        <v>88</v>
      </c>
      <c r="H2135" t="s">
        <v>92</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179</v>
      </c>
      <c r="B2136" t="s">
        <v>2497</v>
      </c>
      <c r="C2136" t="s">
        <v>88</v>
      </c>
      <c r="D2136" t="s">
        <v>2498</v>
      </c>
      <c r="E2136" t="s">
        <v>725</v>
      </c>
      <c r="F2136" t="s">
        <v>88</v>
      </c>
      <c r="G2136" t="s">
        <v>88</v>
      </c>
      <c r="H2136" t="s">
        <v>92</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179</v>
      </c>
      <c r="B2137" t="s">
        <v>2499</v>
      </c>
      <c r="C2137" t="s">
        <v>88</v>
      </c>
      <c r="D2137" t="s">
        <v>2500</v>
      </c>
      <c r="E2137" t="s">
        <v>2193</v>
      </c>
      <c r="F2137" t="s">
        <v>88</v>
      </c>
      <c r="G2137" t="s">
        <v>88</v>
      </c>
      <c r="H2137" t="s">
        <v>92</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179</v>
      </c>
      <c r="B2138" t="s">
        <v>2501</v>
      </c>
      <c r="C2138" t="s">
        <v>88</v>
      </c>
      <c r="D2138" t="s">
        <v>2502</v>
      </c>
      <c r="E2138" t="s">
        <v>2503</v>
      </c>
      <c r="F2138" t="s">
        <v>88</v>
      </c>
      <c r="G2138" t="s">
        <v>88</v>
      </c>
      <c r="H2138" t="s">
        <v>92</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179</v>
      </c>
      <c r="B2139" t="s">
        <v>2504</v>
      </c>
      <c r="C2139" t="s">
        <v>88</v>
      </c>
      <c r="D2139" t="s">
        <v>2505</v>
      </c>
      <c r="E2139" t="s">
        <v>725</v>
      </c>
      <c r="F2139" t="s">
        <v>88</v>
      </c>
      <c r="G2139" t="s">
        <v>88</v>
      </c>
      <c r="H2139" t="s">
        <v>92</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179</v>
      </c>
      <c r="B2140" t="s">
        <v>2506</v>
      </c>
      <c r="C2140" t="s">
        <v>88</v>
      </c>
      <c r="D2140" t="s">
        <v>2507</v>
      </c>
      <c r="E2140" t="s">
        <v>700</v>
      </c>
      <c r="F2140" t="s">
        <v>88</v>
      </c>
      <c r="G2140" t="s">
        <v>88</v>
      </c>
      <c r="H2140" t="s">
        <v>92</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179</v>
      </c>
      <c r="B2141" t="s">
        <v>583</v>
      </c>
      <c r="C2141" t="s">
        <v>88</v>
      </c>
      <c r="D2141" t="s">
        <v>2508</v>
      </c>
      <c r="E2141" t="s">
        <v>673</v>
      </c>
      <c r="F2141" t="s">
        <v>88</v>
      </c>
      <c r="G2141" t="s">
        <v>88</v>
      </c>
      <c r="H2141" t="s">
        <v>92</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179</v>
      </c>
      <c r="B2142" t="s">
        <v>2509</v>
      </c>
      <c r="C2142" t="s">
        <v>88</v>
      </c>
      <c r="D2142" t="s">
        <v>2510</v>
      </c>
      <c r="E2142" t="s">
        <v>658</v>
      </c>
      <c r="F2142" t="s">
        <v>88</v>
      </c>
      <c r="G2142" t="s">
        <v>88</v>
      </c>
      <c r="H2142" t="s">
        <v>92</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179</v>
      </c>
      <c r="B2143" t="s">
        <v>2511</v>
      </c>
      <c r="C2143" t="s">
        <v>88</v>
      </c>
      <c r="D2143" t="s">
        <v>2512</v>
      </c>
      <c r="E2143" t="s">
        <v>1194</v>
      </c>
      <c r="F2143" t="s">
        <v>88</v>
      </c>
      <c r="G2143" t="s">
        <v>88</v>
      </c>
      <c r="H2143" t="s">
        <v>92</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179</v>
      </c>
      <c r="B2144" t="s">
        <v>2210</v>
      </c>
      <c r="C2144" t="s">
        <v>88</v>
      </c>
      <c r="D2144" t="s">
        <v>88</v>
      </c>
      <c r="E2144" t="s">
        <v>1596</v>
      </c>
      <c r="F2144" t="s">
        <v>88</v>
      </c>
      <c r="G2144" t="s">
        <v>88</v>
      </c>
      <c r="H2144" t="s">
        <v>92</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179</v>
      </c>
      <c r="B2145" t="s">
        <v>608</v>
      </c>
      <c r="C2145" t="s">
        <v>88</v>
      </c>
      <c r="D2145" t="s">
        <v>88</v>
      </c>
      <c r="E2145" t="s">
        <v>2513</v>
      </c>
      <c r="F2145" t="s">
        <v>88</v>
      </c>
      <c r="G2145" t="s">
        <v>88</v>
      </c>
      <c r="H2145" t="s">
        <v>92</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179</v>
      </c>
      <c r="B2146" t="s">
        <v>2514</v>
      </c>
      <c r="C2146" t="s">
        <v>88</v>
      </c>
      <c r="D2146" t="s">
        <v>88</v>
      </c>
      <c r="E2146" t="s">
        <v>1598</v>
      </c>
      <c r="F2146" t="s">
        <v>88</v>
      </c>
      <c r="G2146" t="s">
        <v>88</v>
      </c>
      <c r="H2146" t="s">
        <v>92</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179</v>
      </c>
      <c r="B2147" t="s">
        <v>2120</v>
      </c>
      <c r="C2147" t="s">
        <v>88</v>
      </c>
      <c r="D2147" t="s">
        <v>88</v>
      </c>
      <c r="E2147" t="s">
        <v>732</v>
      </c>
      <c r="F2147" t="s">
        <v>88</v>
      </c>
      <c r="G2147" t="s">
        <v>88</v>
      </c>
      <c r="H2147" t="s">
        <v>92</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179</v>
      </c>
      <c r="B2148" t="s">
        <v>2515</v>
      </c>
      <c r="C2148" t="s">
        <v>88</v>
      </c>
      <c r="D2148" t="s">
        <v>2516</v>
      </c>
      <c r="E2148" t="s">
        <v>679</v>
      </c>
      <c r="F2148" t="s">
        <v>88</v>
      </c>
      <c r="G2148" t="s">
        <v>88</v>
      </c>
      <c r="H2148" t="s">
        <v>92</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179</v>
      </c>
      <c r="B2149" t="s">
        <v>1072</v>
      </c>
      <c r="C2149" t="s">
        <v>88</v>
      </c>
      <c r="D2149" t="s">
        <v>88</v>
      </c>
      <c r="E2149" t="s">
        <v>734</v>
      </c>
      <c r="F2149" t="s">
        <v>88</v>
      </c>
      <c r="G2149" t="s">
        <v>88</v>
      </c>
      <c r="H2149" t="s">
        <v>92</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179</v>
      </c>
      <c r="B2150" t="s">
        <v>701</v>
      </c>
      <c r="C2150" t="s">
        <v>88</v>
      </c>
      <c r="D2150" t="s">
        <v>88</v>
      </c>
      <c r="E2150" t="s">
        <v>734</v>
      </c>
      <c r="F2150" t="s">
        <v>88</v>
      </c>
      <c r="G2150" t="s">
        <v>88</v>
      </c>
      <c r="H2150" t="s">
        <v>92</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179</v>
      </c>
      <c r="B2151" t="s">
        <v>705</v>
      </c>
      <c r="C2151" t="s">
        <v>88</v>
      </c>
      <c r="D2151" t="s">
        <v>88</v>
      </c>
      <c r="E2151" t="s">
        <v>734</v>
      </c>
      <c r="F2151" t="s">
        <v>88</v>
      </c>
      <c r="G2151" t="s">
        <v>88</v>
      </c>
      <c r="H2151" t="s">
        <v>92</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179</v>
      </c>
      <c r="B2152" t="s">
        <v>706</v>
      </c>
      <c r="C2152" t="s">
        <v>88</v>
      </c>
      <c r="D2152" t="s">
        <v>88</v>
      </c>
      <c r="E2152" t="s">
        <v>734</v>
      </c>
      <c r="F2152" t="s">
        <v>88</v>
      </c>
      <c r="G2152" t="s">
        <v>88</v>
      </c>
      <c r="H2152" t="s">
        <v>92</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179</v>
      </c>
      <c r="B2153" t="s">
        <v>707</v>
      </c>
      <c r="C2153" t="s">
        <v>88</v>
      </c>
      <c r="D2153" t="s">
        <v>88</v>
      </c>
      <c r="E2153" t="s">
        <v>734</v>
      </c>
      <c r="F2153" t="s">
        <v>88</v>
      </c>
      <c r="G2153" t="s">
        <v>88</v>
      </c>
      <c r="H2153" t="s">
        <v>92</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179</v>
      </c>
      <c r="B2154" t="s">
        <v>708</v>
      </c>
      <c r="C2154" t="s">
        <v>88</v>
      </c>
      <c r="D2154" t="s">
        <v>88</v>
      </c>
      <c r="E2154" t="s">
        <v>734</v>
      </c>
      <c r="F2154" t="s">
        <v>88</v>
      </c>
      <c r="G2154" t="s">
        <v>88</v>
      </c>
      <c r="H2154" t="s">
        <v>92</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179</v>
      </c>
      <c r="B2155" t="s">
        <v>2135</v>
      </c>
      <c r="C2155" t="s">
        <v>88</v>
      </c>
      <c r="D2155" t="s">
        <v>88</v>
      </c>
      <c r="E2155" t="s">
        <v>710</v>
      </c>
      <c r="F2155" t="s">
        <v>88</v>
      </c>
      <c r="G2155" t="s">
        <v>88</v>
      </c>
      <c r="H2155" t="s">
        <v>92</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179</v>
      </c>
      <c r="B2156" t="s">
        <v>623</v>
      </c>
      <c r="C2156" t="s">
        <v>88</v>
      </c>
      <c r="D2156" t="s">
        <v>88</v>
      </c>
      <c r="E2156" t="s">
        <v>735</v>
      </c>
      <c r="F2156" t="s">
        <v>88</v>
      </c>
      <c r="G2156" t="s">
        <v>88</v>
      </c>
      <c r="H2156" t="s">
        <v>92</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179</v>
      </c>
      <c r="B2157" t="s">
        <v>714</v>
      </c>
      <c r="C2157" t="s">
        <v>88</v>
      </c>
      <c r="D2157" t="s">
        <v>88</v>
      </c>
      <c r="E2157" t="s">
        <v>702</v>
      </c>
      <c r="F2157" t="s">
        <v>88</v>
      </c>
      <c r="G2157" t="s">
        <v>88</v>
      </c>
      <c r="H2157" t="s">
        <v>92</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179</v>
      </c>
      <c r="B2158" t="s">
        <v>998</v>
      </c>
      <c r="C2158" t="s">
        <v>88</v>
      </c>
      <c r="D2158" t="s">
        <v>88</v>
      </c>
      <c r="E2158" t="s">
        <v>702</v>
      </c>
      <c r="F2158" t="s">
        <v>88</v>
      </c>
      <c r="G2158" t="s">
        <v>88</v>
      </c>
      <c r="H2158" t="s">
        <v>92</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179</v>
      </c>
      <c r="B2159" t="s">
        <v>2517</v>
      </c>
      <c r="C2159" t="s">
        <v>88</v>
      </c>
      <c r="D2159" t="s">
        <v>88</v>
      </c>
      <c r="E2159" t="s">
        <v>850</v>
      </c>
      <c r="F2159" t="s">
        <v>88</v>
      </c>
      <c r="G2159" t="s">
        <v>88</v>
      </c>
      <c r="H2159" t="s">
        <v>92</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179</v>
      </c>
      <c r="B2160" t="s">
        <v>2518</v>
      </c>
      <c r="C2160" t="s">
        <v>88</v>
      </c>
      <c r="D2160" t="s">
        <v>88</v>
      </c>
      <c r="E2160" t="s">
        <v>850</v>
      </c>
      <c r="F2160" t="s">
        <v>88</v>
      </c>
      <c r="G2160" t="s">
        <v>88</v>
      </c>
      <c r="H2160" t="s">
        <v>92</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179</v>
      </c>
      <c r="B2161" t="s">
        <v>2519</v>
      </c>
      <c r="C2161" t="s">
        <v>88</v>
      </c>
      <c r="D2161" t="s">
        <v>88</v>
      </c>
      <c r="E2161" t="s">
        <v>850</v>
      </c>
      <c r="F2161" t="s">
        <v>88</v>
      </c>
      <c r="G2161" t="s">
        <v>88</v>
      </c>
      <c r="H2161" t="s">
        <v>92</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179</v>
      </c>
      <c r="B2162" t="s">
        <v>625</v>
      </c>
      <c r="C2162" t="s">
        <v>88</v>
      </c>
      <c r="D2162" t="s">
        <v>88</v>
      </c>
      <c r="E2162" t="s">
        <v>626</v>
      </c>
      <c r="F2162" t="s">
        <v>88</v>
      </c>
      <c r="G2162" t="s">
        <v>88</v>
      </c>
      <c r="H2162" t="s">
        <v>92</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181</v>
      </c>
      <c r="B2163" t="s">
        <v>2520</v>
      </c>
      <c r="C2163" t="s">
        <v>88</v>
      </c>
      <c r="D2163" t="s">
        <v>2521</v>
      </c>
      <c r="E2163" t="s">
        <v>2470</v>
      </c>
      <c r="F2163" t="s">
        <v>88</v>
      </c>
      <c r="G2163" t="s">
        <v>88</v>
      </c>
      <c r="H2163" t="s">
        <v>92</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181</v>
      </c>
      <c r="B2164" t="s">
        <v>1770</v>
      </c>
      <c r="C2164" t="s">
        <v>88</v>
      </c>
      <c r="D2164" t="s">
        <v>2522</v>
      </c>
      <c r="E2164" t="s">
        <v>2523</v>
      </c>
      <c r="F2164" t="s">
        <v>88</v>
      </c>
      <c r="G2164" t="s">
        <v>88</v>
      </c>
      <c r="H2164" t="s">
        <v>92</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181</v>
      </c>
      <c r="B2165" t="s">
        <v>1768</v>
      </c>
      <c r="C2165" t="s">
        <v>88</v>
      </c>
      <c r="D2165" t="s">
        <v>2524</v>
      </c>
      <c r="E2165" t="s">
        <v>2525</v>
      </c>
      <c r="F2165" t="s">
        <v>88</v>
      </c>
      <c r="G2165" t="s">
        <v>88</v>
      </c>
      <c r="H2165" t="s">
        <v>92</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181</v>
      </c>
      <c r="B2166" t="s">
        <v>2526</v>
      </c>
      <c r="C2166" t="s">
        <v>88</v>
      </c>
      <c r="D2166" t="s">
        <v>2527</v>
      </c>
      <c r="E2166" t="s">
        <v>602</v>
      </c>
      <c r="F2166" t="s">
        <v>88</v>
      </c>
      <c r="G2166" t="s">
        <v>88</v>
      </c>
      <c r="H2166" t="s">
        <v>92</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181</v>
      </c>
      <c r="B2167" t="s">
        <v>2528</v>
      </c>
      <c r="C2167" t="s">
        <v>88</v>
      </c>
      <c r="D2167" t="s">
        <v>2529</v>
      </c>
      <c r="E2167" t="s">
        <v>2101</v>
      </c>
      <c r="F2167" t="s">
        <v>88</v>
      </c>
      <c r="G2167" t="s">
        <v>88</v>
      </c>
      <c r="H2167" t="s">
        <v>92</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181</v>
      </c>
      <c r="B2168" t="s">
        <v>583</v>
      </c>
      <c r="C2168" t="s">
        <v>88</v>
      </c>
      <c r="D2168" t="s">
        <v>2530</v>
      </c>
      <c r="E2168" t="s">
        <v>602</v>
      </c>
      <c r="F2168" t="s">
        <v>88</v>
      </c>
      <c r="G2168" t="s">
        <v>88</v>
      </c>
      <c r="H2168" t="s">
        <v>92</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181</v>
      </c>
      <c r="B2169" t="s">
        <v>2531</v>
      </c>
      <c r="C2169" t="s">
        <v>88</v>
      </c>
      <c r="D2169" t="s">
        <v>2532</v>
      </c>
      <c r="E2169" t="s">
        <v>2533</v>
      </c>
      <c r="F2169" t="s">
        <v>88</v>
      </c>
      <c r="G2169" t="s">
        <v>88</v>
      </c>
      <c r="H2169" t="s">
        <v>92</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181</v>
      </c>
      <c r="B2170" t="s">
        <v>2534</v>
      </c>
      <c r="C2170" t="s">
        <v>88</v>
      </c>
      <c r="D2170" t="s">
        <v>2535</v>
      </c>
      <c r="E2170" t="s">
        <v>2096</v>
      </c>
      <c r="F2170" t="s">
        <v>88</v>
      </c>
      <c r="G2170" t="s">
        <v>88</v>
      </c>
      <c r="H2170" t="s">
        <v>92</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181</v>
      </c>
      <c r="B2171" t="s">
        <v>2536</v>
      </c>
      <c r="C2171" t="s">
        <v>88</v>
      </c>
      <c r="D2171" t="s">
        <v>2537</v>
      </c>
      <c r="E2171" t="s">
        <v>591</v>
      </c>
      <c r="F2171" t="s">
        <v>88</v>
      </c>
      <c r="G2171" t="s">
        <v>88</v>
      </c>
      <c r="H2171" t="s">
        <v>92</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181</v>
      </c>
      <c r="B2172" t="s">
        <v>2538</v>
      </c>
      <c r="C2172" t="s">
        <v>88</v>
      </c>
      <c r="D2172" t="s">
        <v>2539</v>
      </c>
      <c r="E2172" t="s">
        <v>2540</v>
      </c>
      <c r="F2172" t="s">
        <v>88</v>
      </c>
      <c r="G2172" t="s">
        <v>88</v>
      </c>
      <c r="H2172" t="s">
        <v>92</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181</v>
      </c>
      <c r="B2173" t="s">
        <v>598</v>
      </c>
      <c r="C2173" t="s">
        <v>88</v>
      </c>
      <c r="D2173" t="s">
        <v>2541</v>
      </c>
      <c r="E2173" t="s">
        <v>2101</v>
      </c>
      <c r="F2173" t="s">
        <v>88</v>
      </c>
      <c r="G2173" t="s">
        <v>88</v>
      </c>
      <c r="H2173" t="s">
        <v>92</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181</v>
      </c>
      <c r="B2174" t="s">
        <v>2542</v>
      </c>
      <c r="C2174" t="s">
        <v>88</v>
      </c>
      <c r="D2174" t="s">
        <v>2543</v>
      </c>
      <c r="E2174" t="s">
        <v>582</v>
      </c>
      <c r="F2174" t="s">
        <v>88</v>
      </c>
      <c r="G2174" t="s">
        <v>88</v>
      </c>
      <c r="H2174" t="s">
        <v>92</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181</v>
      </c>
      <c r="B2175" t="s">
        <v>2544</v>
      </c>
      <c r="C2175" t="s">
        <v>88</v>
      </c>
      <c r="D2175" t="s">
        <v>2545</v>
      </c>
      <c r="E2175" t="s">
        <v>2546</v>
      </c>
      <c r="F2175" t="s">
        <v>88</v>
      </c>
      <c r="G2175" t="s">
        <v>88</v>
      </c>
      <c r="H2175" t="s">
        <v>92</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181</v>
      </c>
      <c r="B2176" t="s">
        <v>2547</v>
      </c>
      <c r="C2176" t="s">
        <v>88</v>
      </c>
      <c r="D2176" t="s">
        <v>2548</v>
      </c>
      <c r="E2176" t="s">
        <v>2546</v>
      </c>
      <c r="F2176" t="s">
        <v>88</v>
      </c>
      <c r="G2176" t="s">
        <v>88</v>
      </c>
      <c r="H2176" t="s">
        <v>92</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181</v>
      </c>
      <c r="B2177" t="s">
        <v>2549</v>
      </c>
      <c r="C2177" t="s">
        <v>88</v>
      </c>
      <c r="D2177" t="s">
        <v>2550</v>
      </c>
      <c r="E2177" t="s">
        <v>2540</v>
      </c>
      <c r="F2177" t="s">
        <v>88</v>
      </c>
      <c r="G2177" t="s">
        <v>88</v>
      </c>
      <c r="H2177" t="s">
        <v>92</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181</v>
      </c>
      <c r="B2178" t="s">
        <v>2551</v>
      </c>
      <c r="C2178" t="s">
        <v>88</v>
      </c>
      <c r="D2178" t="s">
        <v>2552</v>
      </c>
      <c r="E2178" t="s">
        <v>2540</v>
      </c>
      <c r="F2178" t="s">
        <v>88</v>
      </c>
      <c r="G2178" t="s">
        <v>88</v>
      </c>
      <c r="H2178" t="s">
        <v>92</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181</v>
      </c>
      <c r="B2179" t="s">
        <v>2553</v>
      </c>
      <c r="C2179" t="s">
        <v>88</v>
      </c>
      <c r="D2179" t="s">
        <v>694</v>
      </c>
      <c r="E2179" t="s">
        <v>585</v>
      </c>
      <c r="F2179" t="s">
        <v>88</v>
      </c>
      <c r="G2179" t="s">
        <v>88</v>
      </c>
      <c r="H2179" t="s">
        <v>92</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181</v>
      </c>
      <c r="B2180" t="s">
        <v>2554</v>
      </c>
      <c r="C2180" t="s">
        <v>88</v>
      </c>
      <c r="D2180" t="s">
        <v>694</v>
      </c>
      <c r="E2180" t="s">
        <v>2555</v>
      </c>
      <c r="F2180" t="s">
        <v>88</v>
      </c>
      <c r="G2180" t="s">
        <v>88</v>
      </c>
      <c r="H2180" t="s">
        <v>92</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181</v>
      </c>
      <c r="B2181" t="s">
        <v>2556</v>
      </c>
      <c r="C2181" t="s">
        <v>88</v>
      </c>
      <c r="D2181" t="s">
        <v>2557</v>
      </c>
      <c r="E2181" t="s">
        <v>2082</v>
      </c>
      <c r="F2181" t="s">
        <v>88</v>
      </c>
      <c r="G2181" t="s">
        <v>88</v>
      </c>
      <c r="H2181" t="s">
        <v>92</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181</v>
      </c>
      <c r="B2182" t="s">
        <v>2558</v>
      </c>
      <c r="C2182" t="s">
        <v>88</v>
      </c>
      <c r="D2182" t="s">
        <v>2559</v>
      </c>
      <c r="E2182" t="s">
        <v>647</v>
      </c>
      <c r="F2182" t="s">
        <v>88</v>
      </c>
      <c r="G2182" t="s">
        <v>88</v>
      </c>
      <c r="H2182" t="s">
        <v>92</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181</v>
      </c>
      <c r="B2183" t="s">
        <v>2560</v>
      </c>
      <c r="C2183" t="s">
        <v>88</v>
      </c>
      <c r="D2183" t="s">
        <v>2557</v>
      </c>
      <c r="E2183" t="s">
        <v>2555</v>
      </c>
      <c r="F2183" t="s">
        <v>88</v>
      </c>
      <c r="G2183" t="s">
        <v>88</v>
      </c>
      <c r="H2183" t="s">
        <v>92</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181</v>
      </c>
      <c r="B2184" t="s">
        <v>2561</v>
      </c>
      <c r="C2184" t="s">
        <v>88</v>
      </c>
      <c r="D2184" t="s">
        <v>2562</v>
      </c>
      <c r="E2184" t="s">
        <v>2540</v>
      </c>
      <c r="F2184" t="s">
        <v>88</v>
      </c>
      <c r="G2184" t="s">
        <v>88</v>
      </c>
      <c r="H2184" t="s">
        <v>92</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181</v>
      </c>
      <c r="B2185" t="s">
        <v>2563</v>
      </c>
      <c r="C2185" t="s">
        <v>88</v>
      </c>
      <c r="D2185" t="s">
        <v>694</v>
      </c>
      <c r="E2185" t="s">
        <v>2564</v>
      </c>
      <c r="F2185" t="s">
        <v>88</v>
      </c>
      <c r="G2185" t="s">
        <v>88</v>
      </c>
      <c r="H2185" t="s">
        <v>92</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181</v>
      </c>
      <c r="B2186" t="s">
        <v>2565</v>
      </c>
      <c r="C2186" t="s">
        <v>88</v>
      </c>
      <c r="D2186" t="s">
        <v>2566</v>
      </c>
      <c r="E2186" t="s">
        <v>605</v>
      </c>
      <c r="F2186" t="s">
        <v>88</v>
      </c>
      <c r="G2186" t="s">
        <v>88</v>
      </c>
      <c r="H2186" t="s">
        <v>92</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181</v>
      </c>
      <c r="B2187" t="s">
        <v>1874</v>
      </c>
      <c r="C2187" t="s">
        <v>88</v>
      </c>
      <c r="D2187" t="s">
        <v>88</v>
      </c>
      <c r="E2187" t="s">
        <v>2117</v>
      </c>
      <c r="F2187" t="s">
        <v>88</v>
      </c>
      <c r="G2187" t="s">
        <v>88</v>
      </c>
      <c r="H2187" t="s">
        <v>92</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181</v>
      </c>
      <c r="B2188" t="s">
        <v>2567</v>
      </c>
      <c r="C2188" t="s">
        <v>88</v>
      </c>
      <c r="D2188" t="s">
        <v>88</v>
      </c>
      <c r="E2188" t="s">
        <v>649</v>
      </c>
      <c r="F2188" t="s">
        <v>88</v>
      </c>
      <c r="G2188" t="s">
        <v>88</v>
      </c>
      <c r="H2188" t="s">
        <v>92</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181</v>
      </c>
      <c r="B2189" t="s">
        <v>2568</v>
      </c>
      <c r="C2189" t="s">
        <v>88</v>
      </c>
      <c r="D2189" t="s">
        <v>88</v>
      </c>
      <c r="E2189" t="s">
        <v>607</v>
      </c>
      <c r="F2189" t="s">
        <v>88</v>
      </c>
      <c r="G2189" t="s">
        <v>88</v>
      </c>
      <c r="H2189" t="s">
        <v>92</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181</v>
      </c>
      <c r="B2190" t="s">
        <v>2569</v>
      </c>
      <c r="C2190" t="s">
        <v>88</v>
      </c>
      <c r="D2190" t="s">
        <v>88</v>
      </c>
      <c r="E2190" t="s">
        <v>2066</v>
      </c>
      <c r="F2190" t="s">
        <v>88</v>
      </c>
      <c r="G2190" t="s">
        <v>88</v>
      </c>
      <c r="H2190" t="s">
        <v>92</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181</v>
      </c>
      <c r="B2191" t="s">
        <v>1632</v>
      </c>
      <c r="C2191" t="s">
        <v>88</v>
      </c>
      <c r="D2191" t="s">
        <v>88</v>
      </c>
      <c r="E2191" t="s">
        <v>605</v>
      </c>
      <c r="F2191" t="s">
        <v>88</v>
      </c>
      <c r="G2191" t="s">
        <v>88</v>
      </c>
      <c r="H2191" t="s">
        <v>92</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181</v>
      </c>
      <c r="B2192" t="s">
        <v>1127</v>
      </c>
      <c r="C2192" t="s">
        <v>88</v>
      </c>
      <c r="D2192" t="s">
        <v>88</v>
      </c>
      <c r="E2192" t="s">
        <v>605</v>
      </c>
      <c r="F2192" t="s">
        <v>88</v>
      </c>
      <c r="G2192" t="s">
        <v>88</v>
      </c>
      <c r="H2192" t="s">
        <v>92</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181</v>
      </c>
      <c r="B2193" t="s">
        <v>1072</v>
      </c>
      <c r="C2193" t="s">
        <v>88</v>
      </c>
      <c r="D2193" t="s">
        <v>88</v>
      </c>
      <c r="E2193" t="s">
        <v>1323</v>
      </c>
      <c r="F2193" t="s">
        <v>88</v>
      </c>
      <c r="G2193" t="s">
        <v>88</v>
      </c>
      <c r="H2193" t="s">
        <v>92</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181</v>
      </c>
      <c r="B2194" t="s">
        <v>701</v>
      </c>
      <c r="C2194" t="s">
        <v>88</v>
      </c>
      <c r="D2194" t="s">
        <v>88</v>
      </c>
      <c r="E2194" t="s">
        <v>1323</v>
      </c>
      <c r="F2194" t="s">
        <v>88</v>
      </c>
      <c r="G2194" t="s">
        <v>88</v>
      </c>
      <c r="H2194" t="s">
        <v>92</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181</v>
      </c>
      <c r="B2195" t="s">
        <v>703</v>
      </c>
      <c r="C2195" t="s">
        <v>88</v>
      </c>
      <c r="D2195" t="s">
        <v>88</v>
      </c>
      <c r="E2195" t="s">
        <v>1323</v>
      </c>
      <c r="F2195" t="s">
        <v>88</v>
      </c>
      <c r="G2195" t="s">
        <v>88</v>
      </c>
      <c r="H2195" t="s">
        <v>92</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181</v>
      </c>
      <c r="B2196" t="s">
        <v>705</v>
      </c>
      <c r="C2196" t="s">
        <v>88</v>
      </c>
      <c r="D2196" t="s">
        <v>88</v>
      </c>
      <c r="E2196" t="s">
        <v>1323</v>
      </c>
      <c r="F2196" t="s">
        <v>88</v>
      </c>
      <c r="G2196" t="s">
        <v>88</v>
      </c>
      <c r="H2196" t="s">
        <v>92</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181</v>
      </c>
      <c r="B2197" t="s">
        <v>706</v>
      </c>
      <c r="C2197" t="s">
        <v>88</v>
      </c>
      <c r="D2197" t="s">
        <v>88</v>
      </c>
      <c r="E2197" t="s">
        <v>1323</v>
      </c>
      <c r="F2197" t="s">
        <v>88</v>
      </c>
      <c r="G2197" t="s">
        <v>88</v>
      </c>
      <c r="H2197" t="s">
        <v>92</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181</v>
      </c>
      <c r="B2198" t="s">
        <v>2570</v>
      </c>
      <c r="C2198" t="s">
        <v>88</v>
      </c>
      <c r="D2198" t="s">
        <v>88</v>
      </c>
      <c r="E2198" t="s">
        <v>1323</v>
      </c>
      <c r="F2198" t="s">
        <v>88</v>
      </c>
      <c r="G2198" t="s">
        <v>88</v>
      </c>
      <c r="H2198" t="s">
        <v>92</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181</v>
      </c>
      <c r="B2199" t="s">
        <v>708</v>
      </c>
      <c r="C2199" t="s">
        <v>88</v>
      </c>
      <c r="D2199" t="s">
        <v>88</v>
      </c>
      <c r="E2199" t="s">
        <v>1323</v>
      </c>
      <c r="F2199" t="s">
        <v>88</v>
      </c>
      <c r="G2199" t="s">
        <v>88</v>
      </c>
      <c r="H2199" t="s">
        <v>92</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181</v>
      </c>
      <c r="B2200" t="s">
        <v>1820</v>
      </c>
      <c r="C2200" t="s">
        <v>88</v>
      </c>
      <c r="D2200" t="s">
        <v>88</v>
      </c>
      <c r="E2200" t="s">
        <v>732</v>
      </c>
      <c r="F2200" t="s">
        <v>88</v>
      </c>
      <c r="G2200" t="s">
        <v>88</v>
      </c>
      <c r="H2200" t="s">
        <v>92</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181</v>
      </c>
      <c r="B2201" t="s">
        <v>2571</v>
      </c>
      <c r="C2201" t="s">
        <v>88</v>
      </c>
      <c r="D2201" t="s">
        <v>88</v>
      </c>
      <c r="E2201" t="s">
        <v>734</v>
      </c>
      <c r="F2201" t="s">
        <v>88</v>
      </c>
      <c r="G2201" t="s">
        <v>88</v>
      </c>
      <c r="H2201" t="s">
        <v>92</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181</v>
      </c>
      <c r="B2202" t="s">
        <v>622</v>
      </c>
      <c r="C2202" t="s">
        <v>88</v>
      </c>
      <c r="D2202" t="s">
        <v>88</v>
      </c>
      <c r="E2202" t="s">
        <v>734</v>
      </c>
      <c r="F2202" t="s">
        <v>88</v>
      </c>
      <c r="G2202" t="s">
        <v>88</v>
      </c>
      <c r="H2202" t="s">
        <v>92</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181</v>
      </c>
      <c r="B2203" t="s">
        <v>623</v>
      </c>
      <c r="C2203" t="s">
        <v>88</v>
      </c>
      <c r="D2203" t="s">
        <v>88</v>
      </c>
      <c r="E2203" t="s">
        <v>711</v>
      </c>
      <c r="F2203" t="s">
        <v>88</v>
      </c>
      <c r="G2203" t="s">
        <v>88</v>
      </c>
      <c r="H2203" t="s">
        <v>92</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181</v>
      </c>
      <c r="B2204" t="s">
        <v>714</v>
      </c>
      <c r="C2204" t="s">
        <v>88</v>
      </c>
      <c r="D2204" t="s">
        <v>88</v>
      </c>
      <c r="E2204" t="s">
        <v>738</v>
      </c>
      <c r="F2204" t="s">
        <v>88</v>
      </c>
      <c r="G2204" t="s">
        <v>88</v>
      </c>
      <c r="H2204" t="s">
        <v>92</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181</v>
      </c>
      <c r="B2205" t="s">
        <v>1075</v>
      </c>
      <c r="C2205" t="s">
        <v>88</v>
      </c>
      <c r="D2205" t="s">
        <v>88</v>
      </c>
      <c r="E2205" t="s">
        <v>738</v>
      </c>
      <c r="F2205" t="s">
        <v>88</v>
      </c>
      <c r="G2205" t="s">
        <v>88</v>
      </c>
      <c r="H2205" t="s">
        <v>92</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181</v>
      </c>
      <c r="B2206" t="s">
        <v>998</v>
      </c>
      <c r="C2206" t="s">
        <v>88</v>
      </c>
      <c r="D2206" t="s">
        <v>88</v>
      </c>
      <c r="E2206" t="s">
        <v>738</v>
      </c>
      <c r="F2206" t="s">
        <v>88</v>
      </c>
      <c r="G2206" t="s">
        <v>88</v>
      </c>
      <c r="H2206" t="s">
        <v>92</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181</v>
      </c>
      <c r="B2207" t="s">
        <v>1073</v>
      </c>
      <c r="C2207" t="s">
        <v>88</v>
      </c>
      <c r="D2207" t="s">
        <v>88</v>
      </c>
      <c r="E2207" t="s">
        <v>738</v>
      </c>
      <c r="F2207" t="s">
        <v>88</v>
      </c>
      <c r="G2207" t="s">
        <v>88</v>
      </c>
      <c r="H2207" t="s">
        <v>92</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181</v>
      </c>
      <c r="B2208" t="s">
        <v>2572</v>
      </c>
      <c r="C2208" t="s">
        <v>88</v>
      </c>
      <c r="D2208" t="s">
        <v>88</v>
      </c>
      <c r="E2208" t="s">
        <v>738</v>
      </c>
      <c r="F2208" t="s">
        <v>88</v>
      </c>
      <c r="G2208" t="s">
        <v>88</v>
      </c>
      <c r="H2208" t="s">
        <v>92</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181</v>
      </c>
      <c r="B2209" t="s">
        <v>1033</v>
      </c>
      <c r="C2209" t="s">
        <v>88</v>
      </c>
      <c r="D2209" t="s">
        <v>88</v>
      </c>
      <c r="E2209" t="s">
        <v>715</v>
      </c>
      <c r="F2209" t="s">
        <v>88</v>
      </c>
      <c r="G2209" t="s">
        <v>88</v>
      </c>
      <c r="H2209" t="s">
        <v>92</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181</v>
      </c>
      <c r="B2210" t="s">
        <v>2573</v>
      </c>
      <c r="C2210" t="s">
        <v>88</v>
      </c>
      <c r="D2210" t="s">
        <v>88</v>
      </c>
      <c r="E2210" t="s">
        <v>849</v>
      </c>
      <c r="F2210" t="s">
        <v>88</v>
      </c>
      <c r="G2210" t="s">
        <v>88</v>
      </c>
      <c r="H2210" t="s">
        <v>92</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181</v>
      </c>
      <c r="B2211" t="s">
        <v>2574</v>
      </c>
      <c r="C2211" t="s">
        <v>88</v>
      </c>
      <c r="D2211" t="s">
        <v>88</v>
      </c>
      <c r="E2211" t="s">
        <v>735</v>
      </c>
      <c r="F2211" t="s">
        <v>88</v>
      </c>
      <c r="G2211" t="s">
        <v>88</v>
      </c>
      <c r="H2211" t="s">
        <v>92</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181</v>
      </c>
      <c r="B2212" t="s">
        <v>1611</v>
      </c>
      <c r="C2212" t="s">
        <v>88</v>
      </c>
      <c r="D2212" t="s">
        <v>88</v>
      </c>
      <c r="E2212" t="s">
        <v>849</v>
      </c>
      <c r="F2212" t="s">
        <v>88</v>
      </c>
      <c r="G2212" t="s">
        <v>88</v>
      </c>
      <c r="H2212" t="s">
        <v>92</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181</v>
      </c>
      <c r="B2213" t="s">
        <v>1609</v>
      </c>
      <c r="C2213" t="s">
        <v>88</v>
      </c>
      <c r="D2213" t="s">
        <v>88</v>
      </c>
      <c r="E2213" t="s">
        <v>849</v>
      </c>
      <c r="F2213" t="s">
        <v>88</v>
      </c>
      <c r="G2213" t="s">
        <v>88</v>
      </c>
      <c r="H2213" t="s">
        <v>92</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181</v>
      </c>
      <c r="B2214" t="s">
        <v>2575</v>
      </c>
      <c r="C2214" t="s">
        <v>88</v>
      </c>
      <c r="D2214" t="s">
        <v>88</v>
      </c>
      <c r="E2214" t="s">
        <v>735</v>
      </c>
      <c r="F2214" t="s">
        <v>88</v>
      </c>
      <c r="G2214" t="s">
        <v>88</v>
      </c>
      <c r="H2214" t="s">
        <v>92</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181</v>
      </c>
      <c r="B2215" t="s">
        <v>2576</v>
      </c>
      <c r="C2215" t="s">
        <v>88</v>
      </c>
      <c r="D2215" t="s">
        <v>88</v>
      </c>
      <c r="E2215" t="s">
        <v>735</v>
      </c>
      <c r="F2215" t="s">
        <v>88</v>
      </c>
      <c r="G2215" t="s">
        <v>88</v>
      </c>
      <c r="H2215" t="s">
        <v>92</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181</v>
      </c>
      <c r="B2216" t="s">
        <v>2577</v>
      </c>
      <c r="C2216" t="s">
        <v>88</v>
      </c>
      <c r="D2216" t="s">
        <v>88</v>
      </c>
      <c r="E2216" t="s">
        <v>735</v>
      </c>
      <c r="F2216" t="s">
        <v>88</v>
      </c>
      <c r="G2216" t="s">
        <v>88</v>
      </c>
      <c r="H2216" t="s">
        <v>92</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181</v>
      </c>
      <c r="B2217" t="s">
        <v>2578</v>
      </c>
      <c r="C2217" t="s">
        <v>88</v>
      </c>
      <c r="D2217" t="s">
        <v>88</v>
      </c>
      <c r="E2217" t="s">
        <v>735</v>
      </c>
      <c r="F2217" t="s">
        <v>88</v>
      </c>
      <c r="G2217" t="s">
        <v>88</v>
      </c>
      <c r="H2217" t="s">
        <v>92</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181</v>
      </c>
      <c r="B2218" t="s">
        <v>2579</v>
      </c>
      <c r="C2218" t="s">
        <v>88</v>
      </c>
      <c r="D2218" t="s">
        <v>88</v>
      </c>
      <c r="E2218" t="s">
        <v>735</v>
      </c>
      <c r="F2218" t="s">
        <v>88</v>
      </c>
      <c r="G2218" t="s">
        <v>88</v>
      </c>
      <c r="H2218" t="s">
        <v>92</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181</v>
      </c>
      <c r="B2219" t="s">
        <v>625</v>
      </c>
      <c r="C2219" t="s">
        <v>88</v>
      </c>
      <c r="D2219" t="s">
        <v>88</v>
      </c>
      <c r="E2219" t="s">
        <v>626</v>
      </c>
      <c r="F2219" t="s">
        <v>88</v>
      </c>
      <c r="G2219" t="s">
        <v>88</v>
      </c>
      <c r="H2219" t="s">
        <v>92</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182</v>
      </c>
      <c r="B2220" t="s">
        <v>1774</v>
      </c>
      <c r="C2220" t="s">
        <v>88</v>
      </c>
      <c r="D2220" t="s">
        <v>2580</v>
      </c>
      <c r="E2220" t="s">
        <v>2581</v>
      </c>
      <c r="F2220" t="s">
        <v>88</v>
      </c>
      <c r="G2220" t="s">
        <v>88</v>
      </c>
      <c r="H2220" t="s">
        <v>92</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182</v>
      </c>
      <c r="B2221" t="s">
        <v>2582</v>
      </c>
      <c r="C2221" t="s">
        <v>88</v>
      </c>
      <c r="D2221" t="s">
        <v>2583</v>
      </c>
      <c r="E2221" t="s">
        <v>2584</v>
      </c>
      <c r="F2221" t="s">
        <v>88</v>
      </c>
      <c r="G2221" t="s">
        <v>88</v>
      </c>
      <c r="H2221" t="s">
        <v>92</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182</v>
      </c>
      <c r="B2222" t="s">
        <v>1632</v>
      </c>
      <c r="C2222" t="s">
        <v>88</v>
      </c>
      <c r="D2222" t="s">
        <v>88</v>
      </c>
      <c r="E2222" t="s">
        <v>2585</v>
      </c>
      <c r="F2222" t="s">
        <v>88</v>
      </c>
      <c r="G2222" t="s">
        <v>88</v>
      </c>
      <c r="H2222" t="s">
        <v>92</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182</v>
      </c>
      <c r="B2223" t="s">
        <v>2586</v>
      </c>
      <c r="C2223" t="s">
        <v>88</v>
      </c>
      <c r="D2223" t="s">
        <v>2587</v>
      </c>
      <c r="E2223" t="s">
        <v>2546</v>
      </c>
      <c r="F2223" t="s">
        <v>88</v>
      </c>
      <c r="G2223" t="s">
        <v>88</v>
      </c>
      <c r="H2223" t="s">
        <v>92</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182</v>
      </c>
      <c r="B2224" t="s">
        <v>2588</v>
      </c>
      <c r="C2224" t="s">
        <v>88</v>
      </c>
      <c r="D2224" t="s">
        <v>2589</v>
      </c>
      <c r="E2224" t="s">
        <v>643</v>
      </c>
      <c r="F2224" t="s">
        <v>88</v>
      </c>
      <c r="G2224" t="s">
        <v>88</v>
      </c>
      <c r="H2224" t="s">
        <v>92</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182</v>
      </c>
      <c r="B2225" t="s">
        <v>2582</v>
      </c>
      <c r="C2225" t="s">
        <v>88</v>
      </c>
      <c r="D2225" t="s">
        <v>2583</v>
      </c>
      <c r="E2225" t="s">
        <v>2584</v>
      </c>
      <c r="F2225" t="s">
        <v>88</v>
      </c>
      <c r="G2225" t="s">
        <v>88</v>
      </c>
      <c r="H2225" t="s">
        <v>92</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182</v>
      </c>
      <c r="B2226" t="s">
        <v>2590</v>
      </c>
      <c r="C2226" t="s">
        <v>88</v>
      </c>
      <c r="D2226" t="s">
        <v>2591</v>
      </c>
      <c r="E2226" t="s">
        <v>2232</v>
      </c>
      <c r="F2226" t="s">
        <v>88</v>
      </c>
      <c r="G2226" t="s">
        <v>88</v>
      </c>
      <c r="H2226" t="s">
        <v>92</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182</v>
      </c>
      <c r="B2227" t="s">
        <v>2592</v>
      </c>
      <c r="C2227" t="s">
        <v>88</v>
      </c>
      <c r="D2227" t="s">
        <v>2593</v>
      </c>
      <c r="E2227" t="s">
        <v>2594</v>
      </c>
      <c r="F2227" t="s">
        <v>88</v>
      </c>
      <c r="G2227" t="s">
        <v>88</v>
      </c>
      <c r="H2227" t="s">
        <v>92</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182</v>
      </c>
      <c r="B2228" t="s">
        <v>2595</v>
      </c>
      <c r="C2228" t="s">
        <v>88</v>
      </c>
      <c r="D2228" t="s">
        <v>2596</v>
      </c>
      <c r="E2228" t="s">
        <v>2597</v>
      </c>
      <c r="F2228" t="s">
        <v>88</v>
      </c>
      <c r="G2228" t="s">
        <v>88</v>
      </c>
      <c r="H2228" t="s">
        <v>92</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182</v>
      </c>
      <c r="B2229" t="s">
        <v>2598</v>
      </c>
      <c r="C2229" t="s">
        <v>88</v>
      </c>
      <c r="D2229" t="s">
        <v>2599</v>
      </c>
      <c r="E2229" t="s">
        <v>2546</v>
      </c>
      <c r="F2229" t="s">
        <v>88</v>
      </c>
      <c r="G2229" t="s">
        <v>88</v>
      </c>
      <c r="H2229" t="s">
        <v>92</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182</v>
      </c>
      <c r="B2230" t="s">
        <v>2586</v>
      </c>
      <c r="C2230" t="s">
        <v>88</v>
      </c>
      <c r="D2230" t="s">
        <v>2587</v>
      </c>
      <c r="E2230" t="s">
        <v>2546</v>
      </c>
      <c r="F2230" t="s">
        <v>88</v>
      </c>
      <c r="G2230" t="s">
        <v>88</v>
      </c>
      <c r="H2230" t="s">
        <v>92</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182</v>
      </c>
      <c r="B2231" t="s">
        <v>1774</v>
      </c>
      <c r="C2231" t="s">
        <v>88</v>
      </c>
      <c r="D2231" t="s">
        <v>2580</v>
      </c>
      <c r="E2231" t="s">
        <v>2581</v>
      </c>
      <c r="F2231" t="s">
        <v>88</v>
      </c>
      <c r="G2231" t="s">
        <v>88</v>
      </c>
      <c r="H2231" t="s">
        <v>92</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182</v>
      </c>
      <c r="B2232" t="s">
        <v>2600</v>
      </c>
      <c r="C2232" t="s">
        <v>88</v>
      </c>
      <c r="D2232" t="s">
        <v>2601</v>
      </c>
      <c r="E2232" t="s">
        <v>2235</v>
      </c>
      <c r="F2232" t="s">
        <v>88</v>
      </c>
      <c r="G2232" t="s">
        <v>88</v>
      </c>
      <c r="H2232" t="s">
        <v>92</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182</v>
      </c>
      <c r="B2233" t="s">
        <v>1772</v>
      </c>
      <c r="C2233" t="s">
        <v>88</v>
      </c>
      <c r="D2233" t="s">
        <v>2602</v>
      </c>
      <c r="E2233" t="s">
        <v>2581</v>
      </c>
      <c r="F2233" t="s">
        <v>88</v>
      </c>
      <c r="G2233" t="s">
        <v>88</v>
      </c>
      <c r="H2233" t="s">
        <v>92</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182</v>
      </c>
      <c r="B2234" t="s">
        <v>2603</v>
      </c>
      <c r="C2234" t="s">
        <v>88</v>
      </c>
      <c r="D2234" t="s">
        <v>2604</v>
      </c>
      <c r="E2234" t="s">
        <v>2581</v>
      </c>
      <c r="F2234" t="s">
        <v>88</v>
      </c>
      <c r="G2234" t="s">
        <v>88</v>
      </c>
      <c r="H2234" t="s">
        <v>92</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182</v>
      </c>
      <c r="B2235" t="s">
        <v>1770</v>
      </c>
      <c r="C2235" t="s">
        <v>88</v>
      </c>
      <c r="D2235" t="s">
        <v>2605</v>
      </c>
      <c r="E2235" t="s">
        <v>2581</v>
      </c>
      <c r="F2235" t="s">
        <v>88</v>
      </c>
      <c r="G2235" t="s">
        <v>88</v>
      </c>
      <c r="H2235" t="s">
        <v>92</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182</v>
      </c>
      <c r="B2236" t="s">
        <v>1768</v>
      </c>
      <c r="C2236" t="s">
        <v>88</v>
      </c>
      <c r="D2236" t="s">
        <v>2606</v>
      </c>
      <c r="E2236" t="s">
        <v>2581</v>
      </c>
      <c r="F2236" t="s">
        <v>88</v>
      </c>
      <c r="G2236" t="s">
        <v>88</v>
      </c>
      <c r="H2236" t="s">
        <v>92</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182</v>
      </c>
      <c r="B2237" t="s">
        <v>2607</v>
      </c>
      <c r="C2237" t="s">
        <v>88</v>
      </c>
      <c r="D2237" t="s">
        <v>2608</v>
      </c>
      <c r="E2237" t="s">
        <v>2581</v>
      </c>
      <c r="F2237" t="s">
        <v>88</v>
      </c>
      <c r="G2237" t="s">
        <v>88</v>
      </c>
      <c r="H2237" t="s">
        <v>92</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182</v>
      </c>
      <c r="B2238" t="s">
        <v>2609</v>
      </c>
      <c r="C2238" t="s">
        <v>88</v>
      </c>
      <c r="D2238" t="s">
        <v>2610</v>
      </c>
      <c r="E2238" t="s">
        <v>588</v>
      </c>
      <c r="F2238" t="s">
        <v>88</v>
      </c>
      <c r="G2238" t="s">
        <v>88</v>
      </c>
      <c r="H2238" t="s">
        <v>92</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182</v>
      </c>
      <c r="B2239" t="s">
        <v>2611</v>
      </c>
      <c r="C2239" t="s">
        <v>88</v>
      </c>
      <c r="D2239" t="s">
        <v>2612</v>
      </c>
      <c r="E2239" t="s">
        <v>588</v>
      </c>
      <c r="F2239" t="s">
        <v>88</v>
      </c>
      <c r="G2239" t="s">
        <v>88</v>
      </c>
      <c r="H2239" t="s">
        <v>92</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182</v>
      </c>
      <c r="B2240" t="s">
        <v>2613</v>
      </c>
      <c r="C2240" t="s">
        <v>88</v>
      </c>
      <c r="D2240" t="s">
        <v>2614</v>
      </c>
      <c r="E2240" t="s">
        <v>588</v>
      </c>
      <c r="F2240" t="s">
        <v>88</v>
      </c>
      <c r="G2240" t="s">
        <v>88</v>
      </c>
      <c r="H2240" t="s">
        <v>92</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182</v>
      </c>
      <c r="B2241" t="s">
        <v>2615</v>
      </c>
      <c r="C2241" t="s">
        <v>88</v>
      </c>
      <c r="D2241" t="s">
        <v>2616</v>
      </c>
      <c r="E2241" t="s">
        <v>588</v>
      </c>
      <c r="F2241" t="s">
        <v>88</v>
      </c>
      <c r="G2241" t="s">
        <v>88</v>
      </c>
      <c r="H2241" t="s">
        <v>92</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182</v>
      </c>
      <c r="B2242" t="s">
        <v>2617</v>
      </c>
      <c r="C2242" t="s">
        <v>88</v>
      </c>
      <c r="D2242" t="s">
        <v>2618</v>
      </c>
      <c r="E2242" t="s">
        <v>588</v>
      </c>
      <c r="F2242" t="s">
        <v>88</v>
      </c>
      <c r="G2242" t="s">
        <v>88</v>
      </c>
      <c r="H2242" t="s">
        <v>92</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182</v>
      </c>
      <c r="B2243" t="s">
        <v>2619</v>
      </c>
      <c r="C2243" t="s">
        <v>88</v>
      </c>
      <c r="D2243" t="s">
        <v>2620</v>
      </c>
      <c r="E2243" t="s">
        <v>588</v>
      </c>
      <c r="F2243" t="s">
        <v>88</v>
      </c>
      <c r="G2243" t="s">
        <v>88</v>
      </c>
      <c r="H2243" t="s">
        <v>92</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182</v>
      </c>
      <c r="B2244" t="s">
        <v>2621</v>
      </c>
      <c r="C2244" t="s">
        <v>88</v>
      </c>
      <c r="D2244" t="s">
        <v>2622</v>
      </c>
      <c r="E2244" t="s">
        <v>588</v>
      </c>
      <c r="F2244" t="s">
        <v>88</v>
      </c>
      <c r="G2244" t="s">
        <v>88</v>
      </c>
      <c r="H2244" t="s">
        <v>92</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182</v>
      </c>
      <c r="B2245" t="s">
        <v>2275</v>
      </c>
      <c r="C2245" t="s">
        <v>88</v>
      </c>
      <c r="D2245" t="s">
        <v>2623</v>
      </c>
      <c r="E2245" t="s">
        <v>588</v>
      </c>
      <c r="F2245" t="s">
        <v>88</v>
      </c>
      <c r="G2245" t="s">
        <v>88</v>
      </c>
      <c r="H2245" t="s">
        <v>92</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182</v>
      </c>
      <c r="B2246" t="s">
        <v>2624</v>
      </c>
      <c r="C2246" t="s">
        <v>88</v>
      </c>
      <c r="D2246" t="s">
        <v>2625</v>
      </c>
      <c r="E2246" t="s">
        <v>588</v>
      </c>
      <c r="F2246" t="s">
        <v>88</v>
      </c>
      <c r="G2246" t="s">
        <v>88</v>
      </c>
      <c r="H2246" t="s">
        <v>92</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182</v>
      </c>
      <c r="B2247" t="s">
        <v>2626</v>
      </c>
      <c r="C2247" t="s">
        <v>88</v>
      </c>
      <c r="D2247" t="s">
        <v>2627</v>
      </c>
      <c r="E2247" t="s">
        <v>588</v>
      </c>
      <c r="F2247" t="s">
        <v>88</v>
      </c>
      <c r="G2247" t="s">
        <v>88</v>
      </c>
      <c r="H2247" t="s">
        <v>92</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182</v>
      </c>
      <c r="B2248" t="s">
        <v>2628</v>
      </c>
      <c r="C2248" t="s">
        <v>88</v>
      </c>
      <c r="D2248" t="s">
        <v>2629</v>
      </c>
      <c r="E2248" t="s">
        <v>588</v>
      </c>
      <c r="F2248" t="s">
        <v>88</v>
      </c>
      <c r="G2248" t="s">
        <v>88</v>
      </c>
      <c r="H2248" t="s">
        <v>92</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182</v>
      </c>
      <c r="B2249" t="s">
        <v>2630</v>
      </c>
      <c r="C2249" t="s">
        <v>88</v>
      </c>
      <c r="D2249" t="s">
        <v>2631</v>
      </c>
      <c r="E2249" t="s">
        <v>588</v>
      </c>
      <c r="F2249" t="s">
        <v>88</v>
      </c>
      <c r="G2249" t="s">
        <v>88</v>
      </c>
      <c r="H2249" t="s">
        <v>92</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182</v>
      </c>
      <c r="B2250" t="s">
        <v>2632</v>
      </c>
      <c r="C2250" t="s">
        <v>88</v>
      </c>
      <c r="D2250" t="s">
        <v>2633</v>
      </c>
      <c r="E2250" t="s">
        <v>588</v>
      </c>
      <c r="F2250" t="s">
        <v>88</v>
      </c>
      <c r="G2250" t="s">
        <v>88</v>
      </c>
      <c r="H2250" t="s">
        <v>92</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182</v>
      </c>
      <c r="B2251" t="s">
        <v>2634</v>
      </c>
      <c r="C2251" t="s">
        <v>88</v>
      </c>
      <c r="D2251" t="s">
        <v>2635</v>
      </c>
      <c r="E2251" t="s">
        <v>588</v>
      </c>
      <c r="F2251" t="s">
        <v>88</v>
      </c>
      <c r="G2251" t="s">
        <v>88</v>
      </c>
      <c r="H2251" t="s">
        <v>92</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182</v>
      </c>
      <c r="B2252" t="s">
        <v>2636</v>
      </c>
      <c r="C2252" t="s">
        <v>88</v>
      </c>
      <c r="D2252" t="s">
        <v>2637</v>
      </c>
      <c r="E2252" t="s">
        <v>588</v>
      </c>
      <c r="F2252" t="s">
        <v>88</v>
      </c>
      <c r="G2252" t="s">
        <v>88</v>
      </c>
      <c r="H2252" t="s">
        <v>92</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182</v>
      </c>
      <c r="B2253" t="s">
        <v>2638</v>
      </c>
      <c r="C2253" t="s">
        <v>88</v>
      </c>
      <c r="D2253" t="s">
        <v>2637</v>
      </c>
      <c r="E2253" t="s">
        <v>588</v>
      </c>
      <c r="F2253" t="s">
        <v>88</v>
      </c>
      <c r="G2253" t="s">
        <v>88</v>
      </c>
      <c r="H2253" t="s">
        <v>92</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182</v>
      </c>
      <c r="B2254" t="s">
        <v>2639</v>
      </c>
      <c r="C2254" t="s">
        <v>88</v>
      </c>
      <c r="D2254" t="s">
        <v>2640</v>
      </c>
      <c r="E2254" t="s">
        <v>588</v>
      </c>
      <c r="F2254" t="s">
        <v>88</v>
      </c>
      <c r="G2254" t="s">
        <v>88</v>
      </c>
      <c r="H2254" t="s">
        <v>92</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182</v>
      </c>
      <c r="B2255" t="s">
        <v>2641</v>
      </c>
      <c r="C2255" t="s">
        <v>88</v>
      </c>
      <c r="D2255" t="s">
        <v>2637</v>
      </c>
      <c r="E2255" t="s">
        <v>588</v>
      </c>
      <c r="F2255" t="s">
        <v>88</v>
      </c>
      <c r="G2255" t="s">
        <v>88</v>
      </c>
      <c r="H2255" t="s">
        <v>92</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182</v>
      </c>
      <c r="B2256" t="s">
        <v>2224</v>
      </c>
      <c r="C2256" t="s">
        <v>88</v>
      </c>
      <c r="D2256" t="s">
        <v>2642</v>
      </c>
      <c r="E2256" t="s">
        <v>2643</v>
      </c>
      <c r="F2256" t="s">
        <v>88</v>
      </c>
      <c r="G2256" t="s">
        <v>88</v>
      </c>
      <c r="H2256" t="s">
        <v>92</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182</v>
      </c>
      <c r="B2257" t="s">
        <v>2644</v>
      </c>
      <c r="C2257" t="s">
        <v>88</v>
      </c>
      <c r="D2257" t="s">
        <v>88</v>
      </c>
      <c r="E2257" t="s">
        <v>2645</v>
      </c>
      <c r="F2257" t="s">
        <v>88</v>
      </c>
      <c r="G2257" t="s">
        <v>88</v>
      </c>
      <c r="H2257" t="s">
        <v>92</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182</v>
      </c>
      <c r="B2258" t="s">
        <v>2227</v>
      </c>
      <c r="C2258" t="s">
        <v>88</v>
      </c>
      <c r="D2258" t="s">
        <v>88</v>
      </c>
      <c r="E2258" t="s">
        <v>643</v>
      </c>
      <c r="F2258" t="s">
        <v>88</v>
      </c>
      <c r="G2258" t="s">
        <v>88</v>
      </c>
      <c r="H2258" t="s">
        <v>92</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182</v>
      </c>
      <c r="B2259" t="s">
        <v>2646</v>
      </c>
      <c r="C2259" t="s">
        <v>88</v>
      </c>
      <c r="D2259" t="s">
        <v>88</v>
      </c>
      <c r="E2259" t="s">
        <v>2647</v>
      </c>
      <c r="F2259" t="s">
        <v>88</v>
      </c>
      <c r="G2259" t="s">
        <v>88</v>
      </c>
      <c r="H2259" t="s">
        <v>92</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182</v>
      </c>
      <c r="B2260" t="s">
        <v>2648</v>
      </c>
      <c r="C2260" t="s">
        <v>88</v>
      </c>
      <c r="D2260" t="s">
        <v>88</v>
      </c>
      <c r="E2260" t="s">
        <v>2540</v>
      </c>
      <c r="F2260" t="s">
        <v>88</v>
      </c>
      <c r="G2260" t="s">
        <v>88</v>
      </c>
      <c r="H2260" t="s">
        <v>92</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182</v>
      </c>
      <c r="B2261" t="s">
        <v>2567</v>
      </c>
      <c r="C2261" t="s">
        <v>88</v>
      </c>
      <c r="D2261" t="s">
        <v>88</v>
      </c>
      <c r="E2261" t="s">
        <v>2649</v>
      </c>
      <c r="F2261" t="s">
        <v>88</v>
      </c>
      <c r="G2261" t="s">
        <v>88</v>
      </c>
      <c r="H2261" t="s">
        <v>92</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182</v>
      </c>
      <c r="B2262" t="s">
        <v>2650</v>
      </c>
      <c r="C2262" t="s">
        <v>88</v>
      </c>
      <c r="D2262" t="s">
        <v>88</v>
      </c>
      <c r="E2262" t="s">
        <v>647</v>
      </c>
      <c r="F2262" t="s">
        <v>88</v>
      </c>
      <c r="G2262" t="s">
        <v>88</v>
      </c>
      <c r="H2262" t="s">
        <v>92</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182</v>
      </c>
      <c r="B2263" t="s">
        <v>2651</v>
      </c>
      <c r="C2263" t="s">
        <v>88</v>
      </c>
      <c r="D2263" t="s">
        <v>88</v>
      </c>
      <c r="E2263" t="s">
        <v>647</v>
      </c>
      <c r="F2263" t="s">
        <v>88</v>
      </c>
      <c r="G2263" t="s">
        <v>88</v>
      </c>
      <c r="H2263" t="s">
        <v>92</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182</v>
      </c>
      <c r="B2264" t="s">
        <v>1127</v>
      </c>
      <c r="C2264" t="s">
        <v>88</v>
      </c>
      <c r="D2264" t="s">
        <v>88</v>
      </c>
      <c r="E2264" t="s">
        <v>2585</v>
      </c>
      <c r="F2264" t="s">
        <v>88</v>
      </c>
      <c r="G2264" t="s">
        <v>88</v>
      </c>
      <c r="H2264" t="s">
        <v>92</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182</v>
      </c>
      <c r="B2265" t="s">
        <v>1632</v>
      </c>
      <c r="C2265" t="s">
        <v>88</v>
      </c>
      <c r="D2265" t="s">
        <v>88</v>
      </c>
      <c r="E2265" t="s">
        <v>2585</v>
      </c>
      <c r="F2265" t="s">
        <v>88</v>
      </c>
      <c r="G2265" t="s">
        <v>88</v>
      </c>
      <c r="H2265" t="s">
        <v>92</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182</v>
      </c>
      <c r="B2266" t="s">
        <v>701</v>
      </c>
      <c r="C2266" t="s">
        <v>88</v>
      </c>
      <c r="D2266" t="s">
        <v>88</v>
      </c>
      <c r="E2266" t="s">
        <v>1323</v>
      </c>
      <c r="F2266" t="s">
        <v>88</v>
      </c>
      <c r="G2266" t="s">
        <v>88</v>
      </c>
      <c r="H2266" t="s">
        <v>92</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182</v>
      </c>
      <c r="B2267" t="s">
        <v>703</v>
      </c>
      <c r="C2267" t="s">
        <v>88</v>
      </c>
      <c r="D2267" t="s">
        <v>88</v>
      </c>
      <c r="E2267" t="s">
        <v>1323</v>
      </c>
      <c r="F2267" t="s">
        <v>88</v>
      </c>
      <c r="G2267" t="s">
        <v>88</v>
      </c>
      <c r="H2267" t="s">
        <v>92</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182</v>
      </c>
      <c r="B2268" t="s">
        <v>704</v>
      </c>
      <c r="C2268" t="s">
        <v>88</v>
      </c>
      <c r="D2268" t="s">
        <v>88</v>
      </c>
      <c r="E2268" t="s">
        <v>1323</v>
      </c>
      <c r="F2268" t="s">
        <v>88</v>
      </c>
      <c r="G2268" t="s">
        <v>88</v>
      </c>
      <c r="H2268" t="s">
        <v>92</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182</v>
      </c>
      <c r="B2269" t="s">
        <v>705</v>
      </c>
      <c r="C2269" t="s">
        <v>88</v>
      </c>
      <c r="D2269" t="s">
        <v>88</v>
      </c>
      <c r="E2269" t="s">
        <v>1323</v>
      </c>
      <c r="F2269" t="s">
        <v>88</v>
      </c>
      <c r="G2269" t="s">
        <v>88</v>
      </c>
      <c r="H2269" t="s">
        <v>92</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182</v>
      </c>
      <c r="B2270" t="s">
        <v>706</v>
      </c>
      <c r="C2270" t="s">
        <v>88</v>
      </c>
      <c r="D2270" t="s">
        <v>88</v>
      </c>
      <c r="E2270" t="s">
        <v>1323</v>
      </c>
      <c r="F2270" t="s">
        <v>88</v>
      </c>
      <c r="G2270" t="s">
        <v>88</v>
      </c>
      <c r="H2270" t="s">
        <v>92</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182</v>
      </c>
      <c r="B2271" t="s">
        <v>2570</v>
      </c>
      <c r="C2271" t="s">
        <v>88</v>
      </c>
      <c r="D2271" t="s">
        <v>88</v>
      </c>
      <c r="E2271" t="s">
        <v>1323</v>
      </c>
      <c r="F2271" t="s">
        <v>88</v>
      </c>
      <c r="G2271" t="s">
        <v>88</v>
      </c>
      <c r="H2271" t="s">
        <v>92</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182</v>
      </c>
      <c r="B2272" t="s">
        <v>708</v>
      </c>
      <c r="C2272" t="s">
        <v>88</v>
      </c>
      <c r="D2272" t="s">
        <v>88</v>
      </c>
      <c r="E2272" t="s">
        <v>1323</v>
      </c>
      <c r="F2272" t="s">
        <v>88</v>
      </c>
      <c r="G2272" t="s">
        <v>88</v>
      </c>
      <c r="H2272" t="s">
        <v>92</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182</v>
      </c>
      <c r="B2273" t="s">
        <v>1820</v>
      </c>
      <c r="C2273" t="s">
        <v>88</v>
      </c>
      <c r="D2273" t="s">
        <v>88</v>
      </c>
      <c r="E2273" t="s">
        <v>702</v>
      </c>
      <c r="F2273" t="s">
        <v>88</v>
      </c>
      <c r="G2273" t="s">
        <v>88</v>
      </c>
      <c r="H2273" t="s">
        <v>92</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182</v>
      </c>
      <c r="B2274" t="s">
        <v>2571</v>
      </c>
      <c r="C2274" t="s">
        <v>88</v>
      </c>
      <c r="D2274" t="s">
        <v>88</v>
      </c>
      <c r="E2274" t="s">
        <v>734</v>
      </c>
      <c r="F2274" t="s">
        <v>88</v>
      </c>
      <c r="G2274" t="s">
        <v>88</v>
      </c>
      <c r="H2274" t="s">
        <v>92</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182</v>
      </c>
      <c r="B2275" t="s">
        <v>622</v>
      </c>
      <c r="C2275" t="s">
        <v>88</v>
      </c>
      <c r="D2275" t="s">
        <v>88</v>
      </c>
      <c r="E2275" t="s">
        <v>734</v>
      </c>
      <c r="F2275" t="s">
        <v>88</v>
      </c>
      <c r="G2275" t="s">
        <v>88</v>
      </c>
      <c r="H2275" t="s">
        <v>92</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182</v>
      </c>
      <c r="B2276" t="s">
        <v>623</v>
      </c>
      <c r="C2276" t="s">
        <v>88</v>
      </c>
      <c r="D2276" t="s">
        <v>88</v>
      </c>
      <c r="E2276" t="s">
        <v>710</v>
      </c>
      <c r="F2276" t="s">
        <v>88</v>
      </c>
      <c r="G2276" t="s">
        <v>88</v>
      </c>
      <c r="H2276" t="s">
        <v>92</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182</v>
      </c>
      <c r="B2277" t="s">
        <v>714</v>
      </c>
      <c r="C2277" t="s">
        <v>88</v>
      </c>
      <c r="D2277" t="s">
        <v>88</v>
      </c>
      <c r="E2277" t="s">
        <v>738</v>
      </c>
      <c r="F2277" t="s">
        <v>88</v>
      </c>
      <c r="G2277" t="s">
        <v>88</v>
      </c>
      <c r="H2277" t="s">
        <v>92</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182</v>
      </c>
      <c r="B2278" t="s">
        <v>1671</v>
      </c>
      <c r="C2278" t="s">
        <v>88</v>
      </c>
      <c r="D2278" t="s">
        <v>88</v>
      </c>
      <c r="E2278" t="s">
        <v>738</v>
      </c>
      <c r="F2278" t="s">
        <v>88</v>
      </c>
      <c r="G2278" t="s">
        <v>88</v>
      </c>
      <c r="H2278" t="s">
        <v>92</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182</v>
      </c>
      <c r="B2279" t="s">
        <v>998</v>
      </c>
      <c r="C2279" t="s">
        <v>88</v>
      </c>
      <c r="D2279" t="s">
        <v>88</v>
      </c>
      <c r="E2279" t="s">
        <v>738</v>
      </c>
      <c r="F2279" t="s">
        <v>88</v>
      </c>
      <c r="G2279" t="s">
        <v>88</v>
      </c>
      <c r="H2279" t="s">
        <v>92</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182</v>
      </c>
      <c r="B2280" t="s">
        <v>1073</v>
      </c>
      <c r="C2280" t="s">
        <v>88</v>
      </c>
      <c r="D2280" t="s">
        <v>88</v>
      </c>
      <c r="E2280" t="s">
        <v>738</v>
      </c>
      <c r="F2280" t="s">
        <v>88</v>
      </c>
      <c r="G2280" t="s">
        <v>88</v>
      </c>
      <c r="H2280" t="s">
        <v>92</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182</v>
      </c>
      <c r="B2281" t="s">
        <v>2572</v>
      </c>
      <c r="C2281" t="s">
        <v>88</v>
      </c>
      <c r="D2281" t="s">
        <v>88</v>
      </c>
      <c r="E2281" t="s">
        <v>738</v>
      </c>
      <c r="F2281" t="s">
        <v>88</v>
      </c>
      <c r="G2281" t="s">
        <v>88</v>
      </c>
      <c r="H2281" t="s">
        <v>92</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182</v>
      </c>
      <c r="B2282" t="s">
        <v>1033</v>
      </c>
      <c r="C2282" t="s">
        <v>88</v>
      </c>
      <c r="D2282" t="s">
        <v>88</v>
      </c>
      <c r="E2282" t="s">
        <v>959</v>
      </c>
      <c r="F2282" t="s">
        <v>88</v>
      </c>
      <c r="G2282" t="s">
        <v>88</v>
      </c>
      <c r="H2282" t="s">
        <v>92</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182</v>
      </c>
      <c r="B2283" t="s">
        <v>2652</v>
      </c>
      <c r="C2283" t="s">
        <v>88</v>
      </c>
      <c r="D2283" t="s">
        <v>88</v>
      </c>
      <c r="E2283" t="s">
        <v>711</v>
      </c>
      <c r="F2283" t="s">
        <v>88</v>
      </c>
      <c r="G2283" t="s">
        <v>88</v>
      </c>
      <c r="H2283" t="s">
        <v>92</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182</v>
      </c>
      <c r="B2284" t="s">
        <v>2653</v>
      </c>
      <c r="C2284" t="s">
        <v>88</v>
      </c>
      <c r="D2284" t="s">
        <v>88</v>
      </c>
      <c r="E2284" t="s">
        <v>735</v>
      </c>
      <c r="F2284" t="s">
        <v>88</v>
      </c>
      <c r="G2284" t="s">
        <v>88</v>
      </c>
      <c r="H2284" t="s">
        <v>92</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182</v>
      </c>
      <c r="B2285" t="s">
        <v>2578</v>
      </c>
      <c r="C2285" t="s">
        <v>88</v>
      </c>
      <c r="D2285" t="s">
        <v>88</v>
      </c>
      <c r="E2285" t="s">
        <v>735</v>
      </c>
      <c r="F2285" t="s">
        <v>88</v>
      </c>
      <c r="G2285" t="s">
        <v>88</v>
      </c>
      <c r="H2285" t="s">
        <v>92</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182</v>
      </c>
      <c r="B2286" t="s">
        <v>2654</v>
      </c>
      <c r="C2286" t="s">
        <v>88</v>
      </c>
      <c r="D2286" t="s">
        <v>88</v>
      </c>
      <c r="E2286" t="s">
        <v>735</v>
      </c>
      <c r="F2286" t="s">
        <v>88</v>
      </c>
      <c r="G2286" t="s">
        <v>88</v>
      </c>
      <c r="H2286" t="s">
        <v>92</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182</v>
      </c>
      <c r="B2287" t="s">
        <v>2573</v>
      </c>
      <c r="C2287" t="s">
        <v>88</v>
      </c>
      <c r="D2287" t="s">
        <v>88</v>
      </c>
      <c r="E2287" t="s">
        <v>735</v>
      </c>
      <c r="F2287" t="s">
        <v>88</v>
      </c>
      <c r="G2287" t="s">
        <v>88</v>
      </c>
      <c r="H2287" t="s">
        <v>92</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182</v>
      </c>
      <c r="B2288" t="s">
        <v>2579</v>
      </c>
      <c r="C2288" t="s">
        <v>88</v>
      </c>
      <c r="D2288" t="s">
        <v>88</v>
      </c>
      <c r="E2288" t="s">
        <v>735</v>
      </c>
      <c r="F2288" t="s">
        <v>88</v>
      </c>
      <c r="G2288" t="s">
        <v>88</v>
      </c>
      <c r="H2288" t="s">
        <v>92</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182</v>
      </c>
      <c r="B2289" t="s">
        <v>2655</v>
      </c>
      <c r="C2289" t="s">
        <v>88</v>
      </c>
      <c r="D2289" t="s">
        <v>88</v>
      </c>
      <c r="E2289" t="s">
        <v>713</v>
      </c>
      <c r="F2289" t="s">
        <v>88</v>
      </c>
      <c r="G2289" t="s">
        <v>88</v>
      </c>
      <c r="H2289" t="s">
        <v>92</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182</v>
      </c>
      <c r="B2290" t="s">
        <v>625</v>
      </c>
      <c r="C2290" t="s">
        <v>88</v>
      </c>
      <c r="D2290" t="s">
        <v>88</v>
      </c>
      <c r="E2290" t="s">
        <v>626</v>
      </c>
      <c r="F2290" t="s">
        <v>88</v>
      </c>
      <c r="G2290" t="s">
        <v>88</v>
      </c>
      <c r="H2290" t="s">
        <v>92</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184</v>
      </c>
      <c r="B2291" t="s">
        <v>2656</v>
      </c>
      <c r="C2291" t="s">
        <v>88</v>
      </c>
      <c r="D2291" t="s">
        <v>2657</v>
      </c>
      <c r="E2291" t="s">
        <v>655</v>
      </c>
      <c r="F2291" t="s">
        <v>88</v>
      </c>
      <c r="G2291" t="s">
        <v>88</v>
      </c>
      <c r="H2291" t="s">
        <v>92</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184</v>
      </c>
      <c r="B2292" t="s">
        <v>2658</v>
      </c>
      <c r="C2292" t="s">
        <v>88</v>
      </c>
      <c r="D2292" t="s">
        <v>2659</v>
      </c>
      <c r="E2292" t="s">
        <v>748</v>
      </c>
      <c r="F2292" t="s">
        <v>88</v>
      </c>
      <c r="G2292" t="s">
        <v>88</v>
      </c>
      <c r="H2292" t="s">
        <v>92</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184</v>
      </c>
      <c r="B2293" t="s">
        <v>2660</v>
      </c>
      <c r="C2293" t="s">
        <v>88</v>
      </c>
      <c r="D2293" t="s">
        <v>2661</v>
      </c>
      <c r="E2293" t="s">
        <v>2662</v>
      </c>
      <c r="F2293" t="s">
        <v>88</v>
      </c>
      <c r="G2293" t="s">
        <v>88</v>
      </c>
      <c r="H2293" t="s">
        <v>92</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184</v>
      </c>
      <c r="B2294" t="s">
        <v>2663</v>
      </c>
      <c r="C2294" t="s">
        <v>88</v>
      </c>
      <c r="D2294" t="s">
        <v>2664</v>
      </c>
      <c r="E2294" t="s">
        <v>1971</v>
      </c>
      <c r="F2294" t="s">
        <v>88</v>
      </c>
      <c r="G2294" t="s">
        <v>88</v>
      </c>
      <c r="H2294" t="s">
        <v>92</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184</v>
      </c>
      <c r="B2295" t="s">
        <v>1842</v>
      </c>
      <c r="C2295" t="s">
        <v>88</v>
      </c>
      <c r="D2295" t="s">
        <v>2665</v>
      </c>
      <c r="E2295" t="s">
        <v>725</v>
      </c>
      <c r="F2295" t="s">
        <v>88</v>
      </c>
      <c r="G2295" t="s">
        <v>88</v>
      </c>
      <c r="H2295" t="s">
        <v>92</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184</v>
      </c>
      <c r="B2296" t="s">
        <v>2663</v>
      </c>
      <c r="C2296" t="s">
        <v>88</v>
      </c>
      <c r="D2296" t="s">
        <v>2664</v>
      </c>
      <c r="E2296" t="s">
        <v>1971</v>
      </c>
      <c r="F2296" t="s">
        <v>88</v>
      </c>
      <c r="G2296" t="s">
        <v>88</v>
      </c>
      <c r="H2296" t="s">
        <v>92</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184</v>
      </c>
      <c r="B2297" t="s">
        <v>2666</v>
      </c>
      <c r="C2297" t="s">
        <v>88</v>
      </c>
      <c r="D2297" t="s">
        <v>2667</v>
      </c>
      <c r="E2297" t="s">
        <v>1971</v>
      </c>
      <c r="F2297" t="s">
        <v>88</v>
      </c>
      <c r="G2297" t="s">
        <v>88</v>
      </c>
      <c r="H2297" t="s">
        <v>92</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184</v>
      </c>
      <c r="B2298" t="s">
        <v>2668</v>
      </c>
      <c r="C2298" t="s">
        <v>88</v>
      </c>
      <c r="D2298" t="s">
        <v>2669</v>
      </c>
      <c r="E2298" t="s">
        <v>1971</v>
      </c>
      <c r="F2298" t="s">
        <v>88</v>
      </c>
      <c r="G2298" t="s">
        <v>88</v>
      </c>
      <c r="H2298" t="s">
        <v>92</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184</v>
      </c>
      <c r="B2299" t="s">
        <v>2670</v>
      </c>
      <c r="C2299" t="s">
        <v>88</v>
      </c>
      <c r="D2299" t="s">
        <v>2671</v>
      </c>
      <c r="E2299" t="s">
        <v>725</v>
      </c>
      <c r="F2299" t="s">
        <v>88</v>
      </c>
      <c r="G2299" t="s">
        <v>88</v>
      </c>
      <c r="H2299" t="s">
        <v>92</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184</v>
      </c>
      <c r="B2300" t="s">
        <v>2672</v>
      </c>
      <c r="C2300" t="s">
        <v>88</v>
      </c>
      <c r="D2300" t="s">
        <v>2673</v>
      </c>
      <c r="E2300" t="s">
        <v>725</v>
      </c>
      <c r="F2300" t="s">
        <v>88</v>
      </c>
      <c r="G2300" t="s">
        <v>88</v>
      </c>
      <c r="H2300" t="s">
        <v>92</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184</v>
      </c>
      <c r="B2301" t="s">
        <v>2674</v>
      </c>
      <c r="C2301" t="s">
        <v>88</v>
      </c>
      <c r="D2301" t="s">
        <v>2675</v>
      </c>
      <c r="E2301" t="s">
        <v>655</v>
      </c>
      <c r="F2301" t="s">
        <v>88</v>
      </c>
      <c r="G2301" t="s">
        <v>88</v>
      </c>
      <c r="H2301" t="s">
        <v>92</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184</v>
      </c>
      <c r="B2302" t="s">
        <v>2676</v>
      </c>
      <c r="C2302" t="s">
        <v>88</v>
      </c>
      <c r="D2302" t="s">
        <v>2677</v>
      </c>
      <c r="E2302" t="s">
        <v>655</v>
      </c>
      <c r="F2302" t="s">
        <v>88</v>
      </c>
      <c r="G2302" t="s">
        <v>88</v>
      </c>
      <c r="H2302" t="s">
        <v>92</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184</v>
      </c>
      <c r="B2303" t="s">
        <v>2678</v>
      </c>
      <c r="C2303" t="s">
        <v>88</v>
      </c>
      <c r="D2303" t="s">
        <v>2679</v>
      </c>
      <c r="E2303" t="s">
        <v>1971</v>
      </c>
      <c r="F2303" t="s">
        <v>88</v>
      </c>
      <c r="G2303" t="s">
        <v>88</v>
      </c>
      <c r="H2303" t="s">
        <v>92</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184</v>
      </c>
      <c r="B2304" t="s">
        <v>2680</v>
      </c>
      <c r="C2304" t="s">
        <v>88</v>
      </c>
      <c r="D2304" t="s">
        <v>2681</v>
      </c>
      <c r="E2304" t="s">
        <v>1971</v>
      </c>
      <c r="F2304" t="s">
        <v>88</v>
      </c>
      <c r="G2304" t="s">
        <v>88</v>
      </c>
      <c r="H2304" t="s">
        <v>92</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184</v>
      </c>
      <c r="B2305" t="s">
        <v>2682</v>
      </c>
      <c r="C2305" t="s">
        <v>88</v>
      </c>
      <c r="D2305" t="s">
        <v>2683</v>
      </c>
      <c r="E2305" t="s">
        <v>725</v>
      </c>
      <c r="F2305" t="s">
        <v>88</v>
      </c>
      <c r="G2305" t="s">
        <v>88</v>
      </c>
      <c r="H2305" t="s">
        <v>92</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184</v>
      </c>
      <c r="B2306" t="s">
        <v>2684</v>
      </c>
      <c r="C2306" t="s">
        <v>88</v>
      </c>
      <c r="D2306" t="s">
        <v>2685</v>
      </c>
      <c r="E2306" t="s">
        <v>2686</v>
      </c>
      <c r="F2306" t="s">
        <v>88</v>
      </c>
      <c r="G2306" t="s">
        <v>88</v>
      </c>
      <c r="H2306" t="s">
        <v>92</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184</v>
      </c>
      <c r="B2307" t="s">
        <v>2687</v>
      </c>
      <c r="C2307" t="s">
        <v>88</v>
      </c>
      <c r="D2307" t="s">
        <v>2688</v>
      </c>
      <c r="E2307" t="s">
        <v>825</v>
      </c>
      <c r="F2307" t="s">
        <v>88</v>
      </c>
      <c r="G2307" t="s">
        <v>88</v>
      </c>
      <c r="H2307" t="s">
        <v>92</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184</v>
      </c>
      <c r="B2308" t="s">
        <v>2689</v>
      </c>
      <c r="C2308" t="s">
        <v>88</v>
      </c>
      <c r="D2308" t="s">
        <v>2690</v>
      </c>
      <c r="E2308" t="s">
        <v>1171</v>
      </c>
      <c r="F2308" t="s">
        <v>88</v>
      </c>
      <c r="G2308" t="s">
        <v>88</v>
      </c>
      <c r="H2308" t="s">
        <v>92</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184</v>
      </c>
      <c r="B2309" t="s">
        <v>2691</v>
      </c>
      <c r="C2309" t="s">
        <v>88</v>
      </c>
      <c r="D2309" t="s">
        <v>2692</v>
      </c>
      <c r="E2309" t="s">
        <v>1139</v>
      </c>
      <c r="F2309" t="s">
        <v>88</v>
      </c>
      <c r="G2309" t="s">
        <v>88</v>
      </c>
      <c r="H2309" t="s">
        <v>92</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184</v>
      </c>
      <c r="B2310" t="s">
        <v>2693</v>
      </c>
      <c r="C2310" t="s">
        <v>88</v>
      </c>
      <c r="D2310" t="s">
        <v>2694</v>
      </c>
      <c r="E2310" t="s">
        <v>899</v>
      </c>
      <c r="F2310" t="s">
        <v>88</v>
      </c>
      <c r="G2310" t="s">
        <v>88</v>
      </c>
      <c r="H2310" t="s">
        <v>92</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184</v>
      </c>
      <c r="B2311" t="s">
        <v>2695</v>
      </c>
      <c r="C2311" t="s">
        <v>88</v>
      </c>
      <c r="D2311" t="s">
        <v>2696</v>
      </c>
      <c r="E2311" t="s">
        <v>1985</v>
      </c>
      <c r="F2311" t="s">
        <v>88</v>
      </c>
      <c r="G2311" t="s">
        <v>88</v>
      </c>
      <c r="H2311" t="s">
        <v>92</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184</v>
      </c>
      <c r="B2312" t="s">
        <v>2697</v>
      </c>
      <c r="C2312" t="s">
        <v>88</v>
      </c>
      <c r="D2312" t="s">
        <v>2698</v>
      </c>
      <c r="E2312" t="s">
        <v>725</v>
      </c>
      <c r="F2312" t="s">
        <v>88</v>
      </c>
      <c r="G2312" t="s">
        <v>88</v>
      </c>
      <c r="H2312" t="s">
        <v>92</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184</v>
      </c>
      <c r="B2313" t="s">
        <v>2699</v>
      </c>
      <c r="C2313" t="s">
        <v>88</v>
      </c>
      <c r="D2313" t="s">
        <v>2700</v>
      </c>
      <c r="E2313" t="s">
        <v>725</v>
      </c>
      <c r="F2313" t="s">
        <v>88</v>
      </c>
      <c r="G2313" t="s">
        <v>88</v>
      </c>
      <c r="H2313" t="s">
        <v>92</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184</v>
      </c>
      <c r="B2314" t="s">
        <v>2701</v>
      </c>
      <c r="C2314" t="s">
        <v>88</v>
      </c>
      <c r="D2314" t="s">
        <v>2702</v>
      </c>
      <c r="E2314" t="s">
        <v>820</v>
      </c>
      <c r="F2314" t="s">
        <v>88</v>
      </c>
      <c r="G2314" t="s">
        <v>88</v>
      </c>
      <c r="H2314" t="s">
        <v>92</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184</v>
      </c>
      <c r="B2315" t="s">
        <v>2703</v>
      </c>
      <c r="C2315" t="s">
        <v>88</v>
      </c>
      <c r="D2315" t="s">
        <v>2704</v>
      </c>
      <c r="E2315" t="s">
        <v>820</v>
      </c>
      <c r="F2315" t="s">
        <v>88</v>
      </c>
      <c r="G2315" t="s">
        <v>88</v>
      </c>
      <c r="H2315" t="s">
        <v>92</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184</v>
      </c>
      <c r="B2316" t="s">
        <v>2656</v>
      </c>
      <c r="C2316" t="s">
        <v>88</v>
      </c>
      <c r="D2316" t="s">
        <v>2657</v>
      </c>
      <c r="E2316" t="s">
        <v>655</v>
      </c>
      <c r="F2316" t="s">
        <v>88</v>
      </c>
      <c r="G2316" t="s">
        <v>88</v>
      </c>
      <c r="H2316" t="s">
        <v>92</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184</v>
      </c>
      <c r="B2317" t="s">
        <v>2705</v>
      </c>
      <c r="C2317" t="s">
        <v>88</v>
      </c>
      <c r="D2317" t="s">
        <v>2706</v>
      </c>
      <c r="E2317" t="s">
        <v>820</v>
      </c>
      <c r="F2317" t="s">
        <v>88</v>
      </c>
      <c r="G2317" t="s">
        <v>88</v>
      </c>
      <c r="H2317" t="s">
        <v>92</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184</v>
      </c>
      <c r="B2318" t="s">
        <v>2707</v>
      </c>
      <c r="C2318" t="s">
        <v>88</v>
      </c>
      <c r="D2318" t="s">
        <v>2708</v>
      </c>
      <c r="E2318" t="s">
        <v>748</v>
      </c>
      <c r="F2318" t="s">
        <v>88</v>
      </c>
      <c r="G2318" t="s">
        <v>88</v>
      </c>
      <c r="H2318" t="s">
        <v>92</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184</v>
      </c>
      <c r="B2319" t="s">
        <v>2709</v>
      </c>
      <c r="C2319" t="s">
        <v>88</v>
      </c>
      <c r="D2319" t="s">
        <v>2710</v>
      </c>
      <c r="E2319" t="s">
        <v>1139</v>
      </c>
      <c r="F2319" t="s">
        <v>88</v>
      </c>
      <c r="G2319" t="s">
        <v>88</v>
      </c>
      <c r="H2319" t="s">
        <v>92</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184</v>
      </c>
      <c r="B2320" t="s">
        <v>1842</v>
      </c>
      <c r="C2320" t="s">
        <v>88</v>
      </c>
      <c r="D2320" t="s">
        <v>2665</v>
      </c>
      <c r="E2320" t="s">
        <v>725</v>
      </c>
      <c r="F2320" t="s">
        <v>88</v>
      </c>
      <c r="G2320" t="s">
        <v>88</v>
      </c>
      <c r="H2320" t="s">
        <v>92</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184</v>
      </c>
      <c r="B2321" t="s">
        <v>2660</v>
      </c>
      <c r="C2321" t="s">
        <v>88</v>
      </c>
      <c r="D2321" t="s">
        <v>2661</v>
      </c>
      <c r="E2321" t="s">
        <v>2662</v>
      </c>
      <c r="F2321" t="s">
        <v>88</v>
      </c>
      <c r="G2321" t="s">
        <v>88</v>
      </c>
      <c r="H2321" t="s">
        <v>92</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184</v>
      </c>
      <c r="B2322" t="s">
        <v>2711</v>
      </c>
      <c r="C2322" t="s">
        <v>88</v>
      </c>
      <c r="D2322" t="s">
        <v>2712</v>
      </c>
      <c r="E2322" t="s">
        <v>725</v>
      </c>
      <c r="F2322" t="s">
        <v>88</v>
      </c>
      <c r="G2322" t="s">
        <v>88</v>
      </c>
      <c r="H2322" t="s">
        <v>92</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184</v>
      </c>
      <c r="B2323" t="s">
        <v>2713</v>
      </c>
      <c r="C2323" t="s">
        <v>88</v>
      </c>
      <c r="D2323" t="s">
        <v>2714</v>
      </c>
      <c r="E2323" t="s">
        <v>725</v>
      </c>
      <c r="F2323" t="s">
        <v>88</v>
      </c>
      <c r="G2323" t="s">
        <v>88</v>
      </c>
      <c r="H2323" t="s">
        <v>92</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184</v>
      </c>
      <c r="B2324" t="s">
        <v>2715</v>
      </c>
      <c r="C2324" t="s">
        <v>88</v>
      </c>
      <c r="D2324" t="s">
        <v>2716</v>
      </c>
      <c r="E2324" t="s">
        <v>725</v>
      </c>
      <c r="F2324" t="s">
        <v>88</v>
      </c>
      <c r="G2324" t="s">
        <v>88</v>
      </c>
      <c r="H2324" t="s">
        <v>92</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184</v>
      </c>
      <c r="B2325" t="s">
        <v>2717</v>
      </c>
      <c r="C2325" t="s">
        <v>88</v>
      </c>
      <c r="D2325" t="s">
        <v>2718</v>
      </c>
      <c r="E2325" t="s">
        <v>1139</v>
      </c>
      <c r="F2325" t="s">
        <v>88</v>
      </c>
      <c r="G2325" t="s">
        <v>88</v>
      </c>
      <c r="H2325" t="s">
        <v>92</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184</v>
      </c>
      <c r="B2326" t="s">
        <v>2658</v>
      </c>
      <c r="C2326" t="s">
        <v>88</v>
      </c>
      <c r="D2326" t="s">
        <v>2659</v>
      </c>
      <c r="E2326" t="s">
        <v>748</v>
      </c>
      <c r="F2326" t="s">
        <v>88</v>
      </c>
      <c r="G2326" t="s">
        <v>88</v>
      </c>
      <c r="H2326" t="s">
        <v>92</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184</v>
      </c>
      <c r="B2327" t="s">
        <v>2719</v>
      </c>
      <c r="C2327" t="s">
        <v>88</v>
      </c>
      <c r="D2327" t="s">
        <v>2720</v>
      </c>
      <c r="E2327" t="s">
        <v>2166</v>
      </c>
      <c r="F2327" t="s">
        <v>88</v>
      </c>
      <c r="G2327" t="s">
        <v>88</v>
      </c>
      <c r="H2327" t="s">
        <v>92</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184</v>
      </c>
      <c r="B2328" t="s">
        <v>2721</v>
      </c>
      <c r="C2328" t="s">
        <v>88</v>
      </c>
      <c r="D2328" t="s">
        <v>2722</v>
      </c>
      <c r="E2328" t="s">
        <v>780</v>
      </c>
      <c r="F2328" t="s">
        <v>88</v>
      </c>
      <c r="G2328" t="s">
        <v>88</v>
      </c>
      <c r="H2328" t="s">
        <v>92</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184</v>
      </c>
      <c r="B2329" t="s">
        <v>2723</v>
      </c>
      <c r="C2329" t="s">
        <v>88</v>
      </c>
      <c r="D2329" t="s">
        <v>88</v>
      </c>
      <c r="E2329" t="s">
        <v>780</v>
      </c>
      <c r="F2329" t="s">
        <v>88</v>
      </c>
      <c r="G2329" t="s">
        <v>88</v>
      </c>
      <c r="H2329" t="s">
        <v>92</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184</v>
      </c>
      <c r="B2330" t="s">
        <v>2724</v>
      </c>
      <c r="C2330" t="s">
        <v>88</v>
      </c>
      <c r="D2330" t="s">
        <v>88</v>
      </c>
      <c r="E2330" t="s">
        <v>886</v>
      </c>
      <c r="F2330" t="s">
        <v>88</v>
      </c>
      <c r="G2330" t="s">
        <v>88</v>
      </c>
      <c r="H2330" t="s">
        <v>92</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184</v>
      </c>
      <c r="B2331" t="s">
        <v>2725</v>
      </c>
      <c r="C2331" t="s">
        <v>88</v>
      </c>
      <c r="D2331" t="s">
        <v>88</v>
      </c>
      <c r="E2331" t="s">
        <v>886</v>
      </c>
      <c r="F2331" t="s">
        <v>88</v>
      </c>
      <c r="G2331" t="s">
        <v>88</v>
      </c>
      <c r="H2331" t="s">
        <v>92</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184</v>
      </c>
      <c r="B2332" t="s">
        <v>2726</v>
      </c>
      <c r="C2332" t="s">
        <v>88</v>
      </c>
      <c r="D2332" t="s">
        <v>88</v>
      </c>
      <c r="E2332" t="s">
        <v>679</v>
      </c>
      <c r="F2332" t="s">
        <v>88</v>
      </c>
      <c r="G2332" t="s">
        <v>88</v>
      </c>
      <c r="H2332" t="s">
        <v>92</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184</v>
      </c>
      <c r="B2333" t="s">
        <v>2727</v>
      </c>
      <c r="C2333" t="s">
        <v>88</v>
      </c>
      <c r="D2333" t="s">
        <v>88</v>
      </c>
      <c r="E2333" t="s">
        <v>679</v>
      </c>
      <c r="F2333" t="s">
        <v>88</v>
      </c>
      <c r="G2333" t="s">
        <v>88</v>
      </c>
      <c r="H2333" t="s">
        <v>92</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184</v>
      </c>
      <c r="B2334" t="s">
        <v>2728</v>
      </c>
      <c r="C2334" t="s">
        <v>88</v>
      </c>
      <c r="D2334" t="s">
        <v>2729</v>
      </c>
      <c r="E2334" t="s">
        <v>679</v>
      </c>
      <c r="F2334" t="s">
        <v>88</v>
      </c>
      <c r="G2334" t="s">
        <v>88</v>
      </c>
      <c r="H2334" t="s">
        <v>92</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184</v>
      </c>
      <c r="B2335" t="s">
        <v>2730</v>
      </c>
      <c r="C2335" t="s">
        <v>88</v>
      </c>
      <c r="D2335" t="s">
        <v>88</v>
      </c>
      <c r="E2335" t="s">
        <v>780</v>
      </c>
      <c r="F2335" t="s">
        <v>88</v>
      </c>
      <c r="G2335" t="s">
        <v>88</v>
      </c>
      <c r="H2335" t="s">
        <v>92</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184</v>
      </c>
      <c r="B2336" t="s">
        <v>2731</v>
      </c>
      <c r="C2336" t="s">
        <v>88</v>
      </c>
      <c r="D2336" t="s">
        <v>88</v>
      </c>
      <c r="E2336" t="s">
        <v>780</v>
      </c>
      <c r="F2336" t="s">
        <v>88</v>
      </c>
      <c r="G2336" t="s">
        <v>88</v>
      </c>
      <c r="H2336" t="s">
        <v>92</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184</v>
      </c>
      <c r="B2337" t="s">
        <v>823</v>
      </c>
      <c r="C2337" t="s">
        <v>88</v>
      </c>
      <c r="D2337" t="s">
        <v>2732</v>
      </c>
      <c r="E2337" t="s">
        <v>902</v>
      </c>
      <c r="F2337" t="s">
        <v>88</v>
      </c>
      <c r="G2337" t="s">
        <v>88</v>
      </c>
      <c r="H2337" t="s">
        <v>92</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184</v>
      </c>
      <c r="B2338" t="s">
        <v>816</v>
      </c>
      <c r="C2338" t="s">
        <v>88</v>
      </c>
      <c r="D2338" t="s">
        <v>2733</v>
      </c>
      <c r="E2338" t="s">
        <v>2464</v>
      </c>
      <c r="F2338" t="s">
        <v>88</v>
      </c>
      <c r="G2338" t="s">
        <v>88</v>
      </c>
      <c r="H2338" t="s">
        <v>92</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184</v>
      </c>
      <c r="B2339" t="s">
        <v>2734</v>
      </c>
      <c r="C2339" t="s">
        <v>88</v>
      </c>
      <c r="D2339" t="s">
        <v>88</v>
      </c>
      <c r="E2339" t="s">
        <v>893</v>
      </c>
      <c r="F2339" t="s">
        <v>88</v>
      </c>
      <c r="G2339" t="s">
        <v>88</v>
      </c>
      <c r="H2339" t="s">
        <v>92</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184</v>
      </c>
      <c r="B2340" t="s">
        <v>2735</v>
      </c>
      <c r="C2340" t="s">
        <v>88</v>
      </c>
      <c r="D2340" t="s">
        <v>88</v>
      </c>
      <c r="E2340" t="s">
        <v>679</v>
      </c>
      <c r="F2340" t="s">
        <v>88</v>
      </c>
      <c r="G2340" t="s">
        <v>88</v>
      </c>
      <c r="H2340" t="s">
        <v>92</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184</v>
      </c>
      <c r="B2341" t="s">
        <v>2210</v>
      </c>
      <c r="C2341" t="s">
        <v>88</v>
      </c>
      <c r="D2341" t="s">
        <v>88</v>
      </c>
      <c r="E2341" t="s">
        <v>2662</v>
      </c>
      <c r="F2341" t="s">
        <v>88</v>
      </c>
      <c r="G2341" t="s">
        <v>88</v>
      </c>
      <c r="H2341" t="s">
        <v>92</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184</v>
      </c>
      <c r="B2342" t="s">
        <v>2736</v>
      </c>
      <c r="C2342" t="s">
        <v>88</v>
      </c>
      <c r="D2342" t="s">
        <v>88</v>
      </c>
      <c r="E2342" t="s">
        <v>1765</v>
      </c>
      <c r="F2342" t="s">
        <v>88</v>
      </c>
      <c r="G2342" t="s">
        <v>88</v>
      </c>
      <c r="H2342" t="s">
        <v>92</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184</v>
      </c>
      <c r="B2343" t="s">
        <v>2737</v>
      </c>
      <c r="C2343" t="s">
        <v>88</v>
      </c>
      <c r="D2343" t="s">
        <v>88</v>
      </c>
      <c r="E2343" t="s">
        <v>1765</v>
      </c>
      <c r="F2343" t="s">
        <v>88</v>
      </c>
      <c r="G2343" t="s">
        <v>88</v>
      </c>
      <c r="H2343" t="s">
        <v>92</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184</v>
      </c>
      <c r="B2344" t="s">
        <v>610</v>
      </c>
      <c r="C2344" t="s">
        <v>88</v>
      </c>
      <c r="D2344" t="s">
        <v>88</v>
      </c>
      <c r="E2344" t="s">
        <v>1594</v>
      </c>
      <c r="F2344" t="s">
        <v>88</v>
      </c>
      <c r="G2344" t="s">
        <v>88</v>
      </c>
      <c r="H2344" t="s">
        <v>92</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184</v>
      </c>
      <c r="B2345" t="s">
        <v>2738</v>
      </c>
      <c r="C2345" t="s">
        <v>88</v>
      </c>
      <c r="D2345" t="s">
        <v>88</v>
      </c>
      <c r="E2345" t="s">
        <v>1978</v>
      </c>
      <c r="F2345" t="s">
        <v>88</v>
      </c>
      <c r="G2345" t="s">
        <v>88</v>
      </c>
      <c r="H2345" t="s">
        <v>92</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184</v>
      </c>
      <c r="B2346" t="s">
        <v>608</v>
      </c>
      <c r="C2346" t="s">
        <v>88</v>
      </c>
      <c r="D2346" t="s">
        <v>88</v>
      </c>
      <c r="E2346" t="s">
        <v>780</v>
      </c>
      <c r="F2346" t="s">
        <v>88</v>
      </c>
      <c r="G2346" t="s">
        <v>88</v>
      </c>
      <c r="H2346" t="s">
        <v>92</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184</v>
      </c>
      <c r="B2347" t="s">
        <v>2739</v>
      </c>
      <c r="C2347" t="s">
        <v>88</v>
      </c>
      <c r="D2347" t="s">
        <v>88</v>
      </c>
      <c r="E2347" t="s">
        <v>1765</v>
      </c>
      <c r="F2347" t="s">
        <v>88</v>
      </c>
      <c r="G2347" t="s">
        <v>88</v>
      </c>
      <c r="H2347" t="s">
        <v>92</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184</v>
      </c>
      <c r="B2348" t="s">
        <v>2740</v>
      </c>
      <c r="C2348" t="s">
        <v>88</v>
      </c>
      <c r="D2348" t="s">
        <v>88</v>
      </c>
      <c r="E2348" t="s">
        <v>1765</v>
      </c>
      <c r="F2348" t="s">
        <v>88</v>
      </c>
      <c r="G2348" t="s">
        <v>88</v>
      </c>
      <c r="H2348" t="s">
        <v>92</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184</v>
      </c>
      <c r="B2349" t="s">
        <v>2741</v>
      </c>
      <c r="C2349" t="s">
        <v>88</v>
      </c>
      <c r="D2349" t="s">
        <v>88</v>
      </c>
      <c r="E2349" t="s">
        <v>734</v>
      </c>
      <c r="F2349" t="s">
        <v>88</v>
      </c>
      <c r="G2349" t="s">
        <v>88</v>
      </c>
      <c r="H2349" t="s">
        <v>92</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184</v>
      </c>
      <c r="B2350" t="s">
        <v>2742</v>
      </c>
      <c r="C2350" t="s">
        <v>88</v>
      </c>
      <c r="D2350" t="s">
        <v>88</v>
      </c>
      <c r="E2350" t="s">
        <v>725</v>
      </c>
      <c r="F2350" t="s">
        <v>88</v>
      </c>
      <c r="G2350" t="s">
        <v>88</v>
      </c>
      <c r="H2350" t="s">
        <v>92</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184</v>
      </c>
      <c r="B2351" t="s">
        <v>2743</v>
      </c>
      <c r="C2351" t="s">
        <v>88</v>
      </c>
      <c r="D2351" t="s">
        <v>88</v>
      </c>
      <c r="E2351" t="s">
        <v>725</v>
      </c>
      <c r="F2351" t="s">
        <v>88</v>
      </c>
      <c r="G2351" t="s">
        <v>88</v>
      </c>
      <c r="H2351" t="s">
        <v>92</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184</v>
      </c>
      <c r="B2352" t="s">
        <v>2744</v>
      </c>
      <c r="C2352" t="s">
        <v>88</v>
      </c>
      <c r="D2352" t="s">
        <v>88</v>
      </c>
      <c r="E2352" t="s">
        <v>734</v>
      </c>
      <c r="F2352" t="s">
        <v>88</v>
      </c>
      <c r="G2352" t="s">
        <v>88</v>
      </c>
      <c r="H2352" t="s">
        <v>92</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184</v>
      </c>
      <c r="B2353" t="s">
        <v>2745</v>
      </c>
      <c r="C2353" t="s">
        <v>88</v>
      </c>
      <c r="D2353" t="s">
        <v>88</v>
      </c>
      <c r="E2353" t="s">
        <v>1971</v>
      </c>
      <c r="F2353" t="s">
        <v>88</v>
      </c>
      <c r="G2353" t="s">
        <v>88</v>
      </c>
      <c r="H2353" t="s">
        <v>92</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184</v>
      </c>
      <c r="B2354" t="s">
        <v>2746</v>
      </c>
      <c r="C2354" t="s">
        <v>88</v>
      </c>
      <c r="D2354" t="s">
        <v>88</v>
      </c>
      <c r="E2354" t="s">
        <v>725</v>
      </c>
      <c r="F2354" t="s">
        <v>88</v>
      </c>
      <c r="G2354" t="s">
        <v>88</v>
      </c>
      <c r="H2354" t="s">
        <v>92</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184</v>
      </c>
      <c r="B2355" t="s">
        <v>2747</v>
      </c>
      <c r="C2355" t="s">
        <v>88</v>
      </c>
      <c r="D2355" t="s">
        <v>88</v>
      </c>
      <c r="E2355" t="s">
        <v>725</v>
      </c>
      <c r="F2355" t="s">
        <v>88</v>
      </c>
      <c r="G2355" t="s">
        <v>88</v>
      </c>
      <c r="H2355" t="s">
        <v>92</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184</v>
      </c>
      <c r="B2356" t="s">
        <v>614</v>
      </c>
      <c r="C2356" t="s">
        <v>88</v>
      </c>
      <c r="D2356" t="s">
        <v>88</v>
      </c>
      <c r="E2356" t="s">
        <v>2748</v>
      </c>
      <c r="F2356" t="s">
        <v>88</v>
      </c>
      <c r="G2356" t="s">
        <v>88</v>
      </c>
      <c r="H2356" t="s">
        <v>92</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184</v>
      </c>
      <c r="B2357" t="s">
        <v>612</v>
      </c>
      <c r="C2357" t="s">
        <v>88</v>
      </c>
      <c r="D2357" t="s">
        <v>88</v>
      </c>
      <c r="E2357" t="s">
        <v>2748</v>
      </c>
      <c r="F2357" t="s">
        <v>88</v>
      </c>
      <c r="G2357" t="s">
        <v>88</v>
      </c>
      <c r="H2357" t="s">
        <v>92</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184</v>
      </c>
      <c r="B2358" t="s">
        <v>733</v>
      </c>
      <c r="C2358" t="s">
        <v>88</v>
      </c>
      <c r="D2358" t="s">
        <v>88</v>
      </c>
      <c r="E2358" t="s">
        <v>2748</v>
      </c>
      <c r="F2358" t="s">
        <v>88</v>
      </c>
      <c r="G2358" t="s">
        <v>88</v>
      </c>
      <c r="H2358" t="s">
        <v>92</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184</v>
      </c>
      <c r="B2359" t="s">
        <v>616</v>
      </c>
      <c r="C2359" t="s">
        <v>88</v>
      </c>
      <c r="D2359" t="s">
        <v>88</v>
      </c>
      <c r="E2359" t="s">
        <v>2748</v>
      </c>
      <c r="F2359" t="s">
        <v>88</v>
      </c>
      <c r="G2359" t="s">
        <v>88</v>
      </c>
      <c r="H2359" t="s">
        <v>92</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184</v>
      </c>
      <c r="B2360" t="s">
        <v>2749</v>
      </c>
      <c r="C2360" t="s">
        <v>88</v>
      </c>
      <c r="D2360" t="s">
        <v>88</v>
      </c>
      <c r="E2360" t="s">
        <v>1978</v>
      </c>
      <c r="F2360" t="s">
        <v>88</v>
      </c>
      <c r="G2360" t="s">
        <v>88</v>
      </c>
      <c r="H2360" t="s">
        <v>92</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184</v>
      </c>
      <c r="B2361" t="s">
        <v>617</v>
      </c>
      <c r="C2361" t="s">
        <v>88</v>
      </c>
      <c r="D2361" t="s">
        <v>88</v>
      </c>
      <c r="E2361" t="s">
        <v>2748</v>
      </c>
      <c r="F2361" t="s">
        <v>88</v>
      </c>
      <c r="G2361" t="s">
        <v>88</v>
      </c>
      <c r="H2361" t="s">
        <v>92</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184</v>
      </c>
      <c r="B2362" t="s">
        <v>2750</v>
      </c>
      <c r="C2362" t="s">
        <v>88</v>
      </c>
      <c r="D2362" t="s">
        <v>88</v>
      </c>
      <c r="E2362" t="s">
        <v>2751</v>
      </c>
      <c r="F2362" t="s">
        <v>88</v>
      </c>
      <c r="G2362" t="s">
        <v>88</v>
      </c>
      <c r="H2362" t="s">
        <v>92</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184</v>
      </c>
      <c r="B2363" t="s">
        <v>794</v>
      </c>
      <c r="C2363" t="s">
        <v>88</v>
      </c>
      <c r="D2363" t="s">
        <v>88</v>
      </c>
      <c r="E2363" t="s">
        <v>2751</v>
      </c>
      <c r="F2363" t="s">
        <v>88</v>
      </c>
      <c r="G2363" t="s">
        <v>88</v>
      </c>
      <c r="H2363" t="s">
        <v>92</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184</v>
      </c>
      <c r="B2364" t="s">
        <v>2752</v>
      </c>
      <c r="C2364" t="s">
        <v>88</v>
      </c>
      <c r="D2364" t="s">
        <v>88</v>
      </c>
      <c r="E2364" t="s">
        <v>2753</v>
      </c>
      <c r="F2364" t="s">
        <v>88</v>
      </c>
      <c r="G2364" t="s">
        <v>88</v>
      </c>
      <c r="H2364" t="s">
        <v>92</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184</v>
      </c>
      <c r="B2365" t="s">
        <v>2754</v>
      </c>
      <c r="C2365" t="s">
        <v>88</v>
      </c>
      <c r="D2365" t="s">
        <v>88</v>
      </c>
      <c r="E2365" t="s">
        <v>711</v>
      </c>
      <c r="F2365" t="s">
        <v>88</v>
      </c>
      <c r="G2365" t="s">
        <v>88</v>
      </c>
      <c r="H2365" t="s">
        <v>92</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184</v>
      </c>
      <c r="B2366" t="s">
        <v>2755</v>
      </c>
      <c r="C2366" t="s">
        <v>88</v>
      </c>
      <c r="D2366" t="s">
        <v>88</v>
      </c>
      <c r="E2366" t="s">
        <v>711</v>
      </c>
      <c r="F2366" t="s">
        <v>88</v>
      </c>
      <c r="G2366" t="s">
        <v>88</v>
      </c>
      <c r="H2366" t="s">
        <v>92</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184</v>
      </c>
      <c r="B2367" t="s">
        <v>797</v>
      </c>
      <c r="C2367" t="s">
        <v>88</v>
      </c>
      <c r="D2367" t="s">
        <v>88</v>
      </c>
      <c r="E2367" t="s">
        <v>711</v>
      </c>
      <c r="F2367" t="s">
        <v>88</v>
      </c>
      <c r="G2367" t="s">
        <v>88</v>
      </c>
      <c r="H2367" t="s">
        <v>92</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184</v>
      </c>
      <c r="B2368" t="s">
        <v>622</v>
      </c>
      <c r="C2368" t="s">
        <v>88</v>
      </c>
      <c r="D2368" t="s">
        <v>88</v>
      </c>
      <c r="E2368" t="s">
        <v>2753</v>
      </c>
      <c r="F2368" t="s">
        <v>88</v>
      </c>
      <c r="G2368" t="s">
        <v>88</v>
      </c>
      <c r="H2368" t="s">
        <v>92</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184</v>
      </c>
      <c r="B2369" t="s">
        <v>623</v>
      </c>
      <c r="C2369" t="s">
        <v>88</v>
      </c>
      <c r="D2369" t="s">
        <v>88</v>
      </c>
      <c r="E2369" t="s">
        <v>2753</v>
      </c>
      <c r="F2369" t="s">
        <v>88</v>
      </c>
      <c r="G2369" t="s">
        <v>88</v>
      </c>
      <c r="H2369" t="s">
        <v>92</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184</v>
      </c>
      <c r="B2370" t="s">
        <v>798</v>
      </c>
      <c r="C2370" t="s">
        <v>88</v>
      </c>
      <c r="D2370" t="s">
        <v>88</v>
      </c>
      <c r="E2370" t="s">
        <v>2756</v>
      </c>
      <c r="F2370" t="s">
        <v>88</v>
      </c>
      <c r="G2370" t="s">
        <v>88</v>
      </c>
      <c r="H2370" t="s">
        <v>92</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184</v>
      </c>
      <c r="B2371" t="s">
        <v>982</v>
      </c>
      <c r="C2371" t="s">
        <v>88</v>
      </c>
      <c r="D2371" t="s">
        <v>88</v>
      </c>
      <c r="E2371" t="s">
        <v>2756</v>
      </c>
      <c r="F2371" t="s">
        <v>88</v>
      </c>
      <c r="G2371" t="s">
        <v>88</v>
      </c>
      <c r="H2371" t="s">
        <v>92</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184</v>
      </c>
      <c r="B2372" t="s">
        <v>1908</v>
      </c>
      <c r="C2372" t="s">
        <v>88</v>
      </c>
      <c r="D2372" t="s">
        <v>88</v>
      </c>
      <c r="E2372" t="s">
        <v>2756</v>
      </c>
      <c r="F2372" t="s">
        <v>88</v>
      </c>
      <c r="G2372" t="s">
        <v>88</v>
      </c>
      <c r="H2372" t="s">
        <v>92</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184</v>
      </c>
      <c r="B2373" t="s">
        <v>851</v>
      </c>
      <c r="C2373" t="s">
        <v>88</v>
      </c>
      <c r="D2373" t="s">
        <v>88</v>
      </c>
      <c r="E2373" t="s">
        <v>2756</v>
      </c>
      <c r="F2373" t="s">
        <v>88</v>
      </c>
      <c r="G2373" t="s">
        <v>88</v>
      </c>
      <c r="H2373" t="s">
        <v>92</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184</v>
      </c>
      <c r="B2374" t="s">
        <v>1822</v>
      </c>
      <c r="C2374" t="s">
        <v>88</v>
      </c>
      <c r="D2374" t="s">
        <v>88</v>
      </c>
      <c r="E2374" t="s">
        <v>2757</v>
      </c>
      <c r="F2374" t="s">
        <v>88</v>
      </c>
      <c r="G2374" t="s">
        <v>88</v>
      </c>
      <c r="H2374" t="s">
        <v>92</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184</v>
      </c>
      <c r="B2375" t="s">
        <v>625</v>
      </c>
      <c r="C2375" t="s">
        <v>88</v>
      </c>
      <c r="D2375" t="s">
        <v>88</v>
      </c>
      <c r="E2375" t="s">
        <v>626</v>
      </c>
      <c r="F2375" t="s">
        <v>88</v>
      </c>
      <c r="G2375" t="s">
        <v>88</v>
      </c>
      <c r="H2375" t="s">
        <v>92</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185</v>
      </c>
      <c r="B2376" t="s">
        <v>736</v>
      </c>
      <c r="C2376" t="s">
        <v>88</v>
      </c>
      <c r="D2376" t="s">
        <v>2183</v>
      </c>
      <c r="E2376" t="s">
        <v>780</v>
      </c>
      <c r="F2376" t="s">
        <v>88</v>
      </c>
      <c r="G2376" t="s">
        <v>88</v>
      </c>
      <c r="H2376" t="s">
        <v>92</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185</v>
      </c>
      <c r="B2377" t="s">
        <v>739</v>
      </c>
      <c r="C2377" t="s">
        <v>88</v>
      </c>
      <c r="D2377" t="s">
        <v>2183</v>
      </c>
      <c r="E2377" t="s">
        <v>959</v>
      </c>
      <c r="F2377" t="s">
        <v>88</v>
      </c>
      <c r="G2377" t="s">
        <v>88</v>
      </c>
      <c r="H2377" t="s">
        <v>92</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185</v>
      </c>
      <c r="B2378" t="s">
        <v>2758</v>
      </c>
      <c r="C2378" t="s">
        <v>88</v>
      </c>
      <c r="D2378" t="s">
        <v>2759</v>
      </c>
      <c r="E2378" t="s">
        <v>964</v>
      </c>
      <c r="F2378" t="s">
        <v>88</v>
      </c>
      <c r="G2378" t="s">
        <v>88</v>
      </c>
      <c r="H2378" t="s">
        <v>92</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185</v>
      </c>
      <c r="B2379" t="s">
        <v>2760</v>
      </c>
      <c r="C2379" t="s">
        <v>88</v>
      </c>
      <c r="D2379" t="s">
        <v>88</v>
      </c>
      <c r="E2379" t="s">
        <v>709</v>
      </c>
      <c r="F2379" t="s">
        <v>88</v>
      </c>
      <c r="G2379" t="s">
        <v>88</v>
      </c>
      <c r="H2379" t="s">
        <v>92</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185</v>
      </c>
      <c r="B2380" t="s">
        <v>876</v>
      </c>
      <c r="C2380" t="s">
        <v>88</v>
      </c>
      <c r="D2380" t="s">
        <v>2761</v>
      </c>
      <c r="E2380" t="s">
        <v>655</v>
      </c>
      <c r="F2380" t="s">
        <v>88</v>
      </c>
      <c r="G2380" t="s">
        <v>88</v>
      </c>
      <c r="H2380" t="s">
        <v>92</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185</v>
      </c>
      <c r="B2381" t="s">
        <v>2762</v>
      </c>
      <c r="C2381" t="s">
        <v>88</v>
      </c>
      <c r="D2381" t="s">
        <v>2761</v>
      </c>
      <c r="E2381" t="s">
        <v>893</v>
      </c>
      <c r="F2381" t="s">
        <v>88</v>
      </c>
      <c r="G2381" t="s">
        <v>88</v>
      </c>
      <c r="H2381" t="s">
        <v>92</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185</v>
      </c>
      <c r="B2382" t="s">
        <v>2763</v>
      </c>
      <c r="C2382" t="s">
        <v>88</v>
      </c>
      <c r="D2382" t="s">
        <v>2761</v>
      </c>
      <c r="E2382" t="s">
        <v>780</v>
      </c>
      <c r="F2382" t="s">
        <v>88</v>
      </c>
      <c r="G2382" t="s">
        <v>88</v>
      </c>
      <c r="H2382" t="s">
        <v>92</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185</v>
      </c>
      <c r="B2383" t="s">
        <v>759</v>
      </c>
      <c r="C2383" t="s">
        <v>88</v>
      </c>
      <c r="D2383" t="s">
        <v>2761</v>
      </c>
      <c r="E2383" t="s">
        <v>692</v>
      </c>
      <c r="F2383" t="s">
        <v>88</v>
      </c>
      <c r="G2383" t="s">
        <v>88</v>
      </c>
      <c r="H2383" t="s">
        <v>92</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185</v>
      </c>
      <c r="B2384" t="s">
        <v>2764</v>
      </c>
      <c r="C2384" t="s">
        <v>88</v>
      </c>
      <c r="D2384" t="s">
        <v>2765</v>
      </c>
      <c r="E2384" t="s">
        <v>692</v>
      </c>
      <c r="F2384" t="s">
        <v>88</v>
      </c>
      <c r="G2384" t="s">
        <v>88</v>
      </c>
      <c r="H2384" t="s">
        <v>92</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185</v>
      </c>
      <c r="B2385" t="s">
        <v>2766</v>
      </c>
      <c r="C2385" t="s">
        <v>88</v>
      </c>
      <c r="D2385" t="s">
        <v>2767</v>
      </c>
      <c r="E2385" t="s">
        <v>692</v>
      </c>
      <c r="F2385" t="s">
        <v>88</v>
      </c>
      <c r="G2385" t="s">
        <v>88</v>
      </c>
      <c r="H2385" t="s">
        <v>92</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185</v>
      </c>
      <c r="B2386" t="s">
        <v>2768</v>
      </c>
      <c r="C2386" t="s">
        <v>88</v>
      </c>
      <c r="D2386" t="s">
        <v>2767</v>
      </c>
      <c r="E2386" t="s">
        <v>676</v>
      </c>
      <c r="F2386" t="s">
        <v>88</v>
      </c>
      <c r="G2386" t="s">
        <v>88</v>
      </c>
      <c r="H2386" t="s">
        <v>92</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185</v>
      </c>
      <c r="B2387" t="s">
        <v>876</v>
      </c>
      <c r="C2387" t="s">
        <v>88</v>
      </c>
      <c r="D2387" t="s">
        <v>2761</v>
      </c>
      <c r="E2387" t="s">
        <v>655</v>
      </c>
      <c r="F2387" t="s">
        <v>88</v>
      </c>
      <c r="G2387" t="s">
        <v>88</v>
      </c>
      <c r="H2387" t="s">
        <v>92</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185</v>
      </c>
      <c r="B2388" t="s">
        <v>897</v>
      </c>
      <c r="C2388" t="s">
        <v>88</v>
      </c>
      <c r="D2388" t="s">
        <v>2761</v>
      </c>
      <c r="E2388" t="s">
        <v>655</v>
      </c>
      <c r="F2388" t="s">
        <v>88</v>
      </c>
      <c r="G2388" t="s">
        <v>88</v>
      </c>
      <c r="H2388" t="s">
        <v>92</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185</v>
      </c>
      <c r="B2389" t="s">
        <v>740</v>
      </c>
      <c r="C2389" t="s">
        <v>88</v>
      </c>
      <c r="D2389" t="s">
        <v>2761</v>
      </c>
      <c r="E2389" t="s">
        <v>700</v>
      </c>
      <c r="F2389" t="s">
        <v>88</v>
      </c>
      <c r="G2389" t="s">
        <v>88</v>
      </c>
      <c r="H2389" t="s">
        <v>92</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185</v>
      </c>
      <c r="B2390" t="s">
        <v>764</v>
      </c>
      <c r="C2390" t="s">
        <v>88</v>
      </c>
      <c r="D2390" t="s">
        <v>2761</v>
      </c>
      <c r="E2390" t="s">
        <v>700</v>
      </c>
      <c r="F2390" t="s">
        <v>88</v>
      </c>
      <c r="G2390" t="s">
        <v>88</v>
      </c>
      <c r="H2390" t="s">
        <v>92</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185</v>
      </c>
      <c r="B2391" t="s">
        <v>743</v>
      </c>
      <c r="C2391" t="s">
        <v>88</v>
      </c>
      <c r="D2391" t="s">
        <v>2761</v>
      </c>
      <c r="E2391" t="s">
        <v>700</v>
      </c>
      <c r="F2391" t="s">
        <v>88</v>
      </c>
      <c r="G2391" t="s">
        <v>88</v>
      </c>
      <c r="H2391" t="s">
        <v>92</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185</v>
      </c>
      <c r="B2392" t="s">
        <v>768</v>
      </c>
      <c r="C2392" t="s">
        <v>88</v>
      </c>
      <c r="D2392" t="s">
        <v>2761</v>
      </c>
      <c r="E2392" t="s">
        <v>655</v>
      </c>
      <c r="F2392" t="s">
        <v>88</v>
      </c>
      <c r="G2392" t="s">
        <v>88</v>
      </c>
      <c r="H2392" t="s">
        <v>92</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185</v>
      </c>
      <c r="B2393" t="s">
        <v>2769</v>
      </c>
      <c r="C2393" t="s">
        <v>88</v>
      </c>
      <c r="D2393" t="s">
        <v>2761</v>
      </c>
      <c r="E2393" t="s">
        <v>964</v>
      </c>
      <c r="F2393" t="s">
        <v>88</v>
      </c>
      <c r="G2393" t="s">
        <v>88</v>
      </c>
      <c r="H2393" t="s">
        <v>92</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185</v>
      </c>
      <c r="B2394" t="s">
        <v>767</v>
      </c>
      <c r="C2394" t="s">
        <v>88</v>
      </c>
      <c r="D2394" t="s">
        <v>2761</v>
      </c>
      <c r="E2394" t="s">
        <v>700</v>
      </c>
      <c r="F2394" t="s">
        <v>88</v>
      </c>
      <c r="G2394" t="s">
        <v>88</v>
      </c>
      <c r="H2394" t="s">
        <v>92</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185</v>
      </c>
      <c r="B2395" t="s">
        <v>736</v>
      </c>
      <c r="C2395" t="s">
        <v>88</v>
      </c>
      <c r="D2395" t="s">
        <v>2183</v>
      </c>
      <c r="E2395" t="s">
        <v>780</v>
      </c>
      <c r="F2395" t="s">
        <v>88</v>
      </c>
      <c r="G2395" t="s">
        <v>88</v>
      </c>
      <c r="H2395" t="s">
        <v>92</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185</v>
      </c>
      <c r="B2396" t="s">
        <v>925</v>
      </c>
      <c r="C2396" t="s">
        <v>88</v>
      </c>
      <c r="D2396" t="s">
        <v>2183</v>
      </c>
      <c r="E2396" t="s">
        <v>780</v>
      </c>
      <c r="F2396" t="s">
        <v>88</v>
      </c>
      <c r="G2396" t="s">
        <v>88</v>
      </c>
      <c r="H2396" t="s">
        <v>92</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185</v>
      </c>
      <c r="B2397" t="s">
        <v>2770</v>
      </c>
      <c r="C2397" t="s">
        <v>88</v>
      </c>
      <c r="D2397" t="s">
        <v>2183</v>
      </c>
      <c r="E2397" t="s">
        <v>780</v>
      </c>
      <c r="F2397" t="s">
        <v>88</v>
      </c>
      <c r="G2397" t="s">
        <v>88</v>
      </c>
      <c r="H2397" t="s">
        <v>92</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185</v>
      </c>
      <c r="B2398" t="s">
        <v>779</v>
      </c>
      <c r="C2398" t="s">
        <v>88</v>
      </c>
      <c r="D2398" t="s">
        <v>2183</v>
      </c>
      <c r="E2398" t="s">
        <v>937</v>
      </c>
      <c r="F2398" t="s">
        <v>88</v>
      </c>
      <c r="G2398" t="s">
        <v>88</v>
      </c>
      <c r="H2398" t="s">
        <v>92</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185</v>
      </c>
      <c r="B2399" t="s">
        <v>2012</v>
      </c>
      <c r="C2399" t="s">
        <v>88</v>
      </c>
      <c r="D2399" t="s">
        <v>2183</v>
      </c>
      <c r="E2399" t="s">
        <v>780</v>
      </c>
      <c r="F2399" t="s">
        <v>88</v>
      </c>
      <c r="G2399" t="s">
        <v>88</v>
      </c>
      <c r="H2399" t="s">
        <v>92</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185</v>
      </c>
      <c r="B2400" t="s">
        <v>2771</v>
      </c>
      <c r="C2400" t="s">
        <v>88</v>
      </c>
      <c r="D2400" t="s">
        <v>2183</v>
      </c>
      <c r="E2400" t="s">
        <v>937</v>
      </c>
      <c r="F2400" t="s">
        <v>88</v>
      </c>
      <c r="G2400" t="s">
        <v>88</v>
      </c>
      <c r="H2400" t="s">
        <v>92</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185</v>
      </c>
      <c r="B2401" t="s">
        <v>739</v>
      </c>
      <c r="C2401" t="s">
        <v>88</v>
      </c>
      <c r="D2401" t="s">
        <v>2183</v>
      </c>
      <c r="E2401" t="s">
        <v>959</v>
      </c>
      <c r="F2401" t="s">
        <v>88</v>
      </c>
      <c r="G2401" t="s">
        <v>88</v>
      </c>
      <c r="H2401" t="s">
        <v>92</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185</v>
      </c>
      <c r="B2402" t="s">
        <v>948</v>
      </c>
      <c r="C2402" t="s">
        <v>88</v>
      </c>
      <c r="D2402" t="s">
        <v>88</v>
      </c>
      <c r="E2402" t="s">
        <v>735</v>
      </c>
      <c r="F2402" t="s">
        <v>88</v>
      </c>
      <c r="G2402" t="s">
        <v>88</v>
      </c>
      <c r="H2402" t="s">
        <v>92</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185</v>
      </c>
      <c r="B2403" t="s">
        <v>2760</v>
      </c>
      <c r="C2403" t="s">
        <v>88</v>
      </c>
      <c r="D2403" t="s">
        <v>88</v>
      </c>
      <c r="E2403" t="s">
        <v>709</v>
      </c>
      <c r="F2403" t="s">
        <v>88</v>
      </c>
      <c r="G2403" t="s">
        <v>88</v>
      </c>
      <c r="H2403" t="s">
        <v>92</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185</v>
      </c>
      <c r="B2404" t="s">
        <v>701</v>
      </c>
      <c r="C2404" t="s">
        <v>88</v>
      </c>
      <c r="D2404" t="s">
        <v>88</v>
      </c>
      <c r="E2404" t="s">
        <v>709</v>
      </c>
      <c r="F2404" t="s">
        <v>88</v>
      </c>
      <c r="G2404" t="s">
        <v>88</v>
      </c>
      <c r="H2404" t="s">
        <v>92</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185</v>
      </c>
      <c r="B2405" t="s">
        <v>705</v>
      </c>
      <c r="C2405" t="s">
        <v>88</v>
      </c>
      <c r="D2405" t="s">
        <v>88</v>
      </c>
      <c r="E2405" t="s">
        <v>709</v>
      </c>
      <c r="F2405" t="s">
        <v>88</v>
      </c>
      <c r="G2405" t="s">
        <v>88</v>
      </c>
      <c r="H2405" t="s">
        <v>92</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185</v>
      </c>
      <c r="B2406" t="s">
        <v>846</v>
      </c>
      <c r="C2406" t="s">
        <v>88</v>
      </c>
      <c r="D2406" t="s">
        <v>88</v>
      </c>
      <c r="E2406" t="s">
        <v>710</v>
      </c>
      <c r="F2406" t="s">
        <v>88</v>
      </c>
      <c r="G2406" t="s">
        <v>88</v>
      </c>
      <c r="H2406" t="s">
        <v>92</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185</v>
      </c>
      <c r="B2407" t="s">
        <v>795</v>
      </c>
      <c r="C2407" t="s">
        <v>88</v>
      </c>
      <c r="D2407" t="s">
        <v>88</v>
      </c>
      <c r="E2407" t="s">
        <v>735</v>
      </c>
      <c r="F2407" t="s">
        <v>88</v>
      </c>
      <c r="G2407" t="s">
        <v>88</v>
      </c>
      <c r="H2407" t="s">
        <v>92</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185</v>
      </c>
      <c r="B2408" t="s">
        <v>618</v>
      </c>
      <c r="C2408" t="s">
        <v>88</v>
      </c>
      <c r="D2408" t="s">
        <v>88</v>
      </c>
      <c r="E2408" t="s">
        <v>711</v>
      </c>
      <c r="F2408" t="s">
        <v>88</v>
      </c>
      <c r="G2408" t="s">
        <v>88</v>
      </c>
      <c r="H2408" t="s">
        <v>92</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185</v>
      </c>
      <c r="B2409" t="s">
        <v>926</v>
      </c>
      <c r="C2409" t="s">
        <v>88</v>
      </c>
      <c r="D2409" t="s">
        <v>88</v>
      </c>
      <c r="E2409" t="s">
        <v>711</v>
      </c>
      <c r="F2409" t="s">
        <v>88</v>
      </c>
      <c r="G2409" t="s">
        <v>88</v>
      </c>
      <c r="H2409" t="s">
        <v>92</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185</v>
      </c>
      <c r="B2410" t="s">
        <v>620</v>
      </c>
      <c r="C2410" t="s">
        <v>88</v>
      </c>
      <c r="D2410" t="s">
        <v>88</v>
      </c>
      <c r="E2410" t="s">
        <v>735</v>
      </c>
      <c r="F2410" t="s">
        <v>88</v>
      </c>
      <c r="G2410" t="s">
        <v>88</v>
      </c>
      <c r="H2410" t="s">
        <v>92</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185</v>
      </c>
      <c r="B2411" t="s">
        <v>622</v>
      </c>
      <c r="C2411" t="s">
        <v>88</v>
      </c>
      <c r="D2411" t="s">
        <v>88</v>
      </c>
      <c r="E2411" t="s">
        <v>735</v>
      </c>
      <c r="F2411" t="s">
        <v>88</v>
      </c>
      <c r="G2411" t="s">
        <v>88</v>
      </c>
      <c r="H2411" t="s">
        <v>92</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185</v>
      </c>
      <c r="B2412" t="s">
        <v>623</v>
      </c>
      <c r="C2412" t="s">
        <v>88</v>
      </c>
      <c r="D2412" t="s">
        <v>88</v>
      </c>
      <c r="E2412" t="s">
        <v>735</v>
      </c>
      <c r="F2412" t="s">
        <v>88</v>
      </c>
      <c r="G2412" t="s">
        <v>88</v>
      </c>
      <c r="H2412" t="s">
        <v>92</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185</v>
      </c>
      <c r="B2413" t="s">
        <v>714</v>
      </c>
      <c r="C2413" t="s">
        <v>88</v>
      </c>
      <c r="D2413" t="s">
        <v>88</v>
      </c>
      <c r="E2413" t="s">
        <v>732</v>
      </c>
      <c r="F2413" t="s">
        <v>88</v>
      </c>
      <c r="G2413" t="s">
        <v>88</v>
      </c>
      <c r="H2413" t="s">
        <v>92</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185</v>
      </c>
      <c r="B2414" t="s">
        <v>998</v>
      </c>
      <c r="C2414" t="s">
        <v>88</v>
      </c>
      <c r="D2414" t="s">
        <v>88</v>
      </c>
      <c r="E2414" t="s">
        <v>732</v>
      </c>
      <c r="F2414" t="s">
        <v>88</v>
      </c>
      <c r="G2414" t="s">
        <v>88</v>
      </c>
      <c r="H2414" t="s">
        <v>92</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185</v>
      </c>
      <c r="B2415" t="s">
        <v>1989</v>
      </c>
      <c r="C2415" t="s">
        <v>88</v>
      </c>
      <c r="D2415" t="s">
        <v>88</v>
      </c>
      <c r="E2415" t="s">
        <v>791</v>
      </c>
      <c r="F2415" t="s">
        <v>88</v>
      </c>
      <c r="G2415" t="s">
        <v>88</v>
      </c>
      <c r="H2415" t="s">
        <v>92</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185</v>
      </c>
      <c r="B2416" t="s">
        <v>1990</v>
      </c>
      <c r="C2416" t="s">
        <v>88</v>
      </c>
      <c r="D2416" t="s">
        <v>88</v>
      </c>
      <c r="E2416" t="s">
        <v>791</v>
      </c>
      <c r="F2416" t="s">
        <v>88</v>
      </c>
      <c r="G2416" t="s">
        <v>88</v>
      </c>
      <c r="H2416" t="s">
        <v>92</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185</v>
      </c>
      <c r="B2417" t="s">
        <v>1400</v>
      </c>
      <c r="C2417" t="s">
        <v>88</v>
      </c>
      <c r="D2417" t="s">
        <v>2759</v>
      </c>
      <c r="E2417" t="s">
        <v>964</v>
      </c>
      <c r="F2417" t="s">
        <v>88</v>
      </c>
      <c r="G2417" t="s">
        <v>88</v>
      </c>
      <c r="H2417" t="s">
        <v>92</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185</v>
      </c>
      <c r="B2418" t="s">
        <v>2772</v>
      </c>
      <c r="C2418" t="s">
        <v>88</v>
      </c>
      <c r="D2418" t="s">
        <v>1401</v>
      </c>
      <c r="E2418" t="s">
        <v>803</v>
      </c>
      <c r="F2418" t="s">
        <v>88</v>
      </c>
      <c r="G2418" t="s">
        <v>88</v>
      </c>
      <c r="H2418" t="s">
        <v>92</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185</v>
      </c>
      <c r="B2419" t="s">
        <v>2427</v>
      </c>
      <c r="C2419" t="s">
        <v>88</v>
      </c>
      <c r="D2419" t="s">
        <v>2773</v>
      </c>
      <c r="E2419" t="s">
        <v>814</v>
      </c>
      <c r="F2419" t="s">
        <v>88</v>
      </c>
      <c r="G2419" t="s">
        <v>88</v>
      </c>
      <c r="H2419" t="s">
        <v>92</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185</v>
      </c>
      <c r="B2420" t="s">
        <v>2774</v>
      </c>
      <c r="C2420" t="s">
        <v>88</v>
      </c>
      <c r="D2420" t="s">
        <v>2775</v>
      </c>
      <c r="E2420" t="s">
        <v>814</v>
      </c>
      <c r="F2420" t="s">
        <v>88</v>
      </c>
      <c r="G2420" t="s">
        <v>88</v>
      </c>
      <c r="H2420" t="s">
        <v>92</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185</v>
      </c>
      <c r="B2421" t="s">
        <v>2776</v>
      </c>
      <c r="C2421" t="s">
        <v>88</v>
      </c>
      <c r="D2421" t="s">
        <v>2777</v>
      </c>
      <c r="E2421" t="s">
        <v>814</v>
      </c>
      <c r="F2421" t="s">
        <v>88</v>
      </c>
      <c r="G2421" t="s">
        <v>88</v>
      </c>
      <c r="H2421" t="s">
        <v>92</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185</v>
      </c>
      <c r="B2422" t="s">
        <v>2778</v>
      </c>
      <c r="C2422" t="s">
        <v>88</v>
      </c>
      <c r="D2422" t="s">
        <v>2779</v>
      </c>
      <c r="E2422" t="s">
        <v>814</v>
      </c>
      <c r="F2422" t="s">
        <v>88</v>
      </c>
      <c r="G2422" t="s">
        <v>88</v>
      </c>
      <c r="H2422" t="s">
        <v>92</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185</v>
      </c>
      <c r="B2423" t="s">
        <v>1237</v>
      </c>
      <c r="C2423" t="s">
        <v>88</v>
      </c>
      <c r="D2423" t="s">
        <v>2759</v>
      </c>
      <c r="E2423" t="s">
        <v>964</v>
      </c>
      <c r="F2423" t="s">
        <v>88</v>
      </c>
      <c r="G2423" t="s">
        <v>88</v>
      </c>
      <c r="H2423" t="s">
        <v>92</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185</v>
      </c>
      <c r="B2424" t="s">
        <v>1234</v>
      </c>
      <c r="C2424" t="s">
        <v>88</v>
      </c>
      <c r="D2424" t="s">
        <v>2759</v>
      </c>
      <c r="E2424" t="s">
        <v>964</v>
      </c>
      <c r="F2424" t="s">
        <v>88</v>
      </c>
      <c r="G2424" t="s">
        <v>88</v>
      </c>
      <c r="H2424" t="s">
        <v>92</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185</v>
      </c>
      <c r="B2425" t="s">
        <v>1238</v>
      </c>
      <c r="C2425" t="s">
        <v>88</v>
      </c>
      <c r="D2425" t="s">
        <v>2759</v>
      </c>
      <c r="E2425" t="s">
        <v>964</v>
      </c>
      <c r="F2425" t="s">
        <v>88</v>
      </c>
      <c r="G2425" t="s">
        <v>88</v>
      </c>
      <c r="H2425" t="s">
        <v>92</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185</v>
      </c>
      <c r="B2426" t="s">
        <v>2423</v>
      </c>
      <c r="C2426" t="s">
        <v>88</v>
      </c>
      <c r="D2426" t="s">
        <v>2759</v>
      </c>
      <c r="E2426" t="s">
        <v>1068</v>
      </c>
      <c r="F2426" t="s">
        <v>88</v>
      </c>
      <c r="G2426" t="s">
        <v>88</v>
      </c>
      <c r="H2426" t="s">
        <v>92</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185</v>
      </c>
      <c r="B2427" t="s">
        <v>2780</v>
      </c>
      <c r="C2427" t="s">
        <v>88</v>
      </c>
      <c r="D2427" t="s">
        <v>2759</v>
      </c>
      <c r="E2427" t="s">
        <v>2016</v>
      </c>
      <c r="F2427" t="s">
        <v>88</v>
      </c>
      <c r="G2427" t="s">
        <v>88</v>
      </c>
      <c r="H2427" t="s">
        <v>92</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185</v>
      </c>
      <c r="B2428" t="s">
        <v>2781</v>
      </c>
      <c r="C2428" t="s">
        <v>88</v>
      </c>
      <c r="D2428" t="s">
        <v>2759</v>
      </c>
      <c r="E2428" t="s">
        <v>803</v>
      </c>
      <c r="F2428" t="s">
        <v>88</v>
      </c>
      <c r="G2428" t="s">
        <v>88</v>
      </c>
      <c r="H2428" t="s">
        <v>92</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185</v>
      </c>
      <c r="B2429" t="s">
        <v>2418</v>
      </c>
      <c r="C2429" t="s">
        <v>88</v>
      </c>
      <c r="D2429" t="s">
        <v>1401</v>
      </c>
      <c r="E2429" t="s">
        <v>803</v>
      </c>
      <c r="F2429" t="s">
        <v>88</v>
      </c>
      <c r="G2429" t="s">
        <v>88</v>
      </c>
      <c r="H2429" t="s">
        <v>92</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185</v>
      </c>
      <c r="B2430" t="s">
        <v>2782</v>
      </c>
      <c r="C2430" t="s">
        <v>88</v>
      </c>
      <c r="D2430" t="s">
        <v>2759</v>
      </c>
      <c r="E2430" t="s">
        <v>803</v>
      </c>
      <c r="F2430" t="s">
        <v>88</v>
      </c>
      <c r="G2430" t="s">
        <v>88</v>
      </c>
      <c r="H2430" t="s">
        <v>92</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185</v>
      </c>
      <c r="B2431" t="s">
        <v>2758</v>
      </c>
      <c r="C2431" t="s">
        <v>88</v>
      </c>
      <c r="D2431" t="s">
        <v>2759</v>
      </c>
      <c r="E2431" t="s">
        <v>964</v>
      </c>
      <c r="F2431" t="s">
        <v>88</v>
      </c>
      <c r="G2431" t="s">
        <v>88</v>
      </c>
      <c r="H2431" t="s">
        <v>92</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185</v>
      </c>
      <c r="B2432" t="s">
        <v>2783</v>
      </c>
      <c r="C2432" t="s">
        <v>88</v>
      </c>
      <c r="D2432" t="s">
        <v>88</v>
      </c>
      <c r="E2432" t="s">
        <v>663</v>
      </c>
      <c r="F2432" t="s">
        <v>88</v>
      </c>
      <c r="G2432" t="s">
        <v>88</v>
      </c>
      <c r="H2432" t="s">
        <v>92</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185</v>
      </c>
      <c r="B2433" t="s">
        <v>625</v>
      </c>
      <c r="C2433" t="s">
        <v>88</v>
      </c>
      <c r="D2433" t="s">
        <v>88</v>
      </c>
      <c r="E2433" t="s">
        <v>626</v>
      </c>
      <c r="F2433" t="s">
        <v>88</v>
      </c>
      <c r="G2433" t="s">
        <v>88</v>
      </c>
      <c r="H2433" t="s">
        <v>92</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187</v>
      </c>
      <c r="B2434" t="s">
        <v>2784</v>
      </c>
      <c r="C2434" t="s">
        <v>88</v>
      </c>
      <c r="D2434" t="s">
        <v>2785</v>
      </c>
      <c r="E2434" t="s">
        <v>2786</v>
      </c>
      <c r="F2434" t="s">
        <v>88</v>
      </c>
      <c r="G2434" t="s">
        <v>88</v>
      </c>
      <c r="H2434" t="s">
        <v>92</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187</v>
      </c>
      <c r="B2435" t="s">
        <v>2787</v>
      </c>
      <c r="C2435" t="s">
        <v>88</v>
      </c>
      <c r="D2435" t="s">
        <v>2788</v>
      </c>
      <c r="E2435" t="s">
        <v>605</v>
      </c>
      <c r="F2435" t="s">
        <v>88</v>
      </c>
      <c r="G2435" t="s">
        <v>88</v>
      </c>
      <c r="H2435" t="s">
        <v>92</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187</v>
      </c>
      <c r="B2436" t="s">
        <v>2789</v>
      </c>
      <c r="C2436" t="s">
        <v>88</v>
      </c>
      <c r="D2436" t="s">
        <v>2790</v>
      </c>
      <c r="E2436" t="s">
        <v>2791</v>
      </c>
      <c r="F2436" t="s">
        <v>88</v>
      </c>
      <c r="G2436" t="s">
        <v>88</v>
      </c>
      <c r="H2436" t="s">
        <v>92</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187</v>
      </c>
      <c r="B2437" t="s">
        <v>2792</v>
      </c>
      <c r="C2437" t="s">
        <v>88</v>
      </c>
      <c r="D2437" t="s">
        <v>2793</v>
      </c>
      <c r="E2437" t="s">
        <v>2585</v>
      </c>
      <c r="F2437" t="s">
        <v>88</v>
      </c>
      <c r="G2437" t="s">
        <v>88</v>
      </c>
      <c r="H2437" t="s">
        <v>92</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187</v>
      </c>
      <c r="B2438" t="s">
        <v>2794</v>
      </c>
      <c r="C2438" t="s">
        <v>88</v>
      </c>
      <c r="D2438" t="s">
        <v>2795</v>
      </c>
      <c r="E2438" t="s">
        <v>2564</v>
      </c>
      <c r="F2438" t="s">
        <v>88</v>
      </c>
      <c r="G2438" t="s">
        <v>88</v>
      </c>
      <c r="H2438" t="s">
        <v>92</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187</v>
      </c>
      <c r="B2439" t="s">
        <v>2796</v>
      </c>
      <c r="C2439" t="s">
        <v>88</v>
      </c>
      <c r="D2439" t="s">
        <v>2797</v>
      </c>
      <c r="E2439" t="s">
        <v>643</v>
      </c>
      <c r="F2439" t="s">
        <v>88</v>
      </c>
      <c r="G2439" t="s">
        <v>88</v>
      </c>
      <c r="H2439" t="s">
        <v>92</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187</v>
      </c>
      <c r="B2440" t="s">
        <v>2798</v>
      </c>
      <c r="C2440" t="s">
        <v>88</v>
      </c>
      <c r="D2440" t="s">
        <v>2799</v>
      </c>
      <c r="E2440" t="s">
        <v>2800</v>
      </c>
      <c r="F2440" t="s">
        <v>88</v>
      </c>
      <c r="G2440" t="s">
        <v>88</v>
      </c>
      <c r="H2440" t="s">
        <v>92</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187</v>
      </c>
      <c r="B2441" t="s">
        <v>2801</v>
      </c>
      <c r="C2441" t="s">
        <v>88</v>
      </c>
      <c r="D2441" t="s">
        <v>2802</v>
      </c>
      <c r="E2441" t="s">
        <v>2800</v>
      </c>
      <c r="F2441" t="s">
        <v>88</v>
      </c>
      <c r="G2441" t="s">
        <v>88</v>
      </c>
      <c r="H2441" t="s">
        <v>92</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187</v>
      </c>
      <c r="B2442" t="s">
        <v>2803</v>
      </c>
      <c r="C2442" t="s">
        <v>88</v>
      </c>
      <c r="D2442" t="s">
        <v>2804</v>
      </c>
      <c r="E2442" t="s">
        <v>2805</v>
      </c>
      <c r="F2442" t="s">
        <v>88</v>
      </c>
      <c r="G2442" t="s">
        <v>88</v>
      </c>
      <c r="H2442" t="s">
        <v>92</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187</v>
      </c>
      <c r="B2443" t="s">
        <v>2806</v>
      </c>
      <c r="C2443" t="s">
        <v>88</v>
      </c>
      <c r="D2443" t="s">
        <v>2807</v>
      </c>
      <c r="E2443" t="s">
        <v>2805</v>
      </c>
      <c r="F2443" t="s">
        <v>88</v>
      </c>
      <c r="G2443" t="s">
        <v>88</v>
      </c>
      <c r="H2443" t="s">
        <v>92</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187</v>
      </c>
      <c r="B2444" t="s">
        <v>2808</v>
      </c>
      <c r="C2444" t="s">
        <v>88</v>
      </c>
      <c r="D2444" t="s">
        <v>2809</v>
      </c>
      <c r="E2444" t="s">
        <v>591</v>
      </c>
      <c r="F2444" t="s">
        <v>88</v>
      </c>
      <c r="G2444" t="s">
        <v>88</v>
      </c>
      <c r="H2444" t="s">
        <v>92</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187</v>
      </c>
      <c r="B2445" t="s">
        <v>2810</v>
      </c>
      <c r="C2445" t="s">
        <v>88</v>
      </c>
      <c r="D2445" t="s">
        <v>2811</v>
      </c>
      <c r="E2445" t="s">
        <v>2503</v>
      </c>
      <c r="F2445" t="s">
        <v>88</v>
      </c>
      <c r="G2445" t="s">
        <v>88</v>
      </c>
      <c r="H2445" t="s">
        <v>92</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187</v>
      </c>
      <c r="B2446" t="s">
        <v>2812</v>
      </c>
      <c r="C2446" t="s">
        <v>88</v>
      </c>
      <c r="D2446" t="s">
        <v>2813</v>
      </c>
      <c r="E2446" t="s">
        <v>2814</v>
      </c>
      <c r="F2446" t="s">
        <v>88</v>
      </c>
      <c r="G2446" t="s">
        <v>88</v>
      </c>
      <c r="H2446" t="s">
        <v>92</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187</v>
      </c>
      <c r="B2447" t="s">
        <v>2815</v>
      </c>
      <c r="C2447" t="s">
        <v>88</v>
      </c>
      <c r="D2447" t="s">
        <v>2816</v>
      </c>
      <c r="E2447" t="s">
        <v>2130</v>
      </c>
      <c r="F2447" t="s">
        <v>88</v>
      </c>
      <c r="G2447" t="s">
        <v>88</v>
      </c>
      <c r="H2447" t="s">
        <v>92</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187</v>
      </c>
      <c r="B2448" t="s">
        <v>2817</v>
      </c>
      <c r="C2448" t="s">
        <v>88</v>
      </c>
      <c r="D2448" t="s">
        <v>2818</v>
      </c>
      <c r="E2448" t="s">
        <v>649</v>
      </c>
      <c r="F2448" t="s">
        <v>88</v>
      </c>
      <c r="G2448" t="s">
        <v>88</v>
      </c>
      <c r="H2448" t="s">
        <v>92</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187</v>
      </c>
      <c r="B2449" t="s">
        <v>1871</v>
      </c>
      <c r="C2449" t="s">
        <v>88</v>
      </c>
      <c r="D2449" t="s">
        <v>2819</v>
      </c>
      <c r="E2449" t="s">
        <v>2117</v>
      </c>
      <c r="F2449" t="s">
        <v>88</v>
      </c>
      <c r="G2449" t="s">
        <v>88</v>
      </c>
      <c r="H2449" t="s">
        <v>92</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187</v>
      </c>
      <c r="B2450" t="s">
        <v>2820</v>
      </c>
      <c r="C2450" t="s">
        <v>88</v>
      </c>
      <c r="D2450" t="s">
        <v>2821</v>
      </c>
      <c r="E2450" t="s">
        <v>2064</v>
      </c>
      <c r="F2450" t="s">
        <v>88</v>
      </c>
      <c r="G2450" t="s">
        <v>88</v>
      </c>
      <c r="H2450" t="s">
        <v>92</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187</v>
      </c>
      <c r="B2451" t="s">
        <v>2822</v>
      </c>
      <c r="C2451" t="s">
        <v>88</v>
      </c>
      <c r="D2451" t="s">
        <v>2823</v>
      </c>
      <c r="E2451" t="s">
        <v>2585</v>
      </c>
      <c r="F2451" t="s">
        <v>88</v>
      </c>
      <c r="G2451" t="s">
        <v>88</v>
      </c>
      <c r="H2451" t="s">
        <v>92</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187</v>
      </c>
      <c r="B2452" t="s">
        <v>2824</v>
      </c>
      <c r="C2452" t="s">
        <v>88</v>
      </c>
      <c r="D2452" t="s">
        <v>2825</v>
      </c>
      <c r="E2452" t="s">
        <v>2585</v>
      </c>
      <c r="F2452" t="s">
        <v>88</v>
      </c>
      <c r="G2452" t="s">
        <v>88</v>
      </c>
      <c r="H2452" t="s">
        <v>92</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187</v>
      </c>
      <c r="B2453" t="s">
        <v>2826</v>
      </c>
      <c r="C2453" t="s">
        <v>88</v>
      </c>
      <c r="D2453" t="s">
        <v>2827</v>
      </c>
      <c r="E2453" t="s">
        <v>2555</v>
      </c>
      <c r="F2453" t="s">
        <v>88</v>
      </c>
      <c r="G2453" t="s">
        <v>88</v>
      </c>
      <c r="H2453" t="s">
        <v>92</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187</v>
      </c>
      <c r="B2454" t="s">
        <v>2787</v>
      </c>
      <c r="C2454" t="s">
        <v>88</v>
      </c>
      <c r="D2454" t="s">
        <v>2788</v>
      </c>
      <c r="E2454" t="s">
        <v>605</v>
      </c>
      <c r="F2454" t="s">
        <v>88</v>
      </c>
      <c r="G2454" t="s">
        <v>88</v>
      </c>
      <c r="H2454" t="s">
        <v>92</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187</v>
      </c>
      <c r="B2455" t="s">
        <v>633</v>
      </c>
      <c r="C2455" t="s">
        <v>88</v>
      </c>
      <c r="D2455" t="s">
        <v>2828</v>
      </c>
      <c r="E2455" t="s">
        <v>2584</v>
      </c>
      <c r="F2455" t="s">
        <v>88</v>
      </c>
      <c r="G2455" t="s">
        <v>88</v>
      </c>
      <c r="H2455" t="s">
        <v>92</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187</v>
      </c>
      <c r="B2456" t="s">
        <v>2829</v>
      </c>
      <c r="C2456" t="s">
        <v>88</v>
      </c>
      <c r="D2456" t="s">
        <v>2830</v>
      </c>
      <c r="E2456" t="s">
        <v>1135</v>
      </c>
      <c r="F2456" t="s">
        <v>88</v>
      </c>
      <c r="G2456" t="s">
        <v>88</v>
      </c>
      <c r="H2456" t="s">
        <v>92</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187</v>
      </c>
      <c r="B2457" t="s">
        <v>2789</v>
      </c>
      <c r="C2457" t="s">
        <v>88</v>
      </c>
      <c r="D2457" t="s">
        <v>2790</v>
      </c>
      <c r="E2457" t="s">
        <v>2791</v>
      </c>
      <c r="F2457" t="s">
        <v>88</v>
      </c>
      <c r="G2457" t="s">
        <v>88</v>
      </c>
      <c r="H2457" t="s">
        <v>92</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187</v>
      </c>
      <c r="B2458" t="s">
        <v>2792</v>
      </c>
      <c r="C2458" t="s">
        <v>88</v>
      </c>
      <c r="D2458" t="s">
        <v>2793</v>
      </c>
      <c r="E2458" t="s">
        <v>2585</v>
      </c>
      <c r="F2458" t="s">
        <v>88</v>
      </c>
      <c r="G2458" t="s">
        <v>88</v>
      </c>
      <c r="H2458" t="s">
        <v>92</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187</v>
      </c>
      <c r="B2459" t="s">
        <v>2784</v>
      </c>
      <c r="C2459" t="s">
        <v>88</v>
      </c>
      <c r="D2459" t="s">
        <v>2785</v>
      </c>
      <c r="E2459" t="s">
        <v>2786</v>
      </c>
      <c r="F2459" t="s">
        <v>88</v>
      </c>
      <c r="G2459" t="s">
        <v>88</v>
      </c>
      <c r="H2459" t="s">
        <v>92</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187</v>
      </c>
      <c r="B2460" t="s">
        <v>2831</v>
      </c>
      <c r="C2460" t="s">
        <v>88</v>
      </c>
      <c r="D2460" t="s">
        <v>2832</v>
      </c>
      <c r="E2460" t="s">
        <v>2833</v>
      </c>
      <c r="F2460" t="s">
        <v>88</v>
      </c>
      <c r="G2460" t="s">
        <v>88</v>
      </c>
      <c r="H2460" t="s">
        <v>92</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187</v>
      </c>
      <c r="B2461" t="s">
        <v>2834</v>
      </c>
      <c r="C2461" t="s">
        <v>88</v>
      </c>
      <c r="D2461" t="s">
        <v>2835</v>
      </c>
      <c r="E2461" t="s">
        <v>2814</v>
      </c>
      <c r="F2461" t="s">
        <v>88</v>
      </c>
      <c r="G2461" t="s">
        <v>88</v>
      </c>
      <c r="H2461" t="s">
        <v>92</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187</v>
      </c>
      <c r="B2462" t="s">
        <v>2836</v>
      </c>
      <c r="C2462" t="s">
        <v>88</v>
      </c>
      <c r="D2462" t="s">
        <v>2837</v>
      </c>
      <c r="E2462" t="s">
        <v>2838</v>
      </c>
      <c r="F2462" t="s">
        <v>88</v>
      </c>
      <c r="G2462" t="s">
        <v>88</v>
      </c>
      <c r="H2462" t="s">
        <v>92</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187</v>
      </c>
      <c r="B2463" t="s">
        <v>2839</v>
      </c>
      <c r="C2463" t="s">
        <v>88</v>
      </c>
      <c r="D2463" t="s">
        <v>2840</v>
      </c>
      <c r="E2463" t="s">
        <v>1236</v>
      </c>
      <c r="F2463" t="s">
        <v>88</v>
      </c>
      <c r="G2463" t="s">
        <v>88</v>
      </c>
      <c r="H2463" t="s">
        <v>92</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187</v>
      </c>
      <c r="B2464" t="s">
        <v>2841</v>
      </c>
      <c r="C2464" t="s">
        <v>88</v>
      </c>
      <c r="D2464" t="s">
        <v>2842</v>
      </c>
      <c r="E2464" t="s">
        <v>647</v>
      </c>
      <c r="F2464" t="s">
        <v>88</v>
      </c>
      <c r="G2464" t="s">
        <v>88</v>
      </c>
      <c r="H2464" t="s">
        <v>92</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187</v>
      </c>
      <c r="B2465" t="s">
        <v>2843</v>
      </c>
      <c r="C2465" t="s">
        <v>88</v>
      </c>
      <c r="D2465" t="s">
        <v>2844</v>
      </c>
      <c r="E2465" t="s">
        <v>2555</v>
      </c>
      <c r="F2465" t="s">
        <v>88</v>
      </c>
      <c r="G2465" t="s">
        <v>88</v>
      </c>
      <c r="H2465" t="s">
        <v>92</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187</v>
      </c>
      <c r="B2466" t="s">
        <v>1842</v>
      </c>
      <c r="C2466" t="s">
        <v>88</v>
      </c>
      <c r="D2466" t="s">
        <v>2845</v>
      </c>
      <c r="E2466" t="s">
        <v>609</v>
      </c>
      <c r="F2466" t="s">
        <v>88</v>
      </c>
      <c r="G2466" t="s">
        <v>88</v>
      </c>
      <c r="H2466" t="s">
        <v>92</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187</v>
      </c>
      <c r="B2467" t="s">
        <v>2846</v>
      </c>
      <c r="C2467" t="s">
        <v>88</v>
      </c>
      <c r="D2467" t="s">
        <v>2847</v>
      </c>
      <c r="E2467" t="s">
        <v>647</v>
      </c>
      <c r="F2467" t="s">
        <v>88</v>
      </c>
      <c r="G2467" t="s">
        <v>88</v>
      </c>
      <c r="H2467" t="s">
        <v>92</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187</v>
      </c>
      <c r="B2468" t="s">
        <v>2848</v>
      </c>
      <c r="C2468" t="s">
        <v>88</v>
      </c>
      <c r="D2468" t="s">
        <v>2849</v>
      </c>
      <c r="E2468" t="s">
        <v>2087</v>
      </c>
      <c r="F2468" t="s">
        <v>88</v>
      </c>
      <c r="G2468" t="s">
        <v>88</v>
      </c>
      <c r="H2468" t="s">
        <v>92</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187</v>
      </c>
      <c r="B2469" t="s">
        <v>2850</v>
      </c>
      <c r="C2469" t="s">
        <v>88</v>
      </c>
      <c r="D2469" t="s">
        <v>2851</v>
      </c>
      <c r="E2469" t="s">
        <v>2814</v>
      </c>
      <c r="F2469" t="s">
        <v>88</v>
      </c>
      <c r="G2469" t="s">
        <v>88</v>
      </c>
      <c r="H2469" t="s">
        <v>92</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187</v>
      </c>
      <c r="B2470" t="s">
        <v>2852</v>
      </c>
      <c r="C2470" t="s">
        <v>88</v>
      </c>
      <c r="D2470" t="s">
        <v>2853</v>
      </c>
      <c r="E2470" t="s">
        <v>2087</v>
      </c>
      <c r="F2470" t="s">
        <v>88</v>
      </c>
      <c r="G2470" t="s">
        <v>88</v>
      </c>
      <c r="H2470" t="s">
        <v>92</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187</v>
      </c>
      <c r="B2471" t="s">
        <v>2854</v>
      </c>
      <c r="C2471" t="s">
        <v>88</v>
      </c>
      <c r="D2471" t="s">
        <v>2855</v>
      </c>
      <c r="E2471" t="s">
        <v>2856</v>
      </c>
      <c r="F2471" t="s">
        <v>88</v>
      </c>
      <c r="G2471" t="s">
        <v>88</v>
      </c>
      <c r="H2471" t="s">
        <v>92</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187</v>
      </c>
      <c r="B2472" t="s">
        <v>2857</v>
      </c>
      <c r="C2472" t="s">
        <v>88</v>
      </c>
      <c r="D2472" t="s">
        <v>2858</v>
      </c>
      <c r="E2472" t="s">
        <v>2833</v>
      </c>
      <c r="F2472" t="s">
        <v>88</v>
      </c>
      <c r="G2472" t="s">
        <v>88</v>
      </c>
      <c r="H2472" t="s">
        <v>92</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187</v>
      </c>
      <c r="B2473" t="s">
        <v>2859</v>
      </c>
      <c r="C2473" t="s">
        <v>88</v>
      </c>
      <c r="D2473" t="s">
        <v>2860</v>
      </c>
      <c r="E2473" t="s">
        <v>649</v>
      </c>
      <c r="F2473" t="s">
        <v>88</v>
      </c>
      <c r="G2473" t="s">
        <v>88</v>
      </c>
      <c r="H2473" t="s">
        <v>92</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187</v>
      </c>
      <c r="B2474" t="s">
        <v>2794</v>
      </c>
      <c r="C2474" t="s">
        <v>88</v>
      </c>
      <c r="D2474" t="s">
        <v>2795</v>
      </c>
      <c r="E2474" t="s">
        <v>2564</v>
      </c>
      <c r="F2474" t="s">
        <v>88</v>
      </c>
      <c r="G2474" t="s">
        <v>88</v>
      </c>
      <c r="H2474" t="s">
        <v>92</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187</v>
      </c>
      <c r="B2475" t="s">
        <v>2861</v>
      </c>
      <c r="C2475" t="s">
        <v>88</v>
      </c>
      <c r="D2475" t="s">
        <v>2862</v>
      </c>
      <c r="E2475" t="s">
        <v>2117</v>
      </c>
      <c r="F2475" t="s">
        <v>88</v>
      </c>
      <c r="G2475" t="s">
        <v>88</v>
      </c>
      <c r="H2475" t="s">
        <v>92</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187</v>
      </c>
      <c r="B2476" t="s">
        <v>2863</v>
      </c>
      <c r="C2476" t="s">
        <v>88</v>
      </c>
      <c r="D2476" t="s">
        <v>88</v>
      </c>
      <c r="E2476" t="s">
        <v>2864</v>
      </c>
      <c r="F2476" t="s">
        <v>88</v>
      </c>
      <c r="G2476" t="s">
        <v>88</v>
      </c>
      <c r="H2476" t="s">
        <v>92</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187</v>
      </c>
      <c r="B2477" t="s">
        <v>2865</v>
      </c>
      <c r="C2477" t="s">
        <v>88</v>
      </c>
      <c r="D2477" t="s">
        <v>88</v>
      </c>
      <c r="E2477" t="s">
        <v>2864</v>
      </c>
      <c r="F2477" t="s">
        <v>88</v>
      </c>
      <c r="G2477" t="s">
        <v>88</v>
      </c>
      <c r="H2477" t="s">
        <v>92</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187</v>
      </c>
      <c r="B2478" t="s">
        <v>2866</v>
      </c>
      <c r="C2478" t="s">
        <v>88</v>
      </c>
      <c r="D2478" t="s">
        <v>88</v>
      </c>
      <c r="E2478" t="s">
        <v>2864</v>
      </c>
      <c r="F2478" t="s">
        <v>88</v>
      </c>
      <c r="G2478" t="s">
        <v>88</v>
      </c>
      <c r="H2478" t="s">
        <v>92</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187</v>
      </c>
      <c r="B2479" t="s">
        <v>2867</v>
      </c>
      <c r="C2479" t="s">
        <v>88</v>
      </c>
      <c r="D2479" t="s">
        <v>88</v>
      </c>
      <c r="E2479" t="s">
        <v>611</v>
      </c>
      <c r="F2479" t="s">
        <v>88</v>
      </c>
      <c r="G2479" t="s">
        <v>88</v>
      </c>
      <c r="H2479" t="s">
        <v>92</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187</v>
      </c>
      <c r="B2480" t="s">
        <v>2868</v>
      </c>
      <c r="C2480" t="s">
        <v>88</v>
      </c>
      <c r="D2480" t="s">
        <v>2869</v>
      </c>
      <c r="E2480" t="s">
        <v>2117</v>
      </c>
      <c r="F2480" t="s">
        <v>88</v>
      </c>
      <c r="G2480" t="s">
        <v>88</v>
      </c>
      <c r="H2480" t="s">
        <v>92</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187</v>
      </c>
      <c r="B2481" t="s">
        <v>612</v>
      </c>
      <c r="C2481" t="s">
        <v>88</v>
      </c>
      <c r="D2481" t="s">
        <v>88</v>
      </c>
      <c r="E2481" t="s">
        <v>732</v>
      </c>
      <c r="F2481" t="s">
        <v>88</v>
      </c>
      <c r="G2481" t="s">
        <v>88</v>
      </c>
      <c r="H2481" t="s">
        <v>92</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187</v>
      </c>
      <c r="B2482" t="s">
        <v>614</v>
      </c>
      <c r="C2482" t="s">
        <v>88</v>
      </c>
      <c r="D2482" t="s">
        <v>88</v>
      </c>
      <c r="E2482" t="s">
        <v>732</v>
      </c>
      <c r="F2482" t="s">
        <v>88</v>
      </c>
      <c r="G2482" t="s">
        <v>88</v>
      </c>
      <c r="H2482" t="s">
        <v>92</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187</v>
      </c>
      <c r="B2483" t="s">
        <v>615</v>
      </c>
      <c r="C2483" t="s">
        <v>88</v>
      </c>
      <c r="D2483" t="s">
        <v>88</v>
      </c>
      <c r="E2483" t="s">
        <v>732</v>
      </c>
      <c r="F2483" t="s">
        <v>88</v>
      </c>
      <c r="G2483" t="s">
        <v>88</v>
      </c>
      <c r="H2483" t="s">
        <v>92</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187</v>
      </c>
      <c r="B2484" t="s">
        <v>616</v>
      </c>
      <c r="C2484" t="s">
        <v>88</v>
      </c>
      <c r="D2484" t="s">
        <v>88</v>
      </c>
      <c r="E2484" t="s">
        <v>732</v>
      </c>
      <c r="F2484" t="s">
        <v>88</v>
      </c>
      <c r="G2484" t="s">
        <v>88</v>
      </c>
      <c r="H2484" t="s">
        <v>92</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187</v>
      </c>
      <c r="B2485" t="s">
        <v>733</v>
      </c>
      <c r="C2485" t="s">
        <v>88</v>
      </c>
      <c r="D2485" t="s">
        <v>88</v>
      </c>
      <c r="E2485" t="s">
        <v>732</v>
      </c>
      <c r="F2485" t="s">
        <v>88</v>
      </c>
      <c r="G2485" t="s">
        <v>88</v>
      </c>
      <c r="H2485" t="s">
        <v>92</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187</v>
      </c>
      <c r="B2486" t="s">
        <v>795</v>
      </c>
      <c r="C2486" t="s">
        <v>88</v>
      </c>
      <c r="D2486" t="s">
        <v>88</v>
      </c>
      <c r="E2486" t="s">
        <v>734</v>
      </c>
      <c r="F2486" t="s">
        <v>88</v>
      </c>
      <c r="G2486" t="s">
        <v>88</v>
      </c>
      <c r="H2486" t="s">
        <v>92</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187</v>
      </c>
      <c r="B2487" t="s">
        <v>623</v>
      </c>
      <c r="C2487" t="s">
        <v>88</v>
      </c>
      <c r="D2487" t="s">
        <v>88</v>
      </c>
      <c r="E2487" t="s">
        <v>711</v>
      </c>
      <c r="F2487" t="s">
        <v>88</v>
      </c>
      <c r="G2487" t="s">
        <v>88</v>
      </c>
      <c r="H2487" t="s">
        <v>92</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187</v>
      </c>
      <c r="B2488" t="s">
        <v>798</v>
      </c>
      <c r="C2488" t="s">
        <v>88</v>
      </c>
      <c r="D2488" t="s">
        <v>88</v>
      </c>
      <c r="E2488" t="s">
        <v>799</v>
      </c>
      <c r="F2488" t="s">
        <v>88</v>
      </c>
      <c r="G2488" t="s">
        <v>88</v>
      </c>
      <c r="H2488" t="s">
        <v>92</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187</v>
      </c>
      <c r="B2489" t="s">
        <v>982</v>
      </c>
      <c r="C2489" t="s">
        <v>88</v>
      </c>
      <c r="D2489" t="s">
        <v>88</v>
      </c>
      <c r="E2489" t="s">
        <v>799</v>
      </c>
      <c r="F2489" t="s">
        <v>88</v>
      </c>
      <c r="G2489" t="s">
        <v>88</v>
      </c>
      <c r="H2489" t="s">
        <v>92</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187</v>
      </c>
      <c r="B2490" t="s">
        <v>2870</v>
      </c>
      <c r="C2490" t="s">
        <v>88</v>
      </c>
      <c r="D2490" t="s">
        <v>88</v>
      </c>
      <c r="E2490" t="s">
        <v>713</v>
      </c>
      <c r="F2490" t="s">
        <v>88</v>
      </c>
      <c r="G2490" t="s">
        <v>88</v>
      </c>
      <c r="H2490" t="s">
        <v>92</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187</v>
      </c>
      <c r="B2491" t="s">
        <v>2654</v>
      </c>
      <c r="C2491" t="s">
        <v>88</v>
      </c>
      <c r="D2491" t="s">
        <v>88</v>
      </c>
      <c r="E2491" t="s">
        <v>713</v>
      </c>
      <c r="F2491" t="s">
        <v>88</v>
      </c>
      <c r="G2491" t="s">
        <v>88</v>
      </c>
      <c r="H2491" t="s">
        <v>92</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187</v>
      </c>
      <c r="B2492" t="s">
        <v>2573</v>
      </c>
      <c r="C2492" t="s">
        <v>88</v>
      </c>
      <c r="D2492" t="s">
        <v>88</v>
      </c>
      <c r="E2492" t="s">
        <v>713</v>
      </c>
      <c r="F2492" t="s">
        <v>88</v>
      </c>
      <c r="G2492" t="s">
        <v>88</v>
      </c>
      <c r="H2492" t="s">
        <v>92</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187</v>
      </c>
      <c r="B2493" t="s">
        <v>1609</v>
      </c>
      <c r="C2493" t="s">
        <v>88</v>
      </c>
      <c r="D2493" t="s">
        <v>88</v>
      </c>
      <c r="E2493" t="s">
        <v>849</v>
      </c>
      <c r="F2493" t="s">
        <v>88</v>
      </c>
      <c r="G2493" t="s">
        <v>88</v>
      </c>
      <c r="H2493" t="s">
        <v>92</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187</v>
      </c>
      <c r="B2494" t="s">
        <v>1611</v>
      </c>
      <c r="C2494" t="s">
        <v>88</v>
      </c>
      <c r="D2494" t="s">
        <v>88</v>
      </c>
      <c r="E2494" t="s">
        <v>849</v>
      </c>
      <c r="F2494" t="s">
        <v>88</v>
      </c>
      <c r="G2494" t="s">
        <v>88</v>
      </c>
      <c r="H2494" t="s">
        <v>92</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187</v>
      </c>
      <c r="B2495" t="s">
        <v>625</v>
      </c>
      <c r="C2495" t="s">
        <v>88</v>
      </c>
      <c r="D2495" t="s">
        <v>88</v>
      </c>
      <c r="E2495" t="s">
        <v>626</v>
      </c>
      <c r="F2495" t="s">
        <v>88</v>
      </c>
      <c r="G2495" t="s">
        <v>88</v>
      </c>
      <c r="H2495" t="s">
        <v>92</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188</v>
      </c>
      <c r="B2496" t="s">
        <v>2871</v>
      </c>
      <c r="C2496" t="s">
        <v>88</v>
      </c>
      <c r="D2496" t="s">
        <v>2872</v>
      </c>
      <c r="E2496" t="s">
        <v>1414</v>
      </c>
      <c r="F2496" t="s">
        <v>88</v>
      </c>
      <c r="G2496" t="s">
        <v>88</v>
      </c>
      <c r="H2496" t="s">
        <v>92</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188</v>
      </c>
      <c r="B2497" t="s">
        <v>2873</v>
      </c>
      <c r="C2497" t="s">
        <v>88</v>
      </c>
      <c r="D2497" t="s">
        <v>2874</v>
      </c>
      <c r="E2497" t="s">
        <v>1430</v>
      </c>
      <c r="F2497" t="s">
        <v>88</v>
      </c>
      <c r="G2497" t="s">
        <v>88</v>
      </c>
      <c r="H2497" t="s">
        <v>92</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188</v>
      </c>
      <c r="B2498" t="s">
        <v>2875</v>
      </c>
      <c r="C2498" t="s">
        <v>88</v>
      </c>
      <c r="D2498" t="s">
        <v>2876</v>
      </c>
      <c r="E2498" t="s">
        <v>1449</v>
      </c>
      <c r="F2498" t="s">
        <v>88</v>
      </c>
      <c r="G2498" t="s">
        <v>88</v>
      </c>
      <c r="H2498" t="s">
        <v>92</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188</v>
      </c>
      <c r="B2499" t="s">
        <v>2877</v>
      </c>
      <c r="C2499" t="s">
        <v>88</v>
      </c>
      <c r="D2499" t="s">
        <v>2878</v>
      </c>
      <c r="E2499" t="s">
        <v>2879</v>
      </c>
      <c r="F2499" t="s">
        <v>88</v>
      </c>
      <c r="G2499" t="s">
        <v>88</v>
      </c>
      <c r="H2499" t="s">
        <v>92</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188</v>
      </c>
      <c r="B2500" t="s">
        <v>2880</v>
      </c>
      <c r="C2500" t="s">
        <v>88</v>
      </c>
      <c r="D2500" t="s">
        <v>2881</v>
      </c>
      <c r="E2500" t="s">
        <v>2882</v>
      </c>
      <c r="F2500" t="s">
        <v>88</v>
      </c>
      <c r="G2500" t="s">
        <v>88</v>
      </c>
      <c r="H2500" t="s">
        <v>92</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188</v>
      </c>
      <c r="B2501" t="s">
        <v>2883</v>
      </c>
      <c r="C2501" t="s">
        <v>88</v>
      </c>
      <c r="D2501" t="s">
        <v>2884</v>
      </c>
      <c r="E2501" t="s">
        <v>2885</v>
      </c>
      <c r="F2501" t="s">
        <v>88</v>
      </c>
      <c r="G2501" t="s">
        <v>88</v>
      </c>
      <c r="H2501" t="s">
        <v>92</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188</v>
      </c>
      <c r="B2502" t="s">
        <v>2886</v>
      </c>
      <c r="C2502" t="s">
        <v>88</v>
      </c>
      <c r="D2502" t="s">
        <v>2887</v>
      </c>
      <c r="E2502" t="s">
        <v>2888</v>
      </c>
      <c r="F2502" t="s">
        <v>88</v>
      </c>
      <c r="G2502" t="s">
        <v>88</v>
      </c>
      <c r="H2502" t="s">
        <v>92</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188</v>
      </c>
      <c r="B2503" t="s">
        <v>2889</v>
      </c>
      <c r="C2503" t="s">
        <v>88</v>
      </c>
      <c r="D2503" t="s">
        <v>2890</v>
      </c>
      <c r="E2503" t="s">
        <v>1427</v>
      </c>
      <c r="F2503" t="s">
        <v>88</v>
      </c>
      <c r="G2503" t="s">
        <v>88</v>
      </c>
      <c r="H2503" t="s">
        <v>92</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188</v>
      </c>
      <c r="B2504" t="s">
        <v>2891</v>
      </c>
      <c r="C2504" t="s">
        <v>88</v>
      </c>
      <c r="D2504" t="s">
        <v>2892</v>
      </c>
      <c r="E2504" t="s">
        <v>1449</v>
      </c>
      <c r="F2504" t="s">
        <v>88</v>
      </c>
      <c r="G2504" t="s">
        <v>88</v>
      </c>
      <c r="H2504" t="s">
        <v>92</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188</v>
      </c>
      <c r="B2505" t="s">
        <v>2893</v>
      </c>
      <c r="C2505" t="s">
        <v>88</v>
      </c>
      <c r="D2505" t="s">
        <v>2894</v>
      </c>
      <c r="E2505" t="s">
        <v>2895</v>
      </c>
      <c r="F2505" t="s">
        <v>88</v>
      </c>
      <c r="G2505" t="s">
        <v>88</v>
      </c>
      <c r="H2505" t="s">
        <v>92</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188</v>
      </c>
      <c r="B2506" t="s">
        <v>2896</v>
      </c>
      <c r="C2506" t="s">
        <v>88</v>
      </c>
      <c r="D2506" t="s">
        <v>2897</v>
      </c>
      <c r="E2506" t="s">
        <v>2898</v>
      </c>
      <c r="F2506" t="s">
        <v>88</v>
      </c>
      <c r="G2506" t="s">
        <v>88</v>
      </c>
      <c r="H2506" t="s">
        <v>92</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188</v>
      </c>
      <c r="B2507" t="s">
        <v>2899</v>
      </c>
      <c r="C2507" t="s">
        <v>88</v>
      </c>
      <c r="D2507" t="s">
        <v>2900</v>
      </c>
      <c r="E2507" t="s">
        <v>2901</v>
      </c>
      <c r="F2507" t="s">
        <v>88</v>
      </c>
      <c r="G2507" t="s">
        <v>88</v>
      </c>
      <c r="H2507" t="s">
        <v>92</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188</v>
      </c>
      <c r="B2508" t="s">
        <v>2902</v>
      </c>
      <c r="C2508" t="s">
        <v>88</v>
      </c>
      <c r="D2508" t="s">
        <v>2903</v>
      </c>
      <c r="E2508" t="s">
        <v>1430</v>
      </c>
      <c r="F2508" t="s">
        <v>88</v>
      </c>
      <c r="G2508" t="s">
        <v>88</v>
      </c>
      <c r="H2508" t="s">
        <v>92</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188</v>
      </c>
      <c r="B2509" t="s">
        <v>1415</v>
      </c>
      <c r="C2509" t="s">
        <v>88</v>
      </c>
      <c r="D2509" t="s">
        <v>2904</v>
      </c>
      <c r="E2509" t="s">
        <v>1427</v>
      </c>
      <c r="F2509" t="s">
        <v>88</v>
      </c>
      <c r="G2509" t="s">
        <v>88</v>
      </c>
      <c r="H2509" t="s">
        <v>92</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188</v>
      </c>
      <c r="B2510" t="s">
        <v>2905</v>
      </c>
      <c r="C2510" t="s">
        <v>88</v>
      </c>
      <c r="D2510" t="s">
        <v>2906</v>
      </c>
      <c r="E2510" t="s">
        <v>1433</v>
      </c>
      <c r="F2510" t="s">
        <v>88</v>
      </c>
      <c r="G2510" t="s">
        <v>88</v>
      </c>
      <c r="H2510" t="s">
        <v>92</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188</v>
      </c>
      <c r="B2511" t="s">
        <v>2907</v>
      </c>
      <c r="C2511" t="s">
        <v>88</v>
      </c>
      <c r="D2511" t="s">
        <v>2908</v>
      </c>
      <c r="E2511" t="s">
        <v>2791</v>
      </c>
      <c r="F2511" t="s">
        <v>88</v>
      </c>
      <c r="G2511" t="s">
        <v>88</v>
      </c>
      <c r="H2511" t="s">
        <v>92</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188</v>
      </c>
      <c r="B2512" t="s">
        <v>2909</v>
      </c>
      <c r="C2512" t="s">
        <v>88</v>
      </c>
      <c r="D2512" t="s">
        <v>2910</v>
      </c>
      <c r="E2512" t="s">
        <v>1441</v>
      </c>
      <c r="F2512" t="s">
        <v>88</v>
      </c>
      <c r="G2512" t="s">
        <v>88</v>
      </c>
      <c r="H2512" t="s">
        <v>92</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188</v>
      </c>
      <c r="B2513" t="s">
        <v>2911</v>
      </c>
      <c r="C2513" t="s">
        <v>88</v>
      </c>
      <c r="D2513" t="s">
        <v>2912</v>
      </c>
      <c r="E2513" t="s">
        <v>2913</v>
      </c>
      <c r="F2513" t="s">
        <v>88</v>
      </c>
      <c r="G2513" t="s">
        <v>88</v>
      </c>
      <c r="H2513" t="s">
        <v>92</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188</v>
      </c>
      <c r="B2514" t="s">
        <v>2914</v>
      </c>
      <c r="C2514" t="s">
        <v>88</v>
      </c>
      <c r="D2514" t="s">
        <v>2915</v>
      </c>
      <c r="E2514" t="s">
        <v>2885</v>
      </c>
      <c r="F2514" t="s">
        <v>88</v>
      </c>
      <c r="G2514" t="s">
        <v>88</v>
      </c>
      <c r="H2514" t="s">
        <v>92</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188</v>
      </c>
      <c r="B2515" t="s">
        <v>2916</v>
      </c>
      <c r="C2515" t="s">
        <v>88</v>
      </c>
      <c r="D2515" t="s">
        <v>2917</v>
      </c>
      <c r="E2515" t="s">
        <v>2918</v>
      </c>
      <c r="F2515" t="s">
        <v>88</v>
      </c>
      <c r="G2515" t="s">
        <v>88</v>
      </c>
      <c r="H2515" t="s">
        <v>92</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188</v>
      </c>
      <c r="B2516" t="s">
        <v>2919</v>
      </c>
      <c r="C2516" t="s">
        <v>88</v>
      </c>
      <c r="D2516" t="s">
        <v>2920</v>
      </c>
      <c r="E2516" t="s">
        <v>1414</v>
      </c>
      <c r="F2516" t="s">
        <v>88</v>
      </c>
      <c r="G2516" t="s">
        <v>88</v>
      </c>
      <c r="H2516" t="s">
        <v>92</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188</v>
      </c>
      <c r="B2517" t="s">
        <v>2921</v>
      </c>
      <c r="C2517" t="s">
        <v>88</v>
      </c>
      <c r="D2517" t="s">
        <v>2922</v>
      </c>
      <c r="E2517" t="s">
        <v>1430</v>
      </c>
      <c r="F2517" t="s">
        <v>88</v>
      </c>
      <c r="G2517" t="s">
        <v>88</v>
      </c>
      <c r="H2517" t="s">
        <v>92</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188</v>
      </c>
      <c r="B2518" t="s">
        <v>2923</v>
      </c>
      <c r="C2518" t="s">
        <v>88</v>
      </c>
      <c r="D2518" t="s">
        <v>2924</v>
      </c>
      <c r="E2518" t="s">
        <v>2925</v>
      </c>
      <c r="F2518" t="s">
        <v>88</v>
      </c>
      <c r="G2518" t="s">
        <v>88</v>
      </c>
      <c r="H2518" t="s">
        <v>92</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188</v>
      </c>
      <c r="B2519" t="s">
        <v>2926</v>
      </c>
      <c r="C2519" t="s">
        <v>88</v>
      </c>
      <c r="D2519" t="s">
        <v>2927</v>
      </c>
      <c r="E2519" t="s">
        <v>2925</v>
      </c>
      <c r="F2519" t="s">
        <v>88</v>
      </c>
      <c r="G2519" t="s">
        <v>88</v>
      </c>
      <c r="H2519" t="s">
        <v>92</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188</v>
      </c>
      <c r="B2520" t="s">
        <v>2928</v>
      </c>
      <c r="C2520" t="s">
        <v>88</v>
      </c>
      <c r="D2520" t="s">
        <v>2927</v>
      </c>
      <c r="E2520" t="s">
        <v>2925</v>
      </c>
      <c r="F2520" t="s">
        <v>88</v>
      </c>
      <c r="G2520" t="s">
        <v>88</v>
      </c>
      <c r="H2520" t="s">
        <v>92</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188</v>
      </c>
      <c r="B2521" t="s">
        <v>2929</v>
      </c>
      <c r="C2521" t="s">
        <v>88</v>
      </c>
      <c r="D2521" t="s">
        <v>2927</v>
      </c>
      <c r="E2521" t="s">
        <v>2925</v>
      </c>
      <c r="F2521" t="s">
        <v>88</v>
      </c>
      <c r="G2521" t="s">
        <v>88</v>
      </c>
      <c r="H2521" t="s">
        <v>92</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188</v>
      </c>
      <c r="B2522" t="s">
        <v>2930</v>
      </c>
      <c r="C2522" t="s">
        <v>88</v>
      </c>
      <c r="D2522" t="s">
        <v>2927</v>
      </c>
      <c r="E2522" t="s">
        <v>2925</v>
      </c>
      <c r="F2522" t="s">
        <v>88</v>
      </c>
      <c r="G2522" t="s">
        <v>88</v>
      </c>
      <c r="H2522" t="s">
        <v>92</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188</v>
      </c>
      <c r="B2523" t="s">
        <v>2931</v>
      </c>
      <c r="C2523" t="s">
        <v>88</v>
      </c>
      <c r="D2523" t="s">
        <v>2932</v>
      </c>
      <c r="E2523" t="s">
        <v>1414</v>
      </c>
      <c r="F2523" t="s">
        <v>88</v>
      </c>
      <c r="G2523" t="s">
        <v>88</v>
      </c>
      <c r="H2523" t="s">
        <v>92</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188</v>
      </c>
      <c r="B2524" t="s">
        <v>2933</v>
      </c>
      <c r="C2524" t="s">
        <v>88</v>
      </c>
      <c r="D2524" t="s">
        <v>2934</v>
      </c>
      <c r="E2524" t="s">
        <v>1052</v>
      </c>
      <c r="F2524" t="s">
        <v>88</v>
      </c>
      <c r="G2524" t="s">
        <v>88</v>
      </c>
      <c r="H2524" t="s">
        <v>92</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188</v>
      </c>
      <c r="B2525" t="s">
        <v>2935</v>
      </c>
      <c r="C2525" t="s">
        <v>88</v>
      </c>
      <c r="D2525" t="s">
        <v>2936</v>
      </c>
      <c r="E2525" t="s">
        <v>1509</v>
      </c>
      <c r="F2525" t="s">
        <v>88</v>
      </c>
      <c r="G2525" t="s">
        <v>88</v>
      </c>
      <c r="H2525" t="s">
        <v>92</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188</v>
      </c>
      <c r="B2526" t="s">
        <v>2937</v>
      </c>
      <c r="C2526" t="s">
        <v>88</v>
      </c>
      <c r="D2526" t="s">
        <v>2938</v>
      </c>
      <c r="E2526" t="s">
        <v>1414</v>
      </c>
      <c r="F2526" t="s">
        <v>88</v>
      </c>
      <c r="G2526" t="s">
        <v>88</v>
      </c>
      <c r="H2526" t="s">
        <v>92</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188</v>
      </c>
      <c r="B2527" t="s">
        <v>2939</v>
      </c>
      <c r="C2527" t="s">
        <v>88</v>
      </c>
      <c r="D2527" t="s">
        <v>2940</v>
      </c>
      <c r="E2527" t="s">
        <v>1427</v>
      </c>
      <c r="F2527" t="s">
        <v>88</v>
      </c>
      <c r="G2527" t="s">
        <v>88</v>
      </c>
      <c r="H2527" t="s">
        <v>92</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188</v>
      </c>
      <c r="B2528" t="s">
        <v>2941</v>
      </c>
      <c r="C2528" t="s">
        <v>88</v>
      </c>
      <c r="D2528" t="s">
        <v>2942</v>
      </c>
      <c r="E2528" t="s">
        <v>2913</v>
      </c>
      <c r="F2528" t="s">
        <v>88</v>
      </c>
      <c r="G2528" t="s">
        <v>88</v>
      </c>
      <c r="H2528" t="s">
        <v>92</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188</v>
      </c>
      <c r="B2529" t="s">
        <v>2943</v>
      </c>
      <c r="C2529" t="s">
        <v>88</v>
      </c>
      <c r="D2529" t="s">
        <v>2944</v>
      </c>
      <c r="E2529" t="s">
        <v>1509</v>
      </c>
      <c r="F2529" t="s">
        <v>88</v>
      </c>
      <c r="G2529" t="s">
        <v>88</v>
      </c>
      <c r="H2529" t="s">
        <v>92</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188</v>
      </c>
      <c r="B2530" t="s">
        <v>2945</v>
      </c>
      <c r="C2530" t="s">
        <v>88</v>
      </c>
      <c r="D2530" t="s">
        <v>2946</v>
      </c>
      <c r="E2530" t="s">
        <v>2686</v>
      </c>
      <c r="F2530" t="s">
        <v>88</v>
      </c>
      <c r="G2530" t="s">
        <v>88</v>
      </c>
      <c r="H2530" t="s">
        <v>92</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188</v>
      </c>
      <c r="B2531" t="s">
        <v>2947</v>
      </c>
      <c r="C2531" t="s">
        <v>88</v>
      </c>
      <c r="D2531" t="s">
        <v>2948</v>
      </c>
      <c r="E2531" t="s">
        <v>1441</v>
      </c>
      <c r="F2531" t="s">
        <v>88</v>
      </c>
      <c r="G2531" t="s">
        <v>88</v>
      </c>
      <c r="H2531" t="s">
        <v>92</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188</v>
      </c>
      <c r="B2532" t="s">
        <v>2949</v>
      </c>
      <c r="C2532" t="s">
        <v>88</v>
      </c>
      <c r="D2532" t="s">
        <v>2950</v>
      </c>
      <c r="E2532" t="s">
        <v>1430</v>
      </c>
      <c r="F2532" t="s">
        <v>88</v>
      </c>
      <c r="G2532" t="s">
        <v>88</v>
      </c>
      <c r="H2532" t="s">
        <v>92</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188</v>
      </c>
      <c r="B2533" t="s">
        <v>2951</v>
      </c>
      <c r="C2533" t="s">
        <v>88</v>
      </c>
      <c r="D2533" t="s">
        <v>2952</v>
      </c>
      <c r="E2533" t="s">
        <v>1490</v>
      </c>
      <c r="F2533" t="s">
        <v>88</v>
      </c>
      <c r="G2533" t="s">
        <v>88</v>
      </c>
      <c r="H2533" t="s">
        <v>92</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188</v>
      </c>
      <c r="B2534" t="s">
        <v>2953</v>
      </c>
      <c r="C2534" t="s">
        <v>88</v>
      </c>
      <c r="D2534" t="s">
        <v>2954</v>
      </c>
      <c r="E2534" t="s">
        <v>1509</v>
      </c>
      <c r="F2534" t="s">
        <v>88</v>
      </c>
      <c r="G2534" t="s">
        <v>88</v>
      </c>
      <c r="H2534" t="s">
        <v>92</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188</v>
      </c>
      <c r="B2535" t="s">
        <v>2955</v>
      </c>
      <c r="C2535" t="s">
        <v>88</v>
      </c>
      <c r="D2535" t="s">
        <v>2956</v>
      </c>
      <c r="E2535" t="s">
        <v>1481</v>
      </c>
      <c r="F2535" t="s">
        <v>88</v>
      </c>
      <c r="G2535" t="s">
        <v>88</v>
      </c>
      <c r="H2535" t="s">
        <v>92</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188</v>
      </c>
      <c r="B2536" t="s">
        <v>2957</v>
      </c>
      <c r="C2536" t="s">
        <v>88</v>
      </c>
      <c r="D2536" t="s">
        <v>2958</v>
      </c>
      <c r="E2536" t="s">
        <v>1420</v>
      </c>
      <c r="F2536" t="s">
        <v>88</v>
      </c>
      <c r="G2536" t="s">
        <v>88</v>
      </c>
      <c r="H2536" t="s">
        <v>92</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188</v>
      </c>
      <c r="B2537" t="s">
        <v>2959</v>
      </c>
      <c r="C2537" t="s">
        <v>88</v>
      </c>
      <c r="D2537" t="s">
        <v>2960</v>
      </c>
      <c r="E2537" t="s">
        <v>1459</v>
      </c>
      <c r="F2537" t="s">
        <v>88</v>
      </c>
      <c r="G2537" t="s">
        <v>88</v>
      </c>
      <c r="H2537" t="s">
        <v>92</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188</v>
      </c>
      <c r="B2538" t="s">
        <v>2961</v>
      </c>
      <c r="C2538" t="s">
        <v>88</v>
      </c>
      <c r="D2538" t="s">
        <v>2962</v>
      </c>
      <c r="E2538" t="s">
        <v>1459</v>
      </c>
      <c r="F2538" t="s">
        <v>88</v>
      </c>
      <c r="G2538" t="s">
        <v>88</v>
      </c>
      <c r="H2538" t="s">
        <v>92</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188</v>
      </c>
      <c r="B2539" t="s">
        <v>2963</v>
      </c>
      <c r="C2539" t="s">
        <v>88</v>
      </c>
      <c r="D2539" t="s">
        <v>2964</v>
      </c>
      <c r="E2539" t="s">
        <v>1459</v>
      </c>
      <c r="F2539" t="s">
        <v>88</v>
      </c>
      <c r="G2539" t="s">
        <v>88</v>
      </c>
      <c r="H2539" t="s">
        <v>92</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188</v>
      </c>
      <c r="B2540" t="s">
        <v>2965</v>
      </c>
      <c r="C2540" t="s">
        <v>88</v>
      </c>
      <c r="D2540" t="s">
        <v>2966</v>
      </c>
      <c r="E2540" t="s">
        <v>1459</v>
      </c>
      <c r="F2540" t="s">
        <v>88</v>
      </c>
      <c r="G2540" t="s">
        <v>88</v>
      </c>
      <c r="H2540" t="s">
        <v>92</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188</v>
      </c>
      <c r="B2541" t="s">
        <v>2967</v>
      </c>
      <c r="C2541" t="s">
        <v>88</v>
      </c>
      <c r="D2541" t="s">
        <v>2968</v>
      </c>
      <c r="E2541" t="s">
        <v>2969</v>
      </c>
      <c r="F2541" t="s">
        <v>88</v>
      </c>
      <c r="G2541" t="s">
        <v>88</v>
      </c>
      <c r="H2541" t="s">
        <v>92</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188</v>
      </c>
      <c r="B2542" t="s">
        <v>2970</v>
      </c>
      <c r="C2542" t="s">
        <v>88</v>
      </c>
      <c r="D2542" t="s">
        <v>2971</v>
      </c>
      <c r="E2542" t="s">
        <v>1462</v>
      </c>
      <c r="F2542" t="s">
        <v>88</v>
      </c>
      <c r="G2542" t="s">
        <v>88</v>
      </c>
      <c r="H2542" t="s">
        <v>92</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188</v>
      </c>
      <c r="B2543" t="s">
        <v>2972</v>
      </c>
      <c r="C2543" t="s">
        <v>88</v>
      </c>
      <c r="D2543" t="s">
        <v>2973</v>
      </c>
      <c r="E2543" t="s">
        <v>1414</v>
      </c>
      <c r="F2543" t="s">
        <v>88</v>
      </c>
      <c r="G2543" t="s">
        <v>88</v>
      </c>
      <c r="H2543" t="s">
        <v>92</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188</v>
      </c>
      <c r="B2544" t="s">
        <v>2974</v>
      </c>
      <c r="C2544" t="s">
        <v>88</v>
      </c>
      <c r="D2544" t="s">
        <v>2975</v>
      </c>
      <c r="E2544" t="s">
        <v>1406</v>
      </c>
      <c r="F2544" t="s">
        <v>88</v>
      </c>
      <c r="G2544" t="s">
        <v>88</v>
      </c>
      <c r="H2544" t="s">
        <v>92</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188</v>
      </c>
      <c r="B2545" t="s">
        <v>2976</v>
      </c>
      <c r="C2545" t="s">
        <v>88</v>
      </c>
      <c r="D2545" t="s">
        <v>2977</v>
      </c>
      <c r="E2545" t="s">
        <v>2885</v>
      </c>
      <c r="F2545" t="s">
        <v>88</v>
      </c>
      <c r="G2545" t="s">
        <v>88</v>
      </c>
      <c r="H2545" t="s">
        <v>92</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188</v>
      </c>
      <c r="B2546" t="s">
        <v>2978</v>
      </c>
      <c r="C2546" t="s">
        <v>88</v>
      </c>
      <c r="D2546" t="s">
        <v>2979</v>
      </c>
      <c r="E2546" t="s">
        <v>1462</v>
      </c>
      <c r="F2546" t="s">
        <v>88</v>
      </c>
      <c r="G2546" t="s">
        <v>88</v>
      </c>
      <c r="H2546" t="s">
        <v>92</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188</v>
      </c>
      <c r="B2547" t="s">
        <v>2980</v>
      </c>
      <c r="C2547" t="s">
        <v>88</v>
      </c>
      <c r="D2547" t="s">
        <v>2981</v>
      </c>
      <c r="E2547" t="s">
        <v>1406</v>
      </c>
      <c r="F2547" t="s">
        <v>88</v>
      </c>
      <c r="G2547" t="s">
        <v>88</v>
      </c>
      <c r="H2547" t="s">
        <v>92</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188</v>
      </c>
      <c r="B2548" t="s">
        <v>2982</v>
      </c>
      <c r="C2548" t="s">
        <v>88</v>
      </c>
      <c r="D2548" t="s">
        <v>2983</v>
      </c>
      <c r="E2548" t="s">
        <v>1414</v>
      </c>
      <c r="F2548" t="s">
        <v>88</v>
      </c>
      <c r="G2548" t="s">
        <v>88</v>
      </c>
      <c r="H2548" t="s">
        <v>92</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188</v>
      </c>
      <c r="B2549" t="s">
        <v>671</v>
      </c>
      <c r="C2549" t="s">
        <v>88</v>
      </c>
      <c r="D2549" t="s">
        <v>2984</v>
      </c>
      <c r="E2549" t="s">
        <v>889</v>
      </c>
      <c r="F2549" t="s">
        <v>88</v>
      </c>
      <c r="G2549" t="s">
        <v>88</v>
      </c>
      <c r="H2549" t="s">
        <v>92</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188</v>
      </c>
      <c r="B2550" t="s">
        <v>1859</v>
      </c>
      <c r="C2550" t="s">
        <v>88</v>
      </c>
      <c r="D2550" t="s">
        <v>2985</v>
      </c>
      <c r="E2550" t="s">
        <v>1509</v>
      </c>
      <c r="F2550" t="s">
        <v>88</v>
      </c>
      <c r="G2550" t="s">
        <v>88</v>
      </c>
      <c r="H2550" t="s">
        <v>92</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188</v>
      </c>
      <c r="B2551" t="s">
        <v>1504</v>
      </c>
      <c r="C2551" t="s">
        <v>88</v>
      </c>
      <c r="D2551" t="s">
        <v>2986</v>
      </c>
      <c r="E2551" t="s">
        <v>1531</v>
      </c>
      <c r="F2551" t="s">
        <v>88</v>
      </c>
      <c r="G2551" t="s">
        <v>88</v>
      </c>
      <c r="H2551" t="s">
        <v>92</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188</v>
      </c>
      <c r="B2552" t="s">
        <v>2987</v>
      </c>
      <c r="C2552" t="s">
        <v>88</v>
      </c>
      <c r="D2552" t="s">
        <v>2988</v>
      </c>
      <c r="E2552" t="s">
        <v>2989</v>
      </c>
      <c r="F2552" t="s">
        <v>88</v>
      </c>
      <c r="G2552" t="s">
        <v>88</v>
      </c>
      <c r="H2552" t="s">
        <v>92</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188</v>
      </c>
      <c r="B2553" t="s">
        <v>2990</v>
      </c>
      <c r="C2553" t="s">
        <v>88</v>
      </c>
      <c r="D2553" t="s">
        <v>2991</v>
      </c>
      <c r="E2553" t="s">
        <v>2805</v>
      </c>
      <c r="F2553" t="s">
        <v>88</v>
      </c>
      <c r="G2553" t="s">
        <v>88</v>
      </c>
      <c r="H2553" t="s">
        <v>92</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188</v>
      </c>
      <c r="B2554" t="s">
        <v>2992</v>
      </c>
      <c r="C2554" t="s">
        <v>88</v>
      </c>
      <c r="D2554" t="s">
        <v>2993</v>
      </c>
      <c r="E2554" t="s">
        <v>1052</v>
      </c>
      <c r="F2554" t="s">
        <v>88</v>
      </c>
      <c r="G2554" t="s">
        <v>88</v>
      </c>
      <c r="H2554" t="s">
        <v>92</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188</v>
      </c>
      <c r="B2555" t="s">
        <v>2994</v>
      </c>
      <c r="C2555" t="s">
        <v>88</v>
      </c>
      <c r="D2555" t="s">
        <v>2995</v>
      </c>
      <c r="E2555" t="s">
        <v>1481</v>
      </c>
      <c r="F2555" t="s">
        <v>88</v>
      </c>
      <c r="G2555" t="s">
        <v>88</v>
      </c>
      <c r="H2555" t="s">
        <v>92</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188</v>
      </c>
      <c r="B2556" t="s">
        <v>2996</v>
      </c>
      <c r="C2556" t="s">
        <v>88</v>
      </c>
      <c r="D2556" t="s">
        <v>2997</v>
      </c>
      <c r="E2556" t="s">
        <v>1414</v>
      </c>
      <c r="F2556" t="s">
        <v>88</v>
      </c>
      <c r="G2556" t="s">
        <v>88</v>
      </c>
      <c r="H2556" t="s">
        <v>92</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188</v>
      </c>
      <c r="B2557" t="s">
        <v>2998</v>
      </c>
      <c r="C2557" t="s">
        <v>88</v>
      </c>
      <c r="D2557" t="s">
        <v>2999</v>
      </c>
      <c r="E2557" t="s">
        <v>1478</v>
      </c>
      <c r="F2557" t="s">
        <v>88</v>
      </c>
      <c r="G2557" t="s">
        <v>88</v>
      </c>
      <c r="H2557" t="s">
        <v>92</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188</v>
      </c>
      <c r="B2558" t="s">
        <v>3000</v>
      </c>
      <c r="C2558" t="s">
        <v>88</v>
      </c>
      <c r="D2558" t="s">
        <v>3001</v>
      </c>
      <c r="E2558" t="s">
        <v>1452</v>
      </c>
      <c r="F2558" t="s">
        <v>88</v>
      </c>
      <c r="G2558" t="s">
        <v>88</v>
      </c>
      <c r="H2558" t="s">
        <v>92</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188</v>
      </c>
      <c r="B2559" t="s">
        <v>3002</v>
      </c>
      <c r="C2559" t="s">
        <v>88</v>
      </c>
      <c r="D2559" t="s">
        <v>3003</v>
      </c>
      <c r="E2559" t="s">
        <v>1481</v>
      </c>
      <c r="F2559" t="s">
        <v>88</v>
      </c>
      <c r="G2559" t="s">
        <v>88</v>
      </c>
      <c r="H2559" t="s">
        <v>92</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188</v>
      </c>
      <c r="B2560" t="s">
        <v>3004</v>
      </c>
      <c r="C2560" t="s">
        <v>88</v>
      </c>
      <c r="D2560" t="s">
        <v>3005</v>
      </c>
      <c r="E2560" t="s">
        <v>1052</v>
      </c>
      <c r="F2560" t="s">
        <v>88</v>
      </c>
      <c r="G2560" t="s">
        <v>88</v>
      </c>
      <c r="H2560" t="s">
        <v>92</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188</v>
      </c>
      <c r="B2561" t="s">
        <v>3006</v>
      </c>
      <c r="C2561" t="s">
        <v>88</v>
      </c>
      <c r="D2561" t="s">
        <v>3007</v>
      </c>
      <c r="E2561" t="s">
        <v>1414</v>
      </c>
      <c r="F2561" t="s">
        <v>88</v>
      </c>
      <c r="G2561" t="s">
        <v>88</v>
      </c>
      <c r="H2561" t="s">
        <v>92</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188</v>
      </c>
      <c r="B2562" t="s">
        <v>3008</v>
      </c>
      <c r="C2562" t="s">
        <v>88</v>
      </c>
      <c r="D2562" t="s">
        <v>3009</v>
      </c>
      <c r="E2562" t="s">
        <v>1484</v>
      </c>
      <c r="F2562" t="s">
        <v>88</v>
      </c>
      <c r="G2562" t="s">
        <v>88</v>
      </c>
      <c r="H2562" t="s">
        <v>92</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188</v>
      </c>
      <c r="B2563" t="s">
        <v>3010</v>
      </c>
      <c r="C2563" t="s">
        <v>88</v>
      </c>
      <c r="D2563" t="s">
        <v>3011</v>
      </c>
      <c r="E2563" t="s">
        <v>1509</v>
      </c>
      <c r="F2563" t="s">
        <v>88</v>
      </c>
      <c r="G2563" t="s">
        <v>88</v>
      </c>
      <c r="H2563" t="s">
        <v>92</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188</v>
      </c>
      <c r="B2564" t="s">
        <v>2479</v>
      </c>
      <c r="C2564" t="s">
        <v>88</v>
      </c>
      <c r="D2564" t="s">
        <v>3012</v>
      </c>
      <c r="E2564" t="s">
        <v>1452</v>
      </c>
      <c r="F2564" t="s">
        <v>88</v>
      </c>
      <c r="G2564" t="s">
        <v>88</v>
      </c>
      <c r="H2564" t="s">
        <v>92</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188</v>
      </c>
      <c r="B2565" t="s">
        <v>3013</v>
      </c>
      <c r="C2565" t="s">
        <v>88</v>
      </c>
      <c r="D2565" t="s">
        <v>3014</v>
      </c>
      <c r="E2565" t="s">
        <v>3015</v>
      </c>
      <c r="F2565" t="s">
        <v>88</v>
      </c>
      <c r="G2565" t="s">
        <v>88</v>
      </c>
      <c r="H2565" t="s">
        <v>92</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188</v>
      </c>
      <c r="B2566" t="s">
        <v>3016</v>
      </c>
      <c r="C2566" t="s">
        <v>88</v>
      </c>
      <c r="D2566" t="s">
        <v>3017</v>
      </c>
      <c r="E2566" t="s">
        <v>1526</v>
      </c>
      <c r="F2566" t="s">
        <v>88</v>
      </c>
      <c r="G2566" t="s">
        <v>88</v>
      </c>
      <c r="H2566" t="s">
        <v>92</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188</v>
      </c>
      <c r="B2567" t="s">
        <v>3018</v>
      </c>
      <c r="C2567" t="s">
        <v>88</v>
      </c>
      <c r="D2567" t="s">
        <v>3019</v>
      </c>
      <c r="E2567" t="s">
        <v>1490</v>
      </c>
      <c r="F2567" t="s">
        <v>88</v>
      </c>
      <c r="G2567" t="s">
        <v>88</v>
      </c>
      <c r="H2567" t="s">
        <v>92</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188</v>
      </c>
      <c r="B2568" t="s">
        <v>3020</v>
      </c>
      <c r="C2568" t="s">
        <v>88</v>
      </c>
      <c r="D2568" t="s">
        <v>3021</v>
      </c>
      <c r="E2568" t="s">
        <v>1526</v>
      </c>
      <c r="F2568" t="s">
        <v>88</v>
      </c>
      <c r="G2568" t="s">
        <v>88</v>
      </c>
      <c r="H2568" t="s">
        <v>92</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188</v>
      </c>
      <c r="B2569" t="s">
        <v>3022</v>
      </c>
      <c r="C2569" t="s">
        <v>88</v>
      </c>
      <c r="D2569" t="s">
        <v>3023</v>
      </c>
      <c r="E2569" t="s">
        <v>1484</v>
      </c>
      <c r="F2569" t="s">
        <v>88</v>
      </c>
      <c r="G2569" t="s">
        <v>88</v>
      </c>
      <c r="H2569" t="s">
        <v>92</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188</v>
      </c>
      <c r="B2570" t="s">
        <v>3024</v>
      </c>
      <c r="C2570" t="s">
        <v>88</v>
      </c>
      <c r="D2570" t="s">
        <v>3025</v>
      </c>
      <c r="E2570" t="s">
        <v>1523</v>
      </c>
      <c r="F2570" t="s">
        <v>88</v>
      </c>
      <c r="G2570" t="s">
        <v>88</v>
      </c>
      <c r="H2570" t="s">
        <v>92</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188</v>
      </c>
      <c r="B2571" t="s">
        <v>3026</v>
      </c>
      <c r="C2571" t="s">
        <v>88</v>
      </c>
      <c r="D2571" t="s">
        <v>3027</v>
      </c>
      <c r="E2571" t="s">
        <v>1518</v>
      </c>
      <c r="F2571" t="s">
        <v>88</v>
      </c>
      <c r="G2571" t="s">
        <v>88</v>
      </c>
      <c r="H2571" t="s">
        <v>92</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188</v>
      </c>
      <c r="B2572" t="s">
        <v>3028</v>
      </c>
      <c r="C2572" t="s">
        <v>88</v>
      </c>
      <c r="D2572" t="s">
        <v>3029</v>
      </c>
      <c r="E2572" t="s">
        <v>1526</v>
      </c>
      <c r="F2572" t="s">
        <v>88</v>
      </c>
      <c r="G2572" t="s">
        <v>88</v>
      </c>
      <c r="H2572" t="s">
        <v>92</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188</v>
      </c>
      <c r="B2573" t="s">
        <v>3030</v>
      </c>
      <c r="C2573" t="s">
        <v>88</v>
      </c>
      <c r="D2573" t="s">
        <v>3029</v>
      </c>
      <c r="E2573" t="s">
        <v>2901</v>
      </c>
      <c r="F2573" t="s">
        <v>88</v>
      </c>
      <c r="G2573" t="s">
        <v>88</v>
      </c>
      <c r="H2573" t="s">
        <v>92</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188</v>
      </c>
      <c r="B2574" t="s">
        <v>3031</v>
      </c>
      <c r="C2574" t="s">
        <v>88</v>
      </c>
      <c r="D2574" t="s">
        <v>3029</v>
      </c>
      <c r="E2574" t="s">
        <v>1430</v>
      </c>
      <c r="F2574" t="s">
        <v>88</v>
      </c>
      <c r="G2574" t="s">
        <v>88</v>
      </c>
      <c r="H2574" t="s">
        <v>92</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188</v>
      </c>
      <c r="B2575" t="s">
        <v>3032</v>
      </c>
      <c r="C2575" t="s">
        <v>88</v>
      </c>
      <c r="D2575" t="s">
        <v>3033</v>
      </c>
      <c r="E2575" t="s">
        <v>1523</v>
      </c>
      <c r="F2575" t="s">
        <v>88</v>
      </c>
      <c r="G2575" t="s">
        <v>88</v>
      </c>
      <c r="H2575" t="s">
        <v>92</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188</v>
      </c>
      <c r="B2576" t="s">
        <v>3034</v>
      </c>
      <c r="C2576" t="s">
        <v>88</v>
      </c>
      <c r="D2576" t="s">
        <v>3035</v>
      </c>
      <c r="E2576" t="s">
        <v>1481</v>
      </c>
      <c r="F2576" t="s">
        <v>88</v>
      </c>
      <c r="G2576" t="s">
        <v>88</v>
      </c>
      <c r="H2576" t="s">
        <v>92</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188</v>
      </c>
      <c r="B2577" t="s">
        <v>3036</v>
      </c>
      <c r="C2577" t="s">
        <v>88</v>
      </c>
      <c r="D2577" t="s">
        <v>3037</v>
      </c>
      <c r="E2577" t="s">
        <v>1406</v>
      </c>
      <c r="F2577" t="s">
        <v>88</v>
      </c>
      <c r="G2577" t="s">
        <v>88</v>
      </c>
      <c r="H2577" t="s">
        <v>92</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188</v>
      </c>
      <c r="B2578" t="s">
        <v>3038</v>
      </c>
      <c r="C2578" t="s">
        <v>88</v>
      </c>
      <c r="D2578" t="s">
        <v>3039</v>
      </c>
      <c r="E2578" t="s">
        <v>2895</v>
      </c>
      <c r="F2578" t="s">
        <v>88</v>
      </c>
      <c r="G2578" t="s">
        <v>88</v>
      </c>
      <c r="H2578" t="s">
        <v>92</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188</v>
      </c>
      <c r="B2579" t="s">
        <v>3040</v>
      </c>
      <c r="C2579" t="s">
        <v>88</v>
      </c>
      <c r="D2579" t="s">
        <v>3041</v>
      </c>
      <c r="E2579" t="s">
        <v>1518</v>
      </c>
      <c r="F2579" t="s">
        <v>88</v>
      </c>
      <c r="G2579" t="s">
        <v>88</v>
      </c>
      <c r="H2579" t="s">
        <v>92</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188</v>
      </c>
      <c r="B2580" t="s">
        <v>3042</v>
      </c>
      <c r="C2580" t="s">
        <v>88</v>
      </c>
      <c r="D2580" t="s">
        <v>3043</v>
      </c>
      <c r="E2580" t="s">
        <v>1523</v>
      </c>
      <c r="F2580" t="s">
        <v>88</v>
      </c>
      <c r="G2580" t="s">
        <v>88</v>
      </c>
      <c r="H2580" t="s">
        <v>92</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188</v>
      </c>
      <c r="B2581" t="s">
        <v>3044</v>
      </c>
      <c r="C2581" t="s">
        <v>88</v>
      </c>
      <c r="D2581" t="s">
        <v>3045</v>
      </c>
      <c r="E2581" t="s">
        <v>1481</v>
      </c>
      <c r="F2581" t="s">
        <v>88</v>
      </c>
      <c r="G2581" t="s">
        <v>88</v>
      </c>
      <c r="H2581" t="s">
        <v>92</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188</v>
      </c>
      <c r="B2582" t="s">
        <v>3046</v>
      </c>
      <c r="C2582" t="s">
        <v>88</v>
      </c>
      <c r="D2582" t="s">
        <v>3047</v>
      </c>
      <c r="E2582" t="s">
        <v>1481</v>
      </c>
      <c r="F2582" t="s">
        <v>88</v>
      </c>
      <c r="G2582" t="s">
        <v>88</v>
      </c>
      <c r="H2582" t="s">
        <v>92</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188</v>
      </c>
      <c r="B2583" t="s">
        <v>3048</v>
      </c>
      <c r="C2583" t="s">
        <v>88</v>
      </c>
      <c r="D2583" t="s">
        <v>3049</v>
      </c>
      <c r="E2583" t="s">
        <v>1509</v>
      </c>
      <c r="F2583" t="s">
        <v>88</v>
      </c>
      <c r="G2583" t="s">
        <v>88</v>
      </c>
      <c r="H2583" t="s">
        <v>92</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188</v>
      </c>
      <c r="B2584" t="s">
        <v>3050</v>
      </c>
      <c r="C2584" t="s">
        <v>88</v>
      </c>
      <c r="D2584" t="s">
        <v>3051</v>
      </c>
      <c r="E2584" t="s">
        <v>1509</v>
      </c>
      <c r="F2584" t="s">
        <v>88</v>
      </c>
      <c r="G2584" t="s">
        <v>88</v>
      </c>
      <c r="H2584" t="s">
        <v>92</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188</v>
      </c>
      <c r="B2585" t="s">
        <v>3052</v>
      </c>
      <c r="C2585" t="s">
        <v>88</v>
      </c>
      <c r="D2585" t="s">
        <v>3053</v>
      </c>
      <c r="E2585" t="s">
        <v>1481</v>
      </c>
      <c r="F2585" t="s">
        <v>88</v>
      </c>
      <c r="G2585" t="s">
        <v>88</v>
      </c>
      <c r="H2585" t="s">
        <v>92</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188</v>
      </c>
      <c r="B2586" t="s">
        <v>3054</v>
      </c>
      <c r="C2586" t="s">
        <v>88</v>
      </c>
      <c r="D2586" t="s">
        <v>3055</v>
      </c>
      <c r="E2586" t="s">
        <v>3056</v>
      </c>
      <c r="F2586" t="s">
        <v>88</v>
      </c>
      <c r="G2586" t="s">
        <v>88</v>
      </c>
      <c r="H2586" t="s">
        <v>92</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188</v>
      </c>
      <c r="B2587" t="s">
        <v>3057</v>
      </c>
      <c r="C2587" t="s">
        <v>88</v>
      </c>
      <c r="D2587" t="s">
        <v>3058</v>
      </c>
      <c r="E2587" t="s">
        <v>1475</v>
      </c>
      <c r="F2587" t="s">
        <v>88</v>
      </c>
      <c r="G2587" t="s">
        <v>88</v>
      </c>
      <c r="H2587" t="s">
        <v>92</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188</v>
      </c>
      <c r="B2588" t="s">
        <v>3059</v>
      </c>
      <c r="C2588" t="s">
        <v>88</v>
      </c>
      <c r="D2588" t="s">
        <v>3060</v>
      </c>
      <c r="E2588" t="s">
        <v>1052</v>
      </c>
      <c r="F2588" t="s">
        <v>88</v>
      </c>
      <c r="G2588" t="s">
        <v>88</v>
      </c>
      <c r="H2588" t="s">
        <v>92</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188</v>
      </c>
      <c r="B2589" t="s">
        <v>3061</v>
      </c>
      <c r="C2589" t="s">
        <v>88</v>
      </c>
      <c r="D2589" t="s">
        <v>3062</v>
      </c>
      <c r="E2589" t="s">
        <v>1459</v>
      </c>
      <c r="F2589" t="s">
        <v>88</v>
      </c>
      <c r="G2589" t="s">
        <v>88</v>
      </c>
      <c r="H2589" t="s">
        <v>92</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188</v>
      </c>
      <c r="B2590" t="s">
        <v>3063</v>
      </c>
      <c r="C2590" t="s">
        <v>88</v>
      </c>
      <c r="D2590" t="s">
        <v>3064</v>
      </c>
      <c r="E2590" t="s">
        <v>1481</v>
      </c>
      <c r="F2590" t="s">
        <v>88</v>
      </c>
      <c r="G2590" t="s">
        <v>88</v>
      </c>
      <c r="H2590" t="s">
        <v>92</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188</v>
      </c>
      <c r="B2591" t="s">
        <v>3065</v>
      </c>
      <c r="C2591" t="s">
        <v>88</v>
      </c>
      <c r="D2591" t="s">
        <v>3066</v>
      </c>
      <c r="E2591" t="s">
        <v>1475</v>
      </c>
      <c r="F2591" t="s">
        <v>88</v>
      </c>
      <c r="G2591" t="s">
        <v>88</v>
      </c>
      <c r="H2591" t="s">
        <v>92</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188</v>
      </c>
      <c r="B2592" t="s">
        <v>3067</v>
      </c>
      <c r="C2592" t="s">
        <v>88</v>
      </c>
      <c r="D2592" t="s">
        <v>3068</v>
      </c>
      <c r="E2592" t="s">
        <v>1459</v>
      </c>
      <c r="F2592" t="s">
        <v>88</v>
      </c>
      <c r="G2592" t="s">
        <v>88</v>
      </c>
      <c r="H2592" t="s">
        <v>92</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188</v>
      </c>
      <c r="B2593" t="s">
        <v>3069</v>
      </c>
      <c r="C2593" t="s">
        <v>88</v>
      </c>
      <c r="D2593" t="s">
        <v>3070</v>
      </c>
      <c r="E2593" t="s">
        <v>1490</v>
      </c>
      <c r="F2593" t="s">
        <v>88</v>
      </c>
      <c r="G2593" t="s">
        <v>88</v>
      </c>
      <c r="H2593" t="s">
        <v>92</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188</v>
      </c>
      <c r="B2594" t="s">
        <v>1868</v>
      </c>
      <c r="C2594" t="s">
        <v>88</v>
      </c>
      <c r="D2594" t="s">
        <v>3071</v>
      </c>
      <c r="E2594" t="s">
        <v>1574</v>
      </c>
      <c r="F2594" t="s">
        <v>88</v>
      </c>
      <c r="G2594" t="s">
        <v>88</v>
      </c>
      <c r="H2594" t="s">
        <v>92</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188</v>
      </c>
      <c r="B2595" t="s">
        <v>1575</v>
      </c>
      <c r="C2595" t="s">
        <v>88</v>
      </c>
      <c r="D2595" t="s">
        <v>3072</v>
      </c>
      <c r="E2595" t="s">
        <v>1568</v>
      </c>
      <c r="F2595" t="s">
        <v>88</v>
      </c>
      <c r="G2595" t="s">
        <v>88</v>
      </c>
      <c r="H2595" t="s">
        <v>92</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188</v>
      </c>
      <c r="B2596" t="s">
        <v>583</v>
      </c>
      <c r="C2596" t="s">
        <v>88</v>
      </c>
      <c r="D2596" t="s">
        <v>3073</v>
      </c>
      <c r="E2596" t="s">
        <v>1487</v>
      </c>
      <c r="F2596" t="s">
        <v>88</v>
      </c>
      <c r="G2596" t="s">
        <v>88</v>
      </c>
      <c r="H2596" t="s">
        <v>92</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188</v>
      </c>
      <c r="B2597" t="s">
        <v>3074</v>
      </c>
      <c r="C2597" t="s">
        <v>88</v>
      </c>
      <c r="D2597" t="s">
        <v>3075</v>
      </c>
      <c r="E2597" t="s">
        <v>1506</v>
      </c>
      <c r="F2597" t="s">
        <v>88</v>
      </c>
      <c r="G2597" t="s">
        <v>88</v>
      </c>
      <c r="H2597" t="s">
        <v>92</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188</v>
      </c>
      <c r="B2598" t="s">
        <v>3076</v>
      </c>
      <c r="C2598" t="s">
        <v>88</v>
      </c>
      <c r="D2598" t="s">
        <v>3077</v>
      </c>
      <c r="E2598" t="s">
        <v>1484</v>
      </c>
      <c r="F2598" t="s">
        <v>88</v>
      </c>
      <c r="G2598" t="s">
        <v>88</v>
      </c>
      <c r="H2598" t="s">
        <v>92</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188</v>
      </c>
      <c r="B2599" t="s">
        <v>3078</v>
      </c>
      <c r="C2599" t="s">
        <v>88</v>
      </c>
      <c r="D2599" t="s">
        <v>3079</v>
      </c>
      <c r="E2599" t="s">
        <v>1484</v>
      </c>
      <c r="F2599" t="s">
        <v>88</v>
      </c>
      <c r="G2599" t="s">
        <v>88</v>
      </c>
      <c r="H2599" t="s">
        <v>92</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188</v>
      </c>
      <c r="B2600" t="s">
        <v>3080</v>
      </c>
      <c r="C2600" t="s">
        <v>88</v>
      </c>
      <c r="D2600" t="s">
        <v>3081</v>
      </c>
      <c r="E2600" t="s">
        <v>1495</v>
      </c>
      <c r="F2600" t="s">
        <v>88</v>
      </c>
      <c r="G2600" t="s">
        <v>88</v>
      </c>
      <c r="H2600" t="s">
        <v>92</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188</v>
      </c>
      <c r="B2601" t="s">
        <v>3082</v>
      </c>
      <c r="C2601" t="s">
        <v>88</v>
      </c>
      <c r="D2601" t="s">
        <v>3083</v>
      </c>
      <c r="E2601" t="s">
        <v>1526</v>
      </c>
      <c r="F2601" t="s">
        <v>88</v>
      </c>
      <c r="G2601" t="s">
        <v>88</v>
      </c>
      <c r="H2601" t="s">
        <v>92</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188</v>
      </c>
      <c r="B2602" t="s">
        <v>3084</v>
      </c>
      <c r="C2602" t="s">
        <v>88</v>
      </c>
      <c r="D2602" t="s">
        <v>3085</v>
      </c>
      <c r="E2602" t="s">
        <v>1506</v>
      </c>
      <c r="F2602" t="s">
        <v>88</v>
      </c>
      <c r="G2602" t="s">
        <v>88</v>
      </c>
      <c r="H2602" t="s">
        <v>92</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188</v>
      </c>
      <c r="B2603" t="s">
        <v>3086</v>
      </c>
      <c r="C2603" t="s">
        <v>88</v>
      </c>
      <c r="D2603" t="s">
        <v>3087</v>
      </c>
      <c r="E2603" t="s">
        <v>1568</v>
      </c>
      <c r="F2603" t="s">
        <v>88</v>
      </c>
      <c r="G2603" t="s">
        <v>88</v>
      </c>
      <c r="H2603" t="s">
        <v>92</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188</v>
      </c>
      <c r="B2604" t="s">
        <v>3088</v>
      </c>
      <c r="C2604" t="s">
        <v>88</v>
      </c>
      <c r="D2604" t="s">
        <v>3089</v>
      </c>
      <c r="E2604" t="s">
        <v>1574</v>
      </c>
      <c r="F2604" t="s">
        <v>88</v>
      </c>
      <c r="G2604" t="s">
        <v>88</v>
      </c>
      <c r="H2604" t="s">
        <v>92</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188</v>
      </c>
      <c r="B2605" t="s">
        <v>3090</v>
      </c>
      <c r="C2605" t="s">
        <v>88</v>
      </c>
      <c r="D2605" t="s">
        <v>3091</v>
      </c>
      <c r="E2605" t="s">
        <v>1568</v>
      </c>
      <c r="F2605" t="s">
        <v>88</v>
      </c>
      <c r="G2605" t="s">
        <v>88</v>
      </c>
      <c r="H2605" t="s">
        <v>92</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188</v>
      </c>
      <c r="B2606" t="s">
        <v>3092</v>
      </c>
      <c r="C2606" t="s">
        <v>88</v>
      </c>
      <c r="D2606" t="s">
        <v>3093</v>
      </c>
      <c r="E2606" t="s">
        <v>1526</v>
      </c>
      <c r="F2606" t="s">
        <v>88</v>
      </c>
      <c r="G2606" t="s">
        <v>88</v>
      </c>
      <c r="H2606" t="s">
        <v>92</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188</v>
      </c>
      <c r="B2607" t="s">
        <v>3094</v>
      </c>
      <c r="C2607" t="s">
        <v>88</v>
      </c>
      <c r="D2607" t="s">
        <v>3095</v>
      </c>
      <c r="E2607" t="s">
        <v>1574</v>
      </c>
      <c r="F2607" t="s">
        <v>88</v>
      </c>
      <c r="G2607" t="s">
        <v>88</v>
      </c>
      <c r="H2607" t="s">
        <v>92</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188</v>
      </c>
      <c r="B2608" t="s">
        <v>3096</v>
      </c>
      <c r="C2608" t="s">
        <v>88</v>
      </c>
      <c r="D2608" t="s">
        <v>3097</v>
      </c>
      <c r="E2608" t="s">
        <v>1487</v>
      </c>
      <c r="F2608" t="s">
        <v>88</v>
      </c>
      <c r="G2608" t="s">
        <v>88</v>
      </c>
      <c r="H2608" t="s">
        <v>92</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188</v>
      </c>
      <c r="B2609" t="s">
        <v>3098</v>
      </c>
      <c r="C2609" t="s">
        <v>88</v>
      </c>
      <c r="D2609" t="s">
        <v>3099</v>
      </c>
      <c r="E2609" t="s">
        <v>1487</v>
      </c>
      <c r="F2609" t="s">
        <v>88</v>
      </c>
      <c r="G2609" t="s">
        <v>88</v>
      </c>
      <c r="H2609" t="s">
        <v>92</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188</v>
      </c>
      <c r="B2610" t="s">
        <v>3100</v>
      </c>
      <c r="C2610" t="s">
        <v>88</v>
      </c>
      <c r="D2610" t="s">
        <v>3101</v>
      </c>
      <c r="E2610" t="s">
        <v>1487</v>
      </c>
      <c r="F2610" t="s">
        <v>88</v>
      </c>
      <c r="G2610" t="s">
        <v>88</v>
      </c>
      <c r="H2610" t="s">
        <v>92</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188</v>
      </c>
      <c r="B2611" t="s">
        <v>3102</v>
      </c>
      <c r="C2611" t="s">
        <v>88</v>
      </c>
      <c r="D2611" t="s">
        <v>3103</v>
      </c>
      <c r="E2611" t="s">
        <v>1590</v>
      </c>
      <c r="F2611" t="s">
        <v>88</v>
      </c>
      <c r="G2611" t="s">
        <v>88</v>
      </c>
      <c r="H2611" t="s">
        <v>92</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188</v>
      </c>
      <c r="B2612" t="s">
        <v>3104</v>
      </c>
      <c r="C2612" t="s">
        <v>88</v>
      </c>
      <c r="D2612" t="s">
        <v>88</v>
      </c>
      <c r="E2612" t="s">
        <v>1571</v>
      </c>
      <c r="F2612" t="s">
        <v>88</v>
      </c>
      <c r="G2612" t="s">
        <v>88</v>
      </c>
      <c r="H2612" t="s">
        <v>92</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188</v>
      </c>
      <c r="B2613" t="s">
        <v>3105</v>
      </c>
      <c r="C2613" t="s">
        <v>88</v>
      </c>
      <c r="D2613" t="s">
        <v>88</v>
      </c>
      <c r="E2613" t="s">
        <v>1556</v>
      </c>
      <c r="F2613" t="s">
        <v>88</v>
      </c>
      <c r="G2613" t="s">
        <v>88</v>
      </c>
      <c r="H2613" t="s">
        <v>92</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188</v>
      </c>
      <c r="B2614" t="s">
        <v>3106</v>
      </c>
      <c r="C2614" t="s">
        <v>88</v>
      </c>
      <c r="D2614" t="s">
        <v>88</v>
      </c>
      <c r="E2614" t="s">
        <v>3107</v>
      </c>
      <c r="F2614" t="s">
        <v>88</v>
      </c>
      <c r="G2614" t="s">
        <v>88</v>
      </c>
      <c r="H2614" t="s">
        <v>92</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188</v>
      </c>
      <c r="B2615" t="s">
        <v>3108</v>
      </c>
      <c r="C2615" t="s">
        <v>88</v>
      </c>
      <c r="D2615" t="s">
        <v>88</v>
      </c>
      <c r="E2615" t="s">
        <v>3109</v>
      </c>
      <c r="F2615" t="s">
        <v>88</v>
      </c>
      <c r="G2615" t="s">
        <v>88</v>
      </c>
      <c r="H2615" t="s">
        <v>92</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188</v>
      </c>
      <c r="B2616" t="s">
        <v>3110</v>
      </c>
      <c r="C2616" t="s">
        <v>88</v>
      </c>
      <c r="D2616" t="s">
        <v>88</v>
      </c>
      <c r="E2616" t="s">
        <v>1571</v>
      </c>
      <c r="F2616" t="s">
        <v>88</v>
      </c>
      <c r="G2616" t="s">
        <v>88</v>
      </c>
      <c r="H2616" t="s">
        <v>92</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188</v>
      </c>
      <c r="B2617" t="s">
        <v>3111</v>
      </c>
      <c r="C2617" t="s">
        <v>88</v>
      </c>
      <c r="D2617" t="s">
        <v>88</v>
      </c>
      <c r="E2617" t="s">
        <v>3112</v>
      </c>
      <c r="F2617" t="s">
        <v>88</v>
      </c>
      <c r="G2617" t="s">
        <v>88</v>
      </c>
      <c r="H2617" t="s">
        <v>92</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188</v>
      </c>
      <c r="B2618" t="s">
        <v>3113</v>
      </c>
      <c r="C2618" t="s">
        <v>88</v>
      </c>
      <c r="D2618" t="s">
        <v>88</v>
      </c>
      <c r="E2618" t="s">
        <v>2360</v>
      </c>
      <c r="F2618" t="s">
        <v>88</v>
      </c>
      <c r="G2618" t="s">
        <v>88</v>
      </c>
      <c r="H2618" t="s">
        <v>92</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188</v>
      </c>
      <c r="B2619" t="s">
        <v>3114</v>
      </c>
      <c r="C2619" t="s">
        <v>88</v>
      </c>
      <c r="D2619" t="s">
        <v>88</v>
      </c>
      <c r="E2619" t="s">
        <v>1556</v>
      </c>
      <c r="F2619" t="s">
        <v>88</v>
      </c>
      <c r="G2619" t="s">
        <v>88</v>
      </c>
      <c r="H2619" t="s">
        <v>92</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188</v>
      </c>
      <c r="B2620" t="s">
        <v>610</v>
      </c>
      <c r="C2620" t="s">
        <v>88</v>
      </c>
      <c r="D2620" t="s">
        <v>88</v>
      </c>
      <c r="E2620" t="s">
        <v>3115</v>
      </c>
      <c r="F2620" t="s">
        <v>88</v>
      </c>
      <c r="G2620" t="s">
        <v>88</v>
      </c>
      <c r="H2620" t="s">
        <v>92</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188</v>
      </c>
      <c r="B2621" t="s">
        <v>2210</v>
      </c>
      <c r="C2621" t="s">
        <v>88</v>
      </c>
      <c r="D2621" t="s">
        <v>88</v>
      </c>
      <c r="E2621" t="s">
        <v>1636</v>
      </c>
      <c r="F2621" t="s">
        <v>88</v>
      </c>
      <c r="G2621" t="s">
        <v>88</v>
      </c>
      <c r="H2621" t="s">
        <v>92</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188</v>
      </c>
      <c r="B2622" t="s">
        <v>608</v>
      </c>
      <c r="C2622" t="s">
        <v>88</v>
      </c>
      <c r="D2622" t="s">
        <v>88</v>
      </c>
      <c r="E2622" t="s">
        <v>1653</v>
      </c>
      <c r="F2622" t="s">
        <v>88</v>
      </c>
      <c r="G2622" t="s">
        <v>88</v>
      </c>
      <c r="H2622" t="s">
        <v>92</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188</v>
      </c>
      <c r="B2623" t="s">
        <v>3116</v>
      </c>
      <c r="C2623" t="s">
        <v>88</v>
      </c>
      <c r="D2623" t="s">
        <v>88</v>
      </c>
      <c r="E2623" t="s">
        <v>3117</v>
      </c>
      <c r="F2623" t="s">
        <v>88</v>
      </c>
      <c r="G2623" t="s">
        <v>88</v>
      </c>
      <c r="H2623" t="s">
        <v>92</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188</v>
      </c>
      <c r="B2624" t="s">
        <v>2646</v>
      </c>
      <c r="C2624" t="s">
        <v>88</v>
      </c>
      <c r="D2624" t="s">
        <v>88</v>
      </c>
      <c r="E2624" t="s">
        <v>3112</v>
      </c>
      <c r="F2624" t="s">
        <v>88</v>
      </c>
      <c r="G2624" t="s">
        <v>88</v>
      </c>
      <c r="H2624" t="s">
        <v>92</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188</v>
      </c>
      <c r="B2625" t="s">
        <v>3118</v>
      </c>
      <c r="C2625" t="s">
        <v>88</v>
      </c>
      <c r="D2625" t="s">
        <v>88</v>
      </c>
      <c r="E2625" t="s">
        <v>1590</v>
      </c>
      <c r="F2625" t="s">
        <v>88</v>
      </c>
      <c r="G2625" t="s">
        <v>88</v>
      </c>
      <c r="H2625" t="s">
        <v>92</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188</v>
      </c>
      <c r="B2626" t="s">
        <v>3119</v>
      </c>
      <c r="C2626" t="s">
        <v>88</v>
      </c>
      <c r="D2626" t="s">
        <v>88</v>
      </c>
      <c r="E2626" t="s">
        <v>3109</v>
      </c>
      <c r="F2626" t="s">
        <v>88</v>
      </c>
      <c r="G2626" t="s">
        <v>88</v>
      </c>
      <c r="H2626" t="s">
        <v>92</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188</v>
      </c>
      <c r="B2627" t="s">
        <v>3120</v>
      </c>
      <c r="C2627" t="s">
        <v>88</v>
      </c>
      <c r="D2627" t="s">
        <v>88</v>
      </c>
      <c r="E2627" t="s">
        <v>1584</v>
      </c>
      <c r="F2627" t="s">
        <v>88</v>
      </c>
      <c r="G2627" t="s">
        <v>88</v>
      </c>
      <c r="H2627" t="s">
        <v>92</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188</v>
      </c>
      <c r="B2628" t="s">
        <v>3121</v>
      </c>
      <c r="C2628" t="s">
        <v>88</v>
      </c>
      <c r="D2628" t="s">
        <v>88</v>
      </c>
      <c r="E2628" t="s">
        <v>3107</v>
      </c>
      <c r="F2628" t="s">
        <v>88</v>
      </c>
      <c r="G2628" t="s">
        <v>88</v>
      </c>
      <c r="H2628" t="s">
        <v>92</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188</v>
      </c>
      <c r="B2629" t="s">
        <v>3122</v>
      </c>
      <c r="C2629" t="s">
        <v>88</v>
      </c>
      <c r="D2629" t="s">
        <v>88</v>
      </c>
      <c r="E2629" t="s">
        <v>3115</v>
      </c>
      <c r="F2629" t="s">
        <v>88</v>
      </c>
      <c r="G2629" t="s">
        <v>88</v>
      </c>
      <c r="H2629" t="s">
        <v>92</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188</v>
      </c>
      <c r="B2630" t="s">
        <v>3123</v>
      </c>
      <c r="C2630" t="s">
        <v>88</v>
      </c>
      <c r="D2630" t="s">
        <v>88</v>
      </c>
      <c r="E2630" t="s">
        <v>1636</v>
      </c>
      <c r="F2630" t="s">
        <v>88</v>
      </c>
      <c r="G2630" t="s">
        <v>88</v>
      </c>
      <c r="H2630" t="s">
        <v>92</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188</v>
      </c>
      <c r="B2631" t="s">
        <v>3124</v>
      </c>
      <c r="C2631" t="s">
        <v>88</v>
      </c>
      <c r="D2631" t="s">
        <v>88</v>
      </c>
      <c r="E2631" t="s">
        <v>1653</v>
      </c>
      <c r="F2631" t="s">
        <v>88</v>
      </c>
      <c r="G2631" t="s">
        <v>88</v>
      </c>
      <c r="H2631" t="s">
        <v>92</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188</v>
      </c>
      <c r="B2632" t="s">
        <v>3125</v>
      </c>
      <c r="C2632" t="s">
        <v>88</v>
      </c>
      <c r="D2632" t="s">
        <v>88</v>
      </c>
      <c r="E2632" t="s">
        <v>3117</v>
      </c>
      <c r="F2632" t="s">
        <v>88</v>
      </c>
      <c r="G2632" t="s">
        <v>88</v>
      </c>
      <c r="H2632" t="s">
        <v>92</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188</v>
      </c>
      <c r="B2633" t="s">
        <v>3126</v>
      </c>
      <c r="C2633" t="s">
        <v>88</v>
      </c>
      <c r="D2633" t="s">
        <v>88</v>
      </c>
      <c r="E2633" t="s">
        <v>3112</v>
      </c>
      <c r="F2633" t="s">
        <v>88</v>
      </c>
      <c r="G2633" t="s">
        <v>88</v>
      </c>
      <c r="H2633" t="s">
        <v>92</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188</v>
      </c>
      <c r="B2634" t="s">
        <v>3127</v>
      </c>
      <c r="C2634" t="s">
        <v>88</v>
      </c>
      <c r="D2634" t="s">
        <v>88</v>
      </c>
      <c r="E2634" t="s">
        <v>1590</v>
      </c>
      <c r="F2634" t="s">
        <v>88</v>
      </c>
      <c r="G2634" t="s">
        <v>88</v>
      </c>
      <c r="H2634" t="s">
        <v>92</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188</v>
      </c>
      <c r="B2635" t="s">
        <v>3128</v>
      </c>
      <c r="C2635" t="s">
        <v>88</v>
      </c>
      <c r="D2635" t="s">
        <v>88</v>
      </c>
      <c r="E2635" t="s">
        <v>1596</v>
      </c>
      <c r="F2635" t="s">
        <v>88</v>
      </c>
      <c r="G2635" t="s">
        <v>88</v>
      </c>
      <c r="H2635" t="s">
        <v>92</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188</v>
      </c>
      <c r="B2636" t="s">
        <v>3129</v>
      </c>
      <c r="C2636" t="s">
        <v>88</v>
      </c>
      <c r="D2636" t="s">
        <v>88</v>
      </c>
      <c r="E2636" t="s">
        <v>715</v>
      </c>
      <c r="F2636" t="s">
        <v>88</v>
      </c>
      <c r="G2636" t="s">
        <v>88</v>
      </c>
      <c r="H2636" t="s">
        <v>92</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188</v>
      </c>
      <c r="B2637" t="s">
        <v>3130</v>
      </c>
      <c r="C2637" t="s">
        <v>88</v>
      </c>
      <c r="D2637" t="s">
        <v>88</v>
      </c>
      <c r="E2637" t="s">
        <v>1596</v>
      </c>
      <c r="F2637" t="s">
        <v>88</v>
      </c>
      <c r="G2637" t="s">
        <v>88</v>
      </c>
      <c r="H2637" t="s">
        <v>92</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188</v>
      </c>
      <c r="B2638" t="s">
        <v>1632</v>
      </c>
      <c r="C2638" t="s">
        <v>88</v>
      </c>
      <c r="D2638" t="s">
        <v>88</v>
      </c>
      <c r="E2638" t="s">
        <v>1653</v>
      </c>
      <c r="F2638" t="s">
        <v>88</v>
      </c>
      <c r="G2638" t="s">
        <v>88</v>
      </c>
      <c r="H2638" t="s">
        <v>92</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188</v>
      </c>
      <c r="B2639" t="s">
        <v>1634</v>
      </c>
      <c r="C2639" t="s">
        <v>88</v>
      </c>
      <c r="D2639" t="s">
        <v>88</v>
      </c>
      <c r="E2639" t="s">
        <v>3117</v>
      </c>
      <c r="F2639" t="s">
        <v>88</v>
      </c>
      <c r="G2639" t="s">
        <v>88</v>
      </c>
      <c r="H2639" t="s">
        <v>92</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188</v>
      </c>
      <c r="B2640" t="s">
        <v>3131</v>
      </c>
      <c r="C2640" t="s">
        <v>88</v>
      </c>
      <c r="D2640" t="s">
        <v>88</v>
      </c>
      <c r="E2640" t="s">
        <v>957</v>
      </c>
      <c r="F2640" t="s">
        <v>88</v>
      </c>
      <c r="G2640" t="s">
        <v>88</v>
      </c>
      <c r="H2640" t="s">
        <v>92</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188</v>
      </c>
      <c r="B2641" t="s">
        <v>3132</v>
      </c>
      <c r="C2641" t="s">
        <v>88</v>
      </c>
      <c r="D2641" t="s">
        <v>88</v>
      </c>
      <c r="E2641" t="s">
        <v>957</v>
      </c>
      <c r="F2641" t="s">
        <v>88</v>
      </c>
      <c r="G2641" t="s">
        <v>88</v>
      </c>
      <c r="H2641" t="s">
        <v>92</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188</v>
      </c>
      <c r="B2642" t="s">
        <v>3133</v>
      </c>
      <c r="C2642" t="s">
        <v>88</v>
      </c>
      <c r="D2642" t="s">
        <v>3134</v>
      </c>
      <c r="E2642" t="s">
        <v>1598</v>
      </c>
      <c r="F2642" t="s">
        <v>88</v>
      </c>
      <c r="G2642" t="s">
        <v>88</v>
      </c>
      <c r="H2642" t="s">
        <v>92</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188</v>
      </c>
      <c r="B2643" t="s">
        <v>3135</v>
      </c>
      <c r="C2643" t="s">
        <v>88</v>
      </c>
      <c r="D2643" t="s">
        <v>3136</v>
      </c>
      <c r="E2643" t="s">
        <v>3115</v>
      </c>
      <c r="F2643" t="s">
        <v>88</v>
      </c>
      <c r="G2643" t="s">
        <v>88</v>
      </c>
      <c r="H2643" t="s">
        <v>92</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188</v>
      </c>
      <c r="B2644" t="s">
        <v>3137</v>
      </c>
      <c r="C2644" t="s">
        <v>88</v>
      </c>
      <c r="D2644" t="s">
        <v>3136</v>
      </c>
      <c r="E2644" t="s">
        <v>1636</v>
      </c>
      <c r="F2644" t="s">
        <v>88</v>
      </c>
      <c r="G2644" t="s">
        <v>88</v>
      </c>
      <c r="H2644" t="s">
        <v>92</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188</v>
      </c>
      <c r="B2645" t="s">
        <v>1620</v>
      </c>
      <c r="C2645" t="s">
        <v>88</v>
      </c>
      <c r="D2645" t="s">
        <v>88</v>
      </c>
      <c r="E2645" t="s">
        <v>732</v>
      </c>
      <c r="F2645" t="s">
        <v>88</v>
      </c>
      <c r="G2645" t="s">
        <v>88</v>
      </c>
      <c r="H2645" t="s">
        <v>92</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188</v>
      </c>
      <c r="B2646" t="s">
        <v>3138</v>
      </c>
      <c r="C2646" t="s">
        <v>88</v>
      </c>
      <c r="D2646" t="s">
        <v>88</v>
      </c>
      <c r="E2646" t="s">
        <v>732</v>
      </c>
      <c r="F2646" t="s">
        <v>88</v>
      </c>
      <c r="G2646" t="s">
        <v>88</v>
      </c>
      <c r="H2646" t="s">
        <v>92</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188</v>
      </c>
      <c r="B2647" t="s">
        <v>1619</v>
      </c>
      <c r="C2647" t="s">
        <v>88</v>
      </c>
      <c r="D2647" t="s">
        <v>88</v>
      </c>
      <c r="E2647" t="s">
        <v>732</v>
      </c>
      <c r="F2647" t="s">
        <v>88</v>
      </c>
      <c r="G2647" t="s">
        <v>88</v>
      </c>
      <c r="H2647" t="s">
        <v>92</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188</v>
      </c>
      <c r="B2648" t="s">
        <v>1622</v>
      </c>
      <c r="C2648" t="s">
        <v>88</v>
      </c>
      <c r="D2648" t="s">
        <v>88</v>
      </c>
      <c r="E2648" t="s">
        <v>732</v>
      </c>
      <c r="F2648" t="s">
        <v>88</v>
      </c>
      <c r="G2648" t="s">
        <v>88</v>
      </c>
      <c r="H2648" t="s">
        <v>92</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188</v>
      </c>
      <c r="B2649" t="s">
        <v>3139</v>
      </c>
      <c r="C2649" t="s">
        <v>88</v>
      </c>
      <c r="D2649" t="s">
        <v>88</v>
      </c>
      <c r="E2649" t="s">
        <v>732</v>
      </c>
      <c r="F2649" t="s">
        <v>88</v>
      </c>
      <c r="G2649" t="s">
        <v>88</v>
      </c>
      <c r="H2649" t="s">
        <v>92</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188</v>
      </c>
      <c r="B2650" t="s">
        <v>3140</v>
      </c>
      <c r="C2650" t="s">
        <v>88</v>
      </c>
      <c r="D2650" t="s">
        <v>88</v>
      </c>
      <c r="E2650" t="s">
        <v>732</v>
      </c>
      <c r="F2650" t="s">
        <v>88</v>
      </c>
      <c r="G2650" t="s">
        <v>88</v>
      </c>
      <c r="H2650" t="s">
        <v>92</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188</v>
      </c>
      <c r="B2651" t="s">
        <v>1072</v>
      </c>
      <c r="C2651" t="s">
        <v>88</v>
      </c>
      <c r="D2651" t="s">
        <v>88</v>
      </c>
      <c r="E2651" t="s">
        <v>1636</v>
      </c>
      <c r="F2651" t="s">
        <v>88</v>
      </c>
      <c r="G2651" t="s">
        <v>88</v>
      </c>
      <c r="H2651" t="s">
        <v>92</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188</v>
      </c>
      <c r="B2652" t="s">
        <v>701</v>
      </c>
      <c r="C2652" t="s">
        <v>88</v>
      </c>
      <c r="D2652" t="s">
        <v>88</v>
      </c>
      <c r="E2652" t="s">
        <v>1636</v>
      </c>
      <c r="F2652" t="s">
        <v>88</v>
      </c>
      <c r="G2652" t="s">
        <v>88</v>
      </c>
      <c r="H2652" t="s">
        <v>92</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188</v>
      </c>
      <c r="B2653" t="s">
        <v>703</v>
      </c>
      <c r="C2653" t="s">
        <v>88</v>
      </c>
      <c r="D2653" t="s">
        <v>88</v>
      </c>
      <c r="E2653" t="s">
        <v>1636</v>
      </c>
      <c r="F2653" t="s">
        <v>88</v>
      </c>
      <c r="G2653" t="s">
        <v>88</v>
      </c>
      <c r="H2653" t="s">
        <v>92</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188</v>
      </c>
      <c r="B2654" t="s">
        <v>705</v>
      </c>
      <c r="C2654" t="s">
        <v>88</v>
      </c>
      <c r="D2654" t="s">
        <v>88</v>
      </c>
      <c r="E2654" t="s">
        <v>1636</v>
      </c>
      <c r="F2654" t="s">
        <v>88</v>
      </c>
      <c r="G2654" t="s">
        <v>88</v>
      </c>
      <c r="H2654" t="s">
        <v>92</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188</v>
      </c>
      <c r="B2655" t="s">
        <v>3141</v>
      </c>
      <c r="C2655" t="s">
        <v>88</v>
      </c>
      <c r="D2655" t="s">
        <v>88</v>
      </c>
      <c r="E2655" t="s">
        <v>1640</v>
      </c>
      <c r="F2655" t="s">
        <v>88</v>
      </c>
      <c r="G2655" t="s">
        <v>88</v>
      </c>
      <c r="H2655" t="s">
        <v>92</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188</v>
      </c>
      <c r="B2656" t="s">
        <v>1645</v>
      </c>
      <c r="C2656" t="s">
        <v>88</v>
      </c>
      <c r="D2656" t="s">
        <v>88</v>
      </c>
      <c r="E2656" t="s">
        <v>1646</v>
      </c>
      <c r="F2656" t="s">
        <v>88</v>
      </c>
      <c r="G2656" t="s">
        <v>88</v>
      </c>
      <c r="H2656" t="s">
        <v>92</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188</v>
      </c>
      <c r="B2657" t="s">
        <v>3142</v>
      </c>
      <c r="C2657" t="s">
        <v>88</v>
      </c>
      <c r="D2657" t="s">
        <v>88</v>
      </c>
      <c r="E2657" t="s">
        <v>1640</v>
      </c>
      <c r="F2657" t="s">
        <v>88</v>
      </c>
      <c r="G2657" t="s">
        <v>88</v>
      </c>
      <c r="H2657" t="s">
        <v>92</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188</v>
      </c>
      <c r="B2658" t="s">
        <v>3143</v>
      </c>
      <c r="C2658" t="s">
        <v>88</v>
      </c>
      <c r="D2658" t="s">
        <v>88</v>
      </c>
      <c r="E2658" t="s">
        <v>1640</v>
      </c>
      <c r="F2658" t="s">
        <v>88</v>
      </c>
      <c r="G2658" t="s">
        <v>88</v>
      </c>
      <c r="H2658" t="s">
        <v>92</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188</v>
      </c>
      <c r="B2659" t="s">
        <v>3144</v>
      </c>
      <c r="C2659" t="s">
        <v>88</v>
      </c>
      <c r="D2659" t="s">
        <v>88</v>
      </c>
      <c r="E2659" t="s">
        <v>1640</v>
      </c>
      <c r="F2659" t="s">
        <v>88</v>
      </c>
      <c r="G2659" t="s">
        <v>88</v>
      </c>
      <c r="H2659" t="s">
        <v>92</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188</v>
      </c>
      <c r="B2660" t="s">
        <v>3145</v>
      </c>
      <c r="C2660" t="s">
        <v>88</v>
      </c>
      <c r="D2660" t="s">
        <v>88</v>
      </c>
      <c r="E2660" t="s">
        <v>1640</v>
      </c>
      <c r="F2660" t="s">
        <v>88</v>
      </c>
      <c r="G2660" t="s">
        <v>88</v>
      </c>
      <c r="H2660" t="s">
        <v>92</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188</v>
      </c>
      <c r="B2661" t="s">
        <v>3146</v>
      </c>
      <c r="C2661" t="s">
        <v>88</v>
      </c>
      <c r="D2661" t="s">
        <v>88</v>
      </c>
      <c r="E2661" t="s">
        <v>1652</v>
      </c>
      <c r="F2661" t="s">
        <v>88</v>
      </c>
      <c r="G2661" t="s">
        <v>88</v>
      </c>
      <c r="H2661" t="s">
        <v>92</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188</v>
      </c>
      <c r="B2662" t="s">
        <v>714</v>
      </c>
      <c r="C2662" t="s">
        <v>88</v>
      </c>
      <c r="D2662" t="s">
        <v>88</v>
      </c>
      <c r="E2662" t="s">
        <v>1653</v>
      </c>
      <c r="F2662" t="s">
        <v>88</v>
      </c>
      <c r="G2662" t="s">
        <v>88</v>
      </c>
      <c r="H2662" t="s">
        <v>92</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188</v>
      </c>
      <c r="B2663" t="s">
        <v>1074</v>
      </c>
      <c r="C2663" t="s">
        <v>88</v>
      </c>
      <c r="D2663" t="s">
        <v>88</v>
      </c>
      <c r="E2663" t="s">
        <v>1653</v>
      </c>
      <c r="F2663" t="s">
        <v>88</v>
      </c>
      <c r="G2663" t="s">
        <v>88</v>
      </c>
      <c r="H2663" t="s">
        <v>92</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188</v>
      </c>
      <c r="B2664" t="s">
        <v>1075</v>
      </c>
      <c r="C2664" t="s">
        <v>88</v>
      </c>
      <c r="D2664" t="s">
        <v>88</v>
      </c>
      <c r="E2664" t="s">
        <v>1653</v>
      </c>
      <c r="F2664" t="s">
        <v>88</v>
      </c>
      <c r="G2664" t="s">
        <v>88</v>
      </c>
      <c r="H2664" t="s">
        <v>92</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188</v>
      </c>
      <c r="B2665" t="s">
        <v>998</v>
      </c>
      <c r="C2665" t="s">
        <v>88</v>
      </c>
      <c r="D2665" t="s">
        <v>88</v>
      </c>
      <c r="E2665" t="s">
        <v>1653</v>
      </c>
      <c r="F2665" t="s">
        <v>88</v>
      </c>
      <c r="G2665" t="s">
        <v>88</v>
      </c>
      <c r="H2665" t="s">
        <v>92</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188</v>
      </c>
      <c r="B2666" t="s">
        <v>1654</v>
      </c>
      <c r="C2666" t="s">
        <v>88</v>
      </c>
      <c r="D2666" t="s">
        <v>88</v>
      </c>
      <c r="E2666" t="s">
        <v>1653</v>
      </c>
      <c r="F2666" t="s">
        <v>88</v>
      </c>
      <c r="G2666" t="s">
        <v>88</v>
      </c>
      <c r="H2666" t="s">
        <v>92</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188</v>
      </c>
      <c r="B2667" t="s">
        <v>1611</v>
      </c>
      <c r="C2667" t="s">
        <v>88</v>
      </c>
      <c r="D2667" t="s">
        <v>88</v>
      </c>
      <c r="E2667" t="s">
        <v>849</v>
      </c>
      <c r="F2667" t="s">
        <v>88</v>
      </c>
      <c r="G2667" t="s">
        <v>88</v>
      </c>
      <c r="H2667" t="s">
        <v>92</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188</v>
      </c>
      <c r="B2668" t="s">
        <v>1609</v>
      </c>
      <c r="C2668" t="s">
        <v>88</v>
      </c>
      <c r="D2668" t="s">
        <v>88</v>
      </c>
      <c r="E2668" t="s">
        <v>849</v>
      </c>
      <c r="F2668" t="s">
        <v>88</v>
      </c>
      <c r="G2668" t="s">
        <v>88</v>
      </c>
      <c r="H2668" t="s">
        <v>92</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188</v>
      </c>
      <c r="B2669" t="s">
        <v>2573</v>
      </c>
      <c r="C2669" t="s">
        <v>88</v>
      </c>
      <c r="D2669" t="s">
        <v>88</v>
      </c>
      <c r="E2669" t="s">
        <v>849</v>
      </c>
      <c r="F2669" t="s">
        <v>88</v>
      </c>
      <c r="G2669" t="s">
        <v>88</v>
      </c>
      <c r="H2669" t="s">
        <v>92</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188</v>
      </c>
      <c r="B2670" t="s">
        <v>1612</v>
      </c>
      <c r="C2670" t="s">
        <v>88</v>
      </c>
      <c r="D2670" t="s">
        <v>88</v>
      </c>
      <c r="E2670" t="s">
        <v>849</v>
      </c>
      <c r="F2670" t="s">
        <v>88</v>
      </c>
      <c r="G2670" t="s">
        <v>88</v>
      </c>
      <c r="H2670" t="s">
        <v>92</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188</v>
      </c>
      <c r="B2671" t="s">
        <v>3147</v>
      </c>
      <c r="C2671" t="s">
        <v>88</v>
      </c>
      <c r="D2671" t="s">
        <v>88</v>
      </c>
      <c r="E2671" t="s">
        <v>735</v>
      </c>
      <c r="F2671" t="s">
        <v>88</v>
      </c>
      <c r="G2671" t="s">
        <v>88</v>
      </c>
      <c r="H2671" t="s">
        <v>92</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190</v>
      </c>
      <c r="B2672" t="s">
        <v>2871</v>
      </c>
      <c r="C2672" t="s">
        <v>88</v>
      </c>
      <c r="D2672" t="s">
        <v>2872</v>
      </c>
      <c r="E2672" t="s">
        <v>1414</v>
      </c>
      <c r="F2672" t="s">
        <v>88</v>
      </c>
      <c r="G2672" t="s">
        <v>88</v>
      </c>
      <c r="H2672" t="s">
        <v>92</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190</v>
      </c>
      <c r="B2673" t="s">
        <v>2873</v>
      </c>
      <c r="C2673" t="s">
        <v>88</v>
      </c>
      <c r="D2673" t="s">
        <v>2874</v>
      </c>
      <c r="E2673" t="s">
        <v>1430</v>
      </c>
      <c r="F2673" t="s">
        <v>88</v>
      </c>
      <c r="G2673" t="s">
        <v>88</v>
      </c>
      <c r="H2673" t="s">
        <v>92</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190</v>
      </c>
      <c r="B2674" t="s">
        <v>2875</v>
      </c>
      <c r="C2674" t="s">
        <v>88</v>
      </c>
      <c r="D2674" t="s">
        <v>2876</v>
      </c>
      <c r="E2674" t="s">
        <v>1449</v>
      </c>
      <c r="F2674" t="s">
        <v>88</v>
      </c>
      <c r="G2674" t="s">
        <v>88</v>
      </c>
      <c r="H2674" t="s">
        <v>92</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190</v>
      </c>
      <c r="B2675" t="s">
        <v>2877</v>
      </c>
      <c r="C2675" t="s">
        <v>88</v>
      </c>
      <c r="D2675" t="s">
        <v>2878</v>
      </c>
      <c r="E2675" t="s">
        <v>2879</v>
      </c>
      <c r="F2675" t="s">
        <v>88</v>
      </c>
      <c r="G2675" t="s">
        <v>88</v>
      </c>
      <c r="H2675" t="s">
        <v>92</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190</v>
      </c>
      <c r="B2676" t="s">
        <v>2880</v>
      </c>
      <c r="C2676" t="s">
        <v>88</v>
      </c>
      <c r="D2676" t="s">
        <v>2881</v>
      </c>
      <c r="E2676" t="s">
        <v>2882</v>
      </c>
      <c r="F2676" t="s">
        <v>88</v>
      </c>
      <c r="G2676" t="s">
        <v>88</v>
      </c>
      <c r="H2676" t="s">
        <v>92</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190</v>
      </c>
      <c r="B2677" t="s">
        <v>2883</v>
      </c>
      <c r="C2677" t="s">
        <v>88</v>
      </c>
      <c r="D2677" t="s">
        <v>2884</v>
      </c>
      <c r="E2677" t="s">
        <v>2885</v>
      </c>
      <c r="F2677" t="s">
        <v>88</v>
      </c>
      <c r="G2677" t="s">
        <v>88</v>
      </c>
      <c r="H2677" t="s">
        <v>92</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190</v>
      </c>
      <c r="B2678" t="s">
        <v>2886</v>
      </c>
      <c r="C2678" t="s">
        <v>88</v>
      </c>
      <c r="D2678" t="s">
        <v>2887</v>
      </c>
      <c r="E2678" t="s">
        <v>2888</v>
      </c>
      <c r="F2678" t="s">
        <v>88</v>
      </c>
      <c r="G2678" t="s">
        <v>88</v>
      </c>
      <c r="H2678" t="s">
        <v>92</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190</v>
      </c>
      <c r="B2679" t="s">
        <v>2889</v>
      </c>
      <c r="C2679" t="s">
        <v>88</v>
      </c>
      <c r="D2679" t="s">
        <v>2890</v>
      </c>
      <c r="E2679" t="s">
        <v>1427</v>
      </c>
      <c r="F2679" t="s">
        <v>88</v>
      </c>
      <c r="G2679" t="s">
        <v>88</v>
      </c>
      <c r="H2679" t="s">
        <v>92</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190</v>
      </c>
      <c r="B2680" t="s">
        <v>2891</v>
      </c>
      <c r="C2680" t="s">
        <v>88</v>
      </c>
      <c r="D2680" t="s">
        <v>2892</v>
      </c>
      <c r="E2680" t="s">
        <v>1449</v>
      </c>
      <c r="F2680" t="s">
        <v>88</v>
      </c>
      <c r="G2680" t="s">
        <v>88</v>
      </c>
      <c r="H2680" t="s">
        <v>92</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190</v>
      </c>
      <c r="B2681" t="s">
        <v>2896</v>
      </c>
      <c r="C2681" t="s">
        <v>88</v>
      </c>
      <c r="D2681" t="s">
        <v>2897</v>
      </c>
      <c r="E2681" t="s">
        <v>2898</v>
      </c>
      <c r="F2681" t="s">
        <v>88</v>
      </c>
      <c r="G2681" t="s">
        <v>88</v>
      </c>
      <c r="H2681" t="s">
        <v>92</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190</v>
      </c>
      <c r="B2682" t="s">
        <v>2893</v>
      </c>
      <c r="C2682" t="s">
        <v>88</v>
      </c>
      <c r="D2682" t="s">
        <v>2894</v>
      </c>
      <c r="E2682" t="s">
        <v>2895</v>
      </c>
      <c r="F2682" t="s">
        <v>88</v>
      </c>
      <c r="G2682" t="s">
        <v>88</v>
      </c>
      <c r="H2682" t="s">
        <v>92</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190</v>
      </c>
      <c r="B2683" t="s">
        <v>2899</v>
      </c>
      <c r="C2683" t="s">
        <v>88</v>
      </c>
      <c r="D2683" t="s">
        <v>2900</v>
      </c>
      <c r="E2683" t="s">
        <v>2901</v>
      </c>
      <c r="F2683" t="s">
        <v>88</v>
      </c>
      <c r="G2683" t="s">
        <v>88</v>
      </c>
      <c r="H2683" t="s">
        <v>92</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190</v>
      </c>
      <c r="B2684" t="s">
        <v>2902</v>
      </c>
      <c r="C2684" t="s">
        <v>88</v>
      </c>
      <c r="D2684" t="s">
        <v>2903</v>
      </c>
      <c r="E2684" t="s">
        <v>1430</v>
      </c>
      <c r="F2684" t="s">
        <v>88</v>
      </c>
      <c r="G2684" t="s">
        <v>88</v>
      </c>
      <c r="H2684" t="s">
        <v>92</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190</v>
      </c>
      <c r="B2685" t="s">
        <v>1415</v>
      </c>
      <c r="C2685" t="s">
        <v>88</v>
      </c>
      <c r="D2685" t="s">
        <v>2904</v>
      </c>
      <c r="E2685" t="s">
        <v>1427</v>
      </c>
      <c r="F2685" t="s">
        <v>88</v>
      </c>
      <c r="G2685" t="s">
        <v>88</v>
      </c>
      <c r="H2685" t="s">
        <v>92</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190</v>
      </c>
      <c r="B2686" t="s">
        <v>2905</v>
      </c>
      <c r="C2686" t="s">
        <v>88</v>
      </c>
      <c r="D2686" t="s">
        <v>2906</v>
      </c>
      <c r="E2686" t="s">
        <v>1433</v>
      </c>
      <c r="F2686" t="s">
        <v>88</v>
      </c>
      <c r="G2686" t="s">
        <v>88</v>
      </c>
      <c r="H2686" t="s">
        <v>92</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190</v>
      </c>
      <c r="B2687" t="s">
        <v>2907</v>
      </c>
      <c r="C2687" t="s">
        <v>88</v>
      </c>
      <c r="D2687" t="s">
        <v>2908</v>
      </c>
      <c r="E2687" t="s">
        <v>2791</v>
      </c>
      <c r="F2687" t="s">
        <v>88</v>
      </c>
      <c r="G2687" t="s">
        <v>88</v>
      </c>
      <c r="H2687" t="s">
        <v>92</v>
      </c>
      <c r="I2687" t="s">
        <v>78</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190</v>
      </c>
      <c r="B2688" t="s">
        <v>2909</v>
      </c>
      <c r="C2688" t="s">
        <v>88</v>
      </c>
      <c r="D2688" t="s">
        <v>2910</v>
      </c>
      <c r="E2688" t="s">
        <v>1441</v>
      </c>
      <c r="F2688" t="s">
        <v>88</v>
      </c>
      <c r="G2688" t="s">
        <v>88</v>
      </c>
      <c r="H2688" t="s">
        <v>92</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190</v>
      </c>
      <c r="B2689" t="s">
        <v>2911</v>
      </c>
      <c r="C2689" t="s">
        <v>88</v>
      </c>
      <c r="D2689" t="s">
        <v>2912</v>
      </c>
      <c r="E2689" t="s">
        <v>2913</v>
      </c>
      <c r="F2689" t="s">
        <v>88</v>
      </c>
      <c r="G2689" t="s">
        <v>88</v>
      </c>
      <c r="H2689" t="s">
        <v>92</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190</v>
      </c>
      <c r="B2690" t="s">
        <v>2914</v>
      </c>
      <c r="C2690" t="s">
        <v>88</v>
      </c>
      <c r="D2690" t="s">
        <v>2915</v>
      </c>
      <c r="E2690" t="s">
        <v>2885</v>
      </c>
      <c r="F2690" t="s">
        <v>88</v>
      </c>
      <c r="G2690" t="s">
        <v>88</v>
      </c>
      <c r="H2690" t="s">
        <v>92</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190</v>
      </c>
      <c r="B2691" t="s">
        <v>3148</v>
      </c>
      <c r="C2691" t="s">
        <v>88</v>
      </c>
      <c r="D2691" t="s">
        <v>3149</v>
      </c>
      <c r="E2691" t="s">
        <v>1417</v>
      </c>
      <c r="F2691" t="s">
        <v>88</v>
      </c>
      <c r="G2691" t="s">
        <v>88</v>
      </c>
      <c r="H2691" t="s">
        <v>92</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190</v>
      </c>
      <c r="B2692" t="s">
        <v>3150</v>
      </c>
      <c r="C2692" t="s">
        <v>88</v>
      </c>
      <c r="D2692" t="s">
        <v>3151</v>
      </c>
      <c r="E2692" t="s">
        <v>1406</v>
      </c>
      <c r="F2692" t="s">
        <v>88</v>
      </c>
      <c r="G2692" t="s">
        <v>88</v>
      </c>
      <c r="H2692" t="s">
        <v>92</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190</v>
      </c>
      <c r="B2693" t="s">
        <v>2916</v>
      </c>
      <c r="C2693" t="s">
        <v>88</v>
      </c>
      <c r="D2693" t="s">
        <v>2917</v>
      </c>
      <c r="E2693" t="s">
        <v>2918</v>
      </c>
      <c r="F2693" t="s">
        <v>88</v>
      </c>
      <c r="G2693" t="s">
        <v>88</v>
      </c>
      <c r="H2693" t="s">
        <v>92</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190</v>
      </c>
      <c r="B2694" t="s">
        <v>2919</v>
      </c>
      <c r="C2694" t="s">
        <v>88</v>
      </c>
      <c r="D2694" t="s">
        <v>2920</v>
      </c>
      <c r="E2694" t="s">
        <v>1414</v>
      </c>
      <c r="F2694" t="s">
        <v>88</v>
      </c>
      <c r="G2694" t="s">
        <v>88</v>
      </c>
      <c r="H2694" t="s">
        <v>92</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190</v>
      </c>
      <c r="B2695" t="s">
        <v>2921</v>
      </c>
      <c r="C2695" t="s">
        <v>88</v>
      </c>
      <c r="D2695" t="s">
        <v>2922</v>
      </c>
      <c r="E2695" t="s">
        <v>1430</v>
      </c>
      <c r="F2695" t="s">
        <v>88</v>
      </c>
      <c r="G2695" t="s">
        <v>88</v>
      </c>
      <c r="H2695" t="s">
        <v>92</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190</v>
      </c>
      <c r="B2696" t="s">
        <v>2923</v>
      </c>
      <c r="C2696" t="s">
        <v>88</v>
      </c>
      <c r="D2696" t="s">
        <v>2924</v>
      </c>
      <c r="E2696" t="s">
        <v>2925</v>
      </c>
      <c r="F2696" t="s">
        <v>88</v>
      </c>
      <c r="G2696" t="s">
        <v>88</v>
      </c>
      <c r="H2696" t="s">
        <v>92</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190</v>
      </c>
      <c r="B2697" t="s">
        <v>3152</v>
      </c>
      <c r="C2697" t="s">
        <v>88</v>
      </c>
      <c r="D2697" t="s">
        <v>3153</v>
      </c>
      <c r="E2697" t="s">
        <v>1584</v>
      </c>
      <c r="F2697" t="s">
        <v>88</v>
      </c>
      <c r="G2697" t="s">
        <v>88</v>
      </c>
      <c r="H2697" t="s">
        <v>92</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190</v>
      </c>
      <c r="B2698" t="s">
        <v>2926</v>
      </c>
      <c r="C2698" t="s">
        <v>88</v>
      </c>
      <c r="D2698" t="s">
        <v>2927</v>
      </c>
      <c r="E2698" t="s">
        <v>2925</v>
      </c>
      <c r="F2698" t="s">
        <v>88</v>
      </c>
      <c r="G2698" t="s">
        <v>88</v>
      </c>
      <c r="H2698" t="s">
        <v>92</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190</v>
      </c>
      <c r="B2699" t="s">
        <v>2928</v>
      </c>
      <c r="C2699" t="s">
        <v>88</v>
      </c>
      <c r="D2699" t="s">
        <v>2927</v>
      </c>
      <c r="E2699" t="s">
        <v>2925</v>
      </c>
      <c r="F2699" t="s">
        <v>88</v>
      </c>
      <c r="G2699" t="s">
        <v>88</v>
      </c>
      <c r="H2699" t="s">
        <v>92</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190</v>
      </c>
      <c r="B2700" t="s">
        <v>2929</v>
      </c>
      <c r="C2700" t="s">
        <v>88</v>
      </c>
      <c r="D2700" t="s">
        <v>2927</v>
      </c>
      <c r="E2700" t="s">
        <v>2925</v>
      </c>
      <c r="F2700" t="s">
        <v>88</v>
      </c>
      <c r="G2700" t="s">
        <v>88</v>
      </c>
      <c r="H2700" t="s">
        <v>92</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190</v>
      </c>
      <c r="B2701" t="s">
        <v>2930</v>
      </c>
      <c r="C2701" t="s">
        <v>88</v>
      </c>
      <c r="D2701" t="s">
        <v>2927</v>
      </c>
      <c r="E2701" t="s">
        <v>2925</v>
      </c>
      <c r="F2701" t="s">
        <v>88</v>
      </c>
      <c r="G2701" t="s">
        <v>88</v>
      </c>
      <c r="H2701" t="s">
        <v>92</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190</v>
      </c>
      <c r="B2702" t="s">
        <v>2931</v>
      </c>
      <c r="C2702" t="s">
        <v>88</v>
      </c>
      <c r="D2702" t="s">
        <v>2932</v>
      </c>
      <c r="E2702" t="s">
        <v>1414</v>
      </c>
      <c r="F2702" t="s">
        <v>88</v>
      </c>
      <c r="G2702" t="s">
        <v>88</v>
      </c>
      <c r="H2702" t="s">
        <v>92</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190</v>
      </c>
      <c r="B2703" t="s">
        <v>2933</v>
      </c>
      <c r="C2703" t="s">
        <v>88</v>
      </c>
      <c r="D2703" t="s">
        <v>2934</v>
      </c>
      <c r="E2703" t="s">
        <v>1052</v>
      </c>
      <c r="F2703" t="s">
        <v>88</v>
      </c>
      <c r="G2703" t="s">
        <v>88</v>
      </c>
      <c r="H2703" t="s">
        <v>92</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190</v>
      </c>
      <c r="B2704" t="s">
        <v>2935</v>
      </c>
      <c r="C2704" t="s">
        <v>88</v>
      </c>
      <c r="D2704" t="s">
        <v>2936</v>
      </c>
      <c r="E2704" t="s">
        <v>1509</v>
      </c>
      <c r="F2704" t="s">
        <v>88</v>
      </c>
      <c r="G2704" t="s">
        <v>88</v>
      </c>
      <c r="H2704" t="s">
        <v>92</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190</v>
      </c>
      <c r="B2705" t="s">
        <v>2937</v>
      </c>
      <c r="C2705" t="s">
        <v>88</v>
      </c>
      <c r="D2705" t="s">
        <v>2938</v>
      </c>
      <c r="E2705" t="s">
        <v>1414</v>
      </c>
      <c r="F2705" t="s">
        <v>88</v>
      </c>
      <c r="G2705" t="s">
        <v>88</v>
      </c>
      <c r="H2705" t="s">
        <v>92</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190</v>
      </c>
      <c r="B2706" t="s">
        <v>2939</v>
      </c>
      <c r="C2706" t="s">
        <v>88</v>
      </c>
      <c r="D2706" t="s">
        <v>2940</v>
      </c>
      <c r="E2706" t="s">
        <v>1427</v>
      </c>
      <c r="F2706" t="s">
        <v>88</v>
      </c>
      <c r="G2706" t="s">
        <v>88</v>
      </c>
      <c r="H2706" t="s">
        <v>92</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190</v>
      </c>
      <c r="B2707" t="s">
        <v>2941</v>
      </c>
      <c r="C2707" t="s">
        <v>88</v>
      </c>
      <c r="D2707" t="s">
        <v>2942</v>
      </c>
      <c r="E2707" t="s">
        <v>2913</v>
      </c>
      <c r="F2707" t="s">
        <v>88</v>
      </c>
      <c r="G2707" t="s">
        <v>88</v>
      </c>
      <c r="H2707" t="s">
        <v>92</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190</v>
      </c>
      <c r="B2708" t="s">
        <v>2943</v>
      </c>
      <c r="C2708" t="s">
        <v>88</v>
      </c>
      <c r="D2708" t="s">
        <v>2944</v>
      </c>
      <c r="E2708" t="s">
        <v>1509</v>
      </c>
      <c r="F2708" t="s">
        <v>88</v>
      </c>
      <c r="G2708" t="s">
        <v>88</v>
      </c>
      <c r="H2708" t="s">
        <v>92</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190</v>
      </c>
      <c r="B2709" t="s">
        <v>2945</v>
      </c>
      <c r="C2709" t="s">
        <v>88</v>
      </c>
      <c r="D2709" t="s">
        <v>2946</v>
      </c>
      <c r="E2709" t="s">
        <v>2686</v>
      </c>
      <c r="F2709" t="s">
        <v>88</v>
      </c>
      <c r="G2709" t="s">
        <v>88</v>
      </c>
      <c r="H2709" t="s">
        <v>92</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190</v>
      </c>
      <c r="B2710" t="s">
        <v>2947</v>
      </c>
      <c r="C2710" t="s">
        <v>88</v>
      </c>
      <c r="D2710" t="s">
        <v>2948</v>
      </c>
      <c r="E2710" t="s">
        <v>1441</v>
      </c>
      <c r="F2710" t="s">
        <v>88</v>
      </c>
      <c r="G2710" t="s">
        <v>88</v>
      </c>
      <c r="H2710" t="s">
        <v>92</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190</v>
      </c>
      <c r="B2711" t="s">
        <v>2949</v>
      </c>
      <c r="C2711" t="s">
        <v>88</v>
      </c>
      <c r="D2711" t="s">
        <v>2950</v>
      </c>
      <c r="E2711" t="s">
        <v>1430</v>
      </c>
      <c r="F2711" t="s">
        <v>88</v>
      </c>
      <c r="G2711" t="s">
        <v>88</v>
      </c>
      <c r="H2711" t="s">
        <v>92</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190</v>
      </c>
      <c r="B2712" t="s">
        <v>2951</v>
      </c>
      <c r="C2712" t="s">
        <v>88</v>
      </c>
      <c r="D2712" t="s">
        <v>2952</v>
      </c>
      <c r="E2712" t="s">
        <v>1490</v>
      </c>
      <c r="F2712" t="s">
        <v>88</v>
      </c>
      <c r="G2712" t="s">
        <v>88</v>
      </c>
      <c r="H2712" t="s">
        <v>92</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190</v>
      </c>
      <c r="B2713" t="s">
        <v>2953</v>
      </c>
      <c r="C2713" t="s">
        <v>88</v>
      </c>
      <c r="D2713" t="s">
        <v>2954</v>
      </c>
      <c r="E2713" t="s">
        <v>1509</v>
      </c>
      <c r="F2713" t="s">
        <v>88</v>
      </c>
      <c r="G2713" t="s">
        <v>88</v>
      </c>
      <c r="H2713" t="s">
        <v>92</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190</v>
      </c>
      <c r="B2714" t="s">
        <v>2955</v>
      </c>
      <c r="C2714" t="s">
        <v>88</v>
      </c>
      <c r="D2714" t="s">
        <v>2956</v>
      </c>
      <c r="E2714" t="s">
        <v>1481</v>
      </c>
      <c r="F2714" t="s">
        <v>88</v>
      </c>
      <c r="G2714" t="s">
        <v>88</v>
      </c>
      <c r="H2714" t="s">
        <v>92</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190</v>
      </c>
      <c r="B2715" t="s">
        <v>2957</v>
      </c>
      <c r="C2715" t="s">
        <v>88</v>
      </c>
      <c r="D2715" t="s">
        <v>2958</v>
      </c>
      <c r="E2715" t="s">
        <v>1420</v>
      </c>
      <c r="F2715" t="s">
        <v>88</v>
      </c>
      <c r="G2715" t="s">
        <v>88</v>
      </c>
      <c r="H2715" t="s">
        <v>92</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190</v>
      </c>
      <c r="B2716" t="s">
        <v>2959</v>
      </c>
      <c r="C2716" t="s">
        <v>88</v>
      </c>
      <c r="D2716" t="s">
        <v>2960</v>
      </c>
      <c r="E2716" t="s">
        <v>1459</v>
      </c>
      <c r="F2716" t="s">
        <v>88</v>
      </c>
      <c r="G2716" t="s">
        <v>88</v>
      </c>
      <c r="H2716" t="s">
        <v>92</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190</v>
      </c>
      <c r="B2717" t="s">
        <v>2961</v>
      </c>
      <c r="C2717" t="s">
        <v>88</v>
      </c>
      <c r="D2717" t="s">
        <v>2962</v>
      </c>
      <c r="E2717" t="s">
        <v>1459</v>
      </c>
      <c r="F2717" t="s">
        <v>88</v>
      </c>
      <c r="G2717" t="s">
        <v>88</v>
      </c>
      <c r="H2717" t="s">
        <v>92</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190</v>
      </c>
      <c r="B2718" t="s">
        <v>2963</v>
      </c>
      <c r="C2718" t="s">
        <v>88</v>
      </c>
      <c r="D2718" t="s">
        <v>2964</v>
      </c>
      <c r="E2718" t="s">
        <v>1459</v>
      </c>
      <c r="F2718" t="s">
        <v>88</v>
      </c>
      <c r="G2718" t="s">
        <v>88</v>
      </c>
      <c r="H2718" t="s">
        <v>92</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190</v>
      </c>
      <c r="B2719" t="s">
        <v>2965</v>
      </c>
      <c r="C2719" t="s">
        <v>88</v>
      </c>
      <c r="D2719" t="s">
        <v>2966</v>
      </c>
      <c r="E2719" t="s">
        <v>1459</v>
      </c>
      <c r="F2719" t="s">
        <v>88</v>
      </c>
      <c r="G2719" t="s">
        <v>88</v>
      </c>
      <c r="H2719" t="s">
        <v>92</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190</v>
      </c>
      <c r="B2720" t="s">
        <v>2967</v>
      </c>
      <c r="C2720" t="s">
        <v>88</v>
      </c>
      <c r="D2720" t="s">
        <v>2968</v>
      </c>
      <c r="E2720" t="s">
        <v>2969</v>
      </c>
      <c r="F2720" t="s">
        <v>88</v>
      </c>
      <c r="G2720" t="s">
        <v>88</v>
      </c>
      <c r="H2720" t="s">
        <v>92</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190</v>
      </c>
      <c r="B2721" t="s">
        <v>2970</v>
      </c>
      <c r="C2721" t="s">
        <v>88</v>
      </c>
      <c r="D2721" t="s">
        <v>2971</v>
      </c>
      <c r="E2721" t="s">
        <v>1462</v>
      </c>
      <c r="F2721" t="s">
        <v>88</v>
      </c>
      <c r="G2721" t="s">
        <v>88</v>
      </c>
      <c r="H2721" t="s">
        <v>92</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190</v>
      </c>
      <c r="B2722" t="s">
        <v>2972</v>
      </c>
      <c r="C2722" t="s">
        <v>88</v>
      </c>
      <c r="D2722" t="s">
        <v>2973</v>
      </c>
      <c r="E2722" t="s">
        <v>1414</v>
      </c>
      <c r="F2722" t="s">
        <v>88</v>
      </c>
      <c r="G2722" t="s">
        <v>88</v>
      </c>
      <c r="H2722" t="s">
        <v>92</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190</v>
      </c>
      <c r="B2723" t="s">
        <v>2974</v>
      </c>
      <c r="C2723" t="s">
        <v>88</v>
      </c>
      <c r="D2723" t="s">
        <v>2975</v>
      </c>
      <c r="E2723" t="s">
        <v>1406</v>
      </c>
      <c r="F2723" t="s">
        <v>88</v>
      </c>
      <c r="G2723" t="s">
        <v>88</v>
      </c>
      <c r="H2723" t="s">
        <v>92</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190</v>
      </c>
      <c r="B2724" t="s">
        <v>2976</v>
      </c>
      <c r="C2724" t="s">
        <v>88</v>
      </c>
      <c r="D2724" t="s">
        <v>2977</v>
      </c>
      <c r="E2724" t="s">
        <v>2885</v>
      </c>
      <c r="F2724" t="s">
        <v>88</v>
      </c>
      <c r="G2724" t="s">
        <v>88</v>
      </c>
      <c r="H2724" t="s">
        <v>92</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190</v>
      </c>
      <c r="B2725" t="s">
        <v>2978</v>
      </c>
      <c r="C2725" t="s">
        <v>88</v>
      </c>
      <c r="D2725" t="s">
        <v>2979</v>
      </c>
      <c r="E2725" t="s">
        <v>1462</v>
      </c>
      <c r="F2725" t="s">
        <v>88</v>
      </c>
      <c r="G2725" t="s">
        <v>88</v>
      </c>
      <c r="H2725" t="s">
        <v>92</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190</v>
      </c>
      <c r="B2726" t="s">
        <v>2980</v>
      </c>
      <c r="C2726" t="s">
        <v>88</v>
      </c>
      <c r="D2726" t="s">
        <v>2981</v>
      </c>
      <c r="E2726" t="s">
        <v>1406</v>
      </c>
      <c r="F2726" t="s">
        <v>88</v>
      </c>
      <c r="G2726" t="s">
        <v>88</v>
      </c>
      <c r="H2726" t="s">
        <v>92</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190</v>
      </c>
      <c r="B2727" t="s">
        <v>3154</v>
      </c>
      <c r="C2727" t="s">
        <v>88</v>
      </c>
      <c r="D2727" t="s">
        <v>3155</v>
      </c>
      <c r="E2727" t="s">
        <v>2895</v>
      </c>
      <c r="F2727" t="s">
        <v>88</v>
      </c>
      <c r="G2727" t="s">
        <v>88</v>
      </c>
      <c r="H2727" t="s">
        <v>92</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190</v>
      </c>
      <c r="B2728" t="s">
        <v>3156</v>
      </c>
      <c r="C2728" t="s">
        <v>88</v>
      </c>
      <c r="D2728" t="s">
        <v>3157</v>
      </c>
      <c r="E2728" t="s">
        <v>3158</v>
      </c>
      <c r="F2728" t="s">
        <v>88</v>
      </c>
      <c r="G2728" t="s">
        <v>88</v>
      </c>
      <c r="H2728" t="s">
        <v>92</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190</v>
      </c>
      <c r="B2729" t="s">
        <v>2982</v>
      </c>
      <c r="C2729" t="s">
        <v>88</v>
      </c>
      <c r="D2729" t="s">
        <v>2983</v>
      </c>
      <c r="E2729" t="s">
        <v>1414</v>
      </c>
      <c r="F2729" t="s">
        <v>88</v>
      </c>
      <c r="G2729" t="s">
        <v>88</v>
      </c>
      <c r="H2729" t="s">
        <v>92</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190</v>
      </c>
      <c r="B2730" t="s">
        <v>671</v>
      </c>
      <c r="C2730" t="s">
        <v>88</v>
      </c>
      <c r="D2730" t="s">
        <v>2984</v>
      </c>
      <c r="E2730" t="s">
        <v>889</v>
      </c>
      <c r="F2730" t="s">
        <v>88</v>
      </c>
      <c r="G2730" t="s">
        <v>88</v>
      </c>
      <c r="H2730" t="s">
        <v>92</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190</v>
      </c>
      <c r="B2731" t="s">
        <v>1859</v>
      </c>
      <c r="C2731" t="s">
        <v>88</v>
      </c>
      <c r="D2731" t="s">
        <v>2985</v>
      </c>
      <c r="E2731" t="s">
        <v>1509</v>
      </c>
      <c r="F2731" t="s">
        <v>88</v>
      </c>
      <c r="G2731" t="s">
        <v>88</v>
      </c>
      <c r="H2731" t="s">
        <v>92</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190</v>
      </c>
      <c r="B2732" t="s">
        <v>1504</v>
      </c>
      <c r="C2732" t="s">
        <v>88</v>
      </c>
      <c r="D2732" t="s">
        <v>2986</v>
      </c>
      <c r="E2732" t="s">
        <v>1531</v>
      </c>
      <c r="F2732" t="s">
        <v>88</v>
      </c>
      <c r="G2732" t="s">
        <v>88</v>
      </c>
      <c r="H2732" t="s">
        <v>92</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190</v>
      </c>
      <c r="B2733" t="s">
        <v>2987</v>
      </c>
      <c r="C2733" t="s">
        <v>88</v>
      </c>
      <c r="D2733" t="s">
        <v>2988</v>
      </c>
      <c r="E2733" t="s">
        <v>2989</v>
      </c>
      <c r="F2733" t="s">
        <v>88</v>
      </c>
      <c r="G2733" t="s">
        <v>88</v>
      </c>
      <c r="H2733" t="s">
        <v>92</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190</v>
      </c>
      <c r="B2734" t="s">
        <v>2990</v>
      </c>
      <c r="C2734" t="s">
        <v>88</v>
      </c>
      <c r="D2734" t="s">
        <v>2991</v>
      </c>
      <c r="E2734" t="s">
        <v>2805</v>
      </c>
      <c r="F2734" t="s">
        <v>88</v>
      </c>
      <c r="G2734" t="s">
        <v>88</v>
      </c>
      <c r="H2734" t="s">
        <v>92</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190</v>
      </c>
      <c r="B2735" t="s">
        <v>2992</v>
      </c>
      <c r="C2735" t="s">
        <v>88</v>
      </c>
      <c r="D2735" t="s">
        <v>2993</v>
      </c>
      <c r="E2735" t="s">
        <v>1052</v>
      </c>
      <c r="F2735" t="s">
        <v>88</v>
      </c>
      <c r="G2735" t="s">
        <v>88</v>
      </c>
      <c r="H2735" t="s">
        <v>92</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190</v>
      </c>
      <c r="B2736" t="s">
        <v>2994</v>
      </c>
      <c r="C2736" t="s">
        <v>88</v>
      </c>
      <c r="D2736" t="s">
        <v>2995</v>
      </c>
      <c r="E2736" t="s">
        <v>1481</v>
      </c>
      <c r="F2736" t="s">
        <v>88</v>
      </c>
      <c r="G2736" t="s">
        <v>88</v>
      </c>
      <c r="H2736" t="s">
        <v>92</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190</v>
      </c>
      <c r="B2737" t="s">
        <v>2996</v>
      </c>
      <c r="C2737" t="s">
        <v>88</v>
      </c>
      <c r="D2737" t="s">
        <v>2997</v>
      </c>
      <c r="E2737" t="s">
        <v>1414</v>
      </c>
      <c r="F2737" t="s">
        <v>88</v>
      </c>
      <c r="G2737" t="s">
        <v>88</v>
      </c>
      <c r="H2737" t="s">
        <v>92</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190</v>
      </c>
      <c r="B2738" t="s">
        <v>2998</v>
      </c>
      <c r="C2738" t="s">
        <v>88</v>
      </c>
      <c r="D2738" t="s">
        <v>2999</v>
      </c>
      <c r="E2738" t="s">
        <v>1478</v>
      </c>
      <c r="F2738" t="s">
        <v>88</v>
      </c>
      <c r="G2738" t="s">
        <v>88</v>
      </c>
      <c r="H2738" t="s">
        <v>92</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190</v>
      </c>
      <c r="B2739" t="s">
        <v>3000</v>
      </c>
      <c r="C2739" t="s">
        <v>88</v>
      </c>
      <c r="D2739" t="s">
        <v>3001</v>
      </c>
      <c r="E2739" t="s">
        <v>1452</v>
      </c>
      <c r="F2739" t="s">
        <v>88</v>
      </c>
      <c r="G2739" t="s">
        <v>88</v>
      </c>
      <c r="H2739" t="s">
        <v>92</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190</v>
      </c>
      <c r="B2740" t="s">
        <v>3002</v>
      </c>
      <c r="C2740" t="s">
        <v>88</v>
      </c>
      <c r="D2740" t="s">
        <v>3003</v>
      </c>
      <c r="E2740" t="s">
        <v>1481</v>
      </c>
      <c r="F2740" t="s">
        <v>88</v>
      </c>
      <c r="G2740" t="s">
        <v>88</v>
      </c>
      <c r="H2740" t="s">
        <v>92</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190</v>
      </c>
      <c r="B2741" t="s">
        <v>3004</v>
      </c>
      <c r="C2741" t="s">
        <v>88</v>
      </c>
      <c r="D2741" t="s">
        <v>3005</v>
      </c>
      <c r="E2741" t="s">
        <v>1052</v>
      </c>
      <c r="F2741" t="s">
        <v>88</v>
      </c>
      <c r="G2741" t="s">
        <v>88</v>
      </c>
      <c r="H2741" t="s">
        <v>92</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190</v>
      </c>
      <c r="B2742" t="s">
        <v>3006</v>
      </c>
      <c r="C2742" t="s">
        <v>88</v>
      </c>
      <c r="D2742" t="s">
        <v>3007</v>
      </c>
      <c r="E2742" t="s">
        <v>1414</v>
      </c>
      <c r="F2742" t="s">
        <v>88</v>
      </c>
      <c r="G2742" t="s">
        <v>88</v>
      </c>
      <c r="H2742" t="s">
        <v>92</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190</v>
      </c>
      <c r="B2743" t="s">
        <v>3008</v>
      </c>
      <c r="C2743" t="s">
        <v>88</v>
      </c>
      <c r="D2743" t="s">
        <v>3009</v>
      </c>
      <c r="E2743" t="s">
        <v>1484</v>
      </c>
      <c r="F2743" t="s">
        <v>88</v>
      </c>
      <c r="G2743" t="s">
        <v>88</v>
      </c>
      <c r="H2743" t="s">
        <v>92</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190</v>
      </c>
      <c r="B2744" t="s">
        <v>3010</v>
      </c>
      <c r="C2744" t="s">
        <v>88</v>
      </c>
      <c r="D2744" t="s">
        <v>3011</v>
      </c>
      <c r="E2744" t="s">
        <v>1509</v>
      </c>
      <c r="F2744" t="s">
        <v>88</v>
      </c>
      <c r="G2744" t="s">
        <v>88</v>
      </c>
      <c r="H2744" t="s">
        <v>92</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190</v>
      </c>
      <c r="B2745" t="s">
        <v>2479</v>
      </c>
      <c r="C2745" t="s">
        <v>88</v>
      </c>
      <c r="D2745" t="s">
        <v>3012</v>
      </c>
      <c r="E2745" t="s">
        <v>1452</v>
      </c>
      <c r="F2745" t="s">
        <v>88</v>
      </c>
      <c r="G2745" t="s">
        <v>88</v>
      </c>
      <c r="H2745" t="s">
        <v>92</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190</v>
      </c>
      <c r="B2746" t="s">
        <v>3013</v>
      </c>
      <c r="C2746" t="s">
        <v>88</v>
      </c>
      <c r="D2746" t="s">
        <v>3014</v>
      </c>
      <c r="E2746" t="s">
        <v>3015</v>
      </c>
      <c r="F2746" t="s">
        <v>88</v>
      </c>
      <c r="G2746" t="s">
        <v>88</v>
      </c>
      <c r="H2746" t="s">
        <v>92</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190</v>
      </c>
      <c r="B2747" t="s">
        <v>3016</v>
      </c>
      <c r="C2747" t="s">
        <v>88</v>
      </c>
      <c r="D2747" t="s">
        <v>3017</v>
      </c>
      <c r="E2747" t="s">
        <v>1526</v>
      </c>
      <c r="F2747" t="s">
        <v>88</v>
      </c>
      <c r="G2747" t="s">
        <v>88</v>
      </c>
      <c r="H2747" t="s">
        <v>92</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190</v>
      </c>
      <c r="B2748" t="s">
        <v>3018</v>
      </c>
      <c r="C2748" t="s">
        <v>88</v>
      </c>
      <c r="D2748" t="s">
        <v>3019</v>
      </c>
      <c r="E2748" t="s">
        <v>1490</v>
      </c>
      <c r="F2748" t="s">
        <v>88</v>
      </c>
      <c r="G2748" t="s">
        <v>88</v>
      </c>
      <c r="H2748" t="s">
        <v>92</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190</v>
      </c>
      <c r="B2749" t="s">
        <v>3020</v>
      </c>
      <c r="C2749" t="s">
        <v>88</v>
      </c>
      <c r="D2749" t="s">
        <v>3021</v>
      </c>
      <c r="E2749" t="s">
        <v>1526</v>
      </c>
      <c r="F2749" t="s">
        <v>88</v>
      </c>
      <c r="G2749" t="s">
        <v>88</v>
      </c>
      <c r="H2749" t="s">
        <v>92</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190</v>
      </c>
      <c r="B2750" t="s">
        <v>3022</v>
      </c>
      <c r="C2750" t="s">
        <v>88</v>
      </c>
      <c r="D2750" t="s">
        <v>3023</v>
      </c>
      <c r="E2750" t="s">
        <v>1484</v>
      </c>
      <c r="F2750" t="s">
        <v>88</v>
      </c>
      <c r="G2750" t="s">
        <v>88</v>
      </c>
      <c r="H2750" t="s">
        <v>92</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190</v>
      </c>
      <c r="B2751" t="s">
        <v>3024</v>
      </c>
      <c r="C2751" t="s">
        <v>88</v>
      </c>
      <c r="D2751" t="s">
        <v>3025</v>
      </c>
      <c r="E2751" t="s">
        <v>1523</v>
      </c>
      <c r="F2751" t="s">
        <v>88</v>
      </c>
      <c r="G2751" t="s">
        <v>88</v>
      </c>
      <c r="H2751" t="s">
        <v>92</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190</v>
      </c>
      <c r="B2752" t="s">
        <v>3026</v>
      </c>
      <c r="C2752" t="s">
        <v>88</v>
      </c>
      <c r="D2752" t="s">
        <v>3027</v>
      </c>
      <c r="E2752" t="s">
        <v>1518</v>
      </c>
      <c r="F2752" t="s">
        <v>88</v>
      </c>
      <c r="G2752" t="s">
        <v>88</v>
      </c>
      <c r="H2752" t="s">
        <v>92</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190</v>
      </c>
      <c r="B2753" t="s">
        <v>3028</v>
      </c>
      <c r="C2753" t="s">
        <v>88</v>
      </c>
      <c r="D2753" t="s">
        <v>3029</v>
      </c>
      <c r="E2753" t="s">
        <v>1526</v>
      </c>
      <c r="F2753" t="s">
        <v>88</v>
      </c>
      <c r="G2753" t="s">
        <v>88</v>
      </c>
      <c r="H2753" t="s">
        <v>92</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190</v>
      </c>
      <c r="B2754" t="s">
        <v>3030</v>
      </c>
      <c r="C2754" t="s">
        <v>88</v>
      </c>
      <c r="D2754" t="s">
        <v>3029</v>
      </c>
      <c r="E2754" t="s">
        <v>2901</v>
      </c>
      <c r="F2754" t="s">
        <v>88</v>
      </c>
      <c r="G2754" t="s">
        <v>88</v>
      </c>
      <c r="H2754" t="s">
        <v>92</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190</v>
      </c>
      <c r="B2755" t="s">
        <v>3031</v>
      </c>
      <c r="C2755" t="s">
        <v>88</v>
      </c>
      <c r="D2755" t="s">
        <v>3029</v>
      </c>
      <c r="E2755" t="s">
        <v>1430</v>
      </c>
      <c r="F2755" t="s">
        <v>88</v>
      </c>
      <c r="G2755" t="s">
        <v>88</v>
      </c>
      <c r="H2755" t="s">
        <v>92</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190</v>
      </c>
      <c r="B2756" t="s">
        <v>3032</v>
      </c>
      <c r="C2756" t="s">
        <v>88</v>
      </c>
      <c r="D2756" t="s">
        <v>3033</v>
      </c>
      <c r="E2756" t="s">
        <v>1523</v>
      </c>
      <c r="F2756" t="s">
        <v>88</v>
      </c>
      <c r="G2756" t="s">
        <v>88</v>
      </c>
      <c r="H2756" t="s">
        <v>92</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190</v>
      </c>
      <c r="B2757" t="s">
        <v>3034</v>
      </c>
      <c r="C2757" t="s">
        <v>88</v>
      </c>
      <c r="D2757" t="s">
        <v>3035</v>
      </c>
      <c r="E2757" t="s">
        <v>1481</v>
      </c>
      <c r="F2757" t="s">
        <v>88</v>
      </c>
      <c r="G2757" t="s">
        <v>88</v>
      </c>
      <c r="H2757" t="s">
        <v>92</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190</v>
      </c>
      <c r="B2758" t="s">
        <v>3036</v>
      </c>
      <c r="C2758" t="s">
        <v>88</v>
      </c>
      <c r="D2758" t="s">
        <v>3037</v>
      </c>
      <c r="E2758" t="s">
        <v>1406</v>
      </c>
      <c r="F2758" t="s">
        <v>88</v>
      </c>
      <c r="G2758" t="s">
        <v>88</v>
      </c>
      <c r="H2758" t="s">
        <v>92</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190</v>
      </c>
      <c r="B2759" t="s">
        <v>3038</v>
      </c>
      <c r="C2759" t="s">
        <v>88</v>
      </c>
      <c r="D2759" t="s">
        <v>3039</v>
      </c>
      <c r="E2759" t="s">
        <v>2895</v>
      </c>
      <c r="F2759" t="s">
        <v>88</v>
      </c>
      <c r="G2759" t="s">
        <v>88</v>
      </c>
      <c r="H2759" t="s">
        <v>92</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190</v>
      </c>
      <c r="B2760" t="s">
        <v>3040</v>
      </c>
      <c r="C2760" t="s">
        <v>88</v>
      </c>
      <c r="D2760" t="s">
        <v>3041</v>
      </c>
      <c r="E2760" t="s">
        <v>1518</v>
      </c>
      <c r="F2760" t="s">
        <v>88</v>
      </c>
      <c r="G2760" t="s">
        <v>88</v>
      </c>
      <c r="H2760" t="s">
        <v>92</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190</v>
      </c>
      <c r="B2761" t="s">
        <v>3042</v>
      </c>
      <c r="C2761" t="s">
        <v>88</v>
      </c>
      <c r="D2761" t="s">
        <v>3043</v>
      </c>
      <c r="E2761" t="s">
        <v>1523</v>
      </c>
      <c r="F2761" t="s">
        <v>88</v>
      </c>
      <c r="G2761" t="s">
        <v>88</v>
      </c>
      <c r="H2761" t="s">
        <v>92</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190</v>
      </c>
      <c r="B2762" t="s">
        <v>3044</v>
      </c>
      <c r="C2762" t="s">
        <v>88</v>
      </c>
      <c r="D2762" t="s">
        <v>3045</v>
      </c>
      <c r="E2762" t="s">
        <v>1481</v>
      </c>
      <c r="F2762" t="s">
        <v>88</v>
      </c>
      <c r="G2762" t="s">
        <v>88</v>
      </c>
      <c r="H2762" t="s">
        <v>92</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190</v>
      </c>
      <c r="B2763" t="s">
        <v>3046</v>
      </c>
      <c r="C2763" t="s">
        <v>88</v>
      </c>
      <c r="D2763" t="s">
        <v>3047</v>
      </c>
      <c r="E2763" t="s">
        <v>1481</v>
      </c>
      <c r="F2763" t="s">
        <v>88</v>
      </c>
      <c r="G2763" t="s">
        <v>88</v>
      </c>
      <c r="H2763" t="s">
        <v>92</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190</v>
      </c>
      <c r="B2764" t="s">
        <v>3048</v>
      </c>
      <c r="C2764" t="s">
        <v>88</v>
      </c>
      <c r="D2764" t="s">
        <v>3049</v>
      </c>
      <c r="E2764" t="s">
        <v>1509</v>
      </c>
      <c r="F2764" t="s">
        <v>88</v>
      </c>
      <c r="G2764" t="s">
        <v>88</v>
      </c>
      <c r="H2764" t="s">
        <v>92</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190</v>
      </c>
      <c r="B2765" t="s">
        <v>3050</v>
      </c>
      <c r="C2765" t="s">
        <v>88</v>
      </c>
      <c r="D2765" t="s">
        <v>3051</v>
      </c>
      <c r="E2765" t="s">
        <v>1509</v>
      </c>
      <c r="F2765" t="s">
        <v>88</v>
      </c>
      <c r="G2765" t="s">
        <v>88</v>
      </c>
      <c r="H2765" t="s">
        <v>92</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190</v>
      </c>
      <c r="B2766" t="s">
        <v>3052</v>
      </c>
      <c r="C2766" t="s">
        <v>88</v>
      </c>
      <c r="D2766" t="s">
        <v>3053</v>
      </c>
      <c r="E2766" t="s">
        <v>1481</v>
      </c>
      <c r="F2766" t="s">
        <v>88</v>
      </c>
      <c r="G2766" t="s">
        <v>88</v>
      </c>
      <c r="H2766" t="s">
        <v>92</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190</v>
      </c>
      <c r="B2767" t="s">
        <v>3054</v>
      </c>
      <c r="C2767" t="s">
        <v>88</v>
      </c>
      <c r="D2767" t="s">
        <v>3055</v>
      </c>
      <c r="E2767" t="s">
        <v>3056</v>
      </c>
      <c r="F2767" t="s">
        <v>88</v>
      </c>
      <c r="G2767" t="s">
        <v>88</v>
      </c>
      <c r="H2767" t="s">
        <v>92</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190</v>
      </c>
      <c r="B2768" t="s">
        <v>3057</v>
      </c>
      <c r="C2768" t="s">
        <v>88</v>
      </c>
      <c r="D2768" t="s">
        <v>3058</v>
      </c>
      <c r="E2768" t="s">
        <v>1475</v>
      </c>
      <c r="F2768" t="s">
        <v>88</v>
      </c>
      <c r="G2768" t="s">
        <v>88</v>
      </c>
      <c r="H2768" t="s">
        <v>92</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190</v>
      </c>
      <c r="B2769" t="s">
        <v>3059</v>
      </c>
      <c r="C2769" t="s">
        <v>88</v>
      </c>
      <c r="D2769" t="s">
        <v>3060</v>
      </c>
      <c r="E2769" t="s">
        <v>1052</v>
      </c>
      <c r="F2769" t="s">
        <v>88</v>
      </c>
      <c r="G2769" t="s">
        <v>88</v>
      </c>
      <c r="H2769" t="s">
        <v>92</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190</v>
      </c>
      <c r="B2770" t="s">
        <v>3061</v>
      </c>
      <c r="C2770" t="s">
        <v>88</v>
      </c>
      <c r="D2770" t="s">
        <v>3062</v>
      </c>
      <c r="E2770" t="s">
        <v>1459</v>
      </c>
      <c r="F2770" t="s">
        <v>88</v>
      </c>
      <c r="G2770" t="s">
        <v>88</v>
      </c>
      <c r="H2770" t="s">
        <v>92</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190</v>
      </c>
      <c r="B2771" t="s">
        <v>3063</v>
      </c>
      <c r="C2771" t="s">
        <v>88</v>
      </c>
      <c r="D2771" t="s">
        <v>3064</v>
      </c>
      <c r="E2771" t="s">
        <v>1481</v>
      </c>
      <c r="F2771" t="s">
        <v>88</v>
      </c>
      <c r="G2771" t="s">
        <v>88</v>
      </c>
      <c r="H2771" t="s">
        <v>92</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190</v>
      </c>
      <c r="B2772" t="s">
        <v>3065</v>
      </c>
      <c r="C2772" t="s">
        <v>88</v>
      </c>
      <c r="D2772" t="s">
        <v>3066</v>
      </c>
      <c r="E2772" t="s">
        <v>1475</v>
      </c>
      <c r="F2772" t="s">
        <v>88</v>
      </c>
      <c r="G2772" t="s">
        <v>88</v>
      </c>
      <c r="H2772" t="s">
        <v>92</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190</v>
      </c>
      <c r="B2773" t="s">
        <v>3067</v>
      </c>
      <c r="C2773" t="s">
        <v>88</v>
      </c>
      <c r="D2773" t="s">
        <v>3068</v>
      </c>
      <c r="E2773" t="s">
        <v>1459</v>
      </c>
      <c r="F2773" t="s">
        <v>88</v>
      </c>
      <c r="G2773" t="s">
        <v>88</v>
      </c>
      <c r="H2773" t="s">
        <v>92</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190</v>
      </c>
      <c r="B2774" t="s">
        <v>3159</v>
      </c>
      <c r="C2774" t="s">
        <v>88</v>
      </c>
      <c r="D2774" t="s">
        <v>3160</v>
      </c>
      <c r="E2774" t="s">
        <v>3161</v>
      </c>
      <c r="F2774" t="s">
        <v>88</v>
      </c>
      <c r="G2774" t="s">
        <v>88</v>
      </c>
      <c r="H2774" t="s">
        <v>92</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190</v>
      </c>
      <c r="B2775" t="s">
        <v>3162</v>
      </c>
      <c r="C2775" t="s">
        <v>88</v>
      </c>
      <c r="D2775" t="s">
        <v>3163</v>
      </c>
      <c r="E2775" t="s">
        <v>3164</v>
      </c>
      <c r="F2775" t="s">
        <v>88</v>
      </c>
      <c r="G2775" t="s">
        <v>88</v>
      </c>
      <c r="H2775" t="s">
        <v>92</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190</v>
      </c>
      <c r="B2776" t="s">
        <v>3069</v>
      </c>
      <c r="C2776" t="s">
        <v>88</v>
      </c>
      <c r="D2776" t="s">
        <v>3070</v>
      </c>
      <c r="E2776" t="s">
        <v>1490</v>
      </c>
      <c r="F2776" t="s">
        <v>88</v>
      </c>
      <c r="G2776" t="s">
        <v>88</v>
      </c>
      <c r="H2776" t="s">
        <v>92</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190</v>
      </c>
      <c r="B2777" t="s">
        <v>1868</v>
      </c>
      <c r="C2777" t="s">
        <v>88</v>
      </c>
      <c r="D2777" t="s">
        <v>3071</v>
      </c>
      <c r="E2777" t="s">
        <v>1574</v>
      </c>
      <c r="F2777" t="s">
        <v>88</v>
      </c>
      <c r="G2777" t="s">
        <v>88</v>
      </c>
      <c r="H2777" t="s">
        <v>92</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190</v>
      </c>
      <c r="B2778" t="s">
        <v>1575</v>
      </c>
      <c r="C2778" t="s">
        <v>88</v>
      </c>
      <c r="D2778" t="s">
        <v>3072</v>
      </c>
      <c r="E2778" t="s">
        <v>1568</v>
      </c>
      <c r="F2778" t="s">
        <v>88</v>
      </c>
      <c r="G2778" t="s">
        <v>88</v>
      </c>
      <c r="H2778" t="s">
        <v>92</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190</v>
      </c>
      <c r="B2779" t="s">
        <v>583</v>
      </c>
      <c r="C2779" t="s">
        <v>88</v>
      </c>
      <c r="D2779" t="s">
        <v>3073</v>
      </c>
      <c r="E2779" t="s">
        <v>1487</v>
      </c>
      <c r="F2779" t="s">
        <v>88</v>
      </c>
      <c r="G2779" t="s">
        <v>88</v>
      </c>
      <c r="H2779" t="s">
        <v>92</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190</v>
      </c>
      <c r="B2780" t="s">
        <v>3074</v>
      </c>
      <c r="C2780" t="s">
        <v>88</v>
      </c>
      <c r="D2780" t="s">
        <v>3075</v>
      </c>
      <c r="E2780" t="s">
        <v>1506</v>
      </c>
      <c r="F2780" t="s">
        <v>88</v>
      </c>
      <c r="G2780" t="s">
        <v>88</v>
      </c>
      <c r="H2780" t="s">
        <v>92</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190</v>
      </c>
      <c r="B2781" t="s">
        <v>3076</v>
      </c>
      <c r="C2781" t="s">
        <v>88</v>
      </c>
      <c r="D2781" t="s">
        <v>3077</v>
      </c>
      <c r="E2781" t="s">
        <v>1484</v>
      </c>
      <c r="F2781" t="s">
        <v>88</v>
      </c>
      <c r="G2781" t="s">
        <v>88</v>
      </c>
      <c r="H2781" t="s">
        <v>92</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190</v>
      </c>
      <c r="B2782" t="s">
        <v>3078</v>
      </c>
      <c r="C2782" t="s">
        <v>88</v>
      </c>
      <c r="D2782" t="s">
        <v>3079</v>
      </c>
      <c r="E2782" t="s">
        <v>1484</v>
      </c>
      <c r="F2782" t="s">
        <v>88</v>
      </c>
      <c r="G2782" t="s">
        <v>88</v>
      </c>
      <c r="H2782" t="s">
        <v>92</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190</v>
      </c>
      <c r="B2783" t="s">
        <v>3080</v>
      </c>
      <c r="C2783" t="s">
        <v>88</v>
      </c>
      <c r="D2783" t="s">
        <v>3081</v>
      </c>
      <c r="E2783" t="s">
        <v>1495</v>
      </c>
      <c r="F2783" t="s">
        <v>88</v>
      </c>
      <c r="G2783" t="s">
        <v>88</v>
      </c>
      <c r="H2783" t="s">
        <v>92</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190</v>
      </c>
      <c r="B2784" t="s">
        <v>3082</v>
      </c>
      <c r="C2784" t="s">
        <v>88</v>
      </c>
      <c r="D2784" t="s">
        <v>3083</v>
      </c>
      <c r="E2784" t="s">
        <v>1526</v>
      </c>
      <c r="F2784" t="s">
        <v>88</v>
      </c>
      <c r="G2784" t="s">
        <v>88</v>
      </c>
      <c r="H2784" t="s">
        <v>92</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190</v>
      </c>
      <c r="B2785" t="s">
        <v>3084</v>
      </c>
      <c r="C2785" t="s">
        <v>88</v>
      </c>
      <c r="D2785" t="s">
        <v>3085</v>
      </c>
      <c r="E2785" t="s">
        <v>1506</v>
      </c>
      <c r="F2785" t="s">
        <v>88</v>
      </c>
      <c r="G2785" t="s">
        <v>88</v>
      </c>
      <c r="H2785" t="s">
        <v>92</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190</v>
      </c>
      <c r="B2786" t="s">
        <v>3086</v>
      </c>
      <c r="C2786" t="s">
        <v>88</v>
      </c>
      <c r="D2786" t="s">
        <v>3087</v>
      </c>
      <c r="E2786" t="s">
        <v>1568</v>
      </c>
      <c r="F2786" t="s">
        <v>88</v>
      </c>
      <c r="G2786" t="s">
        <v>88</v>
      </c>
      <c r="H2786" t="s">
        <v>92</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190</v>
      </c>
      <c r="B2787" t="s">
        <v>3088</v>
      </c>
      <c r="C2787" t="s">
        <v>88</v>
      </c>
      <c r="D2787" t="s">
        <v>3089</v>
      </c>
      <c r="E2787" t="s">
        <v>1574</v>
      </c>
      <c r="F2787" t="s">
        <v>88</v>
      </c>
      <c r="G2787" t="s">
        <v>88</v>
      </c>
      <c r="H2787" t="s">
        <v>92</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190</v>
      </c>
      <c r="B2788" t="s">
        <v>3090</v>
      </c>
      <c r="C2788" t="s">
        <v>88</v>
      </c>
      <c r="D2788" t="s">
        <v>3091</v>
      </c>
      <c r="E2788" t="s">
        <v>1568</v>
      </c>
      <c r="F2788" t="s">
        <v>88</v>
      </c>
      <c r="G2788" t="s">
        <v>88</v>
      </c>
      <c r="H2788" t="s">
        <v>92</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190</v>
      </c>
      <c r="B2789" t="s">
        <v>3092</v>
      </c>
      <c r="C2789" t="s">
        <v>88</v>
      </c>
      <c r="D2789" t="s">
        <v>3093</v>
      </c>
      <c r="E2789" t="s">
        <v>1526</v>
      </c>
      <c r="F2789" t="s">
        <v>88</v>
      </c>
      <c r="G2789" t="s">
        <v>88</v>
      </c>
      <c r="H2789" t="s">
        <v>92</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190</v>
      </c>
      <c r="B2790" t="s">
        <v>3094</v>
      </c>
      <c r="C2790" t="s">
        <v>88</v>
      </c>
      <c r="D2790" t="s">
        <v>3095</v>
      </c>
      <c r="E2790" t="s">
        <v>1574</v>
      </c>
      <c r="F2790" t="s">
        <v>88</v>
      </c>
      <c r="G2790" t="s">
        <v>88</v>
      </c>
      <c r="H2790" t="s">
        <v>92</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190</v>
      </c>
      <c r="B2791" t="s">
        <v>3096</v>
      </c>
      <c r="C2791" t="s">
        <v>88</v>
      </c>
      <c r="D2791" t="s">
        <v>3097</v>
      </c>
      <c r="E2791" t="s">
        <v>1487</v>
      </c>
      <c r="F2791" t="s">
        <v>88</v>
      </c>
      <c r="G2791" t="s">
        <v>88</v>
      </c>
      <c r="H2791" t="s">
        <v>92</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190</v>
      </c>
      <c r="B2792" t="s">
        <v>3098</v>
      </c>
      <c r="C2792" t="s">
        <v>88</v>
      </c>
      <c r="D2792" t="s">
        <v>3099</v>
      </c>
      <c r="E2792" t="s">
        <v>1487</v>
      </c>
      <c r="F2792" t="s">
        <v>88</v>
      </c>
      <c r="G2792" t="s">
        <v>88</v>
      </c>
      <c r="H2792" t="s">
        <v>92</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190</v>
      </c>
      <c r="B2793" t="s">
        <v>3100</v>
      </c>
      <c r="C2793" t="s">
        <v>88</v>
      </c>
      <c r="D2793" t="s">
        <v>3101</v>
      </c>
      <c r="E2793" t="s">
        <v>1487</v>
      </c>
      <c r="F2793" t="s">
        <v>88</v>
      </c>
      <c r="G2793" t="s">
        <v>88</v>
      </c>
      <c r="H2793" t="s">
        <v>92</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190</v>
      </c>
      <c r="B2794" t="s">
        <v>3102</v>
      </c>
      <c r="C2794" t="s">
        <v>88</v>
      </c>
      <c r="D2794" t="s">
        <v>3103</v>
      </c>
      <c r="E2794" t="s">
        <v>1590</v>
      </c>
      <c r="F2794" t="s">
        <v>88</v>
      </c>
      <c r="G2794" t="s">
        <v>88</v>
      </c>
      <c r="H2794" t="s">
        <v>92</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190</v>
      </c>
      <c r="B2795" t="s">
        <v>3104</v>
      </c>
      <c r="C2795" t="s">
        <v>88</v>
      </c>
      <c r="D2795" t="s">
        <v>88</v>
      </c>
      <c r="E2795" t="s">
        <v>1571</v>
      </c>
      <c r="F2795" t="s">
        <v>88</v>
      </c>
      <c r="G2795" t="s">
        <v>88</v>
      </c>
      <c r="H2795" t="s">
        <v>92</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190</v>
      </c>
      <c r="B2796" t="s">
        <v>3105</v>
      </c>
      <c r="C2796" t="s">
        <v>88</v>
      </c>
      <c r="D2796" t="s">
        <v>88</v>
      </c>
      <c r="E2796" t="s">
        <v>1556</v>
      </c>
      <c r="F2796" t="s">
        <v>88</v>
      </c>
      <c r="G2796" t="s">
        <v>88</v>
      </c>
      <c r="H2796" t="s">
        <v>92</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190</v>
      </c>
      <c r="B2797" t="s">
        <v>3106</v>
      </c>
      <c r="C2797" t="s">
        <v>88</v>
      </c>
      <c r="D2797" t="s">
        <v>88</v>
      </c>
      <c r="E2797" t="s">
        <v>3107</v>
      </c>
      <c r="F2797" t="s">
        <v>88</v>
      </c>
      <c r="G2797" t="s">
        <v>88</v>
      </c>
      <c r="H2797" t="s">
        <v>92</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190</v>
      </c>
      <c r="B2798" t="s">
        <v>3108</v>
      </c>
      <c r="C2798" t="s">
        <v>88</v>
      </c>
      <c r="D2798" t="s">
        <v>88</v>
      </c>
      <c r="E2798" t="s">
        <v>3109</v>
      </c>
      <c r="F2798" t="s">
        <v>88</v>
      </c>
      <c r="G2798" t="s">
        <v>88</v>
      </c>
      <c r="H2798" t="s">
        <v>92</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190</v>
      </c>
      <c r="B2799" t="s">
        <v>3110</v>
      </c>
      <c r="C2799" t="s">
        <v>88</v>
      </c>
      <c r="D2799" t="s">
        <v>88</v>
      </c>
      <c r="E2799" t="s">
        <v>1571</v>
      </c>
      <c r="F2799" t="s">
        <v>88</v>
      </c>
      <c r="G2799" t="s">
        <v>88</v>
      </c>
      <c r="H2799" t="s">
        <v>92</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190</v>
      </c>
      <c r="B2800" t="s">
        <v>3111</v>
      </c>
      <c r="C2800" t="s">
        <v>88</v>
      </c>
      <c r="D2800" t="s">
        <v>88</v>
      </c>
      <c r="E2800" t="s">
        <v>3112</v>
      </c>
      <c r="F2800" t="s">
        <v>88</v>
      </c>
      <c r="G2800" t="s">
        <v>88</v>
      </c>
      <c r="H2800" t="s">
        <v>92</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190</v>
      </c>
      <c r="B2801" t="s">
        <v>3113</v>
      </c>
      <c r="C2801" t="s">
        <v>88</v>
      </c>
      <c r="D2801" t="s">
        <v>88</v>
      </c>
      <c r="E2801" t="s">
        <v>2360</v>
      </c>
      <c r="F2801" t="s">
        <v>88</v>
      </c>
      <c r="G2801" t="s">
        <v>88</v>
      </c>
      <c r="H2801" t="s">
        <v>92</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190</v>
      </c>
      <c r="B2802" t="s">
        <v>3114</v>
      </c>
      <c r="C2802" t="s">
        <v>88</v>
      </c>
      <c r="D2802" t="s">
        <v>88</v>
      </c>
      <c r="E2802" t="s">
        <v>1556</v>
      </c>
      <c r="F2802" t="s">
        <v>88</v>
      </c>
      <c r="G2802" t="s">
        <v>88</v>
      </c>
      <c r="H2802" t="s">
        <v>92</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190</v>
      </c>
      <c r="B2803" t="s">
        <v>610</v>
      </c>
      <c r="C2803" t="s">
        <v>88</v>
      </c>
      <c r="D2803" t="s">
        <v>88</v>
      </c>
      <c r="E2803" t="s">
        <v>3115</v>
      </c>
      <c r="F2803" t="s">
        <v>88</v>
      </c>
      <c r="G2803" t="s">
        <v>88</v>
      </c>
      <c r="H2803" t="s">
        <v>92</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190</v>
      </c>
      <c r="B2804" t="s">
        <v>2210</v>
      </c>
      <c r="C2804" t="s">
        <v>88</v>
      </c>
      <c r="D2804" t="s">
        <v>88</v>
      </c>
      <c r="E2804" t="s">
        <v>1636</v>
      </c>
      <c r="F2804" t="s">
        <v>88</v>
      </c>
      <c r="G2804" t="s">
        <v>88</v>
      </c>
      <c r="H2804" t="s">
        <v>92</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190</v>
      </c>
      <c r="B2805" t="s">
        <v>608</v>
      </c>
      <c r="C2805" t="s">
        <v>88</v>
      </c>
      <c r="D2805" t="s">
        <v>88</v>
      </c>
      <c r="E2805" t="s">
        <v>1653</v>
      </c>
      <c r="F2805" t="s">
        <v>88</v>
      </c>
      <c r="G2805" t="s">
        <v>88</v>
      </c>
      <c r="H2805" t="s">
        <v>92</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190</v>
      </c>
      <c r="B2806" t="s">
        <v>3116</v>
      </c>
      <c r="C2806" t="s">
        <v>88</v>
      </c>
      <c r="D2806" t="s">
        <v>88</v>
      </c>
      <c r="E2806" t="s">
        <v>3117</v>
      </c>
      <c r="F2806" t="s">
        <v>88</v>
      </c>
      <c r="G2806" t="s">
        <v>88</v>
      </c>
      <c r="H2806" t="s">
        <v>92</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190</v>
      </c>
      <c r="B2807" t="s">
        <v>2646</v>
      </c>
      <c r="C2807" t="s">
        <v>88</v>
      </c>
      <c r="D2807" t="s">
        <v>88</v>
      </c>
      <c r="E2807" t="s">
        <v>3112</v>
      </c>
      <c r="F2807" t="s">
        <v>88</v>
      </c>
      <c r="G2807" t="s">
        <v>88</v>
      </c>
      <c r="H2807" t="s">
        <v>92</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190</v>
      </c>
      <c r="B2808" t="s">
        <v>3118</v>
      </c>
      <c r="C2808" t="s">
        <v>88</v>
      </c>
      <c r="D2808" t="s">
        <v>88</v>
      </c>
      <c r="E2808" t="s">
        <v>1590</v>
      </c>
      <c r="F2808" t="s">
        <v>88</v>
      </c>
      <c r="G2808" t="s">
        <v>88</v>
      </c>
      <c r="H2808" t="s">
        <v>92</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190</v>
      </c>
      <c r="B2809" t="s">
        <v>3119</v>
      </c>
      <c r="C2809" t="s">
        <v>88</v>
      </c>
      <c r="D2809" t="s">
        <v>88</v>
      </c>
      <c r="E2809" t="s">
        <v>3109</v>
      </c>
      <c r="F2809" t="s">
        <v>88</v>
      </c>
      <c r="G2809" t="s">
        <v>88</v>
      </c>
      <c r="H2809" t="s">
        <v>92</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190</v>
      </c>
      <c r="B2810" t="s">
        <v>3120</v>
      </c>
      <c r="C2810" t="s">
        <v>88</v>
      </c>
      <c r="D2810" t="s">
        <v>88</v>
      </c>
      <c r="E2810" t="s">
        <v>1584</v>
      </c>
      <c r="F2810" t="s">
        <v>88</v>
      </c>
      <c r="G2810" t="s">
        <v>88</v>
      </c>
      <c r="H2810" t="s">
        <v>92</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190</v>
      </c>
      <c r="B2811" t="s">
        <v>3121</v>
      </c>
      <c r="C2811" t="s">
        <v>88</v>
      </c>
      <c r="D2811" t="s">
        <v>88</v>
      </c>
      <c r="E2811" t="s">
        <v>3107</v>
      </c>
      <c r="F2811" t="s">
        <v>88</v>
      </c>
      <c r="G2811" t="s">
        <v>88</v>
      </c>
      <c r="H2811" t="s">
        <v>92</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190</v>
      </c>
      <c r="B2812" t="s">
        <v>3122</v>
      </c>
      <c r="C2812" t="s">
        <v>88</v>
      </c>
      <c r="D2812" t="s">
        <v>88</v>
      </c>
      <c r="E2812" t="s">
        <v>3115</v>
      </c>
      <c r="F2812" t="s">
        <v>88</v>
      </c>
      <c r="G2812" t="s">
        <v>88</v>
      </c>
      <c r="H2812" t="s">
        <v>92</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190</v>
      </c>
      <c r="B2813" t="s">
        <v>3123</v>
      </c>
      <c r="C2813" t="s">
        <v>88</v>
      </c>
      <c r="D2813" t="s">
        <v>88</v>
      </c>
      <c r="E2813" t="s">
        <v>1636</v>
      </c>
      <c r="F2813" t="s">
        <v>88</v>
      </c>
      <c r="G2813" t="s">
        <v>88</v>
      </c>
      <c r="H2813" t="s">
        <v>92</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190</v>
      </c>
      <c r="B2814" t="s">
        <v>3124</v>
      </c>
      <c r="C2814" t="s">
        <v>88</v>
      </c>
      <c r="D2814" t="s">
        <v>88</v>
      </c>
      <c r="E2814" t="s">
        <v>1653</v>
      </c>
      <c r="F2814" t="s">
        <v>88</v>
      </c>
      <c r="G2814" t="s">
        <v>88</v>
      </c>
      <c r="H2814" t="s">
        <v>92</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190</v>
      </c>
      <c r="B2815" t="s">
        <v>3125</v>
      </c>
      <c r="C2815" t="s">
        <v>88</v>
      </c>
      <c r="D2815" t="s">
        <v>88</v>
      </c>
      <c r="E2815" t="s">
        <v>3117</v>
      </c>
      <c r="F2815" t="s">
        <v>88</v>
      </c>
      <c r="G2815" t="s">
        <v>88</v>
      </c>
      <c r="H2815" t="s">
        <v>92</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190</v>
      </c>
      <c r="B2816" t="s">
        <v>3126</v>
      </c>
      <c r="C2816" t="s">
        <v>88</v>
      </c>
      <c r="D2816" t="s">
        <v>88</v>
      </c>
      <c r="E2816" t="s">
        <v>3112</v>
      </c>
      <c r="F2816" t="s">
        <v>88</v>
      </c>
      <c r="G2816" t="s">
        <v>88</v>
      </c>
      <c r="H2816" t="s">
        <v>92</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190</v>
      </c>
      <c r="B2817" t="s">
        <v>3127</v>
      </c>
      <c r="C2817" t="s">
        <v>88</v>
      </c>
      <c r="D2817" t="s">
        <v>88</v>
      </c>
      <c r="E2817" t="s">
        <v>1590</v>
      </c>
      <c r="F2817" t="s">
        <v>88</v>
      </c>
      <c r="G2817" t="s">
        <v>88</v>
      </c>
      <c r="H2817" t="s">
        <v>92</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190</v>
      </c>
      <c r="B2818" t="s">
        <v>3128</v>
      </c>
      <c r="C2818" t="s">
        <v>88</v>
      </c>
      <c r="D2818" t="s">
        <v>88</v>
      </c>
      <c r="E2818" t="s">
        <v>1596</v>
      </c>
      <c r="F2818" t="s">
        <v>88</v>
      </c>
      <c r="G2818" t="s">
        <v>88</v>
      </c>
      <c r="H2818" t="s">
        <v>92</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190</v>
      </c>
      <c r="B2819" t="s">
        <v>3129</v>
      </c>
      <c r="C2819" t="s">
        <v>88</v>
      </c>
      <c r="D2819" t="s">
        <v>88</v>
      </c>
      <c r="E2819" t="s">
        <v>715</v>
      </c>
      <c r="F2819" t="s">
        <v>88</v>
      </c>
      <c r="G2819" t="s">
        <v>88</v>
      </c>
      <c r="H2819" t="s">
        <v>92</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190</v>
      </c>
      <c r="B2820" t="s">
        <v>3130</v>
      </c>
      <c r="C2820" t="s">
        <v>88</v>
      </c>
      <c r="D2820" t="s">
        <v>88</v>
      </c>
      <c r="E2820" t="s">
        <v>1596</v>
      </c>
      <c r="F2820" t="s">
        <v>88</v>
      </c>
      <c r="G2820" t="s">
        <v>88</v>
      </c>
      <c r="H2820" t="s">
        <v>92</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190</v>
      </c>
      <c r="B2821" t="s">
        <v>1632</v>
      </c>
      <c r="C2821" t="s">
        <v>88</v>
      </c>
      <c r="D2821" t="s">
        <v>88</v>
      </c>
      <c r="E2821" t="s">
        <v>1653</v>
      </c>
      <c r="F2821" t="s">
        <v>88</v>
      </c>
      <c r="G2821" t="s">
        <v>88</v>
      </c>
      <c r="H2821" t="s">
        <v>92</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190</v>
      </c>
      <c r="B2822" t="s">
        <v>1634</v>
      </c>
      <c r="C2822" t="s">
        <v>88</v>
      </c>
      <c r="D2822" t="s">
        <v>88</v>
      </c>
      <c r="E2822" t="s">
        <v>3117</v>
      </c>
      <c r="F2822" t="s">
        <v>88</v>
      </c>
      <c r="G2822" t="s">
        <v>88</v>
      </c>
      <c r="H2822" t="s">
        <v>92</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190</v>
      </c>
      <c r="B2823" t="s">
        <v>3131</v>
      </c>
      <c r="C2823" t="s">
        <v>88</v>
      </c>
      <c r="D2823" t="s">
        <v>88</v>
      </c>
      <c r="E2823" t="s">
        <v>957</v>
      </c>
      <c r="F2823" t="s">
        <v>88</v>
      </c>
      <c r="G2823" t="s">
        <v>88</v>
      </c>
      <c r="H2823" t="s">
        <v>92</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190</v>
      </c>
      <c r="B2824" t="s">
        <v>3132</v>
      </c>
      <c r="C2824" t="s">
        <v>88</v>
      </c>
      <c r="D2824" t="s">
        <v>88</v>
      </c>
      <c r="E2824" t="s">
        <v>957</v>
      </c>
      <c r="F2824" t="s">
        <v>88</v>
      </c>
      <c r="G2824" t="s">
        <v>88</v>
      </c>
      <c r="H2824" t="s">
        <v>92</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190</v>
      </c>
      <c r="B2825" t="s">
        <v>1620</v>
      </c>
      <c r="C2825" t="s">
        <v>88</v>
      </c>
      <c r="D2825" t="s">
        <v>88</v>
      </c>
      <c r="E2825" t="s">
        <v>732</v>
      </c>
      <c r="F2825" t="s">
        <v>88</v>
      </c>
      <c r="G2825" t="s">
        <v>88</v>
      </c>
      <c r="H2825" t="s">
        <v>92</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190</v>
      </c>
      <c r="B2826" t="s">
        <v>3138</v>
      </c>
      <c r="C2826" t="s">
        <v>88</v>
      </c>
      <c r="D2826" t="s">
        <v>88</v>
      </c>
      <c r="E2826" t="s">
        <v>732</v>
      </c>
      <c r="F2826" t="s">
        <v>88</v>
      </c>
      <c r="G2826" t="s">
        <v>88</v>
      </c>
      <c r="H2826" t="s">
        <v>92</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190</v>
      </c>
      <c r="B2827" t="s">
        <v>1619</v>
      </c>
      <c r="C2827" t="s">
        <v>88</v>
      </c>
      <c r="D2827" t="s">
        <v>88</v>
      </c>
      <c r="E2827" t="s">
        <v>732</v>
      </c>
      <c r="F2827" t="s">
        <v>88</v>
      </c>
      <c r="G2827" t="s">
        <v>88</v>
      </c>
      <c r="H2827" t="s">
        <v>92</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190</v>
      </c>
      <c r="B2828" t="s">
        <v>1622</v>
      </c>
      <c r="C2828" t="s">
        <v>88</v>
      </c>
      <c r="D2828" t="s">
        <v>88</v>
      </c>
      <c r="E2828" t="s">
        <v>732</v>
      </c>
      <c r="F2828" t="s">
        <v>88</v>
      </c>
      <c r="G2828" t="s">
        <v>88</v>
      </c>
      <c r="H2828" t="s">
        <v>92</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190</v>
      </c>
      <c r="B2829" t="s">
        <v>3139</v>
      </c>
      <c r="C2829" t="s">
        <v>88</v>
      </c>
      <c r="D2829" t="s">
        <v>88</v>
      </c>
      <c r="E2829" t="s">
        <v>732</v>
      </c>
      <c r="F2829" t="s">
        <v>88</v>
      </c>
      <c r="G2829" t="s">
        <v>88</v>
      </c>
      <c r="H2829" t="s">
        <v>92</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190</v>
      </c>
      <c r="B2830" t="s">
        <v>3140</v>
      </c>
      <c r="C2830" t="s">
        <v>88</v>
      </c>
      <c r="D2830" t="s">
        <v>88</v>
      </c>
      <c r="E2830" t="s">
        <v>732</v>
      </c>
      <c r="F2830" t="s">
        <v>88</v>
      </c>
      <c r="G2830" t="s">
        <v>88</v>
      </c>
      <c r="H2830" t="s">
        <v>92</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190</v>
      </c>
      <c r="B2831" t="s">
        <v>1072</v>
      </c>
      <c r="C2831" t="s">
        <v>88</v>
      </c>
      <c r="D2831" t="s">
        <v>88</v>
      </c>
      <c r="E2831" t="s">
        <v>1636</v>
      </c>
      <c r="F2831" t="s">
        <v>88</v>
      </c>
      <c r="G2831" t="s">
        <v>88</v>
      </c>
      <c r="H2831" t="s">
        <v>92</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190</v>
      </c>
      <c r="B2832" t="s">
        <v>701</v>
      </c>
      <c r="C2832" t="s">
        <v>88</v>
      </c>
      <c r="D2832" t="s">
        <v>88</v>
      </c>
      <c r="E2832" t="s">
        <v>1636</v>
      </c>
      <c r="F2832" t="s">
        <v>88</v>
      </c>
      <c r="G2832" t="s">
        <v>88</v>
      </c>
      <c r="H2832" t="s">
        <v>92</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190</v>
      </c>
      <c r="B2833" t="s">
        <v>703</v>
      </c>
      <c r="C2833" t="s">
        <v>88</v>
      </c>
      <c r="D2833" t="s">
        <v>88</v>
      </c>
      <c r="E2833" t="s">
        <v>1636</v>
      </c>
      <c r="F2833" t="s">
        <v>88</v>
      </c>
      <c r="G2833" t="s">
        <v>88</v>
      </c>
      <c r="H2833" t="s">
        <v>92</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190</v>
      </c>
      <c r="B2834" t="s">
        <v>705</v>
      </c>
      <c r="C2834" t="s">
        <v>88</v>
      </c>
      <c r="D2834" t="s">
        <v>88</v>
      </c>
      <c r="E2834" t="s">
        <v>1636</v>
      </c>
      <c r="F2834" t="s">
        <v>88</v>
      </c>
      <c r="G2834" t="s">
        <v>88</v>
      </c>
      <c r="H2834" t="s">
        <v>92</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190</v>
      </c>
      <c r="B2835" t="s">
        <v>706</v>
      </c>
      <c r="C2835" t="s">
        <v>88</v>
      </c>
      <c r="D2835" t="s">
        <v>88</v>
      </c>
      <c r="E2835" t="s">
        <v>1636</v>
      </c>
      <c r="F2835" t="s">
        <v>88</v>
      </c>
      <c r="G2835" t="s">
        <v>88</v>
      </c>
      <c r="H2835" t="s">
        <v>92</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190</v>
      </c>
      <c r="B2836" t="s">
        <v>1637</v>
      </c>
      <c r="C2836" t="s">
        <v>88</v>
      </c>
      <c r="D2836" t="s">
        <v>88</v>
      </c>
      <c r="E2836" t="s">
        <v>1636</v>
      </c>
      <c r="F2836" t="s">
        <v>88</v>
      </c>
      <c r="G2836" t="s">
        <v>88</v>
      </c>
      <c r="H2836" t="s">
        <v>92</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190</v>
      </c>
      <c r="B2837" t="s">
        <v>1638</v>
      </c>
      <c r="C2837" t="s">
        <v>88</v>
      </c>
      <c r="D2837" t="s">
        <v>88</v>
      </c>
      <c r="E2837" t="s">
        <v>1636</v>
      </c>
      <c r="F2837" t="s">
        <v>88</v>
      </c>
      <c r="G2837" t="s">
        <v>88</v>
      </c>
      <c r="H2837" t="s">
        <v>92</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190</v>
      </c>
      <c r="B2838" t="s">
        <v>3141</v>
      </c>
      <c r="C2838" t="s">
        <v>88</v>
      </c>
      <c r="D2838" t="s">
        <v>88</v>
      </c>
      <c r="E2838" t="s">
        <v>1640</v>
      </c>
      <c r="F2838" t="s">
        <v>88</v>
      </c>
      <c r="G2838" t="s">
        <v>88</v>
      </c>
      <c r="H2838" t="s">
        <v>92</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190</v>
      </c>
      <c r="B2839" t="s">
        <v>1645</v>
      </c>
      <c r="C2839" t="s">
        <v>88</v>
      </c>
      <c r="D2839" t="s">
        <v>88</v>
      </c>
      <c r="E2839" t="s">
        <v>1646</v>
      </c>
      <c r="F2839" t="s">
        <v>88</v>
      </c>
      <c r="G2839" t="s">
        <v>88</v>
      </c>
      <c r="H2839" t="s">
        <v>92</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190</v>
      </c>
      <c r="B2840" t="s">
        <v>3142</v>
      </c>
      <c r="C2840" t="s">
        <v>88</v>
      </c>
      <c r="D2840" t="s">
        <v>88</v>
      </c>
      <c r="E2840" t="s">
        <v>1640</v>
      </c>
      <c r="F2840" t="s">
        <v>88</v>
      </c>
      <c r="G2840" t="s">
        <v>88</v>
      </c>
      <c r="H2840" t="s">
        <v>92</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190</v>
      </c>
      <c r="B2841" t="s">
        <v>3143</v>
      </c>
      <c r="C2841" t="s">
        <v>88</v>
      </c>
      <c r="D2841" t="s">
        <v>88</v>
      </c>
      <c r="E2841" t="s">
        <v>1640</v>
      </c>
      <c r="F2841" t="s">
        <v>88</v>
      </c>
      <c r="G2841" t="s">
        <v>88</v>
      </c>
      <c r="H2841" t="s">
        <v>92</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190</v>
      </c>
      <c r="B2842" t="s">
        <v>3144</v>
      </c>
      <c r="C2842" t="s">
        <v>88</v>
      </c>
      <c r="D2842" t="s">
        <v>88</v>
      </c>
      <c r="E2842" t="s">
        <v>1640</v>
      </c>
      <c r="F2842" t="s">
        <v>88</v>
      </c>
      <c r="G2842" t="s">
        <v>88</v>
      </c>
      <c r="H2842" t="s">
        <v>92</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190</v>
      </c>
      <c r="B2843" t="s">
        <v>3145</v>
      </c>
      <c r="C2843" t="s">
        <v>88</v>
      </c>
      <c r="D2843" t="s">
        <v>88</v>
      </c>
      <c r="E2843" t="s">
        <v>1640</v>
      </c>
      <c r="F2843" t="s">
        <v>88</v>
      </c>
      <c r="G2843" t="s">
        <v>88</v>
      </c>
      <c r="H2843" t="s">
        <v>92</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190</v>
      </c>
      <c r="B2844" t="s">
        <v>3146</v>
      </c>
      <c r="C2844" t="s">
        <v>88</v>
      </c>
      <c r="D2844" t="s">
        <v>88</v>
      </c>
      <c r="E2844" t="s">
        <v>1652</v>
      </c>
      <c r="F2844" t="s">
        <v>88</v>
      </c>
      <c r="G2844" t="s">
        <v>88</v>
      </c>
      <c r="H2844" t="s">
        <v>92</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190</v>
      </c>
      <c r="B2845" t="s">
        <v>714</v>
      </c>
      <c r="C2845" t="s">
        <v>88</v>
      </c>
      <c r="D2845" t="s">
        <v>88</v>
      </c>
      <c r="E2845" t="s">
        <v>1653</v>
      </c>
      <c r="F2845" t="s">
        <v>88</v>
      </c>
      <c r="G2845" t="s">
        <v>88</v>
      </c>
      <c r="H2845" t="s">
        <v>92</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190</v>
      </c>
      <c r="B2846" t="s">
        <v>1074</v>
      </c>
      <c r="C2846" t="s">
        <v>88</v>
      </c>
      <c r="D2846" t="s">
        <v>88</v>
      </c>
      <c r="E2846" t="s">
        <v>1653</v>
      </c>
      <c r="F2846" t="s">
        <v>88</v>
      </c>
      <c r="G2846" t="s">
        <v>88</v>
      </c>
      <c r="H2846" t="s">
        <v>92</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190</v>
      </c>
      <c r="B2847" t="s">
        <v>1075</v>
      </c>
      <c r="C2847" t="s">
        <v>88</v>
      </c>
      <c r="D2847" t="s">
        <v>88</v>
      </c>
      <c r="E2847" t="s">
        <v>1653</v>
      </c>
      <c r="F2847" t="s">
        <v>88</v>
      </c>
      <c r="G2847" t="s">
        <v>88</v>
      </c>
      <c r="H2847" t="s">
        <v>92</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190</v>
      </c>
      <c r="B2848" t="s">
        <v>998</v>
      </c>
      <c r="C2848" t="s">
        <v>88</v>
      </c>
      <c r="D2848" t="s">
        <v>88</v>
      </c>
      <c r="E2848" t="s">
        <v>1653</v>
      </c>
      <c r="F2848" t="s">
        <v>88</v>
      </c>
      <c r="G2848" t="s">
        <v>88</v>
      </c>
      <c r="H2848" t="s">
        <v>92</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190</v>
      </c>
      <c r="B2849" t="s">
        <v>1073</v>
      </c>
      <c r="C2849" t="s">
        <v>88</v>
      </c>
      <c r="D2849" t="s">
        <v>88</v>
      </c>
      <c r="E2849" t="s">
        <v>1653</v>
      </c>
      <c r="F2849" t="s">
        <v>88</v>
      </c>
      <c r="G2849" t="s">
        <v>88</v>
      </c>
      <c r="H2849" t="s">
        <v>92</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190</v>
      </c>
      <c r="B2850" t="s">
        <v>1654</v>
      </c>
      <c r="C2850" t="s">
        <v>88</v>
      </c>
      <c r="D2850" t="s">
        <v>88</v>
      </c>
      <c r="E2850" t="s">
        <v>1653</v>
      </c>
      <c r="F2850" t="s">
        <v>88</v>
      </c>
      <c r="G2850" t="s">
        <v>88</v>
      </c>
      <c r="H2850" t="s">
        <v>92</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190</v>
      </c>
      <c r="B2851" t="s">
        <v>1655</v>
      </c>
      <c r="C2851" t="s">
        <v>88</v>
      </c>
      <c r="D2851" t="s">
        <v>88</v>
      </c>
      <c r="E2851" t="s">
        <v>1653</v>
      </c>
      <c r="F2851" t="s">
        <v>88</v>
      </c>
      <c r="G2851" t="s">
        <v>88</v>
      </c>
      <c r="H2851" t="s">
        <v>92</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190</v>
      </c>
      <c r="B2852" t="s">
        <v>1611</v>
      </c>
      <c r="C2852" t="s">
        <v>88</v>
      </c>
      <c r="D2852" t="s">
        <v>88</v>
      </c>
      <c r="E2852" t="s">
        <v>849</v>
      </c>
      <c r="F2852" t="s">
        <v>88</v>
      </c>
      <c r="G2852" t="s">
        <v>88</v>
      </c>
      <c r="H2852" t="s">
        <v>92</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190</v>
      </c>
      <c r="B2853" t="s">
        <v>1609</v>
      </c>
      <c r="C2853" t="s">
        <v>88</v>
      </c>
      <c r="D2853" t="s">
        <v>88</v>
      </c>
      <c r="E2853" t="s">
        <v>849</v>
      </c>
      <c r="F2853" t="s">
        <v>88</v>
      </c>
      <c r="G2853" t="s">
        <v>88</v>
      </c>
      <c r="H2853" t="s">
        <v>92</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190</v>
      </c>
      <c r="B2854" t="s">
        <v>2573</v>
      </c>
      <c r="C2854" t="s">
        <v>88</v>
      </c>
      <c r="D2854" t="s">
        <v>88</v>
      </c>
      <c r="E2854" t="s">
        <v>849</v>
      </c>
      <c r="F2854" t="s">
        <v>88</v>
      </c>
      <c r="G2854" t="s">
        <v>88</v>
      </c>
      <c r="H2854" t="s">
        <v>92</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190</v>
      </c>
      <c r="B2855" t="s">
        <v>3147</v>
      </c>
      <c r="C2855" t="s">
        <v>88</v>
      </c>
      <c r="D2855" t="s">
        <v>88</v>
      </c>
      <c r="E2855" t="s">
        <v>735</v>
      </c>
      <c r="F2855" t="s">
        <v>88</v>
      </c>
      <c r="G2855" t="s">
        <v>88</v>
      </c>
      <c r="H2855" t="s">
        <v>92</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191</v>
      </c>
      <c r="B2856" t="s">
        <v>3165</v>
      </c>
      <c r="C2856" t="s">
        <v>88</v>
      </c>
      <c r="D2856" t="s">
        <v>3166</v>
      </c>
      <c r="E2856" t="s">
        <v>2814</v>
      </c>
      <c r="F2856" t="s">
        <v>88</v>
      </c>
      <c r="G2856" t="s">
        <v>88</v>
      </c>
      <c r="H2856" t="s">
        <v>92</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191</v>
      </c>
      <c r="B2857" t="s">
        <v>3167</v>
      </c>
      <c r="C2857" t="s">
        <v>88</v>
      </c>
      <c r="D2857" t="s">
        <v>3168</v>
      </c>
      <c r="E2857" t="s">
        <v>3169</v>
      </c>
      <c r="F2857" t="s">
        <v>88</v>
      </c>
      <c r="G2857" t="s">
        <v>88</v>
      </c>
      <c r="H2857" t="s">
        <v>92</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191</v>
      </c>
      <c r="B2858" t="s">
        <v>3170</v>
      </c>
      <c r="C2858" t="s">
        <v>88</v>
      </c>
      <c r="D2858" t="s">
        <v>88</v>
      </c>
      <c r="E2858" t="s">
        <v>1714</v>
      </c>
      <c r="F2858" t="s">
        <v>88</v>
      </c>
      <c r="G2858" t="s">
        <v>88</v>
      </c>
      <c r="H2858" t="s">
        <v>92</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191</v>
      </c>
      <c r="B2859" t="s">
        <v>3171</v>
      </c>
      <c r="C2859" t="s">
        <v>88</v>
      </c>
      <c r="D2859" t="s">
        <v>88</v>
      </c>
      <c r="E2859" t="s">
        <v>3172</v>
      </c>
      <c r="F2859" t="s">
        <v>88</v>
      </c>
      <c r="G2859" t="s">
        <v>88</v>
      </c>
      <c r="H2859" t="s">
        <v>92</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191</v>
      </c>
      <c r="B2860" t="s">
        <v>3173</v>
      </c>
      <c r="C2860" t="s">
        <v>88</v>
      </c>
      <c r="D2860" t="s">
        <v>88</v>
      </c>
      <c r="E2860" t="s">
        <v>1717</v>
      </c>
      <c r="F2860" t="s">
        <v>88</v>
      </c>
      <c r="G2860" t="s">
        <v>88</v>
      </c>
      <c r="H2860" t="s">
        <v>92</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191</v>
      </c>
      <c r="B2861" t="s">
        <v>3174</v>
      </c>
      <c r="C2861" t="s">
        <v>88</v>
      </c>
      <c r="D2861" t="s">
        <v>88</v>
      </c>
      <c r="E2861" t="s">
        <v>2791</v>
      </c>
      <c r="F2861" t="s">
        <v>88</v>
      </c>
      <c r="G2861" t="s">
        <v>88</v>
      </c>
      <c r="H2861" t="s">
        <v>92</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191</v>
      </c>
      <c r="B2862" t="s">
        <v>3175</v>
      </c>
      <c r="C2862" t="s">
        <v>88</v>
      </c>
      <c r="D2862" t="s">
        <v>88</v>
      </c>
      <c r="E2862" t="s">
        <v>692</v>
      </c>
      <c r="F2862" t="s">
        <v>88</v>
      </c>
      <c r="G2862" t="s">
        <v>88</v>
      </c>
      <c r="H2862" t="s">
        <v>92</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191</v>
      </c>
      <c r="B2863" t="s">
        <v>3176</v>
      </c>
      <c r="C2863" t="s">
        <v>88</v>
      </c>
      <c r="D2863" t="s">
        <v>88</v>
      </c>
      <c r="E2863" t="s">
        <v>812</v>
      </c>
      <c r="F2863" t="s">
        <v>88</v>
      </c>
      <c r="G2863" t="s">
        <v>88</v>
      </c>
      <c r="H2863" t="s">
        <v>92</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191</v>
      </c>
      <c r="B2864" t="s">
        <v>3177</v>
      </c>
      <c r="C2864" t="s">
        <v>88</v>
      </c>
      <c r="D2864" t="s">
        <v>3178</v>
      </c>
      <c r="E2864" t="s">
        <v>3179</v>
      </c>
      <c r="F2864" t="s">
        <v>88</v>
      </c>
      <c r="G2864" t="s">
        <v>88</v>
      </c>
      <c r="H2864" t="s">
        <v>92</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191</v>
      </c>
      <c r="B2865" t="s">
        <v>3180</v>
      </c>
      <c r="C2865" t="s">
        <v>88</v>
      </c>
      <c r="D2865" t="s">
        <v>3178</v>
      </c>
      <c r="E2865" t="s">
        <v>3181</v>
      </c>
      <c r="F2865" t="s">
        <v>88</v>
      </c>
      <c r="G2865" t="s">
        <v>88</v>
      </c>
      <c r="H2865" t="s">
        <v>92</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191</v>
      </c>
      <c r="B2866" t="s">
        <v>1050</v>
      </c>
      <c r="C2866" t="s">
        <v>88</v>
      </c>
      <c r="D2866" t="s">
        <v>88</v>
      </c>
      <c r="E2866" t="s">
        <v>812</v>
      </c>
      <c r="F2866" t="s">
        <v>88</v>
      </c>
      <c r="G2866" t="s">
        <v>88</v>
      </c>
      <c r="H2866" t="s">
        <v>92</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191</v>
      </c>
      <c r="B2867" t="s">
        <v>1154</v>
      </c>
      <c r="C2867" t="s">
        <v>88</v>
      </c>
      <c r="D2867" t="s">
        <v>88</v>
      </c>
      <c r="E2867" t="s">
        <v>692</v>
      </c>
      <c r="F2867" t="s">
        <v>88</v>
      </c>
      <c r="G2867" t="s">
        <v>88</v>
      </c>
      <c r="H2867" t="s">
        <v>92</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191</v>
      </c>
      <c r="B2868" t="s">
        <v>1046</v>
      </c>
      <c r="C2868" t="s">
        <v>88</v>
      </c>
      <c r="D2868" t="s">
        <v>88</v>
      </c>
      <c r="E2868" t="s">
        <v>812</v>
      </c>
      <c r="F2868" t="s">
        <v>88</v>
      </c>
      <c r="G2868" t="s">
        <v>88</v>
      </c>
      <c r="H2868" t="s">
        <v>92</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191</v>
      </c>
      <c r="B2869" t="s">
        <v>3182</v>
      </c>
      <c r="C2869" t="s">
        <v>88</v>
      </c>
      <c r="D2869" t="s">
        <v>88</v>
      </c>
      <c r="E2869" t="s">
        <v>692</v>
      </c>
      <c r="F2869" t="s">
        <v>88</v>
      </c>
      <c r="G2869" t="s">
        <v>88</v>
      </c>
      <c r="H2869" t="s">
        <v>92</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191</v>
      </c>
      <c r="B2870" t="s">
        <v>1712</v>
      </c>
      <c r="C2870" t="s">
        <v>88</v>
      </c>
      <c r="D2870" t="s">
        <v>88</v>
      </c>
      <c r="E2870" t="s">
        <v>814</v>
      </c>
      <c r="F2870" t="s">
        <v>88</v>
      </c>
      <c r="G2870" t="s">
        <v>88</v>
      </c>
      <c r="H2870" t="s">
        <v>92</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191</v>
      </c>
      <c r="B2871" t="s">
        <v>3183</v>
      </c>
      <c r="C2871" t="s">
        <v>88</v>
      </c>
      <c r="D2871" t="s">
        <v>88</v>
      </c>
      <c r="E2871" t="s">
        <v>2686</v>
      </c>
      <c r="F2871" t="s">
        <v>88</v>
      </c>
      <c r="G2871" t="s">
        <v>88</v>
      </c>
      <c r="H2871" t="s">
        <v>92</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191</v>
      </c>
      <c r="B2872" t="s">
        <v>1053</v>
      </c>
      <c r="C2872" t="s">
        <v>88</v>
      </c>
      <c r="D2872" t="s">
        <v>88</v>
      </c>
      <c r="E2872" t="s">
        <v>1137</v>
      </c>
      <c r="F2872" t="s">
        <v>88</v>
      </c>
      <c r="G2872" t="s">
        <v>88</v>
      </c>
      <c r="H2872" t="s">
        <v>92</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191</v>
      </c>
      <c r="B2873" t="s">
        <v>1157</v>
      </c>
      <c r="C2873" t="s">
        <v>88</v>
      </c>
      <c r="D2873" t="s">
        <v>88</v>
      </c>
      <c r="E2873" t="s">
        <v>3169</v>
      </c>
      <c r="F2873" t="s">
        <v>88</v>
      </c>
      <c r="G2873" t="s">
        <v>88</v>
      </c>
      <c r="H2873" t="s">
        <v>92</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191</v>
      </c>
      <c r="B2874" t="s">
        <v>3184</v>
      </c>
      <c r="C2874" t="s">
        <v>88</v>
      </c>
      <c r="D2874" t="s">
        <v>88</v>
      </c>
      <c r="E2874" t="s">
        <v>1717</v>
      </c>
      <c r="F2874" t="s">
        <v>88</v>
      </c>
      <c r="G2874" t="s">
        <v>88</v>
      </c>
      <c r="H2874" t="s">
        <v>92</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191</v>
      </c>
      <c r="B2875" t="s">
        <v>3185</v>
      </c>
      <c r="C2875" t="s">
        <v>88</v>
      </c>
      <c r="D2875" t="s">
        <v>88</v>
      </c>
      <c r="E2875" t="s">
        <v>2791</v>
      </c>
      <c r="F2875" t="s">
        <v>88</v>
      </c>
      <c r="G2875" t="s">
        <v>88</v>
      </c>
      <c r="H2875" t="s">
        <v>92</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191</v>
      </c>
      <c r="B2876" t="s">
        <v>3186</v>
      </c>
      <c r="C2876" t="s">
        <v>88</v>
      </c>
      <c r="D2876" t="s">
        <v>88</v>
      </c>
      <c r="E2876" t="s">
        <v>3169</v>
      </c>
      <c r="F2876" t="s">
        <v>88</v>
      </c>
      <c r="G2876" t="s">
        <v>88</v>
      </c>
      <c r="H2876" t="s">
        <v>92</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191</v>
      </c>
      <c r="B2877" t="s">
        <v>3187</v>
      </c>
      <c r="C2877" t="s">
        <v>88</v>
      </c>
      <c r="D2877" t="s">
        <v>88</v>
      </c>
      <c r="E2877" t="s">
        <v>1137</v>
      </c>
      <c r="F2877" t="s">
        <v>88</v>
      </c>
      <c r="G2877" t="s">
        <v>88</v>
      </c>
      <c r="H2877" t="s">
        <v>92</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191</v>
      </c>
      <c r="B2878" t="s">
        <v>3188</v>
      </c>
      <c r="C2878" t="s">
        <v>88</v>
      </c>
      <c r="D2878" t="s">
        <v>88</v>
      </c>
      <c r="E2878" t="s">
        <v>3169</v>
      </c>
      <c r="F2878" t="s">
        <v>88</v>
      </c>
      <c r="G2878" t="s">
        <v>88</v>
      </c>
      <c r="H2878" t="s">
        <v>92</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191</v>
      </c>
      <c r="B2879" t="s">
        <v>1165</v>
      </c>
      <c r="C2879" t="s">
        <v>88</v>
      </c>
      <c r="D2879" t="s">
        <v>88</v>
      </c>
      <c r="E2879" t="s">
        <v>1137</v>
      </c>
      <c r="F2879" t="s">
        <v>88</v>
      </c>
      <c r="G2879" t="s">
        <v>88</v>
      </c>
      <c r="H2879" t="s">
        <v>92</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191</v>
      </c>
      <c r="B2880" t="s">
        <v>1078</v>
      </c>
      <c r="C2880" t="s">
        <v>88</v>
      </c>
      <c r="D2880" t="s">
        <v>88</v>
      </c>
      <c r="E2880" t="s">
        <v>3169</v>
      </c>
      <c r="F2880" t="s">
        <v>88</v>
      </c>
      <c r="G2880" t="s">
        <v>88</v>
      </c>
      <c r="H2880" t="s">
        <v>92</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191</v>
      </c>
      <c r="B2881" t="s">
        <v>3189</v>
      </c>
      <c r="C2881" t="s">
        <v>88</v>
      </c>
      <c r="D2881" t="s">
        <v>88</v>
      </c>
      <c r="E2881" t="s">
        <v>2686</v>
      </c>
      <c r="F2881" t="s">
        <v>88</v>
      </c>
      <c r="G2881" t="s">
        <v>88</v>
      </c>
      <c r="H2881" t="s">
        <v>92</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191</v>
      </c>
      <c r="B2882" t="s">
        <v>1092</v>
      </c>
      <c r="C2882" t="s">
        <v>88</v>
      </c>
      <c r="D2882" t="s">
        <v>88</v>
      </c>
      <c r="E2882" t="s">
        <v>844</v>
      </c>
      <c r="F2882" t="s">
        <v>88</v>
      </c>
      <c r="G2882" t="s">
        <v>88</v>
      </c>
      <c r="H2882" t="s">
        <v>92</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191</v>
      </c>
      <c r="B2883" t="s">
        <v>3190</v>
      </c>
      <c r="C2883" t="s">
        <v>88</v>
      </c>
      <c r="D2883" t="s">
        <v>88</v>
      </c>
      <c r="E2883" t="s">
        <v>814</v>
      </c>
      <c r="F2883" t="s">
        <v>88</v>
      </c>
      <c r="G2883" t="s">
        <v>88</v>
      </c>
      <c r="H2883" t="s">
        <v>92</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191</v>
      </c>
      <c r="B2884" t="s">
        <v>3191</v>
      </c>
      <c r="C2884" t="s">
        <v>88</v>
      </c>
      <c r="D2884" t="s">
        <v>88</v>
      </c>
      <c r="E2884" t="s">
        <v>1153</v>
      </c>
      <c r="F2884" t="s">
        <v>88</v>
      </c>
      <c r="G2884" t="s">
        <v>88</v>
      </c>
      <c r="H2884" t="s">
        <v>92</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191</v>
      </c>
      <c r="B2885" t="s">
        <v>623</v>
      </c>
      <c r="C2885" t="s">
        <v>88</v>
      </c>
      <c r="D2885" t="s">
        <v>88</v>
      </c>
      <c r="E2885" t="s">
        <v>850</v>
      </c>
      <c r="F2885" t="s">
        <v>88</v>
      </c>
      <c r="G2885" t="s">
        <v>88</v>
      </c>
      <c r="H2885" t="s">
        <v>92</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191</v>
      </c>
      <c r="B2886" t="s">
        <v>733</v>
      </c>
      <c r="C2886" t="s">
        <v>88</v>
      </c>
      <c r="D2886" t="s">
        <v>88</v>
      </c>
      <c r="E2886" t="s">
        <v>734</v>
      </c>
      <c r="F2886" t="s">
        <v>88</v>
      </c>
      <c r="G2886" t="s">
        <v>88</v>
      </c>
      <c r="H2886" t="s">
        <v>92</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191</v>
      </c>
      <c r="B2887" t="s">
        <v>612</v>
      </c>
      <c r="C2887" t="s">
        <v>88</v>
      </c>
      <c r="D2887" t="s">
        <v>88</v>
      </c>
      <c r="E2887" t="s">
        <v>732</v>
      </c>
      <c r="F2887" t="s">
        <v>88</v>
      </c>
      <c r="G2887" t="s">
        <v>88</v>
      </c>
      <c r="H2887" t="s">
        <v>92</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191</v>
      </c>
      <c r="B2888" t="s">
        <v>622</v>
      </c>
      <c r="C2888" t="s">
        <v>88</v>
      </c>
      <c r="D2888" t="s">
        <v>88</v>
      </c>
      <c r="E2888" t="s">
        <v>711</v>
      </c>
      <c r="F2888" t="s">
        <v>88</v>
      </c>
      <c r="G2888" t="s">
        <v>88</v>
      </c>
      <c r="H2888" t="s">
        <v>92</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191</v>
      </c>
      <c r="B2889" t="s">
        <v>620</v>
      </c>
      <c r="C2889" t="s">
        <v>88</v>
      </c>
      <c r="D2889" t="s">
        <v>88</v>
      </c>
      <c r="E2889" t="s">
        <v>711</v>
      </c>
      <c r="F2889" t="s">
        <v>88</v>
      </c>
      <c r="G2889" t="s">
        <v>88</v>
      </c>
      <c r="H2889" t="s">
        <v>92</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191</v>
      </c>
      <c r="B2890" t="s">
        <v>625</v>
      </c>
      <c r="C2890" t="s">
        <v>88</v>
      </c>
      <c r="D2890" t="s">
        <v>88</v>
      </c>
      <c r="E2890" t="s">
        <v>626</v>
      </c>
      <c r="F2890" t="s">
        <v>88</v>
      </c>
      <c r="G2890" t="s">
        <v>88</v>
      </c>
      <c r="H2890" t="s">
        <v>92</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192</v>
      </c>
      <c r="B2891" t="s">
        <v>736</v>
      </c>
      <c r="C2891" t="s">
        <v>88</v>
      </c>
      <c r="D2891" t="s">
        <v>3192</v>
      </c>
      <c r="E2891" t="s">
        <v>780</v>
      </c>
      <c r="F2891" t="s">
        <v>88</v>
      </c>
      <c r="G2891" t="s">
        <v>88</v>
      </c>
      <c r="H2891" t="s">
        <v>92</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192</v>
      </c>
      <c r="B2892" t="s">
        <v>739</v>
      </c>
      <c r="C2892" t="s">
        <v>88</v>
      </c>
      <c r="D2892" t="s">
        <v>3192</v>
      </c>
      <c r="E2892" t="s">
        <v>2166</v>
      </c>
      <c r="F2892" t="s">
        <v>88</v>
      </c>
      <c r="G2892" t="s">
        <v>88</v>
      </c>
      <c r="H2892" t="s">
        <v>92</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192</v>
      </c>
      <c r="B2893" t="s">
        <v>1234</v>
      </c>
      <c r="C2893" t="s">
        <v>88</v>
      </c>
      <c r="D2893" t="s">
        <v>3193</v>
      </c>
      <c r="E2893" t="s">
        <v>3194</v>
      </c>
      <c r="F2893" t="s">
        <v>88</v>
      </c>
      <c r="G2893" t="s">
        <v>88</v>
      </c>
      <c r="H2893" t="s">
        <v>92</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192</v>
      </c>
      <c r="B2894" t="s">
        <v>876</v>
      </c>
      <c r="C2894" t="s">
        <v>88</v>
      </c>
      <c r="D2894" t="s">
        <v>3195</v>
      </c>
      <c r="E2894" t="s">
        <v>655</v>
      </c>
      <c r="F2894" t="s">
        <v>88</v>
      </c>
      <c r="G2894" t="s">
        <v>88</v>
      </c>
      <c r="H2894" t="s">
        <v>92</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192</v>
      </c>
      <c r="B2895" t="s">
        <v>1237</v>
      </c>
      <c r="C2895" t="s">
        <v>88</v>
      </c>
      <c r="D2895" t="s">
        <v>3193</v>
      </c>
      <c r="E2895" t="s">
        <v>3194</v>
      </c>
      <c r="F2895" t="s">
        <v>88</v>
      </c>
      <c r="G2895" t="s">
        <v>88</v>
      </c>
      <c r="H2895" t="s">
        <v>92</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192</v>
      </c>
      <c r="B2896" t="s">
        <v>876</v>
      </c>
      <c r="C2896" t="s">
        <v>88</v>
      </c>
      <c r="D2896" t="s">
        <v>3195</v>
      </c>
      <c r="E2896" t="s">
        <v>655</v>
      </c>
      <c r="F2896" t="s">
        <v>88</v>
      </c>
      <c r="G2896" t="s">
        <v>88</v>
      </c>
      <c r="H2896" t="s">
        <v>92</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192</v>
      </c>
      <c r="B2897" t="s">
        <v>3196</v>
      </c>
      <c r="C2897" t="s">
        <v>88</v>
      </c>
      <c r="D2897" t="s">
        <v>3195</v>
      </c>
      <c r="E2897" t="s">
        <v>2445</v>
      </c>
      <c r="F2897" t="s">
        <v>88</v>
      </c>
      <c r="G2897" t="s">
        <v>88</v>
      </c>
      <c r="H2897" t="s">
        <v>92</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192</v>
      </c>
      <c r="B2898" t="s">
        <v>736</v>
      </c>
      <c r="C2898" t="s">
        <v>88</v>
      </c>
      <c r="D2898" t="s">
        <v>3192</v>
      </c>
      <c r="E2898" t="s">
        <v>780</v>
      </c>
      <c r="F2898" t="s">
        <v>88</v>
      </c>
      <c r="G2898" t="s">
        <v>88</v>
      </c>
      <c r="H2898" t="s">
        <v>92</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192</v>
      </c>
      <c r="B2899" t="s">
        <v>3197</v>
      </c>
      <c r="C2899" t="s">
        <v>88</v>
      </c>
      <c r="D2899" t="s">
        <v>3192</v>
      </c>
      <c r="E2899" t="s">
        <v>3198</v>
      </c>
      <c r="F2899" t="s">
        <v>88</v>
      </c>
      <c r="G2899" t="s">
        <v>88</v>
      </c>
      <c r="H2899" t="s">
        <v>92</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192</v>
      </c>
      <c r="B2900" t="s">
        <v>739</v>
      </c>
      <c r="C2900" t="s">
        <v>88</v>
      </c>
      <c r="D2900" t="s">
        <v>3192</v>
      </c>
      <c r="E2900" t="s">
        <v>2166</v>
      </c>
      <c r="F2900" t="s">
        <v>88</v>
      </c>
      <c r="G2900" t="s">
        <v>88</v>
      </c>
      <c r="H2900" t="s">
        <v>92</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192</v>
      </c>
      <c r="B2901" t="s">
        <v>3199</v>
      </c>
      <c r="C2901" t="s">
        <v>88</v>
      </c>
      <c r="D2901" t="s">
        <v>88</v>
      </c>
      <c r="E2901" t="s">
        <v>2753</v>
      </c>
      <c r="F2901" t="s">
        <v>88</v>
      </c>
      <c r="G2901" t="s">
        <v>88</v>
      </c>
      <c r="H2901" t="s">
        <v>92</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192</v>
      </c>
      <c r="B2902" t="s">
        <v>701</v>
      </c>
      <c r="C2902" t="s">
        <v>88</v>
      </c>
      <c r="D2902" t="s">
        <v>88</v>
      </c>
      <c r="E2902" t="s">
        <v>734</v>
      </c>
      <c r="F2902" t="s">
        <v>88</v>
      </c>
      <c r="G2902" t="s">
        <v>88</v>
      </c>
      <c r="H2902" t="s">
        <v>92</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192</v>
      </c>
      <c r="B2903" t="s">
        <v>705</v>
      </c>
      <c r="C2903" t="s">
        <v>88</v>
      </c>
      <c r="D2903" t="s">
        <v>88</v>
      </c>
      <c r="E2903" t="s">
        <v>734</v>
      </c>
      <c r="F2903" t="s">
        <v>88</v>
      </c>
      <c r="G2903" t="s">
        <v>88</v>
      </c>
      <c r="H2903" t="s">
        <v>92</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192</v>
      </c>
      <c r="B2904" t="s">
        <v>706</v>
      </c>
      <c r="C2904" t="s">
        <v>88</v>
      </c>
      <c r="D2904" t="s">
        <v>88</v>
      </c>
      <c r="E2904" t="s">
        <v>734</v>
      </c>
      <c r="F2904" t="s">
        <v>88</v>
      </c>
      <c r="G2904" t="s">
        <v>88</v>
      </c>
      <c r="H2904" t="s">
        <v>92</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192</v>
      </c>
      <c r="B2905" t="s">
        <v>707</v>
      </c>
      <c r="C2905" t="s">
        <v>88</v>
      </c>
      <c r="D2905" t="s">
        <v>88</v>
      </c>
      <c r="E2905" t="s">
        <v>3200</v>
      </c>
      <c r="F2905" t="s">
        <v>88</v>
      </c>
      <c r="G2905" t="s">
        <v>88</v>
      </c>
      <c r="H2905" t="s">
        <v>92</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192</v>
      </c>
      <c r="B2906" t="s">
        <v>708</v>
      </c>
      <c r="C2906" t="s">
        <v>88</v>
      </c>
      <c r="D2906" t="s">
        <v>88</v>
      </c>
      <c r="E2906" t="s">
        <v>734</v>
      </c>
      <c r="F2906" t="s">
        <v>88</v>
      </c>
      <c r="G2906" t="s">
        <v>88</v>
      </c>
      <c r="H2906" t="s">
        <v>92</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192</v>
      </c>
      <c r="B2907" t="s">
        <v>846</v>
      </c>
      <c r="C2907" t="s">
        <v>88</v>
      </c>
      <c r="D2907" t="s">
        <v>3201</v>
      </c>
      <c r="E2907" t="s">
        <v>1978</v>
      </c>
      <c r="F2907" t="s">
        <v>88</v>
      </c>
      <c r="G2907" t="s">
        <v>88</v>
      </c>
      <c r="H2907" t="s">
        <v>92</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192</v>
      </c>
      <c r="B2908" t="s">
        <v>618</v>
      </c>
      <c r="C2908" t="s">
        <v>88</v>
      </c>
      <c r="D2908" t="s">
        <v>88</v>
      </c>
      <c r="E2908" t="s">
        <v>711</v>
      </c>
      <c r="F2908" t="s">
        <v>88</v>
      </c>
      <c r="G2908" t="s">
        <v>88</v>
      </c>
      <c r="H2908" t="s">
        <v>92</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192</v>
      </c>
      <c r="B2909" t="s">
        <v>620</v>
      </c>
      <c r="C2909" t="s">
        <v>88</v>
      </c>
      <c r="D2909" t="s">
        <v>88</v>
      </c>
      <c r="E2909" t="s">
        <v>711</v>
      </c>
      <c r="F2909" t="s">
        <v>88</v>
      </c>
      <c r="G2909" t="s">
        <v>88</v>
      </c>
      <c r="H2909" t="s">
        <v>92</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192</v>
      </c>
      <c r="B2910" t="s">
        <v>622</v>
      </c>
      <c r="C2910" t="s">
        <v>88</v>
      </c>
      <c r="D2910" t="s">
        <v>88</v>
      </c>
      <c r="E2910" t="s">
        <v>711</v>
      </c>
      <c r="F2910" t="s">
        <v>88</v>
      </c>
      <c r="G2910" t="s">
        <v>88</v>
      </c>
      <c r="H2910" t="s">
        <v>92</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192</v>
      </c>
      <c r="B2911" t="s">
        <v>623</v>
      </c>
      <c r="C2911" t="s">
        <v>88</v>
      </c>
      <c r="D2911" t="s">
        <v>88</v>
      </c>
      <c r="E2911" t="s">
        <v>2753</v>
      </c>
      <c r="F2911" t="s">
        <v>88</v>
      </c>
      <c r="G2911" t="s">
        <v>88</v>
      </c>
      <c r="H2911" t="s">
        <v>92</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192</v>
      </c>
      <c r="B2912" t="s">
        <v>1075</v>
      </c>
      <c r="C2912" t="s">
        <v>88</v>
      </c>
      <c r="D2912" t="s">
        <v>88</v>
      </c>
      <c r="E2912" t="s">
        <v>2662</v>
      </c>
      <c r="F2912" t="s">
        <v>88</v>
      </c>
      <c r="G2912" t="s">
        <v>88</v>
      </c>
      <c r="H2912" t="s">
        <v>92</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192</v>
      </c>
      <c r="B2913" t="s">
        <v>714</v>
      </c>
      <c r="C2913" t="s">
        <v>88</v>
      </c>
      <c r="D2913" t="s">
        <v>88</v>
      </c>
      <c r="E2913" t="s">
        <v>2662</v>
      </c>
      <c r="F2913" t="s">
        <v>88</v>
      </c>
      <c r="G2913" t="s">
        <v>88</v>
      </c>
      <c r="H2913" t="s">
        <v>92</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192</v>
      </c>
      <c r="B2914" t="s">
        <v>998</v>
      </c>
      <c r="C2914" t="s">
        <v>88</v>
      </c>
      <c r="D2914" t="s">
        <v>88</v>
      </c>
      <c r="E2914" t="s">
        <v>2662</v>
      </c>
      <c r="F2914" t="s">
        <v>88</v>
      </c>
      <c r="G2914" t="s">
        <v>88</v>
      </c>
      <c r="H2914" t="s">
        <v>92</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192</v>
      </c>
      <c r="B2915" t="s">
        <v>1073</v>
      </c>
      <c r="C2915" t="s">
        <v>88</v>
      </c>
      <c r="D2915" t="s">
        <v>88</v>
      </c>
      <c r="E2915" t="s">
        <v>2662</v>
      </c>
      <c r="F2915" t="s">
        <v>88</v>
      </c>
      <c r="G2915" t="s">
        <v>88</v>
      </c>
      <c r="H2915" t="s">
        <v>92</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192</v>
      </c>
      <c r="B2916" t="s">
        <v>1237</v>
      </c>
      <c r="C2916" t="s">
        <v>88</v>
      </c>
      <c r="D2916" t="s">
        <v>3193</v>
      </c>
      <c r="E2916" t="s">
        <v>3194</v>
      </c>
      <c r="F2916" t="s">
        <v>88</v>
      </c>
      <c r="G2916" t="s">
        <v>88</v>
      </c>
      <c r="H2916" t="s">
        <v>92</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192</v>
      </c>
      <c r="B2917" t="s">
        <v>1234</v>
      </c>
      <c r="C2917" t="s">
        <v>88</v>
      </c>
      <c r="D2917" t="s">
        <v>3193</v>
      </c>
      <c r="E2917" t="s">
        <v>3194</v>
      </c>
      <c r="F2917" t="s">
        <v>88</v>
      </c>
      <c r="G2917" t="s">
        <v>88</v>
      </c>
      <c r="H2917" t="s">
        <v>92</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192</v>
      </c>
      <c r="B2918" t="s">
        <v>1238</v>
      </c>
      <c r="C2918" t="s">
        <v>88</v>
      </c>
      <c r="D2918" t="s">
        <v>3193</v>
      </c>
      <c r="E2918" t="s">
        <v>3194</v>
      </c>
      <c r="F2918" t="s">
        <v>88</v>
      </c>
      <c r="G2918" t="s">
        <v>88</v>
      </c>
      <c r="H2918" t="s">
        <v>92</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192</v>
      </c>
      <c r="B2919" t="s">
        <v>2417</v>
      </c>
      <c r="C2919" t="s">
        <v>88</v>
      </c>
      <c r="D2919" t="s">
        <v>3193</v>
      </c>
      <c r="E2919" t="s">
        <v>3194</v>
      </c>
      <c r="F2919" t="s">
        <v>88</v>
      </c>
      <c r="G2919" t="s">
        <v>88</v>
      </c>
      <c r="H2919" t="s">
        <v>92</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192</v>
      </c>
      <c r="B2920" t="s">
        <v>625</v>
      </c>
      <c r="C2920" t="s">
        <v>88</v>
      </c>
      <c r="D2920" t="s">
        <v>88</v>
      </c>
      <c r="E2920" t="s">
        <v>626</v>
      </c>
      <c r="F2920" t="s">
        <v>88</v>
      </c>
      <c r="G2920" t="s">
        <v>88</v>
      </c>
      <c r="H2920" t="s">
        <v>92</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193</v>
      </c>
      <c r="B2921" t="s">
        <v>736</v>
      </c>
      <c r="C2921" t="s">
        <v>88</v>
      </c>
      <c r="D2921" t="s">
        <v>3202</v>
      </c>
      <c r="E2921" t="s">
        <v>780</v>
      </c>
      <c r="F2921" t="s">
        <v>88</v>
      </c>
      <c r="G2921" t="s">
        <v>88</v>
      </c>
      <c r="H2921" t="s">
        <v>92</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193</v>
      </c>
      <c r="B2922" t="s">
        <v>3203</v>
      </c>
      <c r="C2922" t="s">
        <v>88</v>
      </c>
      <c r="D2922" t="s">
        <v>3202</v>
      </c>
      <c r="E2922" t="s">
        <v>715</v>
      </c>
      <c r="F2922" t="s">
        <v>88</v>
      </c>
      <c r="G2922" t="s">
        <v>88</v>
      </c>
      <c r="H2922" t="s">
        <v>92</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193</v>
      </c>
      <c r="B2923" t="s">
        <v>876</v>
      </c>
      <c r="C2923" t="s">
        <v>88</v>
      </c>
      <c r="D2923" t="s">
        <v>3204</v>
      </c>
      <c r="E2923" t="s">
        <v>655</v>
      </c>
      <c r="F2923" t="s">
        <v>88</v>
      </c>
      <c r="G2923" t="s">
        <v>88</v>
      </c>
      <c r="H2923" t="s">
        <v>92</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193</v>
      </c>
      <c r="B2924" t="s">
        <v>779</v>
      </c>
      <c r="C2924" t="s">
        <v>88</v>
      </c>
      <c r="D2924" t="s">
        <v>3202</v>
      </c>
      <c r="E2924" t="s">
        <v>780</v>
      </c>
      <c r="F2924" t="s">
        <v>88</v>
      </c>
      <c r="G2924" t="s">
        <v>88</v>
      </c>
      <c r="H2924" t="s">
        <v>92</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193</v>
      </c>
      <c r="B2925" t="s">
        <v>764</v>
      </c>
      <c r="C2925" t="s">
        <v>88</v>
      </c>
      <c r="D2925" t="s">
        <v>3204</v>
      </c>
      <c r="E2925" t="s">
        <v>700</v>
      </c>
      <c r="F2925" t="s">
        <v>88</v>
      </c>
      <c r="G2925" t="s">
        <v>88</v>
      </c>
      <c r="H2925" t="s">
        <v>92</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193</v>
      </c>
      <c r="B2926" t="s">
        <v>740</v>
      </c>
      <c r="C2926" t="s">
        <v>88</v>
      </c>
      <c r="D2926" t="s">
        <v>3204</v>
      </c>
      <c r="E2926" t="s">
        <v>700</v>
      </c>
      <c r="F2926" t="s">
        <v>88</v>
      </c>
      <c r="G2926" t="s">
        <v>88</v>
      </c>
      <c r="H2926" t="s">
        <v>92</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193</v>
      </c>
      <c r="B2927" t="s">
        <v>876</v>
      </c>
      <c r="C2927" t="s">
        <v>88</v>
      </c>
      <c r="D2927" t="s">
        <v>3204</v>
      </c>
      <c r="E2927" t="s">
        <v>655</v>
      </c>
      <c r="F2927" t="s">
        <v>88</v>
      </c>
      <c r="G2927" t="s">
        <v>88</v>
      </c>
      <c r="H2927" t="s">
        <v>92</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193</v>
      </c>
      <c r="B2928" t="s">
        <v>768</v>
      </c>
      <c r="C2928" t="s">
        <v>88</v>
      </c>
      <c r="D2928" t="s">
        <v>3204</v>
      </c>
      <c r="E2928" t="s">
        <v>762</v>
      </c>
      <c r="F2928" t="s">
        <v>88</v>
      </c>
      <c r="G2928" t="s">
        <v>88</v>
      </c>
      <c r="H2928" t="s">
        <v>92</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193</v>
      </c>
      <c r="B2929" t="s">
        <v>881</v>
      </c>
      <c r="C2929" t="s">
        <v>88</v>
      </c>
      <c r="D2929" t="s">
        <v>3204</v>
      </c>
      <c r="E2929" t="s">
        <v>762</v>
      </c>
      <c r="F2929" t="s">
        <v>88</v>
      </c>
      <c r="G2929" t="s">
        <v>88</v>
      </c>
      <c r="H2929" t="s">
        <v>92</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193</v>
      </c>
      <c r="B2930" t="s">
        <v>764</v>
      </c>
      <c r="C2930" t="s">
        <v>88</v>
      </c>
      <c r="D2930" t="s">
        <v>3204</v>
      </c>
      <c r="E2930" t="s">
        <v>700</v>
      </c>
      <c r="F2930" t="s">
        <v>88</v>
      </c>
      <c r="G2930" t="s">
        <v>88</v>
      </c>
      <c r="H2930" t="s">
        <v>92</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193</v>
      </c>
      <c r="B2931" t="s">
        <v>743</v>
      </c>
      <c r="C2931" t="s">
        <v>88</v>
      </c>
      <c r="D2931" t="s">
        <v>3204</v>
      </c>
      <c r="E2931" t="s">
        <v>700</v>
      </c>
      <c r="F2931" t="s">
        <v>88</v>
      </c>
      <c r="G2931" t="s">
        <v>88</v>
      </c>
      <c r="H2931" t="s">
        <v>92</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193</v>
      </c>
      <c r="B2932" t="s">
        <v>1678</v>
      </c>
      <c r="C2932" t="s">
        <v>88</v>
      </c>
      <c r="D2932" t="s">
        <v>3204</v>
      </c>
      <c r="E2932" t="s">
        <v>655</v>
      </c>
      <c r="F2932" t="s">
        <v>88</v>
      </c>
      <c r="G2932" t="s">
        <v>88</v>
      </c>
      <c r="H2932" t="s">
        <v>92</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193</v>
      </c>
      <c r="B2933" t="s">
        <v>736</v>
      </c>
      <c r="C2933" t="s">
        <v>88</v>
      </c>
      <c r="D2933" t="s">
        <v>3202</v>
      </c>
      <c r="E2933" t="s">
        <v>780</v>
      </c>
      <c r="F2933" t="s">
        <v>88</v>
      </c>
      <c r="G2933" t="s">
        <v>88</v>
      </c>
      <c r="H2933" t="s">
        <v>92</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193</v>
      </c>
      <c r="B2934" t="s">
        <v>2012</v>
      </c>
      <c r="C2934" t="s">
        <v>88</v>
      </c>
      <c r="D2934" t="s">
        <v>3202</v>
      </c>
      <c r="E2934" t="s">
        <v>780</v>
      </c>
      <c r="F2934" t="s">
        <v>88</v>
      </c>
      <c r="G2934" t="s">
        <v>88</v>
      </c>
      <c r="H2934" t="s">
        <v>92</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193</v>
      </c>
      <c r="B2935" t="s">
        <v>779</v>
      </c>
      <c r="C2935" t="s">
        <v>88</v>
      </c>
      <c r="D2935" t="s">
        <v>3202</v>
      </c>
      <c r="E2935" t="s">
        <v>780</v>
      </c>
      <c r="F2935" t="s">
        <v>88</v>
      </c>
      <c r="G2935" t="s">
        <v>88</v>
      </c>
      <c r="H2935" t="s">
        <v>92</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193</v>
      </c>
      <c r="B2936" t="s">
        <v>3203</v>
      </c>
      <c r="C2936" t="s">
        <v>88</v>
      </c>
      <c r="D2936" t="s">
        <v>3202</v>
      </c>
      <c r="E2936" t="s">
        <v>715</v>
      </c>
      <c r="F2936" t="s">
        <v>88</v>
      </c>
      <c r="G2936" t="s">
        <v>88</v>
      </c>
      <c r="H2936" t="s">
        <v>92</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193</v>
      </c>
      <c r="B2937" t="s">
        <v>777</v>
      </c>
      <c r="C2937" t="s">
        <v>88</v>
      </c>
      <c r="D2937" t="s">
        <v>3202</v>
      </c>
      <c r="E2937" t="s">
        <v>780</v>
      </c>
      <c r="F2937" t="s">
        <v>88</v>
      </c>
      <c r="G2937" t="s">
        <v>88</v>
      </c>
      <c r="H2937" t="s">
        <v>92</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193</v>
      </c>
      <c r="B2938" t="s">
        <v>948</v>
      </c>
      <c r="C2938" t="s">
        <v>88</v>
      </c>
      <c r="D2938" t="s">
        <v>88</v>
      </c>
      <c r="E2938" t="s">
        <v>711</v>
      </c>
      <c r="F2938" t="s">
        <v>88</v>
      </c>
      <c r="G2938" t="s">
        <v>88</v>
      </c>
      <c r="H2938" t="s">
        <v>92</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193</v>
      </c>
      <c r="B2939" t="s">
        <v>3205</v>
      </c>
      <c r="C2939" t="s">
        <v>88</v>
      </c>
      <c r="D2939" t="s">
        <v>88</v>
      </c>
      <c r="E2939" t="s">
        <v>732</v>
      </c>
      <c r="F2939" t="s">
        <v>88</v>
      </c>
      <c r="G2939" t="s">
        <v>88</v>
      </c>
      <c r="H2939" t="s">
        <v>92</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193</v>
      </c>
      <c r="B2940" t="s">
        <v>701</v>
      </c>
      <c r="C2940" t="s">
        <v>88</v>
      </c>
      <c r="D2940" t="s">
        <v>88</v>
      </c>
      <c r="E2940" t="s">
        <v>732</v>
      </c>
      <c r="F2940" t="s">
        <v>88</v>
      </c>
      <c r="G2940" t="s">
        <v>88</v>
      </c>
      <c r="H2940" t="s">
        <v>92</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193</v>
      </c>
      <c r="B2941" t="s">
        <v>952</v>
      </c>
      <c r="C2941" t="s">
        <v>88</v>
      </c>
      <c r="D2941" t="s">
        <v>88</v>
      </c>
      <c r="E2941" t="s">
        <v>710</v>
      </c>
      <c r="F2941" t="s">
        <v>88</v>
      </c>
      <c r="G2941" t="s">
        <v>88</v>
      </c>
      <c r="H2941" t="s">
        <v>92</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193</v>
      </c>
      <c r="B2942" t="s">
        <v>704</v>
      </c>
      <c r="C2942" t="s">
        <v>88</v>
      </c>
      <c r="D2942" t="s">
        <v>88</v>
      </c>
      <c r="E2942" t="s">
        <v>732</v>
      </c>
      <c r="F2942" t="s">
        <v>88</v>
      </c>
      <c r="G2942" t="s">
        <v>88</v>
      </c>
      <c r="H2942" t="s">
        <v>92</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193</v>
      </c>
      <c r="B2943" t="s">
        <v>705</v>
      </c>
      <c r="C2943" t="s">
        <v>88</v>
      </c>
      <c r="D2943" t="s">
        <v>88</v>
      </c>
      <c r="E2943" t="s">
        <v>732</v>
      </c>
      <c r="F2943" t="s">
        <v>88</v>
      </c>
      <c r="G2943" t="s">
        <v>88</v>
      </c>
      <c r="H2943" t="s">
        <v>92</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193</v>
      </c>
      <c r="B2944" t="s">
        <v>954</v>
      </c>
      <c r="C2944" t="s">
        <v>88</v>
      </c>
      <c r="D2944" t="s">
        <v>88</v>
      </c>
      <c r="E2944" t="s">
        <v>710</v>
      </c>
      <c r="F2944" t="s">
        <v>88</v>
      </c>
      <c r="G2944" t="s">
        <v>88</v>
      </c>
      <c r="H2944" t="s">
        <v>92</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193</v>
      </c>
      <c r="B2945" t="s">
        <v>706</v>
      </c>
      <c r="C2945" t="s">
        <v>88</v>
      </c>
      <c r="D2945" t="s">
        <v>88</v>
      </c>
      <c r="E2945" t="s">
        <v>732</v>
      </c>
      <c r="F2945" t="s">
        <v>88</v>
      </c>
      <c r="G2945" t="s">
        <v>88</v>
      </c>
      <c r="H2945" t="s">
        <v>92</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193</v>
      </c>
      <c r="B2946" t="s">
        <v>707</v>
      </c>
      <c r="C2946" t="s">
        <v>88</v>
      </c>
      <c r="D2946" t="s">
        <v>88</v>
      </c>
      <c r="E2946" t="s">
        <v>732</v>
      </c>
      <c r="F2946" t="s">
        <v>88</v>
      </c>
      <c r="G2946" t="s">
        <v>88</v>
      </c>
      <c r="H2946" t="s">
        <v>92</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193</v>
      </c>
      <c r="B2947" t="s">
        <v>708</v>
      </c>
      <c r="C2947" t="s">
        <v>88</v>
      </c>
      <c r="D2947" t="s">
        <v>88</v>
      </c>
      <c r="E2947" t="s">
        <v>732</v>
      </c>
      <c r="F2947" t="s">
        <v>88</v>
      </c>
      <c r="G2947" t="s">
        <v>88</v>
      </c>
      <c r="H2947" t="s">
        <v>92</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193</v>
      </c>
      <c r="B2948" t="s">
        <v>612</v>
      </c>
      <c r="C2948" t="s">
        <v>88</v>
      </c>
      <c r="D2948" t="s">
        <v>88</v>
      </c>
      <c r="E2948" t="s">
        <v>732</v>
      </c>
      <c r="F2948" t="s">
        <v>88</v>
      </c>
      <c r="G2948" t="s">
        <v>88</v>
      </c>
      <c r="H2948" t="s">
        <v>92</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193</v>
      </c>
      <c r="B2949" t="s">
        <v>615</v>
      </c>
      <c r="C2949" t="s">
        <v>88</v>
      </c>
      <c r="D2949" t="s">
        <v>88</v>
      </c>
      <c r="E2949" t="s">
        <v>732</v>
      </c>
      <c r="F2949" t="s">
        <v>88</v>
      </c>
      <c r="G2949" t="s">
        <v>88</v>
      </c>
      <c r="H2949" t="s">
        <v>92</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193</v>
      </c>
      <c r="B2950" t="s">
        <v>733</v>
      </c>
      <c r="C2950" t="s">
        <v>88</v>
      </c>
      <c r="D2950" t="s">
        <v>88</v>
      </c>
      <c r="E2950" t="s">
        <v>732</v>
      </c>
      <c r="F2950" t="s">
        <v>88</v>
      </c>
      <c r="G2950" t="s">
        <v>88</v>
      </c>
      <c r="H2950" t="s">
        <v>92</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193</v>
      </c>
      <c r="B2951" t="s">
        <v>846</v>
      </c>
      <c r="C2951" t="s">
        <v>88</v>
      </c>
      <c r="D2951" t="s">
        <v>88</v>
      </c>
      <c r="E2951" t="s">
        <v>710</v>
      </c>
      <c r="F2951" t="s">
        <v>88</v>
      </c>
      <c r="G2951" t="s">
        <v>88</v>
      </c>
      <c r="H2951" t="s">
        <v>92</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193</v>
      </c>
      <c r="B2952" t="s">
        <v>3206</v>
      </c>
      <c r="C2952" t="s">
        <v>88</v>
      </c>
      <c r="D2952" t="s">
        <v>88</v>
      </c>
      <c r="E2952" t="s">
        <v>710</v>
      </c>
      <c r="F2952" t="s">
        <v>88</v>
      </c>
      <c r="G2952" t="s">
        <v>88</v>
      </c>
      <c r="H2952" t="s">
        <v>92</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193</v>
      </c>
      <c r="B2953" t="s">
        <v>3207</v>
      </c>
      <c r="C2953" t="s">
        <v>88</v>
      </c>
      <c r="D2953" t="s">
        <v>88</v>
      </c>
      <c r="E2953" t="s">
        <v>710</v>
      </c>
      <c r="F2953" t="s">
        <v>88</v>
      </c>
      <c r="G2953" t="s">
        <v>88</v>
      </c>
      <c r="H2953" t="s">
        <v>92</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193</v>
      </c>
      <c r="B2954" t="s">
        <v>3208</v>
      </c>
      <c r="C2954" t="s">
        <v>88</v>
      </c>
      <c r="D2954" t="s">
        <v>88</v>
      </c>
      <c r="E2954" t="s">
        <v>711</v>
      </c>
      <c r="F2954" t="s">
        <v>88</v>
      </c>
      <c r="G2954" t="s">
        <v>88</v>
      </c>
      <c r="H2954" t="s">
        <v>92</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193</v>
      </c>
      <c r="B2955" t="s">
        <v>3209</v>
      </c>
      <c r="C2955" t="s">
        <v>88</v>
      </c>
      <c r="D2955" t="s">
        <v>88</v>
      </c>
      <c r="E2955" t="s">
        <v>710</v>
      </c>
      <c r="F2955" t="s">
        <v>88</v>
      </c>
      <c r="G2955" t="s">
        <v>88</v>
      </c>
      <c r="H2955" t="s">
        <v>92</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193</v>
      </c>
      <c r="B2956" t="s">
        <v>3210</v>
      </c>
      <c r="C2956" t="s">
        <v>88</v>
      </c>
      <c r="D2956" t="s">
        <v>88</v>
      </c>
      <c r="E2956" t="s">
        <v>711</v>
      </c>
      <c r="F2956" t="s">
        <v>88</v>
      </c>
      <c r="G2956" t="s">
        <v>88</v>
      </c>
      <c r="H2956" t="s">
        <v>92</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193</v>
      </c>
      <c r="B2957" t="s">
        <v>620</v>
      </c>
      <c r="C2957" t="s">
        <v>88</v>
      </c>
      <c r="D2957" t="s">
        <v>88</v>
      </c>
      <c r="E2957" t="s">
        <v>711</v>
      </c>
      <c r="F2957" t="s">
        <v>88</v>
      </c>
      <c r="G2957" t="s">
        <v>88</v>
      </c>
      <c r="H2957" t="s">
        <v>92</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193</v>
      </c>
      <c r="B2958" t="s">
        <v>622</v>
      </c>
      <c r="C2958" t="s">
        <v>88</v>
      </c>
      <c r="D2958" t="s">
        <v>88</v>
      </c>
      <c r="E2958" t="s">
        <v>713</v>
      </c>
      <c r="F2958" t="s">
        <v>88</v>
      </c>
      <c r="G2958" t="s">
        <v>88</v>
      </c>
      <c r="H2958" t="s">
        <v>92</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193</v>
      </c>
      <c r="B2959" t="s">
        <v>623</v>
      </c>
      <c r="C2959" t="s">
        <v>88</v>
      </c>
      <c r="D2959" t="s">
        <v>88</v>
      </c>
      <c r="E2959" t="s">
        <v>735</v>
      </c>
      <c r="F2959" t="s">
        <v>88</v>
      </c>
      <c r="G2959" t="s">
        <v>88</v>
      </c>
      <c r="H2959" t="s">
        <v>92</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193</v>
      </c>
      <c r="B2960" t="s">
        <v>714</v>
      </c>
      <c r="C2960" t="s">
        <v>88</v>
      </c>
      <c r="D2960" t="s">
        <v>88</v>
      </c>
      <c r="E2960" t="s">
        <v>799</v>
      </c>
      <c r="F2960" t="s">
        <v>88</v>
      </c>
      <c r="G2960" t="s">
        <v>88</v>
      </c>
      <c r="H2960" t="s">
        <v>92</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193</v>
      </c>
      <c r="B2961" t="s">
        <v>998</v>
      </c>
      <c r="C2961" t="s">
        <v>88</v>
      </c>
      <c r="D2961" t="s">
        <v>88</v>
      </c>
      <c r="E2961" t="s">
        <v>799</v>
      </c>
      <c r="F2961" t="s">
        <v>88</v>
      </c>
      <c r="G2961" t="s">
        <v>88</v>
      </c>
      <c r="H2961" t="s">
        <v>92</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193</v>
      </c>
      <c r="B2962" t="s">
        <v>3211</v>
      </c>
      <c r="C2962" t="s">
        <v>88</v>
      </c>
      <c r="D2962" t="s">
        <v>88</v>
      </c>
      <c r="E2962" t="s">
        <v>799</v>
      </c>
      <c r="F2962" t="s">
        <v>88</v>
      </c>
      <c r="G2962" t="s">
        <v>88</v>
      </c>
      <c r="H2962" t="s">
        <v>92</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193</v>
      </c>
      <c r="B2963" t="s">
        <v>798</v>
      </c>
      <c r="C2963" t="s">
        <v>88</v>
      </c>
      <c r="D2963" t="s">
        <v>88</v>
      </c>
      <c r="E2963" t="s">
        <v>799</v>
      </c>
      <c r="F2963" t="s">
        <v>88</v>
      </c>
      <c r="G2963" t="s">
        <v>88</v>
      </c>
      <c r="H2963" t="s">
        <v>92</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193</v>
      </c>
      <c r="B2964" t="s">
        <v>982</v>
      </c>
      <c r="C2964" t="s">
        <v>88</v>
      </c>
      <c r="D2964" t="s">
        <v>88</v>
      </c>
      <c r="E2964" t="s">
        <v>799</v>
      </c>
      <c r="F2964" t="s">
        <v>88</v>
      </c>
      <c r="G2964" t="s">
        <v>88</v>
      </c>
      <c r="H2964" t="s">
        <v>92</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193</v>
      </c>
      <c r="B2965" t="s">
        <v>1908</v>
      </c>
      <c r="C2965" t="s">
        <v>88</v>
      </c>
      <c r="D2965" t="s">
        <v>88</v>
      </c>
      <c r="E2965" t="s">
        <v>799</v>
      </c>
      <c r="F2965" t="s">
        <v>88</v>
      </c>
      <c r="G2965" t="s">
        <v>88</v>
      </c>
      <c r="H2965" t="s">
        <v>92</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193</v>
      </c>
      <c r="B2966" t="s">
        <v>3212</v>
      </c>
      <c r="C2966" t="s">
        <v>88</v>
      </c>
      <c r="D2966" t="s">
        <v>88</v>
      </c>
      <c r="E2966" t="s">
        <v>780</v>
      </c>
      <c r="F2966" t="s">
        <v>88</v>
      </c>
      <c r="G2966" t="s">
        <v>88</v>
      </c>
      <c r="H2966" t="s">
        <v>92</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193</v>
      </c>
      <c r="B2967" t="s">
        <v>852</v>
      </c>
      <c r="C2967" t="s">
        <v>88</v>
      </c>
      <c r="D2967" t="s">
        <v>88</v>
      </c>
      <c r="E2967" t="s">
        <v>780</v>
      </c>
      <c r="F2967" t="s">
        <v>88</v>
      </c>
      <c r="G2967" t="s">
        <v>88</v>
      </c>
      <c r="H2967" t="s">
        <v>92</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193</v>
      </c>
      <c r="B2968" t="s">
        <v>3213</v>
      </c>
      <c r="C2968" t="s">
        <v>88</v>
      </c>
      <c r="D2968" t="s">
        <v>88</v>
      </c>
      <c r="E2968" t="s">
        <v>780</v>
      </c>
      <c r="F2968" t="s">
        <v>88</v>
      </c>
      <c r="G2968" t="s">
        <v>88</v>
      </c>
      <c r="H2968" t="s">
        <v>92</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193</v>
      </c>
      <c r="B2969" t="s">
        <v>3214</v>
      </c>
      <c r="C2969" t="s">
        <v>88</v>
      </c>
      <c r="D2969" t="s">
        <v>88</v>
      </c>
      <c r="E2969" t="s">
        <v>780</v>
      </c>
      <c r="F2969" t="s">
        <v>88</v>
      </c>
      <c r="G2969" t="s">
        <v>88</v>
      </c>
      <c r="H2969" t="s">
        <v>92</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193</v>
      </c>
      <c r="B2970" t="s">
        <v>1237</v>
      </c>
      <c r="C2970" t="s">
        <v>88</v>
      </c>
      <c r="D2970" t="s">
        <v>2397</v>
      </c>
      <c r="E2970" t="s">
        <v>964</v>
      </c>
      <c r="F2970" t="s">
        <v>88</v>
      </c>
      <c r="G2970" t="s">
        <v>88</v>
      </c>
      <c r="H2970" t="s">
        <v>92</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193</v>
      </c>
      <c r="B2971" t="s">
        <v>1234</v>
      </c>
      <c r="C2971" t="s">
        <v>88</v>
      </c>
      <c r="D2971" t="s">
        <v>2397</v>
      </c>
      <c r="E2971" t="s">
        <v>964</v>
      </c>
      <c r="F2971" t="s">
        <v>88</v>
      </c>
      <c r="G2971" t="s">
        <v>88</v>
      </c>
      <c r="H2971" t="s">
        <v>92</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193</v>
      </c>
      <c r="B2972" t="s">
        <v>2417</v>
      </c>
      <c r="C2972" t="s">
        <v>88</v>
      </c>
      <c r="D2972" t="s">
        <v>2397</v>
      </c>
      <c r="E2972" t="s">
        <v>964</v>
      </c>
      <c r="F2972" t="s">
        <v>88</v>
      </c>
      <c r="G2972" t="s">
        <v>88</v>
      </c>
      <c r="H2972" t="s">
        <v>92</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193</v>
      </c>
      <c r="B2973" t="s">
        <v>625</v>
      </c>
      <c r="C2973" t="s">
        <v>88</v>
      </c>
      <c r="D2973" t="s">
        <v>88</v>
      </c>
      <c r="E2973" t="s">
        <v>626</v>
      </c>
      <c r="F2973" t="s">
        <v>88</v>
      </c>
      <c r="G2973" t="s">
        <v>88</v>
      </c>
      <c r="H2973" t="s">
        <v>92</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194</v>
      </c>
      <c r="B2974" t="s">
        <v>3215</v>
      </c>
      <c r="C2974" t="s">
        <v>88</v>
      </c>
      <c r="D2974" t="s">
        <v>3216</v>
      </c>
      <c r="E2974" t="s">
        <v>3217</v>
      </c>
      <c r="F2974" t="s">
        <v>88</v>
      </c>
      <c r="G2974" t="s">
        <v>88</v>
      </c>
      <c r="H2974" t="s">
        <v>92</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194</v>
      </c>
      <c r="B2975" t="s">
        <v>1768</v>
      </c>
      <c r="C2975" t="s">
        <v>88</v>
      </c>
      <c r="D2975" t="s">
        <v>3218</v>
      </c>
      <c r="E2975" t="s">
        <v>3219</v>
      </c>
      <c r="F2975" t="s">
        <v>88</v>
      </c>
      <c r="G2975" t="s">
        <v>88</v>
      </c>
      <c r="H2975" t="s">
        <v>92</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194</v>
      </c>
      <c r="B2976" t="s">
        <v>1770</v>
      </c>
      <c r="C2976" t="s">
        <v>88</v>
      </c>
      <c r="D2976" t="s">
        <v>3220</v>
      </c>
      <c r="E2976" t="s">
        <v>3221</v>
      </c>
      <c r="F2976" t="s">
        <v>88</v>
      </c>
      <c r="G2976" t="s">
        <v>88</v>
      </c>
      <c r="H2976" t="s">
        <v>92</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194</v>
      </c>
      <c r="B2977" t="s">
        <v>3222</v>
      </c>
      <c r="C2977" t="s">
        <v>88</v>
      </c>
      <c r="D2977" t="s">
        <v>3223</v>
      </c>
      <c r="E2977" t="s">
        <v>3224</v>
      </c>
      <c r="F2977" t="s">
        <v>88</v>
      </c>
      <c r="G2977" t="s">
        <v>88</v>
      </c>
      <c r="H2977" t="s">
        <v>92</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194</v>
      </c>
      <c r="B2978" t="s">
        <v>1772</v>
      </c>
      <c r="C2978" t="s">
        <v>88</v>
      </c>
      <c r="D2978" t="s">
        <v>3225</v>
      </c>
      <c r="E2978" t="s">
        <v>3226</v>
      </c>
      <c r="F2978" t="s">
        <v>88</v>
      </c>
      <c r="G2978" t="s">
        <v>88</v>
      </c>
      <c r="H2978" t="s">
        <v>92</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194</v>
      </c>
      <c r="B2979" t="s">
        <v>1768</v>
      </c>
      <c r="C2979" t="s">
        <v>88</v>
      </c>
      <c r="D2979" t="s">
        <v>3218</v>
      </c>
      <c r="E2979" t="s">
        <v>3219</v>
      </c>
      <c r="F2979" t="s">
        <v>88</v>
      </c>
      <c r="G2979" t="s">
        <v>88</v>
      </c>
      <c r="H2979" t="s">
        <v>92</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194</v>
      </c>
      <c r="B2980" t="s">
        <v>1770</v>
      </c>
      <c r="C2980" t="s">
        <v>88</v>
      </c>
      <c r="D2980" t="s">
        <v>3220</v>
      </c>
      <c r="E2980" t="s">
        <v>3221</v>
      </c>
      <c r="F2980" t="s">
        <v>88</v>
      </c>
      <c r="G2980" t="s">
        <v>88</v>
      </c>
      <c r="H2980" t="s">
        <v>92</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194</v>
      </c>
      <c r="B2981" t="s">
        <v>1772</v>
      </c>
      <c r="C2981" t="s">
        <v>88</v>
      </c>
      <c r="D2981" t="s">
        <v>3225</v>
      </c>
      <c r="E2981" t="s">
        <v>3226</v>
      </c>
      <c r="F2981" t="s">
        <v>88</v>
      </c>
      <c r="G2981" t="s">
        <v>88</v>
      </c>
      <c r="H2981" t="s">
        <v>92</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194</v>
      </c>
      <c r="B2982" t="s">
        <v>1774</v>
      </c>
      <c r="C2982" t="s">
        <v>88</v>
      </c>
      <c r="D2982" t="s">
        <v>3227</v>
      </c>
      <c r="E2982" t="s">
        <v>3228</v>
      </c>
      <c r="F2982" t="s">
        <v>88</v>
      </c>
      <c r="G2982" t="s">
        <v>88</v>
      </c>
      <c r="H2982" t="s">
        <v>92</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194</v>
      </c>
      <c r="B2983" t="s">
        <v>3215</v>
      </c>
      <c r="C2983" t="s">
        <v>88</v>
      </c>
      <c r="D2983" t="s">
        <v>3216</v>
      </c>
      <c r="E2983" t="s">
        <v>3217</v>
      </c>
      <c r="F2983" t="s">
        <v>88</v>
      </c>
      <c r="G2983" t="s">
        <v>88</v>
      </c>
      <c r="H2983" t="s">
        <v>92</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194</v>
      </c>
      <c r="B2984" t="s">
        <v>3229</v>
      </c>
      <c r="C2984" t="s">
        <v>88</v>
      </c>
      <c r="D2984" t="s">
        <v>3230</v>
      </c>
      <c r="E2984" t="s">
        <v>3231</v>
      </c>
      <c r="F2984" t="s">
        <v>88</v>
      </c>
      <c r="G2984" t="s">
        <v>88</v>
      </c>
      <c r="H2984" t="s">
        <v>92</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194</v>
      </c>
      <c r="B2985" t="s">
        <v>3232</v>
      </c>
      <c r="C2985" t="s">
        <v>88</v>
      </c>
      <c r="D2985" t="s">
        <v>3233</v>
      </c>
      <c r="E2985" t="s">
        <v>3234</v>
      </c>
      <c r="F2985" t="s">
        <v>88</v>
      </c>
      <c r="G2985" t="s">
        <v>88</v>
      </c>
      <c r="H2985" t="s">
        <v>92</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194</v>
      </c>
      <c r="B2986" t="s">
        <v>671</v>
      </c>
      <c r="C2986" t="s">
        <v>88</v>
      </c>
      <c r="D2986" t="s">
        <v>3235</v>
      </c>
      <c r="E2986" t="s">
        <v>3236</v>
      </c>
      <c r="F2986" t="s">
        <v>88</v>
      </c>
      <c r="G2986" t="s">
        <v>88</v>
      </c>
      <c r="H2986" t="s">
        <v>92</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194</v>
      </c>
      <c r="B2987" t="s">
        <v>1859</v>
      </c>
      <c r="C2987" t="s">
        <v>88</v>
      </c>
      <c r="D2987" t="s">
        <v>3237</v>
      </c>
      <c r="E2987" t="s">
        <v>3238</v>
      </c>
      <c r="F2987" t="s">
        <v>88</v>
      </c>
      <c r="G2987" t="s">
        <v>88</v>
      </c>
      <c r="H2987" t="s">
        <v>92</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194</v>
      </c>
      <c r="B2988" t="s">
        <v>3239</v>
      </c>
      <c r="C2988" t="s">
        <v>88</v>
      </c>
      <c r="D2988" t="s">
        <v>3240</v>
      </c>
      <c r="E2988" t="s">
        <v>1187</v>
      </c>
      <c r="F2988" t="s">
        <v>88</v>
      </c>
      <c r="G2988" t="s">
        <v>88</v>
      </c>
      <c r="H2988" t="s">
        <v>92</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194</v>
      </c>
      <c r="B2989" t="s">
        <v>3222</v>
      </c>
      <c r="C2989" t="s">
        <v>88</v>
      </c>
      <c r="D2989" t="s">
        <v>3223</v>
      </c>
      <c r="E2989" t="s">
        <v>3224</v>
      </c>
      <c r="F2989" t="s">
        <v>88</v>
      </c>
      <c r="G2989" t="s">
        <v>88</v>
      </c>
      <c r="H2989" t="s">
        <v>92</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194</v>
      </c>
      <c r="B2990" t="s">
        <v>612</v>
      </c>
      <c r="C2990" t="s">
        <v>88</v>
      </c>
      <c r="D2990" t="s">
        <v>88</v>
      </c>
      <c r="E2990" t="s">
        <v>3241</v>
      </c>
      <c r="F2990" t="s">
        <v>88</v>
      </c>
      <c r="G2990" t="s">
        <v>88</v>
      </c>
      <c r="H2990" t="s">
        <v>92</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194</v>
      </c>
      <c r="B2991" t="s">
        <v>614</v>
      </c>
      <c r="C2991" t="s">
        <v>88</v>
      </c>
      <c r="D2991" t="s">
        <v>88</v>
      </c>
      <c r="E2991" t="s">
        <v>3241</v>
      </c>
      <c r="F2991" t="s">
        <v>88</v>
      </c>
      <c r="G2991" t="s">
        <v>88</v>
      </c>
      <c r="H2991" t="s">
        <v>92</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194</v>
      </c>
      <c r="B2992" t="s">
        <v>615</v>
      </c>
      <c r="C2992" t="s">
        <v>88</v>
      </c>
      <c r="D2992" t="s">
        <v>88</v>
      </c>
      <c r="E2992" t="s">
        <v>3241</v>
      </c>
      <c r="F2992" t="s">
        <v>88</v>
      </c>
      <c r="G2992" t="s">
        <v>88</v>
      </c>
      <c r="H2992" t="s">
        <v>92</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194</v>
      </c>
      <c r="B2993" t="s">
        <v>616</v>
      </c>
      <c r="C2993" t="s">
        <v>88</v>
      </c>
      <c r="D2993" t="s">
        <v>88</v>
      </c>
      <c r="E2993" t="s">
        <v>3241</v>
      </c>
      <c r="F2993" t="s">
        <v>88</v>
      </c>
      <c r="G2993" t="s">
        <v>88</v>
      </c>
      <c r="H2993" t="s">
        <v>92</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194</v>
      </c>
      <c r="B2994" t="s">
        <v>3242</v>
      </c>
      <c r="C2994" t="s">
        <v>88</v>
      </c>
      <c r="D2994" t="s">
        <v>88</v>
      </c>
      <c r="E2994" t="s">
        <v>3241</v>
      </c>
      <c r="F2994" t="s">
        <v>88</v>
      </c>
      <c r="G2994" t="s">
        <v>88</v>
      </c>
      <c r="H2994" t="s">
        <v>92</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194</v>
      </c>
      <c r="B2995" t="s">
        <v>3243</v>
      </c>
      <c r="C2995" t="s">
        <v>88</v>
      </c>
      <c r="D2995" t="s">
        <v>88</v>
      </c>
      <c r="E2995" t="s">
        <v>3241</v>
      </c>
      <c r="F2995" t="s">
        <v>88</v>
      </c>
      <c r="G2995" t="s">
        <v>88</v>
      </c>
      <c r="H2995" t="s">
        <v>92</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194</v>
      </c>
      <c r="B2996" t="s">
        <v>733</v>
      </c>
      <c r="C2996" t="s">
        <v>88</v>
      </c>
      <c r="D2996" t="s">
        <v>88</v>
      </c>
      <c r="E2996" t="s">
        <v>3241</v>
      </c>
      <c r="F2996" t="s">
        <v>88</v>
      </c>
      <c r="G2996" t="s">
        <v>88</v>
      </c>
      <c r="H2996" t="s">
        <v>92</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194</v>
      </c>
      <c r="B2997" t="s">
        <v>795</v>
      </c>
      <c r="C2997" t="s">
        <v>88</v>
      </c>
      <c r="D2997" t="s">
        <v>88</v>
      </c>
      <c r="E2997" t="s">
        <v>1184</v>
      </c>
      <c r="F2997" t="s">
        <v>88</v>
      </c>
      <c r="G2997" t="s">
        <v>88</v>
      </c>
      <c r="H2997" t="s">
        <v>92</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194</v>
      </c>
      <c r="B2998" t="s">
        <v>797</v>
      </c>
      <c r="C2998" t="s">
        <v>88</v>
      </c>
      <c r="D2998" t="s">
        <v>88</v>
      </c>
      <c r="E2998" t="s">
        <v>848</v>
      </c>
      <c r="F2998" t="s">
        <v>88</v>
      </c>
      <c r="G2998" t="s">
        <v>88</v>
      </c>
      <c r="H2998" t="s">
        <v>92</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194</v>
      </c>
      <c r="B2999" t="s">
        <v>623</v>
      </c>
      <c r="C2999" t="s">
        <v>88</v>
      </c>
      <c r="D2999" t="s">
        <v>88</v>
      </c>
      <c r="E2999" t="s">
        <v>1226</v>
      </c>
      <c r="F2999" t="s">
        <v>88</v>
      </c>
      <c r="G2999" t="s">
        <v>88</v>
      </c>
      <c r="H2999" t="s">
        <v>92</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194</v>
      </c>
      <c r="B3000" t="s">
        <v>798</v>
      </c>
      <c r="C3000" t="s">
        <v>88</v>
      </c>
      <c r="D3000" t="s">
        <v>88</v>
      </c>
      <c r="E3000" t="s">
        <v>3244</v>
      </c>
      <c r="F3000" t="s">
        <v>88</v>
      </c>
      <c r="G3000" t="s">
        <v>88</v>
      </c>
      <c r="H3000" t="s">
        <v>92</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194</v>
      </c>
      <c r="B3001" t="s">
        <v>982</v>
      </c>
      <c r="C3001" t="s">
        <v>88</v>
      </c>
      <c r="D3001" t="s">
        <v>88</v>
      </c>
      <c r="E3001" t="s">
        <v>3244</v>
      </c>
      <c r="F3001" t="s">
        <v>88</v>
      </c>
      <c r="G3001" t="s">
        <v>88</v>
      </c>
      <c r="H3001" t="s">
        <v>92</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194</v>
      </c>
      <c r="B3002" t="s">
        <v>625</v>
      </c>
      <c r="C3002" t="s">
        <v>88</v>
      </c>
      <c r="D3002" t="s">
        <v>88</v>
      </c>
      <c r="E3002" t="s">
        <v>626</v>
      </c>
      <c r="F3002" t="s">
        <v>88</v>
      </c>
      <c r="G3002" t="s">
        <v>88</v>
      </c>
      <c r="H3002" t="s">
        <v>92</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195</v>
      </c>
      <c r="B3003" t="s">
        <v>736</v>
      </c>
      <c r="C3003" t="s">
        <v>88</v>
      </c>
      <c r="D3003" t="s">
        <v>3245</v>
      </c>
      <c r="E3003" t="s">
        <v>937</v>
      </c>
      <c r="F3003" t="s">
        <v>88</v>
      </c>
      <c r="G3003" t="s">
        <v>88</v>
      </c>
      <c r="H3003" t="s">
        <v>92</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195</v>
      </c>
      <c r="B3004" t="s">
        <v>1234</v>
      </c>
      <c r="C3004" t="s">
        <v>88</v>
      </c>
      <c r="D3004" t="s">
        <v>3246</v>
      </c>
      <c r="E3004" t="s">
        <v>1259</v>
      </c>
      <c r="F3004" t="s">
        <v>88</v>
      </c>
      <c r="G3004" t="s">
        <v>88</v>
      </c>
      <c r="H3004" t="s">
        <v>92</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195</v>
      </c>
      <c r="B3005" t="s">
        <v>3203</v>
      </c>
      <c r="C3005" t="s">
        <v>88</v>
      </c>
      <c r="D3005" t="s">
        <v>3247</v>
      </c>
      <c r="E3005" t="s">
        <v>738</v>
      </c>
      <c r="F3005" t="s">
        <v>88</v>
      </c>
      <c r="G3005" t="s">
        <v>88</v>
      </c>
      <c r="H3005" t="s">
        <v>92</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195</v>
      </c>
      <c r="B3006" t="s">
        <v>3248</v>
      </c>
      <c r="C3006" t="s">
        <v>88</v>
      </c>
      <c r="D3006" t="s">
        <v>3249</v>
      </c>
      <c r="E3006" t="s">
        <v>780</v>
      </c>
      <c r="F3006" t="s">
        <v>88</v>
      </c>
      <c r="G3006" t="s">
        <v>88</v>
      </c>
      <c r="H3006" t="s">
        <v>92</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195</v>
      </c>
      <c r="B3007" t="s">
        <v>3250</v>
      </c>
      <c r="C3007" t="s">
        <v>88</v>
      </c>
      <c r="D3007" t="s">
        <v>3251</v>
      </c>
      <c r="E3007" t="s">
        <v>700</v>
      </c>
      <c r="F3007" t="s">
        <v>88</v>
      </c>
      <c r="G3007" t="s">
        <v>88</v>
      </c>
      <c r="H3007" t="s">
        <v>92</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195</v>
      </c>
      <c r="B3008" t="s">
        <v>876</v>
      </c>
      <c r="C3008" t="s">
        <v>88</v>
      </c>
      <c r="D3008" t="s">
        <v>3252</v>
      </c>
      <c r="E3008" t="s">
        <v>1241</v>
      </c>
      <c r="F3008" t="s">
        <v>88</v>
      </c>
      <c r="G3008" t="s">
        <v>88</v>
      </c>
      <c r="H3008" t="s">
        <v>92</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195</v>
      </c>
      <c r="B3009" t="s">
        <v>3250</v>
      </c>
      <c r="C3009" t="s">
        <v>88</v>
      </c>
      <c r="D3009" t="s">
        <v>3251</v>
      </c>
      <c r="E3009" t="s">
        <v>700</v>
      </c>
      <c r="F3009" t="s">
        <v>88</v>
      </c>
      <c r="G3009" t="s">
        <v>88</v>
      </c>
      <c r="H3009" t="s">
        <v>92</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195</v>
      </c>
      <c r="B3010" t="s">
        <v>759</v>
      </c>
      <c r="C3010" t="s">
        <v>88</v>
      </c>
      <c r="D3010" t="s">
        <v>3253</v>
      </c>
      <c r="E3010" t="s">
        <v>692</v>
      </c>
      <c r="F3010" t="s">
        <v>88</v>
      </c>
      <c r="G3010" t="s">
        <v>88</v>
      </c>
      <c r="H3010" t="s">
        <v>92</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195</v>
      </c>
      <c r="B3011" t="s">
        <v>768</v>
      </c>
      <c r="C3011" t="s">
        <v>88</v>
      </c>
      <c r="D3011" t="s">
        <v>3254</v>
      </c>
      <c r="E3011" t="s">
        <v>883</v>
      </c>
      <c r="F3011" t="s">
        <v>88</v>
      </c>
      <c r="G3011" t="s">
        <v>88</v>
      </c>
      <c r="H3011" t="s">
        <v>92</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195</v>
      </c>
      <c r="B3012" t="s">
        <v>3255</v>
      </c>
      <c r="C3012" t="s">
        <v>88</v>
      </c>
      <c r="D3012" t="s">
        <v>3256</v>
      </c>
      <c r="E3012" t="s">
        <v>692</v>
      </c>
      <c r="F3012" t="s">
        <v>88</v>
      </c>
      <c r="G3012" t="s">
        <v>88</v>
      </c>
      <c r="H3012" t="s">
        <v>92</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195</v>
      </c>
      <c r="B3013" t="s">
        <v>740</v>
      </c>
      <c r="C3013" t="s">
        <v>88</v>
      </c>
      <c r="D3013" t="s">
        <v>3257</v>
      </c>
      <c r="E3013" t="s">
        <v>700</v>
      </c>
      <c r="F3013" t="s">
        <v>88</v>
      </c>
      <c r="G3013" t="s">
        <v>88</v>
      </c>
      <c r="H3013" t="s">
        <v>92</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195</v>
      </c>
      <c r="B3014" t="s">
        <v>3203</v>
      </c>
      <c r="C3014" t="s">
        <v>88</v>
      </c>
      <c r="D3014" t="s">
        <v>3247</v>
      </c>
      <c r="E3014" t="s">
        <v>738</v>
      </c>
      <c r="F3014" t="s">
        <v>88</v>
      </c>
      <c r="G3014" t="s">
        <v>88</v>
      </c>
      <c r="H3014" t="s">
        <v>92</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195</v>
      </c>
      <c r="B3015" t="s">
        <v>3248</v>
      </c>
      <c r="C3015" t="s">
        <v>88</v>
      </c>
      <c r="D3015" t="s">
        <v>3249</v>
      </c>
      <c r="E3015" t="s">
        <v>780</v>
      </c>
      <c r="F3015" t="s">
        <v>88</v>
      </c>
      <c r="G3015" t="s">
        <v>88</v>
      </c>
      <c r="H3015" t="s">
        <v>92</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195</v>
      </c>
      <c r="B3016" t="s">
        <v>736</v>
      </c>
      <c r="C3016" t="s">
        <v>88</v>
      </c>
      <c r="D3016" t="s">
        <v>3245</v>
      </c>
      <c r="E3016" t="s">
        <v>937</v>
      </c>
      <c r="F3016" t="s">
        <v>88</v>
      </c>
      <c r="G3016" t="s">
        <v>88</v>
      </c>
      <c r="H3016" t="s">
        <v>92</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195</v>
      </c>
      <c r="B3017" t="s">
        <v>948</v>
      </c>
      <c r="C3017" t="s">
        <v>88</v>
      </c>
      <c r="D3017" t="s">
        <v>88</v>
      </c>
      <c r="E3017" t="s">
        <v>735</v>
      </c>
      <c r="F3017" t="s">
        <v>88</v>
      </c>
      <c r="G3017" t="s">
        <v>88</v>
      </c>
      <c r="H3017" t="s">
        <v>92</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195</v>
      </c>
      <c r="B3018" t="s">
        <v>1792</v>
      </c>
      <c r="C3018" t="s">
        <v>88</v>
      </c>
      <c r="D3018" t="s">
        <v>88</v>
      </c>
      <c r="E3018" t="s">
        <v>702</v>
      </c>
      <c r="F3018" t="s">
        <v>88</v>
      </c>
      <c r="G3018" t="s">
        <v>88</v>
      </c>
      <c r="H3018" t="s">
        <v>92</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195</v>
      </c>
      <c r="B3019" t="s">
        <v>612</v>
      </c>
      <c r="C3019" t="s">
        <v>88</v>
      </c>
      <c r="D3019" t="s">
        <v>88</v>
      </c>
      <c r="E3019" t="s">
        <v>709</v>
      </c>
      <c r="F3019" t="s">
        <v>88</v>
      </c>
      <c r="G3019" t="s">
        <v>88</v>
      </c>
      <c r="H3019" t="s">
        <v>92</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195</v>
      </c>
      <c r="B3020" t="s">
        <v>651</v>
      </c>
      <c r="C3020" t="s">
        <v>88</v>
      </c>
      <c r="D3020" t="s">
        <v>88</v>
      </c>
      <c r="E3020" t="s">
        <v>709</v>
      </c>
      <c r="F3020" t="s">
        <v>88</v>
      </c>
      <c r="G3020" t="s">
        <v>88</v>
      </c>
      <c r="H3020" t="s">
        <v>92</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195</v>
      </c>
      <c r="B3021" t="s">
        <v>614</v>
      </c>
      <c r="C3021" t="s">
        <v>88</v>
      </c>
      <c r="D3021" t="s">
        <v>88</v>
      </c>
      <c r="E3021" t="s">
        <v>709</v>
      </c>
      <c r="F3021" t="s">
        <v>88</v>
      </c>
      <c r="G3021" t="s">
        <v>88</v>
      </c>
      <c r="H3021" t="s">
        <v>92</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195</v>
      </c>
      <c r="B3022" t="s">
        <v>615</v>
      </c>
      <c r="C3022" t="s">
        <v>88</v>
      </c>
      <c r="D3022" t="s">
        <v>88</v>
      </c>
      <c r="E3022" t="s">
        <v>709</v>
      </c>
      <c r="F3022" t="s">
        <v>88</v>
      </c>
      <c r="G3022" t="s">
        <v>88</v>
      </c>
      <c r="H3022" t="s">
        <v>92</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195</v>
      </c>
      <c r="B3023" t="s">
        <v>616</v>
      </c>
      <c r="C3023" t="s">
        <v>88</v>
      </c>
      <c r="D3023" t="s">
        <v>88</v>
      </c>
      <c r="E3023" t="s">
        <v>709</v>
      </c>
      <c r="F3023" t="s">
        <v>88</v>
      </c>
      <c r="G3023" t="s">
        <v>88</v>
      </c>
      <c r="H3023" t="s">
        <v>92</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195</v>
      </c>
      <c r="B3024" t="s">
        <v>733</v>
      </c>
      <c r="C3024" t="s">
        <v>88</v>
      </c>
      <c r="D3024" t="s">
        <v>88</v>
      </c>
      <c r="E3024" t="s">
        <v>710</v>
      </c>
      <c r="F3024" t="s">
        <v>88</v>
      </c>
      <c r="G3024" t="s">
        <v>88</v>
      </c>
      <c r="H3024" t="s">
        <v>92</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195</v>
      </c>
      <c r="B3025" t="s">
        <v>846</v>
      </c>
      <c r="C3025" t="s">
        <v>88</v>
      </c>
      <c r="D3025" t="s">
        <v>88</v>
      </c>
      <c r="E3025" t="s">
        <v>711</v>
      </c>
      <c r="F3025" t="s">
        <v>88</v>
      </c>
      <c r="G3025" t="s">
        <v>88</v>
      </c>
      <c r="H3025" t="s">
        <v>92</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195</v>
      </c>
      <c r="B3026" t="s">
        <v>795</v>
      </c>
      <c r="C3026" t="s">
        <v>88</v>
      </c>
      <c r="D3026" t="s">
        <v>88</v>
      </c>
      <c r="E3026" t="s">
        <v>713</v>
      </c>
      <c r="F3026" t="s">
        <v>88</v>
      </c>
      <c r="G3026" t="s">
        <v>88</v>
      </c>
      <c r="H3026" t="s">
        <v>92</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195</v>
      </c>
      <c r="B3027" t="s">
        <v>926</v>
      </c>
      <c r="C3027" t="s">
        <v>88</v>
      </c>
      <c r="D3027" t="s">
        <v>88</v>
      </c>
      <c r="E3027" t="s">
        <v>713</v>
      </c>
      <c r="F3027" t="s">
        <v>88</v>
      </c>
      <c r="G3027" t="s">
        <v>88</v>
      </c>
      <c r="H3027" t="s">
        <v>92</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195</v>
      </c>
      <c r="B3028" t="s">
        <v>3258</v>
      </c>
      <c r="C3028" t="s">
        <v>88</v>
      </c>
      <c r="D3028" t="s">
        <v>88</v>
      </c>
      <c r="E3028" t="s">
        <v>735</v>
      </c>
      <c r="F3028" t="s">
        <v>88</v>
      </c>
      <c r="G3028" t="s">
        <v>88</v>
      </c>
      <c r="H3028" t="s">
        <v>92</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195</v>
      </c>
      <c r="B3029" t="s">
        <v>620</v>
      </c>
      <c r="C3029" t="s">
        <v>88</v>
      </c>
      <c r="D3029" t="s">
        <v>88</v>
      </c>
      <c r="E3029" t="s">
        <v>735</v>
      </c>
      <c r="F3029" t="s">
        <v>88</v>
      </c>
      <c r="G3029" t="s">
        <v>88</v>
      </c>
      <c r="H3029" t="s">
        <v>92</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195</v>
      </c>
      <c r="B3030" t="s">
        <v>622</v>
      </c>
      <c r="C3030" t="s">
        <v>88</v>
      </c>
      <c r="D3030" t="s">
        <v>88</v>
      </c>
      <c r="E3030" t="s">
        <v>735</v>
      </c>
      <c r="F3030" t="s">
        <v>88</v>
      </c>
      <c r="G3030" t="s">
        <v>88</v>
      </c>
      <c r="H3030" t="s">
        <v>92</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195</v>
      </c>
      <c r="B3031" t="s">
        <v>3259</v>
      </c>
      <c r="C3031" t="s">
        <v>88</v>
      </c>
      <c r="D3031" t="s">
        <v>88</v>
      </c>
      <c r="E3031" t="s">
        <v>850</v>
      </c>
      <c r="F3031" t="s">
        <v>88</v>
      </c>
      <c r="G3031" t="s">
        <v>88</v>
      </c>
      <c r="H3031" t="s">
        <v>92</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195</v>
      </c>
      <c r="B3032" t="s">
        <v>798</v>
      </c>
      <c r="C3032" t="s">
        <v>88</v>
      </c>
      <c r="D3032" t="s">
        <v>88</v>
      </c>
      <c r="E3032" t="s">
        <v>734</v>
      </c>
      <c r="F3032" t="s">
        <v>88</v>
      </c>
      <c r="G3032" t="s">
        <v>88</v>
      </c>
      <c r="H3032" t="s">
        <v>92</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195</v>
      </c>
      <c r="B3033" t="s">
        <v>982</v>
      </c>
      <c r="C3033" t="s">
        <v>88</v>
      </c>
      <c r="D3033" t="s">
        <v>88</v>
      </c>
      <c r="E3033" t="s">
        <v>734</v>
      </c>
      <c r="F3033" t="s">
        <v>88</v>
      </c>
      <c r="G3033" t="s">
        <v>88</v>
      </c>
      <c r="H3033" t="s">
        <v>92</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195</v>
      </c>
      <c r="B3034" t="s">
        <v>2423</v>
      </c>
      <c r="C3034" t="s">
        <v>88</v>
      </c>
      <c r="D3034" t="s">
        <v>3246</v>
      </c>
      <c r="E3034" t="s">
        <v>807</v>
      </c>
      <c r="F3034" t="s">
        <v>88</v>
      </c>
      <c r="G3034" t="s">
        <v>88</v>
      </c>
      <c r="H3034" t="s">
        <v>92</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195</v>
      </c>
      <c r="B3035" t="s">
        <v>3260</v>
      </c>
      <c r="C3035" t="s">
        <v>88</v>
      </c>
      <c r="D3035" t="s">
        <v>3261</v>
      </c>
      <c r="E3035" t="s">
        <v>812</v>
      </c>
      <c r="F3035" t="s">
        <v>88</v>
      </c>
      <c r="G3035" t="s">
        <v>88</v>
      </c>
      <c r="H3035" t="s">
        <v>92</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195</v>
      </c>
      <c r="B3036" t="s">
        <v>1239</v>
      </c>
      <c r="C3036" t="s">
        <v>88</v>
      </c>
      <c r="D3036" t="s">
        <v>3246</v>
      </c>
      <c r="E3036" t="s">
        <v>1259</v>
      </c>
      <c r="F3036" t="s">
        <v>88</v>
      </c>
      <c r="G3036" t="s">
        <v>88</v>
      </c>
      <c r="H3036" t="s">
        <v>92</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195</v>
      </c>
      <c r="B3037" t="s">
        <v>3262</v>
      </c>
      <c r="C3037" t="s">
        <v>88</v>
      </c>
      <c r="D3037" t="s">
        <v>3246</v>
      </c>
      <c r="E3037" t="s">
        <v>1259</v>
      </c>
      <c r="F3037" t="s">
        <v>88</v>
      </c>
      <c r="G3037" t="s">
        <v>88</v>
      </c>
      <c r="H3037" t="s">
        <v>92</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195</v>
      </c>
      <c r="B3038" t="s">
        <v>1237</v>
      </c>
      <c r="C3038" t="s">
        <v>88</v>
      </c>
      <c r="D3038" t="s">
        <v>3246</v>
      </c>
      <c r="E3038" t="s">
        <v>1255</v>
      </c>
      <c r="F3038" t="s">
        <v>88</v>
      </c>
      <c r="G3038" t="s">
        <v>88</v>
      </c>
      <c r="H3038" t="s">
        <v>92</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195</v>
      </c>
      <c r="B3039" t="s">
        <v>1234</v>
      </c>
      <c r="C3039" t="s">
        <v>88</v>
      </c>
      <c r="D3039" t="s">
        <v>3246</v>
      </c>
      <c r="E3039" t="s">
        <v>1259</v>
      </c>
      <c r="F3039" t="s">
        <v>88</v>
      </c>
      <c r="G3039" t="s">
        <v>88</v>
      </c>
      <c r="H3039" t="s">
        <v>92</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196</v>
      </c>
      <c r="B3040" t="s">
        <v>1830</v>
      </c>
      <c r="C3040" t="s">
        <v>88</v>
      </c>
      <c r="D3040" t="s">
        <v>3263</v>
      </c>
      <c r="E3040" t="s">
        <v>738</v>
      </c>
      <c r="F3040" t="s">
        <v>88</v>
      </c>
      <c r="G3040" t="s">
        <v>88</v>
      </c>
      <c r="H3040" t="s">
        <v>92</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196</v>
      </c>
      <c r="B3041" t="s">
        <v>3264</v>
      </c>
      <c r="C3041" t="s">
        <v>88</v>
      </c>
      <c r="D3041" t="s">
        <v>3265</v>
      </c>
      <c r="E3041" t="s">
        <v>655</v>
      </c>
      <c r="F3041" t="s">
        <v>88</v>
      </c>
      <c r="G3041" t="s">
        <v>88</v>
      </c>
      <c r="H3041" t="s">
        <v>92</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196</v>
      </c>
      <c r="B3042" t="s">
        <v>1830</v>
      </c>
      <c r="C3042" t="s">
        <v>88</v>
      </c>
      <c r="D3042" t="s">
        <v>3263</v>
      </c>
      <c r="E3042" t="s">
        <v>738</v>
      </c>
      <c r="F3042" t="s">
        <v>88</v>
      </c>
      <c r="G3042" t="s">
        <v>88</v>
      </c>
      <c r="H3042" t="s">
        <v>92</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196</v>
      </c>
      <c r="B3043" t="s">
        <v>3266</v>
      </c>
      <c r="C3043" t="s">
        <v>88</v>
      </c>
      <c r="D3043" t="s">
        <v>3263</v>
      </c>
      <c r="E3043" t="s">
        <v>937</v>
      </c>
      <c r="F3043" t="s">
        <v>88</v>
      </c>
      <c r="G3043" t="s">
        <v>88</v>
      </c>
      <c r="H3043" t="s">
        <v>92</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196</v>
      </c>
      <c r="B3044" t="s">
        <v>3264</v>
      </c>
      <c r="C3044" t="s">
        <v>88</v>
      </c>
      <c r="D3044" t="s">
        <v>3265</v>
      </c>
      <c r="E3044" t="s">
        <v>655</v>
      </c>
      <c r="F3044" t="s">
        <v>88</v>
      </c>
      <c r="G3044" t="s">
        <v>88</v>
      </c>
      <c r="H3044" t="s">
        <v>92</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196</v>
      </c>
      <c r="B3045" t="s">
        <v>701</v>
      </c>
      <c r="C3045" t="s">
        <v>88</v>
      </c>
      <c r="D3045" t="s">
        <v>88</v>
      </c>
      <c r="E3045" t="s">
        <v>734</v>
      </c>
      <c r="F3045" t="s">
        <v>88</v>
      </c>
      <c r="G3045" t="s">
        <v>88</v>
      </c>
      <c r="H3045" t="s">
        <v>92</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196</v>
      </c>
      <c r="B3046" t="s">
        <v>704</v>
      </c>
      <c r="C3046" t="s">
        <v>88</v>
      </c>
      <c r="D3046" t="s">
        <v>88</v>
      </c>
      <c r="E3046" t="s">
        <v>734</v>
      </c>
      <c r="F3046" t="s">
        <v>88</v>
      </c>
      <c r="G3046" t="s">
        <v>88</v>
      </c>
      <c r="H3046" t="s">
        <v>92</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196</v>
      </c>
      <c r="B3047" t="s">
        <v>612</v>
      </c>
      <c r="C3047" t="s">
        <v>88</v>
      </c>
      <c r="D3047" t="s">
        <v>88</v>
      </c>
      <c r="E3047" t="s">
        <v>734</v>
      </c>
      <c r="F3047" t="s">
        <v>88</v>
      </c>
      <c r="G3047" t="s">
        <v>88</v>
      </c>
      <c r="H3047" t="s">
        <v>92</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196</v>
      </c>
      <c r="B3048" t="s">
        <v>1031</v>
      </c>
      <c r="C3048" t="s">
        <v>88</v>
      </c>
      <c r="D3048" t="s">
        <v>88</v>
      </c>
      <c r="E3048" t="s">
        <v>710</v>
      </c>
      <c r="F3048" t="s">
        <v>88</v>
      </c>
      <c r="G3048" t="s">
        <v>88</v>
      </c>
      <c r="H3048" t="s">
        <v>92</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196</v>
      </c>
      <c r="B3049" t="s">
        <v>1399</v>
      </c>
      <c r="C3049" t="s">
        <v>88</v>
      </c>
      <c r="D3049" t="s">
        <v>88</v>
      </c>
      <c r="E3049" t="s">
        <v>710</v>
      </c>
      <c r="F3049" t="s">
        <v>88</v>
      </c>
      <c r="G3049" t="s">
        <v>88</v>
      </c>
      <c r="H3049" t="s">
        <v>92</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196</v>
      </c>
      <c r="B3050" t="s">
        <v>623</v>
      </c>
      <c r="C3050" t="s">
        <v>88</v>
      </c>
      <c r="D3050" t="s">
        <v>88</v>
      </c>
      <c r="E3050" t="s">
        <v>735</v>
      </c>
      <c r="F3050" t="s">
        <v>88</v>
      </c>
      <c r="G3050" t="s">
        <v>88</v>
      </c>
      <c r="H3050" t="s">
        <v>92</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196</v>
      </c>
      <c r="B3051" t="s">
        <v>625</v>
      </c>
      <c r="C3051" t="s">
        <v>88</v>
      </c>
      <c r="D3051" t="s">
        <v>88</v>
      </c>
      <c r="E3051" t="s">
        <v>626</v>
      </c>
      <c r="F3051" t="s">
        <v>88</v>
      </c>
      <c r="G3051" t="s">
        <v>88</v>
      </c>
      <c r="H3051" t="s">
        <v>92</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198</v>
      </c>
      <c r="B3052" t="s">
        <v>3267</v>
      </c>
      <c r="C3052" t="s">
        <v>88</v>
      </c>
      <c r="D3052" t="s">
        <v>3268</v>
      </c>
      <c r="E3052" t="s">
        <v>658</v>
      </c>
      <c r="F3052" t="s">
        <v>88</v>
      </c>
      <c r="G3052" t="s">
        <v>88</v>
      </c>
      <c r="H3052" t="s">
        <v>92</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198</v>
      </c>
      <c r="B3053" t="s">
        <v>3269</v>
      </c>
      <c r="C3053" t="s">
        <v>88</v>
      </c>
      <c r="D3053" t="s">
        <v>3270</v>
      </c>
      <c r="E3053" t="s">
        <v>658</v>
      </c>
      <c r="F3053" t="s">
        <v>88</v>
      </c>
      <c r="G3053" t="s">
        <v>88</v>
      </c>
      <c r="H3053" t="s">
        <v>92</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198</v>
      </c>
      <c r="B3054" t="s">
        <v>3271</v>
      </c>
      <c r="C3054" t="s">
        <v>88</v>
      </c>
      <c r="D3054" t="s">
        <v>3272</v>
      </c>
      <c r="E3054" t="s">
        <v>780</v>
      </c>
      <c r="F3054" t="s">
        <v>88</v>
      </c>
      <c r="G3054" t="s">
        <v>88</v>
      </c>
      <c r="H3054" t="s">
        <v>92</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198</v>
      </c>
      <c r="B3055" t="s">
        <v>3273</v>
      </c>
      <c r="C3055" t="s">
        <v>88</v>
      </c>
      <c r="D3055" t="s">
        <v>3274</v>
      </c>
      <c r="E3055" t="s">
        <v>937</v>
      </c>
      <c r="F3055" t="s">
        <v>88</v>
      </c>
      <c r="G3055" t="s">
        <v>88</v>
      </c>
      <c r="H3055" t="s">
        <v>92</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198</v>
      </c>
      <c r="B3056" t="s">
        <v>199</v>
      </c>
      <c r="C3056" t="s">
        <v>88</v>
      </c>
      <c r="D3056" t="s">
        <v>3275</v>
      </c>
      <c r="E3056" t="s">
        <v>692</v>
      </c>
      <c r="F3056" t="s">
        <v>88</v>
      </c>
      <c r="G3056" t="s">
        <v>88</v>
      </c>
      <c r="H3056" t="s">
        <v>92</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198</v>
      </c>
      <c r="B3057" t="s">
        <v>3276</v>
      </c>
      <c r="C3057" t="s">
        <v>88</v>
      </c>
      <c r="D3057" t="s">
        <v>3277</v>
      </c>
      <c r="E3057" t="s">
        <v>679</v>
      </c>
      <c r="F3057" t="s">
        <v>88</v>
      </c>
      <c r="G3057" t="s">
        <v>88</v>
      </c>
      <c r="H3057" t="s">
        <v>92</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198</v>
      </c>
      <c r="B3058" t="s">
        <v>3278</v>
      </c>
      <c r="C3058" t="s">
        <v>88</v>
      </c>
      <c r="D3058" t="s">
        <v>3279</v>
      </c>
      <c r="E3058" t="s">
        <v>3280</v>
      </c>
      <c r="F3058" t="s">
        <v>88</v>
      </c>
      <c r="G3058" t="s">
        <v>88</v>
      </c>
      <c r="H3058" t="s">
        <v>92</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198</v>
      </c>
      <c r="B3059" t="s">
        <v>199</v>
      </c>
      <c r="C3059" t="s">
        <v>88</v>
      </c>
      <c r="D3059" t="s">
        <v>3275</v>
      </c>
      <c r="E3059" t="s">
        <v>692</v>
      </c>
      <c r="F3059" t="s">
        <v>88</v>
      </c>
      <c r="G3059" t="s">
        <v>88</v>
      </c>
      <c r="H3059" t="s">
        <v>92</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198</v>
      </c>
      <c r="B3060" t="s">
        <v>3281</v>
      </c>
      <c r="C3060" t="s">
        <v>88</v>
      </c>
      <c r="D3060" t="s">
        <v>3282</v>
      </c>
      <c r="E3060" t="s">
        <v>692</v>
      </c>
      <c r="F3060" t="s">
        <v>88</v>
      </c>
      <c r="G3060" t="s">
        <v>88</v>
      </c>
      <c r="H3060" t="s">
        <v>92</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198</v>
      </c>
      <c r="B3061" t="s">
        <v>768</v>
      </c>
      <c r="C3061" t="s">
        <v>88</v>
      </c>
      <c r="D3061" t="s">
        <v>3283</v>
      </c>
      <c r="E3061" t="s">
        <v>700</v>
      </c>
      <c r="F3061" t="s">
        <v>88</v>
      </c>
      <c r="G3061" t="s">
        <v>88</v>
      </c>
      <c r="H3061" t="s">
        <v>92</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198</v>
      </c>
      <c r="B3062" t="s">
        <v>3284</v>
      </c>
      <c r="C3062" t="s">
        <v>88</v>
      </c>
      <c r="D3062" t="s">
        <v>3275</v>
      </c>
      <c r="E3062" t="s">
        <v>700</v>
      </c>
      <c r="F3062" t="s">
        <v>88</v>
      </c>
      <c r="G3062" t="s">
        <v>88</v>
      </c>
      <c r="H3062" t="s">
        <v>92</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198</v>
      </c>
      <c r="B3063" t="s">
        <v>3273</v>
      </c>
      <c r="C3063" t="s">
        <v>88</v>
      </c>
      <c r="D3063" t="s">
        <v>3274</v>
      </c>
      <c r="E3063" t="s">
        <v>937</v>
      </c>
      <c r="F3063" t="s">
        <v>88</v>
      </c>
      <c r="G3063" t="s">
        <v>88</v>
      </c>
      <c r="H3063" t="s">
        <v>92</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198</v>
      </c>
      <c r="B3064" t="s">
        <v>3285</v>
      </c>
      <c r="C3064" t="s">
        <v>88</v>
      </c>
      <c r="D3064" t="s">
        <v>3275</v>
      </c>
      <c r="E3064" t="s">
        <v>937</v>
      </c>
      <c r="F3064" t="s">
        <v>88</v>
      </c>
      <c r="G3064" t="s">
        <v>88</v>
      </c>
      <c r="H3064" t="s">
        <v>92</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198</v>
      </c>
      <c r="B3065" t="s">
        <v>3269</v>
      </c>
      <c r="C3065" t="s">
        <v>88</v>
      </c>
      <c r="D3065" t="s">
        <v>3270</v>
      </c>
      <c r="E3065" t="s">
        <v>658</v>
      </c>
      <c r="F3065" t="s">
        <v>88</v>
      </c>
      <c r="G3065" t="s">
        <v>88</v>
      </c>
      <c r="H3065" t="s">
        <v>92</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198</v>
      </c>
      <c r="B3066" t="s">
        <v>3267</v>
      </c>
      <c r="C3066" t="s">
        <v>88</v>
      </c>
      <c r="D3066" t="s">
        <v>3268</v>
      </c>
      <c r="E3066" t="s">
        <v>658</v>
      </c>
      <c r="F3066" t="s">
        <v>88</v>
      </c>
      <c r="G3066" t="s">
        <v>88</v>
      </c>
      <c r="H3066" t="s">
        <v>92</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198</v>
      </c>
      <c r="B3067" t="s">
        <v>3286</v>
      </c>
      <c r="C3067" t="s">
        <v>88</v>
      </c>
      <c r="D3067" t="s">
        <v>3287</v>
      </c>
      <c r="E3067" t="s">
        <v>658</v>
      </c>
      <c r="F3067" t="s">
        <v>88</v>
      </c>
      <c r="G3067" t="s">
        <v>88</v>
      </c>
      <c r="H3067" t="s">
        <v>92</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198</v>
      </c>
      <c r="B3068" t="s">
        <v>3288</v>
      </c>
      <c r="C3068" t="s">
        <v>88</v>
      </c>
      <c r="D3068" t="s">
        <v>88</v>
      </c>
      <c r="E3068" t="s">
        <v>1594</v>
      </c>
      <c r="F3068" t="s">
        <v>88</v>
      </c>
      <c r="G3068" t="s">
        <v>88</v>
      </c>
      <c r="H3068" t="s">
        <v>92</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198</v>
      </c>
      <c r="B3069" t="s">
        <v>3271</v>
      </c>
      <c r="C3069" t="s">
        <v>88</v>
      </c>
      <c r="D3069" t="s">
        <v>3272</v>
      </c>
      <c r="E3069" t="s">
        <v>780</v>
      </c>
      <c r="F3069" t="s">
        <v>88</v>
      </c>
      <c r="G3069" t="s">
        <v>88</v>
      </c>
      <c r="H3069" t="s">
        <v>92</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198</v>
      </c>
      <c r="B3070" t="s">
        <v>1072</v>
      </c>
      <c r="C3070" t="s">
        <v>88</v>
      </c>
      <c r="D3070" t="s">
        <v>88</v>
      </c>
      <c r="E3070" t="s">
        <v>734</v>
      </c>
      <c r="F3070" t="s">
        <v>88</v>
      </c>
      <c r="G3070" t="s">
        <v>88</v>
      </c>
      <c r="H3070" t="s">
        <v>92</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198</v>
      </c>
      <c r="B3071" t="s">
        <v>701</v>
      </c>
      <c r="C3071" t="s">
        <v>88</v>
      </c>
      <c r="D3071" t="s">
        <v>88</v>
      </c>
      <c r="E3071" t="s">
        <v>734</v>
      </c>
      <c r="F3071" t="s">
        <v>88</v>
      </c>
      <c r="G3071" t="s">
        <v>88</v>
      </c>
      <c r="H3071" t="s">
        <v>92</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198</v>
      </c>
      <c r="B3072" t="s">
        <v>3289</v>
      </c>
      <c r="C3072" t="s">
        <v>88</v>
      </c>
      <c r="D3072" t="s">
        <v>88</v>
      </c>
      <c r="E3072" t="s">
        <v>710</v>
      </c>
      <c r="F3072" t="s">
        <v>88</v>
      </c>
      <c r="G3072" t="s">
        <v>88</v>
      </c>
      <c r="H3072" t="s">
        <v>92</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198</v>
      </c>
      <c r="B3073" t="s">
        <v>1820</v>
      </c>
      <c r="C3073" t="s">
        <v>88</v>
      </c>
      <c r="D3073" t="s">
        <v>88</v>
      </c>
      <c r="E3073" t="s">
        <v>711</v>
      </c>
      <c r="F3073" t="s">
        <v>88</v>
      </c>
      <c r="G3073" t="s">
        <v>88</v>
      </c>
      <c r="H3073" t="s">
        <v>92</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198</v>
      </c>
      <c r="B3074" t="s">
        <v>620</v>
      </c>
      <c r="C3074" t="s">
        <v>88</v>
      </c>
      <c r="D3074" t="s">
        <v>88</v>
      </c>
      <c r="E3074" t="s">
        <v>710</v>
      </c>
      <c r="F3074" t="s">
        <v>88</v>
      </c>
      <c r="G3074" t="s">
        <v>88</v>
      </c>
      <c r="H3074" t="s">
        <v>92</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198</v>
      </c>
      <c r="B3075" t="s">
        <v>622</v>
      </c>
      <c r="C3075" t="s">
        <v>88</v>
      </c>
      <c r="D3075" t="s">
        <v>88</v>
      </c>
      <c r="E3075" t="s">
        <v>735</v>
      </c>
      <c r="F3075" t="s">
        <v>88</v>
      </c>
      <c r="G3075" t="s">
        <v>88</v>
      </c>
      <c r="H3075" t="s">
        <v>92</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198</v>
      </c>
      <c r="B3076" t="s">
        <v>623</v>
      </c>
      <c r="C3076" t="s">
        <v>88</v>
      </c>
      <c r="D3076" t="s">
        <v>88</v>
      </c>
      <c r="E3076" t="s">
        <v>849</v>
      </c>
      <c r="F3076" t="s">
        <v>88</v>
      </c>
      <c r="G3076" t="s">
        <v>88</v>
      </c>
      <c r="H3076" t="s">
        <v>92</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200</v>
      </c>
      <c r="B3077" t="s">
        <v>876</v>
      </c>
      <c r="C3077" t="s">
        <v>88</v>
      </c>
      <c r="D3077" t="s">
        <v>3290</v>
      </c>
      <c r="E3077" t="s">
        <v>820</v>
      </c>
      <c r="F3077" t="s">
        <v>88</v>
      </c>
      <c r="G3077" t="s">
        <v>88</v>
      </c>
      <c r="H3077" t="s">
        <v>92</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200</v>
      </c>
      <c r="B3078" t="s">
        <v>736</v>
      </c>
      <c r="C3078" t="s">
        <v>88</v>
      </c>
      <c r="D3078" t="s">
        <v>3291</v>
      </c>
      <c r="E3078" t="s">
        <v>893</v>
      </c>
      <c r="F3078" t="s">
        <v>88</v>
      </c>
      <c r="G3078" t="s">
        <v>88</v>
      </c>
      <c r="H3078" t="s">
        <v>92</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200</v>
      </c>
      <c r="B3079" t="s">
        <v>3292</v>
      </c>
      <c r="C3079" t="s">
        <v>88</v>
      </c>
      <c r="D3079" t="s">
        <v>3290</v>
      </c>
      <c r="E3079" t="s">
        <v>844</v>
      </c>
      <c r="F3079" t="s">
        <v>88</v>
      </c>
      <c r="G3079" t="s">
        <v>88</v>
      </c>
      <c r="H3079" t="s">
        <v>92</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200</v>
      </c>
      <c r="B3080" t="s">
        <v>2021</v>
      </c>
      <c r="C3080" t="s">
        <v>88</v>
      </c>
      <c r="D3080" t="s">
        <v>3293</v>
      </c>
      <c r="E3080" t="s">
        <v>655</v>
      </c>
      <c r="F3080" t="s">
        <v>88</v>
      </c>
      <c r="G3080" t="s">
        <v>88</v>
      </c>
      <c r="H3080" t="s">
        <v>92</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200</v>
      </c>
      <c r="B3081" t="s">
        <v>1677</v>
      </c>
      <c r="C3081" t="s">
        <v>88</v>
      </c>
      <c r="D3081" t="s">
        <v>3290</v>
      </c>
      <c r="E3081" t="s">
        <v>820</v>
      </c>
      <c r="F3081" t="s">
        <v>88</v>
      </c>
      <c r="G3081" t="s">
        <v>88</v>
      </c>
      <c r="H3081" t="s">
        <v>92</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200</v>
      </c>
      <c r="B3082" t="s">
        <v>3294</v>
      </c>
      <c r="C3082" t="s">
        <v>88</v>
      </c>
      <c r="D3082" t="s">
        <v>3290</v>
      </c>
      <c r="E3082" t="s">
        <v>844</v>
      </c>
      <c r="F3082" t="s">
        <v>88</v>
      </c>
      <c r="G3082" t="s">
        <v>88</v>
      </c>
      <c r="H3082" t="s">
        <v>92</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200</v>
      </c>
      <c r="B3083" t="s">
        <v>3295</v>
      </c>
      <c r="C3083" t="s">
        <v>88</v>
      </c>
      <c r="D3083" t="s">
        <v>3290</v>
      </c>
      <c r="E3083" t="s">
        <v>820</v>
      </c>
      <c r="F3083" t="s">
        <v>88</v>
      </c>
      <c r="G3083" t="s">
        <v>88</v>
      </c>
      <c r="H3083" t="s">
        <v>92</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200</v>
      </c>
      <c r="B3084" t="s">
        <v>3292</v>
      </c>
      <c r="C3084" t="s">
        <v>88</v>
      </c>
      <c r="D3084" t="s">
        <v>3290</v>
      </c>
      <c r="E3084" t="s">
        <v>844</v>
      </c>
      <c r="F3084" t="s">
        <v>88</v>
      </c>
      <c r="G3084" t="s">
        <v>88</v>
      </c>
      <c r="H3084" t="s">
        <v>92</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200</v>
      </c>
      <c r="B3085" t="s">
        <v>3296</v>
      </c>
      <c r="C3085" t="s">
        <v>88</v>
      </c>
      <c r="D3085" t="s">
        <v>3290</v>
      </c>
      <c r="E3085" t="s">
        <v>820</v>
      </c>
      <c r="F3085" t="s">
        <v>88</v>
      </c>
      <c r="G3085" t="s">
        <v>88</v>
      </c>
      <c r="H3085" t="s">
        <v>92</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200</v>
      </c>
      <c r="B3086" t="s">
        <v>3297</v>
      </c>
      <c r="C3086" t="s">
        <v>88</v>
      </c>
      <c r="D3086" t="s">
        <v>3290</v>
      </c>
      <c r="E3086" t="s">
        <v>841</v>
      </c>
      <c r="F3086" t="s">
        <v>88</v>
      </c>
      <c r="G3086" t="s">
        <v>88</v>
      </c>
      <c r="H3086" t="s">
        <v>92</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200</v>
      </c>
      <c r="B3087" t="s">
        <v>759</v>
      </c>
      <c r="C3087" t="s">
        <v>88</v>
      </c>
      <c r="D3087" t="s">
        <v>3290</v>
      </c>
      <c r="E3087" t="s">
        <v>844</v>
      </c>
      <c r="F3087" t="s">
        <v>88</v>
      </c>
      <c r="G3087" t="s">
        <v>88</v>
      </c>
      <c r="H3087" t="s">
        <v>92</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200</v>
      </c>
      <c r="B3088" t="s">
        <v>876</v>
      </c>
      <c r="C3088" t="s">
        <v>88</v>
      </c>
      <c r="D3088" t="s">
        <v>3290</v>
      </c>
      <c r="E3088" t="s">
        <v>820</v>
      </c>
      <c r="F3088" t="s">
        <v>88</v>
      </c>
      <c r="G3088" t="s">
        <v>88</v>
      </c>
      <c r="H3088" t="s">
        <v>92</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200</v>
      </c>
      <c r="B3089" t="s">
        <v>1677</v>
      </c>
      <c r="C3089" t="s">
        <v>88</v>
      </c>
      <c r="D3089" t="s">
        <v>3290</v>
      </c>
      <c r="E3089" t="s">
        <v>820</v>
      </c>
      <c r="F3089" t="s">
        <v>88</v>
      </c>
      <c r="G3089" t="s">
        <v>88</v>
      </c>
      <c r="H3089" t="s">
        <v>92</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200</v>
      </c>
      <c r="B3090" t="s">
        <v>736</v>
      </c>
      <c r="C3090" t="s">
        <v>88</v>
      </c>
      <c r="D3090" t="s">
        <v>3291</v>
      </c>
      <c r="E3090" t="s">
        <v>893</v>
      </c>
      <c r="F3090" t="s">
        <v>88</v>
      </c>
      <c r="G3090" t="s">
        <v>88</v>
      </c>
      <c r="H3090" t="s">
        <v>92</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200</v>
      </c>
      <c r="B3091" t="s">
        <v>777</v>
      </c>
      <c r="C3091" t="s">
        <v>88</v>
      </c>
      <c r="D3091" t="s">
        <v>3291</v>
      </c>
      <c r="E3091" t="s">
        <v>893</v>
      </c>
      <c r="F3091" t="s">
        <v>88</v>
      </c>
      <c r="G3091" t="s">
        <v>88</v>
      </c>
      <c r="H3091" t="s">
        <v>92</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200</v>
      </c>
      <c r="B3092" t="s">
        <v>1395</v>
      </c>
      <c r="C3092" t="s">
        <v>88</v>
      </c>
      <c r="D3092" t="s">
        <v>3291</v>
      </c>
      <c r="E3092" t="s">
        <v>893</v>
      </c>
      <c r="F3092" t="s">
        <v>88</v>
      </c>
      <c r="G3092" t="s">
        <v>88</v>
      </c>
      <c r="H3092" t="s">
        <v>92</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200</v>
      </c>
      <c r="B3093" t="s">
        <v>2021</v>
      </c>
      <c r="C3093" t="s">
        <v>88</v>
      </c>
      <c r="D3093" t="s">
        <v>3293</v>
      </c>
      <c r="E3093" t="s">
        <v>655</v>
      </c>
      <c r="F3093" t="s">
        <v>88</v>
      </c>
      <c r="G3093" t="s">
        <v>88</v>
      </c>
      <c r="H3093" t="s">
        <v>92</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200</v>
      </c>
      <c r="B3094" t="s">
        <v>895</v>
      </c>
      <c r="C3094" t="s">
        <v>88</v>
      </c>
      <c r="D3094" t="s">
        <v>3293</v>
      </c>
      <c r="E3094" t="s">
        <v>692</v>
      </c>
      <c r="F3094" t="s">
        <v>88</v>
      </c>
      <c r="G3094" t="s">
        <v>88</v>
      </c>
      <c r="H3094" t="s">
        <v>92</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200</v>
      </c>
      <c r="B3095" t="s">
        <v>892</v>
      </c>
      <c r="C3095" t="s">
        <v>88</v>
      </c>
      <c r="D3095" t="s">
        <v>3293</v>
      </c>
      <c r="E3095" t="s">
        <v>655</v>
      </c>
      <c r="F3095" t="s">
        <v>88</v>
      </c>
      <c r="G3095" t="s">
        <v>88</v>
      </c>
      <c r="H3095" t="s">
        <v>92</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200</v>
      </c>
      <c r="B3096" t="s">
        <v>896</v>
      </c>
      <c r="C3096" t="s">
        <v>88</v>
      </c>
      <c r="D3096" t="s">
        <v>3293</v>
      </c>
      <c r="E3096" t="s">
        <v>1006</v>
      </c>
      <c r="F3096" t="s">
        <v>88</v>
      </c>
      <c r="G3096" t="s">
        <v>88</v>
      </c>
      <c r="H3096" t="s">
        <v>92</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200</v>
      </c>
      <c r="B3097" t="s">
        <v>1733</v>
      </c>
      <c r="C3097" t="s">
        <v>88</v>
      </c>
      <c r="D3097" t="s">
        <v>3293</v>
      </c>
      <c r="E3097" t="s">
        <v>655</v>
      </c>
      <c r="F3097" t="s">
        <v>88</v>
      </c>
      <c r="G3097" t="s">
        <v>88</v>
      </c>
      <c r="H3097" t="s">
        <v>92</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200</v>
      </c>
      <c r="B3098" t="s">
        <v>701</v>
      </c>
      <c r="C3098" t="s">
        <v>88</v>
      </c>
      <c r="D3098" t="s">
        <v>88</v>
      </c>
      <c r="E3098" t="s">
        <v>734</v>
      </c>
      <c r="F3098" t="s">
        <v>88</v>
      </c>
      <c r="G3098" t="s">
        <v>88</v>
      </c>
      <c r="H3098" t="s">
        <v>92</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200</v>
      </c>
      <c r="B3099" t="s">
        <v>705</v>
      </c>
      <c r="C3099" t="s">
        <v>88</v>
      </c>
      <c r="D3099" t="s">
        <v>88</v>
      </c>
      <c r="E3099" t="s">
        <v>734</v>
      </c>
      <c r="F3099" t="s">
        <v>88</v>
      </c>
      <c r="G3099" t="s">
        <v>88</v>
      </c>
      <c r="H3099" t="s">
        <v>92</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200</v>
      </c>
      <c r="B3100" t="s">
        <v>846</v>
      </c>
      <c r="C3100" t="s">
        <v>88</v>
      </c>
      <c r="D3100" t="s">
        <v>88</v>
      </c>
      <c r="E3100" t="s">
        <v>709</v>
      </c>
      <c r="F3100" t="s">
        <v>88</v>
      </c>
      <c r="G3100" t="s">
        <v>88</v>
      </c>
      <c r="H3100" t="s">
        <v>92</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200</v>
      </c>
      <c r="B3101" t="s">
        <v>618</v>
      </c>
      <c r="C3101" t="s">
        <v>88</v>
      </c>
      <c r="D3101" t="s">
        <v>88</v>
      </c>
      <c r="E3101" t="s">
        <v>711</v>
      </c>
      <c r="F3101" t="s">
        <v>88</v>
      </c>
      <c r="G3101" t="s">
        <v>88</v>
      </c>
      <c r="H3101" t="s">
        <v>92</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200</v>
      </c>
      <c r="B3102" t="s">
        <v>622</v>
      </c>
      <c r="C3102" t="s">
        <v>88</v>
      </c>
      <c r="D3102" t="s">
        <v>88</v>
      </c>
      <c r="E3102" t="s">
        <v>711</v>
      </c>
      <c r="F3102" t="s">
        <v>88</v>
      </c>
      <c r="G3102" t="s">
        <v>88</v>
      </c>
      <c r="H3102" t="s">
        <v>92</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200</v>
      </c>
      <c r="B3103" t="s">
        <v>623</v>
      </c>
      <c r="C3103" t="s">
        <v>88</v>
      </c>
      <c r="D3103" t="s">
        <v>88</v>
      </c>
      <c r="E3103" t="s">
        <v>735</v>
      </c>
      <c r="F3103" t="s">
        <v>88</v>
      </c>
      <c r="G3103" t="s">
        <v>88</v>
      </c>
      <c r="H3103" t="s">
        <v>92</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200</v>
      </c>
      <c r="B3104" t="s">
        <v>625</v>
      </c>
      <c r="C3104" t="s">
        <v>88</v>
      </c>
      <c r="D3104" t="s">
        <v>88</v>
      </c>
      <c r="E3104" t="s">
        <v>626</v>
      </c>
      <c r="F3104" t="s">
        <v>88</v>
      </c>
      <c r="G3104" t="s">
        <v>88</v>
      </c>
      <c r="H3104" t="s">
        <v>92</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201</v>
      </c>
      <c r="B3105" t="s">
        <v>2185</v>
      </c>
      <c r="C3105" t="s">
        <v>88</v>
      </c>
      <c r="D3105" t="s">
        <v>88</v>
      </c>
      <c r="E3105" t="s">
        <v>738</v>
      </c>
      <c r="F3105" t="s">
        <v>88</v>
      </c>
      <c r="G3105" t="s">
        <v>88</v>
      </c>
      <c r="H3105" t="s">
        <v>92</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201</v>
      </c>
      <c r="B3106" t="s">
        <v>1780</v>
      </c>
      <c r="C3106" t="s">
        <v>88</v>
      </c>
      <c r="D3106" t="s">
        <v>88</v>
      </c>
      <c r="E3106" t="s">
        <v>780</v>
      </c>
      <c r="F3106" t="s">
        <v>88</v>
      </c>
      <c r="G3106" t="s">
        <v>88</v>
      </c>
      <c r="H3106" t="s">
        <v>92</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201</v>
      </c>
      <c r="B3107" t="s">
        <v>876</v>
      </c>
      <c r="C3107" t="s">
        <v>88</v>
      </c>
      <c r="D3107" t="s">
        <v>3298</v>
      </c>
      <c r="E3107" t="s">
        <v>692</v>
      </c>
      <c r="F3107" t="s">
        <v>88</v>
      </c>
      <c r="G3107" t="s">
        <v>88</v>
      </c>
      <c r="H3107" t="s">
        <v>92</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201</v>
      </c>
      <c r="B3108" t="s">
        <v>3299</v>
      </c>
      <c r="C3108" t="s">
        <v>88</v>
      </c>
      <c r="D3108" t="s">
        <v>3300</v>
      </c>
      <c r="E3108" t="s">
        <v>844</v>
      </c>
      <c r="F3108" t="s">
        <v>88</v>
      </c>
      <c r="G3108" t="s">
        <v>88</v>
      </c>
      <c r="H3108" t="s">
        <v>92</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201</v>
      </c>
      <c r="B3109" t="s">
        <v>898</v>
      </c>
      <c r="C3109" t="s">
        <v>88</v>
      </c>
      <c r="D3109" t="s">
        <v>3298</v>
      </c>
      <c r="E3109" t="s">
        <v>964</v>
      </c>
      <c r="F3109" t="s">
        <v>88</v>
      </c>
      <c r="G3109" t="s">
        <v>88</v>
      </c>
      <c r="H3109" t="s">
        <v>92</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201</v>
      </c>
      <c r="B3110" t="s">
        <v>740</v>
      </c>
      <c r="C3110" t="s">
        <v>88</v>
      </c>
      <c r="D3110" t="s">
        <v>3298</v>
      </c>
      <c r="E3110" t="s">
        <v>692</v>
      </c>
      <c r="F3110" t="s">
        <v>88</v>
      </c>
      <c r="G3110" t="s">
        <v>88</v>
      </c>
      <c r="H3110" t="s">
        <v>92</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201</v>
      </c>
      <c r="B3111" t="s">
        <v>764</v>
      </c>
      <c r="C3111" t="s">
        <v>88</v>
      </c>
      <c r="D3111" t="s">
        <v>3298</v>
      </c>
      <c r="E3111" t="s">
        <v>692</v>
      </c>
      <c r="F3111" t="s">
        <v>88</v>
      </c>
      <c r="G3111" t="s">
        <v>88</v>
      </c>
      <c r="H3111" t="s">
        <v>92</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201</v>
      </c>
      <c r="B3112" t="s">
        <v>759</v>
      </c>
      <c r="C3112" t="s">
        <v>88</v>
      </c>
      <c r="D3112" t="s">
        <v>3298</v>
      </c>
      <c r="E3112" t="s">
        <v>844</v>
      </c>
      <c r="F3112" t="s">
        <v>88</v>
      </c>
      <c r="G3112" t="s">
        <v>88</v>
      </c>
      <c r="H3112" t="s">
        <v>92</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201</v>
      </c>
      <c r="B3113" t="s">
        <v>901</v>
      </c>
      <c r="C3113" t="s">
        <v>88</v>
      </c>
      <c r="D3113" t="s">
        <v>3298</v>
      </c>
      <c r="E3113" t="s">
        <v>676</v>
      </c>
      <c r="F3113" t="s">
        <v>88</v>
      </c>
      <c r="G3113" t="s">
        <v>88</v>
      </c>
      <c r="H3113" t="s">
        <v>92</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201</v>
      </c>
      <c r="B3114" t="s">
        <v>768</v>
      </c>
      <c r="C3114" t="s">
        <v>88</v>
      </c>
      <c r="D3114" t="s">
        <v>3298</v>
      </c>
      <c r="E3114" t="s">
        <v>692</v>
      </c>
      <c r="F3114" t="s">
        <v>88</v>
      </c>
      <c r="G3114" t="s">
        <v>88</v>
      </c>
      <c r="H3114" t="s">
        <v>92</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201</v>
      </c>
      <c r="B3115" t="s">
        <v>769</v>
      </c>
      <c r="C3115" t="s">
        <v>88</v>
      </c>
      <c r="D3115" t="s">
        <v>3301</v>
      </c>
      <c r="E3115" t="s">
        <v>825</v>
      </c>
      <c r="F3115" t="s">
        <v>88</v>
      </c>
      <c r="G3115" t="s">
        <v>88</v>
      </c>
      <c r="H3115" t="s">
        <v>92</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201</v>
      </c>
      <c r="B3116" t="s">
        <v>2021</v>
      </c>
      <c r="C3116" t="s">
        <v>88</v>
      </c>
      <c r="D3116" t="s">
        <v>3302</v>
      </c>
      <c r="E3116" t="s">
        <v>791</v>
      </c>
      <c r="F3116" t="s">
        <v>88</v>
      </c>
      <c r="G3116" t="s">
        <v>88</v>
      </c>
      <c r="H3116" t="s">
        <v>92</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201</v>
      </c>
      <c r="B3117" t="s">
        <v>1374</v>
      </c>
      <c r="C3117" t="s">
        <v>88</v>
      </c>
      <c r="D3117" t="s">
        <v>3302</v>
      </c>
      <c r="E3117" t="s">
        <v>734</v>
      </c>
      <c r="F3117" t="s">
        <v>88</v>
      </c>
      <c r="G3117" t="s">
        <v>88</v>
      </c>
      <c r="H3117" t="s">
        <v>92</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201</v>
      </c>
      <c r="B3118" t="s">
        <v>892</v>
      </c>
      <c r="C3118" t="s">
        <v>88</v>
      </c>
      <c r="D3118" t="s">
        <v>3303</v>
      </c>
      <c r="E3118" t="s">
        <v>655</v>
      </c>
      <c r="F3118" t="s">
        <v>88</v>
      </c>
      <c r="G3118" t="s">
        <v>88</v>
      </c>
      <c r="H3118" t="s">
        <v>92</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201</v>
      </c>
      <c r="B3119" t="s">
        <v>895</v>
      </c>
      <c r="C3119" t="s">
        <v>88</v>
      </c>
      <c r="D3119" t="s">
        <v>3303</v>
      </c>
      <c r="E3119" t="s">
        <v>893</v>
      </c>
      <c r="F3119" t="s">
        <v>88</v>
      </c>
      <c r="G3119" t="s">
        <v>88</v>
      </c>
      <c r="H3119" t="s">
        <v>92</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201</v>
      </c>
      <c r="B3120" t="s">
        <v>896</v>
      </c>
      <c r="C3120" t="s">
        <v>88</v>
      </c>
      <c r="D3120" t="s">
        <v>3303</v>
      </c>
      <c r="E3120" t="s">
        <v>2686</v>
      </c>
      <c r="F3120" t="s">
        <v>88</v>
      </c>
      <c r="G3120" t="s">
        <v>88</v>
      </c>
      <c r="H3120" t="s">
        <v>92</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201</v>
      </c>
      <c r="B3121" t="s">
        <v>890</v>
      </c>
      <c r="C3121" t="s">
        <v>88</v>
      </c>
      <c r="D3121" t="s">
        <v>3303</v>
      </c>
      <c r="E3121" t="s">
        <v>893</v>
      </c>
      <c r="F3121" t="s">
        <v>88</v>
      </c>
      <c r="G3121" t="s">
        <v>88</v>
      </c>
      <c r="H3121" t="s">
        <v>92</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201</v>
      </c>
      <c r="B3122" t="s">
        <v>1380</v>
      </c>
      <c r="C3122" t="s">
        <v>88</v>
      </c>
      <c r="D3122" t="s">
        <v>3304</v>
      </c>
      <c r="E3122" t="s">
        <v>692</v>
      </c>
      <c r="F3122" t="s">
        <v>88</v>
      </c>
      <c r="G3122" t="s">
        <v>88</v>
      </c>
      <c r="H3122" t="s">
        <v>92</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201</v>
      </c>
      <c r="B3123" t="s">
        <v>1733</v>
      </c>
      <c r="C3123" t="s">
        <v>88</v>
      </c>
      <c r="D3123" t="s">
        <v>3303</v>
      </c>
      <c r="E3123" t="s">
        <v>717</v>
      </c>
      <c r="F3123" t="s">
        <v>88</v>
      </c>
      <c r="G3123" t="s">
        <v>88</v>
      </c>
      <c r="H3123" t="s">
        <v>92</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201</v>
      </c>
      <c r="B3124" t="s">
        <v>2024</v>
      </c>
      <c r="C3124" t="s">
        <v>88</v>
      </c>
      <c r="D3124" t="s">
        <v>3303</v>
      </c>
      <c r="E3124" t="s">
        <v>692</v>
      </c>
      <c r="F3124" t="s">
        <v>88</v>
      </c>
      <c r="G3124" t="s">
        <v>88</v>
      </c>
      <c r="H3124" t="s">
        <v>92</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201</v>
      </c>
      <c r="B3125" t="s">
        <v>3305</v>
      </c>
      <c r="C3125" t="s">
        <v>88</v>
      </c>
      <c r="D3125" t="s">
        <v>3303</v>
      </c>
      <c r="E3125" t="s">
        <v>883</v>
      </c>
      <c r="F3125" t="s">
        <v>88</v>
      </c>
      <c r="G3125" t="s">
        <v>88</v>
      </c>
      <c r="H3125" t="s">
        <v>92</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201</v>
      </c>
      <c r="B3126" t="s">
        <v>3306</v>
      </c>
      <c r="C3126" t="s">
        <v>88</v>
      </c>
      <c r="D3126" t="s">
        <v>3307</v>
      </c>
      <c r="E3126" t="s">
        <v>844</v>
      </c>
      <c r="F3126" t="s">
        <v>88</v>
      </c>
      <c r="G3126" t="s">
        <v>88</v>
      </c>
      <c r="H3126" t="s">
        <v>92</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201</v>
      </c>
      <c r="B3127" t="s">
        <v>2267</v>
      </c>
      <c r="C3127" t="s">
        <v>88</v>
      </c>
      <c r="D3127" t="s">
        <v>3300</v>
      </c>
      <c r="E3127" t="s">
        <v>692</v>
      </c>
      <c r="F3127" t="s">
        <v>88</v>
      </c>
      <c r="G3127" t="s">
        <v>88</v>
      </c>
      <c r="H3127" t="s">
        <v>92</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201</v>
      </c>
      <c r="B3128" t="s">
        <v>2277</v>
      </c>
      <c r="C3128" t="s">
        <v>88</v>
      </c>
      <c r="D3128" t="s">
        <v>3300</v>
      </c>
      <c r="E3128" t="s">
        <v>692</v>
      </c>
      <c r="F3128" t="s">
        <v>88</v>
      </c>
      <c r="G3128" t="s">
        <v>88</v>
      </c>
      <c r="H3128" t="s">
        <v>92</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201</v>
      </c>
      <c r="B3129" t="s">
        <v>3308</v>
      </c>
      <c r="C3129" t="s">
        <v>88</v>
      </c>
      <c r="D3129" t="s">
        <v>3300</v>
      </c>
      <c r="E3129" t="s">
        <v>692</v>
      </c>
      <c r="F3129" t="s">
        <v>88</v>
      </c>
      <c r="G3129" t="s">
        <v>88</v>
      </c>
      <c r="H3129" t="s">
        <v>92</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201</v>
      </c>
      <c r="B3130" t="s">
        <v>3309</v>
      </c>
      <c r="C3130" t="s">
        <v>88</v>
      </c>
      <c r="D3130" t="s">
        <v>3300</v>
      </c>
      <c r="E3130" t="s">
        <v>692</v>
      </c>
      <c r="F3130" t="s">
        <v>88</v>
      </c>
      <c r="G3130" t="s">
        <v>88</v>
      </c>
      <c r="H3130" t="s">
        <v>92</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201</v>
      </c>
      <c r="B3131" t="s">
        <v>3310</v>
      </c>
      <c r="C3131" t="s">
        <v>88</v>
      </c>
      <c r="D3131" t="s">
        <v>3307</v>
      </c>
      <c r="E3131" t="s">
        <v>844</v>
      </c>
      <c r="F3131" t="s">
        <v>88</v>
      </c>
      <c r="G3131" t="s">
        <v>88</v>
      </c>
      <c r="H3131" t="s">
        <v>92</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201</v>
      </c>
      <c r="B3132" t="s">
        <v>3311</v>
      </c>
      <c r="C3132" t="s">
        <v>88</v>
      </c>
      <c r="D3132" t="s">
        <v>3312</v>
      </c>
      <c r="E3132" t="s">
        <v>844</v>
      </c>
      <c r="F3132" t="s">
        <v>88</v>
      </c>
      <c r="G3132" t="s">
        <v>88</v>
      </c>
      <c r="H3132" t="s">
        <v>92</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201</v>
      </c>
      <c r="B3133" t="s">
        <v>3313</v>
      </c>
      <c r="C3133" t="s">
        <v>88</v>
      </c>
      <c r="D3133" t="s">
        <v>3314</v>
      </c>
      <c r="E3133" t="s">
        <v>692</v>
      </c>
      <c r="F3133" t="s">
        <v>88</v>
      </c>
      <c r="G3133" t="s">
        <v>88</v>
      </c>
      <c r="H3133" t="s">
        <v>92</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201</v>
      </c>
      <c r="B3134" t="s">
        <v>3315</v>
      </c>
      <c r="C3134" t="s">
        <v>88</v>
      </c>
      <c r="D3134" t="s">
        <v>3314</v>
      </c>
      <c r="E3134" t="s">
        <v>760</v>
      </c>
      <c r="F3134" t="s">
        <v>88</v>
      </c>
      <c r="G3134" t="s">
        <v>88</v>
      </c>
      <c r="H3134" t="s">
        <v>92</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201</v>
      </c>
      <c r="B3135" t="s">
        <v>3316</v>
      </c>
      <c r="C3135" t="s">
        <v>88</v>
      </c>
      <c r="D3135" t="s">
        <v>3314</v>
      </c>
      <c r="E3135" t="s">
        <v>692</v>
      </c>
      <c r="F3135" t="s">
        <v>88</v>
      </c>
      <c r="G3135" t="s">
        <v>88</v>
      </c>
      <c r="H3135" t="s">
        <v>92</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201</v>
      </c>
      <c r="B3136" t="s">
        <v>3317</v>
      </c>
      <c r="C3136" t="s">
        <v>88</v>
      </c>
      <c r="D3136" t="s">
        <v>3314</v>
      </c>
      <c r="E3136" t="s">
        <v>658</v>
      </c>
      <c r="F3136" t="s">
        <v>88</v>
      </c>
      <c r="G3136" t="s">
        <v>88</v>
      </c>
      <c r="H3136" t="s">
        <v>92</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201</v>
      </c>
      <c r="B3137" t="s">
        <v>3318</v>
      </c>
      <c r="C3137" t="s">
        <v>88</v>
      </c>
      <c r="D3137" t="s">
        <v>3314</v>
      </c>
      <c r="E3137" t="s">
        <v>658</v>
      </c>
      <c r="F3137" t="s">
        <v>88</v>
      </c>
      <c r="G3137" t="s">
        <v>88</v>
      </c>
      <c r="H3137" t="s">
        <v>92</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201</v>
      </c>
      <c r="B3138" t="s">
        <v>3319</v>
      </c>
      <c r="C3138" t="s">
        <v>88</v>
      </c>
      <c r="D3138" t="s">
        <v>3314</v>
      </c>
      <c r="E3138" t="s">
        <v>700</v>
      </c>
      <c r="F3138" t="s">
        <v>88</v>
      </c>
      <c r="G3138" t="s">
        <v>88</v>
      </c>
      <c r="H3138" t="s">
        <v>92</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201</v>
      </c>
      <c r="B3139" t="s">
        <v>3320</v>
      </c>
      <c r="C3139" t="s">
        <v>88</v>
      </c>
      <c r="D3139" t="s">
        <v>3314</v>
      </c>
      <c r="E3139" t="s">
        <v>663</v>
      </c>
      <c r="F3139" t="s">
        <v>88</v>
      </c>
      <c r="G3139" t="s">
        <v>88</v>
      </c>
      <c r="H3139" t="s">
        <v>92</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201</v>
      </c>
      <c r="B3140" t="s">
        <v>3321</v>
      </c>
      <c r="C3140" t="s">
        <v>88</v>
      </c>
      <c r="D3140" t="s">
        <v>3322</v>
      </c>
      <c r="E3140" t="s">
        <v>844</v>
      </c>
      <c r="F3140" t="s">
        <v>88</v>
      </c>
      <c r="G3140" t="s">
        <v>88</v>
      </c>
      <c r="H3140" t="s">
        <v>92</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201</v>
      </c>
      <c r="B3141" t="s">
        <v>3323</v>
      </c>
      <c r="C3141" t="s">
        <v>88</v>
      </c>
      <c r="D3141" t="s">
        <v>3322</v>
      </c>
      <c r="E3141" t="s">
        <v>844</v>
      </c>
      <c r="F3141" t="s">
        <v>88</v>
      </c>
      <c r="G3141" t="s">
        <v>88</v>
      </c>
      <c r="H3141" t="s">
        <v>92</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201</v>
      </c>
      <c r="B3142" t="s">
        <v>2398</v>
      </c>
      <c r="C3142" t="s">
        <v>88</v>
      </c>
      <c r="D3142" t="s">
        <v>3322</v>
      </c>
      <c r="E3142" t="s">
        <v>2686</v>
      </c>
      <c r="F3142" t="s">
        <v>88</v>
      </c>
      <c r="G3142" t="s">
        <v>88</v>
      </c>
      <c r="H3142" t="s">
        <v>92</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201</v>
      </c>
      <c r="B3143" t="s">
        <v>3324</v>
      </c>
      <c r="C3143" t="s">
        <v>88</v>
      </c>
      <c r="D3143" t="s">
        <v>3322</v>
      </c>
      <c r="E3143" t="s">
        <v>1006</v>
      </c>
      <c r="F3143" t="s">
        <v>88</v>
      </c>
      <c r="G3143" t="s">
        <v>88</v>
      </c>
      <c r="H3143" t="s">
        <v>92</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201</v>
      </c>
      <c r="B3144" t="s">
        <v>3325</v>
      </c>
      <c r="C3144" t="s">
        <v>88</v>
      </c>
      <c r="D3144" t="s">
        <v>3326</v>
      </c>
      <c r="E3144" t="s">
        <v>676</v>
      </c>
      <c r="F3144" t="s">
        <v>88</v>
      </c>
      <c r="G3144" t="s">
        <v>88</v>
      </c>
      <c r="H3144" t="s">
        <v>92</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201</v>
      </c>
      <c r="B3145" t="s">
        <v>3327</v>
      </c>
      <c r="C3145" t="s">
        <v>88</v>
      </c>
      <c r="D3145" t="s">
        <v>3314</v>
      </c>
      <c r="E3145" t="s">
        <v>760</v>
      </c>
      <c r="F3145" t="s">
        <v>88</v>
      </c>
      <c r="G3145" t="s">
        <v>88</v>
      </c>
      <c r="H3145" t="s">
        <v>92</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201</v>
      </c>
      <c r="B3146" t="s">
        <v>2160</v>
      </c>
      <c r="C3146" t="s">
        <v>88</v>
      </c>
      <c r="D3146" t="s">
        <v>88</v>
      </c>
      <c r="E3146" t="s">
        <v>700</v>
      </c>
      <c r="F3146" t="s">
        <v>88</v>
      </c>
      <c r="G3146" t="s">
        <v>88</v>
      </c>
      <c r="H3146" t="s">
        <v>92</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201</v>
      </c>
      <c r="B3147" t="s">
        <v>106</v>
      </c>
      <c r="C3147" t="s">
        <v>88</v>
      </c>
      <c r="D3147" t="s">
        <v>88</v>
      </c>
      <c r="E3147" t="s">
        <v>937</v>
      </c>
      <c r="F3147" t="s">
        <v>88</v>
      </c>
      <c r="G3147" t="s">
        <v>88</v>
      </c>
      <c r="H3147" t="s">
        <v>92</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201</v>
      </c>
      <c r="B3148" t="s">
        <v>739</v>
      </c>
      <c r="C3148" t="s">
        <v>88</v>
      </c>
      <c r="D3148" t="s">
        <v>3328</v>
      </c>
      <c r="E3148" t="s">
        <v>780</v>
      </c>
      <c r="F3148" t="s">
        <v>88</v>
      </c>
      <c r="G3148" t="s">
        <v>88</v>
      </c>
      <c r="H3148" t="s">
        <v>92</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201</v>
      </c>
      <c r="B3149" t="s">
        <v>736</v>
      </c>
      <c r="C3149" t="s">
        <v>88</v>
      </c>
      <c r="D3149" t="s">
        <v>3328</v>
      </c>
      <c r="E3149" t="s">
        <v>780</v>
      </c>
      <c r="F3149" t="s">
        <v>88</v>
      </c>
      <c r="G3149" t="s">
        <v>88</v>
      </c>
      <c r="H3149" t="s">
        <v>92</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201</v>
      </c>
      <c r="B3150" t="s">
        <v>2009</v>
      </c>
      <c r="C3150" t="s">
        <v>88</v>
      </c>
      <c r="D3150" t="s">
        <v>3328</v>
      </c>
      <c r="E3150" t="s">
        <v>700</v>
      </c>
      <c r="F3150" t="s">
        <v>88</v>
      </c>
      <c r="G3150" t="s">
        <v>88</v>
      </c>
      <c r="H3150" t="s">
        <v>92</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201</v>
      </c>
      <c r="B3151" t="s">
        <v>776</v>
      </c>
      <c r="C3151" t="s">
        <v>88</v>
      </c>
      <c r="D3151" t="s">
        <v>3328</v>
      </c>
      <c r="E3151" t="s">
        <v>780</v>
      </c>
      <c r="F3151" t="s">
        <v>88</v>
      </c>
      <c r="G3151" t="s">
        <v>88</v>
      </c>
      <c r="H3151" t="s">
        <v>92</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201</v>
      </c>
      <c r="B3152" t="s">
        <v>3329</v>
      </c>
      <c r="C3152" t="s">
        <v>88</v>
      </c>
      <c r="D3152" t="s">
        <v>3330</v>
      </c>
      <c r="E3152" t="s">
        <v>780</v>
      </c>
      <c r="F3152" t="s">
        <v>88</v>
      </c>
      <c r="G3152" t="s">
        <v>88</v>
      </c>
      <c r="H3152" t="s">
        <v>92</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201</v>
      </c>
      <c r="B3153" t="s">
        <v>701</v>
      </c>
      <c r="C3153" t="s">
        <v>88</v>
      </c>
      <c r="D3153" t="s">
        <v>88</v>
      </c>
      <c r="E3153" t="s">
        <v>734</v>
      </c>
      <c r="F3153" t="s">
        <v>88</v>
      </c>
      <c r="G3153" t="s">
        <v>88</v>
      </c>
      <c r="H3153" t="s">
        <v>92</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201</v>
      </c>
      <c r="B3154" t="s">
        <v>703</v>
      </c>
      <c r="C3154" t="s">
        <v>88</v>
      </c>
      <c r="D3154" t="s">
        <v>88</v>
      </c>
      <c r="E3154" t="s">
        <v>734</v>
      </c>
      <c r="F3154" t="s">
        <v>88</v>
      </c>
      <c r="G3154" t="s">
        <v>88</v>
      </c>
      <c r="H3154" t="s">
        <v>92</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201</v>
      </c>
      <c r="B3155" t="s">
        <v>704</v>
      </c>
      <c r="C3155" t="s">
        <v>88</v>
      </c>
      <c r="D3155" t="s">
        <v>88</v>
      </c>
      <c r="E3155" t="s">
        <v>734</v>
      </c>
      <c r="F3155" t="s">
        <v>88</v>
      </c>
      <c r="G3155" t="s">
        <v>88</v>
      </c>
      <c r="H3155" t="s">
        <v>92</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201</v>
      </c>
      <c r="B3156" t="s">
        <v>705</v>
      </c>
      <c r="C3156" t="s">
        <v>88</v>
      </c>
      <c r="D3156" t="s">
        <v>88</v>
      </c>
      <c r="E3156" t="s">
        <v>734</v>
      </c>
      <c r="F3156" t="s">
        <v>88</v>
      </c>
      <c r="G3156" t="s">
        <v>88</v>
      </c>
      <c r="H3156" t="s">
        <v>92</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201</v>
      </c>
      <c r="B3157" t="s">
        <v>706</v>
      </c>
      <c r="C3157" t="s">
        <v>88</v>
      </c>
      <c r="D3157" t="s">
        <v>88</v>
      </c>
      <c r="E3157" t="s">
        <v>734</v>
      </c>
      <c r="F3157" t="s">
        <v>88</v>
      </c>
      <c r="G3157" t="s">
        <v>88</v>
      </c>
      <c r="H3157" t="s">
        <v>92</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201</v>
      </c>
      <c r="B3158" t="s">
        <v>707</v>
      </c>
      <c r="C3158" t="s">
        <v>88</v>
      </c>
      <c r="D3158" t="s">
        <v>88</v>
      </c>
      <c r="E3158" t="s">
        <v>734</v>
      </c>
      <c r="F3158" t="s">
        <v>88</v>
      </c>
      <c r="G3158" t="s">
        <v>88</v>
      </c>
      <c r="H3158" t="s">
        <v>92</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201</v>
      </c>
      <c r="B3159" t="s">
        <v>708</v>
      </c>
      <c r="C3159" t="s">
        <v>88</v>
      </c>
      <c r="D3159" t="s">
        <v>88</v>
      </c>
      <c r="E3159" t="s">
        <v>734</v>
      </c>
      <c r="F3159" t="s">
        <v>88</v>
      </c>
      <c r="G3159" t="s">
        <v>88</v>
      </c>
      <c r="H3159" t="s">
        <v>92</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201</v>
      </c>
      <c r="B3160" t="s">
        <v>846</v>
      </c>
      <c r="C3160" t="s">
        <v>88</v>
      </c>
      <c r="D3160" t="s">
        <v>88</v>
      </c>
      <c r="E3160" t="s">
        <v>734</v>
      </c>
      <c r="F3160" t="s">
        <v>88</v>
      </c>
      <c r="G3160" t="s">
        <v>88</v>
      </c>
      <c r="H3160" t="s">
        <v>92</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201</v>
      </c>
      <c r="B3161" t="s">
        <v>618</v>
      </c>
      <c r="C3161" t="s">
        <v>88</v>
      </c>
      <c r="D3161" t="s">
        <v>88</v>
      </c>
      <c r="E3161" t="s">
        <v>709</v>
      </c>
      <c r="F3161" t="s">
        <v>88</v>
      </c>
      <c r="G3161" t="s">
        <v>88</v>
      </c>
      <c r="H3161" t="s">
        <v>92</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201</v>
      </c>
      <c r="B3162" t="s">
        <v>620</v>
      </c>
      <c r="C3162" t="s">
        <v>88</v>
      </c>
      <c r="D3162" t="s">
        <v>88</v>
      </c>
      <c r="E3162" t="s">
        <v>734</v>
      </c>
      <c r="F3162" t="s">
        <v>88</v>
      </c>
      <c r="G3162" t="s">
        <v>88</v>
      </c>
      <c r="H3162" t="s">
        <v>92</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201</v>
      </c>
      <c r="B3163" t="s">
        <v>622</v>
      </c>
      <c r="C3163" t="s">
        <v>88</v>
      </c>
      <c r="D3163" t="s">
        <v>88</v>
      </c>
      <c r="E3163" t="s">
        <v>709</v>
      </c>
      <c r="F3163" t="s">
        <v>88</v>
      </c>
      <c r="G3163" t="s">
        <v>88</v>
      </c>
      <c r="H3163" t="s">
        <v>92</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201</v>
      </c>
      <c r="B3164" t="s">
        <v>623</v>
      </c>
      <c r="C3164" t="s">
        <v>88</v>
      </c>
      <c r="D3164" t="s">
        <v>88</v>
      </c>
      <c r="E3164" t="s">
        <v>735</v>
      </c>
      <c r="F3164" t="s">
        <v>88</v>
      </c>
      <c r="G3164" t="s">
        <v>88</v>
      </c>
      <c r="H3164" t="s">
        <v>92</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201</v>
      </c>
      <c r="B3165" t="s">
        <v>625</v>
      </c>
      <c r="C3165" t="s">
        <v>88</v>
      </c>
      <c r="D3165" t="s">
        <v>88</v>
      </c>
      <c r="E3165" t="s">
        <v>626</v>
      </c>
      <c r="F3165" t="s">
        <v>88</v>
      </c>
      <c r="G3165" t="s">
        <v>88</v>
      </c>
      <c r="H3165" t="s">
        <v>92</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202</v>
      </c>
      <c r="B3166" t="s">
        <v>3331</v>
      </c>
      <c r="C3166" t="s">
        <v>88</v>
      </c>
      <c r="D3166" t="s">
        <v>3332</v>
      </c>
      <c r="E3166" t="s">
        <v>738</v>
      </c>
      <c r="F3166" t="s">
        <v>88</v>
      </c>
      <c r="G3166" t="s">
        <v>88</v>
      </c>
      <c r="H3166" t="s">
        <v>92</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202</v>
      </c>
      <c r="B3167" t="s">
        <v>736</v>
      </c>
      <c r="C3167" t="s">
        <v>88</v>
      </c>
      <c r="D3167" t="s">
        <v>3333</v>
      </c>
      <c r="E3167" t="s">
        <v>780</v>
      </c>
      <c r="F3167" t="s">
        <v>88</v>
      </c>
      <c r="G3167" t="s">
        <v>88</v>
      </c>
      <c r="H3167" t="s">
        <v>92</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202</v>
      </c>
      <c r="B3168" t="s">
        <v>3334</v>
      </c>
      <c r="C3168" t="s">
        <v>88</v>
      </c>
      <c r="D3168" t="s">
        <v>3335</v>
      </c>
      <c r="E3168" t="s">
        <v>679</v>
      </c>
      <c r="F3168" t="s">
        <v>88</v>
      </c>
      <c r="G3168" t="s">
        <v>88</v>
      </c>
      <c r="H3168" t="s">
        <v>92</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202</v>
      </c>
      <c r="B3169" t="s">
        <v>739</v>
      </c>
      <c r="C3169" t="s">
        <v>88</v>
      </c>
      <c r="D3169" t="s">
        <v>3333</v>
      </c>
      <c r="E3169" t="s">
        <v>738</v>
      </c>
      <c r="F3169" t="s">
        <v>88</v>
      </c>
      <c r="G3169" t="s">
        <v>88</v>
      </c>
      <c r="H3169" t="s">
        <v>92</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202</v>
      </c>
      <c r="B3170" t="s">
        <v>3336</v>
      </c>
      <c r="C3170" t="s">
        <v>88</v>
      </c>
      <c r="D3170" t="s">
        <v>3337</v>
      </c>
      <c r="E3170" t="s">
        <v>964</v>
      </c>
      <c r="F3170" t="s">
        <v>88</v>
      </c>
      <c r="G3170" t="s">
        <v>88</v>
      </c>
      <c r="H3170" t="s">
        <v>92</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202</v>
      </c>
      <c r="B3171" t="s">
        <v>3338</v>
      </c>
      <c r="C3171" t="s">
        <v>88</v>
      </c>
      <c r="D3171" t="s">
        <v>3339</v>
      </c>
      <c r="E3171" t="s">
        <v>2130</v>
      </c>
      <c r="F3171" t="s">
        <v>88</v>
      </c>
      <c r="G3171" t="s">
        <v>88</v>
      </c>
      <c r="H3171" t="s">
        <v>92</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202</v>
      </c>
      <c r="B3172" t="s">
        <v>2381</v>
      </c>
      <c r="C3172" t="s">
        <v>88</v>
      </c>
      <c r="D3172" t="s">
        <v>3340</v>
      </c>
      <c r="E3172" t="s">
        <v>723</v>
      </c>
      <c r="F3172" t="s">
        <v>88</v>
      </c>
      <c r="G3172" t="s">
        <v>88</v>
      </c>
      <c r="H3172" t="s">
        <v>92</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202</v>
      </c>
      <c r="B3173" t="s">
        <v>2379</v>
      </c>
      <c r="C3173" t="s">
        <v>88</v>
      </c>
      <c r="D3173" t="s">
        <v>3340</v>
      </c>
      <c r="E3173" t="s">
        <v>937</v>
      </c>
      <c r="F3173" t="s">
        <v>88</v>
      </c>
      <c r="G3173" t="s">
        <v>88</v>
      </c>
      <c r="H3173" t="s">
        <v>92</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202</v>
      </c>
      <c r="B3174" t="s">
        <v>3341</v>
      </c>
      <c r="C3174" t="s">
        <v>88</v>
      </c>
      <c r="D3174" t="s">
        <v>3340</v>
      </c>
      <c r="E3174" t="s">
        <v>738</v>
      </c>
      <c r="F3174" t="s">
        <v>88</v>
      </c>
      <c r="G3174" t="s">
        <v>88</v>
      </c>
      <c r="H3174" t="s">
        <v>92</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202</v>
      </c>
      <c r="B3175" t="s">
        <v>693</v>
      </c>
      <c r="C3175" t="s">
        <v>88</v>
      </c>
      <c r="D3175" t="s">
        <v>88</v>
      </c>
      <c r="E3175" t="s">
        <v>702</v>
      </c>
      <c r="F3175" t="s">
        <v>88</v>
      </c>
      <c r="G3175" t="s">
        <v>88</v>
      </c>
      <c r="H3175" t="s">
        <v>92</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202</v>
      </c>
      <c r="B3176" t="s">
        <v>695</v>
      </c>
      <c r="C3176" t="s">
        <v>88</v>
      </c>
      <c r="D3176" t="s">
        <v>88</v>
      </c>
      <c r="E3176" t="s">
        <v>702</v>
      </c>
      <c r="F3176" t="s">
        <v>88</v>
      </c>
      <c r="G3176" t="s">
        <v>88</v>
      </c>
      <c r="H3176" t="s">
        <v>92</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202</v>
      </c>
      <c r="B3177" t="s">
        <v>696</v>
      </c>
      <c r="C3177" t="s">
        <v>88</v>
      </c>
      <c r="D3177" t="s">
        <v>3342</v>
      </c>
      <c r="E3177" t="s">
        <v>799</v>
      </c>
      <c r="F3177" t="s">
        <v>88</v>
      </c>
      <c r="G3177" t="s">
        <v>88</v>
      </c>
      <c r="H3177" t="s">
        <v>92</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202</v>
      </c>
      <c r="B3178" t="s">
        <v>3343</v>
      </c>
      <c r="C3178" t="s">
        <v>88</v>
      </c>
      <c r="D3178" t="s">
        <v>88</v>
      </c>
      <c r="E3178" t="s">
        <v>738</v>
      </c>
      <c r="F3178" t="s">
        <v>88</v>
      </c>
      <c r="G3178" t="s">
        <v>88</v>
      </c>
      <c r="H3178" t="s">
        <v>92</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202</v>
      </c>
      <c r="B3179" t="s">
        <v>3344</v>
      </c>
      <c r="C3179" t="s">
        <v>88</v>
      </c>
      <c r="D3179" t="s">
        <v>3345</v>
      </c>
      <c r="E3179" t="s">
        <v>791</v>
      </c>
      <c r="F3179" t="s">
        <v>88</v>
      </c>
      <c r="G3179" t="s">
        <v>88</v>
      </c>
      <c r="H3179" t="s">
        <v>92</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202</v>
      </c>
      <c r="B3180" t="s">
        <v>3346</v>
      </c>
      <c r="C3180" t="s">
        <v>88</v>
      </c>
      <c r="D3180" t="s">
        <v>88</v>
      </c>
      <c r="E3180" t="s">
        <v>791</v>
      </c>
      <c r="F3180" t="s">
        <v>88</v>
      </c>
      <c r="G3180" t="s">
        <v>88</v>
      </c>
      <c r="H3180" t="s">
        <v>92</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202</v>
      </c>
      <c r="B3181" t="s">
        <v>3334</v>
      </c>
      <c r="C3181" t="s">
        <v>88</v>
      </c>
      <c r="D3181" t="s">
        <v>3335</v>
      </c>
      <c r="E3181" t="s">
        <v>679</v>
      </c>
      <c r="F3181" t="s">
        <v>88</v>
      </c>
      <c r="G3181" t="s">
        <v>88</v>
      </c>
      <c r="H3181" t="s">
        <v>92</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202</v>
      </c>
      <c r="B3182" t="s">
        <v>3347</v>
      </c>
      <c r="C3182" t="s">
        <v>88</v>
      </c>
      <c r="D3182" t="s">
        <v>88</v>
      </c>
      <c r="E3182" t="s">
        <v>723</v>
      </c>
      <c r="F3182" t="s">
        <v>88</v>
      </c>
      <c r="G3182" t="s">
        <v>88</v>
      </c>
      <c r="H3182" t="s">
        <v>92</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202</v>
      </c>
      <c r="B3183" t="s">
        <v>3348</v>
      </c>
      <c r="C3183" t="s">
        <v>88</v>
      </c>
      <c r="D3183" t="s">
        <v>3349</v>
      </c>
      <c r="E3183" t="s">
        <v>679</v>
      </c>
      <c r="F3183" t="s">
        <v>88</v>
      </c>
      <c r="G3183" t="s">
        <v>88</v>
      </c>
      <c r="H3183" t="s">
        <v>92</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202</v>
      </c>
      <c r="B3184" t="s">
        <v>3350</v>
      </c>
      <c r="C3184" t="s">
        <v>88</v>
      </c>
      <c r="D3184" t="s">
        <v>3351</v>
      </c>
      <c r="E3184" t="s">
        <v>762</v>
      </c>
      <c r="F3184" t="s">
        <v>88</v>
      </c>
      <c r="G3184" t="s">
        <v>88</v>
      </c>
      <c r="H3184" t="s">
        <v>92</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202</v>
      </c>
      <c r="B3185" t="s">
        <v>3352</v>
      </c>
      <c r="C3185" t="s">
        <v>88</v>
      </c>
      <c r="D3185" t="s">
        <v>3353</v>
      </c>
      <c r="E3185" t="s">
        <v>679</v>
      </c>
      <c r="F3185" t="s">
        <v>88</v>
      </c>
      <c r="G3185" t="s">
        <v>88</v>
      </c>
      <c r="H3185" t="s">
        <v>92</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202</v>
      </c>
      <c r="B3186" t="s">
        <v>3354</v>
      </c>
      <c r="C3186" t="s">
        <v>88</v>
      </c>
      <c r="D3186" t="s">
        <v>3355</v>
      </c>
      <c r="E3186" t="s">
        <v>663</v>
      </c>
      <c r="F3186" t="s">
        <v>88</v>
      </c>
      <c r="G3186" t="s">
        <v>88</v>
      </c>
      <c r="H3186" t="s">
        <v>92</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202</v>
      </c>
      <c r="B3187" t="s">
        <v>736</v>
      </c>
      <c r="C3187" t="s">
        <v>88</v>
      </c>
      <c r="D3187" t="s">
        <v>3333</v>
      </c>
      <c r="E3187" t="s">
        <v>780</v>
      </c>
      <c r="F3187" t="s">
        <v>88</v>
      </c>
      <c r="G3187" t="s">
        <v>88</v>
      </c>
      <c r="H3187" t="s">
        <v>92</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202</v>
      </c>
      <c r="B3188" t="s">
        <v>3356</v>
      </c>
      <c r="C3188" t="s">
        <v>88</v>
      </c>
      <c r="D3188" t="s">
        <v>3333</v>
      </c>
      <c r="E3188" t="s">
        <v>723</v>
      </c>
      <c r="F3188" t="s">
        <v>88</v>
      </c>
      <c r="G3188" t="s">
        <v>88</v>
      </c>
      <c r="H3188" t="s">
        <v>92</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202</v>
      </c>
      <c r="B3189" t="s">
        <v>739</v>
      </c>
      <c r="C3189" t="s">
        <v>88</v>
      </c>
      <c r="D3189" t="s">
        <v>3333</v>
      </c>
      <c r="E3189" t="s">
        <v>738</v>
      </c>
      <c r="F3189" t="s">
        <v>88</v>
      </c>
      <c r="G3189" t="s">
        <v>88</v>
      </c>
      <c r="H3189" t="s">
        <v>92</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202</v>
      </c>
      <c r="B3190" t="s">
        <v>777</v>
      </c>
      <c r="C3190" t="s">
        <v>88</v>
      </c>
      <c r="D3190" t="s">
        <v>3333</v>
      </c>
      <c r="E3190" t="s">
        <v>780</v>
      </c>
      <c r="F3190" t="s">
        <v>88</v>
      </c>
      <c r="G3190" t="s">
        <v>88</v>
      </c>
      <c r="H3190" t="s">
        <v>92</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202</v>
      </c>
      <c r="B3191" t="s">
        <v>776</v>
      </c>
      <c r="C3191" t="s">
        <v>88</v>
      </c>
      <c r="D3191" t="s">
        <v>3333</v>
      </c>
      <c r="E3191" t="s">
        <v>780</v>
      </c>
      <c r="F3191" t="s">
        <v>88</v>
      </c>
      <c r="G3191" t="s">
        <v>88</v>
      </c>
      <c r="H3191" t="s">
        <v>92</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202</v>
      </c>
      <c r="B3192" t="s">
        <v>2009</v>
      </c>
      <c r="C3192" t="s">
        <v>88</v>
      </c>
      <c r="D3192" t="s">
        <v>3333</v>
      </c>
      <c r="E3192" t="s">
        <v>937</v>
      </c>
      <c r="F3192" t="s">
        <v>88</v>
      </c>
      <c r="G3192" t="s">
        <v>88</v>
      </c>
      <c r="H3192" t="s">
        <v>92</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202</v>
      </c>
      <c r="B3193" t="s">
        <v>778</v>
      </c>
      <c r="C3193" t="s">
        <v>88</v>
      </c>
      <c r="D3193" t="s">
        <v>3333</v>
      </c>
      <c r="E3193" t="s">
        <v>780</v>
      </c>
      <c r="F3193" t="s">
        <v>88</v>
      </c>
      <c r="G3193" t="s">
        <v>88</v>
      </c>
      <c r="H3193" t="s">
        <v>92</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202</v>
      </c>
      <c r="B3194" t="s">
        <v>3331</v>
      </c>
      <c r="C3194" t="s">
        <v>88</v>
      </c>
      <c r="D3194" t="s">
        <v>3332</v>
      </c>
      <c r="E3194" t="s">
        <v>738</v>
      </c>
      <c r="F3194" t="s">
        <v>88</v>
      </c>
      <c r="G3194" t="s">
        <v>88</v>
      </c>
      <c r="H3194" t="s">
        <v>92</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202</v>
      </c>
      <c r="B3195" t="s">
        <v>3357</v>
      </c>
      <c r="C3195" t="s">
        <v>88</v>
      </c>
      <c r="D3195" t="s">
        <v>88</v>
      </c>
      <c r="E3195" t="s">
        <v>715</v>
      </c>
      <c r="F3195" t="s">
        <v>88</v>
      </c>
      <c r="G3195" t="s">
        <v>88</v>
      </c>
      <c r="H3195" t="s">
        <v>92</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202</v>
      </c>
      <c r="B3196" t="s">
        <v>3358</v>
      </c>
      <c r="C3196" t="s">
        <v>88</v>
      </c>
      <c r="D3196" t="s">
        <v>88</v>
      </c>
      <c r="E3196" t="s">
        <v>748</v>
      </c>
      <c r="F3196" t="s">
        <v>88</v>
      </c>
      <c r="G3196" t="s">
        <v>88</v>
      </c>
      <c r="H3196" t="s">
        <v>92</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202</v>
      </c>
      <c r="B3197" t="s">
        <v>3359</v>
      </c>
      <c r="C3197" t="s">
        <v>88</v>
      </c>
      <c r="D3197" t="s">
        <v>3360</v>
      </c>
      <c r="E3197" t="s">
        <v>1006</v>
      </c>
      <c r="F3197" t="s">
        <v>88</v>
      </c>
      <c r="G3197" t="s">
        <v>88</v>
      </c>
      <c r="H3197" t="s">
        <v>92</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202</v>
      </c>
      <c r="B3198" t="s">
        <v>3299</v>
      </c>
      <c r="C3198" t="s">
        <v>88</v>
      </c>
      <c r="D3198" t="s">
        <v>3361</v>
      </c>
      <c r="E3198" t="s">
        <v>655</v>
      </c>
      <c r="F3198" t="s">
        <v>88</v>
      </c>
      <c r="G3198" t="s">
        <v>88</v>
      </c>
      <c r="H3198" t="s">
        <v>92</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202</v>
      </c>
      <c r="B3199" t="s">
        <v>3362</v>
      </c>
      <c r="C3199" t="s">
        <v>88</v>
      </c>
      <c r="D3199" t="s">
        <v>3360</v>
      </c>
      <c r="E3199" t="s">
        <v>655</v>
      </c>
      <c r="F3199" t="s">
        <v>88</v>
      </c>
      <c r="G3199" t="s">
        <v>88</v>
      </c>
      <c r="H3199" t="s">
        <v>92</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202</v>
      </c>
      <c r="B3200" t="s">
        <v>876</v>
      </c>
      <c r="C3200" t="s">
        <v>88</v>
      </c>
      <c r="D3200" t="s">
        <v>3360</v>
      </c>
      <c r="E3200" t="s">
        <v>655</v>
      </c>
      <c r="F3200" t="s">
        <v>88</v>
      </c>
      <c r="G3200" t="s">
        <v>88</v>
      </c>
      <c r="H3200" t="s">
        <v>92</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202</v>
      </c>
      <c r="B3201" t="s">
        <v>3294</v>
      </c>
      <c r="C3201" t="s">
        <v>88</v>
      </c>
      <c r="D3201" t="s">
        <v>3360</v>
      </c>
      <c r="E3201" t="s">
        <v>692</v>
      </c>
      <c r="F3201" t="s">
        <v>88</v>
      </c>
      <c r="G3201" t="s">
        <v>88</v>
      </c>
      <c r="H3201" t="s">
        <v>92</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202</v>
      </c>
      <c r="B3202" t="s">
        <v>1385</v>
      </c>
      <c r="C3202" t="s">
        <v>88</v>
      </c>
      <c r="D3202" t="s">
        <v>3360</v>
      </c>
      <c r="E3202" t="s">
        <v>655</v>
      </c>
      <c r="F3202" t="s">
        <v>88</v>
      </c>
      <c r="G3202" t="s">
        <v>88</v>
      </c>
      <c r="H3202" t="s">
        <v>92</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202</v>
      </c>
      <c r="B3203" t="s">
        <v>764</v>
      </c>
      <c r="C3203" t="s">
        <v>88</v>
      </c>
      <c r="D3203" t="s">
        <v>3360</v>
      </c>
      <c r="E3203" t="s">
        <v>762</v>
      </c>
      <c r="F3203" t="s">
        <v>88</v>
      </c>
      <c r="G3203" t="s">
        <v>88</v>
      </c>
      <c r="H3203" t="s">
        <v>92</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202</v>
      </c>
      <c r="B3204" t="s">
        <v>743</v>
      </c>
      <c r="C3204" t="s">
        <v>88</v>
      </c>
      <c r="D3204" t="s">
        <v>3360</v>
      </c>
      <c r="E3204" t="s">
        <v>762</v>
      </c>
      <c r="F3204" t="s">
        <v>88</v>
      </c>
      <c r="G3204" t="s">
        <v>88</v>
      </c>
      <c r="H3204" t="s">
        <v>92</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202</v>
      </c>
      <c r="B3205" t="s">
        <v>740</v>
      </c>
      <c r="C3205" t="s">
        <v>88</v>
      </c>
      <c r="D3205" t="s">
        <v>3360</v>
      </c>
      <c r="E3205" t="s">
        <v>762</v>
      </c>
      <c r="F3205" t="s">
        <v>88</v>
      </c>
      <c r="G3205" t="s">
        <v>88</v>
      </c>
      <c r="H3205" t="s">
        <v>92</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202</v>
      </c>
      <c r="B3206" t="s">
        <v>767</v>
      </c>
      <c r="C3206" t="s">
        <v>88</v>
      </c>
      <c r="D3206" t="s">
        <v>3360</v>
      </c>
      <c r="E3206" t="s">
        <v>762</v>
      </c>
      <c r="F3206" t="s">
        <v>88</v>
      </c>
      <c r="G3206" t="s">
        <v>88</v>
      </c>
      <c r="H3206" t="s">
        <v>92</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202</v>
      </c>
      <c r="B3207" t="s">
        <v>768</v>
      </c>
      <c r="C3207" t="s">
        <v>88</v>
      </c>
      <c r="D3207" t="s">
        <v>3360</v>
      </c>
      <c r="E3207" t="s">
        <v>655</v>
      </c>
      <c r="F3207" t="s">
        <v>88</v>
      </c>
      <c r="G3207" t="s">
        <v>88</v>
      </c>
      <c r="H3207" t="s">
        <v>92</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202</v>
      </c>
      <c r="B3208" t="s">
        <v>3363</v>
      </c>
      <c r="C3208" t="s">
        <v>88</v>
      </c>
      <c r="D3208" t="s">
        <v>3360</v>
      </c>
      <c r="E3208" t="s">
        <v>655</v>
      </c>
      <c r="F3208" t="s">
        <v>88</v>
      </c>
      <c r="G3208" t="s">
        <v>88</v>
      </c>
      <c r="H3208" t="s">
        <v>92</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202</v>
      </c>
      <c r="B3209" t="s">
        <v>881</v>
      </c>
      <c r="C3209" t="s">
        <v>88</v>
      </c>
      <c r="D3209" t="s">
        <v>3360</v>
      </c>
      <c r="E3209" t="s">
        <v>655</v>
      </c>
      <c r="F3209" t="s">
        <v>88</v>
      </c>
      <c r="G3209" t="s">
        <v>88</v>
      </c>
      <c r="H3209" t="s">
        <v>92</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202</v>
      </c>
      <c r="B3210" t="s">
        <v>3364</v>
      </c>
      <c r="C3210" t="s">
        <v>88</v>
      </c>
      <c r="D3210" t="s">
        <v>88</v>
      </c>
      <c r="E3210" t="s">
        <v>676</v>
      </c>
      <c r="F3210" t="s">
        <v>88</v>
      </c>
      <c r="G3210" t="s">
        <v>88</v>
      </c>
      <c r="H3210" t="s">
        <v>92</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202</v>
      </c>
      <c r="B3211" t="s">
        <v>3365</v>
      </c>
      <c r="C3211" t="s">
        <v>88</v>
      </c>
      <c r="D3211" t="s">
        <v>88</v>
      </c>
      <c r="E3211" t="s">
        <v>2791</v>
      </c>
      <c r="F3211" t="s">
        <v>88</v>
      </c>
      <c r="G3211" t="s">
        <v>88</v>
      </c>
      <c r="H3211" t="s">
        <v>92</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202</v>
      </c>
      <c r="B3212" t="s">
        <v>769</v>
      </c>
      <c r="C3212" t="s">
        <v>88</v>
      </c>
      <c r="D3212" t="s">
        <v>3366</v>
      </c>
      <c r="E3212" t="s">
        <v>838</v>
      </c>
      <c r="F3212" t="s">
        <v>88</v>
      </c>
      <c r="G3212" t="s">
        <v>88</v>
      </c>
      <c r="H3212" t="s">
        <v>92</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202</v>
      </c>
      <c r="B3213" t="s">
        <v>3367</v>
      </c>
      <c r="C3213" t="s">
        <v>88</v>
      </c>
      <c r="D3213" t="s">
        <v>88</v>
      </c>
      <c r="E3213" t="s">
        <v>692</v>
      </c>
      <c r="F3213" t="s">
        <v>88</v>
      </c>
      <c r="G3213" t="s">
        <v>88</v>
      </c>
      <c r="H3213" t="s">
        <v>92</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202</v>
      </c>
      <c r="B3214" t="s">
        <v>3368</v>
      </c>
      <c r="C3214" t="s">
        <v>88</v>
      </c>
      <c r="D3214" t="s">
        <v>88</v>
      </c>
      <c r="E3214" t="s">
        <v>937</v>
      </c>
      <c r="F3214" t="s">
        <v>88</v>
      </c>
      <c r="G3214" t="s">
        <v>88</v>
      </c>
      <c r="H3214" t="s">
        <v>92</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202</v>
      </c>
      <c r="B3215" t="s">
        <v>3369</v>
      </c>
      <c r="C3215" t="s">
        <v>88</v>
      </c>
      <c r="D3215" t="s">
        <v>88</v>
      </c>
      <c r="E3215" t="s">
        <v>663</v>
      </c>
      <c r="F3215" t="s">
        <v>88</v>
      </c>
      <c r="G3215" t="s">
        <v>88</v>
      </c>
      <c r="H3215" t="s">
        <v>92</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202</v>
      </c>
      <c r="B3216" t="s">
        <v>3370</v>
      </c>
      <c r="C3216" t="s">
        <v>88</v>
      </c>
      <c r="D3216" t="s">
        <v>88</v>
      </c>
      <c r="E3216" t="s">
        <v>663</v>
      </c>
      <c r="F3216" t="s">
        <v>88</v>
      </c>
      <c r="G3216" t="s">
        <v>88</v>
      </c>
      <c r="H3216" t="s">
        <v>92</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202</v>
      </c>
      <c r="B3217" t="s">
        <v>3371</v>
      </c>
      <c r="C3217" t="s">
        <v>88</v>
      </c>
      <c r="D3217" t="s">
        <v>88</v>
      </c>
      <c r="E3217" t="s">
        <v>663</v>
      </c>
      <c r="F3217" t="s">
        <v>88</v>
      </c>
      <c r="G3217" t="s">
        <v>88</v>
      </c>
      <c r="H3217" t="s">
        <v>92</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202</v>
      </c>
      <c r="B3218" t="s">
        <v>3372</v>
      </c>
      <c r="C3218" t="s">
        <v>88</v>
      </c>
      <c r="D3218" t="s">
        <v>88</v>
      </c>
      <c r="E3218" t="s">
        <v>702</v>
      </c>
      <c r="F3218" t="s">
        <v>88</v>
      </c>
      <c r="G3218" t="s">
        <v>88</v>
      </c>
      <c r="H3218" t="s">
        <v>92</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202</v>
      </c>
      <c r="B3219" t="s">
        <v>3373</v>
      </c>
      <c r="C3219" t="s">
        <v>88</v>
      </c>
      <c r="D3219" t="s">
        <v>88</v>
      </c>
      <c r="E3219" t="s">
        <v>803</v>
      </c>
      <c r="F3219" t="s">
        <v>88</v>
      </c>
      <c r="G3219" t="s">
        <v>88</v>
      </c>
      <c r="H3219" t="s">
        <v>92</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202</v>
      </c>
      <c r="B3220" t="s">
        <v>948</v>
      </c>
      <c r="C3220" t="s">
        <v>88</v>
      </c>
      <c r="D3220" t="s">
        <v>88</v>
      </c>
      <c r="E3220" t="s">
        <v>713</v>
      </c>
      <c r="F3220" t="s">
        <v>88</v>
      </c>
      <c r="G3220" t="s">
        <v>88</v>
      </c>
      <c r="H3220" t="s">
        <v>92</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202</v>
      </c>
      <c r="B3221" t="s">
        <v>3374</v>
      </c>
      <c r="C3221" t="s">
        <v>88</v>
      </c>
      <c r="D3221" t="s">
        <v>88</v>
      </c>
      <c r="E3221" t="s">
        <v>735</v>
      </c>
      <c r="F3221" t="s">
        <v>88</v>
      </c>
      <c r="G3221" t="s">
        <v>88</v>
      </c>
      <c r="H3221" t="s">
        <v>92</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202</v>
      </c>
      <c r="B3222" t="s">
        <v>3375</v>
      </c>
      <c r="C3222" t="s">
        <v>88</v>
      </c>
      <c r="D3222" t="s">
        <v>88</v>
      </c>
      <c r="E3222" t="s">
        <v>959</v>
      </c>
      <c r="F3222" t="s">
        <v>88</v>
      </c>
      <c r="G3222" t="s">
        <v>88</v>
      </c>
      <c r="H3222" t="s">
        <v>92</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202</v>
      </c>
      <c r="B3223" t="s">
        <v>3376</v>
      </c>
      <c r="C3223" t="s">
        <v>88</v>
      </c>
      <c r="D3223" t="s">
        <v>88</v>
      </c>
      <c r="E3223" t="s">
        <v>803</v>
      </c>
      <c r="F3223" t="s">
        <v>88</v>
      </c>
      <c r="G3223" t="s">
        <v>88</v>
      </c>
      <c r="H3223" t="s">
        <v>92</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202</v>
      </c>
      <c r="B3224" t="s">
        <v>3377</v>
      </c>
      <c r="C3224" t="s">
        <v>88</v>
      </c>
      <c r="D3224" t="s">
        <v>88</v>
      </c>
      <c r="E3224" t="s">
        <v>663</v>
      </c>
      <c r="F3224" t="s">
        <v>88</v>
      </c>
      <c r="G3224" t="s">
        <v>88</v>
      </c>
      <c r="H3224" t="s">
        <v>92</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202</v>
      </c>
      <c r="B3225" t="s">
        <v>2199</v>
      </c>
      <c r="C3225" t="s">
        <v>88</v>
      </c>
      <c r="D3225" t="s">
        <v>88</v>
      </c>
      <c r="E3225" t="s">
        <v>937</v>
      </c>
      <c r="F3225" t="s">
        <v>88</v>
      </c>
      <c r="G3225" t="s">
        <v>88</v>
      </c>
      <c r="H3225" t="s">
        <v>92</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202</v>
      </c>
      <c r="B3226" t="s">
        <v>3378</v>
      </c>
      <c r="C3226" t="s">
        <v>88</v>
      </c>
      <c r="D3226" t="s">
        <v>88</v>
      </c>
      <c r="E3226" t="s">
        <v>937</v>
      </c>
      <c r="F3226" t="s">
        <v>88</v>
      </c>
      <c r="G3226" t="s">
        <v>88</v>
      </c>
      <c r="H3226" t="s">
        <v>92</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202</v>
      </c>
      <c r="B3227" t="s">
        <v>3379</v>
      </c>
      <c r="C3227" t="s">
        <v>88</v>
      </c>
      <c r="D3227" t="s">
        <v>88</v>
      </c>
      <c r="E3227" t="s">
        <v>655</v>
      </c>
      <c r="F3227" t="s">
        <v>88</v>
      </c>
      <c r="G3227" t="s">
        <v>88</v>
      </c>
      <c r="H3227" t="s">
        <v>92</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202</v>
      </c>
      <c r="B3228" t="s">
        <v>3380</v>
      </c>
      <c r="C3228" t="s">
        <v>88</v>
      </c>
      <c r="D3228" t="s">
        <v>88</v>
      </c>
      <c r="E3228" t="s">
        <v>1714</v>
      </c>
      <c r="F3228" t="s">
        <v>88</v>
      </c>
      <c r="G3228" t="s">
        <v>88</v>
      </c>
      <c r="H3228" t="s">
        <v>92</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202</v>
      </c>
      <c r="B3229" t="s">
        <v>2208</v>
      </c>
      <c r="C3229" t="s">
        <v>88</v>
      </c>
      <c r="D3229" t="s">
        <v>88</v>
      </c>
      <c r="E3229" t="s">
        <v>791</v>
      </c>
      <c r="F3229" t="s">
        <v>88</v>
      </c>
      <c r="G3229" t="s">
        <v>88</v>
      </c>
      <c r="H3229" t="s">
        <v>92</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202</v>
      </c>
      <c r="B3230" t="s">
        <v>701</v>
      </c>
      <c r="C3230" t="s">
        <v>88</v>
      </c>
      <c r="D3230" t="s">
        <v>88</v>
      </c>
      <c r="E3230" t="s">
        <v>709</v>
      </c>
      <c r="F3230" t="s">
        <v>88</v>
      </c>
      <c r="G3230" t="s">
        <v>88</v>
      </c>
      <c r="H3230" t="s">
        <v>92</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202</v>
      </c>
      <c r="B3231" t="s">
        <v>705</v>
      </c>
      <c r="C3231" t="s">
        <v>88</v>
      </c>
      <c r="D3231" t="s">
        <v>88</v>
      </c>
      <c r="E3231" t="s">
        <v>709</v>
      </c>
      <c r="F3231" t="s">
        <v>88</v>
      </c>
      <c r="G3231" t="s">
        <v>88</v>
      </c>
      <c r="H3231" t="s">
        <v>92</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202</v>
      </c>
      <c r="B3232" t="s">
        <v>706</v>
      </c>
      <c r="C3232" t="s">
        <v>88</v>
      </c>
      <c r="D3232" t="s">
        <v>88</v>
      </c>
      <c r="E3232" t="s">
        <v>709</v>
      </c>
      <c r="F3232" t="s">
        <v>88</v>
      </c>
      <c r="G3232" t="s">
        <v>88</v>
      </c>
      <c r="H3232" t="s">
        <v>92</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202</v>
      </c>
      <c r="B3233" t="s">
        <v>707</v>
      </c>
      <c r="C3233" t="s">
        <v>88</v>
      </c>
      <c r="D3233" t="s">
        <v>88</v>
      </c>
      <c r="E3233" t="s">
        <v>709</v>
      </c>
      <c r="F3233" t="s">
        <v>88</v>
      </c>
      <c r="G3233" t="s">
        <v>88</v>
      </c>
      <c r="H3233" t="s">
        <v>92</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202</v>
      </c>
      <c r="B3234" t="s">
        <v>708</v>
      </c>
      <c r="C3234" t="s">
        <v>88</v>
      </c>
      <c r="D3234" t="s">
        <v>88</v>
      </c>
      <c r="E3234" t="s">
        <v>709</v>
      </c>
      <c r="F3234" t="s">
        <v>88</v>
      </c>
      <c r="G3234" t="s">
        <v>88</v>
      </c>
      <c r="H3234" t="s">
        <v>92</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202</v>
      </c>
      <c r="B3235" t="s">
        <v>846</v>
      </c>
      <c r="C3235" t="s">
        <v>88</v>
      </c>
      <c r="D3235" t="s">
        <v>88</v>
      </c>
      <c r="E3235" t="s">
        <v>710</v>
      </c>
      <c r="F3235" t="s">
        <v>88</v>
      </c>
      <c r="G3235" t="s">
        <v>88</v>
      </c>
      <c r="H3235" t="s">
        <v>92</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202</v>
      </c>
      <c r="B3236" t="s">
        <v>1399</v>
      </c>
      <c r="C3236" t="s">
        <v>88</v>
      </c>
      <c r="D3236" t="s">
        <v>3201</v>
      </c>
      <c r="E3236" t="s">
        <v>711</v>
      </c>
      <c r="F3236" t="s">
        <v>88</v>
      </c>
      <c r="G3236" t="s">
        <v>88</v>
      </c>
      <c r="H3236" t="s">
        <v>92</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202</v>
      </c>
      <c r="B3237" t="s">
        <v>620</v>
      </c>
      <c r="C3237" t="s">
        <v>88</v>
      </c>
      <c r="D3237" t="s">
        <v>88</v>
      </c>
      <c r="E3237" t="s">
        <v>711</v>
      </c>
      <c r="F3237" t="s">
        <v>88</v>
      </c>
      <c r="G3237" t="s">
        <v>88</v>
      </c>
      <c r="H3237" t="s">
        <v>92</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202</v>
      </c>
      <c r="B3238" t="s">
        <v>622</v>
      </c>
      <c r="C3238" t="s">
        <v>88</v>
      </c>
      <c r="D3238" t="s">
        <v>88</v>
      </c>
      <c r="E3238" t="s">
        <v>735</v>
      </c>
      <c r="F3238" t="s">
        <v>88</v>
      </c>
      <c r="G3238" t="s">
        <v>88</v>
      </c>
      <c r="H3238" t="s">
        <v>92</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202</v>
      </c>
      <c r="B3239" t="s">
        <v>623</v>
      </c>
      <c r="C3239" t="s">
        <v>88</v>
      </c>
      <c r="D3239" t="s">
        <v>88</v>
      </c>
      <c r="E3239" t="s">
        <v>735</v>
      </c>
      <c r="F3239" t="s">
        <v>88</v>
      </c>
      <c r="G3239" t="s">
        <v>88</v>
      </c>
      <c r="H3239" t="s">
        <v>92</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202</v>
      </c>
      <c r="B3240" t="s">
        <v>714</v>
      </c>
      <c r="C3240" t="s">
        <v>88</v>
      </c>
      <c r="D3240" t="s">
        <v>88</v>
      </c>
      <c r="E3240" t="s">
        <v>702</v>
      </c>
      <c r="F3240" t="s">
        <v>88</v>
      </c>
      <c r="G3240" t="s">
        <v>88</v>
      </c>
      <c r="H3240" t="s">
        <v>92</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202</v>
      </c>
      <c r="B3241" t="s">
        <v>3381</v>
      </c>
      <c r="C3241" t="s">
        <v>88</v>
      </c>
      <c r="D3241" t="s">
        <v>88</v>
      </c>
      <c r="E3241" t="s">
        <v>799</v>
      </c>
      <c r="F3241" t="s">
        <v>88</v>
      </c>
      <c r="G3241" t="s">
        <v>88</v>
      </c>
      <c r="H3241" t="s">
        <v>92</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202</v>
      </c>
      <c r="B3242" t="s">
        <v>1989</v>
      </c>
      <c r="C3242" t="s">
        <v>88</v>
      </c>
      <c r="D3242" t="s">
        <v>88</v>
      </c>
      <c r="E3242" t="s">
        <v>715</v>
      </c>
      <c r="F3242" t="s">
        <v>88</v>
      </c>
      <c r="G3242" t="s">
        <v>88</v>
      </c>
      <c r="H3242" t="s">
        <v>92</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202</v>
      </c>
      <c r="B3243" t="s">
        <v>1237</v>
      </c>
      <c r="C3243" t="s">
        <v>88</v>
      </c>
      <c r="D3243" t="s">
        <v>3382</v>
      </c>
      <c r="E3243" t="s">
        <v>964</v>
      </c>
      <c r="F3243" t="s">
        <v>88</v>
      </c>
      <c r="G3243" t="s">
        <v>88</v>
      </c>
      <c r="H3243" t="s">
        <v>92</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202</v>
      </c>
      <c r="B3244" t="s">
        <v>2423</v>
      </c>
      <c r="C3244" t="s">
        <v>88</v>
      </c>
      <c r="D3244" t="s">
        <v>3383</v>
      </c>
      <c r="E3244" t="s">
        <v>641</v>
      </c>
      <c r="F3244" t="s">
        <v>88</v>
      </c>
      <c r="G3244" t="s">
        <v>88</v>
      </c>
      <c r="H3244" t="s">
        <v>92</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202</v>
      </c>
      <c r="B3245" t="s">
        <v>2418</v>
      </c>
      <c r="C3245" t="s">
        <v>88</v>
      </c>
      <c r="D3245" t="s">
        <v>3383</v>
      </c>
      <c r="E3245" t="s">
        <v>803</v>
      </c>
      <c r="F3245" t="s">
        <v>88</v>
      </c>
      <c r="G3245" t="s">
        <v>88</v>
      </c>
      <c r="H3245" t="s">
        <v>92</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202</v>
      </c>
      <c r="B3246" t="s">
        <v>3384</v>
      </c>
      <c r="C3246" t="s">
        <v>88</v>
      </c>
      <c r="D3246" t="s">
        <v>3383</v>
      </c>
      <c r="E3246" t="s">
        <v>1167</v>
      </c>
      <c r="F3246" t="s">
        <v>88</v>
      </c>
      <c r="G3246" t="s">
        <v>88</v>
      </c>
      <c r="H3246" t="s">
        <v>92</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202</v>
      </c>
      <c r="B3247" t="s">
        <v>3385</v>
      </c>
      <c r="C3247" t="s">
        <v>88</v>
      </c>
      <c r="D3247" t="s">
        <v>3383</v>
      </c>
      <c r="E3247" t="s">
        <v>1068</v>
      </c>
      <c r="F3247" t="s">
        <v>88</v>
      </c>
      <c r="G3247" t="s">
        <v>88</v>
      </c>
      <c r="H3247" t="s">
        <v>92</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202</v>
      </c>
      <c r="B3248" t="s">
        <v>1234</v>
      </c>
      <c r="C3248" t="s">
        <v>88</v>
      </c>
      <c r="D3248" t="s">
        <v>3382</v>
      </c>
      <c r="E3248" t="s">
        <v>964</v>
      </c>
      <c r="F3248" t="s">
        <v>88</v>
      </c>
      <c r="G3248" t="s">
        <v>88</v>
      </c>
      <c r="H3248" t="s">
        <v>92</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202</v>
      </c>
      <c r="B3249" t="s">
        <v>1238</v>
      </c>
      <c r="C3249" t="s">
        <v>88</v>
      </c>
      <c r="D3249" t="s">
        <v>3382</v>
      </c>
      <c r="E3249" t="s">
        <v>964</v>
      </c>
      <c r="F3249" t="s">
        <v>88</v>
      </c>
      <c r="G3249" t="s">
        <v>88</v>
      </c>
      <c r="H3249" t="s">
        <v>92</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202</v>
      </c>
      <c r="B3250" t="s">
        <v>3336</v>
      </c>
      <c r="C3250" t="s">
        <v>88</v>
      </c>
      <c r="D3250" t="s">
        <v>3337</v>
      </c>
      <c r="E3250" t="s">
        <v>964</v>
      </c>
      <c r="F3250" t="s">
        <v>88</v>
      </c>
      <c r="G3250" t="s">
        <v>88</v>
      </c>
      <c r="H3250" t="s">
        <v>92</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202</v>
      </c>
      <c r="B3251" t="s">
        <v>3386</v>
      </c>
      <c r="C3251" t="s">
        <v>88</v>
      </c>
      <c r="D3251" t="s">
        <v>3382</v>
      </c>
      <c r="E3251" t="s">
        <v>964</v>
      </c>
      <c r="F3251" t="s">
        <v>88</v>
      </c>
      <c r="G3251" t="s">
        <v>88</v>
      </c>
      <c r="H3251" t="s">
        <v>92</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202</v>
      </c>
      <c r="B3252" t="s">
        <v>3387</v>
      </c>
      <c r="C3252" t="s">
        <v>88</v>
      </c>
      <c r="D3252" t="s">
        <v>88</v>
      </c>
      <c r="E3252" t="s">
        <v>814</v>
      </c>
      <c r="F3252" t="s">
        <v>88</v>
      </c>
      <c r="G3252" t="s">
        <v>88</v>
      </c>
      <c r="H3252" t="s">
        <v>92</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202</v>
      </c>
      <c r="B3253" t="s">
        <v>3388</v>
      </c>
      <c r="C3253" t="s">
        <v>88</v>
      </c>
      <c r="D3253" t="s">
        <v>88</v>
      </c>
      <c r="E3253" t="s">
        <v>814</v>
      </c>
      <c r="F3253" t="s">
        <v>88</v>
      </c>
      <c r="G3253" t="s">
        <v>88</v>
      </c>
      <c r="H3253" t="s">
        <v>92</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202</v>
      </c>
      <c r="B3254" t="s">
        <v>3389</v>
      </c>
      <c r="C3254" t="s">
        <v>88</v>
      </c>
      <c r="D3254" t="s">
        <v>88</v>
      </c>
      <c r="E3254" t="s">
        <v>814</v>
      </c>
      <c r="F3254" t="s">
        <v>88</v>
      </c>
      <c r="G3254" t="s">
        <v>88</v>
      </c>
      <c r="H3254" t="s">
        <v>92</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202</v>
      </c>
      <c r="B3255" t="s">
        <v>3390</v>
      </c>
      <c r="C3255" t="s">
        <v>88</v>
      </c>
      <c r="D3255" t="s">
        <v>88</v>
      </c>
      <c r="E3255" t="s">
        <v>814</v>
      </c>
      <c r="F3255" t="s">
        <v>88</v>
      </c>
      <c r="G3255" t="s">
        <v>88</v>
      </c>
      <c r="H3255" t="s">
        <v>92</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202</v>
      </c>
      <c r="B3256" t="s">
        <v>3391</v>
      </c>
      <c r="C3256" t="s">
        <v>88</v>
      </c>
      <c r="D3256" t="s">
        <v>88</v>
      </c>
      <c r="E3256" t="s">
        <v>814</v>
      </c>
      <c r="F3256" t="s">
        <v>88</v>
      </c>
      <c r="G3256" t="s">
        <v>88</v>
      </c>
      <c r="H3256" t="s">
        <v>92</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202</v>
      </c>
      <c r="B3257" t="s">
        <v>625</v>
      </c>
      <c r="C3257" t="s">
        <v>88</v>
      </c>
      <c r="D3257" t="s">
        <v>88</v>
      </c>
      <c r="E3257" t="s">
        <v>626</v>
      </c>
      <c r="F3257" t="s">
        <v>88</v>
      </c>
      <c r="G3257" t="s">
        <v>88</v>
      </c>
      <c r="H3257" t="s">
        <v>92</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204</v>
      </c>
      <c r="B3258" t="s">
        <v>3392</v>
      </c>
      <c r="C3258" t="s">
        <v>88</v>
      </c>
      <c r="D3258" t="s">
        <v>88</v>
      </c>
      <c r="E3258" t="s">
        <v>723</v>
      </c>
      <c r="F3258" t="s">
        <v>88</v>
      </c>
      <c r="G3258" t="s">
        <v>88</v>
      </c>
      <c r="H3258" t="s">
        <v>92</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204</v>
      </c>
      <c r="B3259" t="s">
        <v>2021</v>
      </c>
      <c r="C3259" t="s">
        <v>88</v>
      </c>
      <c r="D3259" t="s">
        <v>88</v>
      </c>
      <c r="E3259" t="s">
        <v>715</v>
      </c>
      <c r="F3259" t="s">
        <v>88</v>
      </c>
      <c r="G3259" t="s">
        <v>88</v>
      </c>
      <c r="H3259" t="s">
        <v>92</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204</v>
      </c>
      <c r="B3260" t="s">
        <v>2026</v>
      </c>
      <c r="C3260" t="s">
        <v>88</v>
      </c>
      <c r="D3260" t="s">
        <v>3393</v>
      </c>
      <c r="E3260" t="s">
        <v>663</v>
      </c>
      <c r="F3260" t="s">
        <v>88</v>
      </c>
      <c r="G3260" t="s">
        <v>88</v>
      </c>
      <c r="H3260" t="s">
        <v>92</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204</v>
      </c>
      <c r="B3261" t="s">
        <v>1382</v>
      </c>
      <c r="C3261" t="s">
        <v>88</v>
      </c>
      <c r="D3261" t="s">
        <v>3393</v>
      </c>
      <c r="E3261" t="s">
        <v>791</v>
      </c>
      <c r="F3261" t="s">
        <v>88</v>
      </c>
      <c r="G3261" t="s">
        <v>88</v>
      </c>
      <c r="H3261" t="s">
        <v>92</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204</v>
      </c>
      <c r="B3262" t="s">
        <v>1733</v>
      </c>
      <c r="C3262" t="s">
        <v>88</v>
      </c>
      <c r="D3262" t="s">
        <v>3393</v>
      </c>
      <c r="E3262" t="s">
        <v>780</v>
      </c>
      <c r="F3262" t="s">
        <v>88</v>
      </c>
      <c r="G3262" t="s">
        <v>88</v>
      </c>
      <c r="H3262" t="s">
        <v>92</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204</v>
      </c>
      <c r="B3263" t="s">
        <v>2021</v>
      </c>
      <c r="C3263" t="s">
        <v>88</v>
      </c>
      <c r="D3263" t="s">
        <v>88</v>
      </c>
      <c r="E3263" t="s">
        <v>715</v>
      </c>
      <c r="F3263" t="s">
        <v>88</v>
      </c>
      <c r="G3263" t="s">
        <v>88</v>
      </c>
      <c r="H3263" t="s">
        <v>92</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204</v>
      </c>
      <c r="B3264" t="s">
        <v>3392</v>
      </c>
      <c r="C3264" t="s">
        <v>88</v>
      </c>
      <c r="D3264" t="s">
        <v>88</v>
      </c>
      <c r="E3264" t="s">
        <v>723</v>
      </c>
      <c r="F3264" t="s">
        <v>88</v>
      </c>
      <c r="G3264" t="s">
        <v>88</v>
      </c>
      <c r="H3264" t="s">
        <v>92</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204</v>
      </c>
      <c r="B3265" t="s">
        <v>3394</v>
      </c>
      <c r="C3265" t="s">
        <v>88</v>
      </c>
      <c r="D3265" t="s">
        <v>3393</v>
      </c>
      <c r="E3265" t="s">
        <v>702</v>
      </c>
      <c r="F3265" t="s">
        <v>88</v>
      </c>
      <c r="G3265" t="s">
        <v>88</v>
      </c>
      <c r="H3265" t="s">
        <v>92</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204</v>
      </c>
      <c r="B3266" t="s">
        <v>3395</v>
      </c>
      <c r="C3266" t="s">
        <v>88</v>
      </c>
      <c r="D3266" t="s">
        <v>3393</v>
      </c>
      <c r="E3266" t="s">
        <v>702</v>
      </c>
      <c r="F3266" t="s">
        <v>88</v>
      </c>
      <c r="G3266" t="s">
        <v>88</v>
      </c>
      <c r="H3266" t="s">
        <v>92</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204</v>
      </c>
      <c r="B3267" t="s">
        <v>1382</v>
      </c>
      <c r="C3267" t="s">
        <v>88</v>
      </c>
      <c r="D3267" t="s">
        <v>3393</v>
      </c>
      <c r="E3267" t="s">
        <v>791</v>
      </c>
      <c r="F3267" t="s">
        <v>88</v>
      </c>
      <c r="G3267" t="s">
        <v>88</v>
      </c>
      <c r="H3267" t="s">
        <v>92</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204</v>
      </c>
      <c r="B3268" t="s">
        <v>1732</v>
      </c>
      <c r="C3268" t="s">
        <v>88</v>
      </c>
      <c r="D3268" t="s">
        <v>3393</v>
      </c>
      <c r="E3268" t="s">
        <v>715</v>
      </c>
      <c r="F3268" t="s">
        <v>88</v>
      </c>
      <c r="G3268" t="s">
        <v>88</v>
      </c>
      <c r="H3268" t="s">
        <v>92</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204</v>
      </c>
      <c r="B3269" t="s">
        <v>890</v>
      </c>
      <c r="C3269" t="s">
        <v>88</v>
      </c>
      <c r="D3269" t="s">
        <v>3393</v>
      </c>
      <c r="E3269" t="s">
        <v>791</v>
      </c>
      <c r="F3269" t="s">
        <v>88</v>
      </c>
      <c r="G3269" t="s">
        <v>88</v>
      </c>
      <c r="H3269" t="s">
        <v>92</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204</v>
      </c>
      <c r="B3270" t="s">
        <v>1733</v>
      </c>
      <c r="C3270" t="s">
        <v>88</v>
      </c>
      <c r="D3270" t="s">
        <v>3393</v>
      </c>
      <c r="E3270" t="s">
        <v>780</v>
      </c>
      <c r="F3270" t="s">
        <v>88</v>
      </c>
      <c r="G3270" t="s">
        <v>88</v>
      </c>
      <c r="H3270" t="s">
        <v>92</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204</v>
      </c>
      <c r="B3271" t="s">
        <v>892</v>
      </c>
      <c r="C3271" t="s">
        <v>88</v>
      </c>
      <c r="D3271" t="s">
        <v>3393</v>
      </c>
      <c r="E3271" t="s">
        <v>679</v>
      </c>
      <c r="F3271" t="s">
        <v>88</v>
      </c>
      <c r="G3271" t="s">
        <v>88</v>
      </c>
      <c r="H3271" t="s">
        <v>92</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204</v>
      </c>
      <c r="B3272" t="s">
        <v>2026</v>
      </c>
      <c r="C3272" t="s">
        <v>88</v>
      </c>
      <c r="D3272" t="s">
        <v>3393</v>
      </c>
      <c r="E3272" t="s">
        <v>663</v>
      </c>
      <c r="F3272" t="s">
        <v>88</v>
      </c>
      <c r="G3272" t="s">
        <v>88</v>
      </c>
      <c r="H3272" t="s">
        <v>92</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204</v>
      </c>
      <c r="B3273" t="s">
        <v>895</v>
      </c>
      <c r="C3273" t="s">
        <v>88</v>
      </c>
      <c r="D3273" t="s">
        <v>3393</v>
      </c>
      <c r="E3273" t="s">
        <v>663</v>
      </c>
      <c r="F3273" t="s">
        <v>88</v>
      </c>
      <c r="G3273" t="s">
        <v>88</v>
      </c>
      <c r="H3273" t="s">
        <v>92</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204</v>
      </c>
      <c r="B3274" t="s">
        <v>1380</v>
      </c>
      <c r="C3274" t="s">
        <v>88</v>
      </c>
      <c r="D3274" t="s">
        <v>3396</v>
      </c>
      <c r="E3274" t="s">
        <v>658</v>
      </c>
      <c r="F3274" t="s">
        <v>88</v>
      </c>
      <c r="G3274" t="s">
        <v>88</v>
      </c>
      <c r="H3274" t="s">
        <v>92</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204</v>
      </c>
      <c r="B3275" t="s">
        <v>701</v>
      </c>
      <c r="C3275" t="s">
        <v>88</v>
      </c>
      <c r="D3275" t="s">
        <v>88</v>
      </c>
      <c r="E3275" t="s">
        <v>709</v>
      </c>
      <c r="F3275" t="s">
        <v>88</v>
      </c>
      <c r="G3275" t="s">
        <v>88</v>
      </c>
      <c r="H3275" t="s">
        <v>92</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204</v>
      </c>
      <c r="B3276" t="s">
        <v>703</v>
      </c>
      <c r="C3276" t="s">
        <v>88</v>
      </c>
      <c r="D3276" t="s">
        <v>88</v>
      </c>
      <c r="E3276" t="s">
        <v>709</v>
      </c>
      <c r="F3276" t="s">
        <v>88</v>
      </c>
      <c r="G3276" t="s">
        <v>88</v>
      </c>
      <c r="H3276" t="s">
        <v>92</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204</v>
      </c>
      <c r="B3277" t="s">
        <v>704</v>
      </c>
      <c r="C3277" t="s">
        <v>88</v>
      </c>
      <c r="D3277" t="s">
        <v>88</v>
      </c>
      <c r="E3277" t="s">
        <v>709</v>
      </c>
      <c r="F3277" t="s">
        <v>88</v>
      </c>
      <c r="G3277" t="s">
        <v>88</v>
      </c>
      <c r="H3277" t="s">
        <v>92</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204</v>
      </c>
      <c r="B3278" t="s">
        <v>705</v>
      </c>
      <c r="C3278" t="s">
        <v>88</v>
      </c>
      <c r="D3278" t="s">
        <v>88</v>
      </c>
      <c r="E3278" t="s">
        <v>709</v>
      </c>
      <c r="F3278" t="s">
        <v>88</v>
      </c>
      <c r="G3278" t="s">
        <v>88</v>
      </c>
      <c r="H3278" t="s">
        <v>92</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204</v>
      </c>
      <c r="B3279" t="s">
        <v>706</v>
      </c>
      <c r="C3279" t="s">
        <v>88</v>
      </c>
      <c r="D3279" t="s">
        <v>88</v>
      </c>
      <c r="E3279" t="s">
        <v>709</v>
      </c>
      <c r="F3279" t="s">
        <v>88</v>
      </c>
      <c r="G3279" t="s">
        <v>88</v>
      </c>
      <c r="H3279" t="s">
        <v>92</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204</v>
      </c>
      <c r="B3280" t="s">
        <v>707</v>
      </c>
      <c r="C3280" t="s">
        <v>88</v>
      </c>
      <c r="D3280" t="s">
        <v>88</v>
      </c>
      <c r="E3280" t="s">
        <v>3397</v>
      </c>
      <c r="F3280" t="s">
        <v>88</v>
      </c>
      <c r="G3280" t="s">
        <v>88</v>
      </c>
      <c r="H3280" t="s">
        <v>92</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204</v>
      </c>
      <c r="B3281" t="s">
        <v>708</v>
      </c>
      <c r="C3281" t="s">
        <v>88</v>
      </c>
      <c r="D3281" t="s">
        <v>88</v>
      </c>
      <c r="E3281" t="s">
        <v>1978</v>
      </c>
      <c r="F3281" t="s">
        <v>88</v>
      </c>
      <c r="G3281" t="s">
        <v>88</v>
      </c>
      <c r="H3281" t="s">
        <v>92</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204</v>
      </c>
      <c r="B3282" t="s">
        <v>846</v>
      </c>
      <c r="C3282" t="s">
        <v>88</v>
      </c>
      <c r="D3282" t="s">
        <v>88</v>
      </c>
      <c r="E3282" t="s">
        <v>710</v>
      </c>
      <c r="F3282" t="s">
        <v>88</v>
      </c>
      <c r="G3282" t="s">
        <v>88</v>
      </c>
      <c r="H3282" t="s">
        <v>92</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204</v>
      </c>
      <c r="B3283" t="s">
        <v>618</v>
      </c>
      <c r="C3283" t="s">
        <v>88</v>
      </c>
      <c r="D3283" t="s">
        <v>88</v>
      </c>
      <c r="E3283" t="s">
        <v>711</v>
      </c>
      <c r="F3283" t="s">
        <v>88</v>
      </c>
      <c r="G3283" t="s">
        <v>88</v>
      </c>
      <c r="H3283" t="s">
        <v>92</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204</v>
      </c>
      <c r="B3284" t="s">
        <v>795</v>
      </c>
      <c r="C3284" t="s">
        <v>88</v>
      </c>
      <c r="D3284" t="s">
        <v>88</v>
      </c>
      <c r="E3284" t="s">
        <v>713</v>
      </c>
      <c r="F3284" t="s">
        <v>88</v>
      </c>
      <c r="G3284" t="s">
        <v>88</v>
      </c>
      <c r="H3284" t="s">
        <v>92</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204</v>
      </c>
      <c r="B3285" t="s">
        <v>620</v>
      </c>
      <c r="C3285" t="s">
        <v>88</v>
      </c>
      <c r="D3285" t="s">
        <v>88</v>
      </c>
      <c r="E3285" t="s">
        <v>711</v>
      </c>
      <c r="F3285" t="s">
        <v>88</v>
      </c>
      <c r="G3285" t="s">
        <v>88</v>
      </c>
      <c r="H3285" t="s">
        <v>92</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204</v>
      </c>
      <c r="B3286" t="s">
        <v>622</v>
      </c>
      <c r="C3286" t="s">
        <v>88</v>
      </c>
      <c r="D3286" t="s">
        <v>88</v>
      </c>
      <c r="E3286" t="s">
        <v>713</v>
      </c>
      <c r="F3286" t="s">
        <v>88</v>
      </c>
      <c r="G3286" t="s">
        <v>88</v>
      </c>
      <c r="H3286" t="s">
        <v>92</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204</v>
      </c>
      <c r="B3287" t="s">
        <v>623</v>
      </c>
      <c r="C3287" t="s">
        <v>88</v>
      </c>
      <c r="D3287" t="s">
        <v>88</v>
      </c>
      <c r="E3287" t="s">
        <v>849</v>
      </c>
      <c r="F3287" t="s">
        <v>88</v>
      </c>
      <c r="G3287" t="s">
        <v>88</v>
      </c>
      <c r="H3287" t="s">
        <v>92</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204</v>
      </c>
      <c r="B3288" t="s">
        <v>714</v>
      </c>
      <c r="C3288" t="s">
        <v>88</v>
      </c>
      <c r="D3288" t="s">
        <v>88</v>
      </c>
      <c r="E3288" t="s">
        <v>732</v>
      </c>
      <c r="F3288" t="s">
        <v>88</v>
      </c>
      <c r="G3288" t="s">
        <v>88</v>
      </c>
      <c r="H3288" t="s">
        <v>92</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204</v>
      </c>
      <c r="B3289" t="s">
        <v>1074</v>
      </c>
      <c r="C3289" t="s">
        <v>88</v>
      </c>
      <c r="D3289" t="s">
        <v>88</v>
      </c>
      <c r="E3289" t="s">
        <v>732</v>
      </c>
      <c r="F3289" t="s">
        <v>88</v>
      </c>
      <c r="G3289" t="s">
        <v>88</v>
      </c>
      <c r="H3289" t="s">
        <v>92</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204</v>
      </c>
      <c r="B3290" t="s">
        <v>1671</v>
      </c>
      <c r="C3290" t="s">
        <v>88</v>
      </c>
      <c r="D3290" t="s">
        <v>88</v>
      </c>
      <c r="E3290" t="s">
        <v>732</v>
      </c>
      <c r="F3290" t="s">
        <v>88</v>
      </c>
      <c r="G3290" t="s">
        <v>88</v>
      </c>
      <c r="H3290" t="s">
        <v>92</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204</v>
      </c>
      <c r="B3291" t="s">
        <v>998</v>
      </c>
      <c r="C3291" t="s">
        <v>88</v>
      </c>
      <c r="D3291" t="s">
        <v>88</v>
      </c>
      <c r="E3291" t="s">
        <v>732</v>
      </c>
      <c r="F3291" t="s">
        <v>88</v>
      </c>
      <c r="G3291" t="s">
        <v>88</v>
      </c>
      <c r="H3291" t="s">
        <v>92</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204</v>
      </c>
      <c r="B3292" t="s">
        <v>1073</v>
      </c>
      <c r="C3292" t="s">
        <v>88</v>
      </c>
      <c r="D3292" t="s">
        <v>88</v>
      </c>
      <c r="E3292" t="s">
        <v>732</v>
      </c>
      <c r="F3292" t="s">
        <v>88</v>
      </c>
      <c r="G3292" t="s">
        <v>88</v>
      </c>
      <c r="H3292" t="s">
        <v>92</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204</v>
      </c>
      <c r="B3293" t="s">
        <v>625</v>
      </c>
      <c r="C3293" t="s">
        <v>88</v>
      </c>
      <c r="D3293" t="s">
        <v>88</v>
      </c>
      <c r="E3293" t="s">
        <v>626</v>
      </c>
      <c r="F3293" t="s">
        <v>88</v>
      </c>
      <c r="G3293" t="s">
        <v>88</v>
      </c>
      <c r="H3293" t="s">
        <v>92</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205</v>
      </c>
      <c r="B3294" t="s">
        <v>771</v>
      </c>
      <c r="C3294" t="s">
        <v>88</v>
      </c>
      <c r="D3294" t="s">
        <v>3398</v>
      </c>
      <c r="E3294" t="s">
        <v>715</v>
      </c>
      <c r="F3294" t="s">
        <v>88</v>
      </c>
      <c r="G3294" t="s">
        <v>88</v>
      </c>
      <c r="H3294" t="s">
        <v>92</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205</v>
      </c>
      <c r="B3295" t="s">
        <v>785</v>
      </c>
      <c r="C3295" t="s">
        <v>88</v>
      </c>
      <c r="D3295" t="s">
        <v>3398</v>
      </c>
      <c r="E3295" t="s">
        <v>799</v>
      </c>
      <c r="F3295" t="s">
        <v>88</v>
      </c>
      <c r="G3295" t="s">
        <v>88</v>
      </c>
      <c r="H3295" t="s">
        <v>92</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205</v>
      </c>
      <c r="B3296" t="s">
        <v>3399</v>
      </c>
      <c r="C3296" t="s">
        <v>88</v>
      </c>
      <c r="D3296" t="s">
        <v>3400</v>
      </c>
      <c r="E3296" t="s">
        <v>959</v>
      </c>
      <c r="F3296" t="s">
        <v>88</v>
      </c>
      <c r="G3296" t="s">
        <v>88</v>
      </c>
      <c r="H3296" t="s">
        <v>92</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205</v>
      </c>
      <c r="B3297" t="s">
        <v>3401</v>
      </c>
      <c r="C3297" t="s">
        <v>88</v>
      </c>
      <c r="D3297" t="s">
        <v>3402</v>
      </c>
      <c r="E3297" t="s">
        <v>723</v>
      </c>
      <c r="F3297" t="s">
        <v>88</v>
      </c>
      <c r="G3297" t="s">
        <v>88</v>
      </c>
      <c r="H3297" t="s">
        <v>92</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205</v>
      </c>
      <c r="B3298" t="s">
        <v>789</v>
      </c>
      <c r="C3298" t="s">
        <v>88</v>
      </c>
      <c r="D3298" t="s">
        <v>3403</v>
      </c>
      <c r="E3298" t="s">
        <v>799</v>
      </c>
      <c r="F3298" t="s">
        <v>88</v>
      </c>
      <c r="G3298" t="s">
        <v>88</v>
      </c>
      <c r="H3298" t="s">
        <v>92</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205</v>
      </c>
      <c r="B3299" t="s">
        <v>789</v>
      </c>
      <c r="C3299" t="s">
        <v>88</v>
      </c>
      <c r="D3299" t="s">
        <v>3403</v>
      </c>
      <c r="E3299" t="s">
        <v>799</v>
      </c>
      <c r="F3299" t="s">
        <v>88</v>
      </c>
      <c r="G3299" t="s">
        <v>88</v>
      </c>
      <c r="H3299" t="s">
        <v>92</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205</v>
      </c>
      <c r="B3300" t="s">
        <v>3399</v>
      </c>
      <c r="C3300" t="s">
        <v>88</v>
      </c>
      <c r="D3300" t="s">
        <v>3400</v>
      </c>
      <c r="E3300" t="s">
        <v>959</v>
      </c>
      <c r="F3300" t="s">
        <v>88</v>
      </c>
      <c r="G3300" t="s">
        <v>88</v>
      </c>
      <c r="H3300" t="s">
        <v>92</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205</v>
      </c>
      <c r="B3301" t="s">
        <v>3401</v>
      </c>
      <c r="C3301" t="s">
        <v>88</v>
      </c>
      <c r="D3301" t="s">
        <v>3402</v>
      </c>
      <c r="E3301" t="s">
        <v>723</v>
      </c>
      <c r="F3301" t="s">
        <v>88</v>
      </c>
      <c r="G3301" t="s">
        <v>88</v>
      </c>
      <c r="H3301" t="s">
        <v>92</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205</v>
      </c>
      <c r="B3302" t="s">
        <v>816</v>
      </c>
      <c r="C3302" t="s">
        <v>88</v>
      </c>
      <c r="D3302" t="s">
        <v>3404</v>
      </c>
      <c r="E3302" t="s">
        <v>692</v>
      </c>
      <c r="F3302" t="s">
        <v>88</v>
      </c>
      <c r="G3302" t="s">
        <v>88</v>
      </c>
      <c r="H3302" t="s">
        <v>92</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205</v>
      </c>
      <c r="B3303" t="s">
        <v>823</v>
      </c>
      <c r="C3303" t="s">
        <v>88</v>
      </c>
      <c r="D3303" t="s">
        <v>3402</v>
      </c>
      <c r="E3303" t="s">
        <v>964</v>
      </c>
      <c r="F3303" t="s">
        <v>88</v>
      </c>
      <c r="G3303" t="s">
        <v>88</v>
      </c>
      <c r="H3303" t="s">
        <v>92</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205</v>
      </c>
      <c r="B3304" t="s">
        <v>944</v>
      </c>
      <c r="C3304" t="s">
        <v>88</v>
      </c>
      <c r="D3304" t="s">
        <v>88</v>
      </c>
      <c r="E3304" t="s">
        <v>844</v>
      </c>
      <c r="F3304" t="s">
        <v>88</v>
      </c>
      <c r="G3304" t="s">
        <v>88</v>
      </c>
      <c r="H3304" t="s">
        <v>92</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205</v>
      </c>
      <c r="B3305" t="s">
        <v>3405</v>
      </c>
      <c r="C3305" t="s">
        <v>88</v>
      </c>
      <c r="D3305" t="s">
        <v>3406</v>
      </c>
      <c r="E3305" t="s">
        <v>780</v>
      </c>
      <c r="F3305" t="s">
        <v>88</v>
      </c>
      <c r="G3305" t="s">
        <v>88</v>
      </c>
      <c r="H3305" t="s">
        <v>92</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205</v>
      </c>
      <c r="B3306" t="s">
        <v>3407</v>
      </c>
      <c r="C3306" t="s">
        <v>88</v>
      </c>
      <c r="D3306" t="s">
        <v>3406</v>
      </c>
      <c r="E3306" t="s">
        <v>780</v>
      </c>
      <c r="F3306" t="s">
        <v>88</v>
      </c>
      <c r="G3306" t="s">
        <v>88</v>
      </c>
      <c r="H3306" t="s">
        <v>92</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205</v>
      </c>
      <c r="B3307" t="s">
        <v>3408</v>
      </c>
      <c r="C3307" t="s">
        <v>88</v>
      </c>
      <c r="D3307" t="s">
        <v>3409</v>
      </c>
      <c r="E3307" t="s">
        <v>655</v>
      </c>
      <c r="F3307" t="s">
        <v>88</v>
      </c>
      <c r="G3307" t="s">
        <v>88</v>
      </c>
      <c r="H3307" t="s">
        <v>92</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205</v>
      </c>
      <c r="B3308" t="s">
        <v>3410</v>
      </c>
      <c r="C3308" t="s">
        <v>88</v>
      </c>
      <c r="D3308" t="s">
        <v>3411</v>
      </c>
      <c r="E3308" t="s">
        <v>748</v>
      </c>
      <c r="F3308" t="s">
        <v>88</v>
      </c>
      <c r="G3308" t="s">
        <v>88</v>
      </c>
      <c r="H3308" t="s">
        <v>92</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205</v>
      </c>
      <c r="B3309" t="s">
        <v>2434</v>
      </c>
      <c r="C3309" t="s">
        <v>88</v>
      </c>
      <c r="D3309" t="s">
        <v>3398</v>
      </c>
      <c r="E3309" t="s">
        <v>715</v>
      </c>
      <c r="F3309" t="s">
        <v>88</v>
      </c>
      <c r="G3309" t="s">
        <v>88</v>
      </c>
      <c r="H3309" t="s">
        <v>92</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205</v>
      </c>
      <c r="B3310" t="s">
        <v>771</v>
      </c>
      <c r="C3310" t="s">
        <v>88</v>
      </c>
      <c r="D3310" t="s">
        <v>3398</v>
      </c>
      <c r="E3310" t="s">
        <v>715</v>
      </c>
      <c r="F3310" t="s">
        <v>88</v>
      </c>
      <c r="G3310" t="s">
        <v>88</v>
      </c>
      <c r="H3310" t="s">
        <v>92</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205</v>
      </c>
      <c r="B3311" t="s">
        <v>785</v>
      </c>
      <c r="C3311" t="s">
        <v>88</v>
      </c>
      <c r="D3311" t="s">
        <v>3398</v>
      </c>
      <c r="E3311" t="s">
        <v>799</v>
      </c>
      <c r="F3311" t="s">
        <v>88</v>
      </c>
      <c r="G3311" t="s">
        <v>88</v>
      </c>
      <c r="H3311" t="s">
        <v>92</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205</v>
      </c>
      <c r="B3312" t="s">
        <v>2740</v>
      </c>
      <c r="C3312" t="s">
        <v>88</v>
      </c>
      <c r="D3312" t="s">
        <v>88</v>
      </c>
      <c r="E3312" t="s">
        <v>713</v>
      </c>
      <c r="F3312" t="s">
        <v>88</v>
      </c>
      <c r="G3312" t="s">
        <v>88</v>
      </c>
      <c r="H3312" t="s">
        <v>92</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205</v>
      </c>
      <c r="B3313" t="s">
        <v>3412</v>
      </c>
      <c r="C3313" t="s">
        <v>88</v>
      </c>
      <c r="D3313" t="s">
        <v>3413</v>
      </c>
      <c r="E3313" t="s">
        <v>791</v>
      </c>
      <c r="F3313" t="s">
        <v>88</v>
      </c>
      <c r="G3313" t="s">
        <v>88</v>
      </c>
      <c r="H3313" t="s">
        <v>92</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205</v>
      </c>
      <c r="B3314" t="s">
        <v>3414</v>
      </c>
      <c r="C3314" t="s">
        <v>88</v>
      </c>
      <c r="D3314" t="s">
        <v>3415</v>
      </c>
      <c r="E3314" t="s">
        <v>679</v>
      </c>
      <c r="F3314" t="s">
        <v>88</v>
      </c>
      <c r="G3314" t="s">
        <v>88</v>
      </c>
      <c r="H3314" t="s">
        <v>92</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205</v>
      </c>
      <c r="B3315" t="s">
        <v>3416</v>
      </c>
      <c r="C3315" t="s">
        <v>88</v>
      </c>
      <c r="D3315" t="s">
        <v>3415</v>
      </c>
      <c r="E3315" t="s">
        <v>679</v>
      </c>
      <c r="F3315" t="s">
        <v>88</v>
      </c>
      <c r="G3315" t="s">
        <v>88</v>
      </c>
      <c r="H3315" t="s">
        <v>92</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205</v>
      </c>
      <c r="B3316" t="s">
        <v>701</v>
      </c>
      <c r="C3316" t="s">
        <v>88</v>
      </c>
      <c r="D3316" t="s">
        <v>88</v>
      </c>
      <c r="E3316" t="s">
        <v>709</v>
      </c>
      <c r="F3316" t="s">
        <v>88</v>
      </c>
      <c r="G3316" t="s">
        <v>88</v>
      </c>
      <c r="H3316" t="s">
        <v>92</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205</v>
      </c>
      <c r="B3317" t="s">
        <v>705</v>
      </c>
      <c r="C3317" t="s">
        <v>88</v>
      </c>
      <c r="D3317" t="s">
        <v>88</v>
      </c>
      <c r="E3317" t="s">
        <v>709</v>
      </c>
      <c r="F3317" t="s">
        <v>88</v>
      </c>
      <c r="G3317" t="s">
        <v>88</v>
      </c>
      <c r="H3317" t="s">
        <v>92</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205</v>
      </c>
      <c r="B3318" t="s">
        <v>846</v>
      </c>
      <c r="C3318" t="s">
        <v>88</v>
      </c>
      <c r="D3318" t="s">
        <v>88</v>
      </c>
      <c r="E3318" t="s">
        <v>709</v>
      </c>
      <c r="F3318" t="s">
        <v>88</v>
      </c>
      <c r="G3318" t="s">
        <v>88</v>
      </c>
      <c r="H3318" t="s">
        <v>92</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205</v>
      </c>
      <c r="B3319" t="s">
        <v>1399</v>
      </c>
      <c r="C3319" t="s">
        <v>88</v>
      </c>
      <c r="D3319" t="s">
        <v>88</v>
      </c>
      <c r="E3319" t="s">
        <v>710</v>
      </c>
      <c r="F3319" t="s">
        <v>88</v>
      </c>
      <c r="G3319" t="s">
        <v>88</v>
      </c>
      <c r="H3319" t="s">
        <v>92</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205</v>
      </c>
      <c r="B3320" t="s">
        <v>622</v>
      </c>
      <c r="C3320" t="s">
        <v>88</v>
      </c>
      <c r="D3320" t="s">
        <v>88</v>
      </c>
      <c r="E3320" t="s">
        <v>735</v>
      </c>
      <c r="F3320" t="s">
        <v>88</v>
      </c>
      <c r="G3320" t="s">
        <v>88</v>
      </c>
      <c r="H3320" t="s">
        <v>92</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205</v>
      </c>
      <c r="B3321" t="s">
        <v>623</v>
      </c>
      <c r="C3321" t="s">
        <v>88</v>
      </c>
      <c r="D3321" t="s">
        <v>88</v>
      </c>
      <c r="E3321" t="s">
        <v>735</v>
      </c>
      <c r="F3321" t="s">
        <v>88</v>
      </c>
      <c r="G3321" t="s">
        <v>88</v>
      </c>
      <c r="H3321" t="s">
        <v>92</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205</v>
      </c>
      <c r="B3322" t="s">
        <v>625</v>
      </c>
      <c r="C3322" t="s">
        <v>88</v>
      </c>
      <c r="D3322" t="s">
        <v>88</v>
      </c>
      <c r="E3322" t="s">
        <v>626</v>
      </c>
      <c r="F3322" t="s">
        <v>88</v>
      </c>
      <c r="G3322" t="s">
        <v>88</v>
      </c>
      <c r="H3322" t="s">
        <v>92</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206</v>
      </c>
      <c r="B3323" t="s">
        <v>3417</v>
      </c>
      <c r="C3323" t="s">
        <v>88</v>
      </c>
      <c r="D3323" t="s">
        <v>88</v>
      </c>
      <c r="E3323" t="s">
        <v>734</v>
      </c>
      <c r="F3323" t="s">
        <v>88</v>
      </c>
      <c r="G3323" t="s">
        <v>88</v>
      </c>
      <c r="H3323" t="s">
        <v>92</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206</v>
      </c>
      <c r="B3324" t="s">
        <v>3418</v>
      </c>
      <c r="C3324" t="s">
        <v>88</v>
      </c>
      <c r="D3324" t="s">
        <v>88</v>
      </c>
      <c r="E3324" t="s">
        <v>710</v>
      </c>
      <c r="F3324" t="s">
        <v>88</v>
      </c>
      <c r="G3324" t="s">
        <v>88</v>
      </c>
      <c r="H3324" t="s">
        <v>92</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206</v>
      </c>
      <c r="B3325" t="s">
        <v>3419</v>
      </c>
      <c r="C3325" t="s">
        <v>88</v>
      </c>
      <c r="D3325" t="s">
        <v>88</v>
      </c>
      <c r="E3325" t="s">
        <v>709</v>
      </c>
      <c r="F3325" t="s">
        <v>88</v>
      </c>
      <c r="G3325" t="s">
        <v>88</v>
      </c>
      <c r="H3325" t="s">
        <v>92</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206</v>
      </c>
      <c r="B3326" t="s">
        <v>3420</v>
      </c>
      <c r="C3326" t="s">
        <v>88</v>
      </c>
      <c r="D3326" t="s">
        <v>88</v>
      </c>
      <c r="E3326" t="s">
        <v>709</v>
      </c>
      <c r="F3326" t="s">
        <v>88</v>
      </c>
      <c r="G3326" t="s">
        <v>88</v>
      </c>
      <c r="H3326" t="s">
        <v>92</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206</v>
      </c>
      <c r="B3327" t="s">
        <v>3421</v>
      </c>
      <c r="C3327" t="s">
        <v>88</v>
      </c>
      <c r="D3327" t="s">
        <v>88</v>
      </c>
      <c r="E3327" t="s">
        <v>709</v>
      </c>
      <c r="F3327" t="s">
        <v>88</v>
      </c>
      <c r="G3327" t="s">
        <v>88</v>
      </c>
      <c r="H3327" t="s">
        <v>92</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206</v>
      </c>
      <c r="B3328" t="s">
        <v>1776</v>
      </c>
      <c r="C3328" t="s">
        <v>88</v>
      </c>
      <c r="D3328" t="s">
        <v>3422</v>
      </c>
      <c r="E3328" t="s">
        <v>692</v>
      </c>
      <c r="F3328" t="s">
        <v>88</v>
      </c>
      <c r="G3328" t="s">
        <v>88</v>
      </c>
      <c r="H3328" t="s">
        <v>92</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206</v>
      </c>
      <c r="B3329" t="s">
        <v>3423</v>
      </c>
      <c r="C3329" t="s">
        <v>88</v>
      </c>
      <c r="D3329" t="s">
        <v>3424</v>
      </c>
      <c r="E3329" t="s">
        <v>673</v>
      </c>
      <c r="F3329" t="s">
        <v>88</v>
      </c>
      <c r="G3329" t="s">
        <v>88</v>
      </c>
      <c r="H3329" t="s">
        <v>92</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206</v>
      </c>
      <c r="B3330" t="s">
        <v>3425</v>
      </c>
      <c r="C3330" t="s">
        <v>88</v>
      </c>
      <c r="D3330" t="s">
        <v>3426</v>
      </c>
      <c r="E3330" t="s">
        <v>692</v>
      </c>
      <c r="F3330" t="s">
        <v>88</v>
      </c>
      <c r="G3330" t="s">
        <v>88</v>
      </c>
      <c r="H3330" t="s">
        <v>92</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206</v>
      </c>
      <c r="B3331" t="s">
        <v>3427</v>
      </c>
      <c r="C3331" t="s">
        <v>88</v>
      </c>
      <c r="D3331" t="s">
        <v>3428</v>
      </c>
      <c r="E3331" t="s">
        <v>700</v>
      </c>
      <c r="F3331" t="s">
        <v>88</v>
      </c>
      <c r="G3331" t="s">
        <v>88</v>
      </c>
      <c r="H3331" t="s">
        <v>92</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206</v>
      </c>
      <c r="B3332" t="s">
        <v>3429</v>
      </c>
      <c r="C3332" t="s">
        <v>88</v>
      </c>
      <c r="D3332" t="s">
        <v>3430</v>
      </c>
      <c r="E3332" t="s">
        <v>762</v>
      </c>
      <c r="F3332" t="s">
        <v>88</v>
      </c>
      <c r="G3332" t="s">
        <v>88</v>
      </c>
      <c r="H3332" t="s">
        <v>92</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206</v>
      </c>
      <c r="B3333" t="s">
        <v>3431</v>
      </c>
      <c r="C3333" t="s">
        <v>88</v>
      </c>
      <c r="D3333" t="s">
        <v>3432</v>
      </c>
      <c r="E3333" t="s">
        <v>964</v>
      </c>
      <c r="F3333" t="s">
        <v>88</v>
      </c>
      <c r="G3333" t="s">
        <v>88</v>
      </c>
      <c r="H3333" t="s">
        <v>92</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206</v>
      </c>
      <c r="B3334" t="s">
        <v>3433</v>
      </c>
      <c r="C3334" t="s">
        <v>88</v>
      </c>
      <c r="D3334" t="s">
        <v>3434</v>
      </c>
      <c r="E3334" t="s">
        <v>825</v>
      </c>
      <c r="F3334" t="s">
        <v>88</v>
      </c>
      <c r="G3334" t="s">
        <v>88</v>
      </c>
      <c r="H3334" t="s">
        <v>92</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206</v>
      </c>
      <c r="B3335" t="s">
        <v>3435</v>
      </c>
      <c r="C3335" t="s">
        <v>88</v>
      </c>
      <c r="D3335" t="s">
        <v>3436</v>
      </c>
      <c r="E3335" t="s">
        <v>676</v>
      </c>
      <c r="F3335" t="s">
        <v>88</v>
      </c>
      <c r="G3335" t="s">
        <v>88</v>
      </c>
      <c r="H3335" t="s">
        <v>92</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206</v>
      </c>
      <c r="B3336" t="s">
        <v>3437</v>
      </c>
      <c r="C3336" t="s">
        <v>88</v>
      </c>
      <c r="D3336" t="s">
        <v>3438</v>
      </c>
      <c r="E3336" t="s">
        <v>841</v>
      </c>
      <c r="F3336" t="s">
        <v>88</v>
      </c>
      <c r="G3336" t="s">
        <v>88</v>
      </c>
      <c r="H3336" t="s">
        <v>92</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206</v>
      </c>
      <c r="B3337" t="s">
        <v>3417</v>
      </c>
      <c r="C3337" t="s">
        <v>88</v>
      </c>
      <c r="D3337" t="s">
        <v>88</v>
      </c>
      <c r="E3337" t="s">
        <v>734</v>
      </c>
      <c r="F3337" t="s">
        <v>88</v>
      </c>
      <c r="G3337" t="s">
        <v>88</v>
      </c>
      <c r="H3337" t="s">
        <v>92</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206</v>
      </c>
      <c r="B3338" t="s">
        <v>3439</v>
      </c>
      <c r="C3338" t="s">
        <v>88</v>
      </c>
      <c r="D3338" t="s">
        <v>88</v>
      </c>
      <c r="E3338" t="s">
        <v>734</v>
      </c>
      <c r="F3338" t="s">
        <v>88</v>
      </c>
      <c r="G3338" t="s">
        <v>88</v>
      </c>
      <c r="H3338" t="s">
        <v>92</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206</v>
      </c>
      <c r="B3339" t="s">
        <v>3440</v>
      </c>
      <c r="C3339" t="s">
        <v>88</v>
      </c>
      <c r="D3339" t="s">
        <v>88</v>
      </c>
      <c r="E3339" t="s">
        <v>709</v>
      </c>
      <c r="F3339" t="s">
        <v>88</v>
      </c>
      <c r="G3339" t="s">
        <v>88</v>
      </c>
      <c r="H3339" t="s">
        <v>92</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206</v>
      </c>
      <c r="B3340" t="s">
        <v>3420</v>
      </c>
      <c r="C3340" t="s">
        <v>88</v>
      </c>
      <c r="D3340" t="s">
        <v>88</v>
      </c>
      <c r="E3340" t="s">
        <v>709</v>
      </c>
      <c r="F3340" t="s">
        <v>88</v>
      </c>
      <c r="G3340" t="s">
        <v>88</v>
      </c>
      <c r="H3340" t="s">
        <v>92</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206</v>
      </c>
      <c r="B3341" t="s">
        <v>3441</v>
      </c>
      <c r="C3341" t="s">
        <v>88</v>
      </c>
      <c r="D3341" t="s">
        <v>88</v>
      </c>
      <c r="E3341" t="s">
        <v>734</v>
      </c>
      <c r="F3341" t="s">
        <v>88</v>
      </c>
      <c r="G3341" t="s">
        <v>88</v>
      </c>
      <c r="H3341" t="s">
        <v>92</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206</v>
      </c>
      <c r="B3342" t="s">
        <v>3442</v>
      </c>
      <c r="C3342" t="s">
        <v>88</v>
      </c>
      <c r="D3342" t="s">
        <v>88</v>
      </c>
      <c r="E3342" t="s">
        <v>732</v>
      </c>
      <c r="F3342" t="s">
        <v>88</v>
      </c>
      <c r="G3342" t="s">
        <v>88</v>
      </c>
      <c r="H3342" t="s">
        <v>92</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206</v>
      </c>
      <c r="B3343" t="s">
        <v>1780</v>
      </c>
      <c r="C3343" t="s">
        <v>88</v>
      </c>
      <c r="D3343" t="s">
        <v>3443</v>
      </c>
      <c r="E3343" t="s">
        <v>959</v>
      </c>
      <c r="F3343" t="s">
        <v>88</v>
      </c>
      <c r="G3343" t="s">
        <v>88</v>
      </c>
      <c r="H3343" t="s">
        <v>92</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206</v>
      </c>
      <c r="B3344" t="s">
        <v>2160</v>
      </c>
      <c r="C3344" t="s">
        <v>88</v>
      </c>
      <c r="D3344" t="s">
        <v>3444</v>
      </c>
      <c r="E3344" t="s">
        <v>676</v>
      </c>
      <c r="F3344" t="s">
        <v>88</v>
      </c>
      <c r="G3344" t="s">
        <v>88</v>
      </c>
      <c r="H3344" t="s">
        <v>92</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206</v>
      </c>
      <c r="B3345" t="s">
        <v>3445</v>
      </c>
      <c r="C3345" t="s">
        <v>88</v>
      </c>
      <c r="D3345" t="s">
        <v>3446</v>
      </c>
      <c r="E3345" t="s">
        <v>676</v>
      </c>
      <c r="F3345" t="s">
        <v>88</v>
      </c>
      <c r="G3345" t="s">
        <v>88</v>
      </c>
      <c r="H3345" t="s">
        <v>92</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206</v>
      </c>
      <c r="B3346" t="s">
        <v>3447</v>
      </c>
      <c r="C3346" t="s">
        <v>88</v>
      </c>
      <c r="D3346" t="s">
        <v>3446</v>
      </c>
      <c r="E3346" t="s">
        <v>676</v>
      </c>
      <c r="F3346" t="s">
        <v>88</v>
      </c>
      <c r="G3346" t="s">
        <v>88</v>
      </c>
      <c r="H3346" t="s">
        <v>92</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206</v>
      </c>
      <c r="B3347" t="s">
        <v>3327</v>
      </c>
      <c r="C3347" t="s">
        <v>88</v>
      </c>
      <c r="D3347" t="s">
        <v>3448</v>
      </c>
      <c r="E3347" t="s">
        <v>676</v>
      </c>
      <c r="F3347" t="s">
        <v>88</v>
      </c>
      <c r="G3347" t="s">
        <v>88</v>
      </c>
      <c r="H3347" t="s">
        <v>92</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206</v>
      </c>
      <c r="B3348" t="s">
        <v>3449</v>
      </c>
      <c r="C3348" t="s">
        <v>88</v>
      </c>
      <c r="D3348" t="s">
        <v>88</v>
      </c>
      <c r="E3348" t="s">
        <v>676</v>
      </c>
      <c r="F3348" t="s">
        <v>88</v>
      </c>
      <c r="G3348" t="s">
        <v>88</v>
      </c>
      <c r="H3348" t="s">
        <v>92</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206</v>
      </c>
      <c r="B3349" t="s">
        <v>2204</v>
      </c>
      <c r="C3349" t="s">
        <v>88</v>
      </c>
      <c r="D3349" t="s">
        <v>88</v>
      </c>
      <c r="E3349" t="s">
        <v>663</v>
      </c>
      <c r="F3349" t="s">
        <v>88</v>
      </c>
      <c r="G3349" t="s">
        <v>88</v>
      </c>
      <c r="H3349" t="s">
        <v>92</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206</v>
      </c>
      <c r="B3350" t="s">
        <v>3450</v>
      </c>
      <c r="C3350" t="s">
        <v>88</v>
      </c>
      <c r="D3350" t="s">
        <v>88</v>
      </c>
      <c r="E3350" t="s">
        <v>673</v>
      </c>
      <c r="F3350" t="s">
        <v>88</v>
      </c>
      <c r="G3350" t="s">
        <v>88</v>
      </c>
      <c r="H3350" t="s">
        <v>92</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206</v>
      </c>
      <c r="B3351" t="s">
        <v>3451</v>
      </c>
      <c r="C3351" t="s">
        <v>88</v>
      </c>
      <c r="D3351" t="s">
        <v>88</v>
      </c>
      <c r="E3351" t="s">
        <v>676</v>
      </c>
      <c r="F3351" t="s">
        <v>88</v>
      </c>
      <c r="G3351" t="s">
        <v>88</v>
      </c>
      <c r="H3351" t="s">
        <v>92</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206</v>
      </c>
      <c r="B3352" t="s">
        <v>3452</v>
      </c>
      <c r="C3352" t="s">
        <v>88</v>
      </c>
      <c r="D3352" t="s">
        <v>88</v>
      </c>
      <c r="E3352" t="s">
        <v>676</v>
      </c>
      <c r="F3352" t="s">
        <v>88</v>
      </c>
      <c r="G3352" t="s">
        <v>88</v>
      </c>
      <c r="H3352" t="s">
        <v>92</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206</v>
      </c>
      <c r="B3353" t="s">
        <v>3453</v>
      </c>
      <c r="C3353" t="s">
        <v>88</v>
      </c>
      <c r="D3353" t="s">
        <v>88</v>
      </c>
      <c r="E3353" t="s">
        <v>676</v>
      </c>
      <c r="F3353" t="s">
        <v>88</v>
      </c>
      <c r="G3353" t="s">
        <v>88</v>
      </c>
      <c r="H3353" t="s">
        <v>92</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206</v>
      </c>
      <c r="B3354" t="s">
        <v>3454</v>
      </c>
      <c r="C3354" t="s">
        <v>88</v>
      </c>
      <c r="D3354" t="s">
        <v>88</v>
      </c>
      <c r="E3354" t="s">
        <v>676</v>
      </c>
      <c r="F3354" t="s">
        <v>88</v>
      </c>
      <c r="G3354" t="s">
        <v>88</v>
      </c>
      <c r="H3354" t="s">
        <v>92</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206</v>
      </c>
      <c r="B3355" t="s">
        <v>3455</v>
      </c>
      <c r="C3355" t="s">
        <v>88</v>
      </c>
      <c r="D3355" t="s">
        <v>88</v>
      </c>
      <c r="E3355" t="s">
        <v>676</v>
      </c>
      <c r="F3355" t="s">
        <v>88</v>
      </c>
      <c r="G3355" t="s">
        <v>88</v>
      </c>
      <c r="H3355" t="s">
        <v>92</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206</v>
      </c>
      <c r="B3356" t="s">
        <v>2349</v>
      </c>
      <c r="C3356" t="s">
        <v>88</v>
      </c>
      <c r="D3356" t="s">
        <v>3456</v>
      </c>
      <c r="E3356" t="s">
        <v>700</v>
      </c>
      <c r="F3356" t="s">
        <v>88</v>
      </c>
      <c r="G3356" t="s">
        <v>88</v>
      </c>
      <c r="H3356" t="s">
        <v>92</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206</v>
      </c>
      <c r="B3357" t="s">
        <v>3457</v>
      </c>
      <c r="C3357" t="s">
        <v>88</v>
      </c>
      <c r="D3357" t="s">
        <v>3458</v>
      </c>
      <c r="E3357" t="s">
        <v>700</v>
      </c>
      <c r="F3357" t="s">
        <v>88</v>
      </c>
      <c r="G3357" t="s">
        <v>88</v>
      </c>
      <c r="H3357" t="s">
        <v>92</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206</v>
      </c>
      <c r="B3358" t="s">
        <v>3459</v>
      </c>
      <c r="C3358" t="s">
        <v>88</v>
      </c>
      <c r="D3358" t="s">
        <v>3460</v>
      </c>
      <c r="E3358" t="s">
        <v>663</v>
      </c>
      <c r="F3358" t="s">
        <v>88</v>
      </c>
      <c r="G3358" t="s">
        <v>88</v>
      </c>
      <c r="H3358" t="s">
        <v>92</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206</v>
      </c>
      <c r="B3359" t="s">
        <v>1794</v>
      </c>
      <c r="C3359" t="s">
        <v>88</v>
      </c>
      <c r="D3359" t="s">
        <v>88</v>
      </c>
      <c r="E3359" t="s">
        <v>780</v>
      </c>
      <c r="F3359" t="s">
        <v>88</v>
      </c>
      <c r="G3359" t="s">
        <v>88</v>
      </c>
      <c r="H3359" t="s">
        <v>92</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206</v>
      </c>
      <c r="B3360" t="s">
        <v>3461</v>
      </c>
      <c r="C3360" t="s">
        <v>88</v>
      </c>
      <c r="D3360" t="s">
        <v>88</v>
      </c>
      <c r="E3360" t="s">
        <v>702</v>
      </c>
      <c r="F3360" t="s">
        <v>88</v>
      </c>
      <c r="G3360" t="s">
        <v>88</v>
      </c>
      <c r="H3360" t="s">
        <v>92</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206</v>
      </c>
      <c r="B3361" t="s">
        <v>3462</v>
      </c>
      <c r="C3361" t="s">
        <v>88</v>
      </c>
      <c r="D3361" t="s">
        <v>88</v>
      </c>
      <c r="E3361" t="s">
        <v>702</v>
      </c>
      <c r="F3361" t="s">
        <v>88</v>
      </c>
      <c r="G3361" t="s">
        <v>88</v>
      </c>
      <c r="H3361" t="s">
        <v>92</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206</v>
      </c>
      <c r="B3362" t="s">
        <v>3463</v>
      </c>
      <c r="C3362" t="s">
        <v>88</v>
      </c>
      <c r="D3362" t="s">
        <v>88</v>
      </c>
      <c r="E3362" t="s">
        <v>732</v>
      </c>
      <c r="F3362" t="s">
        <v>88</v>
      </c>
      <c r="G3362" t="s">
        <v>88</v>
      </c>
      <c r="H3362" t="s">
        <v>92</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206</v>
      </c>
      <c r="B3363" t="s">
        <v>3464</v>
      </c>
      <c r="C3363" t="s">
        <v>88</v>
      </c>
      <c r="D3363" t="s">
        <v>88</v>
      </c>
      <c r="E3363" t="s">
        <v>732</v>
      </c>
      <c r="F3363" t="s">
        <v>88</v>
      </c>
      <c r="G3363" t="s">
        <v>88</v>
      </c>
      <c r="H3363" t="s">
        <v>92</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206</v>
      </c>
      <c r="B3364" t="s">
        <v>1125</v>
      </c>
      <c r="C3364" t="s">
        <v>88</v>
      </c>
      <c r="D3364" t="s">
        <v>88</v>
      </c>
      <c r="E3364" t="s">
        <v>732</v>
      </c>
      <c r="F3364" t="s">
        <v>88</v>
      </c>
      <c r="G3364" t="s">
        <v>88</v>
      </c>
      <c r="H3364" t="s">
        <v>92</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206</v>
      </c>
      <c r="B3365" t="s">
        <v>3465</v>
      </c>
      <c r="C3365" t="s">
        <v>88</v>
      </c>
      <c r="D3365" t="s">
        <v>3466</v>
      </c>
      <c r="E3365" t="s">
        <v>732</v>
      </c>
      <c r="F3365" t="s">
        <v>88</v>
      </c>
      <c r="G3365" t="s">
        <v>88</v>
      </c>
      <c r="H3365" t="s">
        <v>92</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206</v>
      </c>
      <c r="B3366" t="s">
        <v>3467</v>
      </c>
      <c r="C3366" t="s">
        <v>88</v>
      </c>
      <c r="D3366" t="s">
        <v>88</v>
      </c>
      <c r="E3366" t="s">
        <v>732</v>
      </c>
      <c r="F3366" t="s">
        <v>88</v>
      </c>
      <c r="G3366" t="s">
        <v>88</v>
      </c>
      <c r="H3366" t="s">
        <v>92</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206</v>
      </c>
      <c r="B3367" t="s">
        <v>3468</v>
      </c>
      <c r="C3367" t="s">
        <v>88</v>
      </c>
      <c r="D3367" t="s">
        <v>3469</v>
      </c>
      <c r="E3367" t="s">
        <v>732</v>
      </c>
      <c r="F3367" t="s">
        <v>88</v>
      </c>
      <c r="G3367" t="s">
        <v>88</v>
      </c>
      <c r="H3367" t="s">
        <v>92</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206</v>
      </c>
      <c r="B3368" t="s">
        <v>3470</v>
      </c>
      <c r="C3368" t="s">
        <v>88</v>
      </c>
      <c r="D3368" t="s">
        <v>88</v>
      </c>
      <c r="E3368" t="s">
        <v>732</v>
      </c>
      <c r="F3368" t="s">
        <v>88</v>
      </c>
      <c r="G3368" t="s">
        <v>88</v>
      </c>
      <c r="H3368" t="s">
        <v>92</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206</v>
      </c>
      <c r="B3369" t="s">
        <v>3471</v>
      </c>
      <c r="C3369" t="s">
        <v>88</v>
      </c>
      <c r="D3369" t="s">
        <v>88</v>
      </c>
      <c r="E3369" t="s">
        <v>732</v>
      </c>
      <c r="F3369" t="s">
        <v>88</v>
      </c>
      <c r="G3369" t="s">
        <v>88</v>
      </c>
      <c r="H3369" t="s">
        <v>92</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206</v>
      </c>
      <c r="B3370" t="s">
        <v>2241</v>
      </c>
      <c r="C3370" t="s">
        <v>88</v>
      </c>
      <c r="D3370" t="s">
        <v>88</v>
      </c>
      <c r="E3370" t="s">
        <v>734</v>
      </c>
      <c r="F3370" t="s">
        <v>88</v>
      </c>
      <c r="G3370" t="s">
        <v>88</v>
      </c>
      <c r="H3370" t="s">
        <v>92</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206</v>
      </c>
      <c r="B3371" t="s">
        <v>3472</v>
      </c>
      <c r="C3371" t="s">
        <v>88</v>
      </c>
      <c r="D3371" t="s">
        <v>88</v>
      </c>
      <c r="E3371" t="s">
        <v>735</v>
      </c>
      <c r="F3371" t="s">
        <v>88</v>
      </c>
      <c r="G3371" t="s">
        <v>88</v>
      </c>
      <c r="H3371" t="s">
        <v>92</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206</v>
      </c>
      <c r="B3372" t="s">
        <v>3418</v>
      </c>
      <c r="C3372" t="s">
        <v>88</v>
      </c>
      <c r="D3372" t="s">
        <v>88</v>
      </c>
      <c r="E3372" t="s">
        <v>710</v>
      </c>
      <c r="F3372" t="s">
        <v>88</v>
      </c>
      <c r="G3372" t="s">
        <v>88</v>
      </c>
      <c r="H3372" t="s">
        <v>92</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206</v>
      </c>
      <c r="B3373" t="s">
        <v>3473</v>
      </c>
      <c r="C3373" t="s">
        <v>88</v>
      </c>
      <c r="D3373" t="s">
        <v>88</v>
      </c>
      <c r="E3373" t="s">
        <v>711</v>
      </c>
      <c r="F3373" t="s">
        <v>88</v>
      </c>
      <c r="G3373" t="s">
        <v>88</v>
      </c>
      <c r="H3373" t="s">
        <v>92</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206</v>
      </c>
      <c r="B3374" t="s">
        <v>3474</v>
      </c>
      <c r="C3374" t="s">
        <v>88</v>
      </c>
      <c r="D3374" t="s">
        <v>88</v>
      </c>
      <c r="E3374" t="s">
        <v>711</v>
      </c>
      <c r="F3374" t="s">
        <v>88</v>
      </c>
      <c r="G3374" t="s">
        <v>88</v>
      </c>
      <c r="H3374" t="s">
        <v>92</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206</v>
      </c>
      <c r="B3375" t="s">
        <v>3475</v>
      </c>
      <c r="C3375" t="s">
        <v>88</v>
      </c>
      <c r="D3375" t="s">
        <v>88</v>
      </c>
      <c r="E3375" t="s">
        <v>709</v>
      </c>
      <c r="F3375" t="s">
        <v>88</v>
      </c>
      <c r="G3375" t="s">
        <v>88</v>
      </c>
      <c r="H3375" t="s">
        <v>92</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206</v>
      </c>
      <c r="B3376" t="s">
        <v>3476</v>
      </c>
      <c r="C3376" t="s">
        <v>88</v>
      </c>
      <c r="D3376" t="s">
        <v>88</v>
      </c>
      <c r="E3376" t="s">
        <v>710</v>
      </c>
      <c r="F3376" t="s">
        <v>88</v>
      </c>
      <c r="G3376" t="s">
        <v>88</v>
      </c>
      <c r="H3376" t="s">
        <v>92</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206</v>
      </c>
      <c r="B3377" t="s">
        <v>3477</v>
      </c>
      <c r="C3377" t="s">
        <v>88</v>
      </c>
      <c r="D3377" t="s">
        <v>88</v>
      </c>
      <c r="E3377" t="s">
        <v>710</v>
      </c>
      <c r="F3377" t="s">
        <v>88</v>
      </c>
      <c r="G3377" t="s">
        <v>88</v>
      </c>
      <c r="H3377" t="s">
        <v>92</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206</v>
      </c>
      <c r="B3378" t="s">
        <v>3478</v>
      </c>
      <c r="C3378" t="s">
        <v>88</v>
      </c>
      <c r="D3378" t="s">
        <v>88</v>
      </c>
      <c r="E3378" t="s">
        <v>709</v>
      </c>
      <c r="F3378" t="s">
        <v>88</v>
      </c>
      <c r="G3378" t="s">
        <v>88</v>
      </c>
      <c r="H3378" t="s">
        <v>92</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206</v>
      </c>
      <c r="B3379" t="s">
        <v>3479</v>
      </c>
      <c r="C3379" t="s">
        <v>88</v>
      </c>
      <c r="D3379" t="s">
        <v>88</v>
      </c>
      <c r="E3379" t="s">
        <v>710</v>
      </c>
      <c r="F3379" t="s">
        <v>88</v>
      </c>
      <c r="G3379" t="s">
        <v>88</v>
      </c>
      <c r="H3379" t="s">
        <v>92</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206</v>
      </c>
      <c r="B3380" t="s">
        <v>3480</v>
      </c>
      <c r="C3380" t="s">
        <v>88</v>
      </c>
      <c r="D3380" t="s">
        <v>88</v>
      </c>
      <c r="E3380" t="s">
        <v>710</v>
      </c>
      <c r="F3380" t="s">
        <v>88</v>
      </c>
      <c r="G3380" t="s">
        <v>88</v>
      </c>
      <c r="H3380" t="s">
        <v>92</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206</v>
      </c>
      <c r="B3381" t="s">
        <v>3419</v>
      </c>
      <c r="C3381" t="s">
        <v>88</v>
      </c>
      <c r="D3381" t="s">
        <v>88</v>
      </c>
      <c r="E3381" t="s">
        <v>709</v>
      </c>
      <c r="F3381" t="s">
        <v>88</v>
      </c>
      <c r="G3381" t="s">
        <v>88</v>
      </c>
      <c r="H3381" t="s">
        <v>92</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206</v>
      </c>
      <c r="B3382" t="s">
        <v>3421</v>
      </c>
      <c r="C3382" t="s">
        <v>88</v>
      </c>
      <c r="D3382" t="s">
        <v>88</v>
      </c>
      <c r="E3382" t="s">
        <v>709</v>
      </c>
      <c r="F3382" t="s">
        <v>88</v>
      </c>
      <c r="G3382" t="s">
        <v>88</v>
      </c>
      <c r="H3382" t="s">
        <v>92</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206</v>
      </c>
      <c r="B3383" t="s">
        <v>3481</v>
      </c>
      <c r="C3383" t="s">
        <v>88</v>
      </c>
      <c r="D3383" t="s">
        <v>3482</v>
      </c>
      <c r="E3383" t="s">
        <v>734</v>
      </c>
      <c r="F3383" t="s">
        <v>88</v>
      </c>
      <c r="G3383" t="s">
        <v>88</v>
      </c>
      <c r="H3383" t="s">
        <v>92</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206</v>
      </c>
      <c r="B3384" t="s">
        <v>3483</v>
      </c>
      <c r="C3384" t="s">
        <v>88</v>
      </c>
      <c r="D3384" t="s">
        <v>3484</v>
      </c>
      <c r="E3384" t="s">
        <v>734</v>
      </c>
      <c r="F3384" t="s">
        <v>88</v>
      </c>
      <c r="G3384" t="s">
        <v>88</v>
      </c>
      <c r="H3384" t="s">
        <v>92</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206</v>
      </c>
      <c r="B3385" t="s">
        <v>612</v>
      </c>
      <c r="C3385" t="s">
        <v>88</v>
      </c>
      <c r="D3385" t="s">
        <v>88</v>
      </c>
      <c r="E3385" t="s">
        <v>732</v>
      </c>
      <c r="F3385" t="s">
        <v>88</v>
      </c>
      <c r="G3385" t="s">
        <v>88</v>
      </c>
      <c r="H3385" t="s">
        <v>92</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206</v>
      </c>
      <c r="B3386" t="s">
        <v>707</v>
      </c>
      <c r="C3386" t="s">
        <v>88</v>
      </c>
      <c r="D3386" t="s">
        <v>88</v>
      </c>
      <c r="E3386" t="s">
        <v>732</v>
      </c>
      <c r="F3386" t="s">
        <v>88</v>
      </c>
      <c r="G3386" t="s">
        <v>88</v>
      </c>
      <c r="H3386" t="s">
        <v>92</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206</v>
      </c>
      <c r="B3387" t="s">
        <v>620</v>
      </c>
      <c r="C3387" t="s">
        <v>88</v>
      </c>
      <c r="D3387" t="s">
        <v>88</v>
      </c>
      <c r="E3387" t="s">
        <v>709</v>
      </c>
      <c r="F3387" t="s">
        <v>88</v>
      </c>
      <c r="G3387" t="s">
        <v>88</v>
      </c>
      <c r="H3387" t="s">
        <v>92</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206</v>
      </c>
      <c r="B3388" t="s">
        <v>618</v>
      </c>
      <c r="C3388" t="s">
        <v>88</v>
      </c>
      <c r="D3388" t="s">
        <v>88</v>
      </c>
      <c r="E3388" t="s">
        <v>710</v>
      </c>
      <c r="F3388" t="s">
        <v>88</v>
      </c>
      <c r="G3388" t="s">
        <v>88</v>
      </c>
      <c r="H3388" t="s">
        <v>92</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206</v>
      </c>
      <c r="B3389" t="s">
        <v>623</v>
      </c>
      <c r="C3389" t="s">
        <v>88</v>
      </c>
      <c r="D3389" t="s">
        <v>88</v>
      </c>
      <c r="E3389" t="s">
        <v>713</v>
      </c>
      <c r="F3389" t="s">
        <v>88</v>
      </c>
      <c r="G3389" t="s">
        <v>88</v>
      </c>
      <c r="H3389" t="s">
        <v>92</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206</v>
      </c>
      <c r="B3390" t="s">
        <v>3485</v>
      </c>
      <c r="C3390" t="s">
        <v>88</v>
      </c>
      <c r="D3390" t="s">
        <v>88</v>
      </c>
      <c r="E3390" t="s">
        <v>825</v>
      </c>
      <c r="F3390" t="s">
        <v>88</v>
      </c>
      <c r="G3390" t="s">
        <v>88</v>
      </c>
      <c r="H3390" t="s">
        <v>92</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206</v>
      </c>
      <c r="B3391" t="s">
        <v>3486</v>
      </c>
      <c r="C3391" t="s">
        <v>88</v>
      </c>
      <c r="D3391" t="s">
        <v>88</v>
      </c>
      <c r="E3391" t="s">
        <v>841</v>
      </c>
      <c r="F3391" t="s">
        <v>88</v>
      </c>
      <c r="G3391" t="s">
        <v>88</v>
      </c>
      <c r="H3391" t="s">
        <v>92</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206</v>
      </c>
      <c r="B3392" t="s">
        <v>3487</v>
      </c>
      <c r="C3392" t="s">
        <v>88</v>
      </c>
      <c r="D3392" t="s">
        <v>3448</v>
      </c>
      <c r="E3392" t="s">
        <v>812</v>
      </c>
      <c r="F3392" t="s">
        <v>88</v>
      </c>
      <c r="G3392" t="s">
        <v>88</v>
      </c>
      <c r="H3392" t="s">
        <v>92</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206</v>
      </c>
      <c r="B3393" t="s">
        <v>3488</v>
      </c>
      <c r="C3393" t="s">
        <v>88</v>
      </c>
      <c r="D3393" t="s">
        <v>3444</v>
      </c>
      <c r="E3393" t="s">
        <v>841</v>
      </c>
      <c r="F3393" t="s">
        <v>88</v>
      </c>
      <c r="G3393" t="s">
        <v>88</v>
      </c>
      <c r="H3393" t="s">
        <v>92</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206</v>
      </c>
      <c r="B3394" t="s">
        <v>3489</v>
      </c>
      <c r="C3394" t="s">
        <v>88</v>
      </c>
      <c r="D3394" t="s">
        <v>3446</v>
      </c>
      <c r="E3394" t="s">
        <v>841</v>
      </c>
      <c r="F3394" t="s">
        <v>88</v>
      </c>
      <c r="G3394" t="s">
        <v>88</v>
      </c>
      <c r="H3394" t="s">
        <v>92</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206</v>
      </c>
      <c r="B3395" t="s">
        <v>3490</v>
      </c>
      <c r="C3395" t="s">
        <v>88</v>
      </c>
      <c r="D3395" t="s">
        <v>88</v>
      </c>
      <c r="E3395" t="s">
        <v>841</v>
      </c>
      <c r="F3395" t="s">
        <v>88</v>
      </c>
      <c r="G3395" t="s">
        <v>88</v>
      </c>
      <c r="H3395" t="s">
        <v>92</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206</v>
      </c>
      <c r="B3396" t="s">
        <v>3491</v>
      </c>
      <c r="C3396" t="s">
        <v>88</v>
      </c>
      <c r="D3396" t="s">
        <v>3446</v>
      </c>
      <c r="E3396" t="s">
        <v>1171</v>
      </c>
      <c r="F3396" t="s">
        <v>88</v>
      </c>
      <c r="G3396" t="s">
        <v>88</v>
      </c>
      <c r="H3396" t="s">
        <v>92</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206</v>
      </c>
      <c r="B3397" t="s">
        <v>3492</v>
      </c>
      <c r="C3397" t="s">
        <v>88</v>
      </c>
      <c r="D3397" t="s">
        <v>88</v>
      </c>
      <c r="E3397" t="s">
        <v>841</v>
      </c>
      <c r="F3397" t="s">
        <v>88</v>
      </c>
      <c r="G3397" t="s">
        <v>88</v>
      </c>
      <c r="H3397" t="s">
        <v>92</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206</v>
      </c>
      <c r="B3398" t="s">
        <v>3493</v>
      </c>
      <c r="C3398" t="s">
        <v>88</v>
      </c>
      <c r="D3398" t="s">
        <v>88</v>
      </c>
      <c r="E3398" t="s">
        <v>676</v>
      </c>
      <c r="F3398" t="s">
        <v>88</v>
      </c>
      <c r="G3398" t="s">
        <v>88</v>
      </c>
      <c r="H3398" t="s">
        <v>92</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206</v>
      </c>
      <c r="B3399" t="s">
        <v>3494</v>
      </c>
      <c r="C3399" t="s">
        <v>88</v>
      </c>
      <c r="D3399" t="s">
        <v>88</v>
      </c>
      <c r="E3399" t="s">
        <v>676</v>
      </c>
      <c r="F3399" t="s">
        <v>88</v>
      </c>
      <c r="G3399" t="s">
        <v>88</v>
      </c>
      <c r="H3399" t="s">
        <v>92</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206</v>
      </c>
      <c r="B3400" t="s">
        <v>3495</v>
      </c>
      <c r="C3400" t="s">
        <v>88</v>
      </c>
      <c r="D3400" t="s">
        <v>88</v>
      </c>
      <c r="E3400" t="s">
        <v>841</v>
      </c>
      <c r="F3400" t="s">
        <v>88</v>
      </c>
      <c r="G3400" t="s">
        <v>88</v>
      </c>
      <c r="H3400" t="s">
        <v>92</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206</v>
      </c>
      <c r="B3401" t="s">
        <v>3496</v>
      </c>
      <c r="C3401" t="s">
        <v>88</v>
      </c>
      <c r="D3401" t="s">
        <v>88</v>
      </c>
      <c r="E3401" t="s">
        <v>676</v>
      </c>
      <c r="F3401" t="s">
        <v>88</v>
      </c>
      <c r="G3401" t="s">
        <v>88</v>
      </c>
      <c r="H3401" t="s">
        <v>92</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206</v>
      </c>
      <c r="B3402" t="s">
        <v>3497</v>
      </c>
      <c r="C3402" t="s">
        <v>88</v>
      </c>
      <c r="D3402" t="s">
        <v>88</v>
      </c>
      <c r="E3402" t="s">
        <v>1171</v>
      </c>
      <c r="F3402" t="s">
        <v>88</v>
      </c>
      <c r="G3402" t="s">
        <v>88</v>
      </c>
      <c r="H3402" t="s">
        <v>92</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206</v>
      </c>
      <c r="B3403" t="s">
        <v>3498</v>
      </c>
      <c r="C3403" t="s">
        <v>88</v>
      </c>
      <c r="D3403" t="s">
        <v>88</v>
      </c>
      <c r="E3403" t="s">
        <v>676</v>
      </c>
      <c r="F3403" t="s">
        <v>88</v>
      </c>
      <c r="G3403" t="s">
        <v>88</v>
      </c>
      <c r="H3403" t="s">
        <v>92</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206</v>
      </c>
      <c r="B3404" t="s">
        <v>3170</v>
      </c>
      <c r="C3404" t="s">
        <v>88</v>
      </c>
      <c r="D3404" t="s">
        <v>88</v>
      </c>
      <c r="E3404" t="s">
        <v>964</v>
      </c>
      <c r="F3404" t="s">
        <v>88</v>
      </c>
      <c r="G3404" t="s">
        <v>88</v>
      </c>
      <c r="H3404" t="s">
        <v>92</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206</v>
      </c>
      <c r="B3405" t="s">
        <v>3499</v>
      </c>
      <c r="C3405" t="s">
        <v>88</v>
      </c>
      <c r="D3405" t="s">
        <v>88</v>
      </c>
      <c r="E3405" t="s">
        <v>676</v>
      </c>
      <c r="F3405" t="s">
        <v>88</v>
      </c>
      <c r="G3405" t="s">
        <v>88</v>
      </c>
      <c r="H3405" t="s">
        <v>92</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206</v>
      </c>
      <c r="B3406" t="s">
        <v>3500</v>
      </c>
      <c r="C3406" t="s">
        <v>88</v>
      </c>
      <c r="D3406" t="s">
        <v>88</v>
      </c>
      <c r="E3406" t="s">
        <v>676</v>
      </c>
      <c r="F3406" t="s">
        <v>88</v>
      </c>
      <c r="G3406" t="s">
        <v>88</v>
      </c>
      <c r="H3406" t="s">
        <v>92</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206</v>
      </c>
      <c r="B3407" t="s">
        <v>3501</v>
      </c>
      <c r="C3407" t="s">
        <v>88</v>
      </c>
      <c r="D3407" t="s">
        <v>88</v>
      </c>
      <c r="E3407" t="s">
        <v>676</v>
      </c>
      <c r="F3407" t="s">
        <v>88</v>
      </c>
      <c r="G3407" t="s">
        <v>88</v>
      </c>
      <c r="H3407" t="s">
        <v>92</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206</v>
      </c>
      <c r="B3408" t="s">
        <v>3502</v>
      </c>
      <c r="C3408" t="s">
        <v>88</v>
      </c>
      <c r="D3408" t="s">
        <v>88</v>
      </c>
      <c r="E3408" t="s">
        <v>676</v>
      </c>
      <c r="F3408" t="s">
        <v>88</v>
      </c>
      <c r="G3408" t="s">
        <v>88</v>
      </c>
      <c r="H3408" t="s">
        <v>92</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206</v>
      </c>
      <c r="B3409" t="s">
        <v>3503</v>
      </c>
      <c r="C3409" t="s">
        <v>88</v>
      </c>
      <c r="D3409" t="s">
        <v>88</v>
      </c>
      <c r="E3409" t="s">
        <v>676</v>
      </c>
      <c r="F3409" t="s">
        <v>88</v>
      </c>
      <c r="G3409" t="s">
        <v>88</v>
      </c>
      <c r="H3409" t="s">
        <v>92</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206</v>
      </c>
      <c r="B3410" t="s">
        <v>3504</v>
      </c>
      <c r="C3410" t="s">
        <v>88</v>
      </c>
      <c r="D3410" t="s">
        <v>88</v>
      </c>
      <c r="E3410" t="s">
        <v>676</v>
      </c>
      <c r="F3410" t="s">
        <v>88</v>
      </c>
      <c r="G3410" t="s">
        <v>88</v>
      </c>
      <c r="H3410" t="s">
        <v>92</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206</v>
      </c>
      <c r="B3411" t="s">
        <v>3505</v>
      </c>
      <c r="C3411" t="s">
        <v>88</v>
      </c>
      <c r="D3411" t="s">
        <v>88</v>
      </c>
      <c r="E3411" t="s">
        <v>676</v>
      </c>
      <c r="F3411" t="s">
        <v>88</v>
      </c>
      <c r="G3411" t="s">
        <v>88</v>
      </c>
      <c r="H3411" t="s">
        <v>92</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206</v>
      </c>
      <c r="B3412" t="s">
        <v>3506</v>
      </c>
      <c r="C3412" t="s">
        <v>88</v>
      </c>
      <c r="D3412" t="s">
        <v>88</v>
      </c>
      <c r="E3412" t="s">
        <v>676</v>
      </c>
      <c r="F3412" t="s">
        <v>88</v>
      </c>
      <c r="G3412" t="s">
        <v>88</v>
      </c>
      <c r="H3412" t="s">
        <v>92</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206</v>
      </c>
      <c r="B3413" t="s">
        <v>3507</v>
      </c>
      <c r="C3413" t="s">
        <v>88</v>
      </c>
      <c r="D3413" t="s">
        <v>88</v>
      </c>
      <c r="E3413" t="s">
        <v>676</v>
      </c>
      <c r="F3413" t="s">
        <v>88</v>
      </c>
      <c r="G3413" t="s">
        <v>88</v>
      </c>
      <c r="H3413" t="s">
        <v>92</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206</v>
      </c>
      <c r="B3414" t="s">
        <v>3508</v>
      </c>
      <c r="C3414" t="s">
        <v>88</v>
      </c>
      <c r="D3414" t="s">
        <v>88</v>
      </c>
      <c r="E3414" t="s">
        <v>676</v>
      </c>
      <c r="F3414" t="s">
        <v>88</v>
      </c>
      <c r="G3414" t="s">
        <v>88</v>
      </c>
      <c r="H3414" t="s">
        <v>92</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206</v>
      </c>
      <c r="B3415" t="s">
        <v>3509</v>
      </c>
      <c r="C3415" t="s">
        <v>88</v>
      </c>
      <c r="D3415" t="s">
        <v>88</v>
      </c>
      <c r="E3415" t="s">
        <v>676</v>
      </c>
      <c r="F3415" t="s">
        <v>88</v>
      </c>
      <c r="G3415" t="s">
        <v>88</v>
      </c>
      <c r="H3415" t="s">
        <v>92</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206</v>
      </c>
      <c r="B3416" t="s">
        <v>3510</v>
      </c>
      <c r="C3416" t="s">
        <v>88</v>
      </c>
      <c r="D3416" t="s">
        <v>88</v>
      </c>
      <c r="E3416" t="s">
        <v>676</v>
      </c>
      <c r="F3416" t="s">
        <v>88</v>
      </c>
      <c r="G3416" t="s">
        <v>88</v>
      </c>
      <c r="H3416" t="s">
        <v>92</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206</v>
      </c>
      <c r="B3417" t="s">
        <v>3511</v>
      </c>
      <c r="C3417" t="s">
        <v>88</v>
      </c>
      <c r="D3417" t="s">
        <v>88</v>
      </c>
      <c r="E3417" t="s">
        <v>676</v>
      </c>
      <c r="F3417" t="s">
        <v>88</v>
      </c>
      <c r="G3417" t="s">
        <v>88</v>
      </c>
      <c r="H3417" t="s">
        <v>92</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206</v>
      </c>
      <c r="B3418" t="s">
        <v>3512</v>
      </c>
      <c r="C3418" t="s">
        <v>88</v>
      </c>
      <c r="D3418" t="s">
        <v>88</v>
      </c>
      <c r="E3418" t="s">
        <v>676</v>
      </c>
      <c r="F3418" t="s">
        <v>88</v>
      </c>
      <c r="G3418" t="s">
        <v>88</v>
      </c>
      <c r="H3418" t="s">
        <v>92</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206</v>
      </c>
      <c r="B3419" t="s">
        <v>3513</v>
      </c>
      <c r="C3419" t="s">
        <v>88</v>
      </c>
      <c r="D3419" t="s">
        <v>88</v>
      </c>
      <c r="E3419" t="s">
        <v>676</v>
      </c>
      <c r="F3419" t="s">
        <v>88</v>
      </c>
      <c r="G3419" t="s">
        <v>88</v>
      </c>
      <c r="H3419" t="s">
        <v>92</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206</v>
      </c>
      <c r="B3420" t="s">
        <v>3514</v>
      </c>
      <c r="C3420" t="s">
        <v>88</v>
      </c>
      <c r="D3420" t="s">
        <v>88</v>
      </c>
      <c r="E3420" t="s">
        <v>676</v>
      </c>
      <c r="F3420" t="s">
        <v>88</v>
      </c>
      <c r="G3420" t="s">
        <v>88</v>
      </c>
      <c r="H3420" t="s">
        <v>92</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206</v>
      </c>
      <c r="B3421" t="s">
        <v>3515</v>
      </c>
      <c r="C3421" t="s">
        <v>88</v>
      </c>
      <c r="D3421" t="s">
        <v>88</v>
      </c>
      <c r="E3421" t="s">
        <v>676</v>
      </c>
      <c r="F3421" t="s">
        <v>88</v>
      </c>
      <c r="G3421" t="s">
        <v>88</v>
      </c>
      <c r="H3421" t="s">
        <v>92</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206</v>
      </c>
      <c r="B3422" t="s">
        <v>1046</v>
      </c>
      <c r="C3422" t="s">
        <v>88</v>
      </c>
      <c r="D3422" t="s">
        <v>88</v>
      </c>
      <c r="E3422" t="s">
        <v>841</v>
      </c>
      <c r="F3422" t="s">
        <v>88</v>
      </c>
      <c r="G3422" t="s">
        <v>88</v>
      </c>
      <c r="H3422" t="s">
        <v>92</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206</v>
      </c>
      <c r="B3423" t="s">
        <v>3516</v>
      </c>
      <c r="C3423" t="s">
        <v>88</v>
      </c>
      <c r="D3423" t="s">
        <v>3517</v>
      </c>
      <c r="E3423" t="s">
        <v>841</v>
      </c>
      <c r="F3423" t="s">
        <v>88</v>
      </c>
      <c r="G3423" t="s">
        <v>88</v>
      </c>
      <c r="H3423" t="s">
        <v>92</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206</v>
      </c>
      <c r="B3424" t="s">
        <v>3518</v>
      </c>
      <c r="C3424" t="s">
        <v>88</v>
      </c>
      <c r="D3424" t="s">
        <v>88</v>
      </c>
      <c r="E3424" t="s">
        <v>676</v>
      </c>
      <c r="F3424" t="s">
        <v>88</v>
      </c>
      <c r="G3424" t="s">
        <v>88</v>
      </c>
      <c r="H3424" t="s">
        <v>92</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206</v>
      </c>
      <c r="B3425" t="s">
        <v>3519</v>
      </c>
      <c r="C3425" t="s">
        <v>88</v>
      </c>
      <c r="D3425" t="s">
        <v>88</v>
      </c>
      <c r="E3425" t="s">
        <v>676</v>
      </c>
      <c r="F3425" t="s">
        <v>88</v>
      </c>
      <c r="G3425" t="s">
        <v>88</v>
      </c>
      <c r="H3425" t="s">
        <v>92</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206</v>
      </c>
      <c r="B3426" t="s">
        <v>3520</v>
      </c>
      <c r="C3426" t="s">
        <v>88</v>
      </c>
      <c r="D3426" t="s">
        <v>88</v>
      </c>
      <c r="E3426" t="s">
        <v>676</v>
      </c>
      <c r="F3426" t="s">
        <v>88</v>
      </c>
      <c r="G3426" t="s">
        <v>88</v>
      </c>
      <c r="H3426" t="s">
        <v>92</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206</v>
      </c>
      <c r="B3427" t="s">
        <v>3521</v>
      </c>
      <c r="C3427" t="s">
        <v>88</v>
      </c>
      <c r="D3427" t="s">
        <v>88</v>
      </c>
      <c r="E3427" t="s">
        <v>676</v>
      </c>
      <c r="F3427" t="s">
        <v>88</v>
      </c>
      <c r="G3427" t="s">
        <v>88</v>
      </c>
      <c r="H3427" t="s">
        <v>92</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206</v>
      </c>
      <c r="B3428" t="s">
        <v>3522</v>
      </c>
      <c r="C3428" t="s">
        <v>88</v>
      </c>
      <c r="D3428" t="s">
        <v>88</v>
      </c>
      <c r="E3428" t="s">
        <v>676</v>
      </c>
      <c r="F3428" t="s">
        <v>88</v>
      </c>
      <c r="G3428" t="s">
        <v>88</v>
      </c>
      <c r="H3428" t="s">
        <v>92</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206</v>
      </c>
      <c r="B3429" t="s">
        <v>3523</v>
      </c>
      <c r="C3429" t="s">
        <v>88</v>
      </c>
      <c r="D3429" t="s">
        <v>88</v>
      </c>
      <c r="E3429" t="s">
        <v>676</v>
      </c>
      <c r="F3429" t="s">
        <v>88</v>
      </c>
      <c r="G3429" t="s">
        <v>88</v>
      </c>
      <c r="H3429" t="s">
        <v>92</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206</v>
      </c>
      <c r="B3430" t="s">
        <v>3524</v>
      </c>
      <c r="C3430" t="s">
        <v>88</v>
      </c>
      <c r="D3430" t="s">
        <v>88</v>
      </c>
      <c r="E3430" t="s">
        <v>676</v>
      </c>
      <c r="F3430" t="s">
        <v>88</v>
      </c>
      <c r="G3430" t="s">
        <v>88</v>
      </c>
      <c r="H3430" t="s">
        <v>92</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206</v>
      </c>
      <c r="B3431" t="s">
        <v>3525</v>
      </c>
      <c r="C3431" t="s">
        <v>88</v>
      </c>
      <c r="D3431" t="s">
        <v>88</v>
      </c>
      <c r="E3431" t="s">
        <v>676</v>
      </c>
      <c r="F3431" t="s">
        <v>88</v>
      </c>
      <c r="G3431" t="s">
        <v>88</v>
      </c>
      <c r="H3431" t="s">
        <v>92</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206</v>
      </c>
      <c r="B3432" t="s">
        <v>3526</v>
      </c>
      <c r="C3432" t="s">
        <v>88</v>
      </c>
      <c r="D3432" t="s">
        <v>88</v>
      </c>
      <c r="E3432" t="s">
        <v>676</v>
      </c>
      <c r="F3432" t="s">
        <v>88</v>
      </c>
      <c r="G3432" t="s">
        <v>88</v>
      </c>
      <c r="H3432" t="s">
        <v>92</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206</v>
      </c>
      <c r="B3433" t="s">
        <v>3527</v>
      </c>
      <c r="C3433" t="s">
        <v>88</v>
      </c>
      <c r="D3433" t="s">
        <v>88</v>
      </c>
      <c r="E3433" t="s">
        <v>676</v>
      </c>
      <c r="F3433" t="s">
        <v>88</v>
      </c>
      <c r="G3433" t="s">
        <v>88</v>
      </c>
      <c r="H3433" t="s">
        <v>92</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206</v>
      </c>
      <c r="B3434" t="s">
        <v>625</v>
      </c>
      <c r="C3434" t="s">
        <v>88</v>
      </c>
      <c r="D3434" t="s">
        <v>88</v>
      </c>
      <c r="E3434" t="s">
        <v>626</v>
      </c>
      <c r="F3434" t="s">
        <v>88</v>
      </c>
      <c r="G3434" t="s">
        <v>88</v>
      </c>
      <c r="H3434" t="s">
        <v>92</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207</v>
      </c>
      <c r="B3435" t="s">
        <v>3528</v>
      </c>
      <c r="C3435" t="s">
        <v>88</v>
      </c>
      <c r="D3435" t="s">
        <v>3529</v>
      </c>
      <c r="E3435" t="s">
        <v>780</v>
      </c>
      <c r="F3435" t="s">
        <v>88</v>
      </c>
      <c r="G3435" t="s">
        <v>88</v>
      </c>
      <c r="H3435" t="s">
        <v>92</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207</v>
      </c>
      <c r="B3436" t="s">
        <v>3530</v>
      </c>
      <c r="C3436" t="s">
        <v>88</v>
      </c>
      <c r="D3436" t="s">
        <v>3529</v>
      </c>
      <c r="E3436" t="s">
        <v>780</v>
      </c>
      <c r="F3436" t="s">
        <v>88</v>
      </c>
      <c r="G3436" t="s">
        <v>88</v>
      </c>
      <c r="H3436" t="s">
        <v>92</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207</v>
      </c>
      <c r="B3437" t="s">
        <v>3531</v>
      </c>
      <c r="C3437" t="s">
        <v>88</v>
      </c>
      <c r="D3437" t="s">
        <v>3529</v>
      </c>
      <c r="E3437" t="s">
        <v>780</v>
      </c>
      <c r="F3437" t="s">
        <v>88</v>
      </c>
      <c r="G3437" t="s">
        <v>88</v>
      </c>
      <c r="H3437" t="s">
        <v>92</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207</v>
      </c>
      <c r="B3438" t="s">
        <v>3532</v>
      </c>
      <c r="C3438" t="s">
        <v>88</v>
      </c>
      <c r="D3438" t="s">
        <v>3529</v>
      </c>
      <c r="E3438" t="s">
        <v>780</v>
      </c>
      <c r="F3438" t="s">
        <v>88</v>
      </c>
      <c r="G3438" t="s">
        <v>88</v>
      </c>
      <c r="H3438" t="s">
        <v>92</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207</v>
      </c>
      <c r="B3439" t="s">
        <v>3533</v>
      </c>
      <c r="C3439" t="s">
        <v>88</v>
      </c>
      <c r="D3439" t="s">
        <v>3534</v>
      </c>
      <c r="E3439" t="s">
        <v>655</v>
      </c>
      <c r="F3439" t="s">
        <v>88</v>
      </c>
      <c r="G3439" t="s">
        <v>88</v>
      </c>
      <c r="H3439" t="s">
        <v>92</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207</v>
      </c>
      <c r="B3440" t="s">
        <v>3535</v>
      </c>
      <c r="C3440" t="s">
        <v>88</v>
      </c>
      <c r="D3440" t="s">
        <v>3534</v>
      </c>
      <c r="E3440" t="s">
        <v>655</v>
      </c>
      <c r="F3440" t="s">
        <v>88</v>
      </c>
      <c r="G3440" t="s">
        <v>88</v>
      </c>
      <c r="H3440" t="s">
        <v>92</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207</v>
      </c>
      <c r="B3441" t="s">
        <v>3536</v>
      </c>
      <c r="C3441" t="s">
        <v>88</v>
      </c>
      <c r="D3441" t="s">
        <v>3534</v>
      </c>
      <c r="E3441" t="s">
        <v>655</v>
      </c>
      <c r="F3441" t="s">
        <v>88</v>
      </c>
      <c r="G3441" t="s">
        <v>88</v>
      </c>
      <c r="H3441" t="s">
        <v>92</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207</v>
      </c>
      <c r="B3442" t="s">
        <v>3537</v>
      </c>
      <c r="C3442" t="s">
        <v>88</v>
      </c>
      <c r="D3442" t="s">
        <v>3534</v>
      </c>
      <c r="E3442" t="s">
        <v>655</v>
      </c>
      <c r="F3442" t="s">
        <v>88</v>
      </c>
      <c r="G3442" t="s">
        <v>88</v>
      </c>
      <c r="H3442" t="s">
        <v>92</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207</v>
      </c>
      <c r="B3443" t="s">
        <v>3538</v>
      </c>
      <c r="C3443" t="s">
        <v>88</v>
      </c>
      <c r="D3443" t="s">
        <v>3539</v>
      </c>
      <c r="E3443" t="s">
        <v>655</v>
      </c>
      <c r="F3443" t="s">
        <v>88</v>
      </c>
      <c r="G3443" t="s">
        <v>88</v>
      </c>
      <c r="H3443" t="s">
        <v>92</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207</v>
      </c>
      <c r="B3444" t="s">
        <v>3540</v>
      </c>
      <c r="C3444" t="s">
        <v>88</v>
      </c>
      <c r="D3444" t="s">
        <v>3541</v>
      </c>
      <c r="E3444" t="s">
        <v>655</v>
      </c>
      <c r="F3444" t="s">
        <v>88</v>
      </c>
      <c r="G3444" t="s">
        <v>88</v>
      </c>
      <c r="H3444" t="s">
        <v>92</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207</v>
      </c>
      <c r="B3445" t="s">
        <v>3542</v>
      </c>
      <c r="C3445" t="s">
        <v>88</v>
      </c>
      <c r="D3445" t="s">
        <v>3543</v>
      </c>
      <c r="E3445" t="s">
        <v>655</v>
      </c>
      <c r="F3445" t="s">
        <v>88</v>
      </c>
      <c r="G3445" t="s">
        <v>88</v>
      </c>
      <c r="H3445" t="s">
        <v>92</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207</v>
      </c>
      <c r="B3446" t="s">
        <v>3544</v>
      </c>
      <c r="C3446" t="s">
        <v>88</v>
      </c>
      <c r="D3446" t="s">
        <v>3545</v>
      </c>
      <c r="E3446" t="s">
        <v>780</v>
      </c>
      <c r="F3446" t="s">
        <v>88</v>
      </c>
      <c r="G3446" t="s">
        <v>88</v>
      </c>
      <c r="H3446" t="s">
        <v>92</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207</v>
      </c>
      <c r="B3447" t="s">
        <v>3546</v>
      </c>
      <c r="C3447" t="s">
        <v>88</v>
      </c>
      <c r="D3447" t="s">
        <v>3547</v>
      </c>
      <c r="E3447" t="s">
        <v>780</v>
      </c>
      <c r="F3447" t="s">
        <v>88</v>
      </c>
      <c r="G3447" t="s">
        <v>88</v>
      </c>
      <c r="H3447" t="s">
        <v>92</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207</v>
      </c>
      <c r="B3448" t="s">
        <v>3548</v>
      </c>
      <c r="C3448" t="s">
        <v>88</v>
      </c>
      <c r="D3448" t="s">
        <v>3549</v>
      </c>
      <c r="E3448" t="s">
        <v>780</v>
      </c>
      <c r="F3448" t="s">
        <v>88</v>
      </c>
      <c r="G3448" t="s">
        <v>88</v>
      </c>
      <c r="H3448" t="s">
        <v>92</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207</v>
      </c>
      <c r="B3449" t="s">
        <v>701</v>
      </c>
      <c r="C3449" t="s">
        <v>88</v>
      </c>
      <c r="D3449" t="s">
        <v>88</v>
      </c>
      <c r="E3449" t="s">
        <v>709</v>
      </c>
      <c r="F3449" t="s">
        <v>88</v>
      </c>
      <c r="G3449" t="s">
        <v>88</v>
      </c>
      <c r="H3449" t="s">
        <v>92</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207</v>
      </c>
      <c r="B3450" t="s">
        <v>703</v>
      </c>
      <c r="C3450" t="s">
        <v>88</v>
      </c>
      <c r="D3450" t="s">
        <v>88</v>
      </c>
      <c r="E3450" t="s">
        <v>709</v>
      </c>
      <c r="F3450" t="s">
        <v>88</v>
      </c>
      <c r="G3450" t="s">
        <v>88</v>
      </c>
      <c r="H3450" t="s">
        <v>92</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207</v>
      </c>
      <c r="B3451" t="s">
        <v>704</v>
      </c>
      <c r="C3451" t="s">
        <v>88</v>
      </c>
      <c r="D3451" t="s">
        <v>88</v>
      </c>
      <c r="E3451" t="s">
        <v>709</v>
      </c>
      <c r="F3451" t="s">
        <v>88</v>
      </c>
      <c r="G3451" t="s">
        <v>88</v>
      </c>
      <c r="H3451" t="s">
        <v>92</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207</v>
      </c>
      <c r="B3452" t="s">
        <v>705</v>
      </c>
      <c r="C3452" t="s">
        <v>88</v>
      </c>
      <c r="D3452" t="s">
        <v>88</v>
      </c>
      <c r="E3452" t="s">
        <v>709</v>
      </c>
      <c r="F3452" t="s">
        <v>88</v>
      </c>
      <c r="G3452" t="s">
        <v>88</v>
      </c>
      <c r="H3452" t="s">
        <v>92</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207</v>
      </c>
      <c r="B3453" t="s">
        <v>706</v>
      </c>
      <c r="C3453" t="s">
        <v>88</v>
      </c>
      <c r="D3453" t="s">
        <v>88</v>
      </c>
      <c r="E3453" t="s">
        <v>709</v>
      </c>
      <c r="F3453" t="s">
        <v>88</v>
      </c>
      <c r="G3453" t="s">
        <v>88</v>
      </c>
      <c r="H3453" t="s">
        <v>92</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207</v>
      </c>
      <c r="B3454" t="s">
        <v>707</v>
      </c>
      <c r="C3454" t="s">
        <v>88</v>
      </c>
      <c r="D3454" t="s">
        <v>88</v>
      </c>
      <c r="E3454" t="s">
        <v>709</v>
      </c>
      <c r="F3454" t="s">
        <v>88</v>
      </c>
      <c r="G3454" t="s">
        <v>88</v>
      </c>
      <c r="H3454" t="s">
        <v>92</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207</v>
      </c>
      <c r="B3455" t="s">
        <v>618</v>
      </c>
      <c r="C3455" t="s">
        <v>88</v>
      </c>
      <c r="D3455" t="s">
        <v>88</v>
      </c>
      <c r="E3455" t="s">
        <v>710</v>
      </c>
      <c r="F3455" t="s">
        <v>88</v>
      </c>
      <c r="G3455" t="s">
        <v>88</v>
      </c>
      <c r="H3455" t="s">
        <v>92</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207</v>
      </c>
      <c r="B3456" t="s">
        <v>620</v>
      </c>
      <c r="C3456" t="s">
        <v>88</v>
      </c>
      <c r="D3456" t="s">
        <v>88</v>
      </c>
      <c r="E3456" t="s">
        <v>735</v>
      </c>
      <c r="F3456" t="s">
        <v>88</v>
      </c>
      <c r="G3456" t="s">
        <v>88</v>
      </c>
      <c r="H3456" t="s">
        <v>92</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207</v>
      </c>
      <c r="B3457" t="s">
        <v>622</v>
      </c>
      <c r="C3457" t="s">
        <v>88</v>
      </c>
      <c r="D3457" t="s">
        <v>88</v>
      </c>
      <c r="E3457" t="s">
        <v>849</v>
      </c>
      <c r="F3457" t="s">
        <v>88</v>
      </c>
      <c r="G3457" t="s">
        <v>88</v>
      </c>
      <c r="H3457" t="s">
        <v>92</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207</v>
      </c>
      <c r="B3458" t="s">
        <v>623</v>
      </c>
      <c r="C3458" t="s">
        <v>88</v>
      </c>
      <c r="D3458" t="s">
        <v>88</v>
      </c>
      <c r="E3458" t="s">
        <v>849</v>
      </c>
      <c r="F3458" t="s">
        <v>88</v>
      </c>
      <c r="G3458" t="s">
        <v>88</v>
      </c>
      <c r="H3458" t="s">
        <v>92</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207</v>
      </c>
      <c r="B3459" t="s">
        <v>714</v>
      </c>
      <c r="C3459" t="s">
        <v>88</v>
      </c>
      <c r="D3459" t="s">
        <v>88</v>
      </c>
      <c r="E3459" t="s">
        <v>732</v>
      </c>
      <c r="F3459" t="s">
        <v>88</v>
      </c>
      <c r="G3459" t="s">
        <v>88</v>
      </c>
      <c r="H3459" t="s">
        <v>92</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207</v>
      </c>
      <c r="B3460" t="s">
        <v>998</v>
      </c>
      <c r="C3460" t="s">
        <v>88</v>
      </c>
      <c r="D3460" t="s">
        <v>88</v>
      </c>
      <c r="E3460" t="s">
        <v>732</v>
      </c>
      <c r="F3460" t="s">
        <v>88</v>
      </c>
      <c r="G3460" t="s">
        <v>88</v>
      </c>
      <c r="H3460" t="s">
        <v>92</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207</v>
      </c>
      <c r="B3461" t="s">
        <v>1989</v>
      </c>
      <c r="C3461" t="s">
        <v>88</v>
      </c>
      <c r="D3461" t="s">
        <v>88</v>
      </c>
      <c r="E3461" t="s">
        <v>791</v>
      </c>
      <c r="F3461" t="s">
        <v>88</v>
      </c>
      <c r="G3461" t="s">
        <v>88</v>
      </c>
      <c r="H3461" t="s">
        <v>92</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207</v>
      </c>
      <c r="B3462" t="s">
        <v>1990</v>
      </c>
      <c r="C3462" t="s">
        <v>88</v>
      </c>
      <c r="D3462" t="s">
        <v>88</v>
      </c>
      <c r="E3462" t="s">
        <v>791</v>
      </c>
      <c r="F3462" t="s">
        <v>88</v>
      </c>
      <c r="G3462" t="s">
        <v>88</v>
      </c>
      <c r="H3462" t="s">
        <v>92</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207</v>
      </c>
      <c r="B3463" t="s">
        <v>625</v>
      </c>
      <c r="C3463" t="s">
        <v>88</v>
      </c>
      <c r="D3463" t="s">
        <v>88</v>
      </c>
      <c r="E3463" t="s">
        <v>626</v>
      </c>
      <c r="F3463" t="s">
        <v>88</v>
      </c>
      <c r="G3463" t="s">
        <v>88</v>
      </c>
      <c r="H3463" t="s">
        <v>92</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209</v>
      </c>
      <c r="B3464" t="s">
        <v>3550</v>
      </c>
      <c r="C3464" t="s">
        <v>88</v>
      </c>
      <c r="D3464" t="s">
        <v>88</v>
      </c>
      <c r="E3464" t="s">
        <v>692</v>
      </c>
      <c r="F3464" t="s">
        <v>88</v>
      </c>
      <c r="G3464" t="s">
        <v>88</v>
      </c>
      <c r="H3464" t="s">
        <v>92</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209</v>
      </c>
      <c r="B3465" t="s">
        <v>739</v>
      </c>
      <c r="C3465" t="s">
        <v>88</v>
      </c>
      <c r="D3465" t="s">
        <v>3551</v>
      </c>
      <c r="E3465" t="s">
        <v>959</v>
      </c>
      <c r="F3465" t="s">
        <v>88</v>
      </c>
      <c r="G3465" t="s">
        <v>88</v>
      </c>
      <c r="H3465" t="s">
        <v>92</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209</v>
      </c>
      <c r="B3466" t="s">
        <v>3552</v>
      </c>
      <c r="C3466" t="s">
        <v>88</v>
      </c>
      <c r="D3466" t="s">
        <v>88</v>
      </c>
      <c r="E3466" t="s">
        <v>825</v>
      </c>
      <c r="F3466" t="s">
        <v>88</v>
      </c>
      <c r="G3466" t="s">
        <v>88</v>
      </c>
      <c r="H3466" t="s">
        <v>92</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209</v>
      </c>
      <c r="B3467" t="s">
        <v>3553</v>
      </c>
      <c r="C3467" t="s">
        <v>88</v>
      </c>
      <c r="D3467" t="s">
        <v>88</v>
      </c>
      <c r="E3467" t="s">
        <v>692</v>
      </c>
      <c r="F3467" t="s">
        <v>88</v>
      </c>
      <c r="G3467" t="s">
        <v>88</v>
      </c>
      <c r="H3467" t="s">
        <v>92</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209</v>
      </c>
      <c r="B3468" t="s">
        <v>736</v>
      </c>
      <c r="C3468" t="s">
        <v>88</v>
      </c>
      <c r="D3468" t="s">
        <v>3551</v>
      </c>
      <c r="E3468" t="s">
        <v>780</v>
      </c>
      <c r="F3468" t="s">
        <v>88</v>
      </c>
      <c r="G3468" t="s">
        <v>88</v>
      </c>
      <c r="H3468" t="s">
        <v>92</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209</v>
      </c>
      <c r="B3469" t="s">
        <v>740</v>
      </c>
      <c r="C3469" t="s">
        <v>88</v>
      </c>
      <c r="D3469" t="s">
        <v>3554</v>
      </c>
      <c r="E3469" t="s">
        <v>717</v>
      </c>
      <c r="F3469" t="s">
        <v>88</v>
      </c>
      <c r="G3469" t="s">
        <v>88</v>
      </c>
      <c r="H3469" t="s">
        <v>92</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209</v>
      </c>
      <c r="B3470" t="s">
        <v>768</v>
      </c>
      <c r="C3470" t="s">
        <v>88</v>
      </c>
      <c r="D3470" t="s">
        <v>3554</v>
      </c>
      <c r="E3470" t="s">
        <v>762</v>
      </c>
      <c r="F3470" t="s">
        <v>88</v>
      </c>
      <c r="G3470" t="s">
        <v>88</v>
      </c>
      <c r="H3470" t="s">
        <v>92</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209</v>
      </c>
      <c r="B3471" t="s">
        <v>759</v>
      </c>
      <c r="C3471" t="s">
        <v>88</v>
      </c>
      <c r="D3471" t="s">
        <v>3554</v>
      </c>
      <c r="E3471" t="s">
        <v>1282</v>
      </c>
      <c r="F3471" t="s">
        <v>88</v>
      </c>
      <c r="G3471" t="s">
        <v>88</v>
      </c>
      <c r="H3471" t="s">
        <v>92</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209</v>
      </c>
      <c r="B3472" t="s">
        <v>3555</v>
      </c>
      <c r="C3472" t="s">
        <v>88</v>
      </c>
      <c r="D3472" t="s">
        <v>3554</v>
      </c>
      <c r="E3472" t="s">
        <v>762</v>
      </c>
      <c r="F3472" t="s">
        <v>88</v>
      </c>
      <c r="G3472" t="s">
        <v>88</v>
      </c>
      <c r="H3472" t="s">
        <v>92</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209</v>
      </c>
      <c r="B3473" t="s">
        <v>881</v>
      </c>
      <c r="C3473" t="s">
        <v>88</v>
      </c>
      <c r="D3473" t="s">
        <v>3554</v>
      </c>
      <c r="E3473" t="s">
        <v>762</v>
      </c>
      <c r="F3473" t="s">
        <v>88</v>
      </c>
      <c r="G3473" t="s">
        <v>88</v>
      </c>
      <c r="H3473" t="s">
        <v>92</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209</v>
      </c>
      <c r="B3474" t="s">
        <v>1677</v>
      </c>
      <c r="C3474" t="s">
        <v>88</v>
      </c>
      <c r="D3474" t="s">
        <v>3554</v>
      </c>
      <c r="E3474" t="s">
        <v>762</v>
      </c>
      <c r="F3474" t="s">
        <v>88</v>
      </c>
      <c r="G3474" t="s">
        <v>88</v>
      </c>
      <c r="H3474" t="s">
        <v>92</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209</v>
      </c>
      <c r="B3475" t="s">
        <v>764</v>
      </c>
      <c r="C3475" t="s">
        <v>88</v>
      </c>
      <c r="D3475" t="s">
        <v>3554</v>
      </c>
      <c r="E3475" t="s">
        <v>883</v>
      </c>
      <c r="F3475" t="s">
        <v>88</v>
      </c>
      <c r="G3475" t="s">
        <v>88</v>
      </c>
      <c r="H3475" t="s">
        <v>92</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209</v>
      </c>
      <c r="B3476" t="s">
        <v>876</v>
      </c>
      <c r="C3476" t="s">
        <v>88</v>
      </c>
      <c r="D3476" t="s">
        <v>3554</v>
      </c>
      <c r="E3476" t="s">
        <v>762</v>
      </c>
      <c r="F3476" t="s">
        <v>88</v>
      </c>
      <c r="G3476" t="s">
        <v>88</v>
      </c>
      <c r="H3476" t="s">
        <v>92</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209</v>
      </c>
      <c r="B3477" t="s">
        <v>743</v>
      </c>
      <c r="C3477" t="s">
        <v>88</v>
      </c>
      <c r="D3477" t="s">
        <v>3554</v>
      </c>
      <c r="E3477" t="s">
        <v>717</v>
      </c>
      <c r="F3477" t="s">
        <v>88</v>
      </c>
      <c r="G3477" t="s">
        <v>88</v>
      </c>
      <c r="H3477" t="s">
        <v>92</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209</v>
      </c>
      <c r="B3478" t="s">
        <v>767</v>
      </c>
      <c r="C3478" t="s">
        <v>88</v>
      </c>
      <c r="D3478" t="s">
        <v>3554</v>
      </c>
      <c r="E3478" t="s">
        <v>717</v>
      </c>
      <c r="F3478" t="s">
        <v>88</v>
      </c>
      <c r="G3478" t="s">
        <v>88</v>
      </c>
      <c r="H3478" t="s">
        <v>92</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209</v>
      </c>
      <c r="B3479" t="s">
        <v>3550</v>
      </c>
      <c r="C3479" t="s">
        <v>88</v>
      </c>
      <c r="D3479" t="s">
        <v>88</v>
      </c>
      <c r="E3479" t="s">
        <v>692</v>
      </c>
      <c r="F3479" t="s">
        <v>88</v>
      </c>
      <c r="G3479" t="s">
        <v>88</v>
      </c>
      <c r="H3479" t="s">
        <v>92</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209</v>
      </c>
      <c r="B3480" t="s">
        <v>3556</v>
      </c>
      <c r="C3480" t="s">
        <v>88</v>
      </c>
      <c r="D3480" t="s">
        <v>88</v>
      </c>
      <c r="E3480" t="s">
        <v>692</v>
      </c>
      <c r="F3480" t="s">
        <v>88</v>
      </c>
      <c r="G3480" t="s">
        <v>88</v>
      </c>
      <c r="H3480" t="s">
        <v>92</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209</v>
      </c>
      <c r="B3481" t="s">
        <v>3557</v>
      </c>
      <c r="C3481" t="s">
        <v>88</v>
      </c>
      <c r="D3481" t="s">
        <v>88</v>
      </c>
      <c r="E3481" t="s">
        <v>692</v>
      </c>
      <c r="F3481" t="s">
        <v>88</v>
      </c>
      <c r="G3481" t="s">
        <v>88</v>
      </c>
      <c r="H3481" t="s">
        <v>92</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209</v>
      </c>
      <c r="B3482" t="s">
        <v>3553</v>
      </c>
      <c r="C3482" t="s">
        <v>88</v>
      </c>
      <c r="D3482" t="s">
        <v>88</v>
      </c>
      <c r="E3482" t="s">
        <v>692</v>
      </c>
      <c r="F3482" t="s">
        <v>88</v>
      </c>
      <c r="G3482" t="s">
        <v>88</v>
      </c>
      <c r="H3482" t="s">
        <v>92</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209</v>
      </c>
      <c r="B3483" t="s">
        <v>2021</v>
      </c>
      <c r="C3483" t="s">
        <v>88</v>
      </c>
      <c r="D3483" t="s">
        <v>88</v>
      </c>
      <c r="E3483" t="s">
        <v>715</v>
      </c>
      <c r="F3483" t="s">
        <v>88</v>
      </c>
      <c r="G3483" t="s">
        <v>88</v>
      </c>
      <c r="H3483" t="s">
        <v>92</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209</v>
      </c>
      <c r="B3484" t="s">
        <v>776</v>
      </c>
      <c r="C3484" t="s">
        <v>88</v>
      </c>
      <c r="D3484" t="s">
        <v>3551</v>
      </c>
      <c r="E3484" t="s">
        <v>780</v>
      </c>
      <c r="F3484" t="s">
        <v>88</v>
      </c>
      <c r="G3484" t="s">
        <v>88</v>
      </c>
      <c r="H3484" t="s">
        <v>92</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209</v>
      </c>
      <c r="B3485" t="s">
        <v>736</v>
      </c>
      <c r="C3485" t="s">
        <v>88</v>
      </c>
      <c r="D3485" t="s">
        <v>3551</v>
      </c>
      <c r="E3485" t="s">
        <v>780</v>
      </c>
      <c r="F3485" t="s">
        <v>88</v>
      </c>
      <c r="G3485" t="s">
        <v>88</v>
      </c>
      <c r="H3485" t="s">
        <v>92</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209</v>
      </c>
      <c r="B3486" t="s">
        <v>3558</v>
      </c>
      <c r="C3486" t="s">
        <v>88</v>
      </c>
      <c r="D3486" t="s">
        <v>3551</v>
      </c>
      <c r="E3486" t="s">
        <v>780</v>
      </c>
      <c r="F3486" t="s">
        <v>88</v>
      </c>
      <c r="G3486" t="s">
        <v>88</v>
      </c>
      <c r="H3486" t="s">
        <v>92</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209</v>
      </c>
      <c r="B3487" t="s">
        <v>739</v>
      </c>
      <c r="C3487" t="s">
        <v>88</v>
      </c>
      <c r="D3487" t="s">
        <v>3551</v>
      </c>
      <c r="E3487" t="s">
        <v>959</v>
      </c>
      <c r="F3487" t="s">
        <v>88</v>
      </c>
      <c r="G3487" t="s">
        <v>88</v>
      </c>
      <c r="H3487" t="s">
        <v>92</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209</v>
      </c>
      <c r="B3488" t="s">
        <v>777</v>
      </c>
      <c r="C3488" t="s">
        <v>88</v>
      </c>
      <c r="D3488" t="s">
        <v>3551</v>
      </c>
      <c r="E3488" t="s">
        <v>780</v>
      </c>
      <c r="F3488" t="s">
        <v>88</v>
      </c>
      <c r="G3488" t="s">
        <v>88</v>
      </c>
      <c r="H3488" t="s">
        <v>92</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209</v>
      </c>
      <c r="B3489" t="s">
        <v>948</v>
      </c>
      <c r="C3489" t="s">
        <v>88</v>
      </c>
      <c r="D3489" t="s">
        <v>88</v>
      </c>
      <c r="E3489" t="s">
        <v>735</v>
      </c>
      <c r="F3489" t="s">
        <v>88</v>
      </c>
      <c r="G3489" t="s">
        <v>88</v>
      </c>
      <c r="H3489" t="s">
        <v>92</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209</v>
      </c>
      <c r="B3490" t="s">
        <v>3559</v>
      </c>
      <c r="C3490" t="s">
        <v>88</v>
      </c>
      <c r="D3490" t="s">
        <v>3560</v>
      </c>
      <c r="E3490" t="s">
        <v>710</v>
      </c>
      <c r="F3490" t="s">
        <v>88</v>
      </c>
      <c r="G3490" t="s">
        <v>88</v>
      </c>
      <c r="H3490" t="s">
        <v>92</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209</v>
      </c>
      <c r="B3491" t="s">
        <v>612</v>
      </c>
      <c r="C3491" t="s">
        <v>88</v>
      </c>
      <c r="D3491" t="s">
        <v>88</v>
      </c>
      <c r="E3491" t="s">
        <v>734</v>
      </c>
      <c r="F3491" t="s">
        <v>88</v>
      </c>
      <c r="G3491" t="s">
        <v>88</v>
      </c>
      <c r="H3491" t="s">
        <v>92</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209</v>
      </c>
      <c r="B3492" t="s">
        <v>615</v>
      </c>
      <c r="C3492" t="s">
        <v>88</v>
      </c>
      <c r="D3492" t="s">
        <v>88</v>
      </c>
      <c r="E3492" t="s">
        <v>734</v>
      </c>
      <c r="F3492" t="s">
        <v>88</v>
      </c>
      <c r="G3492" t="s">
        <v>88</v>
      </c>
      <c r="H3492" t="s">
        <v>92</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209</v>
      </c>
      <c r="B3493" t="s">
        <v>846</v>
      </c>
      <c r="C3493" t="s">
        <v>88</v>
      </c>
      <c r="D3493" t="s">
        <v>88</v>
      </c>
      <c r="E3493" t="s">
        <v>709</v>
      </c>
      <c r="F3493" t="s">
        <v>88</v>
      </c>
      <c r="G3493" t="s">
        <v>88</v>
      </c>
      <c r="H3493" t="s">
        <v>92</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209</v>
      </c>
      <c r="B3494" t="s">
        <v>1670</v>
      </c>
      <c r="C3494" t="s">
        <v>88</v>
      </c>
      <c r="D3494" t="s">
        <v>88</v>
      </c>
      <c r="E3494" t="s">
        <v>711</v>
      </c>
      <c r="F3494" t="s">
        <v>88</v>
      </c>
      <c r="G3494" t="s">
        <v>88</v>
      </c>
      <c r="H3494" t="s">
        <v>92</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209</v>
      </c>
      <c r="B3495" t="s">
        <v>797</v>
      </c>
      <c r="C3495" t="s">
        <v>88</v>
      </c>
      <c r="D3495" t="s">
        <v>88</v>
      </c>
      <c r="E3495" t="s">
        <v>711</v>
      </c>
      <c r="F3495" t="s">
        <v>88</v>
      </c>
      <c r="G3495" t="s">
        <v>88</v>
      </c>
      <c r="H3495" t="s">
        <v>92</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209</v>
      </c>
      <c r="B3496" t="s">
        <v>622</v>
      </c>
      <c r="C3496" t="s">
        <v>88</v>
      </c>
      <c r="D3496" t="s">
        <v>88</v>
      </c>
      <c r="E3496" t="s">
        <v>711</v>
      </c>
      <c r="F3496" t="s">
        <v>88</v>
      </c>
      <c r="G3496" t="s">
        <v>88</v>
      </c>
      <c r="H3496" t="s">
        <v>92</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209</v>
      </c>
      <c r="B3497" t="s">
        <v>623</v>
      </c>
      <c r="C3497" t="s">
        <v>88</v>
      </c>
      <c r="D3497" t="s">
        <v>88</v>
      </c>
      <c r="E3497" t="s">
        <v>735</v>
      </c>
      <c r="F3497" t="s">
        <v>88</v>
      </c>
      <c r="G3497" t="s">
        <v>88</v>
      </c>
      <c r="H3497" t="s">
        <v>92</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209</v>
      </c>
      <c r="B3498" t="s">
        <v>798</v>
      </c>
      <c r="C3498" t="s">
        <v>88</v>
      </c>
      <c r="D3498" t="s">
        <v>88</v>
      </c>
      <c r="E3498" t="s">
        <v>702</v>
      </c>
      <c r="F3498" t="s">
        <v>88</v>
      </c>
      <c r="G3498" t="s">
        <v>88</v>
      </c>
      <c r="H3498" t="s">
        <v>92</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209</v>
      </c>
      <c r="B3499" t="s">
        <v>982</v>
      </c>
      <c r="C3499" t="s">
        <v>88</v>
      </c>
      <c r="D3499" t="s">
        <v>88</v>
      </c>
      <c r="E3499" t="s">
        <v>702</v>
      </c>
      <c r="F3499" t="s">
        <v>88</v>
      </c>
      <c r="G3499" t="s">
        <v>88</v>
      </c>
      <c r="H3499" t="s">
        <v>92</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209</v>
      </c>
      <c r="B3500" t="s">
        <v>851</v>
      </c>
      <c r="C3500" t="s">
        <v>88</v>
      </c>
      <c r="D3500" t="s">
        <v>847</v>
      </c>
      <c r="E3500" t="s">
        <v>791</v>
      </c>
      <c r="F3500" t="s">
        <v>88</v>
      </c>
      <c r="G3500" t="s">
        <v>88</v>
      </c>
      <c r="H3500" t="s">
        <v>92</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209</v>
      </c>
      <c r="B3501" t="s">
        <v>3561</v>
      </c>
      <c r="C3501" t="s">
        <v>88</v>
      </c>
      <c r="D3501" t="s">
        <v>88</v>
      </c>
      <c r="E3501" t="s">
        <v>791</v>
      </c>
      <c r="F3501" t="s">
        <v>88</v>
      </c>
      <c r="G3501" t="s">
        <v>88</v>
      </c>
      <c r="H3501" t="s">
        <v>92</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209</v>
      </c>
      <c r="B3502" t="s">
        <v>852</v>
      </c>
      <c r="C3502" t="s">
        <v>88</v>
      </c>
      <c r="D3502" t="s">
        <v>88</v>
      </c>
      <c r="E3502" t="s">
        <v>791</v>
      </c>
      <c r="F3502" t="s">
        <v>88</v>
      </c>
      <c r="G3502" t="s">
        <v>88</v>
      </c>
      <c r="H3502" t="s">
        <v>92</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209</v>
      </c>
      <c r="B3503" t="s">
        <v>3213</v>
      </c>
      <c r="C3503" t="s">
        <v>88</v>
      </c>
      <c r="D3503" t="s">
        <v>88</v>
      </c>
      <c r="E3503" t="s">
        <v>791</v>
      </c>
      <c r="F3503" t="s">
        <v>88</v>
      </c>
      <c r="G3503" t="s">
        <v>88</v>
      </c>
      <c r="H3503" t="s">
        <v>92</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209</v>
      </c>
      <c r="B3504" t="s">
        <v>1238</v>
      </c>
      <c r="C3504" t="s">
        <v>88</v>
      </c>
      <c r="D3504" t="s">
        <v>3562</v>
      </c>
      <c r="E3504" t="s">
        <v>676</v>
      </c>
      <c r="F3504" t="s">
        <v>88</v>
      </c>
      <c r="G3504" t="s">
        <v>88</v>
      </c>
      <c r="H3504" t="s">
        <v>92</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209</v>
      </c>
      <c r="B3505" t="s">
        <v>1237</v>
      </c>
      <c r="C3505" t="s">
        <v>88</v>
      </c>
      <c r="D3505" t="s">
        <v>3562</v>
      </c>
      <c r="E3505" t="s">
        <v>964</v>
      </c>
      <c r="F3505" t="s">
        <v>88</v>
      </c>
      <c r="G3505" t="s">
        <v>88</v>
      </c>
      <c r="H3505" t="s">
        <v>92</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209</v>
      </c>
      <c r="B3506" t="s">
        <v>2423</v>
      </c>
      <c r="C3506" t="s">
        <v>88</v>
      </c>
      <c r="D3506" t="s">
        <v>3562</v>
      </c>
      <c r="E3506" t="s">
        <v>641</v>
      </c>
      <c r="F3506" t="s">
        <v>88</v>
      </c>
      <c r="G3506" t="s">
        <v>88</v>
      </c>
      <c r="H3506" t="s">
        <v>92</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209</v>
      </c>
      <c r="B3507" t="s">
        <v>2417</v>
      </c>
      <c r="C3507" t="s">
        <v>88</v>
      </c>
      <c r="D3507" t="s">
        <v>3562</v>
      </c>
      <c r="E3507" t="s">
        <v>964</v>
      </c>
      <c r="F3507" t="s">
        <v>88</v>
      </c>
      <c r="G3507" t="s">
        <v>88</v>
      </c>
      <c r="H3507" t="s">
        <v>92</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209</v>
      </c>
      <c r="B3508" t="s">
        <v>3563</v>
      </c>
      <c r="C3508" t="s">
        <v>88</v>
      </c>
      <c r="D3508" t="s">
        <v>3562</v>
      </c>
      <c r="E3508" t="s">
        <v>964</v>
      </c>
      <c r="F3508" t="s">
        <v>88</v>
      </c>
      <c r="G3508" t="s">
        <v>88</v>
      </c>
      <c r="H3508" t="s">
        <v>92</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209</v>
      </c>
      <c r="B3509" t="s">
        <v>3564</v>
      </c>
      <c r="C3509" t="s">
        <v>88</v>
      </c>
      <c r="D3509" t="s">
        <v>3562</v>
      </c>
      <c r="E3509" t="s">
        <v>841</v>
      </c>
      <c r="F3509" t="s">
        <v>88</v>
      </c>
      <c r="G3509" t="s">
        <v>88</v>
      </c>
      <c r="H3509" t="s">
        <v>92</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209</v>
      </c>
      <c r="B3510" t="s">
        <v>2418</v>
      </c>
      <c r="C3510" t="s">
        <v>88</v>
      </c>
      <c r="D3510" t="s">
        <v>3562</v>
      </c>
      <c r="E3510" t="s">
        <v>803</v>
      </c>
      <c r="F3510" t="s">
        <v>88</v>
      </c>
      <c r="G3510" t="s">
        <v>88</v>
      </c>
      <c r="H3510" t="s">
        <v>92</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209</v>
      </c>
      <c r="B3511" t="s">
        <v>1234</v>
      </c>
      <c r="C3511" t="s">
        <v>88</v>
      </c>
      <c r="D3511" t="s">
        <v>3562</v>
      </c>
      <c r="E3511" t="s">
        <v>676</v>
      </c>
      <c r="F3511" t="s">
        <v>88</v>
      </c>
      <c r="G3511" t="s">
        <v>88</v>
      </c>
      <c r="H3511" t="s">
        <v>92</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209</v>
      </c>
      <c r="B3512" t="s">
        <v>3565</v>
      </c>
      <c r="C3512" t="s">
        <v>88</v>
      </c>
      <c r="D3512" t="s">
        <v>3562</v>
      </c>
      <c r="E3512" t="s">
        <v>641</v>
      </c>
      <c r="F3512" t="s">
        <v>88</v>
      </c>
      <c r="G3512" t="s">
        <v>88</v>
      </c>
      <c r="H3512" t="s">
        <v>92</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209</v>
      </c>
      <c r="B3513" t="s">
        <v>3566</v>
      </c>
      <c r="C3513" t="s">
        <v>88</v>
      </c>
      <c r="D3513" t="s">
        <v>88</v>
      </c>
      <c r="E3513" t="s">
        <v>825</v>
      </c>
      <c r="F3513" t="s">
        <v>88</v>
      </c>
      <c r="G3513" t="s">
        <v>88</v>
      </c>
      <c r="H3513" t="s">
        <v>92</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209</v>
      </c>
      <c r="B3514" t="s">
        <v>3567</v>
      </c>
      <c r="C3514" t="s">
        <v>88</v>
      </c>
      <c r="D3514" t="s">
        <v>88</v>
      </c>
      <c r="E3514" t="s">
        <v>841</v>
      </c>
      <c r="F3514" t="s">
        <v>88</v>
      </c>
      <c r="G3514" t="s">
        <v>88</v>
      </c>
      <c r="H3514" t="s">
        <v>92</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209</v>
      </c>
      <c r="B3515" t="s">
        <v>3552</v>
      </c>
      <c r="C3515" t="s">
        <v>88</v>
      </c>
      <c r="D3515" t="s">
        <v>88</v>
      </c>
      <c r="E3515" t="s">
        <v>825</v>
      </c>
      <c r="F3515" t="s">
        <v>88</v>
      </c>
      <c r="G3515" t="s">
        <v>88</v>
      </c>
      <c r="H3515" t="s">
        <v>92</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209</v>
      </c>
      <c r="B3516" t="s">
        <v>3568</v>
      </c>
      <c r="C3516" t="s">
        <v>88</v>
      </c>
      <c r="D3516" t="s">
        <v>88</v>
      </c>
      <c r="E3516" t="s">
        <v>841</v>
      </c>
      <c r="F3516" t="s">
        <v>88</v>
      </c>
      <c r="G3516" t="s">
        <v>88</v>
      </c>
      <c r="H3516" t="s">
        <v>92</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209</v>
      </c>
      <c r="B3517" t="s">
        <v>625</v>
      </c>
      <c r="C3517" t="s">
        <v>88</v>
      </c>
      <c r="D3517" t="s">
        <v>88</v>
      </c>
      <c r="E3517" t="s">
        <v>626</v>
      </c>
      <c r="F3517" t="s">
        <v>88</v>
      </c>
      <c r="G3517" t="s">
        <v>88</v>
      </c>
      <c r="H3517" t="s">
        <v>92</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211</v>
      </c>
      <c r="B3518" t="s">
        <v>3569</v>
      </c>
      <c r="C3518" t="s">
        <v>88</v>
      </c>
      <c r="D3518" t="s">
        <v>3570</v>
      </c>
      <c r="E3518" t="s">
        <v>1006</v>
      </c>
      <c r="F3518" t="s">
        <v>88</v>
      </c>
      <c r="G3518" t="s">
        <v>88</v>
      </c>
      <c r="H3518" t="s">
        <v>92</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211</v>
      </c>
      <c r="B3519" t="s">
        <v>3571</v>
      </c>
      <c r="C3519" t="s">
        <v>88</v>
      </c>
      <c r="D3519" t="s">
        <v>3572</v>
      </c>
      <c r="E3519" t="s">
        <v>3573</v>
      </c>
      <c r="F3519" t="s">
        <v>88</v>
      </c>
      <c r="G3519" t="s">
        <v>88</v>
      </c>
      <c r="H3519" t="s">
        <v>92</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211</v>
      </c>
      <c r="B3520" t="s">
        <v>3574</v>
      </c>
      <c r="C3520" t="s">
        <v>88</v>
      </c>
      <c r="D3520" t="s">
        <v>3575</v>
      </c>
      <c r="E3520" t="s">
        <v>820</v>
      </c>
      <c r="F3520" t="s">
        <v>88</v>
      </c>
      <c r="G3520" t="s">
        <v>88</v>
      </c>
      <c r="H3520" t="s">
        <v>92</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211</v>
      </c>
      <c r="B3521" t="s">
        <v>3576</v>
      </c>
      <c r="C3521" t="s">
        <v>88</v>
      </c>
      <c r="D3521" t="s">
        <v>3577</v>
      </c>
      <c r="E3521" t="s">
        <v>3172</v>
      </c>
      <c r="F3521" t="s">
        <v>88</v>
      </c>
      <c r="G3521" t="s">
        <v>88</v>
      </c>
      <c r="H3521" t="s">
        <v>92</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211</v>
      </c>
      <c r="B3522" t="s">
        <v>3578</v>
      </c>
      <c r="C3522" t="s">
        <v>88</v>
      </c>
      <c r="D3522" t="s">
        <v>3579</v>
      </c>
      <c r="E3522" t="s">
        <v>814</v>
      </c>
      <c r="F3522" t="s">
        <v>88</v>
      </c>
      <c r="G3522" t="s">
        <v>88</v>
      </c>
      <c r="H3522" t="s">
        <v>92</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211</v>
      </c>
      <c r="B3523" t="s">
        <v>3580</v>
      </c>
      <c r="C3523" t="s">
        <v>88</v>
      </c>
      <c r="D3523" t="s">
        <v>3581</v>
      </c>
      <c r="E3523" t="s">
        <v>3172</v>
      </c>
      <c r="F3523" t="s">
        <v>88</v>
      </c>
      <c r="G3523" t="s">
        <v>88</v>
      </c>
      <c r="H3523" t="s">
        <v>92</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211</v>
      </c>
      <c r="B3524" t="s">
        <v>3582</v>
      </c>
      <c r="C3524" t="s">
        <v>88</v>
      </c>
      <c r="D3524" t="s">
        <v>3583</v>
      </c>
      <c r="E3524" t="s">
        <v>692</v>
      </c>
      <c r="F3524" t="s">
        <v>88</v>
      </c>
      <c r="G3524" t="s">
        <v>88</v>
      </c>
      <c r="H3524" t="s">
        <v>92</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211</v>
      </c>
      <c r="B3525" t="s">
        <v>3569</v>
      </c>
      <c r="C3525" t="s">
        <v>88</v>
      </c>
      <c r="D3525" t="s">
        <v>3570</v>
      </c>
      <c r="E3525" t="s">
        <v>1006</v>
      </c>
      <c r="F3525" t="s">
        <v>88</v>
      </c>
      <c r="G3525" t="s">
        <v>88</v>
      </c>
      <c r="H3525" t="s">
        <v>92</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211</v>
      </c>
      <c r="B3526" t="s">
        <v>1859</v>
      </c>
      <c r="C3526" t="s">
        <v>88</v>
      </c>
      <c r="D3526" t="s">
        <v>3584</v>
      </c>
      <c r="E3526" t="s">
        <v>655</v>
      </c>
      <c r="F3526" t="s">
        <v>88</v>
      </c>
      <c r="G3526" t="s">
        <v>88</v>
      </c>
      <c r="H3526" t="s">
        <v>92</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211</v>
      </c>
      <c r="B3527" t="s">
        <v>3585</v>
      </c>
      <c r="C3527" t="s">
        <v>88</v>
      </c>
      <c r="D3527" t="s">
        <v>3586</v>
      </c>
      <c r="E3527" t="s">
        <v>889</v>
      </c>
      <c r="F3527" t="s">
        <v>88</v>
      </c>
      <c r="G3527" t="s">
        <v>88</v>
      </c>
      <c r="H3527" t="s">
        <v>92</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211</v>
      </c>
      <c r="B3528" t="s">
        <v>3587</v>
      </c>
      <c r="C3528" t="s">
        <v>88</v>
      </c>
      <c r="D3528" t="s">
        <v>3588</v>
      </c>
      <c r="E3528" t="s">
        <v>2814</v>
      </c>
      <c r="F3528" t="s">
        <v>88</v>
      </c>
      <c r="G3528" t="s">
        <v>88</v>
      </c>
      <c r="H3528" t="s">
        <v>92</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211</v>
      </c>
      <c r="B3529" t="s">
        <v>3589</v>
      </c>
      <c r="C3529" t="s">
        <v>88</v>
      </c>
      <c r="D3529" t="s">
        <v>3590</v>
      </c>
      <c r="E3529" t="s">
        <v>893</v>
      </c>
      <c r="F3529" t="s">
        <v>88</v>
      </c>
      <c r="G3529" t="s">
        <v>88</v>
      </c>
      <c r="H3529" t="s">
        <v>92</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211</v>
      </c>
      <c r="B3530" t="s">
        <v>3576</v>
      </c>
      <c r="C3530" t="s">
        <v>88</v>
      </c>
      <c r="D3530" t="s">
        <v>3577</v>
      </c>
      <c r="E3530" t="s">
        <v>3172</v>
      </c>
      <c r="F3530" t="s">
        <v>88</v>
      </c>
      <c r="G3530" t="s">
        <v>88</v>
      </c>
      <c r="H3530" t="s">
        <v>92</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211</v>
      </c>
      <c r="B3531" t="s">
        <v>3591</v>
      </c>
      <c r="C3531" t="s">
        <v>88</v>
      </c>
      <c r="D3531" t="s">
        <v>3592</v>
      </c>
      <c r="E3531" t="s">
        <v>3593</v>
      </c>
      <c r="F3531" t="s">
        <v>88</v>
      </c>
      <c r="G3531" t="s">
        <v>88</v>
      </c>
      <c r="H3531" t="s">
        <v>92</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211</v>
      </c>
      <c r="B3532" t="s">
        <v>3574</v>
      </c>
      <c r="C3532" t="s">
        <v>88</v>
      </c>
      <c r="D3532" t="s">
        <v>3575</v>
      </c>
      <c r="E3532" t="s">
        <v>820</v>
      </c>
      <c r="F3532" t="s">
        <v>88</v>
      </c>
      <c r="G3532" t="s">
        <v>88</v>
      </c>
      <c r="H3532" t="s">
        <v>92</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211</v>
      </c>
      <c r="B3533" t="s">
        <v>3594</v>
      </c>
      <c r="C3533" t="s">
        <v>88</v>
      </c>
      <c r="D3533" t="s">
        <v>3595</v>
      </c>
      <c r="E3533" t="s">
        <v>902</v>
      </c>
      <c r="F3533" t="s">
        <v>88</v>
      </c>
      <c r="G3533" t="s">
        <v>88</v>
      </c>
      <c r="H3533" t="s">
        <v>92</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211</v>
      </c>
      <c r="B3534" t="s">
        <v>3596</v>
      </c>
      <c r="C3534" t="s">
        <v>88</v>
      </c>
      <c r="D3534" t="s">
        <v>3597</v>
      </c>
      <c r="E3534" t="s">
        <v>3598</v>
      </c>
      <c r="F3534" t="s">
        <v>88</v>
      </c>
      <c r="G3534" t="s">
        <v>88</v>
      </c>
      <c r="H3534" t="s">
        <v>92</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211</v>
      </c>
      <c r="B3535" t="s">
        <v>3599</v>
      </c>
      <c r="C3535" t="s">
        <v>88</v>
      </c>
      <c r="D3535" t="s">
        <v>3600</v>
      </c>
      <c r="E3535" t="s">
        <v>2791</v>
      </c>
      <c r="F3535" t="s">
        <v>88</v>
      </c>
      <c r="G3535" t="s">
        <v>88</v>
      </c>
      <c r="H3535" t="s">
        <v>92</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211</v>
      </c>
      <c r="B3536" t="s">
        <v>3571</v>
      </c>
      <c r="C3536" t="s">
        <v>88</v>
      </c>
      <c r="D3536" t="s">
        <v>3572</v>
      </c>
      <c r="E3536" t="s">
        <v>3573</v>
      </c>
      <c r="F3536" t="s">
        <v>88</v>
      </c>
      <c r="G3536" t="s">
        <v>88</v>
      </c>
      <c r="H3536" t="s">
        <v>92</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211</v>
      </c>
      <c r="B3537" t="s">
        <v>3578</v>
      </c>
      <c r="C3537" t="s">
        <v>88</v>
      </c>
      <c r="D3537" t="s">
        <v>3579</v>
      </c>
      <c r="E3537" t="s">
        <v>814</v>
      </c>
      <c r="F3537" t="s">
        <v>88</v>
      </c>
      <c r="G3537" t="s">
        <v>88</v>
      </c>
      <c r="H3537" t="s">
        <v>92</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211</v>
      </c>
      <c r="B3538" t="s">
        <v>3601</v>
      </c>
      <c r="C3538" t="s">
        <v>88</v>
      </c>
      <c r="D3538" t="s">
        <v>3602</v>
      </c>
      <c r="E3538" t="s">
        <v>1137</v>
      </c>
      <c r="F3538" t="s">
        <v>88</v>
      </c>
      <c r="G3538" t="s">
        <v>88</v>
      </c>
      <c r="H3538" t="s">
        <v>92</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211</v>
      </c>
      <c r="B3539" t="s">
        <v>3603</v>
      </c>
      <c r="C3539" t="s">
        <v>88</v>
      </c>
      <c r="D3539" t="s">
        <v>3604</v>
      </c>
      <c r="E3539" t="s">
        <v>721</v>
      </c>
      <c r="F3539" t="s">
        <v>88</v>
      </c>
      <c r="G3539" t="s">
        <v>88</v>
      </c>
      <c r="H3539" t="s">
        <v>92</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211</v>
      </c>
      <c r="B3540" t="s">
        <v>3605</v>
      </c>
      <c r="C3540" t="s">
        <v>88</v>
      </c>
      <c r="D3540" t="s">
        <v>3606</v>
      </c>
      <c r="E3540" t="s">
        <v>883</v>
      </c>
      <c r="F3540" t="s">
        <v>88</v>
      </c>
      <c r="G3540" t="s">
        <v>88</v>
      </c>
      <c r="H3540" t="s">
        <v>92</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211</v>
      </c>
      <c r="B3541" t="s">
        <v>3607</v>
      </c>
      <c r="C3541" t="s">
        <v>88</v>
      </c>
      <c r="D3541" t="s">
        <v>3608</v>
      </c>
      <c r="E3541" t="s">
        <v>725</v>
      </c>
      <c r="F3541" t="s">
        <v>88</v>
      </c>
      <c r="G3541" t="s">
        <v>88</v>
      </c>
      <c r="H3541" t="s">
        <v>92</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211</v>
      </c>
      <c r="B3542" t="s">
        <v>3609</v>
      </c>
      <c r="C3542" t="s">
        <v>88</v>
      </c>
      <c r="D3542" t="s">
        <v>3610</v>
      </c>
      <c r="E3542" t="s">
        <v>658</v>
      </c>
      <c r="F3542" t="s">
        <v>88</v>
      </c>
      <c r="G3542" t="s">
        <v>88</v>
      </c>
      <c r="H3542" t="s">
        <v>92</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211</v>
      </c>
      <c r="B3543" t="s">
        <v>3611</v>
      </c>
      <c r="C3543" t="s">
        <v>88</v>
      </c>
      <c r="D3543" t="s">
        <v>3612</v>
      </c>
      <c r="E3543" t="s">
        <v>663</v>
      </c>
      <c r="F3543" t="s">
        <v>88</v>
      </c>
      <c r="G3543" t="s">
        <v>88</v>
      </c>
      <c r="H3543" t="s">
        <v>92</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211</v>
      </c>
      <c r="B3544" t="s">
        <v>3613</v>
      </c>
      <c r="C3544" t="s">
        <v>88</v>
      </c>
      <c r="D3544" t="s">
        <v>3614</v>
      </c>
      <c r="E3544" t="s">
        <v>658</v>
      </c>
      <c r="F3544" t="s">
        <v>88</v>
      </c>
      <c r="G3544" t="s">
        <v>88</v>
      </c>
      <c r="H3544" t="s">
        <v>92</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211</v>
      </c>
      <c r="B3545" t="s">
        <v>3615</v>
      </c>
      <c r="C3545" t="s">
        <v>88</v>
      </c>
      <c r="D3545" t="s">
        <v>3616</v>
      </c>
      <c r="E3545" t="s">
        <v>663</v>
      </c>
      <c r="F3545" t="s">
        <v>88</v>
      </c>
      <c r="G3545" t="s">
        <v>88</v>
      </c>
      <c r="H3545" t="s">
        <v>92</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211</v>
      </c>
      <c r="B3546" t="s">
        <v>3617</v>
      </c>
      <c r="C3546" t="s">
        <v>88</v>
      </c>
      <c r="D3546" t="s">
        <v>3618</v>
      </c>
      <c r="E3546" t="s">
        <v>700</v>
      </c>
      <c r="F3546" t="s">
        <v>88</v>
      </c>
      <c r="G3546" t="s">
        <v>88</v>
      </c>
      <c r="H3546" t="s">
        <v>92</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211</v>
      </c>
      <c r="B3547" t="s">
        <v>3619</v>
      </c>
      <c r="C3547" t="s">
        <v>88</v>
      </c>
      <c r="D3547" t="s">
        <v>3620</v>
      </c>
      <c r="E3547" t="s">
        <v>663</v>
      </c>
      <c r="F3547" t="s">
        <v>88</v>
      </c>
      <c r="G3547" t="s">
        <v>88</v>
      </c>
      <c r="H3547" t="s">
        <v>92</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211</v>
      </c>
      <c r="B3548" t="s">
        <v>3621</v>
      </c>
      <c r="C3548" t="s">
        <v>88</v>
      </c>
      <c r="D3548" t="s">
        <v>3622</v>
      </c>
      <c r="E3548" t="s">
        <v>663</v>
      </c>
      <c r="F3548" t="s">
        <v>88</v>
      </c>
      <c r="G3548" t="s">
        <v>88</v>
      </c>
      <c r="H3548" t="s">
        <v>92</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211</v>
      </c>
      <c r="B3549" t="s">
        <v>3623</v>
      </c>
      <c r="C3549" t="s">
        <v>88</v>
      </c>
      <c r="D3549" t="s">
        <v>3624</v>
      </c>
      <c r="E3549" t="s">
        <v>655</v>
      </c>
      <c r="F3549" t="s">
        <v>88</v>
      </c>
      <c r="G3549" t="s">
        <v>88</v>
      </c>
      <c r="H3549" t="s">
        <v>92</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211</v>
      </c>
      <c r="B3550" t="s">
        <v>3625</v>
      </c>
      <c r="C3550" t="s">
        <v>88</v>
      </c>
      <c r="D3550" t="s">
        <v>3626</v>
      </c>
      <c r="E3550" t="s">
        <v>937</v>
      </c>
      <c r="F3550" t="s">
        <v>88</v>
      </c>
      <c r="G3550" t="s">
        <v>88</v>
      </c>
      <c r="H3550" t="s">
        <v>92</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211</v>
      </c>
      <c r="B3551" t="s">
        <v>3627</v>
      </c>
      <c r="C3551" t="s">
        <v>88</v>
      </c>
      <c r="D3551" t="s">
        <v>3628</v>
      </c>
      <c r="E3551" t="s">
        <v>663</v>
      </c>
      <c r="F3551" t="s">
        <v>88</v>
      </c>
      <c r="G3551" t="s">
        <v>88</v>
      </c>
      <c r="H3551" t="s">
        <v>92</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211</v>
      </c>
      <c r="B3552" t="s">
        <v>3629</v>
      </c>
      <c r="C3552" t="s">
        <v>88</v>
      </c>
      <c r="D3552" t="s">
        <v>3630</v>
      </c>
      <c r="E3552" t="s">
        <v>663</v>
      </c>
      <c r="F3552" t="s">
        <v>88</v>
      </c>
      <c r="G3552" t="s">
        <v>88</v>
      </c>
      <c r="H3552" t="s">
        <v>92</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211</v>
      </c>
      <c r="B3553" t="s">
        <v>3631</v>
      </c>
      <c r="C3553" t="s">
        <v>88</v>
      </c>
      <c r="D3553" t="s">
        <v>3632</v>
      </c>
      <c r="E3553" t="s">
        <v>700</v>
      </c>
      <c r="F3553" t="s">
        <v>88</v>
      </c>
      <c r="G3553" t="s">
        <v>88</v>
      </c>
      <c r="H3553" t="s">
        <v>92</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211</v>
      </c>
      <c r="B3554" t="s">
        <v>3633</v>
      </c>
      <c r="C3554" t="s">
        <v>88</v>
      </c>
      <c r="D3554" t="s">
        <v>3634</v>
      </c>
      <c r="E3554" t="s">
        <v>725</v>
      </c>
      <c r="F3554" t="s">
        <v>88</v>
      </c>
      <c r="G3554" t="s">
        <v>88</v>
      </c>
      <c r="H3554" t="s">
        <v>92</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211</v>
      </c>
      <c r="B3555" t="s">
        <v>3635</v>
      </c>
      <c r="C3555" t="s">
        <v>88</v>
      </c>
      <c r="D3555" t="s">
        <v>3636</v>
      </c>
      <c r="E3555" t="s">
        <v>658</v>
      </c>
      <c r="F3555" t="s">
        <v>88</v>
      </c>
      <c r="G3555" t="s">
        <v>88</v>
      </c>
      <c r="H3555" t="s">
        <v>92</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211</v>
      </c>
      <c r="B3556" t="s">
        <v>3637</v>
      </c>
      <c r="C3556" t="s">
        <v>88</v>
      </c>
      <c r="D3556" t="s">
        <v>3638</v>
      </c>
      <c r="E3556" t="s">
        <v>721</v>
      </c>
      <c r="F3556" t="s">
        <v>88</v>
      </c>
      <c r="G3556" t="s">
        <v>88</v>
      </c>
      <c r="H3556" t="s">
        <v>92</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211</v>
      </c>
      <c r="B3557" t="s">
        <v>3639</v>
      </c>
      <c r="C3557" t="s">
        <v>88</v>
      </c>
      <c r="D3557" t="s">
        <v>3608</v>
      </c>
      <c r="E3557" t="s">
        <v>820</v>
      </c>
      <c r="F3557" t="s">
        <v>88</v>
      </c>
      <c r="G3557" t="s">
        <v>88</v>
      </c>
      <c r="H3557" t="s">
        <v>92</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211</v>
      </c>
      <c r="B3558" t="s">
        <v>3640</v>
      </c>
      <c r="C3558" t="s">
        <v>88</v>
      </c>
      <c r="D3558" t="s">
        <v>3616</v>
      </c>
      <c r="E3558" t="s">
        <v>1282</v>
      </c>
      <c r="F3558" t="s">
        <v>88</v>
      </c>
      <c r="G3558" t="s">
        <v>88</v>
      </c>
      <c r="H3558" t="s">
        <v>92</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211</v>
      </c>
      <c r="B3559" t="s">
        <v>3641</v>
      </c>
      <c r="C3559" t="s">
        <v>88</v>
      </c>
      <c r="D3559" t="s">
        <v>3636</v>
      </c>
      <c r="E3559" t="s">
        <v>844</v>
      </c>
      <c r="F3559" t="s">
        <v>88</v>
      </c>
      <c r="G3559" t="s">
        <v>88</v>
      </c>
      <c r="H3559" t="s">
        <v>92</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211</v>
      </c>
      <c r="B3560" t="s">
        <v>3642</v>
      </c>
      <c r="C3560" t="s">
        <v>88</v>
      </c>
      <c r="D3560" t="s">
        <v>3638</v>
      </c>
      <c r="E3560" t="s">
        <v>760</v>
      </c>
      <c r="F3560" t="s">
        <v>88</v>
      </c>
      <c r="G3560" t="s">
        <v>88</v>
      </c>
      <c r="H3560" t="s">
        <v>92</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211</v>
      </c>
      <c r="B3561" t="s">
        <v>3643</v>
      </c>
      <c r="C3561" t="s">
        <v>88</v>
      </c>
      <c r="D3561" t="s">
        <v>3624</v>
      </c>
      <c r="E3561" t="s">
        <v>676</v>
      </c>
      <c r="F3561" t="s">
        <v>88</v>
      </c>
      <c r="G3561" t="s">
        <v>88</v>
      </c>
      <c r="H3561" t="s">
        <v>92</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211</v>
      </c>
      <c r="B3562" t="s">
        <v>3644</v>
      </c>
      <c r="C3562" t="s">
        <v>88</v>
      </c>
      <c r="D3562" t="s">
        <v>3628</v>
      </c>
      <c r="E3562" t="s">
        <v>1282</v>
      </c>
      <c r="F3562" t="s">
        <v>88</v>
      </c>
      <c r="G3562" t="s">
        <v>88</v>
      </c>
      <c r="H3562" t="s">
        <v>92</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211</v>
      </c>
      <c r="B3563" t="s">
        <v>3645</v>
      </c>
      <c r="C3563" t="s">
        <v>88</v>
      </c>
      <c r="D3563" t="s">
        <v>3604</v>
      </c>
      <c r="E3563" t="s">
        <v>893</v>
      </c>
      <c r="F3563" t="s">
        <v>88</v>
      </c>
      <c r="G3563" t="s">
        <v>88</v>
      </c>
      <c r="H3563" t="s">
        <v>92</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211</v>
      </c>
      <c r="B3564" t="s">
        <v>3646</v>
      </c>
      <c r="C3564" t="s">
        <v>88</v>
      </c>
      <c r="D3564" t="s">
        <v>3626</v>
      </c>
      <c r="E3564" t="s">
        <v>1241</v>
      </c>
      <c r="F3564" t="s">
        <v>88</v>
      </c>
      <c r="G3564" t="s">
        <v>88</v>
      </c>
      <c r="H3564" t="s">
        <v>92</v>
      </c>
      <c r="J3564" t="s">
        <v>78</v>
      </c>
      <c r="K3564" t="s">
        <v>78</v>
      </c>
      <c r="L3564" t="s">
        <v>78</v>
      </c>
      <c r="M3564" t="s">
        <v>78</v>
      </c>
      <c r="N3564" t="s">
        <v>78</v>
      </c>
      <c r="O3564" t="s">
        <v>78</v>
      </c>
      <c r="P3564" t="s">
        <v>78</v>
      </c>
      <c r="Q3564" t="s">
        <v>78</v>
      </c>
      <c r="R3564" t="s">
        <v>78</v>
      </c>
      <c r="S3564" t="s">
        <v>78</v>
      </c>
      <c r="T3564" t="s">
        <v>78</v>
      </c>
      <c r="U3564" t="s">
        <v>78</v>
      </c>
      <c r="V3564" t="s">
        <v>78</v>
      </c>
      <c r="W3564" t="s">
        <v>78</v>
      </c>
      <c r="X3564" t="s">
        <v>78</v>
      </c>
      <c r="Y3564" t="s">
        <v>78</v>
      </c>
      <c r="Z3564" t="s">
        <v>78</v>
      </c>
      <c r="AA3564" t="s">
        <v>78</v>
      </c>
      <c r="AB3564" t="s">
        <v>78</v>
      </c>
      <c r="AC3564" t="s">
        <v>78</v>
      </c>
      <c r="AD3564" t="s">
        <v>78</v>
      </c>
      <c r="AE3564" t="s">
        <v>78</v>
      </c>
      <c r="AF3564" t="s">
        <v>78</v>
      </c>
      <c r="AG3564" t="s">
        <v>78</v>
      </c>
      <c r="AH3564" t="s">
        <v>78</v>
      </c>
    </row>
    <row r="3565" spans="1:34" x14ac:dyDescent="0.25">
      <c r="A3565" t="s">
        <v>211</v>
      </c>
      <c r="B3565" t="s">
        <v>3647</v>
      </c>
      <c r="C3565" t="s">
        <v>88</v>
      </c>
      <c r="D3565" t="s">
        <v>3620</v>
      </c>
      <c r="E3565" t="s">
        <v>1282</v>
      </c>
      <c r="F3565" t="s">
        <v>88</v>
      </c>
      <c r="G3565" t="s">
        <v>88</v>
      </c>
      <c r="H3565" t="s">
        <v>92</v>
      </c>
    </row>
    <row r="3566" spans="1:34" x14ac:dyDescent="0.25">
      <c r="A3566" t="s">
        <v>211</v>
      </c>
      <c r="B3566" t="s">
        <v>3648</v>
      </c>
      <c r="C3566" t="s">
        <v>88</v>
      </c>
      <c r="D3566" t="s">
        <v>3610</v>
      </c>
      <c r="E3566" t="s">
        <v>1006</v>
      </c>
      <c r="F3566" t="s">
        <v>88</v>
      </c>
      <c r="G3566" t="s">
        <v>88</v>
      </c>
      <c r="H3566" t="s">
        <v>92</v>
      </c>
    </row>
    <row r="3567" spans="1:34" x14ac:dyDescent="0.25">
      <c r="A3567" t="s">
        <v>211</v>
      </c>
      <c r="B3567" t="s">
        <v>3649</v>
      </c>
      <c r="C3567" t="s">
        <v>88</v>
      </c>
      <c r="D3567" t="s">
        <v>3614</v>
      </c>
      <c r="E3567" t="s">
        <v>1006</v>
      </c>
      <c r="F3567" t="s">
        <v>88</v>
      </c>
      <c r="G3567" t="s">
        <v>88</v>
      </c>
      <c r="H3567" t="s">
        <v>92</v>
      </c>
    </row>
    <row r="3568" spans="1:34" x14ac:dyDescent="0.25">
      <c r="A3568" t="s">
        <v>211</v>
      </c>
      <c r="B3568" t="s">
        <v>3650</v>
      </c>
      <c r="C3568" t="s">
        <v>88</v>
      </c>
      <c r="D3568" t="s">
        <v>3630</v>
      </c>
      <c r="E3568" t="s">
        <v>1282</v>
      </c>
      <c r="F3568" t="s">
        <v>88</v>
      </c>
      <c r="G3568" t="s">
        <v>88</v>
      </c>
      <c r="H3568" t="s">
        <v>92</v>
      </c>
    </row>
    <row r="3569" spans="1:8" x14ac:dyDescent="0.25">
      <c r="A3569" t="s">
        <v>211</v>
      </c>
      <c r="B3569" t="s">
        <v>3651</v>
      </c>
      <c r="C3569" t="s">
        <v>88</v>
      </c>
      <c r="D3569" t="s">
        <v>3612</v>
      </c>
      <c r="E3569" t="s">
        <v>1282</v>
      </c>
      <c r="F3569" t="s">
        <v>88</v>
      </c>
      <c r="G3569" t="s">
        <v>88</v>
      </c>
      <c r="H3569" t="s">
        <v>92</v>
      </c>
    </row>
    <row r="3570" spans="1:8" x14ac:dyDescent="0.25">
      <c r="A3570" t="s">
        <v>211</v>
      </c>
      <c r="B3570" t="s">
        <v>3652</v>
      </c>
      <c r="C3570" t="s">
        <v>88</v>
      </c>
      <c r="D3570" t="s">
        <v>3634</v>
      </c>
      <c r="E3570" t="s">
        <v>820</v>
      </c>
      <c r="F3570" t="s">
        <v>88</v>
      </c>
      <c r="G3570" t="s">
        <v>88</v>
      </c>
      <c r="H3570" t="s">
        <v>92</v>
      </c>
    </row>
    <row r="3571" spans="1:8" x14ac:dyDescent="0.25">
      <c r="A3571" t="s">
        <v>211</v>
      </c>
      <c r="B3571" t="s">
        <v>3653</v>
      </c>
      <c r="C3571" t="s">
        <v>88</v>
      </c>
      <c r="D3571" t="s">
        <v>3632</v>
      </c>
      <c r="E3571" t="s">
        <v>836</v>
      </c>
      <c r="F3571" t="s">
        <v>88</v>
      </c>
      <c r="G3571" t="s">
        <v>88</v>
      </c>
      <c r="H3571" t="s">
        <v>92</v>
      </c>
    </row>
    <row r="3572" spans="1:8" x14ac:dyDescent="0.25">
      <c r="A3572" t="s">
        <v>211</v>
      </c>
      <c r="B3572" t="s">
        <v>3654</v>
      </c>
      <c r="C3572" t="s">
        <v>88</v>
      </c>
      <c r="D3572" t="s">
        <v>3618</v>
      </c>
      <c r="E3572" t="s">
        <v>836</v>
      </c>
      <c r="F3572" t="s">
        <v>88</v>
      </c>
      <c r="G3572" t="s">
        <v>88</v>
      </c>
      <c r="H3572" t="s">
        <v>92</v>
      </c>
    </row>
    <row r="3573" spans="1:8" x14ac:dyDescent="0.25">
      <c r="A3573" t="s">
        <v>211</v>
      </c>
      <c r="B3573" t="s">
        <v>3655</v>
      </c>
      <c r="C3573" t="s">
        <v>88</v>
      </c>
      <c r="D3573" t="s">
        <v>3622</v>
      </c>
      <c r="E3573" t="s">
        <v>1282</v>
      </c>
      <c r="F3573" t="s">
        <v>88</v>
      </c>
      <c r="G3573" t="s">
        <v>88</v>
      </c>
      <c r="H3573" t="s">
        <v>92</v>
      </c>
    </row>
    <row r="3574" spans="1:8" x14ac:dyDescent="0.25">
      <c r="A3574" t="s">
        <v>211</v>
      </c>
      <c r="B3574" t="s">
        <v>3656</v>
      </c>
      <c r="C3574" t="s">
        <v>88</v>
      </c>
      <c r="D3574" t="s">
        <v>3606</v>
      </c>
      <c r="E3574" t="s">
        <v>676</v>
      </c>
      <c r="F3574" t="s">
        <v>88</v>
      </c>
      <c r="G3574" t="s">
        <v>88</v>
      </c>
      <c r="H3574" t="s">
        <v>92</v>
      </c>
    </row>
    <row r="3575" spans="1:8" x14ac:dyDescent="0.25">
      <c r="A3575" t="s">
        <v>211</v>
      </c>
      <c r="B3575" t="s">
        <v>3657</v>
      </c>
      <c r="C3575" t="s">
        <v>88</v>
      </c>
      <c r="D3575" t="s">
        <v>3620</v>
      </c>
      <c r="E3575" t="s">
        <v>2294</v>
      </c>
      <c r="F3575" t="s">
        <v>88</v>
      </c>
      <c r="G3575" t="s">
        <v>88</v>
      </c>
      <c r="H3575" t="s">
        <v>92</v>
      </c>
    </row>
    <row r="3576" spans="1:8" x14ac:dyDescent="0.25">
      <c r="A3576" t="s">
        <v>211</v>
      </c>
      <c r="B3576" t="s">
        <v>3658</v>
      </c>
      <c r="C3576" t="s">
        <v>88</v>
      </c>
      <c r="D3576" t="s">
        <v>3612</v>
      </c>
      <c r="E3576" t="s">
        <v>2294</v>
      </c>
      <c r="F3576" t="s">
        <v>88</v>
      </c>
      <c r="G3576" t="s">
        <v>88</v>
      </c>
      <c r="H3576" t="s">
        <v>92</v>
      </c>
    </row>
    <row r="3577" spans="1:8" x14ac:dyDescent="0.25">
      <c r="A3577" t="s">
        <v>211</v>
      </c>
      <c r="B3577" t="s">
        <v>3659</v>
      </c>
      <c r="C3577" t="s">
        <v>88</v>
      </c>
      <c r="D3577" t="s">
        <v>3624</v>
      </c>
      <c r="E3577" t="s">
        <v>812</v>
      </c>
      <c r="F3577" t="s">
        <v>88</v>
      </c>
      <c r="G3577" t="s">
        <v>88</v>
      </c>
      <c r="H3577" t="s">
        <v>92</v>
      </c>
    </row>
    <row r="3578" spans="1:8" x14ac:dyDescent="0.25">
      <c r="A3578" t="s">
        <v>211</v>
      </c>
      <c r="B3578" t="s">
        <v>3660</v>
      </c>
      <c r="C3578" t="s">
        <v>88</v>
      </c>
      <c r="D3578" t="s">
        <v>3616</v>
      </c>
      <c r="E3578" t="s">
        <v>2294</v>
      </c>
      <c r="F3578" t="s">
        <v>88</v>
      </c>
      <c r="G3578" t="s">
        <v>88</v>
      </c>
      <c r="H3578" t="s">
        <v>92</v>
      </c>
    </row>
    <row r="3579" spans="1:8" x14ac:dyDescent="0.25">
      <c r="A3579" t="s">
        <v>211</v>
      </c>
      <c r="B3579" t="s">
        <v>3661</v>
      </c>
      <c r="C3579" t="s">
        <v>88</v>
      </c>
      <c r="D3579" t="s">
        <v>3608</v>
      </c>
      <c r="E3579" t="s">
        <v>3593</v>
      </c>
      <c r="F3579" t="s">
        <v>88</v>
      </c>
      <c r="G3579" t="s">
        <v>88</v>
      </c>
      <c r="H3579" t="s">
        <v>92</v>
      </c>
    </row>
    <row r="3580" spans="1:8" x14ac:dyDescent="0.25">
      <c r="A3580" t="s">
        <v>211</v>
      </c>
      <c r="B3580" t="s">
        <v>3662</v>
      </c>
      <c r="C3580" t="s">
        <v>88</v>
      </c>
      <c r="D3580" t="s">
        <v>3632</v>
      </c>
      <c r="E3580" t="s">
        <v>3663</v>
      </c>
      <c r="F3580" t="s">
        <v>88</v>
      </c>
      <c r="G3580" t="s">
        <v>88</v>
      </c>
      <c r="H3580" t="s">
        <v>92</v>
      </c>
    </row>
    <row r="3581" spans="1:8" x14ac:dyDescent="0.25">
      <c r="A3581" t="s">
        <v>211</v>
      </c>
      <c r="B3581" t="s">
        <v>3664</v>
      </c>
      <c r="C3581" t="s">
        <v>88</v>
      </c>
      <c r="D3581" t="s">
        <v>3634</v>
      </c>
      <c r="E3581" t="s">
        <v>3593</v>
      </c>
      <c r="F3581" t="s">
        <v>88</v>
      </c>
      <c r="G3581" t="s">
        <v>88</v>
      </c>
      <c r="H3581" t="s">
        <v>92</v>
      </c>
    </row>
    <row r="3582" spans="1:8" x14ac:dyDescent="0.25">
      <c r="A3582" t="s">
        <v>211</v>
      </c>
      <c r="B3582" t="s">
        <v>3665</v>
      </c>
      <c r="C3582" t="s">
        <v>88</v>
      </c>
      <c r="D3582" t="s">
        <v>3630</v>
      </c>
      <c r="E3582" t="s">
        <v>2294</v>
      </c>
      <c r="F3582" t="s">
        <v>88</v>
      </c>
      <c r="G3582" t="s">
        <v>88</v>
      </c>
      <c r="H3582" t="s">
        <v>92</v>
      </c>
    </row>
    <row r="3583" spans="1:8" x14ac:dyDescent="0.25">
      <c r="A3583" t="s">
        <v>211</v>
      </c>
      <c r="B3583" t="s">
        <v>3666</v>
      </c>
      <c r="C3583" t="s">
        <v>88</v>
      </c>
      <c r="D3583" t="s">
        <v>3606</v>
      </c>
      <c r="E3583" t="s">
        <v>1714</v>
      </c>
      <c r="F3583" t="s">
        <v>88</v>
      </c>
      <c r="G3583" t="s">
        <v>88</v>
      </c>
      <c r="H3583" t="s">
        <v>92</v>
      </c>
    </row>
    <row r="3584" spans="1:8" x14ac:dyDescent="0.25">
      <c r="A3584" t="s">
        <v>211</v>
      </c>
      <c r="B3584" t="s">
        <v>3667</v>
      </c>
      <c r="C3584" t="s">
        <v>88</v>
      </c>
      <c r="D3584" t="s">
        <v>3622</v>
      </c>
      <c r="E3584" t="s">
        <v>2294</v>
      </c>
      <c r="F3584" t="s">
        <v>88</v>
      </c>
      <c r="G3584" t="s">
        <v>88</v>
      </c>
      <c r="H3584" t="s">
        <v>92</v>
      </c>
    </row>
    <row r="3585" spans="1:8" x14ac:dyDescent="0.25">
      <c r="A3585" t="s">
        <v>211</v>
      </c>
      <c r="B3585" t="s">
        <v>3668</v>
      </c>
      <c r="C3585" t="s">
        <v>88</v>
      </c>
      <c r="D3585" t="s">
        <v>3638</v>
      </c>
      <c r="E3585" t="s">
        <v>1259</v>
      </c>
      <c r="F3585" t="s">
        <v>88</v>
      </c>
      <c r="G3585" t="s">
        <v>88</v>
      </c>
      <c r="H3585" t="s">
        <v>92</v>
      </c>
    </row>
    <row r="3586" spans="1:8" x14ac:dyDescent="0.25">
      <c r="A3586" t="s">
        <v>211</v>
      </c>
      <c r="B3586" t="s">
        <v>3669</v>
      </c>
      <c r="C3586" t="s">
        <v>88</v>
      </c>
      <c r="D3586" t="s">
        <v>3614</v>
      </c>
      <c r="E3586" t="s">
        <v>841</v>
      </c>
      <c r="F3586" t="s">
        <v>88</v>
      </c>
      <c r="G3586" t="s">
        <v>88</v>
      </c>
      <c r="H3586" t="s">
        <v>92</v>
      </c>
    </row>
    <row r="3587" spans="1:8" x14ac:dyDescent="0.25">
      <c r="A3587" t="s">
        <v>211</v>
      </c>
      <c r="B3587" t="s">
        <v>3670</v>
      </c>
      <c r="C3587" t="s">
        <v>88</v>
      </c>
      <c r="D3587" t="s">
        <v>3628</v>
      </c>
      <c r="E3587" t="s">
        <v>2294</v>
      </c>
      <c r="F3587" t="s">
        <v>88</v>
      </c>
      <c r="G3587" t="s">
        <v>88</v>
      </c>
      <c r="H3587" t="s">
        <v>92</v>
      </c>
    </row>
    <row r="3588" spans="1:8" x14ac:dyDescent="0.25">
      <c r="A3588" t="s">
        <v>211</v>
      </c>
      <c r="B3588" t="s">
        <v>3671</v>
      </c>
      <c r="C3588" t="s">
        <v>88</v>
      </c>
      <c r="D3588" t="s">
        <v>3618</v>
      </c>
      <c r="E3588" t="s">
        <v>3663</v>
      </c>
      <c r="F3588" t="s">
        <v>88</v>
      </c>
      <c r="G3588" t="s">
        <v>88</v>
      </c>
      <c r="H3588" t="s">
        <v>92</v>
      </c>
    </row>
    <row r="3589" spans="1:8" x14ac:dyDescent="0.25">
      <c r="A3589" t="s">
        <v>211</v>
      </c>
      <c r="B3589" t="s">
        <v>3672</v>
      </c>
      <c r="C3589" t="s">
        <v>88</v>
      </c>
      <c r="D3589" t="s">
        <v>3604</v>
      </c>
      <c r="E3589" t="s">
        <v>1259</v>
      </c>
      <c r="F3589" t="s">
        <v>88</v>
      </c>
      <c r="G3589" t="s">
        <v>88</v>
      </c>
      <c r="H3589" t="s">
        <v>92</v>
      </c>
    </row>
    <row r="3590" spans="1:8" x14ac:dyDescent="0.25">
      <c r="A3590" t="s">
        <v>211</v>
      </c>
      <c r="B3590" t="s">
        <v>3673</v>
      </c>
      <c r="C3590" t="s">
        <v>88</v>
      </c>
      <c r="D3590" t="s">
        <v>3636</v>
      </c>
      <c r="E3590" t="s">
        <v>1015</v>
      </c>
      <c r="F3590" t="s">
        <v>88</v>
      </c>
      <c r="G3590" t="s">
        <v>88</v>
      </c>
      <c r="H3590" t="s">
        <v>92</v>
      </c>
    </row>
    <row r="3591" spans="1:8" x14ac:dyDescent="0.25">
      <c r="A3591" t="s">
        <v>211</v>
      </c>
      <c r="B3591" t="s">
        <v>3674</v>
      </c>
      <c r="C3591" t="s">
        <v>88</v>
      </c>
      <c r="D3591" t="s">
        <v>3626</v>
      </c>
      <c r="E3591" t="s">
        <v>836</v>
      </c>
      <c r="F3591" t="s">
        <v>88</v>
      </c>
      <c r="G3591" t="s">
        <v>88</v>
      </c>
      <c r="H3591" t="s">
        <v>92</v>
      </c>
    </row>
    <row r="3592" spans="1:8" x14ac:dyDescent="0.25">
      <c r="A3592" t="s">
        <v>211</v>
      </c>
      <c r="B3592" t="s">
        <v>3675</v>
      </c>
      <c r="C3592" t="s">
        <v>88</v>
      </c>
      <c r="D3592" t="s">
        <v>3610</v>
      </c>
      <c r="E3592" t="s">
        <v>841</v>
      </c>
      <c r="F3592" t="s">
        <v>88</v>
      </c>
      <c r="G3592" t="s">
        <v>88</v>
      </c>
      <c r="H3592" t="s">
        <v>92</v>
      </c>
    </row>
    <row r="3593" spans="1:8" x14ac:dyDescent="0.25">
      <c r="A3593" t="s">
        <v>211</v>
      </c>
      <c r="B3593" t="s">
        <v>603</v>
      </c>
      <c r="C3593" t="s">
        <v>88</v>
      </c>
      <c r="D3593" t="s">
        <v>3676</v>
      </c>
      <c r="E3593" t="s">
        <v>780</v>
      </c>
      <c r="F3593" t="s">
        <v>88</v>
      </c>
      <c r="G3593" t="s">
        <v>88</v>
      </c>
      <c r="H3593" t="s">
        <v>92</v>
      </c>
    </row>
    <row r="3594" spans="1:8" x14ac:dyDescent="0.25">
      <c r="A3594" t="s">
        <v>211</v>
      </c>
      <c r="B3594" t="s">
        <v>1868</v>
      </c>
      <c r="C3594" t="s">
        <v>88</v>
      </c>
      <c r="D3594" t="s">
        <v>3676</v>
      </c>
      <c r="E3594" t="s">
        <v>679</v>
      </c>
      <c r="F3594" t="s">
        <v>88</v>
      </c>
      <c r="G3594" t="s">
        <v>88</v>
      </c>
      <c r="H3594" t="s">
        <v>92</v>
      </c>
    </row>
    <row r="3595" spans="1:8" x14ac:dyDescent="0.25">
      <c r="A3595" t="s">
        <v>211</v>
      </c>
      <c r="B3595" t="s">
        <v>3677</v>
      </c>
      <c r="C3595" t="s">
        <v>88</v>
      </c>
      <c r="D3595" t="s">
        <v>88</v>
      </c>
      <c r="E3595" t="s">
        <v>791</v>
      </c>
      <c r="F3595" t="s">
        <v>88</v>
      </c>
      <c r="G3595" t="s">
        <v>88</v>
      </c>
      <c r="H3595" t="s">
        <v>92</v>
      </c>
    </row>
    <row r="3596" spans="1:8" x14ac:dyDescent="0.25">
      <c r="A3596" t="s">
        <v>211</v>
      </c>
      <c r="B3596" t="s">
        <v>3678</v>
      </c>
      <c r="C3596" t="s">
        <v>88</v>
      </c>
      <c r="D3596" t="s">
        <v>88</v>
      </c>
      <c r="E3596" t="s">
        <v>658</v>
      </c>
      <c r="F3596" t="s">
        <v>88</v>
      </c>
      <c r="G3596" t="s">
        <v>88</v>
      </c>
      <c r="H3596" t="s">
        <v>92</v>
      </c>
    </row>
    <row r="3597" spans="1:8" x14ac:dyDescent="0.25">
      <c r="A3597" t="s">
        <v>211</v>
      </c>
      <c r="B3597" t="s">
        <v>3679</v>
      </c>
      <c r="C3597" t="s">
        <v>88</v>
      </c>
      <c r="D3597" t="s">
        <v>88</v>
      </c>
      <c r="E3597" t="s">
        <v>780</v>
      </c>
      <c r="F3597" t="s">
        <v>88</v>
      </c>
      <c r="G3597" t="s">
        <v>88</v>
      </c>
      <c r="H3597" t="s">
        <v>92</v>
      </c>
    </row>
    <row r="3598" spans="1:8" x14ac:dyDescent="0.25">
      <c r="A3598" t="s">
        <v>211</v>
      </c>
      <c r="B3598" t="s">
        <v>3680</v>
      </c>
      <c r="C3598" t="s">
        <v>88</v>
      </c>
      <c r="D3598" t="s">
        <v>88</v>
      </c>
      <c r="E3598" t="s">
        <v>791</v>
      </c>
      <c r="F3598" t="s">
        <v>88</v>
      </c>
      <c r="G3598" t="s">
        <v>88</v>
      </c>
      <c r="H3598" t="s">
        <v>92</v>
      </c>
    </row>
    <row r="3599" spans="1:8" x14ac:dyDescent="0.25">
      <c r="A3599" t="s">
        <v>211</v>
      </c>
      <c r="B3599" t="s">
        <v>3681</v>
      </c>
      <c r="C3599" t="s">
        <v>88</v>
      </c>
      <c r="D3599" t="s">
        <v>88</v>
      </c>
      <c r="E3599" t="s">
        <v>715</v>
      </c>
      <c r="F3599" t="s">
        <v>88</v>
      </c>
      <c r="G3599" t="s">
        <v>88</v>
      </c>
      <c r="H3599" t="s">
        <v>92</v>
      </c>
    </row>
    <row r="3600" spans="1:8" x14ac:dyDescent="0.25">
      <c r="A3600" t="s">
        <v>211</v>
      </c>
      <c r="B3600" t="s">
        <v>3682</v>
      </c>
      <c r="C3600" t="s">
        <v>88</v>
      </c>
      <c r="D3600" t="s">
        <v>88</v>
      </c>
      <c r="E3600" t="s">
        <v>791</v>
      </c>
      <c r="F3600" t="s">
        <v>88</v>
      </c>
      <c r="G3600" t="s">
        <v>88</v>
      </c>
      <c r="H3600" t="s">
        <v>92</v>
      </c>
    </row>
    <row r="3601" spans="1:8" x14ac:dyDescent="0.25">
      <c r="A3601" t="s">
        <v>211</v>
      </c>
      <c r="B3601" t="s">
        <v>1632</v>
      </c>
      <c r="C3601" t="s">
        <v>88</v>
      </c>
      <c r="D3601" t="s">
        <v>88</v>
      </c>
      <c r="E3601" t="s">
        <v>1221</v>
      </c>
      <c r="F3601" t="s">
        <v>88</v>
      </c>
      <c r="G3601" t="s">
        <v>88</v>
      </c>
      <c r="H3601" t="s">
        <v>92</v>
      </c>
    </row>
    <row r="3602" spans="1:8" x14ac:dyDescent="0.25">
      <c r="A3602" t="s">
        <v>211</v>
      </c>
      <c r="B3602" t="s">
        <v>612</v>
      </c>
      <c r="C3602" t="s">
        <v>88</v>
      </c>
      <c r="D3602" t="s">
        <v>88</v>
      </c>
      <c r="E3602" t="s">
        <v>732</v>
      </c>
      <c r="F3602" t="s">
        <v>88</v>
      </c>
      <c r="G3602" t="s">
        <v>88</v>
      </c>
      <c r="H3602" t="s">
        <v>92</v>
      </c>
    </row>
    <row r="3603" spans="1:8" x14ac:dyDescent="0.25">
      <c r="A3603" t="s">
        <v>211</v>
      </c>
      <c r="B3603" t="s">
        <v>614</v>
      </c>
      <c r="C3603" t="s">
        <v>88</v>
      </c>
      <c r="D3603" t="s">
        <v>88</v>
      </c>
      <c r="E3603" t="s">
        <v>732</v>
      </c>
      <c r="F3603" t="s">
        <v>88</v>
      </c>
      <c r="G3603" t="s">
        <v>88</v>
      </c>
      <c r="H3603" t="s">
        <v>92</v>
      </c>
    </row>
    <row r="3604" spans="1:8" x14ac:dyDescent="0.25">
      <c r="A3604" t="s">
        <v>211</v>
      </c>
      <c r="B3604" t="s">
        <v>615</v>
      </c>
      <c r="C3604" t="s">
        <v>88</v>
      </c>
      <c r="D3604" t="s">
        <v>88</v>
      </c>
      <c r="E3604" t="s">
        <v>732</v>
      </c>
      <c r="F3604" t="s">
        <v>88</v>
      </c>
      <c r="G3604" t="s">
        <v>88</v>
      </c>
      <c r="H3604" t="s">
        <v>92</v>
      </c>
    </row>
    <row r="3605" spans="1:8" x14ac:dyDescent="0.25">
      <c r="A3605" t="s">
        <v>211</v>
      </c>
      <c r="B3605" t="s">
        <v>616</v>
      </c>
      <c r="C3605" t="s">
        <v>88</v>
      </c>
      <c r="D3605" t="s">
        <v>88</v>
      </c>
      <c r="E3605" t="s">
        <v>732</v>
      </c>
      <c r="F3605" t="s">
        <v>88</v>
      </c>
      <c r="G3605" t="s">
        <v>88</v>
      </c>
      <c r="H3605" t="s">
        <v>92</v>
      </c>
    </row>
    <row r="3606" spans="1:8" x14ac:dyDescent="0.25">
      <c r="A3606" t="s">
        <v>211</v>
      </c>
      <c r="B3606" t="s">
        <v>617</v>
      </c>
      <c r="C3606" t="s">
        <v>88</v>
      </c>
      <c r="D3606" t="s">
        <v>88</v>
      </c>
      <c r="E3606" t="s">
        <v>732</v>
      </c>
      <c r="F3606" t="s">
        <v>88</v>
      </c>
      <c r="G3606" t="s">
        <v>88</v>
      </c>
      <c r="H3606" t="s">
        <v>92</v>
      </c>
    </row>
    <row r="3607" spans="1:8" x14ac:dyDescent="0.25">
      <c r="A3607" t="s">
        <v>211</v>
      </c>
      <c r="B3607" t="s">
        <v>733</v>
      </c>
      <c r="C3607" t="s">
        <v>88</v>
      </c>
      <c r="D3607" t="s">
        <v>88</v>
      </c>
      <c r="E3607" t="s">
        <v>732</v>
      </c>
      <c r="F3607" t="s">
        <v>88</v>
      </c>
      <c r="G3607" t="s">
        <v>88</v>
      </c>
      <c r="H3607" t="s">
        <v>92</v>
      </c>
    </row>
    <row r="3608" spans="1:8" x14ac:dyDescent="0.25">
      <c r="A3608" t="s">
        <v>211</v>
      </c>
      <c r="B3608" t="s">
        <v>618</v>
      </c>
      <c r="C3608" t="s">
        <v>88</v>
      </c>
      <c r="D3608" t="s">
        <v>88</v>
      </c>
      <c r="E3608" t="s">
        <v>709</v>
      </c>
      <c r="F3608" t="s">
        <v>88</v>
      </c>
      <c r="G3608" t="s">
        <v>88</v>
      </c>
      <c r="H3608" t="s">
        <v>92</v>
      </c>
    </row>
    <row r="3609" spans="1:8" x14ac:dyDescent="0.25">
      <c r="A3609" t="s">
        <v>211</v>
      </c>
      <c r="B3609" t="s">
        <v>3683</v>
      </c>
      <c r="C3609" t="s">
        <v>88</v>
      </c>
      <c r="D3609" t="s">
        <v>88</v>
      </c>
      <c r="E3609" t="s">
        <v>709</v>
      </c>
      <c r="F3609" t="s">
        <v>88</v>
      </c>
      <c r="G3609" t="s">
        <v>88</v>
      </c>
      <c r="H3609" t="s">
        <v>92</v>
      </c>
    </row>
    <row r="3610" spans="1:8" x14ac:dyDescent="0.25">
      <c r="A3610" t="s">
        <v>211</v>
      </c>
      <c r="B3610" t="s">
        <v>622</v>
      </c>
      <c r="C3610" t="s">
        <v>88</v>
      </c>
      <c r="D3610" t="s">
        <v>88</v>
      </c>
      <c r="E3610" t="s">
        <v>710</v>
      </c>
      <c r="F3610" t="s">
        <v>88</v>
      </c>
      <c r="G3610" t="s">
        <v>88</v>
      </c>
      <c r="H3610" t="s">
        <v>92</v>
      </c>
    </row>
    <row r="3611" spans="1:8" x14ac:dyDescent="0.25">
      <c r="A3611" t="s">
        <v>211</v>
      </c>
      <c r="B3611" t="s">
        <v>623</v>
      </c>
      <c r="C3611" t="s">
        <v>88</v>
      </c>
      <c r="D3611" t="s">
        <v>88</v>
      </c>
      <c r="E3611" t="s">
        <v>735</v>
      </c>
      <c r="F3611" t="s">
        <v>88</v>
      </c>
      <c r="G3611" t="s">
        <v>88</v>
      </c>
      <c r="H3611" t="s">
        <v>92</v>
      </c>
    </row>
    <row r="3612" spans="1:8" x14ac:dyDescent="0.25">
      <c r="A3612" t="s">
        <v>211</v>
      </c>
      <c r="B3612" t="s">
        <v>798</v>
      </c>
      <c r="C3612" t="s">
        <v>88</v>
      </c>
      <c r="D3612" t="s">
        <v>88</v>
      </c>
      <c r="E3612" t="s">
        <v>1598</v>
      </c>
      <c r="F3612" t="s">
        <v>88</v>
      </c>
      <c r="G3612" t="s">
        <v>88</v>
      </c>
      <c r="H3612" t="s">
        <v>92</v>
      </c>
    </row>
    <row r="3613" spans="1:8" x14ac:dyDescent="0.25">
      <c r="A3613" t="s">
        <v>211</v>
      </c>
      <c r="B3613" t="s">
        <v>1907</v>
      </c>
      <c r="C3613" t="s">
        <v>88</v>
      </c>
      <c r="D3613" t="s">
        <v>88</v>
      </c>
      <c r="E3613" t="s">
        <v>1598</v>
      </c>
      <c r="F3613" t="s">
        <v>88</v>
      </c>
      <c r="G3613" t="s">
        <v>88</v>
      </c>
      <c r="H3613" t="s">
        <v>92</v>
      </c>
    </row>
    <row r="3614" spans="1:8" x14ac:dyDescent="0.25">
      <c r="A3614" t="s">
        <v>211</v>
      </c>
      <c r="B3614" t="s">
        <v>982</v>
      </c>
      <c r="C3614" t="s">
        <v>88</v>
      </c>
      <c r="D3614" t="s">
        <v>88</v>
      </c>
      <c r="E3614" t="s">
        <v>1598</v>
      </c>
      <c r="F3614" t="s">
        <v>88</v>
      </c>
      <c r="G3614" t="s">
        <v>88</v>
      </c>
      <c r="H3614" t="s">
        <v>92</v>
      </c>
    </row>
    <row r="3615" spans="1:8" x14ac:dyDescent="0.25">
      <c r="A3615" t="s">
        <v>211</v>
      </c>
      <c r="B3615" t="s">
        <v>1908</v>
      </c>
      <c r="C3615" t="s">
        <v>88</v>
      </c>
      <c r="D3615" t="s">
        <v>88</v>
      </c>
      <c r="E3615" t="s">
        <v>1598</v>
      </c>
      <c r="F3615" t="s">
        <v>88</v>
      </c>
      <c r="G3615" t="s">
        <v>88</v>
      </c>
      <c r="H3615" t="s">
        <v>92</v>
      </c>
    </row>
    <row r="3616" spans="1:8" x14ac:dyDescent="0.25">
      <c r="A3616" t="s">
        <v>211</v>
      </c>
      <c r="B3616" t="s">
        <v>625</v>
      </c>
      <c r="C3616" t="s">
        <v>88</v>
      </c>
      <c r="D3616" t="s">
        <v>88</v>
      </c>
      <c r="E3616" t="s">
        <v>626</v>
      </c>
      <c r="F3616" t="s">
        <v>88</v>
      </c>
      <c r="G3616" t="s">
        <v>88</v>
      </c>
      <c r="H3616" t="s">
        <v>92</v>
      </c>
    </row>
    <row r="3617" spans="1:8" x14ac:dyDescent="0.25">
      <c r="A3617" t="s">
        <v>213</v>
      </c>
      <c r="B3617" t="s">
        <v>3684</v>
      </c>
      <c r="C3617" t="s">
        <v>88</v>
      </c>
      <c r="D3617" t="s">
        <v>3685</v>
      </c>
      <c r="E3617" t="s">
        <v>1484</v>
      </c>
      <c r="F3617" t="s">
        <v>88</v>
      </c>
      <c r="G3617" t="s">
        <v>88</v>
      </c>
      <c r="H3617" t="s">
        <v>92</v>
      </c>
    </row>
    <row r="3618" spans="1:8" x14ac:dyDescent="0.25">
      <c r="A3618" t="s">
        <v>213</v>
      </c>
      <c r="B3618" t="s">
        <v>3686</v>
      </c>
      <c r="C3618" t="s">
        <v>88</v>
      </c>
      <c r="D3618" t="s">
        <v>3687</v>
      </c>
      <c r="E3618" t="s">
        <v>1459</v>
      </c>
      <c r="F3618" t="s">
        <v>88</v>
      </c>
      <c r="G3618" t="s">
        <v>88</v>
      </c>
      <c r="H3618" t="s">
        <v>92</v>
      </c>
    </row>
    <row r="3619" spans="1:8" x14ac:dyDescent="0.25">
      <c r="A3619" t="s">
        <v>213</v>
      </c>
      <c r="B3619" t="s">
        <v>3688</v>
      </c>
      <c r="C3619" t="s">
        <v>88</v>
      </c>
      <c r="D3619" t="s">
        <v>3689</v>
      </c>
      <c r="E3619" t="s">
        <v>3690</v>
      </c>
      <c r="F3619" t="s">
        <v>88</v>
      </c>
      <c r="G3619" t="s">
        <v>88</v>
      </c>
      <c r="H3619" t="s">
        <v>92</v>
      </c>
    </row>
    <row r="3620" spans="1:8" x14ac:dyDescent="0.25">
      <c r="A3620" t="s">
        <v>213</v>
      </c>
      <c r="B3620" t="s">
        <v>3691</v>
      </c>
      <c r="C3620" t="s">
        <v>88</v>
      </c>
      <c r="D3620" t="s">
        <v>3692</v>
      </c>
      <c r="E3620" t="s">
        <v>1430</v>
      </c>
      <c r="F3620" t="s">
        <v>88</v>
      </c>
      <c r="G3620" t="s">
        <v>88</v>
      </c>
      <c r="H3620" t="s">
        <v>92</v>
      </c>
    </row>
    <row r="3621" spans="1:8" x14ac:dyDescent="0.25">
      <c r="A3621" t="s">
        <v>213</v>
      </c>
      <c r="B3621" t="s">
        <v>3693</v>
      </c>
      <c r="C3621" t="s">
        <v>88</v>
      </c>
      <c r="D3621" t="s">
        <v>3694</v>
      </c>
      <c r="E3621" t="s">
        <v>1475</v>
      </c>
      <c r="F3621" t="s">
        <v>88</v>
      </c>
      <c r="G3621" t="s">
        <v>88</v>
      </c>
      <c r="H3621" t="s">
        <v>92</v>
      </c>
    </row>
    <row r="3622" spans="1:8" x14ac:dyDescent="0.25">
      <c r="A3622" t="s">
        <v>213</v>
      </c>
      <c r="B3622" t="s">
        <v>3695</v>
      </c>
      <c r="C3622" t="s">
        <v>88</v>
      </c>
      <c r="D3622" t="s">
        <v>3696</v>
      </c>
      <c r="E3622" t="s">
        <v>1459</v>
      </c>
      <c r="F3622" t="s">
        <v>88</v>
      </c>
      <c r="G3622" t="s">
        <v>88</v>
      </c>
      <c r="H3622" t="s">
        <v>92</v>
      </c>
    </row>
    <row r="3623" spans="1:8" x14ac:dyDescent="0.25">
      <c r="A3623" t="s">
        <v>213</v>
      </c>
      <c r="B3623" t="s">
        <v>3697</v>
      </c>
      <c r="C3623" t="s">
        <v>88</v>
      </c>
      <c r="D3623" t="s">
        <v>3698</v>
      </c>
      <c r="E3623" t="s">
        <v>3690</v>
      </c>
      <c r="F3623" t="s">
        <v>88</v>
      </c>
      <c r="G3623" t="s">
        <v>88</v>
      </c>
      <c r="H3623" t="s">
        <v>92</v>
      </c>
    </row>
    <row r="3624" spans="1:8" x14ac:dyDescent="0.25">
      <c r="A3624" t="s">
        <v>213</v>
      </c>
      <c r="B3624" t="s">
        <v>3699</v>
      </c>
      <c r="C3624" t="s">
        <v>88</v>
      </c>
      <c r="D3624" t="s">
        <v>3700</v>
      </c>
      <c r="E3624" t="s">
        <v>1446</v>
      </c>
      <c r="F3624" t="s">
        <v>88</v>
      </c>
      <c r="G3624" t="s">
        <v>88</v>
      </c>
      <c r="H3624" t="s">
        <v>92</v>
      </c>
    </row>
    <row r="3625" spans="1:8" x14ac:dyDescent="0.25">
      <c r="A3625" t="s">
        <v>213</v>
      </c>
      <c r="B3625" t="s">
        <v>3701</v>
      </c>
      <c r="C3625" t="s">
        <v>88</v>
      </c>
      <c r="D3625" t="s">
        <v>3702</v>
      </c>
      <c r="E3625" t="s">
        <v>1430</v>
      </c>
      <c r="F3625" t="s">
        <v>88</v>
      </c>
      <c r="G3625" t="s">
        <v>88</v>
      </c>
      <c r="H3625" t="s">
        <v>92</v>
      </c>
    </row>
    <row r="3626" spans="1:8" x14ac:dyDescent="0.25">
      <c r="A3626" t="s">
        <v>213</v>
      </c>
      <c r="B3626" t="s">
        <v>3703</v>
      </c>
      <c r="C3626" t="s">
        <v>88</v>
      </c>
      <c r="D3626" t="s">
        <v>3702</v>
      </c>
      <c r="E3626" t="s">
        <v>3704</v>
      </c>
      <c r="F3626" t="s">
        <v>88</v>
      </c>
      <c r="G3626" t="s">
        <v>88</v>
      </c>
      <c r="H3626" t="s">
        <v>92</v>
      </c>
    </row>
    <row r="3627" spans="1:8" x14ac:dyDescent="0.25">
      <c r="A3627" t="s">
        <v>213</v>
      </c>
      <c r="B3627" t="s">
        <v>3705</v>
      </c>
      <c r="C3627" t="s">
        <v>88</v>
      </c>
      <c r="D3627" t="s">
        <v>3702</v>
      </c>
      <c r="E3627" t="s">
        <v>1430</v>
      </c>
      <c r="F3627" t="s">
        <v>88</v>
      </c>
      <c r="G3627" t="s">
        <v>88</v>
      </c>
      <c r="H3627" t="s">
        <v>92</v>
      </c>
    </row>
    <row r="3628" spans="1:8" x14ac:dyDescent="0.25">
      <c r="A3628" t="s">
        <v>213</v>
      </c>
      <c r="B3628" t="s">
        <v>3706</v>
      </c>
      <c r="C3628" t="s">
        <v>88</v>
      </c>
      <c r="D3628" t="s">
        <v>3707</v>
      </c>
      <c r="E3628" t="s">
        <v>3708</v>
      </c>
      <c r="F3628" t="s">
        <v>88</v>
      </c>
      <c r="G3628" t="s">
        <v>88</v>
      </c>
      <c r="H3628" t="s">
        <v>92</v>
      </c>
    </row>
    <row r="3629" spans="1:8" x14ac:dyDescent="0.25">
      <c r="A3629" t="s">
        <v>213</v>
      </c>
      <c r="B3629" t="s">
        <v>3709</v>
      </c>
      <c r="C3629" t="s">
        <v>88</v>
      </c>
      <c r="D3629" t="s">
        <v>3710</v>
      </c>
      <c r="E3629" t="s">
        <v>3690</v>
      </c>
      <c r="F3629" t="s">
        <v>88</v>
      </c>
      <c r="G3629" t="s">
        <v>88</v>
      </c>
      <c r="H3629" t="s">
        <v>92</v>
      </c>
    </row>
    <row r="3630" spans="1:8" x14ac:dyDescent="0.25">
      <c r="A3630" t="s">
        <v>213</v>
      </c>
      <c r="B3630" t="s">
        <v>3711</v>
      </c>
      <c r="C3630" t="s">
        <v>88</v>
      </c>
      <c r="D3630" t="s">
        <v>3712</v>
      </c>
      <c r="E3630" t="s">
        <v>2913</v>
      </c>
      <c r="F3630" t="s">
        <v>88</v>
      </c>
      <c r="G3630" t="s">
        <v>88</v>
      </c>
      <c r="H3630" t="s">
        <v>92</v>
      </c>
    </row>
    <row r="3631" spans="1:8" x14ac:dyDescent="0.25">
      <c r="A3631" t="s">
        <v>213</v>
      </c>
      <c r="B3631" t="s">
        <v>3713</v>
      </c>
      <c r="C3631" t="s">
        <v>88</v>
      </c>
      <c r="D3631" t="s">
        <v>3714</v>
      </c>
      <c r="E3631" t="s">
        <v>1459</v>
      </c>
      <c r="F3631" t="s">
        <v>88</v>
      </c>
      <c r="G3631" t="s">
        <v>88</v>
      </c>
      <c r="H3631" t="s">
        <v>92</v>
      </c>
    </row>
    <row r="3632" spans="1:8" x14ac:dyDescent="0.25">
      <c r="A3632" t="s">
        <v>213</v>
      </c>
      <c r="B3632" t="s">
        <v>3715</v>
      </c>
      <c r="C3632" t="s">
        <v>88</v>
      </c>
      <c r="D3632" t="s">
        <v>88</v>
      </c>
      <c r="E3632" t="s">
        <v>1484</v>
      </c>
      <c r="F3632" t="s">
        <v>88</v>
      </c>
      <c r="G3632" t="s">
        <v>88</v>
      </c>
      <c r="H3632" t="s">
        <v>92</v>
      </c>
    </row>
    <row r="3633" spans="1:8" x14ac:dyDescent="0.25">
      <c r="A3633" t="s">
        <v>213</v>
      </c>
      <c r="B3633" t="s">
        <v>3716</v>
      </c>
      <c r="C3633" t="s">
        <v>88</v>
      </c>
      <c r="D3633" t="s">
        <v>3702</v>
      </c>
      <c r="E3633" t="s">
        <v>2925</v>
      </c>
      <c r="F3633" t="s">
        <v>88</v>
      </c>
      <c r="G3633" t="s">
        <v>88</v>
      </c>
      <c r="H3633" t="s">
        <v>92</v>
      </c>
    </row>
    <row r="3634" spans="1:8" x14ac:dyDescent="0.25">
      <c r="A3634" t="s">
        <v>213</v>
      </c>
      <c r="B3634" t="s">
        <v>3717</v>
      </c>
      <c r="C3634" t="s">
        <v>88</v>
      </c>
      <c r="D3634" t="s">
        <v>88</v>
      </c>
      <c r="E3634" t="s">
        <v>2895</v>
      </c>
      <c r="F3634" t="s">
        <v>88</v>
      </c>
      <c r="G3634" t="s">
        <v>88</v>
      </c>
      <c r="H3634" t="s">
        <v>92</v>
      </c>
    </row>
    <row r="3635" spans="1:8" x14ac:dyDescent="0.25">
      <c r="A3635" t="s">
        <v>213</v>
      </c>
      <c r="B3635" t="s">
        <v>3718</v>
      </c>
      <c r="C3635" t="s">
        <v>88</v>
      </c>
      <c r="D3635" t="s">
        <v>88</v>
      </c>
      <c r="E3635" t="s">
        <v>3719</v>
      </c>
      <c r="F3635" t="s">
        <v>88</v>
      </c>
      <c r="G3635" t="s">
        <v>88</v>
      </c>
      <c r="H3635" t="s">
        <v>92</v>
      </c>
    </row>
    <row r="3636" spans="1:8" x14ac:dyDescent="0.25">
      <c r="A3636" t="s">
        <v>213</v>
      </c>
      <c r="B3636" t="s">
        <v>3720</v>
      </c>
      <c r="C3636" t="s">
        <v>88</v>
      </c>
      <c r="D3636" t="s">
        <v>88</v>
      </c>
      <c r="E3636" t="s">
        <v>3690</v>
      </c>
      <c r="F3636" t="s">
        <v>88</v>
      </c>
      <c r="G3636" t="s">
        <v>88</v>
      </c>
      <c r="H3636" t="s">
        <v>92</v>
      </c>
    </row>
    <row r="3637" spans="1:8" x14ac:dyDescent="0.25">
      <c r="A3637" t="s">
        <v>213</v>
      </c>
      <c r="B3637" t="s">
        <v>3721</v>
      </c>
      <c r="C3637" t="s">
        <v>88</v>
      </c>
      <c r="D3637" t="s">
        <v>88</v>
      </c>
      <c r="E3637" t="s">
        <v>3722</v>
      </c>
      <c r="F3637" t="s">
        <v>88</v>
      </c>
      <c r="G3637" t="s">
        <v>88</v>
      </c>
      <c r="H3637" t="s">
        <v>92</v>
      </c>
    </row>
    <row r="3638" spans="1:8" x14ac:dyDescent="0.25">
      <c r="A3638" t="s">
        <v>213</v>
      </c>
      <c r="B3638" t="s">
        <v>3723</v>
      </c>
      <c r="C3638" t="s">
        <v>88</v>
      </c>
      <c r="D3638" t="s">
        <v>3702</v>
      </c>
      <c r="E3638" t="s">
        <v>3724</v>
      </c>
      <c r="F3638" t="s">
        <v>88</v>
      </c>
      <c r="G3638" t="s">
        <v>88</v>
      </c>
      <c r="H3638" t="s">
        <v>92</v>
      </c>
    </row>
    <row r="3639" spans="1:8" x14ac:dyDescent="0.25">
      <c r="A3639" t="s">
        <v>213</v>
      </c>
      <c r="B3639" t="s">
        <v>3725</v>
      </c>
      <c r="C3639" t="s">
        <v>88</v>
      </c>
      <c r="D3639" t="s">
        <v>88</v>
      </c>
      <c r="E3639" t="s">
        <v>1574</v>
      </c>
      <c r="F3639" t="s">
        <v>88</v>
      </c>
      <c r="G3639" t="s">
        <v>88</v>
      </c>
      <c r="H3639" t="s">
        <v>92</v>
      </c>
    </row>
    <row r="3640" spans="1:8" x14ac:dyDescent="0.25">
      <c r="A3640" t="s">
        <v>213</v>
      </c>
      <c r="B3640" t="s">
        <v>3726</v>
      </c>
      <c r="C3640" t="s">
        <v>88</v>
      </c>
      <c r="D3640" t="s">
        <v>3727</v>
      </c>
      <c r="E3640" t="s">
        <v>1574</v>
      </c>
      <c r="F3640" t="s">
        <v>88</v>
      </c>
      <c r="G3640" t="s">
        <v>88</v>
      </c>
      <c r="H3640" t="s">
        <v>92</v>
      </c>
    </row>
    <row r="3641" spans="1:8" x14ac:dyDescent="0.25">
      <c r="A3641" t="s">
        <v>213</v>
      </c>
      <c r="B3641" t="s">
        <v>3728</v>
      </c>
      <c r="C3641" t="s">
        <v>88</v>
      </c>
      <c r="D3641" t="s">
        <v>88</v>
      </c>
      <c r="E3641" t="s">
        <v>1052</v>
      </c>
      <c r="F3641" t="s">
        <v>88</v>
      </c>
      <c r="G3641" t="s">
        <v>88</v>
      </c>
      <c r="H3641" t="s">
        <v>92</v>
      </c>
    </row>
    <row r="3642" spans="1:8" x14ac:dyDescent="0.25">
      <c r="A3642" t="s">
        <v>213</v>
      </c>
      <c r="B3642" t="s">
        <v>3729</v>
      </c>
      <c r="C3642" t="s">
        <v>88</v>
      </c>
      <c r="D3642" t="s">
        <v>3730</v>
      </c>
      <c r="E3642" t="s">
        <v>3109</v>
      </c>
      <c r="F3642" t="s">
        <v>88</v>
      </c>
      <c r="G3642" t="s">
        <v>88</v>
      </c>
      <c r="H3642" t="s">
        <v>92</v>
      </c>
    </row>
    <row r="3643" spans="1:8" x14ac:dyDescent="0.25">
      <c r="A3643" t="s">
        <v>213</v>
      </c>
      <c r="B3643" t="s">
        <v>3731</v>
      </c>
      <c r="C3643" t="s">
        <v>88</v>
      </c>
      <c r="D3643" t="s">
        <v>3732</v>
      </c>
      <c r="E3643" t="s">
        <v>1523</v>
      </c>
      <c r="F3643" t="s">
        <v>88</v>
      </c>
      <c r="G3643" t="s">
        <v>88</v>
      </c>
      <c r="H3643" t="s">
        <v>92</v>
      </c>
    </row>
    <row r="3644" spans="1:8" x14ac:dyDescent="0.25">
      <c r="A3644" t="s">
        <v>213</v>
      </c>
      <c r="B3644" t="s">
        <v>3733</v>
      </c>
      <c r="C3644" t="s">
        <v>88</v>
      </c>
      <c r="D3644" t="s">
        <v>3734</v>
      </c>
      <c r="E3644" t="s">
        <v>1526</v>
      </c>
      <c r="F3644" t="s">
        <v>88</v>
      </c>
      <c r="G3644" t="s">
        <v>88</v>
      </c>
      <c r="H3644" t="s">
        <v>92</v>
      </c>
    </row>
    <row r="3645" spans="1:8" x14ac:dyDescent="0.25">
      <c r="A3645" t="s">
        <v>213</v>
      </c>
      <c r="B3645" t="s">
        <v>3735</v>
      </c>
      <c r="C3645" t="s">
        <v>88</v>
      </c>
      <c r="D3645" t="s">
        <v>3734</v>
      </c>
      <c r="E3645" t="s">
        <v>1414</v>
      </c>
      <c r="F3645" t="s">
        <v>88</v>
      </c>
      <c r="G3645" t="s">
        <v>88</v>
      </c>
      <c r="H3645" t="s">
        <v>92</v>
      </c>
    </row>
    <row r="3646" spans="1:8" x14ac:dyDescent="0.25">
      <c r="A3646" t="s">
        <v>213</v>
      </c>
      <c r="B3646" t="s">
        <v>3736</v>
      </c>
      <c r="C3646" t="s">
        <v>88</v>
      </c>
      <c r="D3646" t="s">
        <v>3734</v>
      </c>
      <c r="E3646" t="s">
        <v>1462</v>
      </c>
      <c r="F3646" t="s">
        <v>88</v>
      </c>
      <c r="G3646" t="s">
        <v>88</v>
      </c>
      <c r="H3646" t="s">
        <v>92</v>
      </c>
    </row>
    <row r="3647" spans="1:8" x14ac:dyDescent="0.25">
      <c r="A3647" t="s">
        <v>213</v>
      </c>
      <c r="B3647" t="s">
        <v>3737</v>
      </c>
      <c r="C3647" t="s">
        <v>88</v>
      </c>
      <c r="D3647" t="s">
        <v>3734</v>
      </c>
      <c r="E3647" t="s">
        <v>1427</v>
      </c>
      <c r="F3647" t="s">
        <v>88</v>
      </c>
      <c r="G3647" t="s">
        <v>88</v>
      </c>
      <c r="H3647" t="s">
        <v>92</v>
      </c>
    </row>
    <row r="3648" spans="1:8" x14ac:dyDescent="0.25">
      <c r="A3648" t="s">
        <v>213</v>
      </c>
      <c r="B3648" t="s">
        <v>3738</v>
      </c>
      <c r="C3648" t="s">
        <v>88</v>
      </c>
      <c r="D3648" t="s">
        <v>3734</v>
      </c>
      <c r="E3648" t="s">
        <v>2969</v>
      </c>
      <c r="F3648" t="s">
        <v>88</v>
      </c>
      <c r="G3648" t="s">
        <v>88</v>
      </c>
      <c r="H3648" t="s">
        <v>92</v>
      </c>
    </row>
    <row r="3649" spans="1:8" x14ac:dyDescent="0.25">
      <c r="A3649" t="s">
        <v>213</v>
      </c>
      <c r="B3649" t="s">
        <v>3739</v>
      </c>
      <c r="C3649" t="s">
        <v>88</v>
      </c>
      <c r="D3649" t="s">
        <v>3734</v>
      </c>
      <c r="E3649" t="s">
        <v>3740</v>
      </c>
      <c r="F3649" t="s">
        <v>88</v>
      </c>
      <c r="G3649" t="s">
        <v>88</v>
      </c>
      <c r="H3649" t="s">
        <v>92</v>
      </c>
    </row>
    <row r="3650" spans="1:8" x14ac:dyDescent="0.25">
      <c r="A3650" t="s">
        <v>213</v>
      </c>
      <c r="B3650" t="s">
        <v>3741</v>
      </c>
      <c r="C3650" t="s">
        <v>88</v>
      </c>
      <c r="D3650" t="s">
        <v>3742</v>
      </c>
      <c r="E3650" t="s">
        <v>1495</v>
      </c>
      <c r="F3650" t="s">
        <v>88</v>
      </c>
      <c r="G3650" t="s">
        <v>88</v>
      </c>
      <c r="H3650" t="s">
        <v>92</v>
      </c>
    </row>
    <row r="3651" spans="1:8" x14ac:dyDescent="0.25">
      <c r="A3651" t="s">
        <v>213</v>
      </c>
      <c r="B3651" t="s">
        <v>3743</v>
      </c>
      <c r="C3651" t="s">
        <v>88</v>
      </c>
      <c r="D3651" t="s">
        <v>3702</v>
      </c>
      <c r="E3651" t="s">
        <v>1490</v>
      </c>
      <c r="F3651" t="s">
        <v>88</v>
      </c>
      <c r="G3651" t="s">
        <v>88</v>
      </c>
      <c r="H3651" t="s">
        <v>92</v>
      </c>
    </row>
    <row r="3652" spans="1:8" x14ac:dyDescent="0.25">
      <c r="A3652" t="s">
        <v>213</v>
      </c>
      <c r="B3652" t="s">
        <v>3744</v>
      </c>
      <c r="C3652" t="s">
        <v>88</v>
      </c>
      <c r="D3652" t="s">
        <v>3745</v>
      </c>
      <c r="E3652" t="s">
        <v>1052</v>
      </c>
      <c r="F3652" t="s">
        <v>88</v>
      </c>
      <c r="G3652" t="s">
        <v>88</v>
      </c>
      <c r="H3652" t="s">
        <v>92</v>
      </c>
    </row>
    <row r="3653" spans="1:8" x14ac:dyDescent="0.25">
      <c r="A3653" t="s">
        <v>213</v>
      </c>
      <c r="B3653" t="s">
        <v>3746</v>
      </c>
      <c r="C3653" t="s">
        <v>88</v>
      </c>
      <c r="D3653" t="s">
        <v>3747</v>
      </c>
      <c r="E3653" t="s">
        <v>1509</v>
      </c>
      <c r="F3653" t="s">
        <v>88</v>
      </c>
      <c r="G3653" t="s">
        <v>88</v>
      </c>
      <c r="H3653" t="s">
        <v>92</v>
      </c>
    </row>
    <row r="3654" spans="1:8" x14ac:dyDescent="0.25">
      <c r="A3654" t="s">
        <v>213</v>
      </c>
      <c r="B3654" t="s">
        <v>3748</v>
      </c>
      <c r="C3654" t="s">
        <v>88</v>
      </c>
      <c r="D3654" t="s">
        <v>3742</v>
      </c>
      <c r="E3654" t="s">
        <v>1417</v>
      </c>
      <c r="F3654" t="s">
        <v>88</v>
      </c>
      <c r="G3654" t="s">
        <v>88</v>
      </c>
      <c r="H3654" t="s">
        <v>92</v>
      </c>
    </row>
    <row r="3655" spans="1:8" x14ac:dyDescent="0.25">
      <c r="A3655" t="s">
        <v>213</v>
      </c>
      <c r="B3655" t="s">
        <v>3749</v>
      </c>
      <c r="C3655" t="s">
        <v>88</v>
      </c>
      <c r="D3655" t="s">
        <v>3750</v>
      </c>
      <c r="E3655" t="s">
        <v>1406</v>
      </c>
      <c r="F3655" t="s">
        <v>88</v>
      </c>
      <c r="G3655" t="s">
        <v>88</v>
      </c>
      <c r="H3655" t="s">
        <v>92</v>
      </c>
    </row>
    <row r="3656" spans="1:8" x14ac:dyDescent="0.25">
      <c r="A3656" t="s">
        <v>213</v>
      </c>
      <c r="B3656" t="s">
        <v>3751</v>
      </c>
      <c r="C3656" t="s">
        <v>88</v>
      </c>
      <c r="D3656" t="s">
        <v>3752</v>
      </c>
      <c r="E3656" t="s">
        <v>1052</v>
      </c>
      <c r="F3656" t="s">
        <v>88</v>
      </c>
      <c r="G3656" t="s">
        <v>88</v>
      </c>
      <c r="H3656" t="s">
        <v>92</v>
      </c>
    </row>
    <row r="3657" spans="1:8" x14ac:dyDescent="0.25">
      <c r="A3657" t="s">
        <v>213</v>
      </c>
      <c r="B3657" t="s">
        <v>3753</v>
      </c>
      <c r="C3657" t="s">
        <v>88</v>
      </c>
      <c r="D3657" t="s">
        <v>3702</v>
      </c>
      <c r="E3657" t="s">
        <v>1427</v>
      </c>
      <c r="F3657" t="s">
        <v>88</v>
      </c>
      <c r="G3657" t="s">
        <v>88</v>
      </c>
      <c r="H3657" t="s">
        <v>92</v>
      </c>
    </row>
    <row r="3658" spans="1:8" x14ac:dyDescent="0.25">
      <c r="A3658" t="s">
        <v>213</v>
      </c>
      <c r="B3658" t="s">
        <v>3754</v>
      </c>
      <c r="C3658" t="s">
        <v>88</v>
      </c>
      <c r="D3658" t="s">
        <v>88</v>
      </c>
      <c r="E3658" t="s">
        <v>3755</v>
      </c>
      <c r="F3658" t="s">
        <v>88</v>
      </c>
      <c r="G3658" t="s">
        <v>88</v>
      </c>
      <c r="H3658" t="s">
        <v>92</v>
      </c>
    </row>
    <row r="3659" spans="1:8" x14ac:dyDescent="0.25">
      <c r="A3659" t="s">
        <v>213</v>
      </c>
      <c r="B3659" t="s">
        <v>3756</v>
      </c>
      <c r="C3659" t="s">
        <v>88</v>
      </c>
      <c r="D3659" t="s">
        <v>3757</v>
      </c>
      <c r="E3659" t="s">
        <v>3758</v>
      </c>
      <c r="F3659" t="s">
        <v>88</v>
      </c>
      <c r="G3659" t="s">
        <v>88</v>
      </c>
      <c r="H3659" t="s">
        <v>92</v>
      </c>
    </row>
    <row r="3660" spans="1:8" x14ac:dyDescent="0.25">
      <c r="A3660" t="s">
        <v>213</v>
      </c>
      <c r="B3660" t="s">
        <v>3759</v>
      </c>
      <c r="C3660" t="s">
        <v>88</v>
      </c>
      <c r="D3660" t="s">
        <v>3760</v>
      </c>
      <c r="E3660" t="s">
        <v>1427</v>
      </c>
      <c r="F3660" t="s">
        <v>88</v>
      </c>
      <c r="G3660" t="s">
        <v>88</v>
      </c>
      <c r="H3660" t="s">
        <v>92</v>
      </c>
    </row>
    <row r="3661" spans="1:8" x14ac:dyDescent="0.25">
      <c r="A3661" t="s">
        <v>213</v>
      </c>
      <c r="B3661" t="s">
        <v>3761</v>
      </c>
      <c r="C3661" t="s">
        <v>88</v>
      </c>
      <c r="D3661" t="s">
        <v>3702</v>
      </c>
      <c r="E3661" t="s">
        <v>3762</v>
      </c>
      <c r="F3661" t="s">
        <v>88</v>
      </c>
      <c r="G3661" t="s">
        <v>88</v>
      </c>
      <c r="H3661" t="s">
        <v>92</v>
      </c>
    </row>
    <row r="3662" spans="1:8" x14ac:dyDescent="0.25">
      <c r="A3662" t="s">
        <v>213</v>
      </c>
      <c r="B3662" t="s">
        <v>3763</v>
      </c>
      <c r="C3662" t="s">
        <v>88</v>
      </c>
      <c r="D3662" t="s">
        <v>3702</v>
      </c>
      <c r="E3662" t="s">
        <v>3764</v>
      </c>
      <c r="F3662" t="s">
        <v>88</v>
      </c>
      <c r="G3662" t="s">
        <v>88</v>
      </c>
      <c r="H3662" t="s">
        <v>92</v>
      </c>
    </row>
    <row r="3663" spans="1:8" x14ac:dyDescent="0.25">
      <c r="A3663" t="s">
        <v>213</v>
      </c>
      <c r="B3663" t="s">
        <v>3765</v>
      </c>
      <c r="C3663" t="s">
        <v>88</v>
      </c>
      <c r="D3663" t="s">
        <v>3702</v>
      </c>
      <c r="E3663" t="s">
        <v>3766</v>
      </c>
      <c r="F3663" t="s">
        <v>88</v>
      </c>
      <c r="G3663" t="s">
        <v>88</v>
      </c>
      <c r="H3663" t="s">
        <v>92</v>
      </c>
    </row>
    <row r="3664" spans="1:8" x14ac:dyDescent="0.25">
      <c r="A3664" t="s">
        <v>213</v>
      </c>
      <c r="B3664" t="s">
        <v>3767</v>
      </c>
      <c r="C3664" t="s">
        <v>88</v>
      </c>
      <c r="D3664" t="s">
        <v>3702</v>
      </c>
      <c r="E3664" t="s">
        <v>3768</v>
      </c>
      <c r="F3664" t="s">
        <v>88</v>
      </c>
      <c r="G3664" t="s">
        <v>88</v>
      </c>
      <c r="H3664" t="s">
        <v>92</v>
      </c>
    </row>
    <row r="3665" spans="1:8" x14ac:dyDescent="0.25">
      <c r="A3665" t="s">
        <v>213</v>
      </c>
      <c r="B3665" t="s">
        <v>3769</v>
      </c>
      <c r="C3665" t="s">
        <v>88</v>
      </c>
      <c r="D3665" t="s">
        <v>3770</v>
      </c>
      <c r="E3665" t="s">
        <v>3771</v>
      </c>
      <c r="F3665" t="s">
        <v>88</v>
      </c>
      <c r="G3665" t="s">
        <v>88</v>
      </c>
      <c r="H3665" t="s">
        <v>92</v>
      </c>
    </row>
    <row r="3666" spans="1:8" x14ac:dyDescent="0.25">
      <c r="A3666" t="s">
        <v>213</v>
      </c>
      <c r="B3666" t="s">
        <v>3772</v>
      </c>
      <c r="C3666" t="s">
        <v>88</v>
      </c>
      <c r="D3666" t="s">
        <v>3702</v>
      </c>
      <c r="E3666" t="s">
        <v>3773</v>
      </c>
      <c r="F3666" t="s">
        <v>88</v>
      </c>
      <c r="G3666" t="s">
        <v>88</v>
      </c>
      <c r="H3666" t="s">
        <v>92</v>
      </c>
    </row>
    <row r="3667" spans="1:8" x14ac:dyDescent="0.25">
      <c r="A3667" t="s">
        <v>213</v>
      </c>
      <c r="B3667" t="s">
        <v>3774</v>
      </c>
      <c r="C3667" t="s">
        <v>88</v>
      </c>
      <c r="D3667" t="s">
        <v>3604</v>
      </c>
      <c r="E3667" t="s">
        <v>3704</v>
      </c>
      <c r="F3667" t="s">
        <v>88</v>
      </c>
      <c r="G3667" t="s">
        <v>88</v>
      </c>
      <c r="H3667" t="s">
        <v>92</v>
      </c>
    </row>
    <row r="3668" spans="1:8" x14ac:dyDescent="0.25">
      <c r="A3668" t="s">
        <v>213</v>
      </c>
      <c r="B3668" t="s">
        <v>3775</v>
      </c>
      <c r="C3668" t="s">
        <v>88</v>
      </c>
      <c r="D3668" t="s">
        <v>3776</v>
      </c>
      <c r="E3668" t="s">
        <v>3704</v>
      </c>
      <c r="F3668" t="s">
        <v>88</v>
      </c>
      <c r="G3668" t="s">
        <v>88</v>
      </c>
      <c r="H3668" t="s">
        <v>92</v>
      </c>
    </row>
    <row r="3669" spans="1:8" x14ac:dyDescent="0.25">
      <c r="A3669" t="s">
        <v>213</v>
      </c>
      <c r="B3669" t="s">
        <v>3777</v>
      </c>
      <c r="C3669" t="s">
        <v>88</v>
      </c>
      <c r="D3669" t="s">
        <v>3778</v>
      </c>
      <c r="E3669" t="s">
        <v>3704</v>
      </c>
      <c r="F3669" t="s">
        <v>88</v>
      </c>
      <c r="G3669" t="s">
        <v>88</v>
      </c>
      <c r="H3669" t="s">
        <v>92</v>
      </c>
    </row>
    <row r="3670" spans="1:8" x14ac:dyDescent="0.25">
      <c r="A3670" t="s">
        <v>213</v>
      </c>
      <c r="B3670" t="s">
        <v>3779</v>
      </c>
      <c r="C3670" t="s">
        <v>88</v>
      </c>
      <c r="D3670" t="s">
        <v>3780</v>
      </c>
      <c r="E3670" t="s">
        <v>3704</v>
      </c>
      <c r="F3670" t="s">
        <v>88</v>
      </c>
      <c r="G3670" t="s">
        <v>88</v>
      </c>
      <c r="H3670" t="s">
        <v>92</v>
      </c>
    </row>
    <row r="3671" spans="1:8" x14ac:dyDescent="0.25">
      <c r="A3671" t="s">
        <v>213</v>
      </c>
      <c r="B3671" t="s">
        <v>3781</v>
      </c>
      <c r="C3671" t="s">
        <v>88</v>
      </c>
      <c r="D3671" t="s">
        <v>3782</v>
      </c>
      <c r="E3671" t="s">
        <v>3783</v>
      </c>
      <c r="F3671" t="s">
        <v>88</v>
      </c>
      <c r="G3671" t="s">
        <v>88</v>
      </c>
      <c r="H3671" t="s">
        <v>92</v>
      </c>
    </row>
    <row r="3672" spans="1:8" x14ac:dyDescent="0.25">
      <c r="A3672" t="s">
        <v>213</v>
      </c>
      <c r="B3672" t="s">
        <v>3784</v>
      </c>
      <c r="C3672" t="s">
        <v>88</v>
      </c>
      <c r="D3672" t="s">
        <v>3785</v>
      </c>
      <c r="E3672" t="s">
        <v>3783</v>
      </c>
      <c r="F3672" t="s">
        <v>88</v>
      </c>
      <c r="G3672" t="s">
        <v>88</v>
      </c>
      <c r="H3672" t="s">
        <v>92</v>
      </c>
    </row>
    <row r="3673" spans="1:8" x14ac:dyDescent="0.25">
      <c r="A3673" t="s">
        <v>213</v>
      </c>
      <c r="B3673" t="s">
        <v>3786</v>
      </c>
      <c r="C3673" t="s">
        <v>88</v>
      </c>
      <c r="D3673" t="s">
        <v>3787</v>
      </c>
      <c r="E3673" t="s">
        <v>3783</v>
      </c>
      <c r="F3673" t="s">
        <v>88</v>
      </c>
      <c r="G3673" t="s">
        <v>88</v>
      </c>
      <c r="H3673" t="s">
        <v>92</v>
      </c>
    </row>
    <row r="3674" spans="1:8" x14ac:dyDescent="0.25">
      <c r="A3674" t="s">
        <v>213</v>
      </c>
      <c r="B3674" t="s">
        <v>3788</v>
      </c>
      <c r="C3674" t="s">
        <v>88</v>
      </c>
      <c r="D3674" t="s">
        <v>3789</v>
      </c>
      <c r="E3674" t="s">
        <v>3783</v>
      </c>
      <c r="F3674" t="s">
        <v>88</v>
      </c>
      <c r="G3674" t="s">
        <v>88</v>
      </c>
      <c r="H3674" t="s">
        <v>92</v>
      </c>
    </row>
    <row r="3675" spans="1:8" x14ac:dyDescent="0.25">
      <c r="A3675" t="s">
        <v>213</v>
      </c>
      <c r="B3675" t="s">
        <v>3790</v>
      </c>
      <c r="C3675" t="s">
        <v>88</v>
      </c>
      <c r="D3675" t="s">
        <v>3791</v>
      </c>
      <c r="E3675" t="s">
        <v>3783</v>
      </c>
      <c r="F3675" t="s">
        <v>88</v>
      </c>
      <c r="G3675" t="s">
        <v>88</v>
      </c>
      <c r="H3675" t="s">
        <v>92</v>
      </c>
    </row>
    <row r="3676" spans="1:8" x14ac:dyDescent="0.25">
      <c r="A3676" t="s">
        <v>213</v>
      </c>
      <c r="B3676" t="s">
        <v>3792</v>
      </c>
      <c r="C3676" t="s">
        <v>88</v>
      </c>
      <c r="D3676" t="s">
        <v>3793</v>
      </c>
      <c r="E3676" t="s">
        <v>3794</v>
      </c>
      <c r="F3676" t="s">
        <v>88</v>
      </c>
      <c r="G3676" t="s">
        <v>88</v>
      </c>
      <c r="H3676" t="s">
        <v>92</v>
      </c>
    </row>
    <row r="3677" spans="1:8" x14ac:dyDescent="0.25">
      <c r="A3677" t="s">
        <v>213</v>
      </c>
      <c r="B3677" t="s">
        <v>3795</v>
      </c>
      <c r="C3677" t="s">
        <v>88</v>
      </c>
      <c r="D3677" t="s">
        <v>3796</v>
      </c>
      <c r="E3677" t="s">
        <v>3794</v>
      </c>
      <c r="F3677" t="s">
        <v>88</v>
      </c>
      <c r="G3677" t="s">
        <v>88</v>
      </c>
      <c r="H3677" t="s">
        <v>92</v>
      </c>
    </row>
    <row r="3678" spans="1:8" x14ac:dyDescent="0.25">
      <c r="A3678" t="s">
        <v>213</v>
      </c>
      <c r="B3678" t="s">
        <v>3797</v>
      </c>
      <c r="C3678" t="s">
        <v>88</v>
      </c>
      <c r="D3678" t="s">
        <v>3798</v>
      </c>
      <c r="E3678" t="s">
        <v>3794</v>
      </c>
      <c r="F3678" t="s">
        <v>88</v>
      </c>
      <c r="G3678" t="s">
        <v>88</v>
      </c>
      <c r="H3678" t="s">
        <v>92</v>
      </c>
    </row>
    <row r="3679" spans="1:8" x14ac:dyDescent="0.25">
      <c r="A3679" t="s">
        <v>213</v>
      </c>
      <c r="B3679" t="s">
        <v>3799</v>
      </c>
      <c r="C3679" t="s">
        <v>88</v>
      </c>
      <c r="D3679" t="s">
        <v>3800</v>
      </c>
      <c r="E3679" t="s">
        <v>3794</v>
      </c>
      <c r="F3679" t="s">
        <v>88</v>
      </c>
      <c r="G3679" t="s">
        <v>88</v>
      </c>
      <c r="H3679" t="s">
        <v>92</v>
      </c>
    </row>
    <row r="3680" spans="1:8" x14ac:dyDescent="0.25">
      <c r="A3680" t="s">
        <v>213</v>
      </c>
      <c r="B3680" t="s">
        <v>3652</v>
      </c>
      <c r="C3680" t="s">
        <v>88</v>
      </c>
      <c r="D3680" t="s">
        <v>3801</v>
      </c>
      <c r="E3680" t="s">
        <v>3794</v>
      </c>
      <c r="F3680" t="s">
        <v>88</v>
      </c>
      <c r="G3680" t="s">
        <v>88</v>
      </c>
      <c r="H3680" t="s">
        <v>92</v>
      </c>
    </row>
    <row r="3681" spans="1:8" x14ac:dyDescent="0.25">
      <c r="A3681" t="s">
        <v>213</v>
      </c>
      <c r="B3681" t="s">
        <v>3802</v>
      </c>
      <c r="C3681" t="s">
        <v>88</v>
      </c>
      <c r="D3681" t="s">
        <v>3803</v>
      </c>
      <c r="E3681" t="s">
        <v>3794</v>
      </c>
      <c r="F3681" t="s">
        <v>88</v>
      </c>
      <c r="G3681" t="s">
        <v>88</v>
      </c>
      <c r="H3681" t="s">
        <v>92</v>
      </c>
    </row>
    <row r="3682" spans="1:8" x14ac:dyDescent="0.25">
      <c r="A3682" t="s">
        <v>213</v>
      </c>
      <c r="B3682" t="s">
        <v>3804</v>
      </c>
      <c r="C3682" t="s">
        <v>88</v>
      </c>
      <c r="D3682" t="s">
        <v>3805</v>
      </c>
      <c r="E3682" t="s">
        <v>3794</v>
      </c>
      <c r="F3682" t="s">
        <v>88</v>
      </c>
      <c r="G3682" t="s">
        <v>88</v>
      </c>
      <c r="H3682" t="s">
        <v>92</v>
      </c>
    </row>
    <row r="3683" spans="1:8" x14ac:dyDescent="0.25">
      <c r="A3683" t="s">
        <v>213</v>
      </c>
      <c r="B3683" t="s">
        <v>3806</v>
      </c>
      <c r="C3683" t="s">
        <v>88</v>
      </c>
      <c r="D3683" t="s">
        <v>3807</v>
      </c>
      <c r="E3683" t="s">
        <v>3794</v>
      </c>
      <c r="F3683" t="s">
        <v>88</v>
      </c>
      <c r="G3683" t="s">
        <v>88</v>
      </c>
      <c r="H3683" t="s">
        <v>92</v>
      </c>
    </row>
    <row r="3684" spans="1:8" x14ac:dyDescent="0.25">
      <c r="A3684" t="s">
        <v>213</v>
      </c>
      <c r="B3684" t="s">
        <v>3808</v>
      </c>
      <c r="C3684" t="s">
        <v>88</v>
      </c>
      <c r="D3684" t="s">
        <v>3809</v>
      </c>
      <c r="E3684" t="s">
        <v>3810</v>
      </c>
      <c r="F3684" t="s">
        <v>88</v>
      </c>
      <c r="G3684" t="s">
        <v>88</v>
      </c>
      <c r="H3684" t="s">
        <v>92</v>
      </c>
    </row>
    <row r="3685" spans="1:8" x14ac:dyDescent="0.25">
      <c r="A3685" t="s">
        <v>213</v>
      </c>
      <c r="B3685" t="s">
        <v>3811</v>
      </c>
      <c r="C3685" t="s">
        <v>88</v>
      </c>
      <c r="D3685" t="s">
        <v>3812</v>
      </c>
      <c r="E3685" t="s">
        <v>3810</v>
      </c>
      <c r="F3685" t="s">
        <v>88</v>
      </c>
      <c r="G3685" t="s">
        <v>88</v>
      </c>
      <c r="H3685" t="s">
        <v>92</v>
      </c>
    </row>
    <row r="3686" spans="1:8" x14ac:dyDescent="0.25">
      <c r="A3686" t="s">
        <v>213</v>
      </c>
      <c r="B3686" t="s">
        <v>3813</v>
      </c>
      <c r="C3686" t="s">
        <v>88</v>
      </c>
      <c r="D3686" t="s">
        <v>3814</v>
      </c>
      <c r="E3686" t="s">
        <v>3810</v>
      </c>
      <c r="F3686" t="s">
        <v>88</v>
      </c>
      <c r="G3686" t="s">
        <v>88</v>
      </c>
      <c r="H3686" t="s">
        <v>92</v>
      </c>
    </row>
    <row r="3687" spans="1:8" x14ac:dyDescent="0.25">
      <c r="A3687" t="s">
        <v>213</v>
      </c>
      <c r="B3687" t="s">
        <v>3815</v>
      </c>
      <c r="C3687" t="s">
        <v>88</v>
      </c>
      <c r="D3687" t="s">
        <v>3816</v>
      </c>
      <c r="E3687" t="s">
        <v>3810</v>
      </c>
      <c r="F3687" t="s">
        <v>88</v>
      </c>
      <c r="G3687" t="s">
        <v>88</v>
      </c>
      <c r="H3687" t="s">
        <v>92</v>
      </c>
    </row>
    <row r="3688" spans="1:8" x14ac:dyDescent="0.25">
      <c r="A3688" t="s">
        <v>213</v>
      </c>
      <c r="B3688" t="s">
        <v>3817</v>
      </c>
      <c r="C3688" t="s">
        <v>88</v>
      </c>
      <c r="D3688" t="s">
        <v>3818</v>
      </c>
      <c r="E3688" t="s">
        <v>3810</v>
      </c>
      <c r="F3688" t="s">
        <v>88</v>
      </c>
      <c r="G3688" t="s">
        <v>88</v>
      </c>
      <c r="H3688" t="s">
        <v>92</v>
      </c>
    </row>
    <row r="3689" spans="1:8" x14ac:dyDescent="0.25">
      <c r="A3689" t="s">
        <v>213</v>
      </c>
      <c r="B3689" t="s">
        <v>3819</v>
      </c>
      <c r="C3689" t="s">
        <v>88</v>
      </c>
      <c r="D3689" t="s">
        <v>3820</v>
      </c>
      <c r="E3689" t="s">
        <v>3810</v>
      </c>
      <c r="F3689" t="s">
        <v>88</v>
      </c>
      <c r="G3689" t="s">
        <v>88</v>
      </c>
      <c r="H3689" t="s">
        <v>92</v>
      </c>
    </row>
    <row r="3690" spans="1:8" x14ac:dyDescent="0.25">
      <c r="A3690" t="s">
        <v>213</v>
      </c>
      <c r="B3690" t="s">
        <v>3821</v>
      </c>
      <c r="C3690" t="s">
        <v>88</v>
      </c>
      <c r="D3690" t="s">
        <v>3822</v>
      </c>
      <c r="E3690" t="s">
        <v>1433</v>
      </c>
      <c r="F3690" t="s">
        <v>88</v>
      </c>
      <c r="G3690" t="s">
        <v>88</v>
      </c>
      <c r="H3690" t="s">
        <v>92</v>
      </c>
    </row>
    <row r="3691" spans="1:8" x14ac:dyDescent="0.25">
      <c r="A3691" t="s">
        <v>213</v>
      </c>
      <c r="B3691" t="s">
        <v>3823</v>
      </c>
      <c r="C3691" t="s">
        <v>88</v>
      </c>
      <c r="D3691" t="s">
        <v>3604</v>
      </c>
      <c r="E3691" t="s">
        <v>1433</v>
      </c>
      <c r="F3691" t="s">
        <v>88</v>
      </c>
      <c r="G3691" t="s">
        <v>88</v>
      </c>
      <c r="H3691" t="s">
        <v>92</v>
      </c>
    </row>
    <row r="3692" spans="1:8" x14ac:dyDescent="0.25">
      <c r="A3692" t="s">
        <v>213</v>
      </c>
      <c r="B3692" t="s">
        <v>3824</v>
      </c>
      <c r="C3692" t="s">
        <v>88</v>
      </c>
      <c r="D3692" t="s">
        <v>3776</v>
      </c>
      <c r="E3692" t="s">
        <v>1433</v>
      </c>
      <c r="F3692" t="s">
        <v>88</v>
      </c>
      <c r="G3692" t="s">
        <v>88</v>
      </c>
      <c r="H3692" t="s">
        <v>92</v>
      </c>
    </row>
    <row r="3693" spans="1:8" x14ac:dyDescent="0.25">
      <c r="A3693" t="s">
        <v>213</v>
      </c>
      <c r="B3693" t="s">
        <v>3825</v>
      </c>
      <c r="C3693" t="s">
        <v>88</v>
      </c>
      <c r="D3693" t="s">
        <v>3778</v>
      </c>
      <c r="E3693" t="s">
        <v>1433</v>
      </c>
      <c r="F3693" t="s">
        <v>88</v>
      </c>
      <c r="G3693" t="s">
        <v>88</v>
      </c>
      <c r="H3693" t="s">
        <v>92</v>
      </c>
    </row>
    <row r="3694" spans="1:8" x14ac:dyDescent="0.25">
      <c r="A3694" t="s">
        <v>213</v>
      </c>
      <c r="B3694" t="s">
        <v>3826</v>
      </c>
      <c r="C3694" t="s">
        <v>88</v>
      </c>
      <c r="D3694" t="s">
        <v>3780</v>
      </c>
      <c r="E3694" t="s">
        <v>1433</v>
      </c>
      <c r="F3694" t="s">
        <v>88</v>
      </c>
      <c r="G3694" t="s">
        <v>88</v>
      </c>
      <c r="H3694" t="s">
        <v>92</v>
      </c>
    </row>
    <row r="3695" spans="1:8" x14ac:dyDescent="0.25">
      <c r="A3695" t="s">
        <v>213</v>
      </c>
      <c r="B3695" t="s">
        <v>3827</v>
      </c>
      <c r="C3695" t="s">
        <v>88</v>
      </c>
      <c r="D3695" t="s">
        <v>3782</v>
      </c>
      <c r="E3695" t="s">
        <v>3828</v>
      </c>
      <c r="F3695" t="s">
        <v>88</v>
      </c>
      <c r="G3695" t="s">
        <v>88</v>
      </c>
      <c r="H3695" t="s">
        <v>92</v>
      </c>
    </row>
    <row r="3696" spans="1:8" x14ac:dyDescent="0.25">
      <c r="A3696" t="s">
        <v>213</v>
      </c>
      <c r="B3696" t="s">
        <v>3829</v>
      </c>
      <c r="C3696" t="s">
        <v>88</v>
      </c>
      <c r="D3696" t="s">
        <v>3785</v>
      </c>
      <c r="E3696" t="s">
        <v>3828</v>
      </c>
      <c r="F3696" t="s">
        <v>88</v>
      </c>
      <c r="G3696" t="s">
        <v>88</v>
      </c>
      <c r="H3696" t="s">
        <v>92</v>
      </c>
    </row>
    <row r="3697" spans="1:8" x14ac:dyDescent="0.25">
      <c r="A3697" t="s">
        <v>213</v>
      </c>
      <c r="B3697" t="s">
        <v>3830</v>
      </c>
      <c r="C3697" t="s">
        <v>88</v>
      </c>
      <c r="D3697" t="s">
        <v>3787</v>
      </c>
      <c r="E3697" t="s">
        <v>3828</v>
      </c>
      <c r="F3697" t="s">
        <v>88</v>
      </c>
      <c r="G3697" t="s">
        <v>88</v>
      </c>
      <c r="H3697" t="s">
        <v>92</v>
      </c>
    </row>
    <row r="3698" spans="1:8" x14ac:dyDescent="0.25">
      <c r="A3698" t="s">
        <v>213</v>
      </c>
      <c r="B3698" t="s">
        <v>3831</v>
      </c>
      <c r="C3698" t="s">
        <v>88</v>
      </c>
      <c r="D3698" t="s">
        <v>3789</v>
      </c>
      <c r="E3698" t="s">
        <v>3828</v>
      </c>
      <c r="F3698" t="s">
        <v>88</v>
      </c>
      <c r="G3698" t="s">
        <v>88</v>
      </c>
      <c r="H3698" t="s">
        <v>92</v>
      </c>
    </row>
    <row r="3699" spans="1:8" x14ac:dyDescent="0.25">
      <c r="A3699" t="s">
        <v>213</v>
      </c>
      <c r="B3699" t="s">
        <v>3832</v>
      </c>
      <c r="C3699" t="s">
        <v>88</v>
      </c>
      <c r="D3699" t="s">
        <v>3791</v>
      </c>
      <c r="E3699" t="s">
        <v>3828</v>
      </c>
      <c r="F3699" t="s">
        <v>88</v>
      </c>
      <c r="G3699" t="s">
        <v>88</v>
      </c>
      <c r="H3699" t="s">
        <v>92</v>
      </c>
    </row>
    <row r="3700" spans="1:8" x14ac:dyDescent="0.25">
      <c r="A3700" t="s">
        <v>213</v>
      </c>
      <c r="B3700" t="s">
        <v>3833</v>
      </c>
      <c r="C3700" t="s">
        <v>88</v>
      </c>
      <c r="D3700" t="s">
        <v>3793</v>
      </c>
      <c r="E3700" t="s">
        <v>3834</v>
      </c>
      <c r="F3700" t="s">
        <v>88</v>
      </c>
      <c r="G3700" t="s">
        <v>88</v>
      </c>
      <c r="H3700" t="s">
        <v>92</v>
      </c>
    </row>
    <row r="3701" spans="1:8" x14ac:dyDescent="0.25">
      <c r="A3701" t="s">
        <v>213</v>
      </c>
      <c r="B3701" t="s">
        <v>3835</v>
      </c>
      <c r="C3701" t="s">
        <v>88</v>
      </c>
      <c r="D3701" t="s">
        <v>3796</v>
      </c>
      <c r="E3701" t="s">
        <v>3834</v>
      </c>
      <c r="F3701" t="s">
        <v>88</v>
      </c>
      <c r="G3701" t="s">
        <v>88</v>
      </c>
      <c r="H3701" t="s">
        <v>92</v>
      </c>
    </row>
    <row r="3702" spans="1:8" x14ac:dyDescent="0.25">
      <c r="A3702" t="s">
        <v>213</v>
      </c>
      <c r="B3702" t="s">
        <v>3836</v>
      </c>
      <c r="C3702" t="s">
        <v>88</v>
      </c>
      <c r="D3702" t="s">
        <v>3798</v>
      </c>
      <c r="E3702" t="s">
        <v>3834</v>
      </c>
      <c r="F3702" t="s">
        <v>88</v>
      </c>
      <c r="G3702" t="s">
        <v>88</v>
      </c>
      <c r="H3702" t="s">
        <v>92</v>
      </c>
    </row>
    <row r="3703" spans="1:8" x14ac:dyDescent="0.25">
      <c r="A3703" t="s">
        <v>213</v>
      </c>
      <c r="B3703" t="s">
        <v>3837</v>
      </c>
      <c r="C3703" t="s">
        <v>88</v>
      </c>
      <c r="D3703" t="s">
        <v>3800</v>
      </c>
      <c r="E3703" t="s">
        <v>3834</v>
      </c>
      <c r="F3703" t="s">
        <v>88</v>
      </c>
      <c r="G3703" t="s">
        <v>88</v>
      </c>
      <c r="H3703" t="s">
        <v>92</v>
      </c>
    </row>
    <row r="3704" spans="1:8" x14ac:dyDescent="0.25">
      <c r="A3704" t="s">
        <v>213</v>
      </c>
      <c r="B3704" t="s">
        <v>3664</v>
      </c>
      <c r="C3704" t="s">
        <v>88</v>
      </c>
      <c r="D3704" t="s">
        <v>3801</v>
      </c>
      <c r="E3704" t="s">
        <v>3834</v>
      </c>
      <c r="F3704" t="s">
        <v>88</v>
      </c>
      <c r="G3704" t="s">
        <v>88</v>
      </c>
      <c r="H3704" t="s">
        <v>92</v>
      </c>
    </row>
    <row r="3705" spans="1:8" x14ac:dyDescent="0.25">
      <c r="A3705" t="s">
        <v>213</v>
      </c>
      <c r="B3705" t="s">
        <v>3838</v>
      </c>
      <c r="C3705" t="s">
        <v>88</v>
      </c>
      <c r="D3705" t="s">
        <v>3803</v>
      </c>
      <c r="E3705" t="s">
        <v>3834</v>
      </c>
      <c r="F3705" t="s">
        <v>88</v>
      </c>
      <c r="G3705" t="s">
        <v>88</v>
      </c>
      <c r="H3705" t="s">
        <v>92</v>
      </c>
    </row>
    <row r="3706" spans="1:8" x14ac:dyDescent="0.25">
      <c r="A3706" t="s">
        <v>213</v>
      </c>
      <c r="B3706" t="s">
        <v>3839</v>
      </c>
      <c r="C3706" t="s">
        <v>88</v>
      </c>
      <c r="D3706" t="s">
        <v>3805</v>
      </c>
      <c r="E3706" t="s">
        <v>3834</v>
      </c>
      <c r="F3706" t="s">
        <v>88</v>
      </c>
      <c r="G3706" t="s">
        <v>88</v>
      </c>
      <c r="H3706" t="s">
        <v>92</v>
      </c>
    </row>
    <row r="3707" spans="1:8" x14ac:dyDescent="0.25">
      <c r="A3707" t="s">
        <v>213</v>
      </c>
      <c r="B3707" t="s">
        <v>3840</v>
      </c>
      <c r="C3707" t="s">
        <v>88</v>
      </c>
      <c r="D3707" t="s">
        <v>3807</v>
      </c>
      <c r="E3707" t="s">
        <v>3834</v>
      </c>
      <c r="F3707" t="s">
        <v>88</v>
      </c>
      <c r="G3707" t="s">
        <v>88</v>
      </c>
      <c r="H3707" t="s">
        <v>92</v>
      </c>
    </row>
    <row r="3708" spans="1:8" x14ac:dyDescent="0.25">
      <c r="A3708" t="s">
        <v>213</v>
      </c>
      <c r="B3708" t="s">
        <v>3841</v>
      </c>
      <c r="C3708" t="s">
        <v>88</v>
      </c>
      <c r="D3708" t="s">
        <v>3809</v>
      </c>
      <c r="E3708" t="s">
        <v>3842</v>
      </c>
      <c r="F3708" t="s">
        <v>88</v>
      </c>
      <c r="G3708" t="s">
        <v>88</v>
      </c>
      <c r="H3708" t="s">
        <v>92</v>
      </c>
    </row>
    <row r="3709" spans="1:8" x14ac:dyDescent="0.25">
      <c r="A3709" t="s">
        <v>213</v>
      </c>
      <c r="B3709" t="s">
        <v>3843</v>
      </c>
      <c r="C3709" t="s">
        <v>88</v>
      </c>
      <c r="D3709" t="s">
        <v>3844</v>
      </c>
      <c r="E3709" t="s">
        <v>3842</v>
      </c>
      <c r="F3709" t="s">
        <v>88</v>
      </c>
      <c r="G3709" t="s">
        <v>88</v>
      </c>
      <c r="H3709" t="s">
        <v>92</v>
      </c>
    </row>
    <row r="3710" spans="1:8" x14ac:dyDescent="0.25">
      <c r="A3710" t="s">
        <v>213</v>
      </c>
      <c r="B3710" t="s">
        <v>3845</v>
      </c>
      <c r="C3710" t="s">
        <v>88</v>
      </c>
      <c r="D3710" t="s">
        <v>3814</v>
      </c>
      <c r="E3710" t="s">
        <v>3842</v>
      </c>
      <c r="F3710" t="s">
        <v>88</v>
      </c>
      <c r="G3710" t="s">
        <v>88</v>
      </c>
      <c r="H3710" t="s">
        <v>92</v>
      </c>
    </row>
    <row r="3711" spans="1:8" x14ac:dyDescent="0.25">
      <c r="A3711" t="s">
        <v>213</v>
      </c>
      <c r="B3711" t="s">
        <v>3846</v>
      </c>
      <c r="C3711" t="s">
        <v>88</v>
      </c>
      <c r="D3711" t="s">
        <v>3816</v>
      </c>
      <c r="E3711" t="s">
        <v>3842</v>
      </c>
      <c r="F3711" t="s">
        <v>88</v>
      </c>
      <c r="G3711" t="s">
        <v>88</v>
      </c>
      <c r="H3711" t="s">
        <v>92</v>
      </c>
    </row>
    <row r="3712" spans="1:8" x14ac:dyDescent="0.25">
      <c r="A3712" t="s">
        <v>213</v>
      </c>
      <c r="B3712" t="s">
        <v>3847</v>
      </c>
      <c r="C3712" t="s">
        <v>88</v>
      </c>
      <c r="D3712" t="s">
        <v>3818</v>
      </c>
      <c r="E3712" t="s">
        <v>3842</v>
      </c>
      <c r="F3712" t="s">
        <v>88</v>
      </c>
      <c r="G3712" t="s">
        <v>88</v>
      </c>
      <c r="H3712" t="s">
        <v>92</v>
      </c>
    </row>
    <row r="3713" spans="1:8" x14ac:dyDescent="0.25">
      <c r="A3713" t="s">
        <v>213</v>
      </c>
      <c r="B3713" t="s">
        <v>3848</v>
      </c>
      <c r="C3713" t="s">
        <v>88</v>
      </c>
      <c r="D3713" t="s">
        <v>3820</v>
      </c>
      <c r="E3713" t="s">
        <v>3842</v>
      </c>
      <c r="F3713" t="s">
        <v>88</v>
      </c>
      <c r="G3713" t="s">
        <v>88</v>
      </c>
      <c r="H3713" t="s">
        <v>92</v>
      </c>
    </row>
    <row r="3714" spans="1:8" x14ac:dyDescent="0.25">
      <c r="A3714" t="s">
        <v>213</v>
      </c>
      <c r="B3714" t="s">
        <v>3849</v>
      </c>
      <c r="C3714" t="s">
        <v>88</v>
      </c>
      <c r="D3714" t="s">
        <v>3822</v>
      </c>
      <c r="E3714" t="s">
        <v>1406</v>
      </c>
      <c r="F3714" t="s">
        <v>88</v>
      </c>
      <c r="G3714" t="s">
        <v>88</v>
      </c>
      <c r="H3714" t="s">
        <v>92</v>
      </c>
    </row>
    <row r="3715" spans="1:8" x14ac:dyDescent="0.25">
      <c r="A3715" t="s">
        <v>213</v>
      </c>
      <c r="B3715" t="s">
        <v>3850</v>
      </c>
      <c r="C3715" t="s">
        <v>88</v>
      </c>
      <c r="D3715" t="s">
        <v>3604</v>
      </c>
      <c r="E3715" t="s">
        <v>1406</v>
      </c>
      <c r="F3715" t="s">
        <v>88</v>
      </c>
      <c r="G3715" t="s">
        <v>88</v>
      </c>
      <c r="H3715" t="s">
        <v>92</v>
      </c>
    </row>
    <row r="3716" spans="1:8" x14ac:dyDescent="0.25">
      <c r="A3716" t="s">
        <v>213</v>
      </c>
      <c r="B3716" t="s">
        <v>3851</v>
      </c>
      <c r="C3716" t="s">
        <v>88</v>
      </c>
      <c r="D3716" t="s">
        <v>3776</v>
      </c>
      <c r="E3716" t="s">
        <v>1406</v>
      </c>
      <c r="F3716" t="s">
        <v>88</v>
      </c>
      <c r="G3716" t="s">
        <v>88</v>
      </c>
      <c r="H3716" t="s">
        <v>92</v>
      </c>
    </row>
    <row r="3717" spans="1:8" x14ac:dyDescent="0.25">
      <c r="A3717" t="s">
        <v>213</v>
      </c>
      <c r="B3717" t="s">
        <v>3852</v>
      </c>
      <c r="C3717" t="s">
        <v>88</v>
      </c>
      <c r="D3717" t="s">
        <v>3778</v>
      </c>
      <c r="E3717" t="s">
        <v>1406</v>
      </c>
      <c r="F3717" t="s">
        <v>88</v>
      </c>
      <c r="G3717" t="s">
        <v>88</v>
      </c>
      <c r="H3717" t="s">
        <v>92</v>
      </c>
    </row>
    <row r="3718" spans="1:8" x14ac:dyDescent="0.25">
      <c r="A3718" t="s">
        <v>213</v>
      </c>
      <c r="B3718" t="s">
        <v>3853</v>
      </c>
      <c r="C3718" t="s">
        <v>88</v>
      </c>
      <c r="D3718" t="s">
        <v>3780</v>
      </c>
      <c r="E3718" t="s">
        <v>1406</v>
      </c>
      <c r="F3718" t="s">
        <v>88</v>
      </c>
      <c r="G3718" t="s">
        <v>88</v>
      </c>
      <c r="H3718" t="s">
        <v>92</v>
      </c>
    </row>
    <row r="3719" spans="1:8" x14ac:dyDescent="0.25">
      <c r="A3719" t="s">
        <v>213</v>
      </c>
      <c r="B3719" t="s">
        <v>3854</v>
      </c>
      <c r="C3719" t="s">
        <v>88</v>
      </c>
      <c r="D3719" t="s">
        <v>3782</v>
      </c>
      <c r="E3719" t="s">
        <v>2901</v>
      </c>
      <c r="F3719" t="s">
        <v>88</v>
      </c>
      <c r="G3719" t="s">
        <v>88</v>
      </c>
      <c r="H3719" t="s">
        <v>92</v>
      </c>
    </row>
    <row r="3720" spans="1:8" x14ac:dyDescent="0.25">
      <c r="A3720" t="s">
        <v>213</v>
      </c>
      <c r="B3720" t="s">
        <v>3855</v>
      </c>
      <c r="C3720" t="s">
        <v>88</v>
      </c>
      <c r="D3720" t="s">
        <v>3785</v>
      </c>
      <c r="E3720" t="s">
        <v>2901</v>
      </c>
      <c r="F3720" t="s">
        <v>88</v>
      </c>
      <c r="G3720" t="s">
        <v>88</v>
      </c>
      <c r="H3720" t="s">
        <v>92</v>
      </c>
    </row>
    <row r="3721" spans="1:8" x14ac:dyDescent="0.25">
      <c r="A3721" t="s">
        <v>213</v>
      </c>
      <c r="B3721" t="s">
        <v>3856</v>
      </c>
      <c r="C3721" t="s">
        <v>88</v>
      </c>
      <c r="D3721" t="s">
        <v>3787</v>
      </c>
      <c r="E3721" t="s">
        <v>2901</v>
      </c>
      <c r="F3721" t="s">
        <v>88</v>
      </c>
      <c r="G3721" t="s">
        <v>88</v>
      </c>
      <c r="H3721" t="s">
        <v>92</v>
      </c>
    </row>
    <row r="3722" spans="1:8" x14ac:dyDescent="0.25">
      <c r="A3722" t="s">
        <v>213</v>
      </c>
      <c r="B3722" t="s">
        <v>3857</v>
      </c>
      <c r="C3722" t="s">
        <v>88</v>
      </c>
      <c r="D3722" t="s">
        <v>3789</v>
      </c>
      <c r="E3722" t="s">
        <v>2901</v>
      </c>
      <c r="F3722" t="s">
        <v>88</v>
      </c>
      <c r="G3722" t="s">
        <v>88</v>
      </c>
      <c r="H3722" t="s">
        <v>92</v>
      </c>
    </row>
    <row r="3723" spans="1:8" x14ac:dyDescent="0.25">
      <c r="A3723" t="s">
        <v>213</v>
      </c>
      <c r="B3723" t="s">
        <v>3858</v>
      </c>
      <c r="C3723" t="s">
        <v>88</v>
      </c>
      <c r="D3723" t="s">
        <v>3791</v>
      </c>
      <c r="E3723" t="s">
        <v>2901</v>
      </c>
      <c r="F3723" t="s">
        <v>88</v>
      </c>
      <c r="G3723" t="s">
        <v>88</v>
      </c>
      <c r="H3723" t="s">
        <v>92</v>
      </c>
    </row>
    <row r="3724" spans="1:8" x14ac:dyDescent="0.25">
      <c r="A3724" t="s">
        <v>213</v>
      </c>
      <c r="B3724" t="s">
        <v>3859</v>
      </c>
      <c r="C3724" t="s">
        <v>88</v>
      </c>
      <c r="D3724" t="s">
        <v>3793</v>
      </c>
      <c r="E3724" t="s">
        <v>3690</v>
      </c>
      <c r="F3724" t="s">
        <v>88</v>
      </c>
      <c r="G3724" t="s">
        <v>88</v>
      </c>
      <c r="H3724" t="s">
        <v>92</v>
      </c>
    </row>
    <row r="3725" spans="1:8" x14ac:dyDescent="0.25">
      <c r="A3725" t="s">
        <v>213</v>
      </c>
      <c r="B3725" t="s">
        <v>3860</v>
      </c>
      <c r="C3725" t="s">
        <v>88</v>
      </c>
      <c r="D3725" t="s">
        <v>3796</v>
      </c>
      <c r="E3725" t="s">
        <v>3690</v>
      </c>
      <c r="F3725" t="s">
        <v>88</v>
      </c>
      <c r="G3725" t="s">
        <v>88</v>
      </c>
      <c r="H3725" t="s">
        <v>92</v>
      </c>
    </row>
    <row r="3726" spans="1:8" x14ac:dyDescent="0.25">
      <c r="A3726" t="s">
        <v>213</v>
      </c>
      <c r="B3726" t="s">
        <v>3861</v>
      </c>
      <c r="C3726" t="s">
        <v>88</v>
      </c>
      <c r="D3726" t="s">
        <v>3798</v>
      </c>
      <c r="E3726" t="s">
        <v>3690</v>
      </c>
      <c r="F3726" t="s">
        <v>88</v>
      </c>
      <c r="G3726" t="s">
        <v>88</v>
      </c>
      <c r="H3726" t="s">
        <v>92</v>
      </c>
    </row>
    <row r="3727" spans="1:8" x14ac:dyDescent="0.25">
      <c r="A3727" t="s">
        <v>213</v>
      </c>
      <c r="B3727" t="s">
        <v>3862</v>
      </c>
      <c r="C3727" t="s">
        <v>88</v>
      </c>
      <c r="D3727" t="s">
        <v>3800</v>
      </c>
      <c r="E3727" t="s">
        <v>3690</v>
      </c>
      <c r="F3727" t="s">
        <v>88</v>
      </c>
      <c r="G3727" t="s">
        <v>88</v>
      </c>
      <c r="H3727" t="s">
        <v>92</v>
      </c>
    </row>
    <row r="3728" spans="1:8" x14ac:dyDescent="0.25">
      <c r="A3728" t="s">
        <v>213</v>
      </c>
      <c r="B3728" t="s">
        <v>3633</v>
      </c>
      <c r="C3728" t="s">
        <v>88</v>
      </c>
      <c r="D3728" t="s">
        <v>3801</v>
      </c>
      <c r="E3728" t="s">
        <v>3690</v>
      </c>
      <c r="F3728" t="s">
        <v>88</v>
      </c>
      <c r="G3728" t="s">
        <v>88</v>
      </c>
      <c r="H3728" t="s">
        <v>92</v>
      </c>
    </row>
    <row r="3729" spans="1:8" x14ac:dyDescent="0.25">
      <c r="A3729" t="s">
        <v>213</v>
      </c>
      <c r="B3729" t="s">
        <v>3863</v>
      </c>
      <c r="C3729" t="s">
        <v>88</v>
      </c>
      <c r="D3729" t="s">
        <v>3803</v>
      </c>
      <c r="E3729" t="s">
        <v>3690</v>
      </c>
      <c r="F3729" t="s">
        <v>88</v>
      </c>
      <c r="G3729" t="s">
        <v>88</v>
      </c>
      <c r="H3729" t="s">
        <v>92</v>
      </c>
    </row>
    <row r="3730" spans="1:8" x14ac:dyDescent="0.25">
      <c r="A3730" t="s">
        <v>213</v>
      </c>
      <c r="B3730" t="s">
        <v>3864</v>
      </c>
      <c r="C3730" t="s">
        <v>88</v>
      </c>
      <c r="D3730" t="s">
        <v>3805</v>
      </c>
      <c r="E3730" t="s">
        <v>3690</v>
      </c>
      <c r="F3730" t="s">
        <v>88</v>
      </c>
      <c r="G3730" t="s">
        <v>88</v>
      </c>
      <c r="H3730" t="s">
        <v>92</v>
      </c>
    </row>
    <row r="3731" spans="1:8" x14ac:dyDescent="0.25">
      <c r="A3731" t="s">
        <v>213</v>
      </c>
      <c r="B3731" t="s">
        <v>3865</v>
      </c>
      <c r="C3731" t="s">
        <v>88</v>
      </c>
      <c r="D3731" t="s">
        <v>3807</v>
      </c>
      <c r="E3731" t="s">
        <v>3690</v>
      </c>
      <c r="F3731" t="s">
        <v>88</v>
      </c>
      <c r="G3731" t="s">
        <v>88</v>
      </c>
      <c r="H3731" t="s">
        <v>92</v>
      </c>
    </row>
    <row r="3732" spans="1:8" x14ac:dyDescent="0.25">
      <c r="A3732" t="s">
        <v>213</v>
      </c>
      <c r="B3732" t="s">
        <v>3866</v>
      </c>
      <c r="C3732" t="s">
        <v>88</v>
      </c>
      <c r="D3732" t="s">
        <v>3809</v>
      </c>
      <c r="E3732" t="s">
        <v>3867</v>
      </c>
      <c r="F3732" t="s">
        <v>88</v>
      </c>
      <c r="G3732" t="s">
        <v>88</v>
      </c>
      <c r="H3732" t="s">
        <v>92</v>
      </c>
    </row>
    <row r="3733" spans="1:8" x14ac:dyDescent="0.25">
      <c r="A3733" t="s">
        <v>213</v>
      </c>
      <c r="B3733" t="s">
        <v>3868</v>
      </c>
      <c r="C3733" t="s">
        <v>88</v>
      </c>
      <c r="D3733" t="s">
        <v>3844</v>
      </c>
      <c r="E3733" t="s">
        <v>3867</v>
      </c>
      <c r="F3733" t="s">
        <v>88</v>
      </c>
      <c r="G3733" t="s">
        <v>88</v>
      </c>
      <c r="H3733" t="s">
        <v>92</v>
      </c>
    </row>
    <row r="3734" spans="1:8" x14ac:dyDescent="0.25">
      <c r="A3734" t="s">
        <v>213</v>
      </c>
      <c r="B3734" t="s">
        <v>3869</v>
      </c>
      <c r="C3734" t="s">
        <v>88</v>
      </c>
      <c r="D3734" t="s">
        <v>3814</v>
      </c>
      <c r="E3734" t="s">
        <v>3867</v>
      </c>
      <c r="F3734" t="s">
        <v>88</v>
      </c>
      <c r="G3734" t="s">
        <v>88</v>
      </c>
      <c r="H3734" t="s">
        <v>92</v>
      </c>
    </row>
    <row r="3735" spans="1:8" x14ac:dyDescent="0.25">
      <c r="A3735" t="s">
        <v>213</v>
      </c>
      <c r="B3735" t="s">
        <v>3870</v>
      </c>
      <c r="C3735" t="s">
        <v>88</v>
      </c>
      <c r="D3735" t="s">
        <v>3818</v>
      </c>
      <c r="E3735" t="s">
        <v>3867</v>
      </c>
      <c r="F3735" t="s">
        <v>88</v>
      </c>
      <c r="G3735" t="s">
        <v>88</v>
      </c>
      <c r="H3735" t="s">
        <v>92</v>
      </c>
    </row>
    <row r="3736" spans="1:8" x14ac:dyDescent="0.25">
      <c r="A3736" t="s">
        <v>213</v>
      </c>
      <c r="B3736" t="s">
        <v>3871</v>
      </c>
      <c r="C3736" t="s">
        <v>88</v>
      </c>
      <c r="D3736" t="s">
        <v>3820</v>
      </c>
      <c r="E3736" t="s">
        <v>3867</v>
      </c>
      <c r="F3736" t="s">
        <v>88</v>
      </c>
      <c r="G3736" t="s">
        <v>88</v>
      </c>
      <c r="H3736" t="s">
        <v>92</v>
      </c>
    </row>
    <row r="3737" spans="1:8" x14ac:dyDescent="0.25">
      <c r="A3737" t="s">
        <v>213</v>
      </c>
      <c r="B3737" t="s">
        <v>3872</v>
      </c>
      <c r="C3737" t="s">
        <v>88</v>
      </c>
      <c r="D3737" t="s">
        <v>3873</v>
      </c>
      <c r="E3737" t="s">
        <v>1518</v>
      </c>
      <c r="F3737" t="s">
        <v>88</v>
      </c>
      <c r="G3737" t="s">
        <v>88</v>
      </c>
      <c r="H3737" t="s">
        <v>92</v>
      </c>
    </row>
    <row r="3738" spans="1:8" x14ac:dyDescent="0.25">
      <c r="A3738" t="s">
        <v>213</v>
      </c>
      <c r="B3738" t="s">
        <v>3874</v>
      </c>
      <c r="C3738" t="s">
        <v>88</v>
      </c>
      <c r="D3738" t="s">
        <v>3875</v>
      </c>
      <c r="E3738" t="s">
        <v>1484</v>
      </c>
      <c r="F3738" t="s">
        <v>88</v>
      </c>
      <c r="G3738" t="s">
        <v>88</v>
      </c>
      <c r="H3738" t="s">
        <v>92</v>
      </c>
    </row>
    <row r="3739" spans="1:8" x14ac:dyDescent="0.25">
      <c r="A3739" t="s">
        <v>213</v>
      </c>
      <c r="B3739" t="s">
        <v>3876</v>
      </c>
      <c r="C3739" t="s">
        <v>88</v>
      </c>
      <c r="D3739" t="s">
        <v>3877</v>
      </c>
      <c r="E3739" t="s">
        <v>1481</v>
      </c>
      <c r="F3739" t="s">
        <v>88</v>
      </c>
      <c r="G3739" t="s">
        <v>88</v>
      </c>
      <c r="H3739" t="s">
        <v>92</v>
      </c>
    </row>
    <row r="3740" spans="1:8" x14ac:dyDescent="0.25">
      <c r="A3740" t="s">
        <v>213</v>
      </c>
      <c r="B3740" t="s">
        <v>3878</v>
      </c>
      <c r="C3740" t="s">
        <v>88</v>
      </c>
      <c r="D3740" t="s">
        <v>3879</v>
      </c>
      <c r="E3740" t="s">
        <v>1523</v>
      </c>
      <c r="F3740" t="s">
        <v>88</v>
      </c>
      <c r="G3740" t="s">
        <v>88</v>
      </c>
      <c r="H3740" t="s">
        <v>92</v>
      </c>
    </row>
    <row r="3741" spans="1:8" x14ac:dyDescent="0.25">
      <c r="A3741" t="s">
        <v>213</v>
      </c>
      <c r="B3741" t="s">
        <v>3880</v>
      </c>
      <c r="C3741" t="s">
        <v>88</v>
      </c>
      <c r="D3741" t="s">
        <v>3881</v>
      </c>
      <c r="E3741" t="s">
        <v>1518</v>
      </c>
      <c r="F3741" t="s">
        <v>88</v>
      </c>
      <c r="G3741" t="s">
        <v>88</v>
      </c>
      <c r="H3741" t="s">
        <v>92</v>
      </c>
    </row>
    <row r="3742" spans="1:8" x14ac:dyDescent="0.25">
      <c r="A3742" t="s">
        <v>213</v>
      </c>
      <c r="B3742" t="s">
        <v>3882</v>
      </c>
      <c r="C3742" t="s">
        <v>88</v>
      </c>
      <c r="D3742" t="s">
        <v>3883</v>
      </c>
      <c r="E3742" t="s">
        <v>1484</v>
      </c>
      <c r="F3742" t="s">
        <v>88</v>
      </c>
      <c r="G3742" t="s">
        <v>88</v>
      </c>
      <c r="H3742" t="s">
        <v>92</v>
      </c>
    </row>
    <row r="3743" spans="1:8" x14ac:dyDescent="0.25">
      <c r="A3743" t="s">
        <v>213</v>
      </c>
      <c r="B3743" t="s">
        <v>3884</v>
      </c>
      <c r="C3743" t="s">
        <v>88</v>
      </c>
      <c r="D3743" t="s">
        <v>3885</v>
      </c>
      <c r="E3743" t="s">
        <v>1484</v>
      </c>
      <c r="F3743" t="s">
        <v>88</v>
      </c>
      <c r="G3743" t="s">
        <v>88</v>
      </c>
      <c r="H3743" t="s">
        <v>92</v>
      </c>
    </row>
    <row r="3744" spans="1:8" x14ac:dyDescent="0.25">
      <c r="A3744" t="s">
        <v>213</v>
      </c>
      <c r="B3744" t="s">
        <v>3886</v>
      </c>
      <c r="C3744" t="s">
        <v>88</v>
      </c>
      <c r="D3744" t="s">
        <v>3879</v>
      </c>
      <c r="E3744" t="s">
        <v>1484</v>
      </c>
      <c r="F3744" t="s">
        <v>88</v>
      </c>
      <c r="G3744" t="s">
        <v>88</v>
      </c>
      <c r="H3744" t="s">
        <v>92</v>
      </c>
    </row>
    <row r="3745" spans="1:8" x14ac:dyDescent="0.25">
      <c r="A3745" t="s">
        <v>213</v>
      </c>
      <c r="B3745" t="s">
        <v>3887</v>
      </c>
      <c r="C3745" t="s">
        <v>88</v>
      </c>
      <c r="D3745" t="s">
        <v>3881</v>
      </c>
      <c r="E3745" t="s">
        <v>1481</v>
      </c>
      <c r="F3745" t="s">
        <v>88</v>
      </c>
      <c r="G3745" t="s">
        <v>88</v>
      </c>
      <c r="H3745" t="s">
        <v>92</v>
      </c>
    </row>
    <row r="3746" spans="1:8" x14ac:dyDescent="0.25">
      <c r="A3746" t="s">
        <v>213</v>
      </c>
      <c r="B3746" t="s">
        <v>3888</v>
      </c>
      <c r="C3746" t="s">
        <v>88</v>
      </c>
      <c r="D3746" t="s">
        <v>3883</v>
      </c>
      <c r="E3746" t="s">
        <v>1490</v>
      </c>
      <c r="F3746" t="s">
        <v>88</v>
      </c>
      <c r="G3746" t="s">
        <v>88</v>
      </c>
      <c r="H3746" t="s">
        <v>92</v>
      </c>
    </row>
    <row r="3747" spans="1:8" x14ac:dyDescent="0.25">
      <c r="A3747" t="s">
        <v>213</v>
      </c>
      <c r="B3747" t="s">
        <v>3889</v>
      </c>
      <c r="C3747" t="s">
        <v>88</v>
      </c>
      <c r="D3747" t="s">
        <v>3885</v>
      </c>
      <c r="E3747" t="s">
        <v>1490</v>
      </c>
      <c r="F3747" t="s">
        <v>88</v>
      </c>
      <c r="G3747" t="s">
        <v>88</v>
      </c>
      <c r="H3747" t="s">
        <v>92</v>
      </c>
    </row>
    <row r="3748" spans="1:8" x14ac:dyDescent="0.25">
      <c r="A3748" t="s">
        <v>213</v>
      </c>
      <c r="B3748" t="s">
        <v>3890</v>
      </c>
      <c r="C3748" t="s">
        <v>88</v>
      </c>
      <c r="D3748" t="s">
        <v>3891</v>
      </c>
      <c r="E3748" t="s">
        <v>1523</v>
      </c>
      <c r="F3748" t="s">
        <v>88</v>
      </c>
      <c r="G3748" t="s">
        <v>88</v>
      </c>
      <c r="H3748" t="s">
        <v>92</v>
      </c>
    </row>
    <row r="3749" spans="1:8" x14ac:dyDescent="0.25">
      <c r="A3749" t="s">
        <v>213</v>
      </c>
      <c r="B3749" t="s">
        <v>3892</v>
      </c>
      <c r="C3749" t="s">
        <v>88</v>
      </c>
      <c r="D3749" t="s">
        <v>3893</v>
      </c>
      <c r="E3749" t="s">
        <v>1523</v>
      </c>
      <c r="F3749" t="s">
        <v>88</v>
      </c>
      <c r="G3749" t="s">
        <v>88</v>
      </c>
      <c r="H3749" t="s">
        <v>92</v>
      </c>
    </row>
    <row r="3750" spans="1:8" x14ac:dyDescent="0.25">
      <c r="A3750" t="s">
        <v>213</v>
      </c>
      <c r="B3750" t="s">
        <v>3894</v>
      </c>
      <c r="C3750" t="s">
        <v>88</v>
      </c>
      <c r="D3750" t="s">
        <v>3895</v>
      </c>
      <c r="E3750" t="s">
        <v>1523</v>
      </c>
      <c r="F3750" t="s">
        <v>88</v>
      </c>
      <c r="G3750" t="s">
        <v>88</v>
      </c>
      <c r="H3750" t="s">
        <v>92</v>
      </c>
    </row>
    <row r="3751" spans="1:8" x14ac:dyDescent="0.25">
      <c r="A3751" t="s">
        <v>213</v>
      </c>
      <c r="B3751" t="s">
        <v>3896</v>
      </c>
      <c r="C3751" t="s">
        <v>88</v>
      </c>
      <c r="D3751" t="s">
        <v>3897</v>
      </c>
      <c r="E3751" t="s">
        <v>1518</v>
      </c>
      <c r="F3751" t="s">
        <v>88</v>
      </c>
      <c r="G3751" t="s">
        <v>88</v>
      </c>
      <c r="H3751" t="s">
        <v>92</v>
      </c>
    </row>
    <row r="3752" spans="1:8" x14ac:dyDescent="0.25">
      <c r="A3752" t="s">
        <v>213</v>
      </c>
      <c r="B3752" t="s">
        <v>3898</v>
      </c>
      <c r="C3752" t="s">
        <v>88</v>
      </c>
      <c r="D3752" t="s">
        <v>3899</v>
      </c>
      <c r="E3752" t="s">
        <v>1523</v>
      </c>
      <c r="F3752" t="s">
        <v>88</v>
      </c>
      <c r="G3752" t="s">
        <v>88</v>
      </c>
      <c r="H3752" t="s">
        <v>92</v>
      </c>
    </row>
    <row r="3753" spans="1:8" x14ac:dyDescent="0.25">
      <c r="A3753" t="s">
        <v>213</v>
      </c>
      <c r="B3753" t="s">
        <v>3900</v>
      </c>
      <c r="C3753" t="s">
        <v>88</v>
      </c>
      <c r="D3753" t="s">
        <v>3901</v>
      </c>
      <c r="E3753" t="s">
        <v>1518</v>
      </c>
      <c r="F3753" t="s">
        <v>88</v>
      </c>
      <c r="G3753" t="s">
        <v>88</v>
      </c>
      <c r="H3753" t="s">
        <v>92</v>
      </c>
    </row>
    <row r="3754" spans="1:8" x14ac:dyDescent="0.25">
      <c r="A3754" t="s">
        <v>213</v>
      </c>
      <c r="B3754" t="s">
        <v>3902</v>
      </c>
      <c r="C3754" t="s">
        <v>88</v>
      </c>
      <c r="D3754" t="s">
        <v>3903</v>
      </c>
      <c r="E3754" t="s">
        <v>1484</v>
      </c>
      <c r="F3754" t="s">
        <v>88</v>
      </c>
      <c r="G3754" t="s">
        <v>88</v>
      </c>
      <c r="H3754" t="s">
        <v>92</v>
      </c>
    </row>
    <row r="3755" spans="1:8" x14ac:dyDescent="0.25">
      <c r="A3755" t="s">
        <v>213</v>
      </c>
      <c r="B3755" t="s">
        <v>3904</v>
      </c>
      <c r="C3755" t="s">
        <v>88</v>
      </c>
      <c r="D3755" t="s">
        <v>3905</v>
      </c>
      <c r="E3755" t="s">
        <v>1484</v>
      </c>
      <c r="F3755" t="s">
        <v>88</v>
      </c>
      <c r="G3755" t="s">
        <v>88</v>
      </c>
      <c r="H3755" t="s">
        <v>92</v>
      </c>
    </row>
    <row r="3756" spans="1:8" x14ac:dyDescent="0.25">
      <c r="A3756" t="s">
        <v>213</v>
      </c>
      <c r="B3756" t="s">
        <v>3906</v>
      </c>
      <c r="C3756" t="s">
        <v>88</v>
      </c>
      <c r="D3756" t="s">
        <v>3907</v>
      </c>
      <c r="E3756" t="s">
        <v>1484</v>
      </c>
      <c r="F3756" t="s">
        <v>88</v>
      </c>
      <c r="G3756" t="s">
        <v>88</v>
      </c>
      <c r="H3756" t="s">
        <v>92</v>
      </c>
    </row>
    <row r="3757" spans="1:8" x14ac:dyDescent="0.25">
      <c r="A3757" t="s">
        <v>213</v>
      </c>
      <c r="B3757" t="s">
        <v>3908</v>
      </c>
      <c r="C3757" t="s">
        <v>88</v>
      </c>
      <c r="D3757" t="s">
        <v>3909</v>
      </c>
      <c r="E3757" t="s">
        <v>3117</v>
      </c>
      <c r="F3757" t="s">
        <v>88</v>
      </c>
      <c r="G3757" t="s">
        <v>88</v>
      </c>
      <c r="H3757" t="s">
        <v>92</v>
      </c>
    </row>
    <row r="3758" spans="1:8" x14ac:dyDescent="0.25">
      <c r="A3758" t="s">
        <v>213</v>
      </c>
      <c r="B3758" t="s">
        <v>3910</v>
      </c>
      <c r="C3758" t="s">
        <v>88</v>
      </c>
      <c r="D3758" t="s">
        <v>3911</v>
      </c>
      <c r="E3758" t="s">
        <v>3117</v>
      </c>
      <c r="F3758" t="s">
        <v>88</v>
      </c>
      <c r="G3758" t="s">
        <v>88</v>
      </c>
      <c r="H3758" t="s">
        <v>92</v>
      </c>
    </row>
    <row r="3759" spans="1:8" x14ac:dyDescent="0.25">
      <c r="A3759" t="s">
        <v>213</v>
      </c>
      <c r="B3759" t="s">
        <v>3912</v>
      </c>
      <c r="C3759" t="s">
        <v>88</v>
      </c>
      <c r="D3759" t="s">
        <v>3913</v>
      </c>
      <c r="E3759" t="s">
        <v>3117</v>
      </c>
      <c r="F3759" t="s">
        <v>88</v>
      </c>
      <c r="G3759" t="s">
        <v>88</v>
      </c>
      <c r="H3759" t="s">
        <v>92</v>
      </c>
    </row>
    <row r="3760" spans="1:8" x14ac:dyDescent="0.25">
      <c r="A3760" t="s">
        <v>213</v>
      </c>
      <c r="B3760" t="s">
        <v>3914</v>
      </c>
      <c r="C3760" t="s">
        <v>88</v>
      </c>
      <c r="D3760" t="s">
        <v>3915</v>
      </c>
      <c r="E3760" t="s">
        <v>1584</v>
      </c>
      <c r="F3760" t="s">
        <v>88</v>
      </c>
      <c r="G3760" t="s">
        <v>88</v>
      </c>
      <c r="H3760" t="s">
        <v>92</v>
      </c>
    </row>
    <row r="3761" spans="1:8" x14ac:dyDescent="0.25">
      <c r="A3761" t="s">
        <v>213</v>
      </c>
      <c r="B3761" t="s">
        <v>3916</v>
      </c>
      <c r="C3761" t="s">
        <v>88</v>
      </c>
      <c r="D3761" t="s">
        <v>3917</v>
      </c>
      <c r="E3761" t="s">
        <v>1584</v>
      </c>
      <c r="F3761" t="s">
        <v>88</v>
      </c>
      <c r="G3761" t="s">
        <v>88</v>
      </c>
      <c r="H3761" t="s">
        <v>92</v>
      </c>
    </row>
    <row r="3762" spans="1:8" x14ac:dyDescent="0.25">
      <c r="A3762" t="s">
        <v>213</v>
      </c>
      <c r="B3762" t="s">
        <v>3918</v>
      </c>
      <c r="C3762" t="s">
        <v>88</v>
      </c>
      <c r="D3762" t="s">
        <v>3919</v>
      </c>
      <c r="E3762" t="s">
        <v>1584</v>
      </c>
      <c r="F3762" t="s">
        <v>88</v>
      </c>
      <c r="G3762" t="s">
        <v>88</v>
      </c>
      <c r="H3762" t="s">
        <v>92</v>
      </c>
    </row>
    <row r="3763" spans="1:8" x14ac:dyDescent="0.25">
      <c r="A3763" t="s">
        <v>213</v>
      </c>
      <c r="B3763" t="s">
        <v>3920</v>
      </c>
      <c r="C3763" t="s">
        <v>88</v>
      </c>
      <c r="D3763" t="s">
        <v>3921</v>
      </c>
      <c r="E3763" t="s">
        <v>1574</v>
      </c>
      <c r="F3763" t="s">
        <v>88</v>
      </c>
      <c r="G3763" t="s">
        <v>88</v>
      </c>
      <c r="H3763" t="s">
        <v>92</v>
      </c>
    </row>
    <row r="3764" spans="1:8" x14ac:dyDescent="0.25">
      <c r="A3764" t="s">
        <v>213</v>
      </c>
      <c r="B3764" t="s">
        <v>3922</v>
      </c>
      <c r="C3764" t="s">
        <v>88</v>
      </c>
      <c r="D3764" t="s">
        <v>3923</v>
      </c>
      <c r="E3764" t="s">
        <v>1574</v>
      </c>
      <c r="F3764" t="s">
        <v>88</v>
      </c>
      <c r="G3764" t="s">
        <v>88</v>
      </c>
      <c r="H3764" t="s">
        <v>92</v>
      </c>
    </row>
    <row r="3765" spans="1:8" x14ac:dyDescent="0.25">
      <c r="A3765" t="s">
        <v>213</v>
      </c>
      <c r="B3765" t="s">
        <v>3924</v>
      </c>
      <c r="C3765" t="s">
        <v>88</v>
      </c>
      <c r="D3765" t="s">
        <v>3925</v>
      </c>
      <c r="E3765" t="s">
        <v>1574</v>
      </c>
      <c r="F3765" t="s">
        <v>88</v>
      </c>
      <c r="G3765" t="s">
        <v>88</v>
      </c>
      <c r="H3765" t="s">
        <v>92</v>
      </c>
    </row>
    <row r="3766" spans="1:8" x14ac:dyDescent="0.25">
      <c r="A3766" t="s">
        <v>213</v>
      </c>
      <c r="B3766" t="s">
        <v>3926</v>
      </c>
      <c r="C3766" t="s">
        <v>88</v>
      </c>
      <c r="D3766" t="s">
        <v>3927</v>
      </c>
      <c r="E3766" t="s">
        <v>1452</v>
      </c>
      <c r="F3766" t="s">
        <v>88</v>
      </c>
      <c r="G3766" t="s">
        <v>88</v>
      </c>
      <c r="H3766" t="s">
        <v>92</v>
      </c>
    </row>
    <row r="3767" spans="1:8" x14ac:dyDescent="0.25">
      <c r="A3767" t="s">
        <v>213</v>
      </c>
      <c r="B3767" t="s">
        <v>3928</v>
      </c>
      <c r="C3767" t="s">
        <v>88</v>
      </c>
      <c r="D3767" t="s">
        <v>3929</v>
      </c>
      <c r="E3767" t="s">
        <v>1452</v>
      </c>
      <c r="F3767" t="s">
        <v>88</v>
      </c>
      <c r="G3767" t="s">
        <v>88</v>
      </c>
      <c r="H3767" t="s">
        <v>92</v>
      </c>
    </row>
    <row r="3768" spans="1:8" x14ac:dyDescent="0.25">
      <c r="A3768" t="s">
        <v>213</v>
      </c>
      <c r="B3768" t="s">
        <v>3930</v>
      </c>
      <c r="C3768" t="s">
        <v>88</v>
      </c>
      <c r="D3768" t="s">
        <v>3931</v>
      </c>
      <c r="E3768" t="s">
        <v>1452</v>
      </c>
      <c r="F3768" t="s">
        <v>88</v>
      </c>
      <c r="G3768" t="s">
        <v>88</v>
      </c>
      <c r="H3768" t="s">
        <v>92</v>
      </c>
    </row>
    <row r="3769" spans="1:8" x14ac:dyDescent="0.25">
      <c r="A3769" t="s">
        <v>213</v>
      </c>
      <c r="B3769" t="s">
        <v>3932</v>
      </c>
      <c r="C3769" t="s">
        <v>88</v>
      </c>
      <c r="D3769" t="s">
        <v>3933</v>
      </c>
      <c r="E3769" t="s">
        <v>1452</v>
      </c>
      <c r="F3769" t="s">
        <v>88</v>
      </c>
      <c r="G3769" t="s">
        <v>88</v>
      </c>
      <c r="H3769" t="s">
        <v>92</v>
      </c>
    </row>
    <row r="3770" spans="1:8" x14ac:dyDescent="0.25">
      <c r="A3770" t="s">
        <v>213</v>
      </c>
      <c r="B3770" t="s">
        <v>3934</v>
      </c>
      <c r="C3770" t="s">
        <v>88</v>
      </c>
      <c r="D3770" t="s">
        <v>3935</v>
      </c>
      <c r="E3770" t="s">
        <v>1478</v>
      </c>
      <c r="F3770" t="s">
        <v>88</v>
      </c>
      <c r="G3770" t="s">
        <v>88</v>
      </c>
      <c r="H3770" t="s">
        <v>92</v>
      </c>
    </row>
    <row r="3771" spans="1:8" x14ac:dyDescent="0.25">
      <c r="A3771" t="s">
        <v>213</v>
      </c>
      <c r="B3771" t="s">
        <v>3936</v>
      </c>
      <c r="C3771" t="s">
        <v>88</v>
      </c>
      <c r="D3771" t="s">
        <v>3937</v>
      </c>
      <c r="E3771" t="s">
        <v>1509</v>
      </c>
      <c r="F3771" t="s">
        <v>88</v>
      </c>
      <c r="G3771" t="s">
        <v>88</v>
      </c>
      <c r="H3771" t="s">
        <v>92</v>
      </c>
    </row>
    <row r="3772" spans="1:8" x14ac:dyDescent="0.25">
      <c r="A3772" t="s">
        <v>213</v>
      </c>
      <c r="B3772" t="s">
        <v>3938</v>
      </c>
      <c r="C3772" t="s">
        <v>88</v>
      </c>
      <c r="D3772" t="s">
        <v>3939</v>
      </c>
      <c r="E3772" t="s">
        <v>1509</v>
      </c>
      <c r="F3772" t="s">
        <v>88</v>
      </c>
      <c r="G3772" t="s">
        <v>88</v>
      </c>
      <c r="H3772" t="s">
        <v>92</v>
      </c>
    </row>
    <row r="3773" spans="1:8" x14ac:dyDescent="0.25">
      <c r="A3773" t="s">
        <v>213</v>
      </c>
      <c r="B3773" t="s">
        <v>3940</v>
      </c>
      <c r="C3773" t="s">
        <v>88</v>
      </c>
      <c r="D3773" t="s">
        <v>3941</v>
      </c>
      <c r="E3773" t="s">
        <v>1452</v>
      </c>
      <c r="F3773" t="s">
        <v>88</v>
      </c>
      <c r="G3773" t="s">
        <v>88</v>
      </c>
      <c r="H3773" t="s">
        <v>92</v>
      </c>
    </row>
    <row r="3774" spans="1:8" x14ac:dyDescent="0.25">
      <c r="A3774" t="s">
        <v>213</v>
      </c>
      <c r="B3774" t="s">
        <v>3942</v>
      </c>
      <c r="C3774" t="s">
        <v>88</v>
      </c>
      <c r="D3774" t="s">
        <v>88</v>
      </c>
      <c r="E3774" t="s">
        <v>1636</v>
      </c>
      <c r="F3774" t="s">
        <v>88</v>
      </c>
      <c r="G3774" t="s">
        <v>88</v>
      </c>
      <c r="H3774" t="s">
        <v>92</v>
      </c>
    </row>
    <row r="3775" spans="1:8" x14ac:dyDescent="0.25">
      <c r="A3775" t="s">
        <v>213</v>
      </c>
      <c r="B3775" t="s">
        <v>3943</v>
      </c>
      <c r="C3775" t="s">
        <v>88</v>
      </c>
      <c r="D3775" t="s">
        <v>88</v>
      </c>
      <c r="E3775" t="s">
        <v>1636</v>
      </c>
      <c r="F3775" t="s">
        <v>88</v>
      </c>
      <c r="G3775" t="s">
        <v>88</v>
      </c>
      <c r="H3775" t="s">
        <v>92</v>
      </c>
    </row>
    <row r="3776" spans="1:8" x14ac:dyDescent="0.25">
      <c r="A3776" t="s">
        <v>213</v>
      </c>
      <c r="B3776" t="s">
        <v>3944</v>
      </c>
      <c r="C3776" t="s">
        <v>88</v>
      </c>
      <c r="D3776" t="s">
        <v>88</v>
      </c>
      <c r="E3776" t="s">
        <v>3112</v>
      </c>
      <c r="F3776" t="s">
        <v>88</v>
      </c>
      <c r="G3776" t="s">
        <v>88</v>
      </c>
      <c r="H3776" t="s">
        <v>92</v>
      </c>
    </row>
    <row r="3777" spans="1:8" x14ac:dyDescent="0.25">
      <c r="A3777" t="s">
        <v>213</v>
      </c>
      <c r="B3777" t="s">
        <v>3945</v>
      </c>
      <c r="C3777" t="s">
        <v>88</v>
      </c>
      <c r="D3777" t="s">
        <v>88</v>
      </c>
      <c r="E3777" t="s">
        <v>1584</v>
      </c>
      <c r="F3777" t="s">
        <v>88</v>
      </c>
      <c r="G3777" t="s">
        <v>88</v>
      </c>
      <c r="H3777" t="s">
        <v>92</v>
      </c>
    </row>
    <row r="3778" spans="1:8" x14ac:dyDescent="0.25">
      <c r="A3778" t="s">
        <v>213</v>
      </c>
      <c r="B3778" t="s">
        <v>3679</v>
      </c>
      <c r="C3778" t="s">
        <v>88</v>
      </c>
      <c r="D3778" t="s">
        <v>88</v>
      </c>
      <c r="E3778" t="s">
        <v>3112</v>
      </c>
      <c r="F3778" t="s">
        <v>88</v>
      </c>
      <c r="G3778" t="s">
        <v>88</v>
      </c>
      <c r="H3778" t="s">
        <v>92</v>
      </c>
    </row>
    <row r="3779" spans="1:8" x14ac:dyDescent="0.25">
      <c r="A3779" t="s">
        <v>213</v>
      </c>
      <c r="B3779" t="s">
        <v>3946</v>
      </c>
      <c r="C3779" t="s">
        <v>88</v>
      </c>
      <c r="D3779" t="s">
        <v>3947</v>
      </c>
      <c r="E3779" t="s">
        <v>1556</v>
      </c>
      <c r="F3779" t="s">
        <v>88</v>
      </c>
      <c r="G3779" t="s">
        <v>88</v>
      </c>
      <c r="H3779" t="s">
        <v>92</v>
      </c>
    </row>
    <row r="3780" spans="1:8" x14ac:dyDescent="0.25">
      <c r="A3780" t="s">
        <v>213</v>
      </c>
      <c r="B3780" t="s">
        <v>3948</v>
      </c>
      <c r="C3780" t="s">
        <v>88</v>
      </c>
      <c r="D3780" t="s">
        <v>88</v>
      </c>
      <c r="E3780" t="s">
        <v>3115</v>
      </c>
      <c r="F3780" t="s">
        <v>88</v>
      </c>
      <c r="G3780" t="s">
        <v>88</v>
      </c>
      <c r="H3780" t="s">
        <v>92</v>
      </c>
    </row>
    <row r="3781" spans="1:8" x14ac:dyDescent="0.25">
      <c r="A3781" t="s">
        <v>213</v>
      </c>
      <c r="B3781" t="s">
        <v>3949</v>
      </c>
      <c r="C3781" t="s">
        <v>88</v>
      </c>
      <c r="D3781" t="s">
        <v>88</v>
      </c>
      <c r="E3781" t="s">
        <v>3115</v>
      </c>
      <c r="F3781" t="s">
        <v>88</v>
      </c>
      <c r="G3781" t="s">
        <v>88</v>
      </c>
      <c r="H3781" t="s">
        <v>92</v>
      </c>
    </row>
    <row r="3782" spans="1:8" x14ac:dyDescent="0.25">
      <c r="A3782" t="s">
        <v>213</v>
      </c>
      <c r="B3782" t="s">
        <v>3950</v>
      </c>
      <c r="C3782" t="s">
        <v>88</v>
      </c>
      <c r="D3782" t="s">
        <v>88</v>
      </c>
      <c r="E3782" t="s">
        <v>3115</v>
      </c>
      <c r="F3782" t="s">
        <v>88</v>
      </c>
      <c r="G3782" t="s">
        <v>88</v>
      </c>
      <c r="H3782" t="s">
        <v>92</v>
      </c>
    </row>
    <row r="3783" spans="1:8" x14ac:dyDescent="0.25">
      <c r="A3783" t="s">
        <v>213</v>
      </c>
      <c r="B3783" t="s">
        <v>1632</v>
      </c>
      <c r="C3783" t="s">
        <v>88</v>
      </c>
      <c r="D3783" t="s">
        <v>3951</v>
      </c>
      <c r="E3783" t="s">
        <v>3109</v>
      </c>
      <c r="F3783" t="s">
        <v>88</v>
      </c>
      <c r="G3783" t="s">
        <v>88</v>
      </c>
      <c r="H3783" t="s">
        <v>92</v>
      </c>
    </row>
    <row r="3784" spans="1:8" x14ac:dyDescent="0.25">
      <c r="A3784" t="s">
        <v>213</v>
      </c>
      <c r="B3784" t="s">
        <v>3952</v>
      </c>
      <c r="C3784" t="s">
        <v>88</v>
      </c>
      <c r="D3784" t="s">
        <v>3953</v>
      </c>
      <c r="E3784" t="s">
        <v>1584</v>
      </c>
      <c r="F3784" t="s">
        <v>88</v>
      </c>
      <c r="G3784" t="s">
        <v>88</v>
      </c>
      <c r="H3784" t="s">
        <v>92</v>
      </c>
    </row>
    <row r="3785" spans="1:8" x14ac:dyDescent="0.25">
      <c r="A3785" t="s">
        <v>213</v>
      </c>
      <c r="B3785" t="s">
        <v>1072</v>
      </c>
      <c r="C3785" t="s">
        <v>88</v>
      </c>
      <c r="D3785" t="s">
        <v>88</v>
      </c>
      <c r="E3785" t="s">
        <v>1636</v>
      </c>
      <c r="F3785" t="s">
        <v>88</v>
      </c>
      <c r="G3785" t="s">
        <v>88</v>
      </c>
      <c r="H3785" t="s">
        <v>92</v>
      </c>
    </row>
    <row r="3786" spans="1:8" x14ac:dyDescent="0.25">
      <c r="A3786" t="s">
        <v>213</v>
      </c>
      <c r="B3786" t="s">
        <v>701</v>
      </c>
      <c r="C3786" t="s">
        <v>88</v>
      </c>
      <c r="D3786" t="s">
        <v>88</v>
      </c>
      <c r="E3786" t="s">
        <v>1636</v>
      </c>
      <c r="F3786" t="s">
        <v>88</v>
      </c>
      <c r="G3786" t="s">
        <v>88</v>
      </c>
      <c r="H3786" t="s">
        <v>92</v>
      </c>
    </row>
    <row r="3787" spans="1:8" x14ac:dyDescent="0.25">
      <c r="A3787" t="s">
        <v>213</v>
      </c>
      <c r="B3787" t="s">
        <v>703</v>
      </c>
      <c r="C3787" t="s">
        <v>88</v>
      </c>
      <c r="D3787" t="s">
        <v>88</v>
      </c>
      <c r="E3787" t="s">
        <v>1636</v>
      </c>
      <c r="F3787" t="s">
        <v>88</v>
      </c>
      <c r="G3787" t="s">
        <v>88</v>
      </c>
      <c r="H3787" t="s">
        <v>92</v>
      </c>
    </row>
    <row r="3788" spans="1:8" x14ac:dyDescent="0.25">
      <c r="A3788" t="s">
        <v>213</v>
      </c>
      <c r="B3788" t="s">
        <v>705</v>
      </c>
      <c r="C3788" t="s">
        <v>88</v>
      </c>
      <c r="D3788" t="s">
        <v>88</v>
      </c>
      <c r="E3788" t="s">
        <v>1636</v>
      </c>
      <c r="F3788" t="s">
        <v>88</v>
      </c>
      <c r="G3788" t="s">
        <v>88</v>
      </c>
      <c r="H3788" t="s">
        <v>92</v>
      </c>
    </row>
    <row r="3789" spans="1:8" x14ac:dyDescent="0.25">
      <c r="A3789" t="s">
        <v>213</v>
      </c>
      <c r="B3789" t="s">
        <v>706</v>
      </c>
      <c r="C3789" t="s">
        <v>88</v>
      </c>
      <c r="D3789" t="s">
        <v>88</v>
      </c>
      <c r="E3789" t="s">
        <v>1636</v>
      </c>
      <c r="F3789" t="s">
        <v>88</v>
      </c>
      <c r="G3789" t="s">
        <v>88</v>
      </c>
      <c r="H3789" t="s">
        <v>92</v>
      </c>
    </row>
    <row r="3790" spans="1:8" x14ac:dyDescent="0.25">
      <c r="A3790" t="s">
        <v>213</v>
      </c>
      <c r="B3790" t="s">
        <v>997</v>
      </c>
      <c r="C3790" t="s">
        <v>88</v>
      </c>
      <c r="D3790" t="s">
        <v>88</v>
      </c>
      <c r="E3790" t="s">
        <v>1636</v>
      </c>
      <c r="F3790" t="s">
        <v>88</v>
      </c>
      <c r="G3790" t="s">
        <v>88</v>
      </c>
      <c r="H3790" t="s">
        <v>92</v>
      </c>
    </row>
    <row r="3791" spans="1:8" x14ac:dyDescent="0.25">
      <c r="A3791" t="s">
        <v>213</v>
      </c>
      <c r="B3791" t="s">
        <v>2570</v>
      </c>
      <c r="C3791" t="s">
        <v>88</v>
      </c>
      <c r="D3791" t="s">
        <v>88</v>
      </c>
      <c r="E3791" t="s">
        <v>1636</v>
      </c>
      <c r="F3791" t="s">
        <v>88</v>
      </c>
      <c r="G3791" t="s">
        <v>88</v>
      </c>
      <c r="H3791" t="s">
        <v>92</v>
      </c>
    </row>
    <row r="3792" spans="1:8" x14ac:dyDescent="0.25">
      <c r="A3792" t="s">
        <v>213</v>
      </c>
      <c r="B3792" t="s">
        <v>3954</v>
      </c>
      <c r="C3792" t="s">
        <v>88</v>
      </c>
      <c r="D3792" t="s">
        <v>88</v>
      </c>
      <c r="E3792" t="s">
        <v>1636</v>
      </c>
      <c r="F3792" t="s">
        <v>88</v>
      </c>
      <c r="G3792" t="s">
        <v>88</v>
      </c>
      <c r="H3792" t="s">
        <v>92</v>
      </c>
    </row>
    <row r="3793" spans="1:8" x14ac:dyDescent="0.25">
      <c r="A3793" t="s">
        <v>213</v>
      </c>
      <c r="B3793" t="s">
        <v>3955</v>
      </c>
      <c r="C3793" t="s">
        <v>88</v>
      </c>
      <c r="D3793" t="s">
        <v>88</v>
      </c>
      <c r="E3793" t="s">
        <v>1636</v>
      </c>
      <c r="F3793" t="s">
        <v>88</v>
      </c>
      <c r="G3793" t="s">
        <v>88</v>
      </c>
      <c r="H3793" t="s">
        <v>92</v>
      </c>
    </row>
    <row r="3794" spans="1:8" x14ac:dyDescent="0.25">
      <c r="A3794" t="s">
        <v>213</v>
      </c>
      <c r="B3794" t="s">
        <v>1638</v>
      </c>
      <c r="C3794" t="s">
        <v>88</v>
      </c>
      <c r="D3794" t="s">
        <v>88</v>
      </c>
      <c r="E3794" t="s">
        <v>1636</v>
      </c>
      <c r="F3794" t="s">
        <v>88</v>
      </c>
      <c r="G3794" t="s">
        <v>88</v>
      </c>
      <c r="H3794" t="s">
        <v>92</v>
      </c>
    </row>
    <row r="3795" spans="1:8" x14ac:dyDescent="0.25">
      <c r="A3795" t="s">
        <v>213</v>
      </c>
      <c r="B3795" t="s">
        <v>1637</v>
      </c>
      <c r="C3795" t="s">
        <v>88</v>
      </c>
      <c r="D3795" t="s">
        <v>88</v>
      </c>
      <c r="E3795" t="s">
        <v>1636</v>
      </c>
      <c r="F3795" t="s">
        <v>88</v>
      </c>
      <c r="G3795" t="s">
        <v>88</v>
      </c>
      <c r="H3795" t="s">
        <v>92</v>
      </c>
    </row>
    <row r="3796" spans="1:8" x14ac:dyDescent="0.25">
      <c r="A3796" t="s">
        <v>213</v>
      </c>
      <c r="B3796" t="s">
        <v>3956</v>
      </c>
      <c r="C3796" t="s">
        <v>88</v>
      </c>
      <c r="D3796" t="s">
        <v>88</v>
      </c>
      <c r="E3796" t="s">
        <v>3115</v>
      </c>
      <c r="F3796" t="s">
        <v>88</v>
      </c>
      <c r="G3796" t="s">
        <v>88</v>
      </c>
      <c r="H3796" t="s">
        <v>92</v>
      </c>
    </row>
    <row r="3797" spans="1:8" x14ac:dyDescent="0.25">
      <c r="A3797" t="s">
        <v>213</v>
      </c>
      <c r="B3797" t="s">
        <v>3957</v>
      </c>
      <c r="C3797" t="s">
        <v>88</v>
      </c>
      <c r="D3797" t="s">
        <v>88</v>
      </c>
      <c r="E3797" t="s">
        <v>1640</v>
      </c>
      <c r="F3797" t="s">
        <v>88</v>
      </c>
      <c r="G3797" t="s">
        <v>88</v>
      </c>
      <c r="H3797" t="s">
        <v>92</v>
      </c>
    </row>
    <row r="3798" spans="1:8" x14ac:dyDescent="0.25">
      <c r="A3798" t="s">
        <v>213</v>
      </c>
      <c r="B3798" t="s">
        <v>3958</v>
      </c>
      <c r="C3798" t="s">
        <v>88</v>
      </c>
      <c r="D3798" t="s">
        <v>88</v>
      </c>
      <c r="E3798" t="s">
        <v>1652</v>
      </c>
      <c r="F3798" t="s">
        <v>88</v>
      </c>
      <c r="G3798" t="s">
        <v>88</v>
      </c>
      <c r="H3798" t="s">
        <v>92</v>
      </c>
    </row>
    <row r="3799" spans="1:8" x14ac:dyDescent="0.25">
      <c r="A3799" t="s">
        <v>213</v>
      </c>
      <c r="B3799" t="s">
        <v>714</v>
      </c>
      <c r="C3799" t="s">
        <v>88</v>
      </c>
      <c r="D3799" t="s">
        <v>88</v>
      </c>
      <c r="E3799" t="s">
        <v>3117</v>
      </c>
      <c r="F3799" t="s">
        <v>88</v>
      </c>
      <c r="G3799" t="s">
        <v>88</v>
      </c>
      <c r="H3799" t="s">
        <v>92</v>
      </c>
    </row>
    <row r="3800" spans="1:8" x14ac:dyDescent="0.25">
      <c r="A3800" t="s">
        <v>213</v>
      </c>
      <c r="B3800" t="s">
        <v>1074</v>
      </c>
      <c r="C3800" t="s">
        <v>88</v>
      </c>
      <c r="D3800" t="s">
        <v>88</v>
      </c>
      <c r="E3800" t="s">
        <v>3117</v>
      </c>
      <c r="F3800" t="s">
        <v>88</v>
      </c>
      <c r="G3800" t="s">
        <v>88</v>
      </c>
      <c r="H3800" t="s">
        <v>92</v>
      </c>
    </row>
    <row r="3801" spans="1:8" x14ac:dyDescent="0.25">
      <c r="A3801" t="s">
        <v>213</v>
      </c>
      <c r="B3801" t="s">
        <v>1075</v>
      </c>
      <c r="C3801" t="s">
        <v>88</v>
      </c>
      <c r="D3801" t="s">
        <v>88</v>
      </c>
      <c r="E3801" t="s">
        <v>3117</v>
      </c>
      <c r="F3801" t="s">
        <v>88</v>
      </c>
      <c r="G3801" t="s">
        <v>88</v>
      </c>
      <c r="H3801" t="s">
        <v>92</v>
      </c>
    </row>
    <row r="3802" spans="1:8" x14ac:dyDescent="0.25">
      <c r="A3802" t="s">
        <v>213</v>
      </c>
      <c r="B3802" t="s">
        <v>998</v>
      </c>
      <c r="C3802" t="s">
        <v>88</v>
      </c>
      <c r="D3802" t="s">
        <v>88</v>
      </c>
      <c r="E3802" t="s">
        <v>3117</v>
      </c>
      <c r="F3802" t="s">
        <v>88</v>
      </c>
      <c r="G3802" t="s">
        <v>88</v>
      </c>
      <c r="H3802" t="s">
        <v>92</v>
      </c>
    </row>
    <row r="3803" spans="1:8" x14ac:dyDescent="0.25">
      <c r="A3803" t="s">
        <v>213</v>
      </c>
      <c r="B3803" t="s">
        <v>1073</v>
      </c>
      <c r="C3803" t="s">
        <v>88</v>
      </c>
      <c r="D3803" t="s">
        <v>88</v>
      </c>
      <c r="E3803" t="s">
        <v>3117</v>
      </c>
      <c r="F3803" t="s">
        <v>88</v>
      </c>
      <c r="G3803" t="s">
        <v>88</v>
      </c>
      <c r="H3803" t="s">
        <v>92</v>
      </c>
    </row>
    <row r="3804" spans="1:8" x14ac:dyDescent="0.25">
      <c r="A3804" t="s">
        <v>213</v>
      </c>
      <c r="B3804" t="s">
        <v>1655</v>
      </c>
      <c r="C3804" t="s">
        <v>88</v>
      </c>
      <c r="D3804" t="s">
        <v>88</v>
      </c>
      <c r="E3804" t="s">
        <v>3117</v>
      </c>
      <c r="F3804" t="s">
        <v>88</v>
      </c>
      <c r="G3804" t="s">
        <v>88</v>
      </c>
      <c r="H3804" t="s">
        <v>92</v>
      </c>
    </row>
    <row r="3805" spans="1:8" x14ac:dyDescent="0.25">
      <c r="A3805" t="s">
        <v>213</v>
      </c>
      <c r="B3805" t="s">
        <v>1654</v>
      </c>
      <c r="C3805" t="s">
        <v>88</v>
      </c>
      <c r="D3805" t="s">
        <v>88</v>
      </c>
      <c r="E3805" t="s">
        <v>3117</v>
      </c>
      <c r="F3805" t="s">
        <v>88</v>
      </c>
      <c r="G3805" t="s">
        <v>88</v>
      </c>
      <c r="H3805" t="s">
        <v>92</v>
      </c>
    </row>
    <row r="3806" spans="1:8" x14ac:dyDescent="0.25">
      <c r="A3806" t="s">
        <v>213</v>
      </c>
      <c r="B3806" t="s">
        <v>1033</v>
      </c>
      <c r="C3806" t="s">
        <v>88</v>
      </c>
      <c r="D3806" t="s">
        <v>88</v>
      </c>
      <c r="E3806" t="s">
        <v>3117</v>
      </c>
      <c r="F3806" t="s">
        <v>88</v>
      </c>
      <c r="G3806" t="s">
        <v>88</v>
      </c>
      <c r="H3806" t="s">
        <v>92</v>
      </c>
    </row>
    <row r="3807" spans="1:8" x14ac:dyDescent="0.25">
      <c r="A3807" t="s">
        <v>213</v>
      </c>
      <c r="B3807" t="s">
        <v>3959</v>
      </c>
      <c r="C3807" t="s">
        <v>88</v>
      </c>
      <c r="D3807" t="s">
        <v>88</v>
      </c>
      <c r="E3807" t="s">
        <v>848</v>
      </c>
      <c r="F3807" t="s">
        <v>88</v>
      </c>
      <c r="G3807" t="s">
        <v>88</v>
      </c>
      <c r="H3807" t="s">
        <v>92</v>
      </c>
    </row>
    <row r="3808" spans="1:8" x14ac:dyDescent="0.25">
      <c r="A3808" t="s">
        <v>213</v>
      </c>
      <c r="B3808" t="s">
        <v>3960</v>
      </c>
      <c r="C3808" t="s">
        <v>88</v>
      </c>
      <c r="D3808" t="s">
        <v>88</v>
      </c>
      <c r="E3808" t="s">
        <v>848</v>
      </c>
      <c r="F3808" t="s">
        <v>88</v>
      </c>
      <c r="G3808" t="s">
        <v>88</v>
      </c>
      <c r="H3808" t="s">
        <v>92</v>
      </c>
    </row>
    <row r="3809" spans="1:8" x14ac:dyDescent="0.25">
      <c r="A3809" t="s">
        <v>213</v>
      </c>
      <c r="B3809" t="s">
        <v>2573</v>
      </c>
      <c r="C3809" t="s">
        <v>88</v>
      </c>
      <c r="D3809" t="s">
        <v>88</v>
      </c>
      <c r="E3809" t="s">
        <v>848</v>
      </c>
      <c r="F3809" t="s">
        <v>88</v>
      </c>
      <c r="G3809" t="s">
        <v>88</v>
      </c>
      <c r="H3809" t="s">
        <v>92</v>
      </c>
    </row>
    <row r="3810" spans="1:8" x14ac:dyDescent="0.25">
      <c r="A3810" t="s">
        <v>213</v>
      </c>
      <c r="B3810" t="s">
        <v>1609</v>
      </c>
      <c r="C3810" t="s">
        <v>88</v>
      </c>
      <c r="D3810" t="s">
        <v>88</v>
      </c>
      <c r="E3810" t="s">
        <v>850</v>
      </c>
      <c r="F3810" t="s">
        <v>88</v>
      </c>
      <c r="G3810" t="s">
        <v>88</v>
      </c>
      <c r="H3810" t="s">
        <v>92</v>
      </c>
    </row>
    <row r="3811" spans="1:8" x14ac:dyDescent="0.25">
      <c r="A3811" t="s">
        <v>213</v>
      </c>
      <c r="B3811" t="s">
        <v>1611</v>
      </c>
      <c r="C3811" t="s">
        <v>88</v>
      </c>
      <c r="D3811" t="s">
        <v>88</v>
      </c>
      <c r="E3811" t="s">
        <v>850</v>
      </c>
      <c r="F3811" t="s">
        <v>88</v>
      </c>
      <c r="G3811" t="s">
        <v>88</v>
      </c>
      <c r="H3811" t="s">
        <v>92</v>
      </c>
    </row>
    <row r="3812" spans="1:8" x14ac:dyDescent="0.25">
      <c r="A3812" t="s">
        <v>213</v>
      </c>
      <c r="B3812" t="s">
        <v>625</v>
      </c>
      <c r="C3812" t="s">
        <v>88</v>
      </c>
      <c r="D3812" t="s">
        <v>88</v>
      </c>
      <c r="E3812" t="s">
        <v>626</v>
      </c>
      <c r="F3812" t="s">
        <v>88</v>
      </c>
      <c r="G3812" t="s">
        <v>88</v>
      </c>
      <c r="H3812" t="s">
        <v>92</v>
      </c>
    </row>
    <row r="3813" spans="1:8" x14ac:dyDescent="0.25">
      <c r="A3813" t="s">
        <v>215</v>
      </c>
      <c r="B3813" t="s">
        <v>3684</v>
      </c>
      <c r="C3813" t="s">
        <v>88</v>
      </c>
      <c r="D3813" t="s">
        <v>3685</v>
      </c>
      <c r="E3813" t="s">
        <v>1484</v>
      </c>
      <c r="F3813" t="s">
        <v>88</v>
      </c>
      <c r="G3813" t="s">
        <v>88</v>
      </c>
      <c r="H3813" t="s">
        <v>92</v>
      </c>
    </row>
    <row r="3814" spans="1:8" x14ac:dyDescent="0.25">
      <c r="A3814" t="s">
        <v>215</v>
      </c>
      <c r="B3814" t="s">
        <v>3686</v>
      </c>
      <c r="C3814" t="s">
        <v>88</v>
      </c>
      <c r="D3814" t="s">
        <v>3687</v>
      </c>
      <c r="E3814" t="s">
        <v>1459</v>
      </c>
      <c r="F3814" t="s">
        <v>88</v>
      </c>
      <c r="G3814" t="s">
        <v>88</v>
      </c>
      <c r="H3814" t="s">
        <v>92</v>
      </c>
    </row>
    <row r="3815" spans="1:8" x14ac:dyDescent="0.25">
      <c r="A3815" t="s">
        <v>215</v>
      </c>
      <c r="B3815" t="s">
        <v>3688</v>
      </c>
      <c r="C3815" t="s">
        <v>88</v>
      </c>
      <c r="D3815" t="s">
        <v>3689</v>
      </c>
      <c r="E3815" t="s">
        <v>3690</v>
      </c>
      <c r="F3815" t="s">
        <v>88</v>
      </c>
      <c r="G3815" t="s">
        <v>88</v>
      </c>
      <c r="H3815" t="s">
        <v>92</v>
      </c>
    </row>
    <row r="3816" spans="1:8" x14ac:dyDescent="0.25">
      <c r="A3816" t="s">
        <v>215</v>
      </c>
      <c r="B3816" t="s">
        <v>3691</v>
      </c>
      <c r="C3816" t="s">
        <v>88</v>
      </c>
      <c r="D3816" t="s">
        <v>3692</v>
      </c>
      <c r="E3816" t="s">
        <v>1430</v>
      </c>
      <c r="F3816" t="s">
        <v>88</v>
      </c>
      <c r="G3816" t="s">
        <v>88</v>
      </c>
      <c r="H3816" t="s">
        <v>92</v>
      </c>
    </row>
    <row r="3817" spans="1:8" x14ac:dyDescent="0.25">
      <c r="A3817" t="s">
        <v>215</v>
      </c>
      <c r="B3817" t="s">
        <v>3693</v>
      </c>
      <c r="C3817" t="s">
        <v>88</v>
      </c>
      <c r="D3817" t="s">
        <v>3694</v>
      </c>
      <c r="E3817" t="s">
        <v>1475</v>
      </c>
      <c r="F3817" t="s">
        <v>88</v>
      </c>
      <c r="G3817" t="s">
        <v>88</v>
      </c>
      <c r="H3817" t="s">
        <v>92</v>
      </c>
    </row>
    <row r="3818" spans="1:8" x14ac:dyDescent="0.25">
      <c r="A3818" t="s">
        <v>215</v>
      </c>
      <c r="B3818" t="s">
        <v>3695</v>
      </c>
      <c r="C3818" t="s">
        <v>88</v>
      </c>
      <c r="D3818" t="s">
        <v>3696</v>
      </c>
      <c r="E3818" t="s">
        <v>1459</v>
      </c>
      <c r="F3818" t="s">
        <v>88</v>
      </c>
      <c r="G3818" t="s">
        <v>88</v>
      </c>
      <c r="H3818" t="s">
        <v>92</v>
      </c>
    </row>
    <row r="3819" spans="1:8" x14ac:dyDescent="0.25">
      <c r="A3819" t="s">
        <v>215</v>
      </c>
      <c r="B3819" t="s">
        <v>3697</v>
      </c>
      <c r="C3819" t="s">
        <v>88</v>
      </c>
      <c r="D3819" t="s">
        <v>3698</v>
      </c>
      <c r="E3819" t="s">
        <v>3690</v>
      </c>
      <c r="F3819" t="s">
        <v>88</v>
      </c>
      <c r="G3819" t="s">
        <v>88</v>
      </c>
      <c r="H3819" t="s">
        <v>92</v>
      </c>
    </row>
    <row r="3820" spans="1:8" x14ac:dyDescent="0.25">
      <c r="A3820" t="s">
        <v>215</v>
      </c>
      <c r="B3820" t="s">
        <v>3699</v>
      </c>
      <c r="C3820" t="s">
        <v>88</v>
      </c>
      <c r="D3820" t="s">
        <v>3700</v>
      </c>
      <c r="E3820" t="s">
        <v>1446</v>
      </c>
      <c r="F3820" t="s">
        <v>88</v>
      </c>
      <c r="G3820" t="s">
        <v>88</v>
      </c>
      <c r="H3820" t="s">
        <v>92</v>
      </c>
    </row>
    <row r="3821" spans="1:8" x14ac:dyDescent="0.25">
      <c r="A3821" t="s">
        <v>215</v>
      </c>
      <c r="B3821" t="s">
        <v>3701</v>
      </c>
      <c r="C3821" t="s">
        <v>88</v>
      </c>
      <c r="D3821" t="s">
        <v>3702</v>
      </c>
      <c r="E3821" t="s">
        <v>1430</v>
      </c>
      <c r="F3821" t="s">
        <v>88</v>
      </c>
      <c r="G3821" t="s">
        <v>88</v>
      </c>
      <c r="H3821" t="s">
        <v>92</v>
      </c>
    </row>
    <row r="3822" spans="1:8" x14ac:dyDescent="0.25">
      <c r="A3822" t="s">
        <v>215</v>
      </c>
      <c r="B3822" t="s">
        <v>3703</v>
      </c>
      <c r="C3822" t="s">
        <v>88</v>
      </c>
      <c r="D3822" t="s">
        <v>3702</v>
      </c>
      <c r="E3822" t="s">
        <v>3704</v>
      </c>
      <c r="F3822" t="s">
        <v>88</v>
      </c>
      <c r="G3822" t="s">
        <v>88</v>
      </c>
      <c r="H3822" t="s">
        <v>92</v>
      </c>
    </row>
    <row r="3823" spans="1:8" x14ac:dyDescent="0.25">
      <c r="A3823" t="s">
        <v>215</v>
      </c>
      <c r="B3823" t="s">
        <v>3705</v>
      </c>
      <c r="C3823" t="s">
        <v>88</v>
      </c>
      <c r="D3823" t="s">
        <v>3702</v>
      </c>
      <c r="E3823" t="s">
        <v>1430</v>
      </c>
      <c r="F3823" t="s">
        <v>88</v>
      </c>
      <c r="G3823" t="s">
        <v>88</v>
      </c>
      <c r="H3823" t="s">
        <v>92</v>
      </c>
    </row>
    <row r="3824" spans="1:8" x14ac:dyDescent="0.25">
      <c r="A3824" t="s">
        <v>215</v>
      </c>
      <c r="B3824" t="s">
        <v>3706</v>
      </c>
      <c r="C3824" t="s">
        <v>88</v>
      </c>
      <c r="D3824" t="s">
        <v>3707</v>
      </c>
      <c r="E3824" t="s">
        <v>3708</v>
      </c>
      <c r="F3824" t="s">
        <v>88</v>
      </c>
      <c r="G3824" t="s">
        <v>88</v>
      </c>
      <c r="H3824" t="s">
        <v>92</v>
      </c>
    </row>
    <row r="3825" spans="1:8" x14ac:dyDescent="0.25">
      <c r="A3825" t="s">
        <v>215</v>
      </c>
      <c r="B3825" t="s">
        <v>3709</v>
      </c>
      <c r="C3825" t="s">
        <v>88</v>
      </c>
      <c r="D3825" t="s">
        <v>3710</v>
      </c>
      <c r="E3825" t="s">
        <v>3690</v>
      </c>
      <c r="F3825" t="s">
        <v>88</v>
      </c>
      <c r="G3825" t="s">
        <v>88</v>
      </c>
      <c r="H3825" t="s">
        <v>92</v>
      </c>
    </row>
    <row r="3826" spans="1:8" x14ac:dyDescent="0.25">
      <c r="A3826" t="s">
        <v>215</v>
      </c>
      <c r="B3826" t="s">
        <v>3711</v>
      </c>
      <c r="C3826" t="s">
        <v>88</v>
      </c>
      <c r="D3826" t="s">
        <v>3712</v>
      </c>
      <c r="E3826" t="s">
        <v>2913</v>
      </c>
      <c r="F3826" t="s">
        <v>88</v>
      </c>
      <c r="G3826" t="s">
        <v>88</v>
      </c>
      <c r="H3826" t="s">
        <v>92</v>
      </c>
    </row>
    <row r="3827" spans="1:8" x14ac:dyDescent="0.25">
      <c r="A3827" t="s">
        <v>215</v>
      </c>
      <c r="B3827" t="s">
        <v>3713</v>
      </c>
      <c r="C3827" t="s">
        <v>88</v>
      </c>
      <c r="D3827" t="s">
        <v>3714</v>
      </c>
      <c r="E3827" t="s">
        <v>1459</v>
      </c>
      <c r="F3827" t="s">
        <v>88</v>
      </c>
      <c r="G3827" t="s">
        <v>88</v>
      </c>
      <c r="H3827" t="s">
        <v>92</v>
      </c>
    </row>
    <row r="3828" spans="1:8" x14ac:dyDescent="0.25">
      <c r="A3828" t="s">
        <v>215</v>
      </c>
      <c r="B3828" t="s">
        <v>3715</v>
      </c>
      <c r="C3828" t="s">
        <v>88</v>
      </c>
      <c r="D3828" t="s">
        <v>88</v>
      </c>
      <c r="E3828" t="s">
        <v>1484</v>
      </c>
      <c r="F3828" t="s">
        <v>88</v>
      </c>
      <c r="G3828" t="s">
        <v>88</v>
      </c>
      <c r="H3828" t="s">
        <v>92</v>
      </c>
    </row>
    <row r="3829" spans="1:8" x14ac:dyDescent="0.25">
      <c r="A3829" t="s">
        <v>215</v>
      </c>
      <c r="B3829" t="s">
        <v>3716</v>
      </c>
      <c r="C3829" t="s">
        <v>88</v>
      </c>
      <c r="D3829" t="s">
        <v>3702</v>
      </c>
      <c r="E3829" t="s">
        <v>2925</v>
      </c>
      <c r="F3829" t="s">
        <v>88</v>
      </c>
      <c r="G3829" t="s">
        <v>88</v>
      </c>
      <c r="H3829" t="s">
        <v>92</v>
      </c>
    </row>
    <row r="3830" spans="1:8" x14ac:dyDescent="0.25">
      <c r="A3830" t="s">
        <v>215</v>
      </c>
      <c r="B3830" t="s">
        <v>3717</v>
      </c>
      <c r="C3830" t="s">
        <v>88</v>
      </c>
      <c r="D3830" t="s">
        <v>88</v>
      </c>
      <c r="E3830" t="s">
        <v>2895</v>
      </c>
      <c r="F3830" t="s">
        <v>88</v>
      </c>
      <c r="G3830" t="s">
        <v>88</v>
      </c>
      <c r="H3830" t="s">
        <v>92</v>
      </c>
    </row>
    <row r="3831" spans="1:8" x14ac:dyDescent="0.25">
      <c r="A3831" t="s">
        <v>215</v>
      </c>
      <c r="B3831" t="s">
        <v>3718</v>
      </c>
      <c r="C3831" t="s">
        <v>88</v>
      </c>
      <c r="D3831" t="s">
        <v>88</v>
      </c>
      <c r="E3831" t="s">
        <v>3719</v>
      </c>
      <c r="F3831" t="s">
        <v>88</v>
      </c>
      <c r="G3831" t="s">
        <v>88</v>
      </c>
      <c r="H3831" t="s">
        <v>92</v>
      </c>
    </row>
    <row r="3832" spans="1:8" x14ac:dyDescent="0.25">
      <c r="A3832" t="s">
        <v>215</v>
      </c>
      <c r="B3832" t="s">
        <v>3720</v>
      </c>
      <c r="C3832" t="s">
        <v>88</v>
      </c>
      <c r="D3832" t="s">
        <v>88</v>
      </c>
      <c r="E3832" t="s">
        <v>3690</v>
      </c>
      <c r="F3832" t="s">
        <v>88</v>
      </c>
      <c r="G3832" t="s">
        <v>88</v>
      </c>
      <c r="H3832" t="s">
        <v>92</v>
      </c>
    </row>
    <row r="3833" spans="1:8" x14ac:dyDescent="0.25">
      <c r="A3833" t="s">
        <v>215</v>
      </c>
      <c r="B3833" t="s">
        <v>3721</v>
      </c>
      <c r="C3833" t="s">
        <v>88</v>
      </c>
      <c r="D3833" t="s">
        <v>88</v>
      </c>
      <c r="E3833" t="s">
        <v>3722</v>
      </c>
      <c r="F3833" t="s">
        <v>88</v>
      </c>
      <c r="G3833" t="s">
        <v>88</v>
      </c>
      <c r="H3833" t="s">
        <v>92</v>
      </c>
    </row>
    <row r="3834" spans="1:8" x14ac:dyDescent="0.25">
      <c r="A3834" t="s">
        <v>215</v>
      </c>
      <c r="B3834" t="s">
        <v>3723</v>
      </c>
      <c r="C3834" t="s">
        <v>88</v>
      </c>
      <c r="D3834" t="s">
        <v>3702</v>
      </c>
      <c r="E3834" t="s">
        <v>3724</v>
      </c>
      <c r="F3834" t="s">
        <v>88</v>
      </c>
      <c r="G3834" t="s">
        <v>88</v>
      </c>
      <c r="H3834" t="s">
        <v>92</v>
      </c>
    </row>
    <row r="3835" spans="1:8" x14ac:dyDescent="0.25">
      <c r="A3835" t="s">
        <v>215</v>
      </c>
      <c r="B3835" t="s">
        <v>3725</v>
      </c>
      <c r="C3835" t="s">
        <v>88</v>
      </c>
      <c r="D3835" t="s">
        <v>88</v>
      </c>
      <c r="E3835" t="s">
        <v>1574</v>
      </c>
      <c r="F3835" t="s">
        <v>88</v>
      </c>
      <c r="G3835" t="s">
        <v>88</v>
      </c>
      <c r="H3835" t="s">
        <v>92</v>
      </c>
    </row>
    <row r="3836" spans="1:8" x14ac:dyDescent="0.25">
      <c r="A3836" t="s">
        <v>215</v>
      </c>
      <c r="B3836" t="s">
        <v>3726</v>
      </c>
      <c r="C3836" t="s">
        <v>88</v>
      </c>
      <c r="D3836" t="s">
        <v>3727</v>
      </c>
      <c r="E3836" t="s">
        <v>1574</v>
      </c>
      <c r="F3836" t="s">
        <v>88</v>
      </c>
      <c r="G3836" t="s">
        <v>88</v>
      </c>
      <c r="H3836" t="s">
        <v>92</v>
      </c>
    </row>
    <row r="3837" spans="1:8" x14ac:dyDescent="0.25">
      <c r="A3837" t="s">
        <v>215</v>
      </c>
      <c r="B3837" t="s">
        <v>3728</v>
      </c>
      <c r="C3837" t="s">
        <v>88</v>
      </c>
      <c r="D3837" t="s">
        <v>88</v>
      </c>
      <c r="E3837" t="s">
        <v>1052</v>
      </c>
      <c r="F3837" t="s">
        <v>88</v>
      </c>
      <c r="G3837" t="s">
        <v>88</v>
      </c>
      <c r="H3837" t="s">
        <v>92</v>
      </c>
    </row>
    <row r="3838" spans="1:8" x14ac:dyDescent="0.25">
      <c r="A3838" t="s">
        <v>215</v>
      </c>
      <c r="B3838" t="s">
        <v>3729</v>
      </c>
      <c r="C3838" t="s">
        <v>88</v>
      </c>
      <c r="D3838" t="s">
        <v>3730</v>
      </c>
      <c r="E3838" t="s">
        <v>3109</v>
      </c>
      <c r="F3838" t="s">
        <v>88</v>
      </c>
      <c r="G3838" t="s">
        <v>88</v>
      </c>
      <c r="H3838" t="s">
        <v>92</v>
      </c>
    </row>
    <row r="3839" spans="1:8" x14ac:dyDescent="0.25">
      <c r="A3839" t="s">
        <v>215</v>
      </c>
      <c r="B3839" t="s">
        <v>3731</v>
      </c>
      <c r="C3839" t="s">
        <v>88</v>
      </c>
      <c r="D3839" t="s">
        <v>3732</v>
      </c>
      <c r="E3839" t="s">
        <v>1523</v>
      </c>
      <c r="F3839" t="s">
        <v>88</v>
      </c>
      <c r="G3839" t="s">
        <v>88</v>
      </c>
      <c r="H3839" t="s">
        <v>92</v>
      </c>
    </row>
    <row r="3840" spans="1:8" x14ac:dyDescent="0.25">
      <c r="A3840" t="s">
        <v>215</v>
      </c>
      <c r="B3840" t="s">
        <v>3733</v>
      </c>
      <c r="C3840" t="s">
        <v>88</v>
      </c>
      <c r="D3840" t="s">
        <v>3734</v>
      </c>
      <c r="E3840" t="s">
        <v>1526</v>
      </c>
      <c r="F3840" t="s">
        <v>88</v>
      </c>
      <c r="G3840" t="s">
        <v>88</v>
      </c>
      <c r="H3840" t="s">
        <v>92</v>
      </c>
    </row>
    <row r="3841" spans="1:8" x14ac:dyDescent="0.25">
      <c r="A3841" t="s">
        <v>215</v>
      </c>
      <c r="B3841" t="s">
        <v>3735</v>
      </c>
      <c r="C3841" t="s">
        <v>88</v>
      </c>
      <c r="D3841" t="s">
        <v>3734</v>
      </c>
      <c r="E3841" t="s">
        <v>1414</v>
      </c>
      <c r="F3841" t="s">
        <v>88</v>
      </c>
      <c r="G3841" t="s">
        <v>88</v>
      </c>
      <c r="H3841" t="s">
        <v>92</v>
      </c>
    </row>
    <row r="3842" spans="1:8" x14ac:dyDescent="0.25">
      <c r="A3842" t="s">
        <v>215</v>
      </c>
      <c r="B3842" t="s">
        <v>3736</v>
      </c>
      <c r="C3842" t="s">
        <v>88</v>
      </c>
      <c r="D3842" t="s">
        <v>3734</v>
      </c>
      <c r="E3842" t="s">
        <v>1462</v>
      </c>
      <c r="F3842" t="s">
        <v>88</v>
      </c>
      <c r="G3842" t="s">
        <v>88</v>
      </c>
      <c r="H3842" t="s">
        <v>92</v>
      </c>
    </row>
    <row r="3843" spans="1:8" x14ac:dyDescent="0.25">
      <c r="A3843" t="s">
        <v>215</v>
      </c>
      <c r="B3843" t="s">
        <v>3737</v>
      </c>
      <c r="C3843" t="s">
        <v>88</v>
      </c>
      <c r="D3843" t="s">
        <v>3734</v>
      </c>
      <c r="E3843" t="s">
        <v>1427</v>
      </c>
      <c r="F3843" t="s">
        <v>88</v>
      </c>
      <c r="G3843" t="s">
        <v>88</v>
      </c>
      <c r="H3843" t="s">
        <v>92</v>
      </c>
    </row>
    <row r="3844" spans="1:8" x14ac:dyDescent="0.25">
      <c r="A3844" t="s">
        <v>215</v>
      </c>
      <c r="B3844" t="s">
        <v>3738</v>
      </c>
      <c r="C3844" t="s">
        <v>88</v>
      </c>
      <c r="D3844" t="s">
        <v>3734</v>
      </c>
      <c r="E3844" t="s">
        <v>2969</v>
      </c>
      <c r="F3844" t="s">
        <v>88</v>
      </c>
      <c r="G3844" t="s">
        <v>88</v>
      </c>
      <c r="H3844" t="s">
        <v>92</v>
      </c>
    </row>
    <row r="3845" spans="1:8" x14ac:dyDescent="0.25">
      <c r="A3845" t="s">
        <v>215</v>
      </c>
      <c r="B3845" t="s">
        <v>3739</v>
      </c>
      <c r="C3845" t="s">
        <v>88</v>
      </c>
      <c r="D3845" t="s">
        <v>3734</v>
      </c>
      <c r="E3845" t="s">
        <v>3740</v>
      </c>
      <c r="F3845" t="s">
        <v>88</v>
      </c>
      <c r="G3845" t="s">
        <v>88</v>
      </c>
      <c r="H3845" t="s">
        <v>92</v>
      </c>
    </row>
    <row r="3846" spans="1:8" x14ac:dyDescent="0.25">
      <c r="A3846" t="s">
        <v>215</v>
      </c>
      <c r="B3846" t="s">
        <v>3741</v>
      </c>
      <c r="C3846" t="s">
        <v>88</v>
      </c>
      <c r="D3846" t="s">
        <v>3742</v>
      </c>
      <c r="E3846" t="s">
        <v>1495</v>
      </c>
      <c r="F3846" t="s">
        <v>88</v>
      </c>
      <c r="G3846" t="s">
        <v>88</v>
      </c>
      <c r="H3846" t="s">
        <v>92</v>
      </c>
    </row>
    <row r="3847" spans="1:8" x14ac:dyDescent="0.25">
      <c r="A3847" t="s">
        <v>215</v>
      </c>
      <c r="B3847" t="s">
        <v>3743</v>
      </c>
      <c r="C3847" t="s">
        <v>88</v>
      </c>
      <c r="D3847" t="s">
        <v>3702</v>
      </c>
      <c r="E3847" t="s">
        <v>1490</v>
      </c>
      <c r="F3847" t="s">
        <v>88</v>
      </c>
      <c r="G3847" t="s">
        <v>88</v>
      </c>
      <c r="H3847" t="s">
        <v>92</v>
      </c>
    </row>
    <row r="3848" spans="1:8" x14ac:dyDescent="0.25">
      <c r="A3848" t="s">
        <v>215</v>
      </c>
      <c r="B3848" t="s">
        <v>3744</v>
      </c>
      <c r="C3848" t="s">
        <v>88</v>
      </c>
      <c r="D3848" t="s">
        <v>3745</v>
      </c>
      <c r="E3848" t="s">
        <v>1052</v>
      </c>
      <c r="F3848" t="s">
        <v>88</v>
      </c>
      <c r="G3848" t="s">
        <v>88</v>
      </c>
      <c r="H3848" t="s">
        <v>92</v>
      </c>
    </row>
    <row r="3849" spans="1:8" x14ac:dyDescent="0.25">
      <c r="A3849" t="s">
        <v>215</v>
      </c>
      <c r="B3849" t="s">
        <v>3746</v>
      </c>
      <c r="C3849" t="s">
        <v>88</v>
      </c>
      <c r="D3849" t="s">
        <v>3747</v>
      </c>
      <c r="E3849" t="s">
        <v>1509</v>
      </c>
      <c r="F3849" t="s">
        <v>88</v>
      </c>
      <c r="G3849" t="s">
        <v>88</v>
      </c>
      <c r="H3849" t="s">
        <v>92</v>
      </c>
    </row>
    <row r="3850" spans="1:8" x14ac:dyDescent="0.25">
      <c r="A3850" t="s">
        <v>215</v>
      </c>
      <c r="B3850" t="s">
        <v>3748</v>
      </c>
      <c r="C3850" t="s">
        <v>88</v>
      </c>
      <c r="D3850" t="s">
        <v>3742</v>
      </c>
      <c r="E3850" t="s">
        <v>1417</v>
      </c>
      <c r="F3850" t="s">
        <v>88</v>
      </c>
      <c r="G3850" t="s">
        <v>88</v>
      </c>
      <c r="H3850" t="s">
        <v>92</v>
      </c>
    </row>
    <row r="3851" spans="1:8" x14ac:dyDescent="0.25">
      <c r="A3851" t="s">
        <v>215</v>
      </c>
      <c r="B3851" t="s">
        <v>3749</v>
      </c>
      <c r="C3851" t="s">
        <v>88</v>
      </c>
      <c r="D3851" t="s">
        <v>3750</v>
      </c>
      <c r="E3851" t="s">
        <v>1406</v>
      </c>
      <c r="F3851" t="s">
        <v>88</v>
      </c>
      <c r="G3851" t="s">
        <v>88</v>
      </c>
      <c r="H3851" t="s">
        <v>92</v>
      </c>
    </row>
    <row r="3852" spans="1:8" x14ac:dyDescent="0.25">
      <c r="A3852" t="s">
        <v>215</v>
      </c>
      <c r="B3852" t="s">
        <v>3751</v>
      </c>
      <c r="C3852" t="s">
        <v>88</v>
      </c>
      <c r="D3852" t="s">
        <v>3752</v>
      </c>
      <c r="E3852" t="s">
        <v>1052</v>
      </c>
      <c r="F3852" t="s">
        <v>88</v>
      </c>
      <c r="G3852" t="s">
        <v>88</v>
      </c>
      <c r="H3852" t="s">
        <v>92</v>
      </c>
    </row>
    <row r="3853" spans="1:8" x14ac:dyDescent="0.25">
      <c r="A3853" t="s">
        <v>215</v>
      </c>
      <c r="B3853" t="s">
        <v>3753</v>
      </c>
      <c r="C3853" t="s">
        <v>88</v>
      </c>
      <c r="D3853" t="s">
        <v>3702</v>
      </c>
      <c r="E3853" t="s">
        <v>1427</v>
      </c>
      <c r="F3853" t="s">
        <v>88</v>
      </c>
      <c r="G3853" t="s">
        <v>88</v>
      </c>
      <c r="H3853" t="s">
        <v>92</v>
      </c>
    </row>
    <row r="3854" spans="1:8" x14ac:dyDescent="0.25">
      <c r="A3854" t="s">
        <v>215</v>
      </c>
      <c r="B3854" t="s">
        <v>3754</v>
      </c>
      <c r="C3854" t="s">
        <v>88</v>
      </c>
      <c r="D3854" t="s">
        <v>88</v>
      </c>
      <c r="E3854" t="s">
        <v>3755</v>
      </c>
      <c r="F3854" t="s">
        <v>88</v>
      </c>
      <c r="G3854" t="s">
        <v>88</v>
      </c>
      <c r="H3854" t="s">
        <v>92</v>
      </c>
    </row>
    <row r="3855" spans="1:8" x14ac:dyDescent="0.25">
      <c r="A3855" t="s">
        <v>215</v>
      </c>
      <c r="B3855" t="s">
        <v>3756</v>
      </c>
      <c r="C3855" t="s">
        <v>88</v>
      </c>
      <c r="D3855" t="s">
        <v>3757</v>
      </c>
      <c r="E3855" t="s">
        <v>3758</v>
      </c>
      <c r="F3855" t="s">
        <v>88</v>
      </c>
      <c r="G3855" t="s">
        <v>88</v>
      </c>
      <c r="H3855" t="s">
        <v>92</v>
      </c>
    </row>
    <row r="3856" spans="1:8" x14ac:dyDescent="0.25">
      <c r="A3856" t="s">
        <v>215</v>
      </c>
      <c r="B3856" t="s">
        <v>3759</v>
      </c>
      <c r="C3856" t="s">
        <v>88</v>
      </c>
      <c r="D3856" t="s">
        <v>3760</v>
      </c>
      <c r="E3856" t="s">
        <v>1427</v>
      </c>
      <c r="F3856" t="s">
        <v>88</v>
      </c>
      <c r="G3856" t="s">
        <v>88</v>
      </c>
      <c r="H3856" t="s">
        <v>92</v>
      </c>
    </row>
    <row r="3857" spans="1:8" x14ac:dyDescent="0.25">
      <c r="A3857" t="s">
        <v>215</v>
      </c>
      <c r="B3857" t="s">
        <v>3761</v>
      </c>
      <c r="C3857" t="s">
        <v>88</v>
      </c>
      <c r="D3857" t="s">
        <v>3702</v>
      </c>
      <c r="E3857" t="s">
        <v>3762</v>
      </c>
      <c r="F3857" t="s">
        <v>88</v>
      </c>
      <c r="G3857" t="s">
        <v>88</v>
      </c>
      <c r="H3857" t="s">
        <v>92</v>
      </c>
    </row>
    <row r="3858" spans="1:8" x14ac:dyDescent="0.25">
      <c r="A3858" t="s">
        <v>215</v>
      </c>
      <c r="B3858" t="s">
        <v>3763</v>
      </c>
      <c r="C3858" t="s">
        <v>88</v>
      </c>
      <c r="D3858" t="s">
        <v>3702</v>
      </c>
      <c r="E3858" t="s">
        <v>3764</v>
      </c>
      <c r="F3858" t="s">
        <v>88</v>
      </c>
      <c r="G3858" t="s">
        <v>88</v>
      </c>
      <c r="H3858" t="s">
        <v>92</v>
      </c>
    </row>
    <row r="3859" spans="1:8" x14ac:dyDescent="0.25">
      <c r="A3859" t="s">
        <v>215</v>
      </c>
      <c r="B3859" t="s">
        <v>3765</v>
      </c>
      <c r="C3859" t="s">
        <v>88</v>
      </c>
      <c r="D3859" t="s">
        <v>3702</v>
      </c>
      <c r="E3859" t="s">
        <v>3766</v>
      </c>
      <c r="F3859" t="s">
        <v>88</v>
      </c>
      <c r="G3859" t="s">
        <v>88</v>
      </c>
      <c r="H3859" t="s">
        <v>92</v>
      </c>
    </row>
    <row r="3860" spans="1:8" x14ac:dyDescent="0.25">
      <c r="A3860" t="s">
        <v>215</v>
      </c>
      <c r="B3860" t="s">
        <v>3767</v>
      </c>
      <c r="C3860" t="s">
        <v>88</v>
      </c>
      <c r="D3860" t="s">
        <v>3702</v>
      </c>
      <c r="E3860" t="s">
        <v>3768</v>
      </c>
      <c r="F3860" t="s">
        <v>88</v>
      </c>
      <c r="G3860" t="s">
        <v>88</v>
      </c>
      <c r="H3860" t="s">
        <v>92</v>
      </c>
    </row>
    <row r="3861" spans="1:8" x14ac:dyDescent="0.25">
      <c r="A3861" t="s">
        <v>215</v>
      </c>
      <c r="B3861" t="s">
        <v>3769</v>
      </c>
      <c r="C3861" t="s">
        <v>88</v>
      </c>
      <c r="D3861" t="s">
        <v>3770</v>
      </c>
      <c r="E3861" t="s">
        <v>3771</v>
      </c>
      <c r="F3861" t="s">
        <v>88</v>
      </c>
      <c r="G3861" t="s">
        <v>88</v>
      </c>
      <c r="H3861" t="s">
        <v>92</v>
      </c>
    </row>
    <row r="3862" spans="1:8" x14ac:dyDescent="0.25">
      <c r="A3862" t="s">
        <v>215</v>
      </c>
      <c r="B3862" t="s">
        <v>3772</v>
      </c>
      <c r="C3862" t="s">
        <v>88</v>
      </c>
      <c r="D3862" t="s">
        <v>3702</v>
      </c>
      <c r="E3862" t="s">
        <v>3773</v>
      </c>
      <c r="F3862" t="s">
        <v>88</v>
      </c>
      <c r="G3862" t="s">
        <v>88</v>
      </c>
      <c r="H3862" t="s">
        <v>92</v>
      </c>
    </row>
    <row r="3863" spans="1:8" x14ac:dyDescent="0.25">
      <c r="A3863" t="s">
        <v>215</v>
      </c>
      <c r="B3863" t="s">
        <v>3774</v>
      </c>
      <c r="C3863" t="s">
        <v>88</v>
      </c>
      <c r="D3863" t="s">
        <v>3604</v>
      </c>
      <c r="E3863" t="s">
        <v>3704</v>
      </c>
      <c r="F3863" t="s">
        <v>88</v>
      </c>
      <c r="G3863" t="s">
        <v>88</v>
      </c>
      <c r="H3863" t="s">
        <v>92</v>
      </c>
    </row>
    <row r="3864" spans="1:8" x14ac:dyDescent="0.25">
      <c r="A3864" t="s">
        <v>215</v>
      </c>
      <c r="B3864" t="s">
        <v>3775</v>
      </c>
      <c r="C3864" t="s">
        <v>88</v>
      </c>
      <c r="D3864" t="s">
        <v>3776</v>
      </c>
      <c r="E3864" t="s">
        <v>3704</v>
      </c>
      <c r="F3864" t="s">
        <v>88</v>
      </c>
      <c r="G3864" t="s">
        <v>88</v>
      </c>
      <c r="H3864" t="s">
        <v>92</v>
      </c>
    </row>
    <row r="3865" spans="1:8" x14ac:dyDescent="0.25">
      <c r="A3865" t="s">
        <v>215</v>
      </c>
      <c r="B3865" t="s">
        <v>3777</v>
      </c>
      <c r="C3865" t="s">
        <v>88</v>
      </c>
      <c r="D3865" t="s">
        <v>3778</v>
      </c>
      <c r="E3865" t="s">
        <v>3704</v>
      </c>
      <c r="F3865" t="s">
        <v>88</v>
      </c>
      <c r="G3865" t="s">
        <v>88</v>
      </c>
      <c r="H3865" t="s">
        <v>92</v>
      </c>
    </row>
    <row r="3866" spans="1:8" x14ac:dyDescent="0.25">
      <c r="A3866" t="s">
        <v>215</v>
      </c>
      <c r="B3866" t="s">
        <v>3779</v>
      </c>
      <c r="C3866" t="s">
        <v>88</v>
      </c>
      <c r="D3866" t="s">
        <v>3780</v>
      </c>
      <c r="E3866" t="s">
        <v>3704</v>
      </c>
      <c r="F3866" t="s">
        <v>88</v>
      </c>
      <c r="G3866" t="s">
        <v>88</v>
      </c>
      <c r="H3866" t="s">
        <v>92</v>
      </c>
    </row>
    <row r="3867" spans="1:8" x14ac:dyDescent="0.25">
      <c r="A3867" t="s">
        <v>215</v>
      </c>
      <c r="B3867" t="s">
        <v>3781</v>
      </c>
      <c r="C3867" t="s">
        <v>88</v>
      </c>
      <c r="D3867" t="s">
        <v>3782</v>
      </c>
      <c r="E3867" t="s">
        <v>3783</v>
      </c>
      <c r="F3867" t="s">
        <v>88</v>
      </c>
      <c r="G3867" t="s">
        <v>88</v>
      </c>
      <c r="H3867" t="s">
        <v>92</v>
      </c>
    </row>
    <row r="3868" spans="1:8" x14ac:dyDescent="0.25">
      <c r="A3868" t="s">
        <v>215</v>
      </c>
      <c r="B3868" t="s">
        <v>3784</v>
      </c>
      <c r="C3868" t="s">
        <v>88</v>
      </c>
      <c r="D3868" t="s">
        <v>3785</v>
      </c>
      <c r="E3868" t="s">
        <v>3783</v>
      </c>
      <c r="F3868" t="s">
        <v>88</v>
      </c>
      <c r="G3868" t="s">
        <v>88</v>
      </c>
      <c r="H3868" t="s">
        <v>92</v>
      </c>
    </row>
    <row r="3869" spans="1:8" x14ac:dyDescent="0.25">
      <c r="A3869" t="s">
        <v>215</v>
      </c>
      <c r="B3869" t="s">
        <v>3786</v>
      </c>
      <c r="C3869" t="s">
        <v>88</v>
      </c>
      <c r="D3869" t="s">
        <v>3787</v>
      </c>
      <c r="E3869" t="s">
        <v>3783</v>
      </c>
      <c r="F3869" t="s">
        <v>88</v>
      </c>
      <c r="G3869" t="s">
        <v>88</v>
      </c>
      <c r="H3869" t="s">
        <v>92</v>
      </c>
    </row>
    <row r="3870" spans="1:8" x14ac:dyDescent="0.25">
      <c r="A3870" t="s">
        <v>215</v>
      </c>
      <c r="B3870" t="s">
        <v>3788</v>
      </c>
      <c r="C3870" t="s">
        <v>88</v>
      </c>
      <c r="D3870" t="s">
        <v>3789</v>
      </c>
      <c r="E3870" t="s">
        <v>3783</v>
      </c>
      <c r="F3870" t="s">
        <v>88</v>
      </c>
      <c r="G3870" t="s">
        <v>88</v>
      </c>
      <c r="H3870" t="s">
        <v>92</v>
      </c>
    </row>
    <row r="3871" spans="1:8" x14ac:dyDescent="0.25">
      <c r="A3871" t="s">
        <v>215</v>
      </c>
      <c r="B3871" t="s">
        <v>3790</v>
      </c>
      <c r="C3871" t="s">
        <v>88</v>
      </c>
      <c r="D3871" t="s">
        <v>3791</v>
      </c>
      <c r="E3871" t="s">
        <v>3783</v>
      </c>
      <c r="F3871" t="s">
        <v>88</v>
      </c>
      <c r="G3871" t="s">
        <v>88</v>
      </c>
      <c r="H3871" t="s">
        <v>92</v>
      </c>
    </row>
    <row r="3872" spans="1:8" x14ac:dyDescent="0.25">
      <c r="A3872" t="s">
        <v>215</v>
      </c>
      <c r="B3872" t="s">
        <v>3792</v>
      </c>
      <c r="C3872" t="s">
        <v>88</v>
      </c>
      <c r="D3872" t="s">
        <v>3793</v>
      </c>
      <c r="E3872" t="s">
        <v>3794</v>
      </c>
      <c r="F3872" t="s">
        <v>88</v>
      </c>
      <c r="G3872" t="s">
        <v>88</v>
      </c>
      <c r="H3872" t="s">
        <v>92</v>
      </c>
    </row>
    <row r="3873" spans="1:8" x14ac:dyDescent="0.25">
      <c r="A3873" t="s">
        <v>215</v>
      </c>
      <c r="B3873" t="s">
        <v>3795</v>
      </c>
      <c r="C3873" t="s">
        <v>88</v>
      </c>
      <c r="D3873" t="s">
        <v>3796</v>
      </c>
      <c r="E3873" t="s">
        <v>3794</v>
      </c>
      <c r="F3873" t="s">
        <v>88</v>
      </c>
      <c r="G3873" t="s">
        <v>88</v>
      </c>
      <c r="H3873" t="s">
        <v>92</v>
      </c>
    </row>
    <row r="3874" spans="1:8" x14ac:dyDescent="0.25">
      <c r="A3874" t="s">
        <v>215</v>
      </c>
      <c r="B3874" t="s">
        <v>3797</v>
      </c>
      <c r="C3874" t="s">
        <v>88</v>
      </c>
      <c r="D3874" t="s">
        <v>3798</v>
      </c>
      <c r="E3874" t="s">
        <v>3794</v>
      </c>
      <c r="F3874" t="s">
        <v>88</v>
      </c>
      <c r="G3874" t="s">
        <v>88</v>
      </c>
      <c r="H3874" t="s">
        <v>92</v>
      </c>
    </row>
    <row r="3875" spans="1:8" x14ac:dyDescent="0.25">
      <c r="A3875" t="s">
        <v>215</v>
      </c>
      <c r="B3875" t="s">
        <v>3799</v>
      </c>
      <c r="C3875" t="s">
        <v>88</v>
      </c>
      <c r="D3875" t="s">
        <v>3800</v>
      </c>
      <c r="E3875" t="s">
        <v>3794</v>
      </c>
      <c r="F3875" t="s">
        <v>88</v>
      </c>
      <c r="G3875" t="s">
        <v>88</v>
      </c>
      <c r="H3875" t="s">
        <v>92</v>
      </c>
    </row>
    <row r="3876" spans="1:8" x14ac:dyDescent="0.25">
      <c r="A3876" t="s">
        <v>215</v>
      </c>
      <c r="B3876" t="s">
        <v>3652</v>
      </c>
      <c r="C3876" t="s">
        <v>88</v>
      </c>
      <c r="D3876" t="s">
        <v>3801</v>
      </c>
      <c r="E3876" t="s">
        <v>3794</v>
      </c>
      <c r="F3876" t="s">
        <v>88</v>
      </c>
      <c r="G3876" t="s">
        <v>88</v>
      </c>
      <c r="H3876" t="s">
        <v>92</v>
      </c>
    </row>
    <row r="3877" spans="1:8" x14ac:dyDescent="0.25">
      <c r="A3877" t="s">
        <v>215</v>
      </c>
      <c r="B3877" t="s">
        <v>3802</v>
      </c>
      <c r="C3877" t="s">
        <v>88</v>
      </c>
      <c r="D3877" t="s">
        <v>3803</v>
      </c>
      <c r="E3877" t="s">
        <v>3794</v>
      </c>
      <c r="F3877" t="s">
        <v>88</v>
      </c>
      <c r="G3877" t="s">
        <v>88</v>
      </c>
      <c r="H3877" t="s">
        <v>92</v>
      </c>
    </row>
    <row r="3878" spans="1:8" x14ac:dyDescent="0.25">
      <c r="A3878" t="s">
        <v>215</v>
      </c>
      <c r="B3878" t="s">
        <v>3804</v>
      </c>
      <c r="C3878" t="s">
        <v>88</v>
      </c>
      <c r="D3878" t="s">
        <v>3805</v>
      </c>
      <c r="E3878" t="s">
        <v>3794</v>
      </c>
      <c r="F3878" t="s">
        <v>88</v>
      </c>
      <c r="G3878" t="s">
        <v>88</v>
      </c>
      <c r="H3878" t="s">
        <v>92</v>
      </c>
    </row>
    <row r="3879" spans="1:8" x14ac:dyDescent="0.25">
      <c r="A3879" t="s">
        <v>215</v>
      </c>
      <c r="B3879" t="s">
        <v>3806</v>
      </c>
      <c r="C3879" t="s">
        <v>88</v>
      </c>
      <c r="D3879" t="s">
        <v>3807</v>
      </c>
      <c r="E3879" t="s">
        <v>3794</v>
      </c>
      <c r="F3879" t="s">
        <v>88</v>
      </c>
      <c r="G3879" t="s">
        <v>88</v>
      </c>
      <c r="H3879" t="s">
        <v>92</v>
      </c>
    </row>
    <row r="3880" spans="1:8" x14ac:dyDescent="0.25">
      <c r="A3880" t="s">
        <v>215</v>
      </c>
      <c r="B3880" t="s">
        <v>3808</v>
      </c>
      <c r="C3880" t="s">
        <v>88</v>
      </c>
      <c r="D3880" t="s">
        <v>3809</v>
      </c>
      <c r="E3880" t="s">
        <v>3810</v>
      </c>
      <c r="F3880" t="s">
        <v>88</v>
      </c>
      <c r="G3880" t="s">
        <v>88</v>
      </c>
      <c r="H3880" t="s">
        <v>92</v>
      </c>
    </row>
    <row r="3881" spans="1:8" x14ac:dyDescent="0.25">
      <c r="A3881" t="s">
        <v>215</v>
      </c>
      <c r="B3881" t="s">
        <v>3811</v>
      </c>
      <c r="C3881" t="s">
        <v>88</v>
      </c>
      <c r="D3881" t="s">
        <v>3812</v>
      </c>
      <c r="E3881" t="s">
        <v>3810</v>
      </c>
      <c r="F3881" t="s">
        <v>88</v>
      </c>
      <c r="G3881" t="s">
        <v>88</v>
      </c>
      <c r="H3881" t="s">
        <v>92</v>
      </c>
    </row>
    <row r="3882" spans="1:8" x14ac:dyDescent="0.25">
      <c r="A3882" t="s">
        <v>215</v>
      </c>
      <c r="B3882" t="s">
        <v>3813</v>
      </c>
      <c r="C3882" t="s">
        <v>88</v>
      </c>
      <c r="D3882" t="s">
        <v>3814</v>
      </c>
      <c r="E3882" t="s">
        <v>3810</v>
      </c>
      <c r="F3882" t="s">
        <v>88</v>
      </c>
      <c r="G3882" t="s">
        <v>88</v>
      </c>
      <c r="H3882" t="s">
        <v>92</v>
      </c>
    </row>
    <row r="3883" spans="1:8" x14ac:dyDescent="0.25">
      <c r="A3883" t="s">
        <v>215</v>
      </c>
      <c r="B3883" t="s">
        <v>3815</v>
      </c>
      <c r="C3883" t="s">
        <v>88</v>
      </c>
      <c r="D3883" t="s">
        <v>3816</v>
      </c>
      <c r="E3883" t="s">
        <v>3810</v>
      </c>
      <c r="F3883" t="s">
        <v>88</v>
      </c>
      <c r="G3883" t="s">
        <v>88</v>
      </c>
      <c r="H3883" t="s">
        <v>92</v>
      </c>
    </row>
    <row r="3884" spans="1:8" x14ac:dyDescent="0.25">
      <c r="A3884" t="s">
        <v>215</v>
      </c>
      <c r="B3884" t="s">
        <v>3817</v>
      </c>
      <c r="C3884" t="s">
        <v>88</v>
      </c>
      <c r="D3884" t="s">
        <v>3818</v>
      </c>
      <c r="E3884" t="s">
        <v>3810</v>
      </c>
      <c r="F3884" t="s">
        <v>88</v>
      </c>
      <c r="G3884" t="s">
        <v>88</v>
      </c>
      <c r="H3884" t="s">
        <v>92</v>
      </c>
    </row>
    <row r="3885" spans="1:8" x14ac:dyDescent="0.25">
      <c r="A3885" t="s">
        <v>215</v>
      </c>
      <c r="B3885" t="s">
        <v>3819</v>
      </c>
      <c r="C3885" t="s">
        <v>88</v>
      </c>
      <c r="D3885" t="s">
        <v>3820</v>
      </c>
      <c r="E3885" t="s">
        <v>3810</v>
      </c>
      <c r="F3885" t="s">
        <v>88</v>
      </c>
      <c r="G3885" t="s">
        <v>88</v>
      </c>
      <c r="H3885" t="s">
        <v>92</v>
      </c>
    </row>
    <row r="3886" spans="1:8" x14ac:dyDescent="0.25">
      <c r="A3886" t="s">
        <v>215</v>
      </c>
      <c r="B3886" t="s">
        <v>3821</v>
      </c>
      <c r="C3886" t="s">
        <v>88</v>
      </c>
      <c r="D3886" t="s">
        <v>3822</v>
      </c>
      <c r="E3886" t="s">
        <v>1433</v>
      </c>
      <c r="F3886" t="s">
        <v>88</v>
      </c>
      <c r="G3886" t="s">
        <v>88</v>
      </c>
      <c r="H3886" t="s">
        <v>92</v>
      </c>
    </row>
    <row r="3887" spans="1:8" x14ac:dyDescent="0.25">
      <c r="A3887" t="s">
        <v>215</v>
      </c>
      <c r="B3887" t="s">
        <v>3823</v>
      </c>
      <c r="C3887" t="s">
        <v>88</v>
      </c>
      <c r="D3887" t="s">
        <v>3604</v>
      </c>
      <c r="E3887" t="s">
        <v>1433</v>
      </c>
      <c r="F3887" t="s">
        <v>88</v>
      </c>
      <c r="G3887" t="s">
        <v>88</v>
      </c>
      <c r="H3887" t="s">
        <v>92</v>
      </c>
    </row>
    <row r="3888" spans="1:8" x14ac:dyDescent="0.25">
      <c r="A3888" t="s">
        <v>215</v>
      </c>
      <c r="B3888" t="s">
        <v>3824</v>
      </c>
      <c r="C3888" t="s">
        <v>88</v>
      </c>
      <c r="D3888" t="s">
        <v>3776</v>
      </c>
      <c r="E3888" t="s">
        <v>1433</v>
      </c>
      <c r="F3888" t="s">
        <v>88</v>
      </c>
      <c r="G3888" t="s">
        <v>88</v>
      </c>
      <c r="H3888" t="s">
        <v>92</v>
      </c>
    </row>
    <row r="3889" spans="1:8" x14ac:dyDescent="0.25">
      <c r="A3889" t="s">
        <v>215</v>
      </c>
      <c r="B3889" t="s">
        <v>3825</v>
      </c>
      <c r="C3889" t="s">
        <v>88</v>
      </c>
      <c r="D3889" t="s">
        <v>3778</v>
      </c>
      <c r="E3889" t="s">
        <v>1433</v>
      </c>
      <c r="F3889" t="s">
        <v>88</v>
      </c>
      <c r="G3889" t="s">
        <v>88</v>
      </c>
      <c r="H3889" t="s">
        <v>92</v>
      </c>
    </row>
    <row r="3890" spans="1:8" x14ac:dyDescent="0.25">
      <c r="A3890" t="s">
        <v>215</v>
      </c>
      <c r="B3890" t="s">
        <v>3826</v>
      </c>
      <c r="C3890" t="s">
        <v>88</v>
      </c>
      <c r="D3890" t="s">
        <v>3780</v>
      </c>
      <c r="E3890" t="s">
        <v>1433</v>
      </c>
      <c r="F3890" t="s">
        <v>88</v>
      </c>
      <c r="G3890" t="s">
        <v>88</v>
      </c>
      <c r="H3890" t="s">
        <v>92</v>
      </c>
    </row>
    <row r="3891" spans="1:8" x14ac:dyDescent="0.25">
      <c r="A3891" t="s">
        <v>215</v>
      </c>
      <c r="B3891" t="s">
        <v>3827</v>
      </c>
      <c r="C3891" t="s">
        <v>88</v>
      </c>
      <c r="D3891" t="s">
        <v>3782</v>
      </c>
      <c r="E3891" t="s">
        <v>3828</v>
      </c>
      <c r="F3891" t="s">
        <v>88</v>
      </c>
      <c r="G3891" t="s">
        <v>88</v>
      </c>
      <c r="H3891" t="s">
        <v>92</v>
      </c>
    </row>
    <row r="3892" spans="1:8" x14ac:dyDescent="0.25">
      <c r="A3892" t="s">
        <v>215</v>
      </c>
      <c r="B3892" t="s">
        <v>3829</v>
      </c>
      <c r="C3892" t="s">
        <v>88</v>
      </c>
      <c r="D3892" t="s">
        <v>3785</v>
      </c>
      <c r="E3892" t="s">
        <v>3828</v>
      </c>
      <c r="F3892" t="s">
        <v>88</v>
      </c>
      <c r="G3892" t="s">
        <v>88</v>
      </c>
      <c r="H3892" t="s">
        <v>92</v>
      </c>
    </row>
    <row r="3893" spans="1:8" x14ac:dyDescent="0.25">
      <c r="A3893" t="s">
        <v>215</v>
      </c>
      <c r="B3893" t="s">
        <v>3830</v>
      </c>
      <c r="C3893" t="s">
        <v>88</v>
      </c>
      <c r="D3893" t="s">
        <v>3787</v>
      </c>
      <c r="E3893" t="s">
        <v>3828</v>
      </c>
      <c r="F3893" t="s">
        <v>88</v>
      </c>
      <c r="G3893" t="s">
        <v>88</v>
      </c>
      <c r="H3893" t="s">
        <v>92</v>
      </c>
    </row>
    <row r="3894" spans="1:8" x14ac:dyDescent="0.25">
      <c r="A3894" t="s">
        <v>215</v>
      </c>
      <c r="B3894" t="s">
        <v>3831</v>
      </c>
      <c r="C3894" t="s">
        <v>88</v>
      </c>
      <c r="D3894" t="s">
        <v>3789</v>
      </c>
      <c r="E3894" t="s">
        <v>3828</v>
      </c>
      <c r="F3894" t="s">
        <v>88</v>
      </c>
      <c r="G3894" t="s">
        <v>88</v>
      </c>
      <c r="H3894" t="s">
        <v>92</v>
      </c>
    </row>
    <row r="3895" spans="1:8" x14ac:dyDescent="0.25">
      <c r="A3895" t="s">
        <v>215</v>
      </c>
      <c r="B3895" t="s">
        <v>3832</v>
      </c>
      <c r="C3895" t="s">
        <v>88</v>
      </c>
      <c r="D3895" t="s">
        <v>3791</v>
      </c>
      <c r="E3895" t="s">
        <v>3828</v>
      </c>
      <c r="F3895" t="s">
        <v>88</v>
      </c>
      <c r="G3895" t="s">
        <v>88</v>
      </c>
      <c r="H3895" t="s">
        <v>92</v>
      </c>
    </row>
    <row r="3896" spans="1:8" x14ac:dyDescent="0.25">
      <c r="A3896" t="s">
        <v>215</v>
      </c>
      <c r="B3896" t="s">
        <v>3833</v>
      </c>
      <c r="C3896" t="s">
        <v>88</v>
      </c>
      <c r="D3896" t="s">
        <v>3793</v>
      </c>
      <c r="E3896" t="s">
        <v>3834</v>
      </c>
      <c r="F3896" t="s">
        <v>88</v>
      </c>
      <c r="G3896" t="s">
        <v>88</v>
      </c>
      <c r="H3896" t="s">
        <v>92</v>
      </c>
    </row>
    <row r="3897" spans="1:8" x14ac:dyDescent="0.25">
      <c r="A3897" t="s">
        <v>215</v>
      </c>
      <c r="B3897" t="s">
        <v>3835</v>
      </c>
      <c r="C3897" t="s">
        <v>88</v>
      </c>
      <c r="D3897" t="s">
        <v>3796</v>
      </c>
      <c r="E3897" t="s">
        <v>3834</v>
      </c>
      <c r="F3897" t="s">
        <v>88</v>
      </c>
      <c r="G3897" t="s">
        <v>88</v>
      </c>
      <c r="H3897" t="s">
        <v>92</v>
      </c>
    </row>
    <row r="3898" spans="1:8" x14ac:dyDescent="0.25">
      <c r="A3898" t="s">
        <v>215</v>
      </c>
      <c r="B3898" t="s">
        <v>3836</v>
      </c>
      <c r="C3898" t="s">
        <v>88</v>
      </c>
      <c r="D3898" t="s">
        <v>3798</v>
      </c>
      <c r="E3898" t="s">
        <v>3834</v>
      </c>
      <c r="F3898" t="s">
        <v>88</v>
      </c>
      <c r="G3898" t="s">
        <v>88</v>
      </c>
      <c r="H3898" t="s">
        <v>92</v>
      </c>
    </row>
    <row r="3899" spans="1:8" x14ac:dyDescent="0.25">
      <c r="A3899" t="s">
        <v>215</v>
      </c>
      <c r="B3899" t="s">
        <v>3837</v>
      </c>
      <c r="C3899" t="s">
        <v>88</v>
      </c>
      <c r="D3899" t="s">
        <v>3800</v>
      </c>
      <c r="E3899" t="s">
        <v>3834</v>
      </c>
      <c r="F3899" t="s">
        <v>88</v>
      </c>
      <c r="G3899" t="s">
        <v>88</v>
      </c>
      <c r="H3899" t="s">
        <v>92</v>
      </c>
    </row>
    <row r="3900" spans="1:8" x14ac:dyDescent="0.25">
      <c r="A3900" t="s">
        <v>215</v>
      </c>
      <c r="B3900" t="s">
        <v>3664</v>
      </c>
      <c r="C3900" t="s">
        <v>88</v>
      </c>
      <c r="D3900" t="s">
        <v>3801</v>
      </c>
      <c r="E3900" t="s">
        <v>3834</v>
      </c>
      <c r="F3900" t="s">
        <v>88</v>
      </c>
      <c r="G3900" t="s">
        <v>88</v>
      </c>
      <c r="H3900" t="s">
        <v>92</v>
      </c>
    </row>
    <row r="3901" spans="1:8" x14ac:dyDescent="0.25">
      <c r="A3901" t="s">
        <v>215</v>
      </c>
      <c r="B3901" t="s">
        <v>3838</v>
      </c>
      <c r="C3901" t="s">
        <v>88</v>
      </c>
      <c r="D3901" t="s">
        <v>3803</v>
      </c>
      <c r="E3901" t="s">
        <v>3834</v>
      </c>
      <c r="F3901" t="s">
        <v>88</v>
      </c>
      <c r="G3901" t="s">
        <v>88</v>
      </c>
      <c r="H3901" t="s">
        <v>92</v>
      </c>
    </row>
    <row r="3902" spans="1:8" x14ac:dyDescent="0.25">
      <c r="A3902" t="s">
        <v>215</v>
      </c>
      <c r="B3902" t="s">
        <v>3839</v>
      </c>
      <c r="C3902" t="s">
        <v>88</v>
      </c>
      <c r="D3902" t="s">
        <v>3805</v>
      </c>
      <c r="E3902" t="s">
        <v>3834</v>
      </c>
      <c r="F3902" t="s">
        <v>88</v>
      </c>
      <c r="G3902" t="s">
        <v>88</v>
      </c>
      <c r="H3902" t="s">
        <v>92</v>
      </c>
    </row>
    <row r="3903" spans="1:8" x14ac:dyDescent="0.25">
      <c r="A3903" t="s">
        <v>215</v>
      </c>
      <c r="B3903" t="s">
        <v>3840</v>
      </c>
      <c r="C3903" t="s">
        <v>88</v>
      </c>
      <c r="D3903" t="s">
        <v>3807</v>
      </c>
      <c r="E3903" t="s">
        <v>3834</v>
      </c>
      <c r="F3903" t="s">
        <v>88</v>
      </c>
      <c r="G3903" t="s">
        <v>88</v>
      </c>
      <c r="H3903" t="s">
        <v>92</v>
      </c>
    </row>
    <row r="3904" spans="1:8" x14ac:dyDescent="0.25">
      <c r="A3904" t="s">
        <v>215</v>
      </c>
      <c r="B3904" t="s">
        <v>3841</v>
      </c>
      <c r="C3904" t="s">
        <v>88</v>
      </c>
      <c r="D3904" t="s">
        <v>3809</v>
      </c>
      <c r="E3904" t="s">
        <v>3842</v>
      </c>
      <c r="F3904" t="s">
        <v>88</v>
      </c>
      <c r="G3904" t="s">
        <v>88</v>
      </c>
      <c r="H3904" t="s">
        <v>92</v>
      </c>
    </row>
    <row r="3905" spans="1:8" x14ac:dyDescent="0.25">
      <c r="A3905" t="s">
        <v>215</v>
      </c>
      <c r="B3905" t="s">
        <v>3843</v>
      </c>
      <c r="C3905" t="s">
        <v>88</v>
      </c>
      <c r="D3905" t="s">
        <v>3844</v>
      </c>
      <c r="E3905" t="s">
        <v>3842</v>
      </c>
      <c r="F3905" t="s">
        <v>88</v>
      </c>
      <c r="G3905" t="s">
        <v>88</v>
      </c>
      <c r="H3905" t="s">
        <v>92</v>
      </c>
    </row>
    <row r="3906" spans="1:8" x14ac:dyDescent="0.25">
      <c r="A3906" t="s">
        <v>215</v>
      </c>
      <c r="B3906" t="s">
        <v>3845</v>
      </c>
      <c r="C3906" t="s">
        <v>88</v>
      </c>
      <c r="D3906" t="s">
        <v>3814</v>
      </c>
      <c r="E3906" t="s">
        <v>3842</v>
      </c>
      <c r="F3906" t="s">
        <v>88</v>
      </c>
      <c r="G3906" t="s">
        <v>88</v>
      </c>
      <c r="H3906" t="s">
        <v>92</v>
      </c>
    </row>
    <row r="3907" spans="1:8" x14ac:dyDescent="0.25">
      <c r="A3907" t="s">
        <v>215</v>
      </c>
      <c r="B3907" t="s">
        <v>3846</v>
      </c>
      <c r="C3907" t="s">
        <v>88</v>
      </c>
      <c r="D3907" t="s">
        <v>3816</v>
      </c>
      <c r="E3907" t="s">
        <v>3842</v>
      </c>
      <c r="F3907" t="s">
        <v>88</v>
      </c>
      <c r="G3907" t="s">
        <v>88</v>
      </c>
      <c r="H3907" t="s">
        <v>92</v>
      </c>
    </row>
    <row r="3908" spans="1:8" x14ac:dyDescent="0.25">
      <c r="A3908" t="s">
        <v>215</v>
      </c>
      <c r="B3908" t="s">
        <v>3847</v>
      </c>
      <c r="C3908" t="s">
        <v>88</v>
      </c>
      <c r="D3908" t="s">
        <v>3818</v>
      </c>
      <c r="E3908" t="s">
        <v>3842</v>
      </c>
      <c r="F3908" t="s">
        <v>88</v>
      </c>
      <c r="G3908" t="s">
        <v>88</v>
      </c>
      <c r="H3908" t="s">
        <v>92</v>
      </c>
    </row>
    <row r="3909" spans="1:8" x14ac:dyDescent="0.25">
      <c r="A3909" t="s">
        <v>215</v>
      </c>
      <c r="B3909" t="s">
        <v>3848</v>
      </c>
      <c r="C3909" t="s">
        <v>88</v>
      </c>
      <c r="D3909" t="s">
        <v>3820</v>
      </c>
      <c r="E3909" t="s">
        <v>3842</v>
      </c>
      <c r="F3909" t="s">
        <v>88</v>
      </c>
      <c r="G3909" t="s">
        <v>88</v>
      </c>
      <c r="H3909" t="s">
        <v>92</v>
      </c>
    </row>
    <row r="3910" spans="1:8" x14ac:dyDescent="0.25">
      <c r="A3910" t="s">
        <v>215</v>
      </c>
      <c r="B3910" t="s">
        <v>3849</v>
      </c>
      <c r="C3910" t="s">
        <v>88</v>
      </c>
      <c r="D3910" t="s">
        <v>3822</v>
      </c>
      <c r="E3910" t="s">
        <v>1406</v>
      </c>
      <c r="F3910" t="s">
        <v>88</v>
      </c>
      <c r="G3910" t="s">
        <v>88</v>
      </c>
      <c r="H3910" t="s">
        <v>92</v>
      </c>
    </row>
    <row r="3911" spans="1:8" x14ac:dyDescent="0.25">
      <c r="A3911" t="s">
        <v>215</v>
      </c>
      <c r="B3911" t="s">
        <v>3850</v>
      </c>
      <c r="C3911" t="s">
        <v>88</v>
      </c>
      <c r="D3911" t="s">
        <v>3604</v>
      </c>
      <c r="E3911" t="s">
        <v>1406</v>
      </c>
      <c r="F3911" t="s">
        <v>88</v>
      </c>
      <c r="G3911" t="s">
        <v>88</v>
      </c>
      <c r="H3911" t="s">
        <v>92</v>
      </c>
    </row>
    <row r="3912" spans="1:8" x14ac:dyDescent="0.25">
      <c r="A3912" t="s">
        <v>215</v>
      </c>
      <c r="B3912" t="s">
        <v>3851</v>
      </c>
      <c r="C3912" t="s">
        <v>88</v>
      </c>
      <c r="D3912" t="s">
        <v>3776</v>
      </c>
      <c r="E3912" t="s">
        <v>1406</v>
      </c>
      <c r="F3912" t="s">
        <v>88</v>
      </c>
      <c r="G3912" t="s">
        <v>88</v>
      </c>
      <c r="H3912" t="s">
        <v>92</v>
      </c>
    </row>
    <row r="3913" spans="1:8" x14ac:dyDescent="0.25">
      <c r="A3913" t="s">
        <v>215</v>
      </c>
      <c r="B3913" t="s">
        <v>3852</v>
      </c>
      <c r="C3913" t="s">
        <v>88</v>
      </c>
      <c r="D3913" t="s">
        <v>3778</v>
      </c>
      <c r="E3913" t="s">
        <v>1406</v>
      </c>
      <c r="F3913" t="s">
        <v>88</v>
      </c>
      <c r="G3913" t="s">
        <v>88</v>
      </c>
      <c r="H3913" t="s">
        <v>92</v>
      </c>
    </row>
    <row r="3914" spans="1:8" x14ac:dyDescent="0.25">
      <c r="A3914" t="s">
        <v>215</v>
      </c>
      <c r="B3914" t="s">
        <v>3853</v>
      </c>
      <c r="C3914" t="s">
        <v>88</v>
      </c>
      <c r="D3914" t="s">
        <v>3780</v>
      </c>
      <c r="E3914" t="s">
        <v>1406</v>
      </c>
      <c r="F3914" t="s">
        <v>88</v>
      </c>
      <c r="G3914" t="s">
        <v>88</v>
      </c>
      <c r="H3914" t="s">
        <v>92</v>
      </c>
    </row>
    <row r="3915" spans="1:8" x14ac:dyDescent="0.25">
      <c r="A3915" t="s">
        <v>215</v>
      </c>
      <c r="B3915" t="s">
        <v>3854</v>
      </c>
      <c r="C3915" t="s">
        <v>88</v>
      </c>
      <c r="D3915" t="s">
        <v>3782</v>
      </c>
      <c r="E3915" t="s">
        <v>2901</v>
      </c>
      <c r="F3915" t="s">
        <v>88</v>
      </c>
      <c r="G3915" t="s">
        <v>88</v>
      </c>
      <c r="H3915" t="s">
        <v>92</v>
      </c>
    </row>
    <row r="3916" spans="1:8" x14ac:dyDescent="0.25">
      <c r="A3916" t="s">
        <v>215</v>
      </c>
      <c r="B3916" t="s">
        <v>3855</v>
      </c>
      <c r="C3916" t="s">
        <v>88</v>
      </c>
      <c r="D3916" t="s">
        <v>3785</v>
      </c>
      <c r="E3916" t="s">
        <v>2901</v>
      </c>
      <c r="F3916" t="s">
        <v>88</v>
      </c>
      <c r="G3916" t="s">
        <v>88</v>
      </c>
      <c r="H3916" t="s">
        <v>92</v>
      </c>
    </row>
    <row r="3917" spans="1:8" x14ac:dyDescent="0.25">
      <c r="A3917" t="s">
        <v>215</v>
      </c>
      <c r="B3917" t="s">
        <v>3856</v>
      </c>
      <c r="C3917" t="s">
        <v>88</v>
      </c>
      <c r="D3917" t="s">
        <v>3787</v>
      </c>
      <c r="E3917" t="s">
        <v>2901</v>
      </c>
      <c r="F3917" t="s">
        <v>88</v>
      </c>
      <c r="G3917" t="s">
        <v>88</v>
      </c>
      <c r="H3917" t="s">
        <v>92</v>
      </c>
    </row>
    <row r="3918" spans="1:8" x14ac:dyDescent="0.25">
      <c r="A3918" t="s">
        <v>215</v>
      </c>
      <c r="B3918" t="s">
        <v>3857</v>
      </c>
      <c r="C3918" t="s">
        <v>88</v>
      </c>
      <c r="D3918" t="s">
        <v>3789</v>
      </c>
      <c r="E3918" t="s">
        <v>2901</v>
      </c>
      <c r="F3918" t="s">
        <v>88</v>
      </c>
      <c r="G3918" t="s">
        <v>88</v>
      </c>
      <c r="H3918" t="s">
        <v>92</v>
      </c>
    </row>
    <row r="3919" spans="1:8" x14ac:dyDescent="0.25">
      <c r="A3919" t="s">
        <v>215</v>
      </c>
      <c r="B3919" t="s">
        <v>3858</v>
      </c>
      <c r="C3919" t="s">
        <v>88</v>
      </c>
      <c r="D3919" t="s">
        <v>3791</v>
      </c>
      <c r="E3919" t="s">
        <v>2901</v>
      </c>
      <c r="F3919" t="s">
        <v>88</v>
      </c>
      <c r="G3919" t="s">
        <v>88</v>
      </c>
      <c r="H3919" t="s">
        <v>92</v>
      </c>
    </row>
    <row r="3920" spans="1:8" x14ac:dyDescent="0.25">
      <c r="A3920" t="s">
        <v>215</v>
      </c>
      <c r="B3920" t="s">
        <v>3859</v>
      </c>
      <c r="C3920" t="s">
        <v>88</v>
      </c>
      <c r="D3920" t="s">
        <v>3793</v>
      </c>
      <c r="E3920" t="s">
        <v>3690</v>
      </c>
      <c r="F3920" t="s">
        <v>88</v>
      </c>
      <c r="G3920" t="s">
        <v>88</v>
      </c>
      <c r="H3920" t="s">
        <v>92</v>
      </c>
    </row>
    <row r="3921" spans="1:8" x14ac:dyDescent="0.25">
      <c r="A3921" t="s">
        <v>215</v>
      </c>
      <c r="B3921" t="s">
        <v>3860</v>
      </c>
      <c r="C3921" t="s">
        <v>88</v>
      </c>
      <c r="D3921" t="s">
        <v>3796</v>
      </c>
      <c r="E3921" t="s">
        <v>3690</v>
      </c>
      <c r="F3921" t="s">
        <v>88</v>
      </c>
      <c r="G3921" t="s">
        <v>88</v>
      </c>
      <c r="H3921" t="s">
        <v>92</v>
      </c>
    </row>
    <row r="3922" spans="1:8" x14ac:dyDescent="0.25">
      <c r="A3922" t="s">
        <v>215</v>
      </c>
      <c r="B3922" t="s">
        <v>3861</v>
      </c>
      <c r="C3922" t="s">
        <v>88</v>
      </c>
      <c r="D3922" t="s">
        <v>3798</v>
      </c>
      <c r="E3922" t="s">
        <v>3690</v>
      </c>
      <c r="F3922" t="s">
        <v>88</v>
      </c>
      <c r="G3922" t="s">
        <v>88</v>
      </c>
      <c r="H3922" t="s">
        <v>92</v>
      </c>
    </row>
    <row r="3923" spans="1:8" x14ac:dyDescent="0.25">
      <c r="A3923" t="s">
        <v>215</v>
      </c>
      <c r="B3923" t="s">
        <v>3862</v>
      </c>
      <c r="C3923" t="s">
        <v>88</v>
      </c>
      <c r="D3923" t="s">
        <v>3800</v>
      </c>
      <c r="E3923" t="s">
        <v>3690</v>
      </c>
      <c r="F3923" t="s">
        <v>88</v>
      </c>
      <c r="G3923" t="s">
        <v>88</v>
      </c>
      <c r="H3923" t="s">
        <v>92</v>
      </c>
    </row>
    <row r="3924" spans="1:8" x14ac:dyDescent="0.25">
      <c r="A3924" t="s">
        <v>215</v>
      </c>
      <c r="B3924" t="s">
        <v>3633</v>
      </c>
      <c r="C3924" t="s">
        <v>88</v>
      </c>
      <c r="D3924" t="s">
        <v>3801</v>
      </c>
      <c r="E3924" t="s">
        <v>3690</v>
      </c>
      <c r="F3924" t="s">
        <v>88</v>
      </c>
      <c r="G3924" t="s">
        <v>88</v>
      </c>
      <c r="H3924" t="s">
        <v>92</v>
      </c>
    </row>
    <row r="3925" spans="1:8" x14ac:dyDescent="0.25">
      <c r="A3925" t="s">
        <v>215</v>
      </c>
      <c r="B3925" t="s">
        <v>3863</v>
      </c>
      <c r="C3925" t="s">
        <v>88</v>
      </c>
      <c r="D3925" t="s">
        <v>3803</v>
      </c>
      <c r="E3925" t="s">
        <v>3690</v>
      </c>
      <c r="F3925" t="s">
        <v>88</v>
      </c>
      <c r="G3925" t="s">
        <v>88</v>
      </c>
      <c r="H3925" t="s">
        <v>92</v>
      </c>
    </row>
    <row r="3926" spans="1:8" x14ac:dyDescent="0.25">
      <c r="A3926" t="s">
        <v>215</v>
      </c>
      <c r="B3926" t="s">
        <v>3864</v>
      </c>
      <c r="C3926" t="s">
        <v>88</v>
      </c>
      <c r="D3926" t="s">
        <v>3805</v>
      </c>
      <c r="E3926" t="s">
        <v>3690</v>
      </c>
      <c r="F3926" t="s">
        <v>88</v>
      </c>
      <c r="G3926" t="s">
        <v>88</v>
      </c>
      <c r="H3926" t="s">
        <v>92</v>
      </c>
    </row>
    <row r="3927" spans="1:8" x14ac:dyDescent="0.25">
      <c r="A3927" t="s">
        <v>215</v>
      </c>
      <c r="B3927" t="s">
        <v>3865</v>
      </c>
      <c r="C3927" t="s">
        <v>88</v>
      </c>
      <c r="D3927" t="s">
        <v>3807</v>
      </c>
      <c r="E3927" t="s">
        <v>3690</v>
      </c>
      <c r="F3927" t="s">
        <v>88</v>
      </c>
      <c r="G3927" t="s">
        <v>88</v>
      </c>
      <c r="H3927" t="s">
        <v>92</v>
      </c>
    </row>
    <row r="3928" spans="1:8" x14ac:dyDescent="0.25">
      <c r="A3928" t="s">
        <v>215</v>
      </c>
      <c r="B3928" t="s">
        <v>3866</v>
      </c>
      <c r="C3928" t="s">
        <v>88</v>
      </c>
      <c r="D3928" t="s">
        <v>3809</v>
      </c>
      <c r="E3928" t="s">
        <v>3867</v>
      </c>
      <c r="F3928" t="s">
        <v>88</v>
      </c>
      <c r="G3928" t="s">
        <v>88</v>
      </c>
      <c r="H3928" t="s">
        <v>92</v>
      </c>
    </row>
    <row r="3929" spans="1:8" x14ac:dyDescent="0.25">
      <c r="A3929" t="s">
        <v>215</v>
      </c>
      <c r="B3929" t="s">
        <v>3868</v>
      </c>
      <c r="C3929" t="s">
        <v>88</v>
      </c>
      <c r="D3929" t="s">
        <v>3844</v>
      </c>
      <c r="E3929" t="s">
        <v>3867</v>
      </c>
      <c r="F3929" t="s">
        <v>88</v>
      </c>
      <c r="G3929" t="s">
        <v>88</v>
      </c>
      <c r="H3929" t="s">
        <v>92</v>
      </c>
    </row>
    <row r="3930" spans="1:8" x14ac:dyDescent="0.25">
      <c r="A3930" t="s">
        <v>215</v>
      </c>
      <c r="B3930" t="s">
        <v>3869</v>
      </c>
      <c r="C3930" t="s">
        <v>88</v>
      </c>
      <c r="D3930" t="s">
        <v>3814</v>
      </c>
      <c r="E3930" t="s">
        <v>3867</v>
      </c>
      <c r="F3930" t="s">
        <v>88</v>
      </c>
      <c r="G3930" t="s">
        <v>88</v>
      </c>
      <c r="H3930" t="s">
        <v>92</v>
      </c>
    </row>
    <row r="3931" spans="1:8" x14ac:dyDescent="0.25">
      <c r="A3931" t="s">
        <v>215</v>
      </c>
      <c r="B3931" t="s">
        <v>3870</v>
      </c>
      <c r="C3931" t="s">
        <v>88</v>
      </c>
      <c r="D3931" t="s">
        <v>3818</v>
      </c>
      <c r="E3931" t="s">
        <v>3867</v>
      </c>
      <c r="F3931" t="s">
        <v>88</v>
      </c>
      <c r="G3931" t="s">
        <v>88</v>
      </c>
      <c r="H3931" t="s">
        <v>92</v>
      </c>
    </row>
    <row r="3932" spans="1:8" x14ac:dyDescent="0.25">
      <c r="A3932" t="s">
        <v>215</v>
      </c>
      <c r="B3932" t="s">
        <v>3871</v>
      </c>
      <c r="C3932" t="s">
        <v>88</v>
      </c>
      <c r="D3932" t="s">
        <v>3820</v>
      </c>
      <c r="E3932" t="s">
        <v>3867</v>
      </c>
      <c r="F3932" t="s">
        <v>88</v>
      </c>
      <c r="G3932" t="s">
        <v>88</v>
      </c>
      <c r="H3932" t="s">
        <v>92</v>
      </c>
    </row>
    <row r="3933" spans="1:8" x14ac:dyDescent="0.25">
      <c r="A3933" t="s">
        <v>215</v>
      </c>
      <c r="B3933" t="s">
        <v>3872</v>
      </c>
      <c r="C3933" t="s">
        <v>88</v>
      </c>
      <c r="D3933" t="s">
        <v>3873</v>
      </c>
      <c r="E3933" t="s">
        <v>1518</v>
      </c>
      <c r="F3933" t="s">
        <v>88</v>
      </c>
      <c r="G3933" t="s">
        <v>88</v>
      </c>
      <c r="H3933" t="s">
        <v>92</v>
      </c>
    </row>
    <row r="3934" spans="1:8" x14ac:dyDescent="0.25">
      <c r="A3934" t="s">
        <v>215</v>
      </c>
      <c r="B3934" t="s">
        <v>3874</v>
      </c>
      <c r="C3934" t="s">
        <v>88</v>
      </c>
      <c r="D3934" t="s">
        <v>3875</v>
      </c>
      <c r="E3934" t="s">
        <v>1484</v>
      </c>
      <c r="F3934" t="s">
        <v>88</v>
      </c>
      <c r="G3934" t="s">
        <v>88</v>
      </c>
      <c r="H3934" t="s">
        <v>92</v>
      </c>
    </row>
    <row r="3935" spans="1:8" x14ac:dyDescent="0.25">
      <c r="A3935" t="s">
        <v>215</v>
      </c>
      <c r="B3935" t="s">
        <v>3876</v>
      </c>
      <c r="C3935" t="s">
        <v>88</v>
      </c>
      <c r="D3935" t="s">
        <v>3877</v>
      </c>
      <c r="E3935" t="s">
        <v>1481</v>
      </c>
      <c r="F3935" t="s">
        <v>88</v>
      </c>
      <c r="G3935" t="s">
        <v>88</v>
      </c>
      <c r="H3935" t="s">
        <v>92</v>
      </c>
    </row>
    <row r="3936" spans="1:8" x14ac:dyDescent="0.25">
      <c r="A3936" t="s">
        <v>215</v>
      </c>
      <c r="B3936" t="s">
        <v>3878</v>
      </c>
      <c r="C3936" t="s">
        <v>88</v>
      </c>
      <c r="D3936" t="s">
        <v>3879</v>
      </c>
      <c r="E3936" t="s">
        <v>1523</v>
      </c>
      <c r="F3936" t="s">
        <v>88</v>
      </c>
      <c r="G3936" t="s">
        <v>88</v>
      </c>
      <c r="H3936" t="s">
        <v>92</v>
      </c>
    </row>
    <row r="3937" spans="1:8" x14ac:dyDescent="0.25">
      <c r="A3937" t="s">
        <v>215</v>
      </c>
      <c r="B3937" t="s">
        <v>3880</v>
      </c>
      <c r="C3937" t="s">
        <v>88</v>
      </c>
      <c r="D3937" t="s">
        <v>3881</v>
      </c>
      <c r="E3937" t="s">
        <v>1518</v>
      </c>
      <c r="F3937" t="s">
        <v>88</v>
      </c>
      <c r="G3937" t="s">
        <v>88</v>
      </c>
      <c r="H3937" t="s">
        <v>92</v>
      </c>
    </row>
    <row r="3938" spans="1:8" x14ac:dyDescent="0.25">
      <c r="A3938" t="s">
        <v>215</v>
      </c>
      <c r="B3938" t="s">
        <v>3882</v>
      </c>
      <c r="C3938" t="s">
        <v>88</v>
      </c>
      <c r="D3938" t="s">
        <v>3883</v>
      </c>
      <c r="E3938" t="s">
        <v>1484</v>
      </c>
      <c r="F3938" t="s">
        <v>88</v>
      </c>
      <c r="G3938" t="s">
        <v>88</v>
      </c>
      <c r="H3938" t="s">
        <v>92</v>
      </c>
    </row>
    <row r="3939" spans="1:8" x14ac:dyDescent="0.25">
      <c r="A3939" t="s">
        <v>215</v>
      </c>
      <c r="B3939" t="s">
        <v>3884</v>
      </c>
      <c r="C3939" t="s">
        <v>88</v>
      </c>
      <c r="D3939" t="s">
        <v>3885</v>
      </c>
      <c r="E3939" t="s">
        <v>1484</v>
      </c>
      <c r="F3939" t="s">
        <v>88</v>
      </c>
      <c r="G3939" t="s">
        <v>88</v>
      </c>
      <c r="H3939" t="s">
        <v>92</v>
      </c>
    </row>
    <row r="3940" spans="1:8" x14ac:dyDescent="0.25">
      <c r="A3940" t="s">
        <v>215</v>
      </c>
      <c r="B3940" t="s">
        <v>3886</v>
      </c>
      <c r="C3940" t="s">
        <v>88</v>
      </c>
      <c r="D3940" t="s">
        <v>3879</v>
      </c>
      <c r="E3940" t="s">
        <v>1484</v>
      </c>
      <c r="F3940" t="s">
        <v>88</v>
      </c>
      <c r="G3940" t="s">
        <v>88</v>
      </c>
      <c r="H3940" t="s">
        <v>92</v>
      </c>
    </row>
    <row r="3941" spans="1:8" x14ac:dyDescent="0.25">
      <c r="A3941" t="s">
        <v>215</v>
      </c>
      <c r="B3941" t="s">
        <v>3887</v>
      </c>
      <c r="C3941" t="s">
        <v>88</v>
      </c>
      <c r="D3941" t="s">
        <v>3881</v>
      </c>
      <c r="E3941" t="s">
        <v>1481</v>
      </c>
      <c r="F3941" t="s">
        <v>88</v>
      </c>
      <c r="G3941" t="s">
        <v>88</v>
      </c>
      <c r="H3941" t="s">
        <v>92</v>
      </c>
    </row>
    <row r="3942" spans="1:8" x14ac:dyDescent="0.25">
      <c r="A3942" t="s">
        <v>215</v>
      </c>
      <c r="B3942" t="s">
        <v>3888</v>
      </c>
      <c r="C3942" t="s">
        <v>88</v>
      </c>
      <c r="D3942" t="s">
        <v>3883</v>
      </c>
      <c r="E3942" t="s">
        <v>1490</v>
      </c>
      <c r="F3942" t="s">
        <v>88</v>
      </c>
      <c r="G3942" t="s">
        <v>88</v>
      </c>
      <c r="H3942" t="s">
        <v>92</v>
      </c>
    </row>
    <row r="3943" spans="1:8" x14ac:dyDescent="0.25">
      <c r="A3943" t="s">
        <v>215</v>
      </c>
      <c r="B3943" t="s">
        <v>3889</v>
      </c>
      <c r="C3943" t="s">
        <v>88</v>
      </c>
      <c r="D3943" t="s">
        <v>3885</v>
      </c>
      <c r="E3943" t="s">
        <v>1490</v>
      </c>
      <c r="F3943" t="s">
        <v>88</v>
      </c>
      <c r="G3943" t="s">
        <v>88</v>
      </c>
      <c r="H3943" t="s">
        <v>92</v>
      </c>
    </row>
    <row r="3944" spans="1:8" x14ac:dyDescent="0.25">
      <c r="A3944" t="s">
        <v>215</v>
      </c>
      <c r="B3944" t="s">
        <v>3890</v>
      </c>
      <c r="C3944" t="s">
        <v>88</v>
      </c>
      <c r="D3944" t="s">
        <v>3891</v>
      </c>
      <c r="E3944" t="s">
        <v>1523</v>
      </c>
      <c r="F3944" t="s">
        <v>88</v>
      </c>
      <c r="G3944" t="s">
        <v>88</v>
      </c>
      <c r="H3944" t="s">
        <v>92</v>
      </c>
    </row>
    <row r="3945" spans="1:8" x14ac:dyDescent="0.25">
      <c r="A3945" t="s">
        <v>215</v>
      </c>
      <c r="B3945" t="s">
        <v>3892</v>
      </c>
      <c r="C3945" t="s">
        <v>88</v>
      </c>
      <c r="D3945" t="s">
        <v>3893</v>
      </c>
      <c r="E3945" t="s">
        <v>1523</v>
      </c>
      <c r="F3945" t="s">
        <v>88</v>
      </c>
      <c r="G3945" t="s">
        <v>88</v>
      </c>
      <c r="H3945" t="s">
        <v>92</v>
      </c>
    </row>
    <row r="3946" spans="1:8" x14ac:dyDescent="0.25">
      <c r="A3946" t="s">
        <v>215</v>
      </c>
      <c r="B3946" t="s">
        <v>3894</v>
      </c>
      <c r="C3946" t="s">
        <v>88</v>
      </c>
      <c r="D3946" t="s">
        <v>3895</v>
      </c>
      <c r="E3946" t="s">
        <v>1523</v>
      </c>
      <c r="F3946" t="s">
        <v>88</v>
      </c>
      <c r="G3946" t="s">
        <v>88</v>
      </c>
      <c r="H3946" t="s">
        <v>92</v>
      </c>
    </row>
    <row r="3947" spans="1:8" x14ac:dyDescent="0.25">
      <c r="A3947" t="s">
        <v>215</v>
      </c>
      <c r="B3947" t="s">
        <v>3896</v>
      </c>
      <c r="C3947" t="s">
        <v>88</v>
      </c>
      <c r="D3947" t="s">
        <v>3897</v>
      </c>
      <c r="E3947" t="s">
        <v>1518</v>
      </c>
      <c r="F3947" t="s">
        <v>88</v>
      </c>
      <c r="G3947" t="s">
        <v>88</v>
      </c>
      <c r="H3947" t="s">
        <v>92</v>
      </c>
    </row>
    <row r="3948" spans="1:8" x14ac:dyDescent="0.25">
      <c r="A3948" t="s">
        <v>215</v>
      </c>
      <c r="B3948" t="s">
        <v>3898</v>
      </c>
      <c r="C3948" t="s">
        <v>88</v>
      </c>
      <c r="D3948" t="s">
        <v>3899</v>
      </c>
      <c r="E3948" t="s">
        <v>1523</v>
      </c>
      <c r="F3948" t="s">
        <v>88</v>
      </c>
      <c r="G3948" t="s">
        <v>88</v>
      </c>
      <c r="H3948" t="s">
        <v>92</v>
      </c>
    </row>
    <row r="3949" spans="1:8" x14ac:dyDescent="0.25">
      <c r="A3949" t="s">
        <v>215</v>
      </c>
      <c r="B3949" t="s">
        <v>3900</v>
      </c>
      <c r="C3949" t="s">
        <v>88</v>
      </c>
      <c r="D3949" t="s">
        <v>3901</v>
      </c>
      <c r="E3949" t="s">
        <v>1518</v>
      </c>
      <c r="F3949" t="s">
        <v>88</v>
      </c>
      <c r="G3949" t="s">
        <v>88</v>
      </c>
      <c r="H3949" t="s">
        <v>92</v>
      </c>
    </row>
    <row r="3950" spans="1:8" x14ac:dyDescent="0.25">
      <c r="A3950" t="s">
        <v>215</v>
      </c>
      <c r="B3950" t="s">
        <v>3902</v>
      </c>
      <c r="C3950" t="s">
        <v>88</v>
      </c>
      <c r="D3950" t="s">
        <v>3903</v>
      </c>
      <c r="E3950" t="s">
        <v>1484</v>
      </c>
      <c r="F3950" t="s">
        <v>88</v>
      </c>
      <c r="G3950" t="s">
        <v>88</v>
      </c>
      <c r="H3950" t="s">
        <v>92</v>
      </c>
    </row>
    <row r="3951" spans="1:8" x14ac:dyDescent="0.25">
      <c r="A3951" t="s">
        <v>215</v>
      </c>
      <c r="B3951" t="s">
        <v>3904</v>
      </c>
      <c r="C3951" t="s">
        <v>88</v>
      </c>
      <c r="D3951" t="s">
        <v>3905</v>
      </c>
      <c r="E3951" t="s">
        <v>1484</v>
      </c>
      <c r="F3951" t="s">
        <v>88</v>
      </c>
      <c r="G3951" t="s">
        <v>88</v>
      </c>
      <c r="H3951" t="s">
        <v>92</v>
      </c>
    </row>
    <row r="3952" spans="1:8" x14ac:dyDescent="0.25">
      <c r="A3952" t="s">
        <v>215</v>
      </c>
      <c r="B3952" t="s">
        <v>3906</v>
      </c>
      <c r="C3952" t="s">
        <v>88</v>
      </c>
      <c r="D3952" t="s">
        <v>3907</v>
      </c>
      <c r="E3952" t="s">
        <v>1484</v>
      </c>
      <c r="F3952" t="s">
        <v>88</v>
      </c>
      <c r="G3952" t="s">
        <v>88</v>
      </c>
      <c r="H3952" t="s">
        <v>92</v>
      </c>
    </row>
    <row r="3953" spans="1:8" x14ac:dyDescent="0.25">
      <c r="A3953" t="s">
        <v>215</v>
      </c>
      <c r="B3953" t="s">
        <v>3908</v>
      </c>
      <c r="C3953" t="s">
        <v>88</v>
      </c>
      <c r="D3953" t="s">
        <v>3909</v>
      </c>
      <c r="E3953" t="s">
        <v>3117</v>
      </c>
      <c r="F3953" t="s">
        <v>88</v>
      </c>
      <c r="G3953" t="s">
        <v>88</v>
      </c>
      <c r="H3953" t="s">
        <v>92</v>
      </c>
    </row>
    <row r="3954" spans="1:8" x14ac:dyDescent="0.25">
      <c r="A3954" t="s">
        <v>215</v>
      </c>
      <c r="B3954" t="s">
        <v>3910</v>
      </c>
      <c r="C3954" t="s">
        <v>88</v>
      </c>
      <c r="D3954" t="s">
        <v>3911</v>
      </c>
      <c r="E3954" t="s">
        <v>3117</v>
      </c>
      <c r="F3954" t="s">
        <v>88</v>
      </c>
      <c r="G3954" t="s">
        <v>88</v>
      </c>
      <c r="H3954" t="s">
        <v>92</v>
      </c>
    </row>
    <row r="3955" spans="1:8" x14ac:dyDescent="0.25">
      <c r="A3955" t="s">
        <v>215</v>
      </c>
      <c r="B3955" t="s">
        <v>3912</v>
      </c>
      <c r="C3955" t="s">
        <v>88</v>
      </c>
      <c r="D3955" t="s">
        <v>3913</v>
      </c>
      <c r="E3955" t="s">
        <v>3117</v>
      </c>
      <c r="F3955" t="s">
        <v>88</v>
      </c>
      <c r="G3955" t="s">
        <v>88</v>
      </c>
      <c r="H3955" t="s">
        <v>92</v>
      </c>
    </row>
    <row r="3956" spans="1:8" x14ac:dyDescent="0.25">
      <c r="A3956" t="s">
        <v>215</v>
      </c>
      <c r="B3956" t="s">
        <v>3914</v>
      </c>
      <c r="C3956" t="s">
        <v>88</v>
      </c>
      <c r="D3956" t="s">
        <v>3915</v>
      </c>
      <c r="E3956" t="s">
        <v>1584</v>
      </c>
      <c r="F3956" t="s">
        <v>88</v>
      </c>
      <c r="G3956" t="s">
        <v>88</v>
      </c>
      <c r="H3956" t="s">
        <v>92</v>
      </c>
    </row>
    <row r="3957" spans="1:8" x14ac:dyDescent="0.25">
      <c r="A3957" t="s">
        <v>215</v>
      </c>
      <c r="B3957" t="s">
        <v>3916</v>
      </c>
      <c r="C3957" t="s">
        <v>88</v>
      </c>
      <c r="D3957" t="s">
        <v>3917</v>
      </c>
      <c r="E3957" t="s">
        <v>1584</v>
      </c>
      <c r="F3957" t="s">
        <v>88</v>
      </c>
      <c r="G3957" t="s">
        <v>88</v>
      </c>
      <c r="H3957" t="s">
        <v>92</v>
      </c>
    </row>
    <row r="3958" spans="1:8" x14ac:dyDescent="0.25">
      <c r="A3958" t="s">
        <v>215</v>
      </c>
      <c r="B3958" t="s">
        <v>3918</v>
      </c>
      <c r="C3958" t="s">
        <v>88</v>
      </c>
      <c r="D3958" t="s">
        <v>3919</v>
      </c>
      <c r="E3958" t="s">
        <v>1584</v>
      </c>
      <c r="F3958" t="s">
        <v>88</v>
      </c>
      <c r="G3958" t="s">
        <v>88</v>
      </c>
      <c r="H3958" t="s">
        <v>92</v>
      </c>
    </row>
    <row r="3959" spans="1:8" x14ac:dyDescent="0.25">
      <c r="A3959" t="s">
        <v>215</v>
      </c>
      <c r="B3959" t="s">
        <v>3920</v>
      </c>
      <c r="C3959" t="s">
        <v>88</v>
      </c>
      <c r="D3959" t="s">
        <v>3921</v>
      </c>
      <c r="E3959" t="s">
        <v>1574</v>
      </c>
      <c r="F3959" t="s">
        <v>88</v>
      </c>
      <c r="G3959" t="s">
        <v>88</v>
      </c>
      <c r="H3959" t="s">
        <v>92</v>
      </c>
    </row>
    <row r="3960" spans="1:8" x14ac:dyDescent="0.25">
      <c r="A3960" t="s">
        <v>215</v>
      </c>
      <c r="B3960" t="s">
        <v>3922</v>
      </c>
      <c r="C3960" t="s">
        <v>88</v>
      </c>
      <c r="D3960" t="s">
        <v>3923</v>
      </c>
      <c r="E3960" t="s">
        <v>1574</v>
      </c>
      <c r="F3960" t="s">
        <v>88</v>
      </c>
      <c r="G3960" t="s">
        <v>88</v>
      </c>
      <c r="H3960" t="s">
        <v>92</v>
      </c>
    </row>
    <row r="3961" spans="1:8" x14ac:dyDescent="0.25">
      <c r="A3961" t="s">
        <v>215</v>
      </c>
      <c r="B3961" t="s">
        <v>3924</v>
      </c>
      <c r="C3961" t="s">
        <v>88</v>
      </c>
      <c r="D3961" t="s">
        <v>3925</v>
      </c>
      <c r="E3961" t="s">
        <v>1574</v>
      </c>
      <c r="F3961" t="s">
        <v>88</v>
      </c>
      <c r="G3961" t="s">
        <v>88</v>
      </c>
      <c r="H3961" t="s">
        <v>92</v>
      </c>
    </row>
    <row r="3962" spans="1:8" x14ac:dyDescent="0.25">
      <c r="A3962" t="s">
        <v>215</v>
      </c>
      <c r="B3962" t="s">
        <v>3926</v>
      </c>
      <c r="C3962" t="s">
        <v>88</v>
      </c>
      <c r="D3962" t="s">
        <v>3927</v>
      </c>
      <c r="E3962" t="s">
        <v>1452</v>
      </c>
      <c r="F3962" t="s">
        <v>88</v>
      </c>
      <c r="G3962" t="s">
        <v>88</v>
      </c>
      <c r="H3962" t="s">
        <v>92</v>
      </c>
    </row>
    <row r="3963" spans="1:8" x14ac:dyDescent="0.25">
      <c r="A3963" t="s">
        <v>215</v>
      </c>
      <c r="B3963" t="s">
        <v>3928</v>
      </c>
      <c r="C3963" t="s">
        <v>88</v>
      </c>
      <c r="D3963" t="s">
        <v>3929</v>
      </c>
      <c r="E3963" t="s">
        <v>1452</v>
      </c>
      <c r="F3963" t="s">
        <v>88</v>
      </c>
      <c r="G3963" t="s">
        <v>88</v>
      </c>
      <c r="H3963" t="s">
        <v>92</v>
      </c>
    </row>
    <row r="3964" spans="1:8" x14ac:dyDescent="0.25">
      <c r="A3964" t="s">
        <v>215</v>
      </c>
      <c r="B3964" t="s">
        <v>3930</v>
      </c>
      <c r="C3964" t="s">
        <v>88</v>
      </c>
      <c r="D3964" t="s">
        <v>3931</v>
      </c>
      <c r="E3964" t="s">
        <v>1452</v>
      </c>
      <c r="F3964" t="s">
        <v>88</v>
      </c>
      <c r="G3964" t="s">
        <v>88</v>
      </c>
      <c r="H3964" t="s">
        <v>92</v>
      </c>
    </row>
    <row r="3965" spans="1:8" x14ac:dyDescent="0.25">
      <c r="A3965" t="s">
        <v>215</v>
      </c>
      <c r="B3965" t="s">
        <v>3932</v>
      </c>
      <c r="C3965" t="s">
        <v>88</v>
      </c>
      <c r="D3965" t="s">
        <v>3933</v>
      </c>
      <c r="E3965" t="s">
        <v>1452</v>
      </c>
      <c r="F3965" t="s">
        <v>88</v>
      </c>
      <c r="G3965" t="s">
        <v>88</v>
      </c>
      <c r="H3965" t="s">
        <v>92</v>
      </c>
    </row>
    <row r="3966" spans="1:8" x14ac:dyDescent="0.25">
      <c r="A3966" t="s">
        <v>215</v>
      </c>
      <c r="B3966" t="s">
        <v>3934</v>
      </c>
      <c r="C3966" t="s">
        <v>88</v>
      </c>
      <c r="D3966" t="s">
        <v>3935</v>
      </c>
      <c r="E3966" t="s">
        <v>1478</v>
      </c>
      <c r="F3966" t="s">
        <v>88</v>
      </c>
      <c r="G3966" t="s">
        <v>88</v>
      </c>
      <c r="H3966" t="s">
        <v>92</v>
      </c>
    </row>
    <row r="3967" spans="1:8" x14ac:dyDescent="0.25">
      <c r="A3967" t="s">
        <v>215</v>
      </c>
      <c r="B3967" t="s">
        <v>3936</v>
      </c>
      <c r="C3967" t="s">
        <v>88</v>
      </c>
      <c r="D3967" t="s">
        <v>3937</v>
      </c>
      <c r="E3967" t="s">
        <v>1509</v>
      </c>
      <c r="F3967" t="s">
        <v>88</v>
      </c>
      <c r="G3967" t="s">
        <v>88</v>
      </c>
      <c r="H3967" t="s">
        <v>92</v>
      </c>
    </row>
    <row r="3968" spans="1:8" x14ac:dyDescent="0.25">
      <c r="A3968" t="s">
        <v>215</v>
      </c>
      <c r="B3968" t="s">
        <v>3938</v>
      </c>
      <c r="C3968" t="s">
        <v>88</v>
      </c>
      <c r="D3968" t="s">
        <v>3939</v>
      </c>
      <c r="E3968" t="s">
        <v>1509</v>
      </c>
      <c r="F3968" t="s">
        <v>88</v>
      </c>
      <c r="G3968" t="s">
        <v>88</v>
      </c>
      <c r="H3968" t="s">
        <v>92</v>
      </c>
    </row>
    <row r="3969" spans="1:8" x14ac:dyDescent="0.25">
      <c r="A3969" t="s">
        <v>215</v>
      </c>
      <c r="B3969" t="s">
        <v>3940</v>
      </c>
      <c r="C3969" t="s">
        <v>88</v>
      </c>
      <c r="D3969" t="s">
        <v>3941</v>
      </c>
      <c r="E3969" t="s">
        <v>1452</v>
      </c>
      <c r="F3969" t="s">
        <v>88</v>
      </c>
      <c r="G3969" t="s">
        <v>88</v>
      </c>
      <c r="H3969" t="s">
        <v>92</v>
      </c>
    </row>
    <row r="3970" spans="1:8" x14ac:dyDescent="0.25">
      <c r="A3970" t="s">
        <v>215</v>
      </c>
      <c r="B3970" t="s">
        <v>3942</v>
      </c>
      <c r="C3970" t="s">
        <v>88</v>
      </c>
      <c r="D3970" t="s">
        <v>88</v>
      </c>
      <c r="E3970" t="s">
        <v>1636</v>
      </c>
      <c r="F3970" t="s">
        <v>88</v>
      </c>
      <c r="G3970" t="s">
        <v>88</v>
      </c>
      <c r="H3970" t="s">
        <v>92</v>
      </c>
    </row>
    <row r="3971" spans="1:8" x14ac:dyDescent="0.25">
      <c r="A3971" t="s">
        <v>215</v>
      </c>
      <c r="B3971" t="s">
        <v>3943</v>
      </c>
      <c r="C3971" t="s">
        <v>88</v>
      </c>
      <c r="D3971" t="s">
        <v>88</v>
      </c>
      <c r="E3971" t="s">
        <v>1636</v>
      </c>
      <c r="F3971" t="s">
        <v>88</v>
      </c>
      <c r="G3971" t="s">
        <v>88</v>
      </c>
      <c r="H3971" t="s">
        <v>92</v>
      </c>
    </row>
    <row r="3972" spans="1:8" x14ac:dyDescent="0.25">
      <c r="A3972" t="s">
        <v>215</v>
      </c>
      <c r="B3972" t="s">
        <v>3944</v>
      </c>
      <c r="C3972" t="s">
        <v>88</v>
      </c>
      <c r="D3972" t="s">
        <v>88</v>
      </c>
      <c r="E3972" t="s">
        <v>3112</v>
      </c>
      <c r="F3972" t="s">
        <v>88</v>
      </c>
      <c r="G3972" t="s">
        <v>88</v>
      </c>
      <c r="H3972" t="s">
        <v>92</v>
      </c>
    </row>
    <row r="3973" spans="1:8" x14ac:dyDescent="0.25">
      <c r="A3973" t="s">
        <v>215</v>
      </c>
      <c r="B3973" t="s">
        <v>3945</v>
      </c>
      <c r="C3973" t="s">
        <v>88</v>
      </c>
      <c r="D3973" t="s">
        <v>88</v>
      </c>
      <c r="E3973" t="s">
        <v>1584</v>
      </c>
      <c r="F3973" t="s">
        <v>88</v>
      </c>
      <c r="G3973" t="s">
        <v>88</v>
      </c>
      <c r="H3973" t="s">
        <v>92</v>
      </c>
    </row>
    <row r="3974" spans="1:8" x14ac:dyDescent="0.25">
      <c r="A3974" t="s">
        <v>215</v>
      </c>
      <c r="B3974" t="s">
        <v>3679</v>
      </c>
      <c r="C3974" t="s">
        <v>88</v>
      </c>
      <c r="D3974" t="s">
        <v>88</v>
      </c>
      <c r="E3974" t="s">
        <v>3112</v>
      </c>
      <c r="F3974" t="s">
        <v>88</v>
      </c>
      <c r="G3974" t="s">
        <v>88</v>
      </c>
      <c r="H3974" t="s">
        <v>92</v>
      </c>
    </row>
    <row r="3975" spans="1:8" x14ac:dyDescent="0.25">
      <c r="A3975" t="s">
        <v>215</v>
      </c>
      <c r="B3975" t="s">
        <v>3946</v>
      </c>
      <c r="C3975" t="s">
        <v>88</v>
      </c>
      <c r="D3975" t="s">
        <v>3947</v>
      </c>
      <c r="E3975" t="s">
        <v>1556</v>
      </c>
      <c r="F3975" t="s">
        <v>88</v>
      </c>
      <c r="G3975" t="s">
        <v>88</v>
      </c>
      <c r="H3975" t="s">
        <v>92</v>
      </c>
    </row>
    <row r="3976" spans="1:8" x14ac:dyDescent="0.25">
      <c r="A3976" t="s">
        <v>215</v>
      </c>
      <c r="B3976" t="s">
        <v>3948</v>
      </c>
      <c r="C3976" t="s">
        <v>88</v>
      </c>
      <c r="D3976" t="s">
        <v>88</v>
      </c>
      <c r="E3976" t="s">
        <v>3115</v>
      </c>
      <c r="F3976" t="s">
        <v>88</v>
      </c>
      <c r="G3976" t="s">
        <v>88</v>
      </c>
      <c r="H3976" t="s">
        <v>92</v>
      </c>
    </row>
    <row r="3977" spans="1:8" x14ac:dyDescent="0.25">
      <c r="A3977" t="s">
        <v>215</v>
      </c>
      <c r="B3977" t="s">
        <v>3949</v>
      </c>
      <c r="C3977" t="s">
        <v>88</v>
      </c>
      <c r="D3977" t="s">
        <v>88</v>
      </c>
      <c r="E3977" t="s">
        <v>3115</v>
      </c>
      <c r="F3977" t="s">
        <v>88</v>
      </c>
      <c r="G3977" t="s">
        <v>88</v>
      </c>
      <c r="H3977" t="s">
        <v>92</v>
      </c>
    </row>
    <row r="3978" spans="1:8" x14ac:dyDescent="0.25">
      <c r="A3978" t="s">
        <v>215</v>
      </c>
      <c r="B3978" t="s">
        <v>3950</v>
      </c>
      <c r="C3978" t="s">
        <v>88</v>
      </c>
      <c r="D3978" t="s">
        <v>88</v>
      </c>
      <c r="E3978" t="s">
        <v>3115</v>
      </c>
      <c r="F3978" t="s">
        <v>88</v>
      </c>
      <c r="G3978" t="s">
        <v>88</v>
      </c>
      <c r="H3978" t="s">
        <v>92</v>
      </c>
    </row>
    <row r="3979" spans="1:8" x14ac:dyDescent="0.25">
      <c r="A3979" t="s">
        <v>215</v>
      </c>
      <c r="B3979" t="s">
        <v>1632</v>
      </c>
      <c r="C3979" t="s">
        <v>88</v>
      </c>
      <c r="D3979" t="s">
        <v>3951</v>
      </c>
      <c r="E3979" t="s">
        <v>3109</v>
      </c>
      <c r="F3979" t="s">
        <v>88</v>
      </c>
      <c r="G3979" t="s">
        <v>88</v>
      </c>
      <c r="H3979" t="s">
        <v>92</v>
      </c>
    </row>
    <row r="3980" spans="1:8" x14ac:dyDescent="0.25">
      <c r="A3980" t="s">
        <v>215</v>
      </c>
      <c r="B3980" t="s">
        <v>3952</v>
      </c>
      <c r="C3980" t="s">
        <v>88</v>
      </c>
      <c r="D3980" t="s">
        <v>3953</v>
      </c>
      <c r="E3980" t="s">
        <v>1584</v>
      </c>
      <c r="F3980" t="s">
        <v>88</v>
      </c>
      <c r="G3980" t="s">
        <v>88</v>
      </c>
      <c r="H3980" t="s">
        <v>92</v>
      </c>
    </row>
    <row r="3981" spans="1:8" x14ac:dyDescent="0.25">
      <c r="A3981" t="s">
        <v>215</v>
      </c>
      <c r="B3981" t="s">
        <v>1072</v>
      </c>
      <c r="C3981" t="s">
        <v>88</v>
      </c>
      <c r="D3981" t="s">
        <v>88</v>
      </c>
      <c r="E3981" t="s">
        <v>1636</v>
      </c>
      <c r="F3981" t="s">
        <v>88</v>
      </c>
      <c r="G3981" t="s">
        <v>88</v>
      </c>
      <c r="H3981" t="s">
        <v>92</v>
      </c>
    </row>
    <row r="3982" spans="1:8" x14ac:dyDescent="0.25">
      <c r="A3982" t="s">
        <v>215</v>
      </c>
      <c r="B3982" t="s">
        <v>701</v>
      </c>
      <c r="C3982" t="s">
        <v>88</v>
      </c>
      <c r="D3982" t="s">
        <v>88</v>
      </c>
      <c r="E3982" t="s">
        <v>1636</v>
      </c>
      <c r="F3982" t="s">
        <v>88</v>
      </c>
      <c r="G3982" t="s">
        <v>88</v>
      </c>
      <c r="H3982" t="s">
        <v>92</v>
      </c>
    </row>
    <row r="3983" spans="1:8" x14ac:dyDescent="0.25">
      <c r="A3983" t="s">
        <v>215</v>
      </c>
      <c r="B3983" t="s">
        <v>703</v>
      </c>
      <c r="C3983" t="s">
        <v>88</v>
      </c>
      <c r="D3983" t="s">
        <v>88</v>
      </c>
      <c r="E3983" t="s">
        <v>1636</v>
      </c>
      <c r="F3983" t="s">
        <v>88</v>
      </c>
      <c r="G3983" t="s">
        <v>88</v>
      </c>
      <c r="H3983" t="s">
        <v>92</v>
      </c>
    </row>
    <row r="3984" spans="1:8" x14ac:dyDescent="0.25">
      <c r="A3984" t="s">
        <v>215</v>
      </c>
      <c r="B3984" t="s">
        <v>705</v>
      </c>
      <c r="C3984" t="s">
        <v>88</v>
      </c>
      <c r="D3984" t="s">
        <v>88</v>
      </c>
      <c r="E3984" t="s">
        <v>1636</v>
      </c>
      <c r="F3984" t="s">
        <v>88</v>
      </c>
      <c r="G3984" t="s">
        <v>88</v>
      </c>
      <c r="H3984" t="s">
        <v>92</v>
      </c>
    </row>
    <row r="3985" spans="1:8" x14ac:dyDescent="0.25">
      <c r="A3985" t="s">
        <v>215</v>
      </c>
      <c r="B3985" t="s">
        <v>706</v>
      </c>
      <c r="C3985" t="s">
        <v>88</v>
      </c>
      <c r="D3985" t="s">
        <v>88</v>
      </c>
      <c r="E3985" t="s">
        <v>1636</v>
      </c>
      <c r="F3985" t="s">
        <v>88</v>
      </c>
      <c r="G3985" t="s">
        <v>88</v>
      </c>
      <c r="H3985" t="s">
        <v>92</v>
      </c>
    </row>
    <row r="3986" spans="1:8" x14ac:dyDescent="0.25">
      <c r="A3986" t="s">
        <v>215</v>
      </c>
      <c r="B3986" t="s">
        <v>997</v>
      </c>
      <c r="C3986" t="s">
        <v>88</v>
      </c>
      <c r="D3986" t="s">
        <v>88</v>
      </c>
      <c r="E3986" t="s">
        <v>1636</v>
      </c>
      <c r="F3986" t="s">
        <v>88</v>
      </c>
      <c r="G3986" t="s">
        <v>88</v>
      </c>
      <c r="H3986" t="s">
        <v>92</v>
      </c>
    </row>
    <row r="3987" spans="1:8" x14ac:dyDescent="0.25">
      <c r="A3987" t="s">
        <v>215</v>
      </c>
      <c r="B3987" t="s">
        <v>2570</v>
      </c>
      <c r="C3987" t="s">
        <v>88</v>
      </c>
      <c r="D3987" t="s">
        <v>88</v>
      </c>
      <c r="E3987" t="s">
        <v>1636</v>
      </c>
      <c r="F3987" t="s">
        <v>88</v>
      </c>
      <c r="G3987" t="s">
        <v>88</v>
      </c>
      <c r="H3987" t="s">
        <v>92</v>
      </c>
    </row>
    <row r="3988" spans="1:8" x14ac:dyDescent="0.25">
      <c r="A3988" t="s">
        <v>215</v>
      </c>
      <c r="B3988" t="s">
        <v>3954</v>
      </c>
      <c r="C3988" t="s">
        <v>88</v>
      </c>
      <c r="D3988" t="s">
        <v>88</v>
      </c>
      <c r="E3988" t="s">
        <v>1636</v>
      </c>
      <c r="F3988" t="s">
        <v>88</v>
      </c>
      <c r="G3988" t="s">
        <v>88</v>
      </c>
      <c r="H3988" t="s">
        <v>92</v>
      </c>
    </row>
    <row r="3989" spans="1:8" x14ac:dyDescent="0.25">
      <c r="A3989" t="s">
        <v>215</v>
      </c>
      <c r="B3989" t="s">
        <v>3955</v>
      </c>
      <c r="C3989" t="s">
        <v>88</v>
      </c>
      <c r="D3989" t="s">
        <v>88</v>
      </c>
      <c r="E3989" t="s">
        <v>1636</v>
      </c>
      <c r="F3989" t="s">
        <v>88</v>
      </c>
      <c r="G3989" t="s">
        <v>88</v>
      </c>
      <c r="H3989" t="s">
        <v>92</v>
      </c>
    </row>
    <row r="3990" spans="1:8" x14ac:dyDescent="0.25">
      <c r="A3990" t="s">
        <v>215</v>
      </c>
      <c r="B3990" t="s">
        <v>1638</v>
      </c>
      <c r="C3990" t="s">
        <v>88</v>
      </c>
      <c r="D3990" t="s">
        <v>88</v>
      </c>
      <c r="E3990" t="s">
        <v>1636</v>
      </c>
      <c r="F3990" t="s">
        <v>88</v>
      </c>
      <c r="G3990" t="s">
        <v>88</v>
      </c>
      <c r="H3990" t="s">
        <v>92</v>
      </c>
    </row>
    <row r="3991" spans="1:8" x14ac:dyDescent="0.25">
      <c r="A3991" t="s">
        <v>215</v>
      </c>
      <c r="B3991" t="s">
        <v>1637</v>
      </c>
      <c r="C3991" t="s">
        <v>88</v>
      </c>
      <c r="D3991" t="s">
        <v>88</v>
      </c>
      <c r="E3991" t="s">
        <v>1636</v>
      </c>
      <c r="F3991" t="s">
        <v>88</v>
      </c>
      <c r="G3991" t="s">
        <v>88</v>
      </c>
      <c r="H3991" t="s">
        <v>92</v>
      </c>
    </row>
    <row r="3992" spans="1:8" x14ac:dyDescent="0.25">
      <c r="A3992" t="s">
        <v>215</v>
      </c>
      <c r="B3992" t="s">
        <v>3956</v>
      </c>
      <c r="C3992" t="s">
        <v>88</v>
      </c>
      <c r="D3992" t="s">
        <v>88</v>
      </c>
      <c r="E3992" t="s">
        <v>3115</v>
      </c>
      <c r="F3992" t="s">
        <v>88</v>
      </c>
      <c r="G3992" t="s">
        <v>88</v>
      </c>
      <c r="H3992" t="s">
        <v>92</v>
      </c>
    </row>
    <row r="3993" spans="1:8" x14ac:dyDescent="0.25">
      <c r="A3993" t="s">
        <v>215</v>
      </c>
      <c r="B3993" t="s">
        <v>3957</v>
      </c>
      <c r="C3993" t="s">
        <v>88</v>
      </c>
      <c r="D3993" t="s">
        <v>88</v>
      </c>
      <c r="E3993" t="s">
        <v>1640</v>
      </c>
      <c r="F3993" t="s">
        <v>88</v>
      </c>
      <c r="G3993" t="s">
        <v>88</v>
      </c>
      <c r="H3993" t="s">
        <v>92</v>
      </c>
    </row>
    <row r="3994" spans="1:8" x14ac:dyDescent="0.25">
      <c r="A3994" t="s">
        <v>215</v>
      </c>
      <c r="B3994" t="s">
        <v>3958</v>
      </c>
      <c r="C3994" t="s">
        <v>88</v>
      </c>
      <c r="D3994" t="s">
        <v>88</v>
      </c>
      <c r="E3994" t="s">
        <v>1652</v>
      </c>
      <c r="F3994" t="s">
        <v>88</v>
      </c>
      <c r="G3994" t="s">
        <v>88</v>
      </c>
      <c r="H3994" t="s">
        <v>92</v>
      </c>
    </row>
    <row r="3995" spans="1:8" x14ac:dyDescent="0.25">
      <c r="A3995" t="s">
        <v>215</v>
      </c>
      <c r="B3995" t="s">
        <v>714</v>
      </c>
      <c r="C3995" t="s">
        <v>88</v>
      </c>
      <c r="D3995" t="s">
        <v>88</v>
      </c>
      <c r="E3995" t="s">
        <v>3117</v>
      </c>
      <c r="F3995" t="s">
        <v>88</v>
      </c>
      <c r="G3995" t="s">
        <v>88</v>
      </c>
      <c r="H3995" t="s">
        <v>92</v>
      </c>
    </row>
    <row r="3996" spans="1:8" x14ac:dyDescent="0.25">
      <c r="A3996" t="s">
        <v>215</v>
      </c>
      <c r="B3996" t="s">
        <v>1074</v>
      </c>
      <c r="C3996" t="s">
        <v>88</v>
      </c>
      <c r="D3996" t="s">
        <v>88</v>
      </c>
      <c r="E3996" t="s">
        <v>3117</v>
      </c>
      <c r="F3996" t="s">
        <v>88</v>
      </c>
      <c r="G3996" t="s">
        <v>88</v>
      </c>
      <c r="H3996" t="s">
        <v>92</v>
      </c>
    </row>
    <row r="3997" spans="1:8" x14ac:dyDescent="0.25">
      <c r="A3997" t="s">
        <v>215</v>
      </c>
      <c r="B3997" t="s">
        <v>1075</v>
      </c>
      <c r="C3997" t="s">
        <v>88</v>
      </c>
      <c r="D3997" t="s">
        <v>88</v>
      </c>
      <c r="E3997" t="s">
        <v>3117</v>
      </c>
      <c r="F3997" t="s">
        <v>88</v>
      </c>
      <c r="G3997" t="s">
        <v>88</v>
      </c>
      <c r="H3997" t="s">
        <v>92</v>
      </c>
    </row>
    <row r="3998" spans="1:8" x14ac:dyDescent="0.25">
      <c r="A3998" t="s">
        <v>215</v>
      </c>
      <c r="B3998" t="s">
        <v>998</v>
      </c>
      <c r="C3998" t="s">
        <v>88</v>
      </c>
      <c r="D3998" t="s">
        <v>88</v>
      </c>
      <c r="E3998" t="s">
        <v>3117</v>
      </c>
      <c r="F3998" t="s">
        <v>88</v>
      </c>
      <c r="G3998" t="s">
        <v>88</v>
      </c>
      <c r="H3998" t="s">
        <v>92</v>
      </c>
    </row>
    <row r="3999" spans="1:8" x14ac:dyDescent="0.25">
      <c r="A3999" t="s">
        <v>215</v>
      </c>
      <c r="B3999" t="s">
        <v>1073</v>
      </c>
      <c r="C3999" t="s">
        <v>88</v>
      </c>
      <c r="D3999" t="s">
        <v>88</v>
      </c>
      <c r="E3999" t="s">
        <v>3117</v>
      </c>
      <c r="F3999" t="s">
        <v>88</v>
      </c>
      <c r="G3999" t="s">
        <v>88</v>
      </c>
      <c r="H3999" t="s">
        <v>92</v>
      </c>
    </row>
    <row r="4000" spans="1:8" x14ac:dyDescent="0.25">
      <c r="A4000" t="s">
        <v>215</v>
      </c>
      <c r="B4000" t="s">
        <v>1655</v>
      </c>
      <c r="C4000" t="s">
        <v>88</v>
      </c>
      <c r="D4000" t="s">
        <v>88</v>
      </c>
      <c r="E4000" t="s">
        <v>3117</v>
      </c>
      <c r="F4000" t="s">
        <v>88</v>
      </c>
      <c r="G4000" t="s">
        <v>88</v>
      </c>
      <c r="H4000" t="s">
        <v>92</v>
      </c>
    </row>
    <row r="4001" spans="1:8" x14ac:dyDescent="0.25">
      <c r="A4001" t="s">
        <v>215</v>
      </c>
      <c r="B4001" t="s">
        <v>1654</v>
      </c>
      <c r="C4001" t="s">
        <v>88</v>
      </c>
      <c r="D4001" t="s">
        <v>88</v>
      </c>
      <c r="E4001" t="s">
        <v>3117</v>
      </c>
      <c r="F4001" t="s">
        <v>88</v>
      </c>
      <c r="G4001" t="s">
        <v>88</v>
      </c>
      <c r="H4001" t="s">
        <v>92</v>
      </c>
    </row>
    <row r="4002" spans="1:8" x14ac:dyDescent="0.25">
      <c r="A4002" t="s">
        <v>215</v>
      </c>
      <c r="B4002" t="s">
        <v>1033</v>
      </c>
      <c r="C4002" t="s">
        <v>88</v>
      </c>
      <c r="D4002" t="s">
        <v>88</v>
      </c>
      <c r="E4002" t="s">
        <v>3117</v>
      </c>
      <c r="F4002" t="s">
        <v>88</v>
      </c>
      <c r="G4002" t="s">
        <v>88</v>
      </c>
      <c r="H4002" t="s">
        <v>92</v>
      </c>
    </row>
    <row r="4003" spans="1:8" x14ac:dyDescent="0.25">
      <c r="A4003" t="s">
        <v>215</v>
      </c>
      <c r="B4003" t="s">
        <v>3959</v>
      </c>
      <c r="C4003" t="s">
        <v>88</v>
      </c>
      <c r="D4003" t="s">
        <v>88</v>
      </c>
      <c r="E4003" t="s">
        <v>848</v>
      </c>
      <c r="F4003" t="s">
        <v>88</v>
      </c>
      <c r="G4003" t="s">
        <v>88</v>
      </c>
      <c r="H4003" t="s">
        <v>92</v>
      </c>
    </row>
    <row r="4004" spans="1:8" x14ac:dyDescent="0.25">
      <c r="A4004" t="s">
        <v>215</v>
      </c>
      <c r="B4004" t="s">
        <v>3960</v>
      </c>
      <c r="C4004" t="s">
        <v>88</v>
      </c>
      <c r="D4004" t="s">
        <v>88</v>
      </c>
      <c r="E4004" t="s">
        <v>848</v>
      </c>
      <c r="F4004" t="s">
        <v>88</v>
      </c>
      <c r="G4004" t="s">
        <v>88</v>
      </c>
      <c r="H4004" t="s">
        <v>92</v>
      </c>
    </row>
    <row r="4005" spans="1:8" x14ac:dyDescent="0.25">
      <c r="A4005" t="s">
        <v>215</v>
      </c>
      <c r="B4005" t="s">
        <v>2573</v>
      </c>
      <c r="C4005" t="s">
        <v>88</v>
      </c>
      <c r="D4005" t="s">
        <v>88</v>
      </c>
      <c r="E4005" t="s">
        <v>848</v>
      </c>
      <c r="F4005" t="s">
        <v>88</v>
      </c>
      <c r="G4005" t="s">
        <v>88</v>
      </c>
      <c r="H4005" t="s">
        <v>92</v>
      </c>
    </row>
    <row r="4006" spans="1:8" x14ac:dyDescent="0.25">
      <c r="A4006" t="s">
        <v>215</v>
      </c>
      <c r="B4006" t="s">
        <v>1609</v>
      </c>
      <c r="C4006" t="s">
        <v>88</v>
      </c>
      <c r="D4006" t="s">
        <v>88</v>
      </c>
      <c r="E4006" t="s">
        <v>850</v>
      </c>
      <c r="F4006" t="s">
        <v>88</v>
      </c>
      <c r="G4006" t="s">
        <v>88</v>
      </c>
      <c r="H4006" t="s">
        <v>92</v>
      </c>
    </row>
    <row r="4007" spans="1:8" x14ac:dyDescent="0.25">
      <c r="A4007" t="s">
        <v>215</v>
      </c>
      <c r="B4007" t="s">
        <v>1611</v>
      </c>
      <c r="C4007" t="s">
        <v>88</v>
      </c>
      <c r="D4007" t="s">
        <v>88</v>
      </c>
      <c r="E4007" t="s">
        <v>850</v>
      </c>
      <c r="F4007" t="s">
        <v>88</v>
      </c>
      <c r="G4007" t="s">
        <v>88</v>
      </c>
      <c r="H4007" t="s">
        <v>92</v>
      </c>
    </row>
    <row r="4008" spans="1:8" x14ac:dyDescent="0.25">
      <c r="A4008" t="s">
        <v>215</v>
      </c>
      <c r="B4008" t="s">
        <v>625</v>
      </c>
      <c r="C4008" t="s">
        <v>88</v>
      </c>
      <c r="D4008" t="s">
        <v>88</v>
      </c>
      <c r="E4008" t="s">
        <v>626</v>
      </c>
      <c r="F4008" t="s">
        <v>88</v>
      </c>
      <c r="G4008" t="s">
        <v>88</v>
      </c>
      <c r="H4008" t="s">
        <v>92</v>
      </c>
    </row>
    <row r="4009" spans="1:8" x14ac:dyDescent="0.25">
      <c r="A4009" t="s">
        <v>216</v>
      </c>
      <c r="B4009" t="s">
        <v>3684</v>
      </c>
      <c r="C4009" t="s">
        <v>88</v>
      </c>
      <c r="D4009" t="s">
        <v>3685</v>
      </c>
      <c r="E4009" t="s">
        <v>1484</v>
      </c>
      <c r="F4009" t="s">
        <v>88</v>
      </c>
      <c r="G4009" t="s">
        <v>88</v>
      </c>
      <c r="H4009" t="s">
        <v>92</v>
      </c>
    </row>
    <row r="4010" spans="1:8" x14ac:dyDescent="0.25">
      <c r="A4010" t="s">
        <v>216</v>
      </c>
      <c r="B4010" t="s">
        <v>3686</v>
      </c>
      <c r="C4010" t="s">
        <v>88</v>
      </c>
      <c r="D4010" t="s">
        <v>3687</v>
      </c>
      <c r="E4010" t="s">
        <v>1459</v>
      </c>
      <c r="F4010" t="s">
        <v>88</v>
      </c>
      <c r="G4010" t="s">
        <v>88</v>
      </c>
      <c r="H4010" t="s">
        <v>92</v>
      </c>
    </row>
    <row r="4011" spans="1:8" x14ac:dyDescent="0.25">
      <c r="A4011" t="s">
        <v>216</v>
      </c>
      <c r="B4011" t="s">
        <v>3688</v>
      </c>
      <c r="C4011" t="s">
        <v>88</v>
      </c>
      <c r="D4011" t="s">
        <v>3689</v>
      </c>
      <c r="E4011" t="s">
        <v>3690</v>
      </c>
      <c r="F4011" t="s">
        <v>88</v>
      </c>
      <c r="G4011" t="s">
        <v>88</v>
      </c>
      <c r="H4011" t="s">
        <v>92</v>
      </c>
    </row>
    <row r="4012" spans="1:8" x14ac:dyDescent="0.25">
      <c r="A4012" t="s">
        <v>216</v>
      </c>
      <c r="B4012" t="s">
        <v>3691</v>
      </c>
      <c r="C4012" t="s">
        <v>88</v>
      </c>
      <c r="D4012" t="s">
        <v>3692</v>
      </c>
      <c r="E4012" t="s">
        <v>1430</v>
      </c>
      <c r="F4012" t="s">
        <v>88</v>
      </c>
      <c r="G4012" t="s">
        <v>88</v>
      </c>
      <c r="H4012" t="s">
        <v>92</v>
      </c>
    </row>
    <row r="4013" spans="1:8" x14ac:dyDescent="0.25">
      <c r="A4013" t="s">
        <v>216</v>
      </c>
      <c r="B4013" t="s">
        <v>3693</v>
      </c>
      <c r="C4013" t="s">
        <v>88</v>
      </c>
      <c r="D4013" t="s">
        <v>3694</v>
      </c>
      <c r="E4013" t="s">
        <v>1475</v>
      </c>
      <c r="F4013" t="s">
        <v>88</v>
      </c>
      <c r="G4013" t="s">
        <v>88</v>
      </c>
      <c r="H4013" t="s">
        <v>92</v>
      </c>
    </row>
    <row r="4014" spans="1:8" x14ac:dyDescent="0.25">
      <c r="A4014" t="s">
        <v>216</v>
      </c>
      <c r="B4014" t="s">
        <v>3695</v>
      </c>
      <c r="C4014" t="s">
        <v>88</v>
      </c>
      <c r="D4014" t="s">
        <v>3696</v>
      </c>
      <c r="E4014" t="s">
        <v>1459</v>
      </c>
      <c r="F4014" t="s">
        <v>88</v>
      </c>
      <c r="G4014" t="s">
        <v>88</v>
      </c>
      <c r="H4014" t="s">
        <v>92</v>
      </c>
    </row>
    <row r="4015" spans="1:8" x14ac:dyDescent="0.25">
      <c r="A4015" t="s">
        <v>216</v>
      </c>
      <c r="B4015" t="s">
        <v>3697</v>
      </c>
      <c r="C4015" t="s">
        <v>88</v>
      </c>
      <c r="D4015" t="s">
        <v>3698</v>
      </c>
      <c r="E4015" t="s">
        <v>3690</v>
      </c>
      <c r="F4015" t="s">
        <v>88</v>
      </c>
      <c r="G4015" t="s">
        <v>88</v>
      </c>
      <c r="H4015" t="s">
        <v>92</v>
      </c>
    </row>
    <row r="4016" spans="1:8" x14ac:dyDescent="0.25">
      <c r="A4016" t="s">
        <v>216</v>
      </c>
      <c r="B4016" t="s">
        <v>3699</v>
      </c>
      <c r="C4016" t="s">
        <v>88</v>
      </c>
      <c r="D4016" t="s">
        <v>3700</v>
      </c>
      <c r="E4016" t="s">
        <v>1446</v>
      </c>
      <c r="F4016" t="s">
        <v>88</v>
      </c>
      <c r="G4016" t="s">
        <v>88</v>
      </c>
      <c r="H4016" t="s">
        <v>92</v>
      </c>
    </row>
    <row r="4017" spans="1:8" x14ac:dyDescent="0.25">
      <c r="A4017" t="s">
        <v>216</v>
      </c>
      <c r="B4017" t="s">
        <v>3701</v>
      </c>
      <c r="C4017" t="s">
        <v>88</v>
      </c>
      <c r="D4017" t="s">
        <v>3702</v>
      </c>
      <c r="E4017" t="s">
        <v>1430</v>
      </c>
      <c r="F4017" t="s">
        <v>88</v>
      </c>
      <c r="G4017" t="s">
        <v>88</v>
      </c>
      <c r="H4017" t="s">
        <v>92</v>
      </c>
    </row>
    <row r="4018" spans="1:8" x14ac:dyDescent="0.25">
      <c r="A4018" t="s">
        <v>216</v>
      </c>
      <c r="B4018" t="s">
        <v>3703</v>
      </c>
      <c r="C4018" t="s">
        <v>88</v>
      </c>
      <c r="D4018" t="s">
        <v>3702</v>
      </c>
      <c r="E4018" t="s">
        <v>3704</v>
      </c>
      <c r="F4018" t="s">
        <v>88</v>
      </c>
      <c r="G4018" t="s">
        <v>88</v>
      </c>
      <c r="H4018" t="s">
        <v>92</v>
      </c>
    </row>
    <row r="4019" spans="1:8" x14ac:dyDescent="0.25">
      <c r="A4019" t="s">
        <v>216</v>
      </c>
      <c r="B4019" t="s">
        <v>3705</v>
      </c>
      <c r="C4019" t="s">
        <v>88</v>
      </c>
      <c r="D4019" t="s">
        <v>3702</v>
      </c>
      <c r="E4019" t="s">
        <v>1430</v>
      </c>
      <c r="F4019" t="s">
        <v>88</v>
      </c>
      <c r="G4019" t="s">
        <v>88</v>
      </c>
      <c r="H4019" t="s">
        <v>92</v>
      </c>
    </row>
    <row r="4020" spans="1:8" x14ac:dyDescent="0.25">
      <c r="A4020" t="s">
        <v>216</v>
      </c>
      <c r="B4020" t="s">
        <v>3706</v>
      </c>
      <c r="C4020" t="s">
        <v>88</v>
      </c>
      <c r="D4020" t="s">
        <v>3707</v>
      </c>
      <c r="E4020" t="s">
        <v>3708</v>
      </c>
      <c r="F4020" t="s">
        <v>88</v>
      </c>
      <c r="G4020" t="s">
        <v>88</v>
      </c>
      <c r="H4020" t="s">
        <v>92</v>
      </c>
    </row>
    <row r="4021" spans="1:8" x14ac:dyDescent="0.25">
      <c r="A4021" t="s">
        <v>216</v>
      </c>
      <c r="B4021" t="s">
        <v>3709</v>
      </c>
      <c r="C4021" t="s">
        <v>88</v>
      </c>
      <c r="D4021" t="s">
        <v>3710</v>
      </c>
      <c r="E4021" t="s">
        <v>3690</v>
      </c>
      <c r="F4021" t="s">
        <v>88</v>
      </c>
      <c r="G4021" t="s">
        <v>88</v>
      </c>
      <c r="H4021" t="s">
        <v>92</v>
      </c>
    </row>
    <row r="4022" spans="1:8" x14ac:dyDescent="0.25">
      <c r="A4022" t="s">
        <v>216</v>
      </c>
      <c r="B4022" t="s">
        <v>3711</v>
      </c>
      <c r="C4022" t="s">
        <v>88</v>
      </c>
      <c r="D4022" t="s">
        <v>3712</v>
      </c>
      <c r="E4022" t="s">
        <v>2913</v>
      </c>
      <c r="F4022" t="s">
        <v>88</v>
      </c>
      <c r="G4022" t="s">
        <v>88</v>
      </c>
      <c r="H4022" t="s">
        <v>92</v>
      </c>
    </row>
    <row r="4023" spans="1:8" x14ac:dyDescent="0.25">
      <c r="A4023" t="s">
        <v>216</v>
      </c>
      <c r="B4023" t="s">
        <v>3713</v>
      </c>
      <c r="C4023" t="s">
        <v>88</v>
      </c>
      <c r="D4023" t="s">
        <v>3714</v>
      </c>
      <c r="E4023" t="s">
        <v>1459</v>
      </c>
      <c r="F4023" t="s">
        <v>88</v>
      </c>
      <c r="G4023" t="s">
        <v>88</v>
      </c>
      <c r="H4023" t="s">
        <v>92</v>
      </c>
    </row>
    <row r="4024" spans="1:8" x14ac:dyDescent="0.25">
      <c r="A4024" t="s">
        <v>216</v>
      </c>
      <c r="B4024" t="s">
        <v>3715</v>
      </c>
      <c r="C4024" t="s">
        <v>88</v>
      </c>
      <c r="D4024" t="s">
        <v>88</v>
      </c>
      <c r="E4024" t="s">
        <v>1484</v>
      </c>
      <c r="F4024" t="s">
        <v>88</v>
      </c>
      <c r="G4024" t="s">
        <v>88</v>
      </c>
      <c r="H4024" t="s">
        <v>92</v>
      </c>
    </row>
    <row r="4025" spans="1:8" x14ac:dyDescent="0.25">
      <c r="A4025" t="s">
        <v>216</v>
      </c>
      <c r="B4025" t="s">
        <v>3716</v>
      </c>
      <c r="C4025" t="s">
        <v>88</v>
      </c>
      <c r="D4025" t="s">
        <v>3702</v>
      </c>
      <c r="E4025" t="s">
        <v>2925</v>
      </c>
      <c r="F4025" t="s">
        <v>88</v>
      </c>
      <c r="G4025" t="s">
        <v>88</v>
      </c>
      <c r="H4025" t="s">
        <v>92</v>
      </c>
    </row>
    <row r="4026" spans="1:8" x14ac:dyDescent="0.25">
      <c r="A4026" t="s">
        <v>216</v>
      </c>
      <c r="B4026" t="s">
        <v>3717</v>
      </c>
      <c r="C4026" t="s">
        <v>88</v>
      </c>
      <c r="D4026" t="s">
        <v>88</v>
      </c>
      <c r="E4026" t="s">
        <v>2895</v>
      </c>
      <c r="F4026" t="s">
        <v>88</v>
      </c>
      <c r="G4026" t="s">
        <v>88</v>
      </c>
      <c r="H4026" t="s">
        <v>92</v>
      </c>
    </row>
    <row r="4027" spans="1:8" x14ac:dyDescent="0.25">
      <c r="A4027" t="s">
        <v>216</v>
      </c>
      <c r="B4027" t="s">
        <v>3718</v>
      </c>
      <c r="C4027" t="s">
        <v>88</v>
      </c>
      <c r="D4027" t="s">
        <v>88</v>
      </c>
      <c r="E4027" t="s">
        <v>3719</v>
      </c>
      <c r="F4027" t="s">
        <v>88</v>
      </c>
      <c r="G4027" t="s">
        <v>88</v>
      </c>
      <c r="H4027" t="s">
        <v>92</v>
      </c>
    </row>
    <row r="4028" spans="1:8" x14ac:dyDescent="0.25">
      <c r="A4028" t="s">
        <v>216</v>
      </c>
      <c r="B4028" t="s">
        <v>3720</v>
      </c>
      <c r="C4028" t="s">
        <v>88</v>
      </c>
      <c r="D4028" t="s">
        <v>88</v>
      </c>
      <c r="E4028" t="s">
        <v>3690</v>
      </c>
      <c r="F4028" t="s">
        <v>88</v>
      </c>
      <c r="G4028" t="s">
        <v>88</v>
      </c>
      <c r="H4028" t="s">
        <v>92</v>
      </c>
    </row>
    <row r="4029" spans="1:8" x14ac:dyDescent="0.25">
      <c r="A4029" t="s">
        <v>216</v>
      </c>
      <c r="B4029" t="s">
        <v>3721</v>
      </c>
      <c r="C4029" t="s">
        <v>88</v>
      </c>
      <c r="D4029" t="s">
        <v>88</v>
      </c>
      <c r="E4029" t="s">
        <v>3722</v>
      </c>
      <c r="F4029" t="s">
        <v>88</v>
      </c>
      <c r="G4029" t="s">
        <v>88</v>
      </c>
      <c r="H4029" t="s">
        <v>92</v>
      </c>
    </row>
    <row r="4030" spans="1:8" x14ac:dyDescent="0.25">
      <c r="A4030" t="s">
        <v>216</v>
      </c>
      <c r="B4030" t="s">
        <v>3723</v>
      </c>
      <c r="C4030" t="s">
        <v>88</v>
      </c>
      <c r="D4030" t="s">
        <v>3702</v>
      </c>
      <c r="E4030" t="s">
        <v>3724</v>
      </c>
      <c r="F4030" t="s">
        <v>88</v>
      </c>
      <c r="G4030" t="s">
        <v>88</v>
      </c>
      <c r="H4030" t="s">
        <v>92</v>
      </c>
    </row>
    <row r="4031" spans="1:8" x14ac:dyDescent="0.25">
      <c r="A4031" t="s">
        <v>216</v>
      </c>
      <c r="B4031" t="s">
        <v>3725</v>
      </c>
      <c r="C4031" t="s">
        <v>88</v>
      </c>
      <c r="D4031" t="s">
        <v>88</v>
      </c>
      <c r="E4031" t="s">
        <v>1574</v>
      </c>
      <c r="F4031" t="s">
        <v>88</v>
      </c>
      <c r="G4031" t="s">
        <v>88</v>
      </c>
      <c r="H4031" t="s">
        <v>92</v>
      </c>
    </row>
    <row r="4032" spans="1:8" x14ac:dyDescent="0.25">
      <c r="A4032" t="s">
        <v>216</v>
      </c>
      <c r="B4032" t="s">
        <v>3726</v>
      </c>
      <c r="C4032" t="s">
        <v>88</v>
      </c>
      <c r="D4032" t="s">
        <v>3727</v>
      </c>
      <c r="E4032" t="s">
        <v>1574</v>
      </c>
      <c r="F4032" t="s">
        <v>88</v>
      </c>
      <c r="G4032" t="s">
        <v>88</v>
      </c>
      <c r="H4032" t="s">
        <v>92</v>
      </c>
    </row>
    <row r="4033" spans="1:8" x14ac:dyDescent="0.25">
      <c r="A4033" t="s">
        <v>216</v>
      </c>
      <c r="B4033" t="s">
        <v>3728</v>
      </c>
      <c r="C4033" t="s">
        <v>88</v>
      </c>
      <c r="D4033" t="s">
        <v>88</v>
      </c>
      <c r="E4033" t="s">
        <v>1052</v>
      </c>
      <c r="F4033" t="s">
        <v>88</v>
      </c>
      <c r="G4033" t="s">
        <v>88</v>
      </c>
      <c r="H4033" t="s">
        <v>92</v>
      </c>
    </row>
    <row r="4034" spans="1:8" x14ac:dyDescent="0.25">
      <c r="A4034" t="s">
        <v>216</v>
      </c>
      <c r="B4034" t="s">
        <v>3729</v>
      </c>
      <c r="C4034" t="s">
        <v>88</v>
      </c>
      <c r="D4034" t="s">
        <v>3730</v>
      </c>
      <c r="E4034" t="s">
        <v>3109</v>
      </c>
      <c r="F4034" t="s">
        <v>88</v>
      </c>
      <c r="G4034" t="s">
        <v>88</v>
      </c>
      <c r="H4034" t="s">
        <v>92</v>
      </c>
    </row>
    <row r="4035" spans="1:8" x14ac:dyDescent="0.25">
      <c r="A4035" t="s">
        <v>216</v>
      </c>
      <c r="B4035" t="s">
        <v>3731</v>
      </c>
      <c r="C4035" t="s">
        <v>88</v>
      </c>
      <c r="D4035" t="s">
        <v>3732</v>
      </c>
      <c r="E4035" t="s">
        <v>1523</v>
      </c>
      <c r="F4035" t="s">
        <v>88</v>
      </c>
      <c r="G4035" t="s">
        <v>88</v>
      </c>
      <c r="H4035" t="s">
        <v>92</v>
      </c>
    </row>
    <row r="4036" spans="1:8" x14ac:dyDescent="0.25">
      <c r="A4036" t="s">
        <v>216</v>
      </c>
      <c r="B4036" t="s">
        <v>3733</v>
      </c>
      <c r="C4036" t="s">
        <v>88</v>
      </c>
      <c r="D4036" t="s">
        <v>3734</v>
      </c>
      <c r="E4036" t="s">
        <v>1526</v>
      </c>
      <c r="F4036" t="s">
        <v>88</v>
      </c>
      <c r="G4036" t="s">
        <v>88</v>
      </c>
      <c r="H4036" t="s">
        <v>92</v>
      </c>
    </row>
    <row r="4037" spans="1:8" x14ac:dyDescent="0.25">
      <c r="A4037" t="s">
        <v>216</v>
      </c>
      <c r="B4037" t="s">
        <v>3735</v>
      </c>
      <c r="C4037" t="s">
        <v>88</v>
      </c>
      <c r="D4037" t="s">
        <v>3734</v>
      </c>
      <c r="E4037" t="s">
        <v>1414</v>
      </c>
      <c r="F4037" t="s">
        <v>88</v>
      </c>
      <c r="G4037" t="s">
        <v>88</v>
      </c>
      <c r="H4037" t="s">
        <v>92</v>
      </c>
    </row>
    <row r="4038" spans="1:8" x14ac:dyDescent="0.25">
      <c r="A4038" t="s">
        <v>216</v>
      </c>
      <c r="B4038" t="s">
        <v>3736</v>
      </c>
      <c r="C4038" t="s">
        <v>88</v>
      </c>
      <c r="D4038" t="s">
        <v>3734</v>
      </c>
      <c r="E4038" t="s">
        <v>1462</v>
      </c>
      <c r="F4038" t="s">
        <v>88</v>
      </c>
      <c r="G4038" t="s">
        <v>88</v>
      </c>
      <c r="H4038" t="s">
        <v>92</v>
      </c>
    </row>
    <row r="4039" spans="1:8" x14ac:dyDescent="0.25">
      <c r="A4039" t="s">
        <v>216</v>
      </c>
      <c r="B4039" t="s">
        <v>3737</v>
      </c>
      <c r="C4039" t="s">
        <v>88</v>
      </c>
      <c r="D4039" t="s">
        <v>3734</v>
      </c>
      <c r="E4039" t="s">
        <v>1427</v>
      </c>
      <c r="F4039" t="s">
        <v>88</v>
      </c>
      <c r="G4039" t="s">
        <v>88</v>
      </c>
      <c r="H4039" t="s">
        <v>92</v>
      </c>
    </row>
    <row r="4040" spans="1:8" x14ac:dyDescent="0.25">
      <c r="A4040" t="s">
        <v>216</v>
      </c>
      <c r="B4040" t="s">
        <v>3738</v>
      </c>
      <c r="C4040" t="s">
        <v>88</v>
      </c>
      <c r="D4040" t="s">
        <v>3734</v>
      </c>
      <c r="E4040" t="s">
        <v>2969</v>
      </c>
      <c r="F4040" t="s">
        <v>88</v>
      </c>
      <c r="G4040" t="s">
        <v>88</v>
      </c>
      <c r="H4040" t="s">
        <v>92</v>
      </c>
    </row>
    <row r="4041" spans="1:8" x14ac:dyDescent="0.25">
      <c r="A4041" t="s">
        <v>216</v>
      </c>
      <c r="B4041" t="s">
        <v>3739</v>
      </c>
      <c r="C4041" t="s">
        <v>88</v>
      </c>
      <c r="D4041" t="s">
        <v>3734</v>
      </c>
      <c r="E4041" t="s">
        <v>3740</v>
      </c>
      <c r="F4041" t="s">
        <v>88</v>
      </c>
      <c r="G4041" t="s">
        <v>88</v>
      </c>
      <c r="H4041" t="s">
        <v>92</v>
      </c>
    </row>
    <row r="4042" spans="1:8" x14ac:dyDescent="0.25">
      <c r="A4042" t="s">
        <v>216</v>
      </c>
      <c r="B4042" t="s">
        <v>3741</v>
      </c>
      <c r="C4042" t="s">
        <v>88</v>
      </c>
      <c r="D4042" t="s">
        <v>3742</v>
      </c>
      <c r="E4042" t="s">
        <v>1495</v>
      </c>
      <c r="F4042" t="s">
        <v>88</v>
      </c>
      <c r="G4042" t="s">
        <v>88</v>
      </c>
      <c r="H4042" t="s">
        <v>92</v>
      </c>
    </row>
    <row r="4043" spans="1:8" x14ac:dyDescent="0.25">
      <c r="A4043" t="s">
        <v>216</v>
      </c>
      <c r="B4043" t="s">
        <v>3743</v>
      </c>
      <c r="C4043" t="s">
        <v>88</v>
      </c>
      <c r="D4043" t="s">
        <v>3702</v>
      </c>
      <c r="E4043" t="s">
        <v>1490</v>
      </c>
      <c r="F4043" t="s">
        <v>88</v>
      </c>
      <c r="G4043" t="s">
        <v>88</v>
      </c>
      <c r="H4043" t="s">
        <v>92</v>
      </c>
    </row>
    <row r="4044" spans="1:8" x14ac:dyDescent="0.25">
      <c r="A4044" t="s">
        <v>216</v>
      </c>
      <c r="B4044" t="s">
        <v>3744</v>
      </c>
      <c r="C4044" t="s">
        <v>88</v>
      </c>
      <c r="D4044" t="s">
        <v>3745</v>
      </c>
      <c r="E4044" t="s">
        <v>1052</v>
      </c>
      <c r="F4044" t="s">
        <v>88</v>
      </c>
      <c r="G4044" t="s">
        <v>88</v>
      </c>
      <c r="H4044" t="s">
        <v>92</v>
      </c>
    </row>
    <row r="4045" spans="1:8" x14ac:dyDescent="0.25">
      <c r="A4045" t="s">
        <v>216</v>
      </c>
      <c r="B4045" t="s">
        <v>3746</v>
      </c>
      <c r="C4045" t="s">
        <v>88</v>
      </c>
      <c r="D4045" t="s">
        <v>3747</v>
      </c>
      <c r="E4045" t="s">
        <v>1509</v>
      </c>
      <c r="F4045" t="s">
        <v>88</v>
      </c>
      <c r="G4045" t="s">
        <v>88</v>
      </c>
      <c r="H4045" t="s">
        <v>92</v>
      </c>
    </row>
    <row r="4046" spans="1:8" x14ac:dyDescent="0.25">
      <c r="A4046" t="s">
        <v>216</v>
      </c>
      <c r="B4046" t="s">
        <v>3748</v>
      </c>
      <c r="C4046" t="s">
        <v>88</v>
      </c>
      <c r="D4046" t="s">
        <v>3742</v>
      </c>
      <c r="E4046" t="s">
        <v>1417</v>
      </c>
      <c r="F4046" t="s">
        <v>88</v>
      </c>
      <c r="G4046" t="s">
        <v>88</v>
      </c>
      <c r="H4046" t="s">
        <v>92</v>
      </c>
    </row>
    <row r="4047" spans="1:8" x14ac:dyDescent="0.25">
      <c r="A4047" t="s">
        <v>216</v>
      </c>
      <c r="B4047" t="s">
        <v>3749</v>
      </c>
      <c r="C4047" t="s">
        <v>88</v>
      </c>
      <c r="D4047" t="s">
        <v>3750</v>
      </c>
      <c r="E4047" t="s">
        <v>1406</v>
      </c>
      <c r="F4047" t="s">
        <v>88</v>
      </c>
      <c r="G4047" t="s">
        <v>88</v>
      </c>
      <c r="H4047" t="s">
        <v>92</v>
      </c>
    </row>
    <row r="4048" spans="1:8" x14ac:dyDescent="0.25">
      <c r="A4048" t="s">
        <v>216</v>
      </c>
      <c r="B4048" t="s">
        <v>3751</v>
      </c>
      <c r="C4048" t="s">
        <v>88</v>
      </c>
      <c r="D4048" t="s">
        <v>3752</v>
      </c>
      <c r="E4048" t="s">
        <v>1052</v>
      </c>
      <c r="F4048" t="s">
        <v>88</v>
      </c>
      <c r="G4048" t="s">
        <v>88</v>
      </c>
      <c r="H4048" t="s">
        <v>92</v>
      </c>
    </row>
    <row r="4049" spans="1:8" x14ac:dyDescent="0.25">
      <c r="A4049" t="s">
        <v>216</v>
      </c>
      <c r="B4049" t="s">
        <v>3753</v>
      </c>
      <c r="C4049" t="s">
        <v>88</v>
      </c>
      <c r="D4049" t="s">
        <v>3702</v>
      </c>
      <c r="E4049" t="s">
        <v>1427</v>
      </c>
      <c r="F4049" t="s">
        <v>88</v>
      </c>
      <c r="G4049" t="s">
        <v>88</v>
      </c>
      <c r="H4049" t="s">
        <v>92</v>
      </c>
    </row>
    <row r="4050" spans="1:8" x14ac:dyDescent="0.25">
      <c r="A4050" t="s">
        <v>216</v>
      </c>
      <c r="B4050" t="s">
        <v>3754</v>
      </c>
      <c r="C4050" t="s">
        <v>88</v>
      </c>
      <c r="D4050" t="s">
        <v>88</v>
      </c>
      <c r="E4050" t="s">
        <v>3755</v>
      </c>
      <c r="F4050" t="s">
        <v>88</v>
      </c>
      <c r="G4050" t="s">
        <v>88</v>
      </c>
      <c r="H4050" t="s">
        <v>92</v>
      </c>
    </row>
    <row r="4051" spans="1:8" x14ac:dyDescent="0.25">
      <c r="A4051" t="s">
        <v>216</v>
      </c>
      <c r="B4051" t="s">
        <v>3756</v>
      </c>
      <c r="C4051" t="s">
        <v>88</v>
      </c>
      <c r="D4051" t="s">
        <v>3757</v>
      </c>
      <c r="E4051" t="s">
        <v>3758</v>
      </c>
      <c r="F4051" t="s">
        <v>88</v>
      </c>
      <c r="G4051" t="s">
        <v>88</v>
      </c>
      <c r="H4051" t="s">
        <v>92</v>
      </c>
    </row>
    <row r="4052" spans="1:8" x14ac:dyDescent="0.25">
      <c r="A4052" t="s">
        <v>216</v>
      </c>
      <c r="B4052" t="s">
        <v>3759</v>
      </c>
      <c r="C4052" t="s">
        <v>88</v>
      </c>
      <c r="D4052" t="s">
        <v>3760</v>
      </c>
      <c r="E4052" t="s">
        <v>1427</v>
      </c>
      <c r="F4052" t="s">
        <v>88</v>
      </c>
      <c r="G4052" t="s">
        <v>88</v>
      </c>
      <c r="H4052" t="s">
        <v>92</v>
      </c>
    </row>
    <row r="4053" spans="1:8" x14ac:dyDescent="0.25">
      <c r="A4053" t="s">
        <v>216</v>
      </c>
      <c r="B4053" t="s">
        <v>3761</v>
      </c>
      <c r="C4053" t="s">
        <v>88</v>
      </c>
      <c r="D4053" t="s">
        <v>3702</v>
      </c>
      <c r="E4053" t="s">
        <v>3762</v>
      </c>
      <c r="F4053" t="s">
        <v>88</v>
      </c>
      <c r="G4053" t="s">
        <v>88</v>
      </c>
      <c r="H4053" t="s">
        <v>92</v>
      </c>
    </row>
    <row r="4054" spans="1:8" x14ac:dyDescent="0.25">
      <c r="A4054" t="s">
        <v>216</v>
      </c>
      <c r="B4054" t="s">
        <v>3763</v>
      </c>
      <c r="C4054" t="s">
        <v>88</v>
      </c>
      <c r="D4054" t="s">
        <v>3702</v>
      </c>
      <c r="E4054" t="s">
        <v>3764</v>
      </c>
      <c r="F4054" t="s">
        <v>88</v>
      </c>
      <c r="G4054" t="s">
        <v>88</v>
      </c>
      <c r="H4054" t="s">
        <v>92</v>
      </c>
    </row>
    <row r="4055" spans="1:8" x14ac:dyDescent="0.25">
      <c r="A4055" t="s">
        <v>216</v>
      </c>
      <c r="B4055" t="s">
        <v>3765</v>
      </c>
      <c r="C4055" t="s">
        <v>88</v>
      </c>
      <c r="D4055" t="s">
        <v>3702</v>
      </c>
      <c r="E4055" t="s">
        <v>3766</v>
      </c>
      <c r="F4055" t="s">
        <v>88</v>
      </c>
      <c r="G4055" t="s">
        <v>88</v>
      </c>
      <c r="H4055" t="s">
        <v>92</v>
      </c>
    </row>
    <row r="4056" spans="1:8" x14ac:dyDescent="0.25">
      <c r="A4056" t="s">
        <v>216</v>
      </c>
      <c r="B4056" t="s">
        <v>3767</v>
      </c>
      <c r="C4056" t="s">
        <v>88</v>
      </c>
      <c r="D4056" t="s">
        <v>3702</v>
      </c>
      <c r="E4056" t="s">
        <v>3768</v>
      </c>
      <c r="F4056" t="s">
        <v>88</v>
      </c>
      <c r="G4056" t="s">
        <v>88</v>
      </c>
      <c r="H4056" t="s">
        <v>92</v>
      </c>
    </row>
    <row r="4057" spans="1:8" x14ac:dyDescent="0.25">
      <c r="A4057" t="s">
        <v>216</v>
      </c>
      <c r="B4057" t="s">
        <v>3769</v>
      </c>
      <c r="C4057" t="s">
        <v>88</v>
      </c>
      <c r="D4057" t="s">
        <v>3770</v>
      </c>
      <c r="E4057" t="s">
        <v>3771</v>
      </c>
      <c r="F4057" t="s">
        <v>88</v>
      </c>
      <c r="G4057" t="s">
        <v>88</v>
      </c>
      <c r="H4057" t="s">
        <v>92</v>
      </c>
    </row>
    <row r="4058" spans="1:8" x14ac:dyDescent="0.25">
      <c r="A4058" t="s">
        <v>216</v>
      </c>
      <c r="B4058" t="s">
        <v>3772</v>
      </c>
      <c r="C4058" t="s">
        <v>88</v>
      </c>
      <c r="D4058" t="s">
        <v>3702</v>
      </c>
      <c r="E4058" t="s">
        <v>3773</v>
      </c>
      <c r="F4058" t="s">
        <v>88</v>
      </c>
      <c r="G4058" t="s">
        <v>88</v>
      </c>
      <c r="H4058" t="s">
        <v>92</v>
      </c>
    </row>
    <row r="4059" spans="1:8" x14ac:dyDescent="0.25">
      <c r="A4059" t="s">
        <v>216</v>
      </c>
      <c r="B4059" t="s">
        <v>3774</v>
      </c>
      <c r="C4059" t="s">
        <v>88</v>
      </c>
      <c r="D4059" t="s">
        <v>3604</v>
      </c>
      <c r="E4059" t="s">
        <v>3704</v>
      </c>
      <c r="F4059" t="s">
        <v>88</v>
      </c>
      <c r="G4059" t="s">
        <v>88</v>
      </c>
      <c r="H4059" t="s">
        <v>92</v>
      </c>
    </row>
    <row r="4060" spans="1:8" x14ac:dyDescent="0.25">
      <c r="A4060" t="s">
        <v>216</v>
      </c>
      <c r="B4060" t="s">
        <v>3775</v>
      </c>
      <c r="C4060" t="s">
        <v>88</v>
      </c>
      <c r="D4060" t="s">
        <v>3776</v>
      </c>
      <c r="E4060" t="s">
        <v>3704</v>
      </c>
      <c r="F4060" t="s">
        <v>88</v>
      </c>
      <c r="G4060" t="s">
        <v>88</v>
      </c>
      <c r="H4060" t="s">
        <v>92</v>
      </c>
    </row>
    <row r="4061" spans="1:8" x14ac:dyDescent="0.25">
      <c r="A4061" t="s">
        <v>216</v>
      </c>
      <c r="B4061" t="s">
        <v>3777</v>
      </c>
      <c r="C4061" t="s">
        <v>88</v>
      </c>
      <c r="D4061" t="s">
        <v>3778</v>
      </c>
      <c r="E4061" t="s">
        <v>3704</v>
      </c>
      <c r="F4061" t="s">
        <v>88</v>
      </c>
      <c r="G4061" t="s">
        <v>88</v>
      </c>
      <c r="H4061" t="s">
        <v>92</v>
      </c>
    </row>
    <row r="4062" spans="1:8" x14ac:dyDescent="0.25">
      <c r="A4062" t="s">
        <v>216</v>
      </c>
      <c r="B4062" t="s">
        <v>3779</v>
      </c>
      <c r="C4062" t="s">
        <v>88</v>
      </c>
      <c r="D4062" t="s">
        <v>3780</v>
      </c>
      <c r="E4062" t="s">
        <v>3704</v>
      </c>
      <c r="F4062" t="s">
        <v>88</v>
      </c>
      <c r="G4062" t="s">
        <v>88</v>
      </c>
      <c r="H4062" t="s">
        <v>92</v>
      </c>
    </row>
    <row r="4063" spans="1:8" x14ac:dyDescent="0.25">
      <c r="A4063" t="s">
        <v>216</v>
      </c>
      <c r="B4063" t="s">
        <v>3781</v>
      </c>
      <c r="C4063" t="s">
        <v>88</v>
      </c>
      <c r="D4063" t="s">
        <v>3782</v>
      </c>
      <c r="E4063" t="s">
        <v>3783</v>
      </c>
      <c r="F4063" t="s">
        <v>88</v>
      </c>
      <c r="G4063" t="s">
        <v>88</v>
      </c>
      <c r="H4063" t="s">
        <v>92</v>
      </c>
    </row>
    <row r="4064" spans="1:8" x14ac:dyDescent="0.25">
      <c r="A4064" t="s">
        <v>216</v>
      </c>
      <c r="B4064" t="s">
        <v>3784</v>
      </c>
      <c r="C4064" t="s">
        <v>88</v>
      </c>
      <c r="D4064" t="s">
        <v>3785</v>
      </c>
      <c r="E4064" t="s">
        <v>3783</v>
      </c>
      <c r="F4064" t="s">
        <v>88</v>
      </c>
      <c r="G4064" t="s">
        <v>88</v>
      </c>
      <c r="H4064" t="s">
        <v>92</v>
      </c>
    </row>
    <row r="4065" spans="1:8" x14ac:dyDescent="0.25">
      <c r="A4065" t="s">
        <v>216</v>
      </c>
      <c r="B4065" t="s">
        <v>3786</v>
      </c>
      <c r="C4065" t="s">
        <v>88</v>
      </c>
      <c r="D4065" t="s">
        <v>3787</v>
      </c>
      <c r="E4065" t="s">
        <v>3783</v>
      </c>
      <c r="F4065" t="s">
        <v>88</v>
      </c>
      <c r="G4065" t="s">
        <v>88</v>
      </c>
      <c r="H4065" t="s">
        <v>92</v>
      </c>
    </row>
    <row r="4066" spans="1:8" x14ac:dyDescent="0.25">
      <c r="A4066" t="s">
        <v>216</v>
      </c>
      <c r="B4066" t="s">
        <v>3788</v>
      </c>
      <c r="C4066" t="s">
        <v>88</v>
      </c>
      <c r="D4066" t="s">
        <v>3789</v>
      </c>
      <c r="E4066" t="s">
        <v>3783</v>
      </c>
      <c r="F4066" t="s">
        <v>88</v>
      </c>
      <c r="G4066" t="s">
        <v>88</v>
      </c>
      <c r="H4066" t="s">
        <v>92</v>
      </c>
    </row>
    <row r="4067" spans="1:8" x14ac:dyDescent="0.25">
      <c r="A4067" t="s">
        <v>216</v>
      </c>
      <c r="B4067" t="s">
        <v>3790</v>
      </c>
      <c r="C4067" t="s">
        <v>88</v>
      </c>
      <c r="D4067" t="s">
        <v>3791</v>
      </c>
      <c r="E4067" t="s">
        <v>3783</v>
      </c>
      <c r="F4067" t="s">
        <v>88</v>
      </c>
      <c r="G4067" t="s">
        <v>88</v>
      </c>
      <c r="H4067" t="s">
        <v>92</v>
      </c>
    </row>
    <row r="4068" spans="1:8" x14ac:dyDescent="0.25">
      <c r="A4068" t="s">
        <v>216</v>
      </c>
      <c r="B4068" t="s">
        <v>3792</v>
      </c>
      <c r="C4068" t="s">
        <v>88</v>
      </c>
      <c r="D4068" t="s">
        <v>3793</v>
      </c>
      <c r="E4068" t="s">
        <v>3794</v>
      </c>
      <c r="F4068" t="s">
        <v>88</v>
      </c>
      <c r="G4068" t="s">
        <v>88</v>
      </c>
      <c r="H4068" t="s">
        <v>92</v>
      </c>
    </row>
    <row r="4069" spans="1:8" x14ac:dyDescent="0.25">
      <c r="A4069" t="s">
        <v>216</v>
      </c>
      <c r="B4069" t="s">
        <v>3795</v>
      </c>
      <c r="C4069" t="s">
        <v>88</v>
      </c>
      <c r="D4069" t="s">
        <v>3796</v>
      </c>
      <c r="E4069" t="s">
        <v>3794</v>
      </c>
      <c r="F4069" t="s">
        <v>88</v>
      </c>
      <c r="G4069" t="s">
        <v>88</v>
      </c>
      <c r="H4069" t="s">
        <v>92</v>
      </c>
    </row>
    <row r="4070" spans="1:8" x14ac:dyDescent="0.25">
      <c r="A4070" t="s">
        <v>216</v>
      </c>
      <c r="B4070" t="s">
        <v>3797</v>
      </c>
      <c r="C4070" t="s">
        <v>88</v>
      </c>
      <c r="D4070" t="s">
        <v>3798</v>
      </c>
      <c r="E4070" t="s">
        <v>3794</v>
      </c>
      <c r="F4070" t="s">
        <v>88</v>
      </c>
      <c r="G4070" t="s">
        <v>88</v>
      </c>
      <c r="H4070" t="s">
        <v>92</v>
      </c>
    </row>
    <row r="4071" spans="1:8" x14ac:dyDescent="0.25">
      <c r="A4071" t="s">
        <v>216</v>
      </c>
      <c r="B4071" t="s">
        <v>3799</v>
      </c>
      <c r="C4071" t="s">
        <v>88</v>
      </c>
      <c r="D4071" t="s">
        <v>3800</v>
      </c>
      <c r="E4071" t="s">
        <v>3794</v>
      </c>
      <c r="F4071" t="s">
        <v>88</v>
      </c>
      <c r="G4071" t="s">
        <v>88</v>
      </c>
      <c r="H4071" t="s">
        <v>92</v>
      </c>
    </row>
    <row r="4072" spans="1:8" x14ac:dyDescent="0.25">
      <c r="A4072" t="s">
        <v>216</v>
      </c>
      <c r="B4072" t="s">
        <v>3652</v>
      </c>
      <c r="C4072" t="s">
        <v>88</v>
      </c>
      <c r="D4072" t="s">
        <v>3801</v>
      </c>
      <c r="E4072" t="s">
        <v>3794</v>
      </c>
      <c r="F4072" t="s">
        <v>88</v>
      </c>
      <c r="G4072" t="s">
        <v>88</v>
      </c>
      <c r="H4072" t="s">
        <v>92</v>
      </c>
    </row>
    <row r="4073" spans="1:8" x14ac:dyDescent="0.25">
      <c r="A4073" t="s">
        <v>216</v>
      </c>
      <c r="B4073" t="s">
        <v>3802</v>
      </c>
      <c r="C4073" t="s">
        <v>88</v>
      </c>
      <c r="D4073" t="s">
        <v>3803</v>
      </c>
      <c r="E4073" t="s">
        <v>3794</v>
      </c>
      <c r="F4073" t="s">
        <v>88</v>
      </c>
      <c r="G4073" t="s">
        <v>88</v>
      </c>
      <c r="H4073" t="s">
        <v>92</v>
      </c>
    </row>
    <row r="4074" spans="1:8" x14ac:dyDescent="0.25">
      <c r="A4074" t="s">
        <v>216</v>
      </c>
      <c r="B4074" t="s">
        <v>3804</v>
      </c>
      <c r="C4074" t="s">
        <v>88</v>
      </c>
      <c r="D4074" t="s">
        <v>3805</v>
      </c>
      <c r="E4074" t="s">
        <v>3794</v>
      </c>
      <c r="F4074" t="s">
        <v>88</v>
      </c>
      <c r="G4074" t="s">
        <v>88</v>
      </c>
      <c r="H4074" t="s">
        <v>92</v>
      </c>
    </row>
    <row r="4075" spans="1:8" x14ac:dyDescent="0.25">
      <c r="A4075" t="s">
        <v>216</v>
      </c>
      <c r="B4075" t="s">
        <v>3806</v>
      </c>
      <c r="C4075" t="s">
        <v>88</v>
      </c>
      <c r="D4075" t="s">
        <v>3807</v>
      </c>
      <c r="E4075" t="s">
        <v>3794</v>
      </c>
      <c r="F4075" t="s">
        <v>88</v>
      </c>
      <c r="G4075" t="s">
        <v>88</v>
      </c>
      <c r="H4075" t="s">
        <v>92</v>
      </c>
    </row>
    <row r="4076" spans="1:8" x14ac:dyDescent="0.25">
      <c r="A4076" t="s">
        <v>216</v>
      </c>
      <c r="B4076" t="s">
        <v>3808</v>
      </c>
      <c r="C4076" t="s">
        <v>88</v>
      </c>
      <c r="D4076" t="s">
        <v>3809</v>
      </c>
      <c r="E4076" t="s">
        <v>3810</v>
      </c>
      <c r="F4076" t="s">
        <v>88</v>
      </c>
      <c r="G4076" t="s">
        <v>88</v>
      </c>
      <c r="H4076" t="s">
        <v>92</v>
      </c>
    </row>
    <row r="4077" spans="1:8" x14ac:dyDescent="0.25">
      <c r="A4077" t="s">
        <v>216</v>
      </c>
      <c r="B4077" t="s">
        <v>3811</v>
      </c>
      <c r="C4077" t="s">
        <v>88</v>
      </c>
      <c r="D4077" t="s">
        <v>3812</v>
      </c>
      <c r="E4077" t="s">
        <v>3810</v>
      </c>
      <c r="F4077" t="s">
        <v>88</v>
      </c>
      <c r="G4077" t="s">
        <v>88</v>
      </c>
      <c r="H4077" t="s">
        <v>92</v>
      </c>
    </row>
    <row r="4078" spans="1:8" x14ac:dyDescent="0.25">
      <c r="A4078" t="s">
        <v>216</v>
      </c>
      <c r="B4078" t="s">
        <v>3813</v>
      </c>
      <c r="C4078" t="s">
        <v>88</v>
      </c>
      <c r="D4078" t="s">
        <v>3814</v>
      </c>
      <c r="E4078" t="s">
        <v>3810</v>
      </c>
      <c r="F4078" t="s">
        <v>88</v>
      </c>
      <c r="G4078" t="s">
        <v>88</v>
      </c>
      <c r="H4078" t="s">
        <v>92</v>
      </c>
    </row>
    <row r="4079" spans="1:8" x14ac:dyDescent="0.25">
      <c r="A4079" t="s">
        <v>216</v>
      </c>
      <c r="B4079" t="s">
        <v>3815</v>
      </c>
      <c r="C4079" t="s">
        <v>88</v>
      </c>
      <c r="D4079" t="s">
        <v>3816</v>
      </c>
      <c r="E4079" t="s">
        <v>3810</v>
      </c>
      <c r="F4079" t="s">
        <v>88</v>
      </c>
      <c r="G4079" t="s">
        <v>88</v>
      </c>
      <c r="H4079" t="s">
        <v>92</v>
      </c>
    </row>
    <row r="4080" spans="1:8" x14ac:dyDescent="0.25">
      <c r="A4080" t="s">
        <v>216</v>
      </c>
      <c r="B4080" t="s">
        <v>3817</v>
      </c>
      <c r="C4080" t="s">
        <v>88</v>
      </c>
      <c r="D4080" t="s">
        <v>3818</v>
      </c>
      <c r="E4080" t="s">
        <v>3810</v>
      </c>
      <c r="F4080" t="s">
        <v>88</v>
      </c>
      <c r="G4080" t="s">
        <v>88</v>
      </c>
      <c r="H4080" t="s">
        <v>92</v>
      </c>
    </row>
    <row r="4081" spans="1:8" x14ac:dyDescent="0.25">
      <c r="A4081" t="s">
        <v>216</v>
      </c>
      <c r="B4081" t="s">
        <v>3819</v>
      </c>
      <c r="C4081" t="s">
        <v>88</v>
      </c>
      <c r="D4081" t="s">
        <v>3820</v>
      </c>
      <c r="E4081" t="s">
        <v>3810</v>
      </c>
      <c r="F4081" t="s">
        <v>88</v>
      </c>
      <c r="G4081" t="s">
        <v>88</v>
      </c>
      <c r="H4081" t="s">
        <v>92</v>
      </c>
    </row>
    <row r="4082" spans="1:8" x14ac:dyDescent="0.25">
      <c r="A4082" t="s">
        <v>216</v>
      </c>
      <c r="B4082" t="s">
        <v>3961</v>
      </c>
      <c r="C4082" t="s">
        <v>88</v>
      </c>
      <c r="D4082" t="s">
        <v>3962</v>
      </c>
      <c r="E4082" t="s">
        <v>3810</v>
      </c>
      <c r="F4082" t="s">
        <v>88</v>
      </c>
      <c r="G4082" t="s">
        <v>88</v>
      </c>
      <c r="H4082" t="s">
        <v>92</v>
      </c>
    </row>
    <row r="4083" spans="1:8" x14ac:dyDescent="0.25">
      <c r="A4083" t="s">
        <v>216</v>
      </c>
      <c r="B4083" t="s">
        <v>3821</v>
      </c>
      <c r="C4083" t="s">
        <v>88</v>
      </c>
      <c r="D4083" t="s">
        <v>3822</v>
      </c>
      <c r="E4083" t="s">
        <v>1433</v>
      </c>
      <c r="F4083" t="s">
        <v>88</v>
      </c>
      <c r="G4083" t="s">
        <v>88</v>
      </c>
      <c r="H4083" t="s">
        <v>92</v>
      </c>
    </row>
    <row r="4084" spans="1:8" x14ac:dyDescent="0.25">
      <c r="A4084" t="s">
        <v>216</v>
      </c>
      <c r="B4084" t="s">
        <v>3823</v>
      </c>
      <c r="C4084" t="s">
        <v>88</v>
      </c>
      <c r="D4084" t="s">
        <v>3604</v>
      </c>
      <c r="E4084" t="s">
        <v>1433</v>
      </c>
      <c r="F4084" t="s">
        <v>88</v>
      </c>
      <c r="G4084" t="s">
        <v>88</v>
      </c>
      <c r="H4084" t="s">
        <v>92</v>
      </c>
    </row>
    <row r="4085" spans="1:8" x14ac:dyDescent="0.25">
      <c r="A4085" t="s">
        <v>216</v>
      </c>
      <c r="B4085" t="s">
        <v>3824</v>
      </c>
      <c r="C4085" t="s">
        <v>88</v>
      </c>
      <c r="D4085" t="s">
        <v>3776</v>
      </c>
      <c r="E4085" t="s">
        <v>1433</v>
      </c>
      <c r="F4085" t="s">
        <v>88</v>
      </c>
      <c r="G4085" t="s">
        <v>88</v>
      </c>
      <c r="H4085" t="s">
        <v>92</v>
      </c>
    </row>
    <row r="4086" spans="1:8" x14ac:dyDescent="0.25">
      <c r="A4086" t="s">
        <v>216</v>
      </c>
      <c r="B4086" t="s">
        <v>3825</v>
      </c>
      <c r="C4086" t="s">
        <v>88</v>
      </c>
      <c r="D4086" t="s">
        <v>3778</v>
      </c>
      <c r="E4086" t="s">
        <v>1433</v>
      </c>
      <c r="F4086" t="s">
        <v>88</v>
      </c>
      <c r="G4086" t="s">
        <v>88</v>
      </c>
      <c r="H4086" t="s">
        <v>92</v>
      </c>
    </row>
    <row r="4087" spans="1:8" x14ac:dyDescent="0.25">
      <c r="A4087" t="s">
        <v>216</v>
      </c>
      <c r="B4087" t="s">
        <v>3826</v>
      </c>
      <c r="C4087" t="s">
        <v>88</v>
      </c>
      <c r="D4087" t="s">
        <v>3780</v>
      </c>
      <c r="E4087" t="s">
        <v>1433</v>
      </c>
      <c r="F4087" t="s">
        <v>88</v>
      </c>
      <c r="G4087" t="s">
        <v>88</v>
      </c>
      <c r="H4087" t="s">
        <v>92</v>
      </c>
    </row>
    <row r="4088" spans="1:8" x14ac:dyDescent="0.25">
      <c r="A4088" t="s">
        <v>216</v>
      </c>
      <c r="B4088" t="s">
        <v>3827</v>
      </c>
      <c r="C4088" t="s">
        <v>88</v>
      </c>
      <c r="D4088" t="s">
        <v>3782</v>
      </c>
      <c r="E4088" t="s">
        <v>3828</v>
      </c>
      <c r="F4088" t="s">
        <v>88</v>
      </c>
      <c r="G4088" t="s">
        <v>88</v>
      </c>
      <c r="H4088" t="s">
        <v>92</v>
      </c>
    </row>
    <row r="4089" spans="1:8" x14ac:dyDescent="0.25">
      <c r="A4089" t="s">
        <v>216</v>
      </c>
      <c r="B4089" t="s">
        <v>3829</v>
      </c>
      <c r="C4089" t="s">
        <v>88</v>
      </c>
      <c r="D4089" t="s">
        <v>3785</v>
      </c>
      <c r="E4089" t="s">
        <v>3828</v>
      </c>
      <c r="F4089" t="s">
        <v>88</v>
      </c>
      <c r="G4089" t="s">
        <v>88</v>
      </c>
      <c r="H4089" t="s">
        <v>92</v>
      </c>
    </row>
    <row r="4090" spans="1:8" x14ac:dyDescent="0.25">
      <c r="A4090" t="s">
        <v>216</v>
      </c>
      <c r="B4090" t="s">
        <v>3830</v>
      </c>
      <c r="C4090" t="s">
        <v>88</v>
      </c>
      <c r="D4090" t="s">
        <v>3787</v>
      </c>
      <c r="E4090" t="s">
        <v>3828</v>
      </c>
      <c r="F4090" t="s">
        <v>88</v>
      </c>
      <c r="G4090" t="s">
        <v>88</v>
      </c>
      <c r="H4090" t="s">
        <v>92</v>
      </c>
    </row>
    <row r="4091" spans="1:8" x14ac:dyDescent="0.25">
      <c r="A4091" t="s">
        <v>216</v>
      </c>
      <c r="B4091" t="s">
        <v>3831</v>
      </c>
      <c r="C4091" t="s">
        <v>88</v>
      </c>
      <c r="D4091" t="s">
        <v>3789</v>
      </c>
      <c r="E4091" t="s">
        <v>3828</v>
      </c>
      <c r="F4091" t="s">
        <v>88</v>
      </c>
      <c r="G4091" t="s">
        <v>88</v>
      </c>
      <c r="H4091" t="s">
        <v>92</v>
      </c>
    </row>
    <row r="4092" spans="1:8" x14ac:dyDescent="0.25">
      <c r="A4092" t="s">
        <v>216</v>
      </c>
      <c r="B4092" t="s">
        <v>3832</v>
      </c>
      <c r="C4092" t="s">
        <v>88</v>
      </c>
      <c r="D4092" t="s">
        <v>3791</v>
      </c>
      <c r="E4092" t="s">
        <v>3828</v>
      </c>
      <c r="F4092" t="s">
        <v>88</v>
      </c>
      <c r="G4092" t="s">
        <v>88</v>
      </c>
      <c r="H4092" t="s">
        <v>92</v>
      </c>
    </row>
    <row r="4093" spans="1:8" x14ac:dyDescent="0.25">
      <c r="A4093" t="s">
        <v>216</v>
      </c>
      <c r="B4093" t="s">
        <v>3833</v>
      </c>
      <c r="C4093" t="s">
        <v>88</v>
      </c>
      <c r="D4093" t="s">
        <v>3793</v>
      </c>
      <c r="E4093" t="s">
        <v>3834</v>
      </c>
      <c r="F4093" t="s">
        <v>88</v>
      </c>
      <c r="G4093" t="s">
        <v>88</v>
      </c>
      <c r="H4093" t="s">
        <v>92</v>
      </c>
    </row>
    <row r="4094" spans="1:8" x14ac:dyDescent="0.25">
      <c r="A4094" t="s">
        <v>216</v>
      </c>
      <c r="B4094" t="s">
        <v>3835</v>
      </c>
      <c r="C4094" t="s">
        <v>88</v>
      </c>
      <c r="D4094" t="s">
        <v>3796</v>
      </c>
      <c r="E4094" t="s">
        <v>3834</v>
      </c>
      <c r="F4094" t="s">
        <v>88</v>
      </c>
      <c r="G4094" t="s">
        <v>88</v>
      </c>
      <c r="H4094" t="s">
        <v>92</v>
      </c>
    </row>
    <row r="4095" spans="1:8" x14ac:dyDescent="0.25">
      <c r="A4095" t="s">
        <v>216</v>
      </c>
      <c r="B4095" t="s">
        <v>3836</v>
      </c>
      <c r="C4095" t="s">
        <v>88</v>
      </c>
      <c r="D4095" t="s">
        <v>3798</v>
      </c>
      <c r="E4095" t="s">
        <v>3834</v>
      </c>
      <c r="F4095" t="s">
        <v>88</v>
      </c>
      <c r="G4095" t="s">
        <v>88</v>
      </c>
      <c r="H4095" t="s">
        <v>92</v>
      </c>
    </row>
    <row r="4096" spans="1:8" x14ac:dyDescent="0.25">
      <c r="A4096" t="s">
        <v>216</v>
      </c>
      <c r="B4096" t="s">
        <v>3837</v>
      </c>
      <c r="C4096" t="s">
        <v>88</v>
      </c>
      <c r="D4096" t="s">
        <v>3800</v>
      </c>
      <c r="E4096" t="s">
        <v>3834</v>
      </c>
      <c r="F4096" t="s">
        <v>88</v>
      </c>
      <c r="G4096" t="s">
        <v>88</v>
      </c>
      <c r="H4096" t="s">
        <v>92</v>
      </c>
    </row>
    <row r="4097" spans="1:8" x14ac:dyDescent="0.25">
      <c r="A4097" t="s">
        <v>216</v>
      </c>
      <c r="B4097" t="s">
        <v>3664</v>
      </c>
      <c r="C4097" t="s">
        <v>88</v>
      </c>
      <c r="D4097" t="s">
        <v>3801</v>
      </c>
      <c r="E4097" t="s">
        <v>3834</v>
      </c>
      <c r="F4097" t="s">
        <v>88</v>
      </c>
      <c r="G4097" t="s">
        <v>88</v>
      </c>
      <c r="H4097" t="s">
        <v>92</v>
      </c>
    </row>
    <row r="4098" spans="1:8" x14ac:dyDescent="0.25">
      <c r="A4098" t="s">
        <v>216</v>
      </c>
      <c r="B4098" t="s">
        <v>3838</v>
      </c>
      <c r="C4098" t="s">
        <v>88</v>
      </c>
      <c r="D4098" t="s">
        <v>3803</v>
      </c>
      <c r="E4098" t="s">
        <v>3834</v>
      </c>
      <c r="F4098" t="s">
        <v>88</v>
      </c>
      <c r="G4098" t="s">
        <v>88</v>
      </c>
      <c r="H4098" t="s">
        <v>92</v>
      </c>
    </row>
    <row r="4099" spans="1:8" x14ac:dyDescent="0.25">
      <c r="A4099" t="s">
        <v>216</v>
      </c>
      <c r="B4099" t="s">
        <v>3839</v>
      </c>
      <c r="C4099" t="s">
        <v>88</v>
      </c>
      <c r="D4099" t="s">
        <v>3805</v>
      </c>
      <c r="E4099" t="s">
        <v>3834</v>
      </c>
      <c r="F4099" t="s">
        <v>88</v>
      </c>
      <c r="G4099" t="s">
        <v>88</v>
      </c>
      <c r="H4099" t="s">
        <v>92</v>
      </c>
    </row>
    <row r="4100" spans="1:8" x14ac:dyDescent="0.25">
      <c r="A4100" t="s">
        <v>216</v>
      </c>
      <c r="B4100" t="s">
        <v>3840</v>
      </c>
      <c r="C4100" t="s">
        <v>88</v>
      </c>
      <c r="D4100" t="s">
        <v>3807</v>
      </c>
      <c r="E4100" t="s">
        <v>3834</v>
      </c>
      <c r="F4100" t="s">
        <v>88</v>
      </c>
      <c r="G4100" t="s">
        <v>88</v>
      </c>
      <c r="H4100" t="s">
        <v>92</v>
      </c>
    </row>
    <row r="4101" spans="1:8" x14ac:dyDescent="0.25">
      <c r="A4101" t="s">
        <v>216</v>
      </c>
      <c r="B4101" t="s">
        <v>3841</v>
      </c>
      <c r="C4101" t="s">
        <v>88</v>
      </c>
      <c r="D4101" t="s">
        <v>3809</v>
      </c>
      <c r="E4101" t="s">
        <v>3842</v>
      </c>
      <c r="F4101" t="s">
        <v>88</v>
      </c>
      <c r="G4101" t="s">
        <v>88</v>
      </c>
      <c r="H4101" t="s">
        <v>92</v>
      </c>
    </row>
    <row r="4102" spans="1:8" x14ac:dyDescent="0.25">
      <c r="A4102" t="s">
        <v>216</v>
      </c>
      <c r="B4102" t="s">
        <v>3843</v>
      </c>
      <c r="C4102" t="s">
        <v>88</v>
      </c>
      <c r="D4102" t="s">
        <v>3844</v>
      </c>
      <c r="E4102" t="s">
        <v>3842</v>
      </c>
      <c r="F4102" t="s">
        <v>88</v>
      </c>
      <c r="G4102" t="s">
        <v>88</v>
      </c>
      <c r="H4102" t="s">
        <v>92</v>
      </c>
    </row>
    <row r="4103" spans="1:8" x14ac:dyDescent="0.25">
      <c r="A4103" t="s">
        <v>216</v>
      </c>
      <c r="B4103" t="s">
        <v>3845</v>
      </c>
      <c r="C4103" t="s">
        <v>88</v>
      </c>
      <c r="D4103" t="s">
        <v>3814</v>
      </c>
      <c r="E4103" t="s">
        <v>3842</v>
      </c>
      <c r="F4103" t="s">
        <v>88</v>
      </c>
      <c r="G4103" t="s">
        <v>88</v>
      </c>
      <c r="H4103" t="s">
        <v>92</v>
      </c>
    </row>
    <row r="4104" spans="1:8" x14ac:dyDescent="0.25">
      <c r="A4104" t="s">
        <v>216</v>
      </c>
      <c r="B4104" t="s">
        <v>3846</v>
      </c>
      <c r="C4104" t="s">
        <v>88</v>
      </c>
      <c r="D4104" t="s">
        <v>3816</v>
      </c>
      <c r="E4104" t="s">
        <v>3842</v>
      </c>
      <c r="F4104" t="s">
        <v>88</v>
      </c>
      <c r="G4104" t="s">
        <v>88</v>
      </c>
      <c r="H4104" t="s">
        <v>92</v>
      </c>
    </row>
    <row r="4105" spans="1:8" x14ac:dyDescent="0.25">
      <c r="A4105" t="s">
        <v>216</v>
      </c>
      <c r="B4105" t="s">
        <v>3847</v>
      </c>
      <c r="C4105" t="s">
        <v>88</v>
      </c>
      <c r="D4105" t="s">
        <v>3818</v>
      </c>
      <c r="E4105" t="s">
        <v>3842</v>
      </c>
      <c r="F4105" t="s">
        <v>88</v>
      </c>
      <c r="G4105" t="s">
        <v>88</v>
      </c>
      <c r="H4105" t="s">
        <v>92</v>
      </c>
    </row>
    <row r="4106" spans="1:8" x14ac:dyDescent="0.25">
      <c r="A4106" t="s">
        <v>216</v>
      </c>
      <c r="B4106" t="s">
        <v>3848</v>
      </c>
      <c r="C4106" t="s">
        <v>88</v>
      </c>
      <c r="D4106" t="s">
        <v>3820</v>
      </c>
      <c r="E4106" t="s">
        <v>3842</v>
      </c>
      <c r="F4106" t="s">
        <v>88</v>
      </c>
      <c r="G4106" t="s">
        <v>88</v>
      </c>
      <c r="H4106" t="s">
        <v>92</v>
      </c>
    </row>
    <row r="4107" spans="1:8" x14ac:dyDescent="0.25">
      <c r="A4107" t="s">
        <v>216</v>
      </c>
      <c r="B4107" t="s">
        <v>3963</v>
      </c>
      <c r="C4107" t="s">
        <v>88</v>
      </c>
      <c r="D4107" t="s">
        <v>3962</v>
      </c>
      <c r="E4107" t="s">
        <v>3842</v>
      </c>
      <c r="F4107" t="s">
        <v>88</v>
      </c>
      <c r="G4107" t="s">
        <v>88</v>
      </c>
      <c r="H4107" t="s">
        <v>92</v>
      </c>
    </row>
    <row r="4108" spans="1:8" x14ac:dyDescent="0.25">
      <c r="A4108" t="s">
        <v>216</v>
      </c>
      <c r="B4108" t="s">
        <v>3849</v>
      </c>
      <c r="C4108" t="s">
        <v>88</v>
      </c>
      <c r="D4108" t="s">
        <v>3822</v>
      </c>
      <c r="E4108" t="s">
        <v>1406</v>
      </c>
      <c r="F4108" t="s">
        <v>88</v>
      </c>
      <c r="G4108" t="s">
        <v>88</v>
      </c>
      <c r="H4108" t="s">
        <v>92</v>
      </c>
    </row>
    <row r="4109" spans="1:8" x14ac:dyDescent="0.25">
      <c r="A4109" t="s">
        <v>216</v>
      </c>
      <c r="B4109" t="s">
        <v>3850</v>
      </c>
      <c r="C4109" t="s">
        <v>88</v>
      </c>
      <c r="D4109" t="s">
        <v>3604</v>
      </c>
      <c r="E4109" t="s">
        <v>1406</v>
      </c>
      <c r="F4109" t="s">
        <v>88</v>
      </c>
      <c r="G4109" t="s">
        <v>88</v>
      </c>
      <c r="H4109" t="s">
        <v>92</v>
      </c>
    </row>
    <row r="4110" spans="1:8" x14ac:dyDescent="0.25">
      <c r="A4110" t="s">
        <v>216</v>
      </c>
      <c r="B4110" t="s">
        <v>3851</v>
      </c>
      <c r="C4110" t="s">
        <v>88</v>
      </c>
      <c r="D4110" t="s">
        <v>3776</v>
      </c>
      <c r="E4110" t="s">
        <v>1406</v>
      </c>
      <c r="F4110" t="s">
        <v>88</v>
      </c>
      <c r="G4110" t="s">
        <v>88</v>
      </c>
      <c r="H4110" t="s">
        <v>92</v>
      </c>
    </row>
    <row r="4111" spans="1:8" x14ac:dyDescent="0.25">
      <c r="A4111" t="s">
        <v>216</v>
      </c>
      <c r="B4111" t="s">
        <v>3852</v>
      </c>
      <c r="C4111" t="s">
        <v>88</v>
      </c>
      <c r="D4111" t="s">
        <v>3778</v>
      </c>
      <c r="E4111" t="s">
        <v>1406</v>
      </c>
      <c r="F4111" t="s">
        <v>88</v>
      </c>
      <c r="G4111" t="s">
        <v>88</v>
      </c>
      <c r="H4111" t="s">
        <v>92</v>
      </c>
    </row>
    <row r="4112" spans="1:8" x14ac:dyDescent="0.25">
      <c r="A4112" t="s">
        <v>216</v>
      </c>
      <c r="B4112" t="s">
        <v>3853</v>
      </c>
      <c r="C4112" t="s">
        <v>88</v>
      </c>
      <c r="D4112" t="s">
        <v>3780</v>
      </c>
      <c r="E4112" t="s">
        <v>1406</v>
      </c>
      <c r="F4112" t="s">
        <v>88</v>
      </c>
      <c r="G4112" t="s">
        <v>88</v>
      </c>
      <c r="H4112" t="s">
        <v>92</v>
      </c>
    </row>
    <row r="4113" spans="1:8" x14ac:dyDescent="0.25">
      <c r="A4113" t="s">
        <v>216</v>
      </c>
      <c r="B4113" t="s">
        <v>3854</v>
      </c>
      <c r="C4113" t="s">
        <v>88</v>
      </c>
      <c r="D4113" t="s">
        <v>3782</v>
      </c>
      <c r="E4113" t="s">
        <v>2901</v>
      </c>
      <c r="F4113" t="s">
        <v>88</v>
      </c>
      <c r="G4113" t="s">
        <v>88</v>
      </c>
      <c r="H4113" t="s">
        <v>92</v>
      </c>
    </row>
    <row r="4114" spans="1:8" x14ac:dyDescent="0.25">
      <c r="A4114" t="s">
        <v>216</v>
      </c>
      <c r="B4114" t="s">
        <v>3855</v>
      </c>
      <c r="C4114" t="s">
        <v>88</v>
      </c>
      <c r="D4114" t="s">
        <v>3785</v>
      </c>
      <c r="E4114" t="s">
        <v>2901</v>
      </c>
      <c r="F4114" t="s">
        <v>88</v>
      </c>
      <c r="G4114" t="s">
        <v>88</v>
      </c>
      <c r="H4114" t="s">
        <v>92</v>
      </c>
    </row>
    <row r="4115" spans="1:8" x14ac:dyDescent="0.25">
      <c r="A4115" t="s">
        <v>216</v>
      </c>
      <c r="B4115" t="s">
        <v>3856</v>
      </c>
      <c r="C4115" t="s">
        <v>88</v>
      </c>
      <c r="D4115" t="s">
        <v>3787</v>
      </c>
      <c r="E4115" t="s">
        <v>2901</v>
      </c>
      <c r="F4115" t="s">
        <v>88</v>
      </c>
      <c r="G4115" t="s">
        <v>88</v>
      </c>
      <c r="H4115" t="s">
        <v>92</v>
      </c>
    </row>
    <row r="4116" spans="1:8" x14ac:dyDescent="0.25">
      <c r="A4116" t="s">
        <v>216</v>
      </c>
      <c r="B4116" t="s">
        <v>3857</v>
      </c>
      <c r="C4116" t="s">
        <v>88</v>
      </c>
      <c r="D4116" t="s">
        <v>3789</v>
      </c>
      <c r="E4116" t="s">
        <v>2901</v>
      </c>
      <c r="F4116" t="s">
        <v>88</v>
      </c>
      <c r="G4116" t="s">
        <v>88</v>
      </c>
      <c r="H4116" t="s">
        <v>92</v>
      </c>
    </row>
    <row r="4117" spans="1:8" x14ac:dyDescent="0.25">
      <c r="A4117" t="s">
        <v>216</v>
      </c>
      <c r="B4117" t="s">
        <v>3858</v>
      </c>
      <c r="C4117" t="s">
        <v>88</v>
      </c>
      <c r="D4117" t="s">
        <v>3791</v>
      </c>
      <c r="E4117" t="s">
        <v>2901</v>
      </c>
      <c r="F4117" t="s">
        <v>88</v>
      </c>
      <c r="G4117" t="s">
        <v>88</v>
      </c>
      <c r="H4117" t="s">
        <v>92</v>
      </c>
    </row>
    <row r="4118" spans="1:8" x14ac:dyDescent="0.25">
      <c r="A4118" t="s">
        <v>216</v>
      </c>
      <c r="B4118" t="s">
        <v>3859</v>
      </c>
      <c r="C4118" t="s">
        <v>88</v>
      </c>
      <c r="D4118" t="s">
        <v>3793</v>
      </c>
      <c r="E4118" t="s">
        <v>3690</v>
      </c>
      <c r="F4118" t="s">
        <v>88</v>
      </c>
      <c r="G4118" t="s">
        <v>88</v>
      </c>
      <c r="H4118" t="s">
        <v>92</v>
      </c>
    </row>
    <row r="4119" spans="1:8" x14ac:dyDescent="0.25">
      <c r="A4119" t="s">
        <v>216</v>
      </c>
      <c r="B4119" t="s">
        <v>3860</v>
      </c>
      <c r="C4119" t="s">
        <v>88</v>
      </c>
      <c r="D4119" t="s">
        <v>3796</v>
      </c>
      <c r="E4119" t="s">
        <v>3690</v>
      </c>
      <c r="F4119" t="s">
        <v>88</v>
      </c>
      <c r="G4119" t="s">
        <v>88</v>
      </c>
      <c r="H4119" t="s">
        <v>92</v>
      </c>
    </row>
    <row r="4120" spans="1:8" x14ac:dyDescent="0.25">
      <c r="A4120" t="s">
        <v>216</v>
      </c>
      <c r="B4120" t="s">
        <v>3861</v>
      </c>
      <c r="C4120" t="s">
        <v>88</v>
      </c>
      <c r="D4120" t="s">
        <v>3798</v>
      </c>
      <c r="E4120" t="s">
        <v>3690</v>
      </c>
      <c r="F4120" t="s">
        <v>88</v>
      </c>
      <c r="G4120" t="s">
        <v>88</v>
      </c>
      <c r="H4120" t="s">
        <v>92</v>
      </c>
    </row>
    <row r="4121" spans="1:8" x14ac:dyDescent="0.25">
      <c r="A4121" t="s">
        <v>216</v>
      </c>
      <c r="B4121" t="s">
        <v>3862</v>
      </c>
      <c r="C4121" t="s">
        <v>88</v>
      </c>
      <c r="D4121" t="s">
        <v>3800</v>
      </c>
      <c r="E4121" t="s">
        <v>3690</v>
      </c>
      <c r="F4121" t="s">
        <v>88</v>
      </c>
      <c r="G4121" t="s">
        <v>88</v>
      </c>
      <c r="H4121" t="s">
        <v>92</v>
      </c>
    </row>
    <row r="4122" spans="1:8" x14ac:dyDescent="0.25">
      <c r="A4122" t="s">
        <v>216</v>
      </c>
      <c r="B4122" t="s">
        <v>3633</v>
      </c>
      <c r="C4122" t="s">
        <v>88</v>
      </c>
      <c r="D4122" t="s">
        <v>3801</v>
      </c>
      <c r="E4122" t="s">
        <v>3690</v>
      </c>
      <c r="F4122" t="s">
        <v>88</v>
      </c>
      <c r="G4122" t="s">
        <v>88</v>
      </c>
      <c r="H4122" t="s">
        <v>92</v>
      </c>
    </row>
    <row r="4123" spans="1:8" x14ac:dyDescent="0.25">
      <c r="A4123" t="s">
        <v>216</v>
      </c>
      <c r="B4123" t="s">
        <v>3863</v>
      </c>
      <c r="C4123" t="s">
        <v>88</v>
      </c>
      <c r="D4123" t="s">
        <v>3803</v>
      </c>
      <c r="E4123" t="s">
        <v>3690</v>
      </c>
      <c r="F4123" t="s">
        <v>88</v>
      </c>
      <c r="G4123" t="s">
        <v>88</v>
      </c>
      <c r="H4123" t="s">
        <v>92</v>
      </c>
    </row>
    <row r="4124" spans="1:8" x14ac:dyDescent="0.25">
      <c r="A4124" t="s">
        <v>216</v>
      </c>
      <c r="B4124" t="s">
        <v>3864</v>
      </c>
      <c r="C4124" t="s">
        <v>88</v>
      </c>
      <c r="D4124" t="s">
        <v>3805</v>
      </c>
      <c r="E4124" t="s">
        <v>3690</v>
      </c>
      <c r="F4124" t="s">
        <v>88</v>
      </c>
      <c r="G4124" t="s">
        <v>88</v>
      </c>
      <c r="H4124" t="s">
        <v>92</v>
      </c>
    </row>
    <row r="4125" spans="1:8" x14ac:dyDescent="0.25">
      <c r="A4125" t="s">
        <v>216</v>
      </c>
      <c r="B4125" t="s">
        <v>3865</v>
      </c>
      <c r="C4125" t="s">
        <v>88</v>
      </c>
      <c r="D4125" t="s">
        <v>3807</v>
      </c>
      <c r="E4125" t="s">
        <v>3690</v>
      </c>
      <c r="F4125" t="s">
        <v>88</v>
      </c>
      <c r="G4125" t="s">
        <v>88</v>
      </c>
      <c r="H4125" t="s">
        <v>92</v>
      </c>
    </row>
    <row r="4126" spans="1:8" x14ac:dyDescent="0.25">
      <c r="A4126" t="s">
        <v>216</v>
      </c>
      <c r="B4126" t="s">
        <v>3866</v>
      </c>
      <c r="C4126" t="s">
        <v>88</v>
      </c>
      <c r="D4126" t="s">
        <v>3809</v>
      </c>
      <c r="E4126" t="s">
        <v>3867</v>
      </c>
      <c r="F4126" t="s">
        <v>88</v>
      </c>
      <c r="G4126" t="s">
        <v>88</v>
      </c>
      <c r="H4126" t="s">
        <v>92</v>
      </c>
    </row>
    <row r="4127" spans="1:8" x14ac:dyDescent="0.25">
      <c r="A4127" t="s">
        <v>216</v>
      </c>
      <c r="B4127" t="s">
        <v>3868</v>
      </c>
      <c r="C4127" t="s">
        <v>88</v>
      </c>
      <c r="D4127" t="s">
        <v>3844</v>
      </c>
      <c r="E4127" t="s">
        <v>3867</v>
      </c>
      <c r="F4127" t="s">
        <v>88</v>
      </c>
      <c r="G4127" t="s">
        <v>88</v>
      </c>
      <c r="H4127" t="s">
        <v>92</v>
      </c>
    </row>
    <row r="4128" spans="1:8" x14ac:dyDescent="0.25">
      <c r="A4128" t="s">
        <v>216</v>
      </c>
      <c r="B4128" t="s">
        <v>3869</v>
      </c>
      <c r="C4128" t="s">
        <v>88</v>
      </c>
      <c r="D4128" t="s">
        <v>3814</v>
      </c>
      <c r="E4128" t="s">
        <v>3867</v>
      </c>
      <c r="F4128" t="s">
        <v>88</v>
      </c>
      <c r="G4128" t="s">
        <v>88</v>
      </c>
      <c r="H4128" t="s">
        <v>92</v>
      </c>
    </row>
    <row r="4129" spans="1:8" x14ac:dyDescent="0.25">
      <c r="A4129" t="s">
        <v>216</v>
      </c>
      <c r="B4129" t="s">
        <v>3870</v>
      </c>
      <c r="C4129" t="s">
        <v>88</v>
      </c>
      <c r="D4129" t="s">
        <v>3818</v>
      </c>
      <c r="E4129" t="s">
        <v>3867</v>
      </c>
      <c r="F4129" t="s">
        <v>88</v>
      </c>
      <c r="G4129" t="s">
        <v>88</v>
      </c>
      <c r="H4129" t="s">
        <v>92</v>
      </c>
    </row>
    <row r="4130" spans="1:8" x14ac:dyDescent="0.25">
      <c r="A4130" t="s">
        <v>216</v>
      </c>
      <c r="B4130" t="s">
        <v>3871</v>
      </c>
      <c r="C4130" t="s">
        <v>88</v>
      </c>
      <c r="D4130" t="s">
        <v>3820</v>
      </c>
      <c r="E4130" t="s">
        <v>3867</v>
      </c>
      <c r="F4130" t="s">
        <v>88</v>
      </c>
      <c r="G4130" t="s">
        <v>88</v>
      </c>
      <c r="H4130" t="s">
        <v>92</v>
      </c>
    </row>
    <row r="4131" spans="1:8" x14ac:dyDescent="0.25">
      <c r="A4131" t="s">
        <v>216</v>
      </c>
      <c r="B4131" t="s">
        <v>3964</v>
      </c>
      <c r="C4131" t="s">
        <v>88</v>
      </c>
      <c r="D4131" t="s">
        <v>3962</v>
      </c>
      <c r="E4131" t="s">
        <v>3867</v>
      </c>
      <c r="F4131" t="s">
        <v>88</v>
      </c>
      <c r="G4131" t="s">
        <v>88</v>
      </c>
      <c r="H4131" t="s">
        <v>92</v>
      </c>
    </row>
    <row r="4132" spans="1:8" x14ac:dyDescent="0.25">
      <c r="A4132" t="s">
        <v>216</v>
      </c>
      <c r="B4132" t="s">
        <v>3872</v>
      </c>
      <c r="C4132" t="s">
        <v>88</v>
      </c>
      <c r="D4132" t="s">
        <v>3873</v>
      </c>
      <c r="E4132" t="s">
        <v>1518</v>
      </c>
      <c r="F4132" t="s">
        <v>88</v>
      </c>
      <c r="G4132" t="s">
        <v>88</v>
      </c>
      <c r="H4132" t="s">
        <v>92</v>
      </c>
    </row>
    <row r="4133" spans="1:8" x14ac:dyDescent="0.25">
      <c r="A4133" t="s">
        <v>216</v>
      </c>
      <c r="B4133" t="s">
        <v>3874</v>
      </c>
      <c r="C4133" t="s">
        <v>88</v>
      </c>
      <c r="D4133" t="s">
        <v>3875</v>
      </c>
      <c r="E4133" t="s">
        <v>1484</v>
      </c>
      <c r="F4133" t="s">
        <v>88</v>
      </c>
      <c r="G4133" t="s">
        <v>88</v>
      </c>
      <c r="H4133" t="s">
        <v>92</v>
      </c>
    </row>
    <row r="4134" spans="1:8" x14ac:dyDescent="0.25">
      <c r="A4134" t="s">
        <v>216</v>
      </c>
      <c r="B4134" t="s">
        <v>3876</v>
      </c>
      <c r="C4134" t="s">
        <v>88</v>
      </c>
      <c r="D4134" t="s">
        <v>3877</v>
      </c>
      <c r="E4134" t="s">
        <v>1481</v>
      </c>
      <c r="F4134" t="s">
        <v>88</v>
      </c>
      <c r="G4134" t="s">
        <v>88</v>
      </c>
      <c r="H4134" t="s">
        <v>92</v>
      </c>
    </row>
    <row r="4135" spans="1:8" x14ac:dyDescent="0.25">
      <c r="A4135" t="s">
        <v>216</v>
      </c>
      <c r="B4135" t="s">
        <v>3878</v>
      </c>
      <c r="C4135" t="s">
        <v>88</v>
      </c>
      <c r="D4135" t="s">
        <v>3879</v>
      </c>
      <c r="E4135" t="s">
        <v>1523</v>
      </c>
      <c r="F4135" t="s">
        <v>88</v>
      </c>
      <c r="G4135" t="s">
        <v>88</v>
      </c>
      <c r="H4135" t="s">
        <v>92</v>
      </c>
    </row>
    <row r="4136" spans="1:8" x14ac:dyDescent="0.25">
      <c r="A4136" t="s">
        <v>216</v>
      </c>
      <c r="B4136" t="s">
        <v>3880</v>
      </c>
      <c r="C4136" t="s">
        <v>88</v>
      </c>
      <c r="D4136" t="s">
        <v>3881</v>
      </c>
      <c r="E4136" t="s">
        <v>1518</v>
      </c>
      <c r="F4136" t="s">
        <v>88</v>
      </c>
      <c r="G4136" t="s">
        <v>88</v>
      </c>
      <c r="H4136" t="s">
        <v>92</v>
      </c>
    </row>
    <row r="4137" spans="1:8" x14ac:dyDescent="0.25">
      <c r="A4137" t="s">
        <v>216</v>
      </c>
      <c r="B4137" t="s">
        <v>3882</v>
      </c>
      <c r="C4137" t="s">
        <v>88</v>
      </c>
      <c r="D4137" t="s">
        <v>3883</v>
      </c>
      <c r="E4137" t="s">
        <v>1484</v>
      </c>
      <c r="F4137" t="s">
        <v>88</v>
      </c>
      <c r="G4137" t="s">
        <v>88</v>
      </c>
      <c r="H4137" t="s">
        <v>92</v>
      </c>
    </row>
    <row r="4138" spans="1:8" x14ac:dyDescent="0.25">
      <c r="A4138" t="s">
        <v>216</v>
      </c>
      <c r="B4138" t="s">
        <v>3884</v>
      </c>
      <c r="C4138" t="s">
        <v>88</v>
      </c>
      <c r="D4138" t="s">
        <v>3885</v>
      </c>
      <c r="E4138" t="s">
        <v>1484</v>
      </c>
      <c r="F4138" t="s">
        <v>88</v>
      </c>
      <c r="G4138" t="s">
        <v>88</v>
      </c>
      <c r="H4138" t="s">
        <v>92</v>
      </c>
    </row>
    <row r="4139" spans="1:8" x14ac:dyDescent="0.25">
      <c r="A4139" t="s">
        <v>216</v>
      </c>
      <c r="B4139" t="s">
        <v>3886</v>
      </c>
      <c r="C4139" t="s">
        <v>88</v>
      </c>
      <c r="D4139" t="s">
        <v>3879</v>
      </c>
      <c r="E4139" t="s">
        <v>1484</v>
      </c>
      <c r="F4139" t="s">
        <v>88</v>
      </c>
      <c r="G4139" t="s">
        <v>88</v>
      </c>
      <c r="H4139" t="s">
        <v>92</v>
      </c>
    </row>
    <row r="4140" spans="1:8" x14ac:dyDescent="0.25">
      <c r="A4140" t="s">
        <v>216</v>
      </c>
      <c r="B4140" t="s">
        <v>3887</v>
      </c>
      <c r="C4140" t="s">
        <v>88</v>
      </c>
      <c r="D4140" t="s">
        <v>3881</v>
      </c>
      <c r="E4140" t="s">
        <v>1481</v>
      </c>
      <c r="F4140" t="s">
        <v>88</v>
      </c>
      <c r="G4140" t="s">
        <v>88</v>
      </c>
      <c r="H4140" t="s">
        <v>92</v>
      </c>
    </row>
    <row r="4141" spans="1:8" x14ac:dyDescent="0.25">
      <c r="A4141" t="s">
        <v>216</v>
      </c>
      <c r="B4141" t="s">
        <v>3888</v>
      </c>
      <c r="C4141" t="s">
        <v>88</v>
      </c>
      <c r="D4141" t="s">
        <v>3883</v>
      </c>
      <c r="E4141" t="s">
        <v>1490</v>
      </c>
      <c r="F4141" t="s">
        <v>88</v>
      </c>
      <c r="G4141" t="s">
        <v>88</v>
      </c>
      <c r="H4141" t="s">
        <v>92</v>
      </c>
    </row>
    <row r="4142" spans="1:8" x14ac:dyDescent="0.25">
      <c r="A4142" t="s">
        <v>216</v>
      </c>
      <c r="B4142" t="s">
        <v>3889</v>
      </c>
      <c r="C4142" t="s">
        <v>88</v>
      </c>
      <c r="D4142" t="s">
        <v>3885</v>
      </c>
      <c r="E4142" t="s">
        <v>1490</v>
      </c>
      <c r="F4142" t="s">
        <v>88</v>
      </c>
      <c r="G4142" t="s">
        <v>88</v>
      </c>
      <c r="H4142" t="s">
        <v>92</v>
      </c>
    </row>
    <row r="4143" spans="1:8" x14ac:dyDescent="0.25">
      <c r="A4143" t="s">
        <v>216</v>
      </c>
      <c r="B4143" t="s">
        <v>3890</v>
      </c>
      <c r="C4143" t="s">
        <v>88</v>
      </c>
      <c r="D4143" t="s">
        <v>3891</v>
      </c>
      <c r="E4143" t="s">
        <v>1523</v>
      </c>
      <c r="F4143" t="s">
        <v>88</v>
      </c>
      <c r="G4143" t="s">
        <v>88</v>
      </c>
      <c r="H4143" t="s">
        <v>92</v>
      </c>
    </row>
    <row r="4144" spans="1:8" x14ac:dyDescent="0.25">
      <c r="A4144" t="s">
        <v>216</v>
      </c>
      <c r="B4144" t="s">
        <v>3892</v>
      </c>
      <c r="C4144" t="s">
        <v>88</v>
      </c>
      <c r="D4144" t="s">
        <v>3893</v>
      </c>
      <c r="E4144" t="s">
        <v>1523</v>
      </c>
      <c r="F4144" t="s">
        <v>88</v>
      </c>
      <c r="G4144" t="s">
        <v>88</v>
      </c>
      <c r="H4144" t="s">
        <v>92</v>
      </c>
    </row>
    <row r="4145" spans="1:8" x14ac:dyDescent="0.25">
      <c r="A4145" t="s">
        <v>216</v>
      </c>
      <c r="B4145" t="s">
        <v>3894</v>
      </c>
      <c r="C4145" t="s">
        <v>88</v>
      </c>
      <c r="D4145" t="s">
        <v>3895</v>
      </c>
      <c r="E4145" t="s">
        <v>1523</v>
      </c>
      <c r="F4145" t="s">
        <v>88</v>
      </c>
      <c r="G4145" t="s">
        <v>88</v>
      </c>
      <c r="H4145" t="s">
        <v>92</v>
      </c>
    </row>
    <row r="4146" spans="1:8" x14ac:dyDescent="0.25">
      <c r="A4146" t="s">
        <v>216</v>
      </c>
      <c r="B4146" t="s">
        <v>3896</v>
      </c>
      <c r="C4146" t="s">
        <v>88</v>
      </c>
      <c r="D4146" t="s">
        <v>3897</v>
      </c>
      <c r="E4146" t="s">
        <v>1518</v>
      </c>
      <c r="F4146" t="s">
        <v>88</v>
      </c>
      <c r="G4146" t="s">
        <v>88</v>
      </c>
      <c r="H4146" t="s">
        <v>92</v>
      </c>
    </row>
    <row r="4147" spans="1:8" x14ac:dyDescent="0.25">
      <c r="A4147" t="s">
        <v>216</v>
      </c>
      <c r="B4147" t="s">
        <v>3898</v>
      </c>
      <c r="C4147" t="s">
        <v>88</v>
      </c>
      <c r="D4147" t="s">
        <v>3899</v>
      </c>
      <c r="E4147" t="s">
        <v>1523</v>
      </c>
      <c r="F4147" t="s">
        <v>88</v>
      </c>
      <c r="G4147" t="s">
        <v>88</v>
      </c>
      <c r="H4147" t="s">
        <v>92</v>
      </c>
    </row>
    <row r="4148" spans="1:8" x14ac:dyDescent="0.25">
      <c r="A4148" t="s">
        <v>216</v>
      </c>
      <c r="B4148" t="s">
        <v>3900</v>
      </c>
      <c r="C4148" t="s">
        <v>88</v>
      </c>
      <c r="D4148" t="s">
        <v>3901</v>
      </c>
      <c r="E4148" t="s">
        <v>1518</v>
      </c>
      <c r="F4148" t="s">
        <v>88</v>
      </c>
      <c r="G4148" t="s">
        <v>88</v>
      </c>
      <c r="H4148" t="s">
        <v>92</v>
      </c>
    </row>
    <row r="4149" spans="1:8" x14ac:dyDescent="0.25">
      <c r="A4149" t="s">
        <v>216</v>
      </c>
      <c r="B4149" t="s">
        <v>3902</v>
      </c>
      <c r="C4149" t="s">
        <v>88</v>
      </c>
      <c r="D4149" t="s">
        <v>3903</v>
      </c>
      <c r="E4149" t="s">
        <v>1484</v>
      </c>
      <c r="F4149" t="s">
        <v>88</v>
      </c>
      <c r="G4149" t="s">
        <v>88</v>
      </c>
      <c r="H4149" t="s">
        <v>92</v>
      </c>
    </row>
    <row r="4150" spans="1:8" x14ac:dyDescent="0.25">
      <c r="A4150" t="s">
        <v>216</v>
      </c>
      <c r="B4150" t="s">
        <v>3904</v>
      </c>
      <c r="C4150" t="s">
        <v>88</v>
      </c>
      <c r="D4150" t="s">
        <v>3905</v>
      </c>
      <c r="E4150" t="s">
        <v>1484</v>
      </c>
      <c r="F4150" t="s">
        <v>88</v>
      </c>
      <c r="G4150" t="s">
        <v>88</v>
      </c>
      <c r="H4150" t="s">
        <v>92</v>
      </c>
    </row>
    <row r="4151" spans="1:8" x14ac:dyDescent="0.25">
      <c r="A4151" t="s">
        <v>216</v>
      </c>
      <c r="B4151" t="s">
        <v>3906</v>
      </c>
      <c r="C4151" t="s">
        <v>88</v>
      </c>
      <c r="D4151" t="s">
        <v>3907</v>
      </c>
      <c r="E4151" t="s">
        <v>1484</v>
      </c>
      <c r="F4151" t="s">
        <v>88</v>
      </c>
      <c r="G4151" t="s">
        <v>88</v>
      </c>
      <c r="H4151" t="s">
        <v>92</v>
      </c>
    </row>
    <row r="4152" spans="1:8" x14ac:dyDescent="0.25">
      <c r="A4152" t="s">
        <v>216</v>
      </c>
      <c r="B4152" t="s">
        <v>3908</v>
      </c>
      <c r="C4152" t="s">
        <v>88</v>
      </c>
      <c r="D4152" t="s">
        <v>3909</v>
      </c>
      <c r="E4152" t="s">
        <v>3117</v>
      </c>
      <c r="F4152" t="s">
        <v>88</v>
      </c>
      <c r="G4152" t="s">
        <v>88</v>
      </c>
      <c r="H4152" t="s">
        <v>92</v>
      </c>
    </row>
    <row r="4153" spans="1:8" x14ac:dyDescent="0.25">
      <c r="A4153" t="s">
        <v>216</v>
      </c>
      <c r="B4153" t="s">
        <v>3910</v>
      </c>
      <c r="C4153" t="s">
        <v>88</v>
      </c>
      <c r="D4153" t="s">
        <v>3911</v>
      </c>
      <c r="E4153" t="s">
        <v>3117</v>
      </c>
      <c r="F4153" t="s">
        <v>88</v>
      </c>
      <c r="G4153" t="s">
        <v>88</v>
      </c>
      <c r="H4153" t="s">
        <v>92</v>
      </c>
    </row>
    <row r="4154" spans="1:8" x14ac:dyDescent="0.25">
      <c r="A4154" t="s">
        <v>216</v>
      </c>
      <c r="B4154" t="s">
        <v>3912</v>
      </c>
      <c r="C4154" t="s">
        <v>88</v>
      </c>
      <c r="D4154" t="s">
        <v>3913</v>
      </c>
      <c r="E4154" t="s">
        <v>3117</v>
      </c>
      <c r="F4154" t="s">
        <v>88</v>
      </c>
      <c r="G4154" t="s">
        <v>88</v>
      </c>
      <c r="H4154" t="s">
        <v>92</v>
      </c>
    </row>
    <row r="4155" spans="1:8" x14ac:dyDescent="0.25">
      <c r="A4155" t="s">
        <v>216</v>
      </c>
      <c r="B4155" t="s">
        <v>3914</v>
      </c>
      <c r="C4155" t="s">
        <v>88</v>
      </c>
      <c r="D4155" t="s">
        <v>3915</v>
      </c>
      <c r="E4155" t="s">
        <v>1584</v>
      </c>
      <c r="F4155" t="s">
        <v>88</v>
      </c>
      <c r="G4155" t="s">
        <v>88</v>
      </c>
      <c r="H4155" t="s">
        <v>92</v>
      </c>
    </row>
    <row r="4156" spans="1:8" x14ac:dyDescent="0.25">
      <c r="A4156" t="s">
        <v>216</v>
      </c>
      <c r="B4156" t="s">
        <v>3916</v>
      </c>
      <c r="C4156" t="s">
        <v>88</v>
      </c>
      <c r="D4156" t="s">
        <v>3917</v>
      </c>
      <c r="E4156" t="s">
        <v>1584</v>
      </c>
      <c r="F4156" t="s">
        <v>88</v>
      </c>
      <c r="G4156" t="s">
        <v>88</v>
      </c>
      <c r="H4156" t="s">
        <v>92</v>
      </c>
    </row>
    <row r="4157" spans="1:8" x14ac:dyDescent="0.25">
      <c r="A4157" t="s">
        <v>216</v>
      </c>
      <c r="B4157" t="s">
        <v>3918</v>
      </c>
      <c r="C4157" t="s">
        <v>88</v>
      </c>
      <c r="D4157" t="s">
        <v>3919</v>
      </c>
      <c r="E4157" t="s">
        <v>1584</v>
      </c>
      <c r="F4157" t="s">
        <v>88</v>
      </c>
      <c r="G4157" t="s">
        <v>88</v>
      </c>
      <c r="H4157" t="s">
        <v>92</v>
      </c>
    </row>
    <row r="4158" spans="1:8" x14ac:dyDescent="0.25">
      <c r="A4158" t="s">
        <v>216</v>
      </c>
      <c r="B4158" t="s">
        <v>3920</v>
      </c>
      <c r="C4158" t="s">
        <v>88</v>
      </c>
      <c r="D4158" t="s">
        <v>3921</v>
      </c>
      <c r="E4158" t="s">
        <v>1574</v>
      </c>
      <c r="F4158" t="s">
        <v>88</v>
      </c>
      <c r="G4158" t="s">
        <v>88</v>
      </c>
      <c r="H4158" t="s">
        <v>92</v>
      </c>
    </row>
    <row r="4159" spans="1:8" x14ac:dyDescent="0.25">
      <c r="A4159" t="s">
        <v>216</v>
      </c>
      <c r="B4159" t="s">
        <v>3922</v>
      </c>
      <c r="C4159" t="s">
        <v>88</v>
      </c>
      <c r="D4159" t="s">
        <v>3923</v>
      </c>
      <c r="E4159" t="s">
        <v>1574</v>
      </c>
      <c r="F4159" t="s">
        <v>88</v>
      </c>
      <c r="G4159" t="s">
        <v>88</v>
      </c>
      <c r="H4159" t="s">
        <v>92</v>
      </c>
    </row>
    <row r="4160" spans="1:8" x14ac:dyDescent="0.25">
      <c r="A4160" t="s">
        <v>216</v>
      </c>
      <c r="B4160" t="s">
        <v>3924</v>
      </c>
      <c r="C4160" t="s">
        <v>88</v>
      </c>
      <c r="D4160" t="s">
        <v>3925</v>
      </c>
      <c r="E4160" t="s">
        <v>1574</v>
      </c>
      <c r="F4160" t="s">
        <v>88</v>
      </c>
      <c r="G4160" t="s">
        <v>88</v>
      </c>
      <c r="H4160" t="s">
        <v>92</v>
      </c>
    </row>
    <row r="4161" spans="1:8" x14ac:dyDescent="0.25">
      <c r="A4161" t="s">
        <v>216</v>
      </c>
      <c r="B4161" t="s">
        <v>3926</v>
      </c>
      <c r="C4161" t="s">
        <v>88</v>
      </c>
      <c r="D4161" t="s">
        <v>3927</v>
      </c>
      <c r="E4161" t="s">
        <v>1452</v>
      </c>
      <c r="F4161" t="s">
        <v>88</v>
      </c>
      <c r="G4161" t="s">
        <v>88</v>
      </c>
      <c r="H4161" t="s">
        <v>92</v>
      </c>
    </row>
    <row r="4162" spans="1:8" x14ac:dyDescent="0.25">
      <c r="A4162" t="s">
        <v>216</v>
      </c>
      <c r="B4162" t="s">
        <v>3928</v>
      </c>
      <c r="C4162" t="s">
        <v>88</v>
      </c>
      <c r="D4162" t="s">
        <v>3929</v>
      </c>
      <c r="E4162" t="s">
        <v>1452</v>
      </c>
      <c r="F4162" t="s">
        <v>88</v>
      </c>
      <c r="G4162" t="s">
        <v>88</v>
      </c>
      <c r="H4162" t="s">
        <v>92</v>
      </c>
    </row>
    <row r="4163" spans="1:8" x14ac:dyDescent="0.25">
      <c r="A4163" t="s">
        <v>216</v>
      </c>
      <c r="B4163" t="s">
        <v>3930</v>
      </c>
      <c r="C4163" t="s">
        <v>88</v>
      </c>
      <c r="D4163" t="s">
        <v>3931</v>
      </c>
      <c r="E4163" t="s">
        <v>1452</v>
      </c>
      <c r="F4163" t="s">
        <v>88</v>
      </c>
      <c r="G4163" t="s">
        <v>88</v>
      </c>
      <c r="H4163" t="s">
        <v>92</v>
      </c>
    </row>
    <row r="4164" spans="1:8" x14ac:dyDescent="0.25">
      <c r="A4164" t="s">
        <v>216</v>
      </c>
      <c r="B4164" t="s">
        <v>3932</v>
      </c>
      <c r="C4164" t="s">
        <v>88</v>
      </c>
      <c r="D4164" t="s">
        <v>3933</v>
      </c>
      <c r="E4164" t="s">
        <v>1452</v>
      </c>
      <c r="F4164" t="s">
        <v>88</v>
      </c>
      <c r="G4164" t="s">
        <v>88</v>
      </c>
      <c r="H4164" t="s">
        <v>92</v>
      </c>
    </row>
    <row r="4165" spans="1:8" x14ac:dyDescent="0.25">
      <c r="A4165" t="s">
        <v>216</v>
      </c>
      <c r="B4165" t="s">
        <v>3934</v>
      </c>
      <c r="C4165" t="s">
        <v>88</v>
      </c>
      <c r="D4165" t="s">
        <v>3935</v>
      </c>
      <c r="E4165" t="s">
        <v>1478</v>
      </c>
      <c r="F4165" t="s">
        <v>88</v>
      </c>
      <c r="G4165" t="s">
        <v>88</v>
      </c>
      <c r="H4165" t="s">
        <v>92</v>
      </c>
    </row>
    <row r="4166" spans="1:8" x14ac:dyDescent="0.25">
      <c r="A4166" t="s">
        <v>216</v>
      </c>
      <c r="B4166" t="s">
        <v>3936</v>
      </c>
      <c r="C4166" t="s">
        <v>88</v>
      </c>
      <c r="D4166" t="s">
        <v>3937</v>
      </c>
      <c r="E4166" t="s">
        <v>1509</v>
      </c>
      <c r="F4166" t="s">
        <v>88</v>
      </c>
      <c r="G4166" t="s">
        <v>88</v>
      </c>
      <c r="H4166" t="s">
        <v>92</v>
      </c>
    </row>
    <row r="4167" spans="1:8" x14ac:dyDescent="0.25">
      <c r="A4167" t="s">
        <v>216</v>
      </c>
      <c r="B4167" t="s">
        <v>3938</v>
      </c>
      <c r="C4167" t="s">
        <v>88</v>
      </c>
      <c r="D4167" t="s">
        <v>3939</v>
      </c>
      <c r="E4167" t="s">
        <v>1509</v>
      </c>
      <c r="F4167" t="s">
        <v>88</v>
      </c>
      <c r="G4167" t="s">
        <v>88</v>
      </c>
      <c r="H4167" t="s">
        <v>92</v>
      </c>
    </row>
    <row r="4168" spans="1:8" x14ac:dyDescent="0.25">
      <c r="A4168" t="s">
        <v>216</v>
      </c>
      <c r="B4168" t="s">
        <v>3940</v>
      </c>
      <c r="C4168" t="s">
        <v>88</v>
      </c>
      <c r="D4168" t="s">
        <v>3941</v>
      </c>
      <c r="E4168" t="s">
        <v>1452</v>
      </c>
      <c r="F4168" t="s">
        <v>88</v>
      </c>
      <c r="G4168" t="s">
        <v>88</v>
      </c>
      <c r="H4168" t="s">
        <v>92</v>
      </c>
    </row>
    <row r="4169" spans="1:8" x14ac:dyDescent="0.25">
      <c r="A4169" t="s">
        <v>216</v>
      </c>
      <c r="B4169" t="s">
        <v>3942</v>
      </c>
      <c r="C4169" t="s">
        <v>88</v>
      </c>
      <c r="D4169" t="s">
        <v>88</v>
      </c>
      <c r="E4169" t="s">
        <v>1636</v>
      </c>
      <c r="F4169" t="s">
        <v>88</v>
      </c>
      <c r="G4169" t="s">
        <v>88</v>
      </c>
      <c r="H4169" t="s">
        <v>92</v>
      </c>
    </row>
    <row r="4170" spans="1:8" x14ac:dyDescent="0.25">
      <c r="A4170" t="s">
        <v>216</v>
      </c>
      <c r="B4170" t="s">
        <v>3943</v>
      </c>
      <c r="C4170" t="s">
        <v>88</v>
      </c>
      <c r="D4170" t="s">
        <v>88</v>
      </c>
      <c r="E4170" t="s">
        <v>1636</v>
      </c>
      <c r="F4170" t="s">
        <v>88</v>
      </c>
      <c r="G4170" t="s">
        <v>88</v>
      </c>
      <c r="H4170" t="s">
        <v>92</v>
      </c>
    </row>
    <row r="4171" spans="1:8" x14ac:dyDescent="0.25">
      <c r="A4171" t="s">
        <v>216</v>
      </c>
      <c r="B4171" t="s">
        <v>3944</v>
      </c>
      <c r="C4171" t="s">
        <v>88</v>
      </c>
      <c r="D4171" t="s">
        <v>88</v>
      </c>
      <c r="E4171" t="s">
        <v>3112</v>
      </c>
      <c r="F4171" t="s">
        <v>88</v>
      </c>
      <c r="G4171" t="s">
        <v>88</v>
      </c>
      <c r="H4171" t="s">
        <v>92</v>
      </c>
    </row>
    <row r="4172" spans="1:8" x14ac:dyDescent="0.25">
      <c r="A4172" t="s">
        <v>216</v>
      </c>
      <c r="B4172" t="s">
        <v>3945</v>
      </c>
      <c r="C4172" t="s">
        <v>88</v>
      </c>
      <c r="D4172" t="s">
        <v>88</v>
      </c>
      <c r="E4172" t="s">
        <v>1584</v>
      </c>
      <c r="F4172" t="s">
        <v>88</v>
      </c>
      <c r="G4172" t="s">
        <v>88</v>
      </c>
      <c r="H4172" t="s">
        <v>92</v>
      </c>
    </row>
    <row r="4173" spans="1:8" x14ac:dyDescent="0.25">
      <c r="A4173" t="s">
        <v>216</v>
      </c>
      <c r="B4173" t="s">
        <v>3679</v>
      </c>
      <c r="C4173" t="s">
        <v>88</v>
      </c>
      <c r="D4173" t="s">
        <v>88</v>
      </c>
      <c r="E4173" t="s">
        <v>3112</v>
      </c>
      <c r="F4173" t="s">
        <v>88</v>
      </c>
      <c r="G4173" t="s">
        <v>88</v>
      </c>
      <c r="H4173" t="s">
        <v>92</v>
      </c>
    </row>
    <row r="4174" spans="1:8" x14ac:dyDescent="0.25">
      <c r="A4174" t="s">
        <v>216</v>
      </c>
      <c r="B4174" t="s">
        <v>3946</v>
      </c>
      <c r="C4174" t="s">
        <v>88</v>
      </c>
      <c r="D4174" t="s">
        <v>3947</v>
      </c>
      <c r="E4174" t="s">
        <v>1556</v>
      </c>
      <c r="F4174" t="s">
        <v>88</v>
      </c>
      <c r="G4174" t="s">
        <v>88</v>
      </c>
      <c r="H4174" t="s">
        <v>92</v>
      </c>
    </row>
    <row r="4175" spans="1:8" x14ac:dyDescent="0.25">
      <c r="A4175" t="s">
        <v>216</v>
      </c>
      <c r="B4175" t="s">
        <v>3948</v>
      </c>
      <c r="C4175" t="s">
        <v>88</v>
      </c>
      <c r="D4175" t="s">
        <v>88</v>
      </c>
      <c r="E4175" t="s">
        <v>3115</v>
      </c>
      <c r="F4175" t="s">
        <v>88</v>
      </c>
      <c r="G4175" t="s">
        <v>88</v>
      </c>
      <c r="H4175" t="s">
        <v>92</v>
      </c>
    </row>
    <row r="4176" spans="1:8" x14ac:dyDescent="0.25">
      <c r="A4176" t="s">
        <v>216</v>
      </c>
      <c r="B4176" t="s">
        <v>3949</v>
      </c>
      <c r="C4176" t="s">
        <v>88</v>
      </c>
      <c r="D4176" t="s">
        <v>88</v>
      </c>
      <c r="E4176" t="s">
        <v>3115</v>
      </c>
      <c r="F4176" t="s">
        <v>88</v>
      </c>
      <c r="G4176" t="s">
        <v>88</v>
      </c>
      <c r="H4176" t="s">
        <v>92</v>
      </c>
    </row>
    <row r="4177" spans="1:8" x14ac:dyDescent="0.25">
      <c r="A4177" t="s">
        <v>216</v>
      </c>
      <c r="B4177" t="s">
        <v>3950</v>
      </c>
      <c r="C4177" t="s">
        <v>88</v>
      </c>
      <c r="D4177" t="s">
        <v>88</v>
      </c>
      <c r="E4177" t="s">
        <v>3115</v>
      </c>
      <c r="F4177" t="s">
        <v>88</v>
      </c>
      <c r="G4177" t="s">
        <v>88</v>
      </c>
      <c r="H4177" t="s">
        <v>92</v>
      </c>
    </row>
    <row r="4178" spans="1:8" x14ac:dyDescent="0.25">
      <c r="A4178" t="s">
        <v>216</v>
      </c>
      <c r="B4178" t="s">
        <v>1632</v>
      </c>
      <c r="C4178" t="s">
        <v>88</v>
      </c>
      <c r="D4178" t="s">
        <v>3951</v>
      </c>
      <c r="E4178" t="s">
        <v>3109</v>
      </c>
      <c r="F4178" t="s">
        <v>88</v>
      </c>
      <c r="G4178" t="s">
        <v>88</v>
      </c>
      <c r="H4178" t="s">
        <v>92</v>
      </c>
    </row>
    <row r="4179" spans="1:8" x14ac:dyDescent="0.25">
      <c r="A4179" t="s">
        <v>216</v>
      </c>
      <c r="B4179" t="s">
        <v>3952</v>
      </c>
      <c r="C4179" t="s">
        <v>88</v>
      </c>
      <c r="D4179" t="s">
        <v>3953</v>
      </c>
      <c r="E4179" t="s">
        <v>1584</v>
      </c>
      <c r="F4179" t="s">
        <v>88</v>
      </c>
      <c r="G4179" t="s">
        <v>88</v>
      </c>
      <c r="H4179" t="s">
        <v>92</v>
      </c>
    </row>
    <row r="4180" spans="1:8" x14ac:dyDescent="0.25">
      <c r="A4180" t="s">
        <v>216</v>
      </c>
      <c r="B4180" t="s">
        <v>1072</v>
      </c>
      <c r="C4180" t="s">
        <v>88</v>
      </c>
      <c r="D4180" t="s">
        <v>88</v>
      </c>
      <c r="E4180" t="s">
        <v>1636</v>
      </c>
      <c r="F4180" t="s">
        <v>88</v>
      </c>
      <c r="G4180" t="s">
        <v>88</v>
      </c>
      <c r="H4180" t="s">
        <v>92</v>
      </c>
    </row>
    <row r="4181" spans="1:8" x14ac:dyDescent="0.25">
      <c r="A4181" t="s">
        <v>216</v>
      </c>
      <c r="B4181" t="s">
        <v>701</v>
      </c>
      <c r="C4181" t="s">
        <v>88</v>
      </c>
      <c r="D4181" t="s">
        <v>88</v>
      </c>
      <c r="E4181" t="s">
        <v>1636</v>
      </c>
      <c r="F4181" t="s">
        <v>88</v>
      </c>
      <c r="G4181" t="s">
        <v>88</v>
      </c>
      <c r="H4181" t="s">
        <v>92</v>
      </c>
    </row>
    <row r="4182" spans="1:8" x14ac:dyDescent="0.25">
      <c r="A4182" t="s">
        <v>216</v>
      </c>
      <c r="B4182" t="s">
        <v>703</v>
      </c>
      <c r="C4182" t="s">
        <v>88</v>
      </c>
      <c r="D4182" t="s">
        <v>88</v>
      </c>
      <c r="E4182" t="s">
        <v>1636</v>
      </c>
      <c r="F4182" t="s">
        <v>88</v>
      </c>
      <c r="G4182" t="s">
        <v>88</v>
      </c>
      <c r="H4182" t="s">
        <v>92</v>
      </c>
    </row>
    <row r="4183" spans="1:8" x14ac:dyDescent="0.25">
      <c r="A4183" t="s">
        <v>216</v>
      </c>
      <c r="B4183" t="s">
        <v>705</v>
      </c>
      <c r="C4183" t="s">
        <v>88</v>
      </c>
      <c r="D4183" t="s">
        <v>88</v>
      </c>
      <c r="E4183" t="s">
        <v>1636</v>
      </c>
      <c r="F4183" t="s">
        <v>88</v>
      </c>
      <c r="G4183" t="s">
        <v>88</v>
      </c>
      <c r="H4183" t="s">
        <v>92</v>
      </c>
    </row>
    <row r="4184" spans="1:8" x14ac:dyDescent="0.25">
      <c r="A4184" t="s">
        <v>216</v>
      </c>
      <c r="B4184" t="s">
        <v>706</v>
      </c>
      <c r="C4184" t="s">
        <v>88</v>
      </c>
      <c r="D4184" t="s">
        <v>88</v>
      </c>
      <c r="E4184" t="s">
        <v>1636</v>
      </c>
      <c r="F4184" t="s">
        <v>88</v>
      </c>
      <c r="G4184" t="s">
        <v>88</v>
      </c>
      <c r="H4184" t="s">
        <v>92</v>
      </c>
    </row>
    <row r="4185" spans="1:8" x14ac:dyDescent="0.25">
      <c r="A4185" t="s">
        <v>216</v>
      </c>
      <c r="B4185" t="s">
        <v>997</v>
      </c>
      <c r="C4185" t="s">
        <v>88</v>
      </c>
      <c r="D4185" t="s">
        <v>88</v>
      </c>
      <c r="E4185" t="s">
        <v>1636</v>
      </c>
      <c r="F4185" t="s">
        <v>88</v>
      </c>
      <c r="G4185" t="s">
        <v>88</v>
      </c>
      <c r="H4185" t="s">
        <v>92</v>
      </c>
    </row>
    <row r="4186" spans="1:8" x14ac:dyDescent="0.25">
      <c r="A4186" t="s">
        <v>216</v>
      </c>
      <c r="B4186" t="s">
        <v>2570</v>
      </c>
      <c r="C4186" t="s">
        <v>88</v>
      </c>
      <c r="D4186" t="s">
        <v>88</v>
      </c>
      <c r="E4186" t="s">
        <v>1636</v>
      </c>
      <c r="F4186" t="s">
        <v>88</v>
      </c>
      <c r="G4186" t="s">
        <v>88</v>
      </c>
      <c r="H4186" t="s">
        <v>92</v>
      </c>
    </row>
    <row r="4187" spans="1:8" x14ac:dyDescent="0.25">
      <c r="A4187" t="s">
        <v>216</v>
      </c>
      <c r="B4187" t="s">
        <v>3954</v>
      </c>
      <c r="C4187" t="s">
        <v>88</v>
      </c>
      <c r="D4187" t="s">
        <v>88</v>
      </c>
      <c r="E4187" t="s">
        <v>1636</v>
      </c>
      <c r="F4187" t="s">
        <v>88</v>
      </c>
      <c r="G4187" t="s">
        <v>88</v>
      </c>
      <c r="H4187" t="s">
        <v>92</v>
      </c>
    </row>
    <row r="4188" spans="1:8" x14ac:dyDescent="0.25">
      <c r="A4188" t="s">
        <v>216</v>
      </c>
      <c r="B4188" t="s">
        <v>3955</v>
      </c>
      <c r="C4188" t="s">
        <v>88</v>
      </c>
      <c r="D4188" t="s">
        <v>88</v>
      </c>
      <c r="E4188" t="s">
        <v>1636</v>
      </c>
      <c r="F4188" t="s">
        <v>88</v>
      </c>
      <c r="G4188" t="s">
        <v>88</v>
      </c>
      <c r="H4188" t="s">
        <v>92</v>
      </c>
    </row>
    <row r="4189" spans="1:8" x14ac:dyDescent="0.25">
      <c r="A4189" t="s">
        <v>216</v>
      </c>
      <c r="B4189" t="s">
        <v>1638</v>
      </c>
      <c r="C4189" t="s">
        <v>88</v>
      </c>
      <c r="D4189" t="s">
        <v>88</v>
      </c>
      <c r="E4189" t="s">
        <v>1636</v>
      </c>
      <c r="F4189" t="s">
        <v>88</v>
      </c>
      <c r="G4189" t="s">
        <v>88</v>
      </c>
      <c r="H4189" t="s">
        <v>92</v>
      </c>
    </row>
    <row r="4190" spans="1:8" x14ac:dyDescent="0.25">
      <c r="A4190" t="s">
        <v>216</v>
      </c>
      <c r="B4190" t="s">
        <v>1637</v>
      </c>
      <c r="C4190" t="s">
        <v>88</v>
      </c>
      <c r="D4190" t="s">
        <v>88</v>
      </c>
      <c r="E4190" t="s">
        <v>1636</v>
      </c>
      <c r="F4190" t="s">
        <v>88</v>
      </c>
      <c r="G4190" t="s">
        <v>88</v>
      </c>
      <c r="H4190" t="s">
        <v>92</v>
      </c>
    </row>
    <row r="4191" spans="1:8" x14ac:dyDescent="0.25">
      <c r="A4191" t="s">
        <v>216</v>
      </c>
      <c r="B4191" t="s">
        <v>3956</v>
      </c>
      <c r="C4191" t="s">
        <v>88</v>
      </c>
      <c r="D4191" t="s">
        <v>88</v>
      </c>
      <c r="E4191" t="s">
        <v>3115</v>
      </c>
      <c r="F4191" t="s">
        <v>88</v>
      </c>
      <c r="G4191" t="s">
        <v>88</v>
      </c>
      <c r="H4191" t="s">
        <v>92</v>
      </c>
    </row>
    <row r="4192" spans="1:8" x14ac:dyDescent="0.25">
      <c r="A4192" t="s">
        <v>216</v>
      </c>
      <c r="B4192" t="s">
        <v>3957</v>
      </c>
      <c r="C4192" t="s">
        <v>88</v>
      </c>
      <c r="D4192" t="s">
        <v>88</v>
      </c>
      <c r="E4192" t="s">
        <v>1640</v>
      </c>
      <c r="F4192" t="s">
        <v>88</v>
      </c>
      <c r="G4192" t="s">
        <v>88</v>
      </c>
      <c r="H4192" t="s">
        <v>92</v>
      </c>
    </row>
    <row r="4193" spans="1:8" x14ac:dyDescent="0.25">
      <c r="A4193" t="s">
        <v>216</v>
      </c>
      <c r="B4193" t="s">
        <v>3958</v>
      </c>
      <c r="C4193" t="s">
        <v>88</v>
      </c>
      <c r="D4193" t="s">
        <v>88</v>
      </c>
      <c r="E4193" t="s">
        <v>1652</v>
      </c>
      <c r="F4193" t="s">
        <v>88</v>
      </c>
      <c r="G4193" t="s">
        <v>88</v>
      </c>
      <c r="H4193" t="s">
        <v>92</v>
      </c>
    </row>
    <row r="4194" spans="1:8" x14ac:dyDescent="0.25">
      <c r="A4194" t="s">
        <v>216</v>
      </c>
      <c r="B4194" t="s">
        <v>714</v>
      </c>
      <c r="C4194" t="s">
        <v>88</v>
      </c>
      <c r="D4194" t="s">
        <v>88</v>
      </c>
      <c r="E4194" t="s">
        <v>3117</v>
      </c>
      <c r="F4194" t="s">
        <v>88</v>
      </c>
      <c r="G4194" t="s">
        <v>88</v>
      </c>
      <c r="H4194" t="s">
        <v>92</v>
      </c>
    </row>
    <row r="4195" spans="1:8" x14ac:dyDescent="0.25">
      <c r="A4195" t="s">
        <v>216</v>
      </c>
      <c r="B4195" t="s">
        <v>1074</v>
      </c>
      <c r="C4195" t="s">
        <v>88</v>
      </c>
      <c r="D4195" t="s">
        <v>88</v>
      </c>
      <c r="E4195" t="s">
        <v>3117</v>
      </c>
      <c r="F4195" t="s">
        <v>88</v>
      </c>
      <c r="G4195" t="s">
        <v>88</v>
      </c>
      <c r="H4195" t="s">
        <v>92</v>
      </c>
    </row>
    <row r="4196" spans="1:8" x14ac:dyDescent="0.25">
      <c r="A4196" t="s">
        <v>216</v>
      </c>
      <c r="B4196" t="s">
        <v>1075</v>
      </c>
      <c r="C4196" t="s">
        <v>88</v>
      </c>
      <c r="D4196" t="s">
        <v>88</v>
      </c>
      <c r="E4196" t="s">
        <v>3117</v>
      </c>
      <c r="F4196" t="s">
        <v>88</v>
      </c>
      <c r="G4196" t="s">
        <v>88</v>
      </c>
      <c r="H4196" t="s">
        <v>92</v>
      </c>
    </row>
    <row r="4197" spans="1:8" x14ac:dyDescent="0.25">
      <c r="A4197" t="s">
        <v>216</v>
      </c>
      <c r="B4197" t="s">
        <v>998</v>
      </c>
      <c r="C4197" t="s">
        <v>88</v>
      </c>
      <c r="D4197" t="s">
        <v>88</v>
      </c>
      <c r="E4197" t="s">
        <v>3117</v>
      </c>
      <c r="F4197" t="s">
        <v>88</v>
      </c>
      <c r="G4197" t="s">
        <v>88</v>
      </c>
      <c r="H4197" t="s">
        <v>92</v>
      </c>
    </row>
    <row r="4198" spans="1:8" x14ac:dyDescent="0.25">
      <c r="A4198" t="s">
        <v>216</v>
      </c>
      <c r="B4198" t="s">
        <v>1073</v>
      </c>
      <c r="C4198" t="s">
        <v>88</v>
      </c>
      <c r="D4198" t="s">
        <v>88</v>
      </c>
      <c r="E4198" t="s">
        <v>3117</v>
      </c>
      <c r="F4198" t="s">
        <v>88</v>
      </c>
      <c r="G4198" t="s">
        <v>88</v>
      </c>
      <c r="H4198" t="s">
        <v>92</v>
      </c>
    </row>
    <row r="4199" spans="1:8" x14ac:dyDescent="0.25">
      <c r="A4199" t="s">
        <v>216</v>
      </c>
      <c r="B4199" t="s">
        <v>1655</v>
      </c>
      <c r="C4199" t="s">
        <v>88</v>
      </c>
      <c r="D4199" t="s">
        <v>88</v>
      </c>
      <c r="E4199" t="s">
        <v>3117</v>
      </c>
      <c r="F4199" t="s">
        <v>88</v>
      </c>
      <c r="G4199" t="s">
        <v>88</v>
      </c>
      <c r="H4199" t="s">
        <v>92</v>
      </c>
    </row>
    <row r="4200" spans="1:8" x14ac:dyDescent="0.25">
      <c r="A4200" t="s">
        <v>216</v>
      </c>
      <c r="B4200" t="s">
        <v>1654</v>
      </c>
      <c r="C4200" t="s">
        <v>88</v>
      </c>
      <c r="D4200" t="s">
        <v>88</v>
      </c>
      <c r="E4200" t="s">
        <v>3117</v>
      </c>
      <c r="F4200" t="s">
        <v>88</v>
      </c>
      <c r="G4200" t="s">
        <v>88</v>
      </c>
      <c r="H4200" t="s">
        <v>92</v>
      </c>
    </row>
    <row r="4201" spans="1:8" x14ac:dyDescent="0.25">
      <c r="A4201" t="s">
        <v>216</v>
      </c>
      <c r="B4201" t="s">
        <v>1033</v>
      </c>
      <c r="C4201" t="s">
        <v>88</v>
      </c>
      <c r="D4201" t="s">
        <v>88</v>
      </c>
      <c r="E4201" t="s">
        <v>3117</v>
      </c>
      <c r="F4201" t="s">
        <v>88</v>
      </c>
      <c r="G4201" t="s">
        <v>88</v>
      </c>
      <c r="H4201" t="s">
        <v>92</v>
      </c>
    </row>
    <row r="4202" spans="1:8" x14ac:dyDescent="0.25">
      <c r="A4202" t="s">
        <v>216</v>
      </c>
      <c r="B4202" t="s">
        <v>3959</v>
      </c>
      <c r="C4202" t="s">
        <v>88</v>
      </c>
      <c r="D4202" t="s">
        <v>88</v>
      </c>
      <c r="E4202" t="s">
        <v>848</v>
      </c>
      <c r="F4202" t="s">
        <v>88</v>
      </c>
      <c r="G4202" t="s">
        <v>88</v>
      </c>
      <c r="H4202" t="s">
        <v>92</v>
      </c>
    </row>
    <row r="4203" spans="1:8" x14ac:dyDescent="0.25">
      <c r="A4203" t="s">
        <v>216</v>
      </c>
      <c r="B4203" t="s">
        <v>3960</v>
      </c>
      <c r="C4203" t="s">
        <v>88</v>
      </c>
      <c r="D4203" t="s">
        <v>88</v>
      </c>
      <c r="E4203" t="s">
        <v>848</v>
      </c>
      <c r="F4203" t="s">
        <v>88</v>
      </c>
      <c r="G4203" t="s">
        <v>88</v>
      </c>
      <c r="H4203" t="s">
        <v>92</v>
      </c>
    </row>
    <row r="4204" spans="1:8" x14ac:dyDescent="0.25">
      <c r="A4204" t="s">
        <v>216</v>
      </c>
      <c r="B4204" t="s">
        <v>2573</v>
      </c>
      <c r="C4204" t="s">
        <v>88</v>
      </c>
      <c r="D4204" t="s">
        <v>88</v>
      </c>
      <c r="E4204" t="s">
        <v>848</v>
      </c>
      <c r="F4204" t="s">
        <v>88</v>
      </c>
      <c r="G4204" t="s">
        <v>88</v>
      </c>
      <c r="H4204" t="s">
        <v>92</v>
      </c>
    </row>
    <row r="4205" spans="1:8" x14ac:dyDescent="0.25">
      <c r="A4205" t="s">
        <v>216</v>
      </c>
      <c r="B4205" t="s">
        <v>1609</v>
      </c>
      <c r="C4205" t="s">
        <v>88</v>
      </c>
      <c r="D4205" t="s">
        <v>88</v>
      </c>
      <c r="E4205" t="s">
        <v>850</v>
      </c>
      <c r="F4205" t="s">
        <v>88</v>
      </c>
      <c r="G4205" t="s">
        <v>88</v>
      </c>
      <c r="H4205" t="s">
        <v>92</v>
      </c>
    </row>
    <row r="4206" spans="1:8" x14ac:dyDescent="0.25">
      <c r="A4206" t="s">
        <v>216</v>
      </c>
      <c r="B4206" t="s">
        <v>1611</v>
      </c>
      <c r="C4206" t="s">
        <v>88</v>
      </c>
      <c r="D4206" t="s">
        <v>88</v>
      </c>
      <c r="E4206" t="s">
        <v>850</v>
      </c>
      <c r="F4206" t="s">
        <v>88</v>
      </c>
      <c r="G4206" t="s">
        <v>88</v>
      </c>
      <c r="H4206" t="s">
        <v>92</v>
      </c>
    </row>
    <row r="4207" spans="1:8" x14ac:dyDescent="0.25">
      <c r="A4207" t="s">
        <v>216</v>
      </c>
      <c r="B4207" t="s">
        <v>625</v>
      </c>
      <c r="C4207" t="s">
        <v>88</v>
      </c>
      <c r="D4207" t="s">
        <v>88</v>
      </c>
      <c r="E4207" t="s">
        <v>626</v>
      </c>
      <c r="F4207" t="s">
        <v>88</v>
      </c>
      <c r="G4207" t="s">
        <v>88</v>
      </c>
      <c r="H4207" t="s">
        <v>92</v>
      </c>
    </row>
    <row r="4208" spans="1:8" x14ac:dyDescent="0.25">
      <c r="A4208" t="s">
        <v>217</v>
      </c>
      <c r="B4208" t="s">
        <v>3965</v>
      </c>
      <c r="C4208" t="s">
        <v>88</v>
      </c>
      <c r="D4208" t="s">
        <v>3966</v>
      </c>
      <c r="E4208" t="s">
        <v>3015</v>
      </c>
      <c r="F4208" t="s">
        <v>88</v>
      </c>
      <c r="G4208" t="s">
        <v>88</v>
      </c>
      <c r="H4208" t="s">
        <v>92</v>
      </c>
    </row>
    <row r="4209" spans="1:8" x14ac:dyDescent="0.25">
      <c r="A4209" t="s">
        <v>217</v>
      </c>
      <c r="B4209" t="s">
        <v>3967</v>
      </c>
      <c r="C4209" t="s">
        <v>88</v>
      </c>
      <c r="D4209" t="s">
        <v>3968</v>
      </c>
      <c r="E4209" t="s">
        <v>893</v>
      </c>
      <c r="F4209" t="s">
        <v>88</v>
      </c>
      <c r="G4209" t="s">
        <v>88</v>
      </c>
      <c r="H4209" t="s">
        <v>92</v>
      </c>
    </row>
    <row r="4210" spans="1:8" x14ac:dyDescent="0.25">
      <c r="A4210" t="s">
        <v>217</v>
      </c>
      <c r="B4210" t="s">
        <v>3969</v>
      </c>
      <c r="C4210" t="s">
        <v>88</v>
      </c>
      <c r="D4210" t="s">
        <v>3970</v>
      </c>
      <c r="E4210" t="s">
        <v>893</v>
      </c>
      <c r="F4210" t="s">
        <v>88</v>
      </c>
      <c r="G4210" t="s">
        <v>88</v>
      </c>
      <c r="H4210" t="s">
        <v>92</v>
      </c>
    </row>
    <row r="4211" spans="1:8" x14ac:dyDescent="0.25">
      <c r="A4211" t="s">
        <v>217</v>
      </c>
      <c r="B4211" t="s">
        <v>3971</v>
      </c>
      <c r="C4211" t="s">
        <v>88</v>
      </c>
      <c r="D4211" t="s">
        <v>3972</v>
      </c>
      <c r="E4211" t="s">
        <v>820</v>
      </c>
      <c r="F4211" t="s">
        <v>88</v>
      </c>
      <c r="G4211" t="s">
        <v>88</v>
      </c>
      <c r="H4211" t="s">
        <v>92</v>
      </c>
    </row>
    <row r="4212" spans="1:8" x14ac:dyDescent="0.25">
      <c r="A4212" t="s">
        <v>217</v>
      </c>
      <c r="B4212" t="s">
        <v>3973</v>
      </c>
      <c r="C4212" t="s">
        <v>88</v>
      </c>
      <c r="D4212" t="s">
        <v>3974</v>
      </c>
      <c r="E4212" t="s">
        <v>700</v>
      </c>
      <c r="F4212" t="s">
        <v>88</v>
      </c>
      <c r="G4212" t="s">
        <v>88</v>
      </c>
      <c r="H4212" t="s">
        <v>92</v>
      </c>
    </row>
    <row r="4213" spans="1:8" x14ac:dyDescent="0.25">
      <c r="A4213" t="s">
        <v>217</v>
      </c>
      <c r="B4213" t="s">
        <v>3975</v>
      </c>
      <c r="C4213" t="s">
        <v>88</v>
      </c>
      <c r="D4213" t="s">
        <v>3976</v>
      </c>
      <c r="E4213" t="s">
        <v>1241</v>
      </c>
      <c r="F4213" t="s">
        <v>88</v>
      </c>
      <c r="G4213" t="s">
        <v>88</v>
      </c>
      <c r="H4213" t="s">
        <v>92</v>
      </c>
    </row>
    <row r="4214" spans="1:8" x14ac:dyDescent="0.25">
      <c r="A4214" t="s">
        <v>217</v>
      </c>
      <c r="B4214" t="s">
        <v>3977</v>
      </c>
      <c r="C4214" t="s">
        <v>88</v>
      </c>
      <c r="D4214" t="s">
        <v>3978</v>
      </c>
      <c r="E4214" t="s">
        <v>762</v>
      </c>
      <c r="F4214" t="s">
        <v>88</v>
      </c>
      <c r="G4214" t="s">
        <v>88</v>
      </c>
      <c r="H4214" t="s">
        <v>92</v>
      </c>
    </row>
    <row r="4215" spans="1:8" x14ac:dyDescent="0.25">
      <c r="A4215" t="s">
        <v>217</v>
      </c>
      <c r="B4215" t="s">
        <v>3979</v>
      </c>
      <c r="C4215" t="s">
        <v>88</v>
      </c>
      <c r="D4215" t="s">
        <v>3980</v>
      </c>
      <c r="E4215" t="s">
        <v>2464</v>
      </c>
      <c r="F4215" t="s">
        <v>88</v>
      </c>
      <c r="G4215" t="s">
        <v>88</v>
      </c>
      <c r="H4215" t="s">
        <v>92</v>
      </c>
    </row>
    <row r="4216" spans="1:8" x14ac:dyDescent="0.25">
      <c r="A4216" t="s">
        <v>217</v>
      </c>
      <c r="B4216" t="s">
        <v>3981</v>
      </c>
      <c r="C4216" t="s">
        <v>88</v>
      </c>
      <c r="D4216" t="s">
        <v>3982</v>
      </c>
      <c r="E4216" t="s">
        <v>883</v>
      </c>
      <c r="F4216" t="s">
        <v>88</v>
      </c>
      <c r="G4216" t="s">
        <v>88</v>
      </c>
      <c r="H4216" t="s">
        <v>92</v>
      </c>
    </row>
    <row r="4217" spans="1:8" x14ac:dyDescent="0.25">
      <c r="A4217" t="s">
        <v>217</v>
      </c>
      <c r="B4217" t="s">
        <v>3983</v>
      </c>
      <c r="C4217" t="s">
        <v>88</v>
      </c>
      <c r="D4217" t="s">
        <v>3984</v>
      </c>
      <c r="E4217" t="s">
        <v>679</v>
      </c>
      <c r="F4217" t="s">
        <v>88</v>
      </c>
      <c r="G4217" t="s">
        <v>88</v>
      </c>
      <c r="H4217" t="s">
        <v>92</v>
      </c>
    </row>
    <row r="4218" spans="1:8" x14ac:dyDescent="0.25">
      <c r="A4218" t="s">
        <v>217</v>
      </c>
      <c r="B4218" t="s">
        <v>3985</v>
      </c>
      <c r="C4218" t="s">
        <v>88</v>
      </c>
      <c r="D4218" t="s">
        <v>3984</v>
      </c>
      <c r="E4218" t="s">
        <v>937</v>
      </c>
      <c r="F4218" t="s">
        <v>88</v>
      </c>
      <c r="G4218" t="s">
        <v>88</v>
      </c>
      <c r="H4218" t="s">
        <v>92</v>
      </c>
    </row>
    <row r="4219" spans="1:8" x14ac:dyDescent="0.25">
      <c r="A4219" t="s">
        <v>217</v>
      </c>
      <c r="B4219" t="s">
        <v>3986</v>
      </c>
      <c r="C4219" t="s">
        <v>88</v>
      </c>
      <c r="D4219" t="s">
        <v>3987</v>
      </c>
      <c r="E4219" t="s">
        <v>725</v>
      </c>
      <c r="F4219" t="s">
        <v>88</v>
      </c>
      <c r="G4219" t="s">
        <v>88</v>
      </c>
      <c r="H4219" t="s">
        <v>92</v>
      </c>
    </row>
    <row r="4220" spans="1:8" x14ac:dyDescent="0.25">
      <c r="A4220" t="s">
        <v>217</v>
      </c>
      <c r="B4220" t="s">
        <v>3988</v>
      </c>
      <c r="C4220" t="s">
        <v>88</v>
      </c>
      <c r="D4220" t="s">
        <v>3989</v>
      </c>
      <c r="E4220" t="s">
        <v>658</v>
      </c>
      <c r="F4220" t="s">
        <v>88</v>
      </c>
      <c r="G4220" t="s">
        <v>88</v>
      </c>
      <c r="H4220" t="s">
        <v>92</v>
      </c>
    </row>
    <row r="4221" spans="1:8" x14ac:dyDescent="0.25">
      <c r="A4221" t="s">
        <v>217</v>
      </c>
      <c r="B4221" t="s">
        <v>3990</v>
      </c>
      <c r="C4221" t="s">
        <v>88</v>
      </c>
      <c r="D4221" t="s">
        <v>3991</v>
      </c>
      <c r="E4221" t="s">
        <v>760</v>
      </c>
      <c r="F4221" t="s">
        <v>88</v>
      </c>
      <c r="G4221" t="s">
        <v>88</v>
      </c>
      <c r="H4221" t="s">
        <v>92</v>
      </c>
    </row>
    <row r="4222" spans="1:8" x14ac:dyDescent="0.25">
      <c r="A4222" t="s">
        <v>217</v>
      </c>
      <c r="B4222" t="s">
        <v>3992</v>
      </c>
      <c r="C4222" t="s">
        <v>88</v>
      </c>
      <c r="D4222" t="s">
        <v>3993</v>
      </c>
      <c r="E4222" t="s">
        <v>748</v>
      </c>
      <c r="F4222" t="s">
        <v>88</v>
      </c>
      <c r="G4222" t="s">
        <v>88</v>
      </c>
      <c r="H4222" t="s">
        <v>92</v>
      </c>
    </row>
    <row r="4223" spans="1:8" x14ac:dyDescent="0.25">
      <c r="A4223" t="s">
        <v>217</v>
      </c>
      <c r="B4223" t="s">
        <v>3994</v>
      </c>
      <c r="C4223" t="s">
        <v>88</v>
      </c>
      <c r="D4223" t="s">
        <v>3993</v>
      </c>
      <c r="E4223" t="s">
        <v>658</v>
      </c>
      <c r="F4223" t="s">
        <v>88</v>
      </c>
      <c r="G4223" t="s">
        <v>88</v>
      </c>
      <c r="H4223" t="s">
        <v>92</v>
      </c>
    </row>
    <row r="4224" spans="1:8" x14ac:dyDescent="0.25">
      <c r="A4224" t="s">
        <v>217</v>
      </c>
      <c r="B4224" t="s">
        <v>3995</v>
      </c>
      <c r="C4224" t="s">
        <v>88</v>
      </c>
      <c r="D4224" t="s">
        <v>3996</v>
      </c>
      <c r="E4224" t="s">
        <v>700</v>
      </c>
      <c r="F4224" t="s">
        <v>88</v>
      </c>
      <c r="G4224" t="s">
        <v>88</v>
      </c>
      <c r="H4224" t="s">
        <v>92</v>
      </c>
    </row>
    <row r="4225" spans="1:8" x14ac:dyDescent="0.25">
      <c r="A4225" t="s">
        <v>217</v>
      </c>
      <c r="B4225" t="s">
        <v>3997</v>
      </c>
      <c r="C4225" t="s">
        <v>88</v>
      </c>
      <c r="D4225" t="s">
        <v>3998</v>
      </c>
      <c r="E4225" t="s">
        <v>883</v>
      </c>
      <c r="F4225" t="s">
        <v>88</v>
      </c>
      <c r="G4225" t="s">
        <v>88</v>
      </c>
      <c r="H4225" t="s">
        <v>92</v>
      </c>
    </row>
    <row r="4226" spans="1:8" x14ac:dyDescent="0.25">
      <c r="A4226" t="s">
        <v>217</v>
      </c>
      <c r="B4226" t="s">
        <v>3999</v>
      </c>
      <c r="C4226" t="s">
        <v>88</v>
      </c>
      <c r="D4226" t="s">
        <v>4000</v>
      </c>
      <c r="E4226" t="s">
        <v>723</v>
      </c>
      <c r="F4226" t="s">
        <v>88</v>
      </c>
      <c r="G4226" t="s">
        <v>88</v>
      </c>
      <c r="H4226" t="s">
        <v>92</v>
      </c>
    </row>
    <row r="4227" spans="1:8" x14ac:dyDescent="0.25">
      <c r="A4227" t="s">
        <v>217</v>
      </c>
      <c r="B4227" t="s">
        <v>1322</v>
      </c>
      <c r="C4227" t="s">
        <v>88</v>
      </c>
      <c r="D4227" t="s">
        <v>88</v>
      </c>
      <c r="E4227" t="s">
        <v>715</v>
      </c>
      <c r="F4227" t="s">
        <v>88</v>
      </c>
      <c r="G4227" t="s">
        <v>88</v>
      </c>
      <c r="H4227" t="s">
        <v>92</v>
      </c>
    </row>
    <row r="4228" spans="1:8" x14ac:dyDescent="0.25">
      <c r="A4228" t="s">
        <v>217</v>
      </c>
      <c r="B4228" t="s">
        <v>612</v>
      </c>
      <c r="C4228" t="s">
        <v>88</v>
      </c>
      <c r="D4228" t="s">
        <v>88</v>
      </c>
      <c r="E4228" t="s">
        <v>734</v>
      </c>
      <c r="F4228" t="s">
        <v>88</v>
      </c>
      <c r="G4228" t="s">
        <v>88</v>
      </c>
      <c r="H4228" t="s">
        <v>92</v>
      </c>
    </row>
    <row r="4229" spans="1:8" x14ac:dyDescent="0.25">
      <c r="A4229" t="s">
        <v>217</v>
      </c>
      <c r="B4229" t="s">
        <v>614</v>
      </c>
      <c r="C4229" t="s">
        <v>88</v>
      </c>
      <c r="D4229" t="s">
        <v>88</v>
      </c>
      <c r="E4229" t="s">
        <v>734</v>
      </c>
      <c r="F4229" t="s">
        <v>88</v>
      </c>
      <c r="G4229" t="s">
        <v>88</v>
      </c>
      <c r="H4229" t="s">
        <v>92</v>
      </c>
    </row>
    <row r="4230" spans="1:8" x14ac:dyDescent="0.25">
      <c r="A4230" t="s">
        <v>217</v>
      </c>
      <c r="B4230" t="s">
        <v>615</v>
      </c>
      <c r="C4230" t="s">
        <v>88</v>
      </c>
      <c r="D4230" t="s">
        <v>88</v>
      </c>
      <c r="E4230" t="s">
        <v>734</v>
      </c>
      <c r="F4230" t="s">
        <v>88</v>
      </c>
      <c r="G4230" t="s">
        <v>88</v>
      </c>
      <c r="H4230" t="s">
        <v>92</v>
      </c>
    </row>
    <row r="4231" spans="1:8" x14ac:dyDescent="0.25">
      <c r="A4231" t="s">
        <v>217</v>
      </c>
      <c r="B4231" t="s">
        <v>3242</v>
      </c>
      <c r="C4231" t="s">
        <v>88</v>
      </c>
      <c r="D4231" t="s">
        <v>88</v>
      </c>
      <c r="E4231" t="s">
        <v>734</v>
      </c>
      <c r="F4231" t="s">
        <v>88</v>
      </c>
      <c r="G4231" t="s">
        <v>88</v>
      </c>
      <c r="H4231" t="s">
        <v>92</v>
      </c>
    </row>
    <row r="4232" spans="1:8" x14ac:dyDescent="0.25">
      <c r="A4232" t="s">
        <v>217</v>
      </c>
      <c r="B4232" t="s">
        <v>794</v>
      </c>
      <c r="C4232" t="s">
        <v>88</v>
      </c>
      <c r="D4232" t="s">
        <v>88</v>
      </c>
      <c r="E4232" t="s">
        <v>1978</v>
      </c>
      <c r="F4232" t="s">
        <v>88</v>
      </c>
      <c r="G4232" t="s">
        <v>88</v>
      </c>
      <c r="H4232" t="s">
        <v>92</v>
      </c>
    </row>
    <row r="4233" spans="1:8" x14ac:dyDescent="0.25">
      <c r="A4233" t="s">
        <v>217</v>
      </c>
      <c r="B4233" t="s">
        <v>4001</v>
      </c>
      <c r="C4233" t="s">
        <v>88</v>
      </c>
      <c r="D4233" t="s">
        <v>88</v>
      </c>
      <c r="E4233" t="s">
        <v>713</v>
      </c>
      <c r="F4233" t="s">
        <v>88</v>
      </c>
      <c r="G4233" t="s">
        <v>88</v>
      </c>
      <c r="H4233" t="s">
        <v>92</v>
      </c>
    </row>
    <row r="4234" spans="1:8" x14ac:dyDescent="0.25">
      <c r="A4234" t="s">
        <v>217</v>
      </c>
      <c r="B4234" t="s">
        <v>623</v>
      </c>
      <c r="C4234" t="s">
        <v>88</v>
      </c>
      <c r="D4234" t="s">
        <v>88</v>
      </c>
      <c r="E4234" t="s">
        <v>735</v>
      </c>
      <c r="F4234" t="s">
        <v>88</v>
      </c>
      <c r="G4234" t="s">
        <v>88</v>
      </c>
      <c r="H4234" t="s">
        <v>92</v>
      </c>
    </row>
    <row r="4235" spans="1:8" x14ac:dyDescent="0.25">
      <c r="A4235" t="s">
        <v>217</v>
      </c>
      <c r="B4235" t="s">
        <v>625</v>
      </c>
      <c r="C4235" t="s">
        <v>88</v>
      </c>
      <c r="D4235" t="s">
        <v>88</v>
      </c>
      <c r="E4235" t="s">
        <v>626</v>
      </c>
      <c r="F4235" t="s">
        <v>88</v>
      </c>
      <c r="G4235" t="s">
        <v>88</v>
      </c>
      <c r="H4235" t="s">
        <v>92</v>
      </c>
    </row>
    <row r="4236" spans="1:8" x14ac:dyDescent="0.25">
      <c r="A4236" t="s">
        <v>219</v>
      </c>
      <c r="B4236" t="s">
        <v>3965</v>
      </c>
      <c r="C4236" t="s">
        <v>88</v>
      </c>
      <c r="D4236" t="s">
        <v>3966</v>
      </c>
      <c r="E4236" t="s">
        <v>3015</v>
      </c>
      <c r="F4236" t="s">
        <v>88</v>
      </c>
      <c r="G4236" t="s">
        <v>88</v>
      </c>
      <c r="H4236" t="s">
        <v>92</v>
      </c>
    </row>
    <row r="4237" spans="1:8" x14ac:dyDescent="0.25">
      <c r="A4237" t="s">
        <v>219</v>
      </c>
      <c r="B4237" t="s">
        <v>3967</v>
      </c>
      <c r="C4237" t="s">
        <v>88</v>
      </c>
      <c r="D4237" t="s">
        <v>3968</v>
      </c>
      <c r="E4237" t="s">
        <v>893</v>
      </c>
      <c r="F4237" t="s">
        <v>88</v>
      </c>
      <c r="G4237" t="s">
        <v>88</v>
      </c>
      <c r="H4237" t="s">
        <v>92</v>
      </c>
    </row>
    <row r="4238" spans="1:8" x14ac:dyDescent="0.25">
      <c r="A4238" t="s">
        <v>219</v>
      </c>
      <c r="B4238" t="s">
        <v>3969</v>
      </c>
      <c r="C4238" t="s">
        <v>88</v>
      </c>
      <c r="D4238" t="s">
        <v>3970</v>
      </c>
      <c r="E4238" t="s">
        <v>893</v>
      </c>
      <c r="F4238" t="s">
        <v>88</v>
      </c>
      <c r="G4238" t="s">
        <v>88</v>
      </c>
      <c r="H4238" t="s">
        <v>92</v>
      </c>
    </row>
    <row r="4239" spans="1:8" x14ac:dyDescent="0.25">
      <c r="A4239" t="s">
        <v>219</v>
      </c>
      <c r="B4239" t="s">
        <v>3971</v>
      </c>
      <c r="C4239" t="s">
        <v>88</v>
      </c>
      <c r="D4239" t="s">
        <v>3972</v>
      </c>
      <c r="E4239" t="s">
        <v>820</v>
      </c>
      <c r="F4239" t="s">
        <v>88</v>
      </c>
      <c r="G4239" t="s">
        <v>88</v>
      </c>
      <c r="H4239" t="s">
        <v>92</v>
      </c>
    </row>
    <row r="4240" spans="1:8" x14ac:dyDescent="0.25">
      <c r="A4240" t="s">
        <v>219</v>
      </c>
      <c r="B4240" t="s">
        <v>3973</v>
      </c>
      <c r="C4240" t="s">
        <v>88</v>
      </c>
      <c r="D4240" t="s">
        <v>3974</v>
      </c>
      <c r="E4240" t="s">
        <v>700</v>
      </c>
      <c r="F4240" t="s">
        <v>88</v>
      </c>
      <c r="G4240" t="s">
        <v>88</v>
      </c>
      <c r="H4240" t="s">
        <v>92</v>
      </c>
    </row>
    <row r="4241" spans="1:8" x14ac:dyDescent="0.25">
      <c r="A4241" t="s">
        <v>219</v>
      </c>
      <c r="B4241" t="s">
        <v>3975</v>
      </c>
      <c r="C4241" t="s">
        <v>88</v>
      </c>
      <c r="D4241" t="s">
        <v>3976</v>
      </c>
      <c r="E4241" t="s">
        <v>1241</v>
      </c>
      <c r="F4241" t="s">
        <v>88</v>
      </c>
      <c r="G4241" t="s">
        <v>88</v>
      </c>
      <c r="H4241" t="s">
        <v>92</v>
      </c>
    </row>
    <row r="4242" spans="1:8" x14ac:dyDescent="0.25">
      <c r="A4242" t="s">
        <v>219</v>
      </c>
      <c r="B4242" t="s">
        <v>3977</v>
      </c>
      <c r="C4242" t="s">
        <v>88</v>
      </c>
      <c r="D4242" t="s">
        <v>3978</v>
      </c>
      <c r="E4242" t="s">
        <v>762</v>
      </c>
      <c r="F4242" t="s">
        <v>88</v>
      </c>
      <c r="G4242" t="s">
        <v>88</v>
      </c>
      <c r="H4242" t="s">
        <v>92</v>
      </c>
    </row>
    <row r="4243" spans="1:8" x14ac:dyDescent="0.25">
      <c r="A4243" t="s">
        <v>219</v>
      </c>
      <c r="B4243" t="s">
        <v>3979</v>
      </c>
      <c r="C4243" t="s">
        <v>88</v>
      </c>
      <c r="D4243" t="s">
        <v>3980</v>
      </c>
      <c r="E4243" t="s">
        <v>979</v>
      </c>
      <c r="F4243" t="s">
        <v>88</v>
      </c>
      <c r="G4243" t="s">
        <v>88</v>
      </c>
      <c r="H4243" t="s">
        <v>92</v>
      </c>
    </row>
    <row r="4244" spans="1:8" x14ac:dyDescent="0.25">
      <c r="A4244" t="s">
        <v>219</v>
      </c>
      <c r="B4244" t="s">
        <v>3981</v>
      </c>
      <c r="C4244" t="s">
        <v>88</v>
      </c>
      <c r="D4244" t="s">
        <v>3982</v>
      </c>
      <c r="E4244" t="s">
        <v>883</v>
      </c>
      <c r="F4244" t="s">
        <v>88</v>
      </c>
      <c r="G4244" t="s">
        <v>88</v>
      </c>
      <c r="H4244" t="s">
        <v>92</v>
      </c>
    </row>
    <row r="4245" spans="1:8" x14ac:dyDescent="0.25">
      <c r="A4245" t="s">
        <v>219</v>
      </c>
      <c r="B4245" t="s">
        <v>3983</v>
      </c>
      <c r="C4245" t="s">
        <v>88</v>
      </c>
      <c r="D4245" t="s">
        <v>3984</v>
      </c>
      <c r="E4245" t="s">
        <v>679</v>
      </c>
      <c r="F4245" t="s">
        <v>88</v>
      </c>
      <c r="G4245" t="s">
        <v>88</v>
      </c>
      <c r="H4245" t="s">
        <v>92</v>
      </c>
    </row>
    <row r="4246" spans="1:8" x14ac:dyDescent="0.25">
      <c r="A4246" t="s">
        <v>219</v>
      </c>
      <c r="B4246" t="s">
        <v>3985</v>
      </c>
      <c r="C4246" t="s">
        <v>88</v>
      </c>
      <c r="D4246" t="s">
        <v>3984</v>
      </c>
      <c r="E4246" t="s">
        <v>937</v>
      </c>
      <c r="F4246" t="s">
        <v>88</v>
      </c>
      <c r="G4246" t="s">
        <v>88</v>
      </c>
      <c r="H4246" t="s">
        <v>92</v>
      </c>
    </row>
    <row r="4247" spans="1:8" x14ac:dyDescent="0.25">
      <c r="A4247" t="s">
        <v>219</v>
      </c>
      <c r="B4247" t="s">
        <v>3986</v>
      </c>
      <c r="C4247" t="s">
        <v>88</v>
      </c>
      <c r="D4247" t="s">
        <v>3987</v>
      </c>
      <c r="E4247" t="s">
        <v>725</v>
      </c>
      <c r="F4247" t="s">
        <v>88</v>
      </c>
      <c r="G4247" t="s">
        <v>88</v>
      </c>
      <c r="H4247" t="s">
        <v>92</v>
      </c>
    </row>
    <row r="4248" spans="1:8" x14ac:dyDescent="0.25">
      <c r="A4248" t="s">
        <v>219</v>
      </c>
      <c r="B4248" t="s">
        <v>3988</v>
      </c>
      <c r="C4248" t="s">
        <v>88</v>
      </c>
      <c r="D4248" t="s">
        <v>3989</v>
      </c>
      <c r="E4248" t="s">
        <v>725</v>
      </c>
      <c r="F4248" t="s">
        <v>88</v>
      </c>
      <c r="G4248" t="s">
        <v>88</v>
      </c>
      <c r="H4248" t="s">
        <v>92</v>
      </c>
    </row>
    <row r="4249" spans="1:8" x14ac:dyDescent="0.25">
      <c r="A4249" t="s">
        <v>219</v>
      </c>
      <c r="B4249" t="s">
        <v>3990</v>
      </c>
      <c r="C4249" t="s">
        <v>88</v>
      </c>
      <c r="D4249" t="s">
        <v>3991</v>
      </c>
      <c r="E4249" t="s">
        <v>760</v>
      </c>
      <c r="F4249" t="s">
        <v>88</v>
      </c>
      <c r="G4249" t="s">
        <v>88</v>
      </c>
      <c r="H4249" t="s">
        <v>92</v>
      </c>
    </row>
    <row r="4250" spans="1:8" x14ac:dyDescent="0.25">
      <c r="A4250" t="s">
        <v>219</v>
      </c>
      <c r="B4250" t="s">
        <v>3992</v>
      </c>
      <c r="C4250" t="s">
        <v>88</v>
      </c>
      <c r="D4250" t="s">
        <v>3993</v>
      </c>
      <c r="E4250" t="s">
        <v>748</v>
      </c>
      <c r="F4250" t="s">
        <v>88</v>
      </c>
      <c r="G4250" t="s">
        <v>88</v>
      </c>
      <c r="H4250" t="s">
        <v>92</v>
      </c>
    </row>
    <row r="4251" spans="1:8" x14ac:dyDescent="0.25">
      <c r="A4251" t="s">
        <v>219</v>
      </c>
      <c r="B4251" t="s">
        <v>3994</v>
      </c>
      <c r="C4251" t="s">
        <v>88</v>
      </c>
      <c r="D4251" t="s">
        <v>3993</v>
      </c>
      <c r="E4251" t="s">
        <v>658</v>
      </c>
      <c r="F4251" t="s">
        <v>88</v>
      </c>
      <c r="G4251" t="s">
        <v>88</v>
      </c>
      <c r="H4251" t="s">
        <v>92</v>
      </c>
    </row>
    <row r="4252" spans="1:8" x14ac:dyDescent="0.25">
      <c r="A4252" t="s">
        <v>219</v>
      </c>
      <c r="B4252" t="s">
        <v>3995</v>
      </c>
      <c r="C4252" t="s">
        <v>88</v>
      </c>
      <c r="D4252" t="s">
        <v>3996</v>
      </c>
      <c r="E4252" t="s">
        <v>700</v>
      </c>
      <c r="F4252" t="s">
        <v>88</v>
      </c>
      <c r="G4252" t="s">
        <v>88</v>
      </c>
      <c r="H4252" t="s">
        <v>92</v>
      </c>
    </row>
    <row r="4253" spans="1:8" x14ac:dyDescent="0.25">
      <c r="A4253" t="s">
        <v>219</v>
      </c>
      <c r="B4253" t="s">
        <v>3997</v>
      </c>
      <c r="C4253" t="s">
        <v>88</v>
      </c>
      <c r="D4253" t="s">
        <v>3998</v>
      </c>
      <c r="E4253" t="s">
        <v>700</v>
      </c>
      <c r="F4253" t="s">
        <v>88</v>
      </c>
      <c r="G4253" t="s">
        <v>88</v>
      </c>
      <c r="H4253" t="s">
        <v>92</v>
      </c>
    </row>
    <row r="4254" spans="1:8" x14ac:dyDescent="0.25">
      <c r="A4254" t="s">
        <v>219</v>
      </c>
      <c r="B4254" t="s">
        <v>3999</v>
      </c>
      <c r="C4254" t="s">
        <v>88</v>
      </c>
      <c r="D4254" t="s">
        <v>4000</v>
      </c>
      <c r="E4254" t="s">
        <v>723</v>
      </c>
      <c r="F4254" t="s">
        <v>88</v>
      </c>
      <c r="G4254" t="s">
        <v>88</v>
      </c>
      <c r="H4254" t="s">
        <v>92</v>
      </c>
    </row>
    <row r="4255" spans="1:8" x14ac:dyDescent="0.25">
      <c r="A4255" t="s">
        <v>219</v>
      </c>
      <c r="B4255" t="s">
        <v>1322</v>
      </c>
      <c r="C4255" t="s">
        <v>88</v>
      </c>
      <c r="D4255" t="s">
        <v>88</v>
      </c>
      <c r="E4255" t="s">
        <v>715</v>
      </c>
      <c r="F4255" t="s">
        <v>88</v>
      </c>
      <c r="G4255" t="s">
        <v>88</v>
      </c>
      <c r="H4255" t="s">
        <v>92</v>
      </c>
    </row>
    <row r="4256" spans="1:8" x14ac:dyDescent="0.25">
      <c r="A4256" t="s">
        <v>219</v>
      </c>
      <c r="B4256" t="s">
        <v>612</v>
      </c>
      <c r="C4256" t="s">
        <v>88</v>
      </c>
      <c r="D4256" t="s">
        <v>88</v>
      </c>
      <c r="E4256" t="s">
        <v>734</v>
      </c>
      <c r="F4256" t="s">
        <v>88</v>
      </c>
      <c r="G4256" t="s">
        <v>88</v>
      </c>
      <c r="H4256" t="s">
        <v>92</v>
      </c>
    </row>
    <row r="4257" spans="1:8" x14ac:dyDescent="0.25">
      <c r="A4257" t="s">
        <v>219</v>
      </c>
      <c r="B4257" t="s">
        <v>614</v>
      </c>
      <c r="C4257" t="s">
        <v>88</v>
      </c>
      <c r="D4257" t="s">
        <v>88</v>
      </c>
      <c r="E4257" t="s">
        <v>734</v>
      </c>
      <c r="F4257" t="s">
        <v>88</v>
      </c>
      <c r="G4257" t="s">
        <v>88</v>
      </c>
      <c r="H4257" t="s">
        <v>92</v>
      </c>
    </row>
    <row r="4258" spans="1:8" x14ac:dyDescent="0.25">
      <c r="A4258" t="s">
        <v>219</v>
      </c>
      <c r="B4258" t="s">
        <v>615</v>
      </c>
      <c r="C4258" t="s">
        <v>88</v>
      </c>
      <c r="D4258" t="s">
        <v>88</v>
      </c>
      <c r="E4258" t="s">
        <v>734</v>
      </c>
      <c r="F4258" t="s">
        <v>88</v>
      </c>
      <c r="G4258" t="s">
        <v>88</v>
      </c>
      <c r="H4258" t="s">
        <v>92</v>
      </c>
    </row>
    <row r="4259" spans="1:8" x14ac:dyDescent="0.25">
      <c r="A4259" t="s">
        <v>219</v>
      </c>
      <c r="B4259" t="s">
        <v>3242</v>
      </c>
      <c r="C4259" t="s">
        <v>88</v>
      </c>
      <c r="D4259" t="s">
        <v>88</v>
      </c>
      <c r="E4259" t="s">
        <v>734</v>
      </c>
      <c r="F4259" t="s">
        <v>88</v>
      </c>
      <c r="G4259" t="s">
        <v>88</v>
      </c>
      <c r="H4259" t="s">
        <v>92</v>
      </c>
    </row>
    <row r="4260" spans="1:8" x14ac:dyDescent="0.25">
      <c r="A4260" t="s">
        <v>219</v>
      </c>
      <c r="B4260" t="s">
        <v>794</v>
      </c>
      <c r="C4260" t="s">
        <v>88</v>
      </c>
      <c r="D4260" t="s">
        <v>88</v>
      </c>
      <c r="E4260" t="s">
        <v>1978</v>
      </c>
      <c r="F4260" t="s">
        <v>88</v>
      </c>
      <c r="G4260" t="s">
        <v>88</v>
      </c>
      <c r="H4260" t="s">
        <v>92</v>
      </c>
    </row>
    <row r="4261" spans="1:8" x14ac:dyDescent="0.25">
      <c r="A4261" t="s">
        <v>219</v>
      </c>
      <c r="B4261" t="s">
        <v>4001</v>
      </c>
      <c r="C4261" t="s">
        <v>88</v>
      </c>
      <c r="D4261" t="s">
        <v>88</v>
      </c>
      <c r="E4261" t="s">
        <v>713</v>
      </c>
      <c r="F4261" t="s">
        <v>88</v>
      </c>
      <c r="G4261" t="s">
        <v>88</v>
      </c>
      <c r="H4261" t="s">
        <v>92</v>
      </c>
    </row>
    <row r="4262" spans="1:8" x14ac:dyDescent="0.25">
      <c r="A4262" t="s">
        <v>219</v>
      </c>
      <c r="B4262" t="s">
        <v>623</v>
      </c>
      <c r="C4262" t="s">
        <v>88</v>
      </c>
      <c r="D4262" t="s">
        <v>88</v>
      </c>
      <c r="E4262" t="s">
        <v>735</v>
      </c>
      <c r="F4262" t="s">
        <v>88</v>
      </c>
      <c r="G4262" t="s">
        <v>88</v>
      </c>
      <c r="H4262" t="s">
        <v>92</v>
      </c>
    </row>
    <row r="4263" spans="1:8" x14ac:dyDescent="0.25">
      <c r="A4263" t="s">
        <v>219</v>
      </c>
      <c r="B4263" t="s">
        <v>625</v>
      </c>
      <c r="C4263" t="s">
        <v>88</v>
      </c>
      <c r="D4263" t="s">
        <v>88</v>
      </c>
      <c r="E4263" t="s">
        <v>626</v>
      </c>
      <c r="F4263" t="s">
        <v>88</v>
      </c>
      <c r="G4263" t="s">
        <v>88</v>
      </c>
      <c r="H4263" t="s">
        <v>92</v>
      </c>
    </row>
    <row r="4264" spans="1:8" x14ac:dyDescent="0.25">
      <c r="A4264" t="s">
        <v>221</v>
      </c>
      <c r="B4264" t="s">
        <v>4002</v>
      </c>
      <c r="C4264" t="s">
        <v>88</v>
      </c>
      <c r="D4264" t="s">
        <v>4003</v>
      </c>
      <c r="E4264" t="s">
        <v>791</v>
      </c>
      <c r="F4264" t="s">
        <v>88</v>
      </c>
      <c r="G4264" t="s">
        <v>88</v>
      </c>
      <c r="H4264" t="s">
        <v>92</v>
      </c>
    </row>
    <row r="4265" spans="1:8" x14ac:dyDescent="0.25">
      <c r="A4265" t="s">
        <v>221</v>
      </c>
      <c r="B4265" t="s">
        <v>4004</v>
      </c>
      <c r="C4265" t="s">
        <v>88</v>
      </c>
      <c r="D4265" t="s">
        <v>4005</v>
      </c>
      <c r="E4265" t="s">
        <v>723</v>
      </c>
      <c r="F4265" t="s">
        <v>88</v>
      </c>
      <c r="G4265" t="s">
        <v>88</v>
      </c>
      <c r="H4265" t="s">
        <v>92</v>
      </c>
    </row>
    <row r="4266" spans="1:8" x14ac:dyDescent="0.25">
      <c r="A4266" t="s">
        <v>221</v>
      </c>
      <c r="B4266" t="s">
        <v>4006</v>
      </c>
      <c r="C4266" t="s">
        <v>88</v>
      </c>
      <c r="D4266" t="s">
        <v>4005</v>
      </c>
      <c r="E4266" t="s">
        <v>658</v>
      </c>
      <c r="F4266" t="s">
        <v>88</v>
      </c>
      <c r="G4266" t="s">
        <v>88</v>
      </c>
      <c r="H4266" t="s">
        <v>92</v>
      </c>
    </row>
    <row r="4267" spans="1:8" x14ac:dyDescent="0.25">
      <c r="A4267" t="s">
        <v>221</v>
      </c>
      <c r="B4267" t="s">
        <v>4007</v>
      </c>
      <c r="C4267" t="s">
        <v>88</v>
      </c>
      <c r="D4267" t="s">
        <v>88</v>
      </c>
      <c r="E4267" t="s">
        <v>1241</v>
      </c>
      <c r="F4267" t="s">
        <v>88</v>
      </c>
      <c r="G4267" t="s">
        <v>88</v>
      </c>
      <c r="H4267" t="s">
        <v>92</v>
      </c>
    </row>
    <row r="4268" spans="1:8" x14ac:dyDescent="0.25">
      <c r="A4268" t="s">
        <v>221</v>
      </c>
      <c r="B4268" t="s">
        <v>4008</v>
      </c>
      <c r="C4268" t="s">
        <v>88</v>
      </c>
      <c r="D4268" t="s">
        <v>88</v>
      </c>
      <c r="E4268" t="s">
        <v>820</v>
      </c>
      <c r="F4268" t="s">
        <v>88</v>
      </c>
      <c r="G4268" t="s">
        <v>88</v>
      </c>
      <c r="H4268" t="s">
        <v>92</v>
      </c>
    </row>
    <row r="4269" spans="1:8" x14ac:dyDescent="0.25">
      <c r="A4269" t="s">
        <v>221</v>
      </c>
      <c r="B4269" t="s">
        <v>4002</v>
      </c>
      <c r="C4269" t="s">
        <v>88</v>
      </c>
      <c r="D4269" t="s">
        <v>4003</v>
      </c>
      <c r="E4269" t="s">
        <v>791</v>
      </c>
      <c r="F4269" t="s">
        <v>88</v>
      </c>
      <c r="G4269" t="s">
        <v>88</v>
      </c>
      <c r="H4269" t="s">
        <v>92</v>
      </c>
    </row>
    <row r="4270" spans="1:8" x14ac:dyDescent="0.25">
      <c r="A4270" t="s">
        <v>221</v>
      </c>
      <c r="B4270" t="s">
        <v>4009</v>
      </c>
      <c r="C4270" t="s">
        <v>88</v>
      </c>
      <c r="D4270" t="s">
        <v>4005</v>
      </c>
      <c r="E4270" t="s">
        <v>738</v>
      </c>
      <c r="F4270" t="s">
        <v>88</v>
      </c>
      <c r="G4270" t="s">
        <v>88</v>
      </c>
      <c r="H4270" t="s">
        <v>92</v>
      </c>
    </row>
    <row r="4271" spans="1:8" x14ac:dyDescent="0.25">
      <c r="A4271" t="s">
        <v>221</v>
      </c>
      <c r="B4271" t="s">
        <v>4004</v>
      </c>
      <c r="C4271" t="s">
        <v>88</v>
      </c>
      <c r="D4271" t="s">
        <v>4005</v>
      </c>
      <c r="E4271" t="s">
        <v>723</v>
      </c>
      <c r="F4271" t="s">
        <v>88</v>
      </c>
      <c r="G4271" t="s">
        <v>88</v>
      </c>
      <c r="H4271" t="s">
        <v>92</v>
      </c>
    </row>
    <row r="4272" spans="1:8" x14ac:dyDescent="0.25">
      <c r="A4272" t="s">
        <v>221</v>
      </c>
      <c r="B4272" t="s">
        <v>4010</v>
      </c>
      <c r="C4272" t="s">
        <v>88</v>
      </c>
      <c r="D4272" t="s">
        <v>4011</v>
      </c>
      <c r="E4272" t="s">
        <v>663</v>
      </c>
      <c r="F4272" t="s">
        <v>88</v>
      </c>
      <c r="G4272" t="s">
        <v>88</v>
      </c>
      <c r="H4272" t="s">
        <v>92</v>
      </c>
    </row>
    <row r="4273" spans="1:8" x14ac:dyDescent="0.25">
      <c r="A4273" t="s">
        <v>221</v>
      </c>
      <c r="B4273" t="s">
        <v>4006</v>
      </c>
      <c r="C4273" t="s">
        <v>88</v>
      </c>
      <c r="D4273" t="s">
        <v>4005</v>
      </c>
      <c r="E4273" t="s">
        <v>658</v>
      </c>
      <c r="F4273" t="s">
        <v>88</v>
      </c>
      <c r="G4273" t="s">
        <v>88</v>
      </c>
      <c r="H4273" t="s">
        <v>92</v>
      </c>
    </row>
    <row r="4274" spans="1:8" x14ac:dyDescent="0.25">
      <c r="A4274" t="s">
        <v>221</v>
      </c>
      <c r="B4274" t="s">
        <v>4012</v>
      </c>
      <c r="C4274" t="s">
        <v>88</v>
      </c>
      <c r="D4274" t="s">
        <v>88</v>
      </c>
      <c r="E4274" t="s">
        <v>762</v>
      </c>
      <c r="F4274" t="s">
        <v>88</v>
      </c>
      <c r="G4274" t="s">
        <v>88</v>
      </c>
      <c r="H4274" t="s">
        <v>92</v>
      </c>
    </row>
    <row r="4275" spans="1:8" x14ac:dyDescent="0.25">
      <c r="A4275" t="s">
        <v>221</v>
      </c>
      <c r="B4275" t="s">
        <v>4008</v>
      </c>
      <c r="C4275" t="s">
        <v>88</v>
      </c>
      <c r="D4275" t="s">
        <v>88</v>
      </c>
      <c r="E4275" t="s">
        <v>820</v>
      </c>
      <c r="F4275" t="s">
        <v>88</v>
      </c>
      <c r="G4275" t="s">
        <v>88</v>
      </c>
      <c r="H4275" t="s">
        <v>92</v>
      </c>
    </row>
    <row r="4276" spans="1:8" x14ac:dyDescent="0.25">
      <c r="A4276" t="s">
        <v>221</v>
      </c>
      <c r="B4276" t="s">
        <v>4013</v>
      </c>
      <c r="C4276" t="s">
        <v>88</v>
      </c>
      <c r="D4276" t="s">
        <v>88</v>
      </c>
      <c r="E4276" t="s">
        <v>1241</v>
      </c>
      <c r="F4276" t="s">
        <v>88</v>
      </c>
      <c r="G4276" t="s">
        <v>88</v>
      </c>
      <c r="H4276" t="s">
        <v>92</v>
      </c>
    </row>
    <row r="4277" spans="1:8" x14ac:dyDescent="0.25">
      <c r="A4277" t="s">
        <v>221</v>
      </c>
      <c r="B4277" t="s">
        <v>4014</v>
      </c>
      <c r="C4277" t="s">
        <v>88</v>
      </c>
      <c r="D4277" t="s">
        <v>88</v>
      </c>
      <c r="E4277" t="s">
        <v>820</v>
      </c>
      <c r="F4277" t="s">
        <v>88</v>
      </c>
      <c r="G4277" t="s">
        <v>88</v>
      </c>
      <c r="H4277" t="s">
        <v>92</v>
      </c>
    </row>
    <row r="4278" spans="1:8" x14ac:dyDescent="0.25">
      <c r="A4278" t="s">
        <v>221</v>
      </c>
      <c r="B4278" t="s">
        <v>4015</v>
      </c>
      <c r="C4278" t="s">
        <v>88</v>
      </c>
      <c r="D4278" t="s">
        <v>88</v>
      </c>
      <c r="E4278" t="s">
        <v>1756</v>
      </c>
      <c r="F4278" t="s">
        <v>88</v>
      </c>
      <c r="G4278" t="s">
        <v>88</v>
      </c>
      <c r="H4278" t="s">
        <v>92</v>
      </c>
    </row>
    <row r="4279" spans="1:8" x14ac:dyDescent="0.25">
      <c r="A4279" t="s">
        <v>221</v>
      </c>
      <c r="B4279" t="s">
        <v>4007</v>
      </c>
      <c r="C4279" t="s">
        <v>88</v>
      </c>
      <c r="D4279" t="s">
        <v>88</v>
      </c>
      <c r="E4279" t="s">
        <v>1241</v>
      </c>
      <c r="F4279" t="s">
        <v>88</v>
      </c>
      <c r="G4279" t="s">
        <v>88</v>
      </c>
      <c r="H4279" t="s">
        <v>92</v>
      </c>
    </row>
    <row r="4280" spans="1:8" x14ac:dyDescent="0.25">
      <c r="A4280" t="s">
        <v>221</v>
      </c>
      <c r="B4280" t="s">
        <v>4016</v>
      </c>
      <c r="C4280" t="s">
        <v>88</v>
      </c>
      <c r="D4280" t="s">
        <v>88</v>
      </c>
      <c r="E4280" t="s">
        <v>820</v>
      </c>
      <c r="F4280" t="s">
        <v>88</v>
      </c>
      <c r="G4280" t="s">
        <v>88</v>
      </c>
      <c r="H4280" t="s">
        <v>92</v>
      </c>
    </row>
    <row r="4281" spans="1:8" x14ac:dyDescent="0.25">
      <c r="A4281" t="s">
        <v>221</v>
      </c>
      <c r="B4281" t="s">
        <v>4017</v>
      </c>
      <c r="C4281" t="s">
        <v>88</v>
      </c>
      <c r="D4281" t="s">
        <v>88</v>
      </c>
      <c r="E4281" t="s">
        <v>1756</v>
      </c>
      <c r="F4281" t="s">
        <v>88</v>
      </c>
      <c r="G4281" t="s">
        <v>88</v>
      </c>
      <c r="H4281" t="s">
        <v>92</v>
      </c>
    </row>
    <row r="4282" spans="1:8" x14ac:dyDescent="0.25">
      <c r="A4282" t="s">
        <v>221</v>
      </c>
      <c r="B4282" t="s">
        <v>4018</v>
      </c>
      <c r="C4282" t="s">
        <v>88</v>
      </c>
      <c r="D4282" t="s">
        <v>88</v>
      </c>
      <c r="E4282" t="s">
        <v>748</v>
      </c>
      <c r="F4282" t="s">
        <v>88</v>
      </c>
      <c r="G4282" t="s">
        <v>88</v>
      </c>
      <c r="H4282" t="s">
        <v>92</v>
      </c>
    </row>
    <row r="4283" spans="1:8" x14ac:dyDescent="0.25">
      <c r="A4283" t="s">
        <v>221</v>
      </c>
      <c r="B4283" t="s">
        <v>4019</v>
      </c>
      <c r="C4283" t="s">
        <v>88</v>
      </c>
      <c r="D4283" t="s">
        <v>88</v>
      </c>
      <c r="E4283" t="s">
        <v>760</v>
      </c>
      <c r="F4283" t="s">
        <v>88</v>
      </c>
      <c r="G4283" t="s">
        <v>88</v>
      </c>
      <c r="H4283" t="s">
        <v>92</v>
      </c>
    </row>
    <row r="4284" spans="1:8" x14ac:dyDescent="0.25">
      <c r="A4284" t="s">
        <v>221</v>
      </c>
      <c r="B4284" t="s">
        <v>4020</v>
      </c>
      <c r="C4284" t="s">
        <v>88</v>
      </c>
      <c r="D4284" t="s">
        <v>88</v>
      </c>
      <c r="E4284" t="s">
        <v>1006</v>
      </c>
      <c r="F4284" t="s">
        <v>88</v>
      </c>
      <c r="G4284" t="s">
        <v>88</v>
      </c>
      <c r="H4284" t="s">
        <v>92</v>
      </c>
    </row>
    <row r="4285" spans="1:8" x14ac:dyDescent="0.25">
      <c r="A4285" t="s">
        <v>221</v>
      </c>
      <c r="B4285" t="s">
        <v>4021</v>
      </c>
      <c r="C4285" t="s">
        <v>88</v>
      </c>
      <c r="D4285" t="s">
        <v>4005</v>
      </c>
      <c r="E4285" t="s">
        <v>679</v>
      </c>
      <c r="F4285" t="s">
        <v>88</v>
      </c>
      <c r="G4285" t="s">
        <v>88</v>
      </c>
      <c r="H4285" t="s">
        <v>92</v>
      </c>
    </row>
    <row r="4286" spans="1:8" x14ac:dyDescent="0.25">
      <c r="A4286" t="s">
        <v>221</v>
      </c>
      <c r="B4286" t="s">
        <v>4022</v>
      </c>
      <c r="C4286" t="s">
        <v>88</v>
      </c>
      <c r="D4286" t="s">
        <v>4005</v>
      </c>
      <c r="E4286" t="s">
        <v>717</v>
      </c>
      <c r="F4286" t="s">
        <v>88</v>
      </c>
      <c r="G4286" t="s">
        <v>88</v>
      </c>
      <c r="H4286" t="s">
        <v>92</v>
      </c>
    </row>
    <row r="4287" spans="1:8" x14ac:dyDescent="0.25">
      <c r="A4287" t="s">
        <v>221</v>
      </c>
      <c r="B4287" t="s">
        <v>4023</v>
      </c>
      <c r="C4287" t="s">
        <v>88</v>
      </c>
      <c r="D4287" t="s">
        <v>88</v>
      </c>
      <c r="E4287" t="s">
        <v>780</v>
      </c>
      <c r="F4287" t="s">
        <v>88</v>
      </c>
      <c r="G4287" t="s">
        <v>88</v>
      </c>
      <c r="H4287" t="s">
        <v>92</v>
      </c>
    </row>
    <row r="4288" spans="1:8" x14ac:dyDescent="0.25">
      <c r="A4288" t="s">
        <v>221</v>
      </c>
      <c r="B4288" t="s">
        <v>1322</v>
      </c>
      <c r="C4288" t="s">
        <v>88</v>
      </c>
      <c r="D4288" t="s">
        <v>88</v>
      </c>
      <c r="E4288" t="s">
        <v>1594</v>
      </c>
      <c r="F4288" t="s">
        <v>88</v>
      </c>
      <c r="G4288" t="s">
        <v>88</v>
      </c>
      <c r="H4288" t="s">
        <v>92</v>
      </c>
    </row>
    <row r="4289" spans="1:8" x14ac:dyDescent="0.25">
      <c r="A4289" t="s">
        <v>221</v>
      </c>
      <c r="B4289" t="s">
        <v>612</v>
      </c>
      <c r="C4289" t="s">
        <v>88</v>
      </c>
      <c r="D4289" t="s">
        <v>88</v>
      </c>
      <c r="E4289" t="s">
        <v>732</v>
      </c>
      <c r="F4289" t="s">
        <v>88</v>
      </c>
      <c r="G4289" t="s">
        <v>88</v>
      </c>
      <c r="H4289" t="s">
        <v>92</v>
      </c>
    </row>
    <row r="4290" spans="1:8" x14ac:dyDescent="0.25">
      <c r="A4290" t="s">
        <v>221</v>
      </c>
      <c r="B4290" t="s">
        <v>615</v>
      </c>
      <c r="C4290" t="s">
        <v>88</v>
      </c>
      <c r="D4290" t="s">
        <v>88</v>
      </c>
      <c r="E4290" t="s">
        <v>732</v>
      </c>
      <c r="F4290" t="s">
        <v>88</v>
      </c>
      <c r="G4290" t="s">
        <v>88</v>
      </c>
      <c r="H4290" t="s">
        <v>92</v>
      </c>
    </row>
    <row r="4291" spans="1:8" x14ac:dyDescent="0.25">
      <c r="A4291" t="s">
        <v>221</v>
      </c>
      <c r="B4291" t="s">
        <v>616</v>
      </c>
      <c r="C4291" t="s">
        <v>88</v>
      </c>
      <c r="D4291" t="s">
        <v>88</v>
      </c>
      <c r="E4291" t="s">
        <v>732</v>
      </c>
      <c r="F4291" t="s">
        <v>88</v>
      </c>
      <c r="G4291" t="s">
        <v>88</v>
      </c>
      <c r="H4291" t="s">
        <v>92</v>
      </c>
    </row>
    <row r="4292" spans="1:8" x14ac:dyDescent="0.25">
      <c r="A4292" t="s">
        <v>221</v>
      </c>
      <c r="B4292" t="s">
        <v>4024</v>
      </c>
      <c r="C4292" t="s">
        <v>88</v>
      </c>
      <c r="D4292" t="s">
        <v>88</v>
      </c>
      <c r="E4292" t="s">
        <v>732</v>
      </c>
      <c r="F4292" t="s">
        <v>88</v>
      </c>
      <c r="G4292" t="s">
        <v>88</v>
      </c>
      <c r="H4292" t="s">
        <v>92</v>
      </c>
    </row>
    <row r="4293" spans="1:8" x14ac:dyDescent="0.25">
      <c r="A4293" t="s">
        <v>221</v>
      </c>
      <c r="B4293" t="s">
        <v>4025</v>
      </c>
      <c r="C4293" t="s">
        <v>88</v>
      </c>
      <c r="D4293" t="s">
        <v>88</v>
      </c>
      <c r="E4293" t="s">
        <v>709</v>
      </c>
      <c r="F4293" t="s">
        <v>88</v>
      </c>
      <c r="G4293" t="s">
        <v>88</v>
      </c>
      <c r="H4293" t="s">
        <v>92</v>
      </c>
    </row>
    <row r="4294" spans="1:8" x14ac:dyDescent="0.25">
      <c r="A4294" t="s">
        <v>221</v>
      </c>
      <c r="B4294" t="s">
        <v>618</v>
      </c>
      <c r="C4294" t="s">
        <v>88</v>
      </c>
      <c r="D4294" t="s">
        <v>88</v>
      </c>
      <c r="E4294" t="s">
        <v>710</v>
      </c>
      <c r="F4294" t="s">
        <v>88</v>
      </c>
      <c r="G4294" t="s">
        <v>88</v>
      </c>
      <c r="H4294" t="s">
        <v>92</v>
      </c>
    </row>
    <row r="4295" spans="1:8" x14ac:dyDescent="0.25">
      <c r="A4295" t="s">
        <v>221</v>
      </c>
      <c r="B4295" t="s">
        <v>622</v>
      </c>
      <c r="C4295" t="s">
        <v>88</v>
      </c>
      <c r="D4295" t="s">
        <v>88</v>
      </c>
      <c r="E4295" t="s">
        <v>711</v>
      </c>
      <c r="F4295" t="s">
        <v>88</v>
      </c>
      <c r="G4295" t="s">
        <v>88</v>
      </c>
      <c r="H4295" t="s">
        <v>92</v>
      </c>
    </row>
    <row r="4296" spans="1:8" x14ac:dyDescent="0.25">
      <c r="A4296" t="s">
        <v>221</v>
      </c>
      <c r="B4296" t="s">
        <v>623</v>
      </c>
      <c r="C4296" t="s">
        <v>88</v>
      </c>
      <c r="D4296" t="s">
        <v>88</v>
      </c>
      <c r="E4296" t="s">
        <v>735</v>
      </c>
      <c r="F4296" t="s">
        <v>88</v>
      </c>
      <c r="G4296" t="s">
        <v>88</v>
      </c>
      <c r="H4296" t="s">
        <v>92</v>
      </c>
    </row>
    <row r="4297" spans="1:8" x14ac:dyDescent="0.25">
      <c r="A4297" t="s">
        <v>221</v>
      </c>
      <c r="B4297" t="s">
        <v>4026</v>
      </c>
      <c r="C4297" t="s">
        <v>88</v>
      </c>
      <c r="D4297" t="s">
        <v>88</v>
      </c>
      <c r="E4297" t="s">
        <v>844</v>
      </c>
      <c r="F4297" t="s">
        <v>88</v>
      </c>
      <c r="G4297" t="s">
        <v>88</v>
      </c>
      <c r="H4297" t="s">
        <v>92</v>
      </c>
    </row>
    <row r="4298" spans="1:8" x14ac:dyDescent="0.25">
      <c r="A4298" t="s">
        <v>221</v>
      </c>
      <c r="B4298" t="s">
        <v>4027</v>
      </c>
      <c r="C4298" t="s">
        <v>88</v>
      </c>
      <c r="D4298" t="s">
        <v>88</v>
      </c>
      <c r="E4298" t="s">
        <v>814</v>
      </c>
      <c r="F4298" t="s">
        <v>88</v>
      </c>
      <c r="G4298" t="s">
        <v>88</v>
      </c>
      <c r="H4298" t="s">
        <v>92</v>
      </c>
    </row>
    <row r="4299" spans="1:8" x14ac:dyDescent="0.25">
      <c r="A4299" t="s">
        <v>221</v>
      </c>
      <c r="B4299" t="s">
        <v>4028</v>
      </c>
      <c r="C4299" t="s">
        <v>88</v>
      </c>
      <c r="D4299" t="s">
        <v>88</v>
      </c>
      <c r="E4299" t="s">
        <v>3179</v>
      </c>
      <c r="F4299" t="s">
        <v>88</v>
      </c>
      <c r="G4299" t="s">
        <v>88</v>
      </c>
      <c r="H4299" t="s">
        <v>92</v>
      </c>
    </row>
    <row r="4300" spans="1:8" x14ac:dyDescent="0.25">
      <c r="A4300" t="s">
        <v>221</v>
      </c>
      <c r="B4300" t="s">
        <v>4029</v>
      </c>
      <c r="C4300" t="s">
        <v>88</v>
      </c>
      <c r="D4300" t="s">
        <v>88</v>
      </c>
      <c r="E4300" t="s">
        <v>2016</v>
      </c>
      <c r="F4300" t="s">
        <v>88</v>
      </c>
      <c r="G4300" t="s">
        <v>88</v>
      </c>
      <c r="H4300" t="s">
        <v>92</v>
      </c>
    </row>
    <row r="4301" spans="1:8" x14ac:dyDescent="0.25">
      <c r="A4301" t="s">
        <v>221</v>
      </c>
      <c r="B4301" t="s">
        <v>625</v>
      </c>
      <c r="C4301" t="s">
        <v>88</v>
      </c>
      <c r="D4301" t="s">
        <v>88</v>
      </c>
      <c r="E4301" t="s">
        <v>626</v>
      </c>
      <c r="F4301" t="s">
        <v>88</v>
      </c>
      <c r="G4301" t="s">
        <v>88</v>
      </c>
      <c r="H4301" t="s">
        <v>92</v>
      </c>
    </row>
    <row r="4302" spans="1:8" x14ac:dyDescent="0.25">
      <c r="A4302" t="s">
        <v>222</v>
      </c>
      <c r="B4302" t="s">
        <v>736</v>
      </c>
      <c r="C4302" t="s">
        <v>88</v>
      </c>
      <c r="D4302" t="s">
        <v>4030</v>
      </c>
      <c r="E4302" t="s">
        <v>780</v>
      </c>
      <c r="F4302" t="s">
        <v>88</v>
      </c>
      <c r="G4302" t="s">
        <v>88</v>
      </c>
      <c r="H4302" t="s">
        <v>92</v>
      </c>
    </row>
    <row r="4303" spans="1:8" x14ac:dyDescent="0.25">
      <c r="A4303" t="s">
        <v>222</v>
      </c>
      <c r="B4303" t="s">
        <v>739</v>
      </c>
      <c r="C4303" t="s">
        <v>88</v>
      </c>
      <c r="D4303" t="s">
        <v>4030</v>
      </c>
      <c r="E4303" t="s">
        <v>780</v>
      </c>
      <c r="F4303" t="s">
        <v>88</v>
      </c>
      <c r="G4303" t="s">
        <v>88</v>
      </c>
      <c r="H4303" t="s">
        <v>92</v>
      </c>
    </row>
    <row r="4304" spans="1:8" x14ac:dyDescent="0.25">
      <c r="A4304" t="s">
        <v>222</v>
      </c>
      <c r="B4304" t="s">
        <v>876</v>
      </c>
      <c r="C4304" t="s">
        <v>88</v>
      </c>
      <c r="D4304" t="s">
        <v>4031</v>
      </c>
      <c r="E4304" t="s">
        <v>655</v>
      </c>
      <c r="F4304" t="s">
        <v>88</v>
      </c>
      <c r="G4304" t="s">
        <v>88</v>
      </c>
      <c r="H4304" t="s">
        <v>92</v>
      </c>
    </row>
    <row r="4305" spans="1:8" x14ac:dyDescent="0.25">
      <c r="A4305" t="s">
        <v>222</v>
      </c>
      <c r="B4305" t="s">
        <v>925</v>
      </c>
      <c r="C4305" t="s">
        <v>88</v>
      </c>
      <c r="D4305" t="s">
        <v>4030</v>
      </c>
      <c r="E4305" t="s">
        <v>780</v>
      </c>
      <c r="F4305" t="s">
        <v>88</v>
      </c>
      <c r="G4305" t="s">
        <v>88</v>
      </c>
      <c r="H4305" t="s">
        <v>92</v>
      </c>
    </row>
    <row r="4306" spans="1:8" x14ac:dyDescent="0.25">
      <c r="A4306" t="s">
        <v>222</v>
      </c>
      <c r="B4306" t="s">
        <v>777</v>
      </c>
      <c r="C4306" t="s">
        <v>88</v>
      </c>
      <c r="D4306" t="s">
        <v>4030</v>
      </c>
      <c r="E4306" t="s">
        <v>780</v>
      </c>
      <c r="F4306" t="s">
        <v>88</v>
      </c>
      <c r="G4306" t="s">
        <v>88</v>
      </c>
      <c r="H4306" t="s">
        <v>92</v>
      </c>
    </row>
    <row r="4307" spans="1:8" x14ac:dyDescent="0.25">
      <c r="A4307" t="s">
        <v>222</v>
      </c>
      <c r="B4307" t="s">
        <v>876</v>
      </c>
      <c r="C4307" t="s">
        <v>88</v>
      </c>
      <c r="D4307" t="s">
        <v>4031</v>
      </c>
      <c r="E4307" t="s">
        <v>655</v>
      </c>
      <c r="F4307" t="s">
        <v>88</v>
      </c>
      <c r="G4307" t="s">
        <v>88</v>
      </c>
      <c r="H4307" t="s">
        <v>92</v>
      </c>
    </row>
    <row r="4308" spans="1:8" x14ac:dyDescent="0.25">
      <c r="A4308" t="s">
        <v>222</v>
      </c>
      <c r="B4308" t="s">
        <v>897</v>
      </c>
      <c r="C4308" t="s">
        <v>88</v>
      </c>
      <c r="D4308" t="s">
        <v>4031</v>
      </c>
      <c r="E4308" t="s">
        <v>655</v>
      </c>
      <c r="F4308" t="s">
        <v>88</v>
      </c>
      <c r="G4308" t="s">
        <v>88</v>
      </c>
      <c r="H4308" t="s">
        <v>92</v>
      </c>
    </row>
    <row r="4309" spans="1:8" x14ac:dyDescent="0.25">
      <c r="A4309" t="s">
        <v>222</v>
      </c>
      <c r="B4309" t="s">
        <v>4032</v>
      </c>
      <c r="C4309" t="s">
        <v>88</v>
      </c>
      <c r="D4309" t="s">
        <v>4033</v>
      </c>
      <c r="E4309" t="s">
        <v>692</v>
      </c>
      <c r="F4309" t="s">
        <v>88</v>
      </c>
      <c r="G4309" t="s">
        <v>88</v>
      </c>
      <c r="H4309" t="s">
        <v>92</v>
      </c>
    </row>
    <row r="4310" spans="1:8" x14ac:dyDescent="0.25">
      <c r="A4310" t="s">
        <v>222</v>
      </c>
      <c r="B4310" t="s">
        <v>881</v>
      </c>
      <c r="C4310" t="s">
        <v>88</v>
      </c>
      <c r="D4310" t="s">
        <v>4031</v>
      </c>
      <c r="E4310" t="s">
        <v>655</v>
      </c>
      <c r="F4310" t="s">
        <v>88</v>
      </c>
      <c r="G4310" t="s">
        <v>88</v>
      </c>
      <c r="H4310" t="s">
        <v>92</v>
      </c>
    </row>
    <row r="4311" spans="1:8" x14ac:dyDescent="0.25">
      <c r="A4311" t="s">
        <v>222</v>
      </c>
      <c r="B4311" t="s">
        <v>740</v>
      </c>
      <c r="C4311" t="s">
        <v>88</v>
      </c>
      <c r="D4311" t="s">
        <v>4031</v>
      </c>
      <c r="E4311" t="s">
        <v>655</v>
      </c>
      <c r="F4311" t="s">
        <v>88</v>
      </c>
      <c r="G4311" t="s">
        <v>88</v>
      </c>
      <c r="H4311" t="s">
        <v>92</v>
      </c>
    </row>
    <row r="4312" spans="1:8" x14ac:dyDescent="0.25">
      <c r="A4312" t="s">
        <v>222</v>
      </c>
      <c r="B4312" t="s">
        <v>764</v>
      </c>
      <c r="C4312" t="s">
        <v>88</v>
      </c>
      <c r="D4312" t="s">
        <v>4031</v>
      </c>
      <c r="E4312" t="s">
        <v>655</v>
      </c>
      <c r="F4312" t="s">
        <v>88</v>
      </c>
      <c r="G4312" t="s">
        <v>88</v>
      </c>
      <c r="H4312" t="s">
        <v>92</v>
      </c>
    </row>
    <row r="4313" spans="1:8" x14ac:dyDescent="0.25">
      <c r="A4313" t="s">
        <v>222</v>
      </c>
      <c r="B4313" t="s">
        <v>736</v>
      </c>
      <c r="C4313" t="s">
        <v>88</v>
      </c>
      <c r="D4313" t="s">
        <v>4030</v>
      </c>
      <c r="E4313" t="s">
        <v>780</v>
      </c>
      <c r="F4313" t="s">
        <v>88</v>
      </c>
      <c r="G4313" t="s">
        <v>88</v>
      </c>
      <c r="H4313" t="s">
        <v>92</v>
      </c>
    </row>
    <row r="4314" spans="1:8" x14ac:dyDescent="0.25">
      <c r="A4314" t="s">
        <v>222</v>
      </c>
      <c r="B4314" t="s">
        <v>925</v>
      </c>
      <c r="C4314" t="s">
        <v>88</v>
      </c>
      <c r="D4314" t="s">
        <v>4030</v>
      </c>
      <c r="E4314" t="s">
        <v>780</v>
      </c>
      <c r="F4314" t="s">
        <v>88</v>
      </c>
      <c r="G4314" t="s">
        <v>88</v>
      </c>
      <c r="H4314" t="s">
        <v>92</v>
      </c>
    </row>
    <row r="4315" spans="1:8" x14ac:dyDescent="0.25">
      <c r="A4315" t="s">
        <v>222</v>
      </c>
      <c r="B4315" t="s">
        <v>777</v>
      </c>
      <c r="C4315" t="s">
        <v>88</v>
      </c>
      <c r="D4315" t="s">
        <v>4030</v>
      </c>
      <c r="E4315" t="s">
        <v>780</v>
      </c>
      <c r="F4315" t="s">
        <v>88</v>
      </c>
      <c r="G4315" t="s">
        <v>88</v>
      </c>
      <c r="H4315" t="s">
        <v>92</v>
      </c>
    </row>
    <row r="4316" spans="1:8" x14ac:dyDescent="0.25">
      <c r="A4316" t="s">
        <v>222</v>
      </c>
      <c r="B4316" t="s">
        <v>739</v>
      </c>
      <c r="C4316" t="s">
        <v>88</v>
      </c>
      <c r="D4316" t="s">
        <v>4030</v>
      </c>
      <c r="E4316" t="s">
        <v>780</v>
      </c>
      <c r="F4316" t="s">
        <v>88</v>
      </c>
      <c r="G4316" t="s">
        <v>88</v>
      </c>
      <c r="H4316" t="s">
        <v>92</v>
      </c>
    </row>
    <row r="4317" spans="1:8" x14ac:dyDescent="0.25">
      <c r="A4317" t="s">
        <v>222</v>
      </c>
      <c r="B4317" t="s">
        <v>4034</v>
      </c>
      <c r="C4317" t="s">
        <v>88</v>
      </c>
      <c r="D4317" t="s">
        <v>88</v>
      </c>
      <c r="E4317" t="s">
        <v>735</v>
      </c>
      <c r="F4317" t="s">
        <v>88</v>
      </c>
      <c r="G4317" t="s">
        <v>88</v>
      </c>
      <c r="H4317" t="s">
        <v>92</v>
      </c>
    </row>
    <row r="4318" spans="1:8" x14ac:dyDescent="0.25">
      <c r="A4318" t="s">
        <v>222</v>
      </c>
      <c r="B4318" t="s">
        <v>612</v>
      </c>
      <c r="C4318" t="s">
        <v>88</v>
      </c>
      <c r="D4318" t="s">
        <v>88</v>
      </c>
      <c r="E4318" t="s">
        <v>734</v>
      </c>
      <c r="F4318" t="s">
        <v>88</v>
      </c>
      <c r="G4318" t="s">
        <v>88</v>
      </c>
      <c r="H4318" t="s">
        <v>92</v>
      </c>
    </row>
    <row r="4319" spans="1:8" x14ac:dyDescent="0.25">
      <c r="A4319" t="s">
        <v>222</v>
      </c>
      <c r="B4319" t="s">
        <v>1670</v>
      </c>
      <c r="C4319" t="s">
        <v>88</v>
      </c>
      <c r="D4319" t="s">
        <v>88</v>
      </c>
      <c r="E4319" t="s">
        <v>711</v>
      </c>
      <c r="F4319" t="s">
        <v>88</v>
      </c>
      <c r="G4319" t="s">
        <v>88</v>
      </c>
      <c r="H4319" t="s">
        <v>92</v>
      </c>
    </row>
    <row r="4320" spans="1:8" x14ac:dyDescent="0.25">
      <c r="A4320" t="s">
        <v>222</v>
      </c>
      <c r="B4320" t="s">
        <v>614</v>
      </c>
      <c r="C4320" t="s">
        <v>88</v>
      </c>
      <c r="D4320" t="s">
        <v>88</v>
      </c>
      <c r="E4320" t="s">
        <v>734</v>
      </c>
      <c r="F4320" t="s">
        <v>88</v>
      </c>
      <c r="G4320" t="s">
        <v>88</v>
      </c>
      <c r="H4320" t="s">
        <v>92</v>
      </c>
    </row>
    <row r="4321" spans="1:8" x14ac:dyDescent="0.25">
      <c r="A4321" t="s">
        <v>222</v>
      </c>
      <c r="B4321" t="s">
        <v>615</v>
      </c>
      <c r="C4321" t="s">
        <v>88</v>
      </c>
      <c r="D4321" t="s">
        <v>88</v>
      </c>
      <c r="E4321" t="s">
        <v>734</v>
      </c>
      <c r="F4321" t="s">
        <v>88</v>
      </c>
      <c r="G4321" t="s">
        <v>88</v>
      </c>
      <c r="H4321" t="s">
        <v>92</v>
      </c>
    </row>
    <row r="4322" spans="1:8" x14ac:dyDescent="0.25">
      <c r="A4322" t="s">
        <v>222</v>
      </c>
      <c r="B4322" t="s">
        <v>616</v>
      </c>
      <c r="C4322" t="s">
        <v>88</v>
      </c>
      <c r="D4322" t="s">
        <v>88</v>
      </c>
      <c r="E4322" t="s">
        <v>734</v>
      </c>
      <c r="F4322" t="s">
        <v>88</v>
      </c>
      <c r="G4322" t="s">
        <v>88</v>
      </c>
      <c r="H4322" t="s">
        <v>92</v>
      </c>
    </row>
    <row r="4323" spans="1:8" x14ac:dyDescent="0.25">
      <c r="A4323" t="s">
        <v>222</v>
      </c>
      <c r="B4323" t="s">
        <v>617</v>
      </c>
      <c r="C4323" t="s">
        <v>88</v>
      </c>
      <c r="D4323" t="s">
        <v>88</v>
      </c>
      <c r="E4323" t="s">
        <v>734</v>
      </c>
      <c r="F4323" t="s">
        <v>88</v>
      </c>
      <c r="G4323" t="s">
        <v>88</v>
      </c>
      <c r="H4323" t="s">
        <v>92</v>
      </c>
    </row>
    <row r="4324" spans="1:8" x14ac:dyDescent="0.25">
      <c r="A4324" t="s">
        <v>222</v>
      </c>
      <c r="B4324" t="s">
        <v>846</v>
      </c>
      <c r="C4324" t="s">
        <v>88</v>
      </c>
      <c r="D4324" t="s">
        <v>88</v>
      </c>
      <c r="E4324" t="s">
        <v>709</v>
      </c>
      <c r="F4324" t="s">
        <v>88</v>
      </c>
      <c r="G4324" t="s">
        <v>88</v>
      </c>
      <c r="H4324" t="s">
        <v>92</v>
      </c>
    </row>
    <row r="4325" spans="1:8" x14ac:dyDescent="0.25">
      <c r="A4325" t="s">
        <v>222</v>
      </c>
      <c r="B4325" t="s">
        <v>618</v>
      </c>
      <c r="C4325" t="s">
        <v>88</v>
      </c>
      <c r="D4325" t="s">
        <v>88</v>
      </c>
      <c r="E4325" t="s">
        <v>711</v>
      </c>
      <c r="F4325" t="s">
        <v>88</v>
      </c>
      <c r="G4325" t="s">
        <v>88</v>
      </c>
      <c r="H4325" t="s">
        <v>92</v>
      </c>
    </row>
    <row r="4326" spans="1:8" x14ac:dyDescent="0.25">
      <c r="A4326" t="s">
        <v>222</v>
      </c>
      <c r="B4326" t="s">
        <v>622</v>
      </c>
      <c r="C4326" t="s">
        <v>88</v>
      </c>
      <c r="D4326" t="s">
        <v>88</v>
      </c>
      <c r="E4326" t="s">
        <v>735</v>
      </c>
      <c r="F4326" t="s">
        <v>88</v>
      </c>
      <c r="G4326" t="s">
        <v>88</v>
      </c>
      <c r="H4326" t="s">
        <v>92</v>
      </c>
    </row>
    <row r="4327" spans="1:8" x14ac:dyDescent="0.25">
      <c r="A4327" t="s">
        <v>222</v>
      </c>
      <c r="B4327" t="s">
        <v>623</v>
      </c>
      <c r="C4327" t="s">
        <v>88</v>
      </c>
      <c r="D4327" t="s">
        <v>88</v>
      </c>
      <c r="E4327" t="s">
        <v>735</v>
      </c>
      <c r="F4327" t="s">
        <v>88</v>
      </c>
      <c r="G4327" t="s">
        <v>88</v>
      </c>
      <c r="H4327" t="s">
        <v>92</v>
      </c>
    </row>
    <row r="4328" spans="1:8" x14ac:dyDescent="0.25">
      <c r="A4328" t="s">
        <v>222</v>
      </c>
      <c r="B4328" t="s">
        <v>1400</v>
      </c>
      <c r="C4328" t="s">
        <v>88</v>
      </c>
      <c r="D4328" t="s">
        <v>1401</v>
      </c>
      <c r="E4328" t="s">
        <v>836</v>
      </c>
      <c r="F4328" t="s">
        <v>88</v>
      </c>
      <c r="G4328" t="s">
        <v>88</v>
      </c>
      <c r="H4328" t="s">
        <v>92</v>
      </c>
    </row>
    <row r="4329" spans="1:8" x14ac:dyDescent="0.25">
      <c r="A4329" t="s">
        <v>222</v>
      </c>
      <c r="B4329" t="s">
        <v>1237</v>
      </c>
      <c r="C4329" t="s">
        <v>88</v>
      </c>
      <c r="D4329" t="s">
        <v>1401</v>
      </c>
      <c r="E4329" t="s">
        <v>676</v>
      </c>
      <c r="F4329" t="s">
        <v>88</v>
      </c>
      <c r="G4329" t="s">
        <v>88</v>
      </c>
      <c r="H4329" t="s">
        <v>92</v>
      </c>
    </row>
    <row r="4330" spans="1:8" x14ac:dyDescent="0.25">
      <c r="A4330" t="s">
        <v>222</v>
      </c>
      <c r="B4330" t="s">
        <v>1234</v>
      </c>
      <c r="C4330" t="s">
        <v>88</v>
      </c>
      <c r="D4330" t="s">
        <v>1401</v>
      </c>
      <c r="E4330" t="s">
        <v>836</v>
      </c>
      <c r="F4330" t="s">
        <v>88</v>
      </c>
      <c r="G4330" t="s">
        <v>88</v>
      </c>
      <c r="H4330" t="s">
        <v>92</v>
      </c>
    </row>
    <row r="4331" spans="1:8" x14ac:dyDescent="0.25">
      <c r="A4331" t="s">
        <v>222</v>
      </c>
      <c r="B4331" t="s">
        <v>625</v>
      </c>
      <c r="C4331" t="s">
        <v>88</v>
      </c>
      <c r="D4331" t="s">
        <v>88</v>
      </c>
      <c r="E4331" t="s">
        <v>626</v>
      </c>
      <c r="F4331" t="s">
        <v>88</v>
      </c>
      <c r="G4331" t="s">
        <v>88</v>
      </c>
      <c r="H4331" t="s">
        <v>92</v>
      </c>
    </row>
    <row r="4332" spans="1:8" x14ac:dyDescent="0.25">
      <c r="A4332" t="s">
        <v>223</v>
      </c>
      <c r="B4332" t="s">
        <v>4035</v>
      </c>
      <c r="C4332" t="s">
        <v>88</v>
      </c>
      <c r="D4332" t="s">
        <v>4036</v>
      </c>
      <c r="E4332" t="s">
        <v>762</v>
      </c>
      <c r="F4332" t="s">
        <v>88</v>
      </c>
      <c r="G4332" t="s">
        <v>88</v>
      </c>
      <c r="H4332" t="s">
        <v>92</v>
      </c>
    </row>
    <row r="4333" spans="1:8" x14ac:dyDescent="0.25">
      <c r="A4333" t="s">
        <v>223</v>
      </c>
      <c r="B4333" t="s">
        <v>4037</v>
      </c>
      <c r="C4333" t="s">
        <v>88</v>
      </c>
      <c r="D4333" t="s">
        <v>4038</v>
      </c>
      <c r="E4333" t="s">
        <v>4039</v>
      </c>
      <c r="F4333" t="s">
        <v>88</v>
      </c>
      <c r="G4333" t="s">
        <v>88</v>
      </c>
      <c r="H4333" t="s">
        <v>92</v>
      </c>
    </row>
    <row r="4334" spans="1:8" x14ac:dyDescent="0.25">
      <c r="A4334" t="s">
        <v>223</v>
      </c>
      <c r="B4334" t="s">
        <v>4040</v>
      </c>
      <c r="C4334" t="s">
        <v>88</v>
      </c>
      <c r="D4334" t="s">
        <v>4041</v>
      </c>
      <c r="E4334" t="s">
        <v>4042</v>
      </c>
      <c r="F4334" t="s">
        <v>88</v>
      </c>
      <c r="G4334" t="s">
        <v>88</v>
      </c>
      <c r="H4334" t="s">
        <v>92</v>
      </c>
    </row>
    <row r="4335" spans="1:8" x14ac:dyDescent="0.25">
      <c r="A4335" t="s">
        <v>223</v>
      </c>
      <c r="B4335" t="s">
        <v>4043</v>
      </c>
      <c r="C4335" t="s">
        <v>88</v>
      </c>
      <c r="D4335" t="s">
        <v>4044</v>
      </c>
      <c r="E4335" t="s">
        <v>748</v>
      </c>
      <c r="F4335" t="s">
        <v>88</v>
      </c>
      <c r="G4335" t="s">
        <v>88</v>
      </c>
      <c r="H4335" t="s">
        <v>92</v>
      </c>
    </row>
    <row r="4336" spans="1:8" x14ac:dyDescent="0.25">
      <c r="A4336" t="s">
        <v>223</v>
      </c>
      <c r="B4336" t="s">
        <v>4045</v>
      </c>
      <c r="C4336" t="s">
        <v>88</v>
      </c>
      <c r="D4336" t="s">
        <v>4046</v>
      </c>
      <c r="E4336" t="s">
        <v>2464</v>
      </c>
      <c r="F4336" t="s">
        <v>88</v>
      </c>
      <c r="G4336" t="s">
        <v>88</v>
      </c>
      <c r="H4336" t="s">
        <v>92</v>
      </c>
    </row>
    <row r="4337" spans="1:8" x14ac:dyDescent="0.25">
      <c r="A4337" t="s">
        <v>223</v>
      </c>
      <c r="B4337" t="s">
        <v>4047</v>
      </c>
      <c r="C4337" t="s">
        <v>88</v>
      </c>
      <c r="D4337" t="s">
        <v>4048</v>
      </c>
      <c r="E4337" t="s">
        <v>2464</v>
      </c>
      <c r="F4337" t="s">
        <v>88</v>
      </c>
      <c r="G4337" t="s">
        <v>88</v>
      </c>
      <c r="H4337" t="s">
        <v>92</v>
      </c>
    </row>
    <row r="4338" spans="1:8" x14ac:dyDescent="0.25">
      <c r="A4338" t="s">
        <v>223</v>
      </c>
      <c r="B4338" t="s">
        <v>4049</v>
      </c>
      <c r="C4338" t="s">
        <v>88</v>
      </c>
      <c r="D4338" t="s">
        <v>4050</v>
      </c>
      <c r="E4338" t="s">
        <v>2464</v>
      </c>
      <c r="F4338" t="s">
        <v>88</v>
      </c>
      <c r="G4338" t="s">
        <v>88</v>
      </c>
      <c r="H4338" t="s">
        <v>92</v>
      </c>
    </row>
    <row r="4339" spans="1:8" x14ac:dyDescent="0.25">
      <c r="A4339" t="s">
        <v>223</v>
      </c>
      <c r="B4339" t="s">
        <v>4051</v>
      </c>
      <c r="C4339" t="s">
        <v>88</v>
      </c>
      <c r="D4339" t="s">
        <v>4052</v>
      </c>
      <c r="E4339" t="s">
        <v>1139</v>
      </c>
      <c r="F4339" t="s">
        <v>88</v>
      </c>
      <c r="G4339" t="s">
        <v>88</v>
      </c>
      <c r="H4339" t="s">
        <v>92</v>
      </c>
    </row>
    <row r="4340" spans="1:8" x14ac:dyDescent="0.25">
      <c r="A4340" t="s">
        <v>223</v>
      </c>
      <c r="B4340" t="s">
        <v>4053</v>
      </c>
      <c r="C4340" t="s">
        <v>88</v>
      </c>
      <c r="D4340" t="s">
        <v>4054</v>
      </c>
      <c r="E4340" t="s">
        <v>4055</v>
      </c>
      <c r="F4340" t="s">
        <v>88</v>
      </c>
      <c r="G4340" t="s">
        <v>88</v>
      </c>
      <c r="H4340" t="s">
        <v>92</v>
      </c>
    </row>
    <row r="4341" spans="1:8" x14ac:dyDescent="0.25">
      <c r="A4341" t="s">
        <v>223</v>
      </c>
      <c r="B4341" t="s">
        <v>4056</v>
      </c>
      <c r="C4341" t="s">
        <v>88</v>
      </c>
      <c r="D4341" t="s">
        <v>4057</v>
      </c>
      <c r="E4341" t="s">
        <v>1568</v>
      </c>
      <c r="F4341" t="s">
        <v>88</v>
      </c>
      <c r="G4341" t="s">
        <v>88</v>
      </c>
      <c r="H4341" t="s">
        <v>92</v>
      </c>
    </row>
    <row r="4342" spans="1:8" x14ac:dyDescent="0.25">
      <c r="A4342" t="s">
        <v>223</v>
      </c>
      <c r="B4342" t="s">
        <v>4058</v>
      </c>
      <c r="C4342" t="s">
        <v>88</v>
      </c>
      <c r="D4342" t="s">
        <v>4059</v>
      </c>
      <c r="E4342" t="s">
        <v>4060</v>
      </c>
      <c r="F4342" t="s">
        <v>88</v>
      </c>
      <c r="G4342" t="s">
        <v>88</v>
      </c>
      <c r="H4342" t="s">
        <v>92</v>
      </c>
    </row>
    <row r="4343" spans="1:8" x14ac:dyDescent="0.25">
      <c r="A4343" t="s">
        <v>223</v>
      </c>
      <c r="B4343" t="s">
        <v>4061</v>
      </c>
      <c r="C4343" t="s">
        <v>88</v>
      </c>
      <c r="D4343" t="s">
        <v>4062</v>
      </c>
      <c r="E4343" t="s">
        <v>2882</v>
      </c>
      <c r="F4343" t="s">
        <v>88</v>
      </c>
      <c r="G4343" t="s">
        <v>88</v>
      </c>
      <c r="H4343" t="s">
        <v>92</v>
      </c>
    </row>
    <row r="4344" spans="1:8" x14ac:dyDescent="0.25">
      <c r="A4344" t="s">
        <v>223</v>
      </c>
      <c r="B4344" t="s">
        <v>4063</v>
      </c>
      <c r="C4344" t="s">
        <v>88</v>
      </c>
      <c r="D4344" t="s">
        <v>4064</v>
      </c>
      <c r="E4344" t="s">
        <v>886</v>
      </c>
      <c r="F4344" t="s">
        <v>88</v>
      </c>
      <c r="G4344" t="s">
        <v>88</v>
      </c>
      <c r="H4344" t="s">
        <v>92</v>
      </c>
    </row>
    <row r="4345" spans="1:8" x14ac:dyDescent="0.25">
      <c r="A4345" t="s">
        <v>223</v>
      </c>
      <c r="B4345" t="s">
        <v>2179</v>
      </c>
      <c r="C4345" t="s">
        <v>88</v>
      </c>
      <c r="D4345" t="s">
        <v>88</v>
      </c>
      <c r="E4345" t="s">
        <v>715</v>
      </c>
      <c r="F4345" t="s">
        <v>88</v>
      </c>
      <c r="G4345" t="s">
        <v>88</v>
      </c>
      <c r="H4345" t="s">
        <v>92</v>
      </c>
    </row>
    <row r="4346" spans="1:8" x14ac:dyDescent="0.25">
      <c r="A4346" t="s">
        <v>223</v>
      </c>
      <c r="B4346" t="s">
        <v>1378</v>
      </c>
      <c r="C4346" t="s">
        <v>88</v>
      </c>
      <c r="D4346" t="s">
        <v>4065</v>
      </c>
      <c r="E4346" t="s">
        <v>715</v>
      </c>
      <c r="F4346" t="s">
        <v>88</v>
      </c>
      <c r="G4346" t="s">
        <v>88</v>
      </c>
      <c r="H4346" t="s">
        <v>92</v>
      </c>
    </row>
    <row r="4347" spans="1:8" x14ac:dyDescent="0.25">
      <c r="A4347" t="s">
        <v>223</v>
      </c>
      <c r="B4347" t="s">
        <v>4066</v>
      </c>
      <c r="C4347" t="s">
        <v>88</v>
      </c>
      <c r="D4347" t="s">
        <v>4067</v>
      </c>
      <c r="E4347" t="s">
        <v>780</v>
      </c>
      <c r="F4347" t="s">
        <v>88</v>
      </c>
      <c r="G4347" t="s">
        <v>88</v>
      </c>
      <c r="H4347" t="s">
        <v>92</v>
      </c>
    </row>
    <row r="4348" spans="1:8" x14ac:dyDescent="0.25">
      <c r="A4348" t="s">
        <v>223</v>
      </c>
      <c r="B4348" t="s">
        <v>4068</v>
      </c>
      <c r="C4348" t="s">
        <v>88</v>
      </c>
      <c r="D4348" t="s">
        <v>4069</v>
      </c>
      <c r="E4348" t="s">
        <v>4070</v>
      </c>
      <c r="F4348" t="s">
        <v>88</v>
      </c>
      <c r="G4348" t="s">
        <v>88</v>
      </c>
      <c r="H4348" t="s">
        <v>92</v>
      </c>
    </row>
    <row r="4349" spans="1:8" x14ac:dyDescent="0.25">
      <c r="A4349" t="s">
        <v>223</v>
      </c>
      <c r="B4349" t="s">
        <v>4071</v>
      </c>
      <c r="C4349" t="s">
        <v>88</v>
      </c>
      <c r="D4349" t="s">
        <v>4072</v>
      </c>
      <c r="E4349" t="s">
        <v>780</v>
      </c>
      <c r="F4349" t="s">
        <v>88</v>
      </c>
      <c r="G4349" t="s">
        <v>88</v>
      </c>
      <c r="H4349" t="s">
        <v>92</v>
      </c>
    </row>
    <row r="4350" spans="1:8" x14ac:dyDescent="0.25">
      <c r="A4350" t="s">
        <v>223</v>
      </c>
      <c r="B4350" t="s">
        <v>696</v>
      </c>
      <c r="C4350" t="s">
        <v>88</v>
      </c>
      <c r="D4350" t="s">
        <v>4073</v>
      </c>
      <c r="E4350" t="s">
        <v>715</v>
      </c>
      <c r="F4350" t="s">
        <v>88</v>
      </c>
      <c r="G4350" t="s">
        <v>88</v>
      </c>
      <c r="H4350" t="s">
        <v>92</v>
      </c>
    </row>
    <row r="4351" spans="1:8" x14ac:dyDescent="0.25">
      <c r="A4351" t="s">
        <v>223</v>
      </c>
      <c r="B4351" t="s">
        <v>4074</v>
      </c>
      <c r="C4351" t="s">
        <v>88</v>
      </c>
      <c r="D4351" t="s">
        <v>4075</v>
      </c>
      <c r="E4351" t="s">
        <v>2166</v>
      </c>
      <c r="F4351" t="s">
        <v>88</v>
      </c>
      <c r="G4351" t="s">
        <v>88</v>
      </c>
      <c r="H4351" t="s">
        <v>92</v>
      </c>
    </row>
    <row r="4352" spans="1:8" x14ac:dyDescent="0.25">
      <c r="A4352" t="s">
        <v>223</v>
      </c>
      <c r="B4352" t="s">
        <v>4076</v>
      </c>
      <c r="C4352" t="s">
        <v>88</v>
      </c>
      <c r="D4352" t="s">
        <v>4077</v>
      </c>
      <c r="E4352" t="s">
        <v>715</v>
      </c>
      <c r="F4352" t="s">
        <v>88</v>
      </c>
      <c r="G4352" t="s">
        <v>88</v>
      </c>
      <c r="H4352" t="s">
        <v>92</v>
      </c>
    </row>
    <row r="4353" spans="1:8" x14ac:dyDescent="0.25">
      <c r="A4353" t="s">
        <v>223</v>
      </c>
      <c r="B4353" t="s">
        <v>4078</v>
      </c>
      <c r="C4353" t="s">
        <v>88</v>
      </c>
      <c r="D4353" t="s">
        <v>88</v>
      </c>
      <c r="E4353" t="s">
        <v>886</v>
      </c>
      <c r="F4353" t="s">
        <v>88</v>
      </c>
      <c r="G4353" t="s">
        <v>88</v>
      </c>
      <c r="H4353" t="s">
        <v>92</v>
      </c>
    </row>
    <row r="4354" spans="1:8" x14ac:dyDescent="0.25">
      <c r="A4354" t="s">
        <v>223</v>
      </c>
      <c r="B4354" t="s">
        <v>2197</v>
      </c>
      <c r="C4354" t="s">
        <v>88</v>
      </c>
      <c r="D4354" t="s">
        <v>88</v>
      </c>
      <c r="E4354" t="s">
        <v>2757</v>
      </c>
      <c r="F4354" t="s">
        <v>88</v>
      </c>
      <c r="G4354" t="s">
        <v>88</v>
      </c>
      <c r="H4354" t="s">
        <v>92</v>
      </c>
    </row>
    <row r="4355" spans="1:8" x14ac:dyDescent="0.25">
      <c r="A4355" t="s">
        <v>223</v>
      </c>
      <c r="B4355" t="s">
        <v>2160</v>
      </c>
      <c r="C4355" t="s">
        <v>88</v>
      </c>
      <c r="D4355" t="s">
        <v>88</v>
      </c>
      <c r="E4355" t="s">
        <v>4079</v>
      </c>
      <c r="F4355" t="s">
        <v>88</v>
      </c>
      <c r="G4355" t="s">
        <v>88</v>
      </c>
      <c r="H4355" t="s">
        <v>92</v>
      </c>
    </row>
    <row r="4356" spans="1:8" x14ac:dyDescent="0.25">
      <c r="A4356" t="s">
        <v>223</v>
      </c>
      <c r="B4356" t="s">
        <v>4080</v>
      </c>
      <c r="C4356" t="s">
        <v>88</v>
      </c>
      <c r="D4356" t="s">
        <v>88</v>
      </c>
      <c r="E4356" t="s">
        <v>715</v>
      </c>
      <c r="F4356" t="s">
        <v>88</v>
      </c>
      <c r="G4356" t="s">
        <v>88</v>
      </c>
      <c r="H4356" t="s">
        <v>92</v>
      </c>
    </row>
    <row r="4357" spans="1:8" x14ac:dyDescent="0.25">
      <c r="A4357" t="s">
        <v>223</v>
      </c>
      <c r="B4357" t="s">
        <v>4081</v>
      </c>
      <c r="C4357" t="s">
        <v>88</v>
      </c>
      <c r="D4357" t="s">
        <v>88</v>
      </c>
      <c r="E4357" t="s">
        <v>4082</v>
      </c>
      <c r="F4357" t="s">
        <v>88</v>
      </c>
      <c r="G4357" t="s">
        <v>88</v>
      </c>
      <c r="H4357" t="s">
        <v>92</v>
      </c>
    </row>
    <row r="4358" spans="1:8" x14ac:dyDescent="0.25">
      <c r="A4358" t="s">
        <v>223</v>
      </c>
      <c r="B4358" t="s">
        <v>1322</v>
      </c>
      <c r="C4358" t="s">
        <v>88</v>
      </c>
      <c r="D4358" t="s">
        <v>88</v>
      </c>
      <c r="E4358" t="s">
        <v>799</v>
      </c>
      <c r="F4358" t="s">
        <v>88</v>
      </c>
      <c r="G4358" t="s">
        <v>88</v>
      </c>
      <c r="H4358" t="s">
        <v>92</v>
      </c>
    </row>
    <row r="4359" spans="1:8" x14ac:dyDescent="0.25">
      <c r="A4359" t="s">
        <v>223</v>
      </c>
      <c r="B4359" t="s">
        <v>2204</v>
      </c>
      <c r="C4359" t="s">
        <v>88</v>
      </c>
      <c r="D4359" t="s">
        <v>4083</v>
      </c>
      <c r="E4359" t="s">
        <v>886</v>
      </c>
      <c r="F4359" t="s">
        <v>88</v>
      </c>
      <c r="G4359" t="s">
        <v>88</v>
      </c>
      <c r="H4359" t="s">
        <v>92</v>
      </c>
    </row>
    <row r="4360" spans="1:8" x14ac:dyDescent="0.25">
      <c r="A4360" t="s">
        <v>223</v>
      </c>
      <c r="B4360" t="s">
        <v>2199</v>
      </c>
      <c r="C4360" t="s">
        <v>88</v>
      </c>
      <c r="D4360" t="s">
        <v>4084</v>
      </c>
      <c r="E4360" t="s">
        <v>4085</v>
      </c>
      <c r="F4360" t="s">
        <v>88</v>
      </c>
      <c r="G4360" t="s">
        <v>88</v>
      </c>
      <c r="H4360" t="s">
        <v>92</v>
      </c>
    </row>
    <row r="4361" spans="1:8" x14ac:dyDescent="0.25">
      <c r="A4361" t="s">
        <v>223</v>
      </c>
      <c r="B4361" t="s">
        <v>1322</v>
      </c>
      <c r="C4361" t="s">
        <v>88</v>
      </c>
      <c r="D4361" t="s">
        <v>88</v>
      </c>
      <c r="E4361" t="s">
        <v>799</v>
      </c>
      <c r="F4361" t="s">
        <v>88</v>
      </c>
      <c r="G4361" t="s">
        <v>88</v>
      </c>
      <c r="H4361" t="s">
        <v>92</v>
      </c>
    </row>
    <row r="4362" spans="1:8" x14ac:dyDescent="0.25">
      <c r="A4362" t="s">
        <v>223</v>
      </c>
      <c r="B4362" t="s">
        <v>4086</v>
      </c>
      <c r="C4362" t="s">
        <v>88</v>
      </c>
      <c r="D4362" t="s">
        <v>4087</v>
      </c>
      <c r="E4362" t="s">
        <v>4088</v>
      </c>
      <c r="F4362" t="s">
        <v>88</v>
      </c>
      <c r="G4362" t="s">
        <v>88</v>
      </c>
      <c r="H4362" t="s">
        <v>92</v>
      </c>
    </row>
    <row r="4363" spans="1:8" x14ac:dyDescent="0.25">
      <c r="A4363" t="s">
        <v>223</v>
      </c>
      <c r="B4363" t="s">
        <v>4089</v>
      </c>
      <c r="C4363" t="s">
        <v>88</v>
      </c>
      <c r="D4363" t="s">
        <v>4090</v>
      </c>
      <c r="E4363" t="s">
        <v>2757</v>
      </c>
      <c r="F4363" t="s">
        <v>88</v>
      </c>
      <c r="G4363" t="s">
        <v>88</v>
      </c>
      <c r="H4363" t="s">
        <v>92</v>
      </c>
    </row>
    <row r="4364" spans="1:8" x14ac:dyDescent="0.25">
      <c r="A4364" t="s">
        <v>223</v>
      </c>
      <c r="B4364" t="s">
        <v>4091</v>
      </c>
      <c r="C4364" t="s">
        <v>88</v>
      </c>
      <c r="D4364" t="s">
        <v>88</v>
      </c>
      <c r="E4364" t="s">
        <v>2757</v>
      </c>
      <c r="F4364" t="s">
        <v>88</v>
      </c>
      <c r="G4364" t="s">
        <v>88</v>
      </c>
      <c r="H4364" t="s">
        <v>92</v>
      </c>
    </row>
    <row r="4365" spans="1:8" x14ac:dyDescent="0.25">
      <c r="A4365" t="s">
        <v>223</v>
      </c>
      <c r="B4365" t="s">
        <v>701</v>
      </c>
      <c r="C4365" t="s">
        <v>88</v>
      </c>
      <c r="D4365" t="s">
        <v>88</v>
      </c>
      <c r="E4365" t="s">
        <v>4092</v>
      </c>
      <c r="F4365" t="s">
        <v>88</v>
      </c>
      <c r="G4365" t="s">
        <v>88</v>
      </c>
      <c r="H4365" t="s">
        <v>92</v>
      </c>
    </row>
    <row r="4366" spans="1:8" x14ac:dyDescent="0.25">
      <c r="A4366" t="s">
        <v>223</v>
      </c>
      <c r="B4366" t="s">
        <v>705</v>
      </c>
      <c r="C4366" t="s">
        <v>88</v>
      </c>
      <c r="D4366" t="s">
        <v>88</v>
      </c>
      <c r="E4366" t="s">
        <v>4092</v>
      </c>
      <c r="F4366" t="s">
        <v>88</v>
      </c>
      <c r="G4366" t="s">
        <v>88</v>
      </c>
      <c r="H4366" t="s">
        <v>92</v>
      </c>
    </row>
    <row r="4367" spans="1:8" x14ac:dyDescent="0.25">
      <c r="A4367" t="s">
        <v>223</v>
      </c>
      <c r="B4367" t="s">
        <v>618</v>
      </c>
      <c r="C4367" t="s">
        <v>88</v>
      </c>
      <c r="D4367" t="s">
        <v>88</v>
      </c>
      <c r="E4367" t="s">
        <v>1652</v>
      </c>
      <c r="F4367" t="s">
        <v>88</v>
      </c>
      <c r="G4367" t="s">
        <v>88</v>
      </c>
      <c r="H4367" t="s">
        <v>92</v>
      </c>
    </row>
    <row r="4368" spans="1:8" x14ac:dyDescent="0.25">
      <c r="A4368" t="s">
        <v>223</v>
      </c>
      <c r="B4368" t="s">
        <v>623</v>
      </c>
      <c r="C4368" t="s">
        <v>88</v>
      </c>
      <c r="D4368" t="s">
        <v>88</v>
      </c>
      <c r="E4368" t="s">
        <v>4093</v>
      </c>
      <c r="F4368" t="s">
        <v>88</v>
      </c>
      <c r="G4368" t="s">
        <v>88</v>
      </c>
      <c r="H4368" t="s">
        <v>92</v>
      </c>
    </row>
    <row r="4369" spans="1:8" x14ac:dyDescent="0.25">
      <c r="A4369" t="s">
        <v>223</v>
      </c>
      <c r="B4369" t="s">
        <v>714</v>
      </c>
      <c r="C4369" t="s">
        <v>88</v>
      </c>
      <c r="D4369" t="s">
        <v>88</v>
      </c>
      <c r="E4369" t="s">
        <v>2748</v>
      </c>
      <c r="F4369" t="s">
        <v>88</v>
      </c>
      <c r="G4369" t="s">
        <v>88</v>
      </c>
      <c r="H4369" t="s">
        <v>92</v>
      </c>
    </row>
    <row r="4370" spans="1:8" x14ac:dyDescent="0.25">
      <c r="A4370" t="s">
        <v>223</v>
      </c>
      <c r="B4370" t="s">
        <v>998</v>
      </c>
      <c r="C4370" t="s">
        <v>88</v>
      </c>
      <c r="D4370" t="s">
        <v>88</v>
      </c>
      <c r="E4370" t="s">
        <v>2748</v>
      </c>
      <c r="F4370" t="s">
        <v>88</v>
      </c>
      <c r="G4370" t="s">
        <v>88</v>
      </c>
      <c r="H4370" t="s">
        <v>92</v>
      </c>
    </row>
    <row r="4371" spans="1:8" x14ac:dyDescent="0.25">
      <c r="A4371" t="s">
        <v>223</v>
      </c>
      <c r="B4371" t="s">
        <v>4094</v>
      </c>
      <c r="C4371" t="s">
        <v>88</v>
      </c>
      <c r="D4371" t="s">
        <v>88</v>
      </c>
      <c r="E4371" t="s">
        <v>2748</v>
      </c>
      <c r="F4371" t="s">
        <v>88</v>
      </c>
      <c r="G4371" t="s">
        <v>88</v>
      </c>
      <c r="H4371" t="s">
        <v>92</v>
      </c>
    </row>
    <row r="4372" spans="1:8" x14ac:dyDescent="0.25">
      <c r="A4372" t="s">
        <v>223</v>
      </c>
      <c r="B4372" t="s">
        <v>4095</v>
      </c>
      <c r="C4372" t="s">
        <v>88</v>
      </c>
      <c r="D4372" t="s">
        <v>88</v>
      </c>
      <c r="E4372" t="s">
        <v>2686</v>
      </c>
      <c r="F4372" t="s">
        <v>88</v>
      </c>
      <c r="G4372" t="s">
        <v>88</v>
      </c>
      <c r="H4372" t="s">
        <v>92</v>
      </c>
    </row>
    <row r="4373" spans="1:8" x14ac:dyDescent="0.25">
      <c r="A4373" t="s">
        <v>223</v>
      </c>
      <c r="B4373" t="s">
        <v>4096</v>
      </c>
      <c r="C4373" t="s">
        <v>88</v>
      </c>
      <c r="D4373" t="s">
        <v>88</v>
      </c>
      <c r="E4373" t="s">
        <v>4097</v>
      </c>
      <c r="F4373" t="s">
        <v>88</v>
      </c>
      <c r="G4373" t="s">
        <v>88</v>
      </c>
      <c r="H4373" t="s">
        <v>92</v>
      </c>
    </row>
    <row r="4374" spans="1:8" x14ac:dyDescent="0.25">
      <c r="A4374" t="s">
        <v>223</v>
      </c>
      <c r="B4374" t="s">
        <v>4098</v>
      </c>
      <c r="C4374" t="s">
        <v>88</v>
      </c>
      <c r="D4374" t="s">
        <v>88</v>
      </c>
      <c r="E4374" t="s">
        <v>3194</v>
      </c>
      <c r="F4374" t="s">
        <v>88</v>
      </c>
      <c r="G4374" t="s">
        <v>88</v>
      </c>
      <c r="H4374" t="s">
        <v>92</v>
      </c>
    </row>
    <row r="4375" spans="1:8" x14ac:dyDescent="0.25">
      <c r="A4375" t="s">
        <v>223</v>
      </c>
      <c r="B4375" t="s">
        <v>4099</v>
      </c>
      <c r="C4375" t="s">
        <v>88</v>
      </c>
      <c r="D4375" t="s">
        <v>88</v>
      </c>
      <c r="E4375" t="s">
        <v>1194</v>
      </c>
      <c r="F4375" t="s">
        <v>88</v>
      </c>
      <c r="G4375" t="s">
        <v>88</v>
      </c>
      <c r="H4375" t="s">
        <v>92</v>
      </c>
    </row>
    <row r="4376" spans="1:8" x14ac:dyDescent="0.25">
      <c r="A4376" t="s">
        <v>223</v>
      </c>
      <c r="B4376" t="s">
        <v>625</v>
      </c>
      <c r="C4376" t="s">
        <v>88</v>
      </c>
      <c r="D4376" t="s">
        <v>88</v>
      </c>
      <c r="E4376" t="s">
        <v>626</v>
      </c>
      <c r="F4376" t="s">
        <v>88</v>
      </c>
      <c r="G4376" t="s">
        <v>88</v>
      </c>
      <c r="H4376" t="s">
        <v>92</v>
      </c>
    </row>
    <row r="4377" spans="1:8" x14ac:dyDescent="0.25">
      <c r="A4377" t="s">
        <v>224</v>
      </c>
      <c r="B4377" t="s">
        <v>4100</v>
      </c>
      <c r="C4377" t="s">
        <v>88</v>
      </c>
      <c r="D4377" t="s">
        <v>4101</v>
      </c>
      <c r="E4377" t="s">
        <v>702</v>
      </c>
      <c r="F4377" t="s">
        <v>88</v>
      </c>
      <c r="G4377" t="s">
        <v>88</v>
      </c>
      <c r="H4377" t="s">
        <v>92</v>
      </c>
    </row>
    <row r="4378" spans="1:8" x14ac:dyDescent="0.25">
      <c r="A4378" t="s">
        <v>224</v>
      </c>
      <c r="B4378" t="s">
        <v>4102</v>
      </c>
      <c r="C4378" t="s">
        <v>88</v>
      </c>
      <c r="D4378" t="s">
        <v>4103</v>
      </c>
      <c r="E4378" t="s">
        <v>663</v>
      </c>
      <c r="F4378" t="s">
        <v>88</v>
      </c>
      <c r="G4378" t="s">
        <v>88</v>
      </c>
      <c r="H4378" t="s">
        <v>92</v>
      </c>
    </row>
    <row r="4379" spans="1:8" x14ac:dyDescent="0.25">
      <c r="A4379" t="s">
        <v>224</v>
      </c>
      <c r="B4379" t="s">
        <v>876</v>
      </c>
      <c r="C4379" t="s">
        <v>88</v>
      </c>
      <c r="D4379" t="s">
        <v>4104</v>
      </c>
      <c r="E4379" t="s">
        <v>883</v>
      </c>
      <c r="F4379" t="s">
        <v>88</v>
      </c>
      <c r="G4379" t="s">
        <v>88</v>
      </c>
      <c r="H4379" t="s">
        <v>92</v>
      </c>
    </row>
    <row r="4380" spans="1:8" x14ac:dyDescent="0.25">
      <c r="A4380" t="s">
        <v>224</v>
      </c>
      <c r="B4380" t="s">
        <v>736</v>
      </c>
      <c r="C4380" t="s">
        <v>88</v>
      </c>
      <c r="D4380" t="s">
        <v>4101</v>
      </c>
      <c r="E4380" t="s">
        <v>780</v>
      </c>
      <c r="F4380" t="s">
        <v>88</v>
      </c>
      <c r="G4380" t="s">
        <v>88</v>
      </c>
      <c r="H4380" t="s">
        <v>92</v>
      </c>
    </row>
    <row r="4381" spans="1:8" x14ac:dyDescent="0.25">
      <c r="A4381" t="s">
        <v>224</v>
      </c>
      <c r="B4381" t="s">
        <v>1780</v>
      </c>
      <c r="C4381" t="s">
        <v>88</v>
      </c>
      <c r="D4381" t="s">
        <v>4103</v>
      </c>
      <c r="E4381" t="s">
        <v>791</v>
      </c>
      <c r="F4381" t="s">
        <v>88</v>
      </c>
      <c r="G4381" t="s">
        <v>88</v>
      </c>
      <c r="H4381" t="s">
        <v>92</v>
      </c>
    </row>
    <row r="4382" spans="1:8" x14ac:dyDescent="0.25">
      <c r="A4382" t="s">
        <v>224</v>
      </c>
      <c r="B4382" t="s">
        <v>1780</v>
      </c>
      <c r="C4382" t="s">
        <v>88</v>
      </c>
      <c r="D4382" t="s">
        <v>4103</v>
      </c>
      <c r="E4382" t="s">
        <v>791</v>
      </c>
      <c r="F4382" t="s">
        <v>88</v>
      </c>
      <c r="G4382" t="s">
        <v>88</v>
      </c>
      <c r="H4382" t="s">
        <v>92</v>
      </c>
    </row>
    <row r="4383" spans="1:8" x14ac:dyDescent="0.25">
      <c r="A4383" t="s">
        <v>224</v>
      </c>
      <c r="B4383" t="s">
        <v>4102</v>
      </c>
      <c r="C4383" t="s">
        <v>88</v>
      </c>
      <c r="D4383" t="s">
        <v>4103</v>
      </c>
      <c r="E4383" t="s">
        <v>663</v>
      </c>
      <c r="F4383" t="s">
        <v>88</v>
      </c>
      <c r="G4383" t="s">
        <v>88</v>
      </c>
      <c r="H4383" t="s">
        <v>92</v>
      </c>
    </row>
    <row r="4384" spans="1:8" x14ac:dyDescent="0.25">
      <c r="A4384" t="s">
        <v>224</v>
      </c>
      <c r="B4384" t="s">
        <v>876</v>
      </c>
      <c r="C4384" t="s">
        <v>88</v>
      </c>
      <c r="D4384" t="s">
        <v>4104</v>
      </c>
      <c r="E4384" t="s">
        <v>883</v>
      </c>
      <c r="F4384" t="s">
        <v>88</v>
      </c>
      <c r="G4384" t="s">
        <v>88</v>
      </c>
      <c r="H4384" t="s">
        <v>92</v>
      </c>
    </row>
    <row r="4385" spans="1:8" x14ac:dyDescent="0.25">
      <c r="A4385" t="s">
        <v>224</v>
      </c>
      <c r="B4385" t="s">
        <v>4105</v>
      </c>
      <c r="C4385" t="s">
        <v>88</v>
      </c>
      <c r="D4385" t="s">
        <v>4106</v>
      </c>
      <c r="E4385" t="s">
        <v>676</v>
      </c>
      <c r="F4385" t="s">
        <v>88</v>
      </c>
      <c r="G4385" t="s">
        <v>88</v>
      </c>
      <c r="H4385" t="s">
        <v>92</v>
      </c>
    </row>
    <row r="4386" spans="1:8" x14ac:dyDescent="0.25">
      <c r="A4386" t="s">
        <v>224</v>
      </c>
      <c r="B4386" t="s">
        <v>897</v>
      </c>
      <c r="C4386" t="s">
        <v>88</v>
      </c>
      <c r="D4386" t="s">
        <v>4104</v>
      </c>
      <c r="E4386" t="s">
        <v>883</v>
      </c>
      <c r="F4386" t="s">
        <v>88</v>
      </c>
      <c r="G4386" t="s">
        <v>88</v>
      </c>
      <c r="H4386" t="s">
        <v>92</v>
      </c>
    </row>
    <row r="4387" spans="1:8" x14ac:dyDescent="0.25">
      <c r="A4387" t="s">
        <v>224</v>
      </c>
      <c r="B4387" t="s">
        <v>1673</v>
      </c>
      <c r="C4387" t="s">
        <v>88</v>
      </c>
      <c r="D4387" t="s">
        <v>4104</v>
      </c>
      <c r="E4387" t="s">
        <v>700</v>
      </c>
      <c r="F4387" t="s">
        <v>88</v>
      </c>
      <c r="G4387" t="s">
        <v>88</v>
      </c>
      <c r="H4387" t="s">
        <v>92</v>
      </c>
    </row>
    <row r="4388" spans="1:8" x14ac:dyDescent="0.25">
      <c r="A4388" t="s">
        <v>224</v>
      </c>
      <c r="B4388" t="s">
        <v>743</v>
      </c>
      <c r="C4388" t="s">
        <v>88</v>
      </c>
      <c r="D4388" t="s">
        <v>4104</v>
      </c>
      <c r="E4388" t="s">
        <v>700</v>
      </c>
      <c r="F4388" t="s">
        <v>88</v>
      </c>
      <c r="G4388" t="s">
        <v>88</v>
      </c>
      <c r="H4388" t="s">
        <v>92</v>
      </c>
    </row>
    <row r="4389" spans="1:8" x14ac:dyDescent="0.25">
      <c r="A4389" t="s">
        <v>224</v>
      </c>
      <c r="B4389" t="s">
        <v>769</v>
      </c>
      <c r="C4389" t="s">
        <v>88</v>
      </c>
      <c r="D4389" t="s">
        <v>4107</v>
      </c>
      <c r="E4389" t="s">
        <v>676</v>
      </c>
      <c r="F4389" t="s">
        <v>88</v>
      </c>
      <c r="G4389" t="s">
        <v>88</v>
      </c>
      <c r="H4389" t="s">
        <v>92</v>
      </c>
    </row>
    <row r="4390" spans="1:8" x14ac:dyDescent="0.25">
      <c r="A4390" t="s">
        <v>224</v>
      </c>
      <c r="B4390" t="s">
        <v>4108</v>
      </c>
      <c r="C4390" t="s">
        <v>88</v>
      </c>
      <c r="D4390" t="s">
        <v>4104</v>
      </c>
      <c r="E4390" t="s">
        <v>692</v>
      </c>
      <c r="F4390" t="s">
        <v>88</v>
      </c>
      <c r="G4390" t="s">
        <v>88</v>
      </c>
      <c r="H4390" t="s">
        <v>92</v>
      </c>
    </row>
    <row r="4391" spans="1:8" x14ac:dyDescent="0.25">
      <c r="A4391" t="s">
        <v>224</v>
      </c>
      <c r="B4391" t="s">
        <v>905</v>
      </c>
      <c r="C4391" t="s">
        <v>88</v>
      </c>
      <c r="D4391" t="s">
        <v>4104</v>
      </c>
      <c r="E4391" t="s">
        <v>3169</v>
      </c>
      <c r="F4391" t="s">
        <v>88</v>
      </c>
      <c r="G4391" t="s">
        <v>88</v>
      </c>
      <c r="H4391" t="s">
        <v>92</v>
      </c>
    </row>
    <row r="4392" spans="1:8" x14ac:dyDescent="0.25">
      <c r="A4392" t="s">
        <v>224</v>
      </c>
      <c r="B4392" t="s">
        <v>1675</v>
      </c>
      <c r="C4392" t="s">
        <v>88</v>
      </c>
      <c r="D4392" t="s">
        <v>4104</v>
      </c>
      <c r="E4392" t="s">
        <v>3169</v>
      </c>
      <c r="F4392" t="s">
        <v>88</v>
      </c>
      <c r="G4392" t="s">
        <v>88</v>
      </c>
      <c r="H4392" t="s">
        <v>92</v>
      </c>
    </row>
    <row r="4393" spans="1:8" x14ac:dyDescent="0.25">
      <c r="A4393" t="s">
        <v>224</v>
      </c>
      <c r="B4393" t="s">
        <v>768</v>
      </c>
      <c r="C4393" t="s">
        <v>88</v>
      </c>
      <c r="D4393" t="s">
        <v>4104</v>
      </c>
      <c r="E4393" t="s">
        <v>883</v>
      </c>
      <c r="F4393" t="s">
        <v>88</v>
      </c>
      <c r="G4393" t="s">
        <v>88</v>
      </c>
      <c r="H4393" t="s">
        <v>92</v>
      </c>
    </row>
    <row r="4394" spans="1:8" x14ac:dyDescent="0.25">
      <c r="A4394" t="s">
        <v>224</v>
      </c>
      <c r="B4394" t="s">
        <v>907</v>
      </c>
      <c r="C4394" t="s">
        <v>88</v>
      </c>
      <c r="D4394" t="s">
        <v>4109</v>
      </c>
      <c r="E4394" t="s">
        <v>3169</v>
      </c>
      <c r="F4394" t="s">
        <v>88</v>
      </c>
      <c r="G4394" t="s">
        <v>88</v>
      </c>
      <c r="H4394" t="s">
        <v>92</v>
      </c>
    </row>
    <row r="4395" spans="1:8" x14ac:dyDescent="0.25">
      <c r="A4395" t="s">
        <v>224</v>
      </c>
      <c r="B4395" t="s">
        <v>4110</v>
      </c>
      <c r="C4395" t="s">
        <v>88</v>
      </c>
      <c r="D4395" t="s">
        <v>4104</v>
      </c>
      <c r="E4395" t="s">
        <v>841</v>
      </c>
      <c r="F4395" t="s">
        <v>88</v>
      </c>
      <c r="G4395" t="s">
        <v>88</v>
      </c>
      <c r="H4395" t="s">
        <v>92</v>
      </c>
    </row>
    <row r="4396" spans="1:8" x14ac:dyDescent="0.25">
      <c r="A4396" t="s">
        <v>224</v>
      </c>
      <c r="B4396" t="s">
        <v>740</v>
      </c>
      <c r="C4396" t="s">
        <v>88</v>
      </c>
      <c r="D4396" t="s">
        <v>4104</v>
      </c>
      <c r="E4396" t="s">
        <v>748</v>
      </c>
      <c r="F4396" t="s">
        <v>88</v>
      </c>
      <c r="G4396" t="s">
        <v>88</v>
      </c>
      <c r="H4396" t="s">
        <v>92</v>
      </c>
    </row>
    <row r="4397" spans="1:8" x14ac:dyDescent="0.25">
      <c r="A4397" t="s">
        <v>224</v>
      </c>
      <c r="B4397" t="s">
        <v>1678</v>
      </c>
      <c r="C4397" t="s">
        <v>88</v>
      </c>
      <c r="D4397" t="s">
        <v>4104</v>
      </c>
      <c r="E4397" t="s">
        <v>692</v>
      </c>
      <c r="F4397" t="s">
        <v>88</v>
      </c>
      <c r="G4397" t="s">
        <v>88</v>
      </c>
      <c r="H4397" t="s">
        <v>92</v>
      </c>
    </row>
    <row r="4398" spans="1:8" x14ac:dyDescent="0.25">
      <c r="A4398" t="s">
        <v>224</v>
      </c>
      <c r="B4398" t="s">
        <v>765</v>
      </c>
      <c r="C4398" t="s">
        <v>88</v>
      </c>
      <c r="D4398" t="s">
        <v>4104</v>
      </c>
      <c r="E4398" t="s">
        <v>692</v>
      </c>
      <c r="F4398" t="s">
        <v>88</v>
      </c>
      <c r="G4398" t="s">
        <v>88</v>
      </c>
      <c r="H4398" t="s">
        <v>92</v>
      </c>
    </row>
    <row r="4399" spans="1:8" x14ac:dyDescent="0.25">
      <c r="A4399" t="s">
        <v>224</v>
      </c>
      <c r="B4399" t="s">
        <v>4111</v>
      </c>
      <c r="C4399" t="s">
        <v>88</v>
      </c>
      <c r="D4399" t="s">
        <v>4112</v>
      </c>
      <c r="E4399" t="s">
        <v>844</v>
      </c>
      <c r="F4399" t="s">
        <v>88</v>
      </c>
      <c r="G4399" t="s">
        <v>88</v>
      </c>
      <c r="H4399" t="s">
        <v>92</v>
      </c>
    </row>
    <row r="4400" spans="1:8" x14ac:dyDescent="0.25">
      <c r="A4400" t="s">
        <v>224</v>
      </c>
      <c r="B4400" t="s">
        <v>2277</v>
      </c>
      <c r="C4400" t="s">
        <v>88</v>
      </c>
      <c r="D4400" t="s">
        <v>4104</v>
      </c>
      <c r="E4400" t="s">
        <v>692</v>
      </c>
      <c r="F4400" t="s">
        <v>88</v>
      </c>
      <c r="G4400" t="s">
        <v>88</v>
      </c>
      <c r="H4400" t="s">
        <v>92</v>
      </c>
    </row>
    <row r="4401" spans="1:8" x14ac:dyDescent="0.25">
      <c r="A4401" t="s">
        <v>224</v>
      </c>
      <c r="B4401" t="s">
        <v>4113</v>
      </c>
      <c r="C4401" t="s">
        <v>88</v>
      </c>
      <c r="D4401" t="s">
        <v>4104</v>
      </c>
      <c r="E4401" t="s">
        <v>692</v>
      </c>
      <c r="F4401" t="s">
        <v>88</v>
      </c>
      <c r="G4401" t="s">
        <v>88</v>
      </c>
      <c r="H4401" t="s">
        <v>92</v>
      </c>
    </row>
    <row r="4402" spans="1:8" x14ac:dyDescent="0.25">
      <c r="A4402" t="s">
        <v>224</v>
      </c>
      <c r="B4402" t="s">
        <v>4100</v>
      </c>
      <c r="C4402" t="s">
        <v>88</v>
      </c>
      <c r="D4402" t="s">
        <v>4101</v>
      </c>
      <c r="E4402" t="s">
        <v>702</v>
      </c>
      <c r="F4402" t="s">
        <v>88</v>
      </c>
      <c r="G4402" t="s">
        <v>88</v>
      </c>
      <c r="H4402" t="s">
        <v>92</v>
      </c>
    </row>
    <row r="4403" spans="1:8" x14ac:dyDescent="0.25">
      <c r="A4403" t="s">
        <v>224</v>
      </c>
      <c r="B4403" t="s">
        <v>4114</v>
      </c>
      <c r="C4403" t="s">
        <v>88</v>
      </c>
      <c r="D4403" t="s">
        <v>4101</v>
      </c>
      <c r="E4403" t="s">
        <v>715</v>
      </c>
      <c r="F4403" t="s">
        <v>88</v>
      </c>
      <c r="G4403" t="s">
        <v>88</v>
      </c>
      <c r="H4403" t="s">
        <v>92</v>
      </c>
    </row>
    <row r="4404" spans="1:8" x14ac:dyDescent="0.25">
      <c r="A4404" t="s">
        <v>224</v>
      </c>
      <c r="B4404" t="s">
        <v>736</v>
      </c>
      <c r="C4404" t="s">
        <v>88</v>
      </c>
      <c r="D4404" t="s">
        <v>4101</v>
      </c>
      <c r="E4404" t="s">
        <v>780</v>
      </c>
      <c r="F4404" t="s">
        <v>88</v>
      </c>
      <c r="G4404" t="s">
        <v>88</v>
      </c>
      <c r="H4404" t="s">
        <v>92</v>
      </c>
    </row>
    <row r="4405" spans="1:8" x14ac:dyDescent="0.25">
      <c r="A4405" t="s">
        <v>224</v>
      </c>
      <c r="B4405" t="s">
        <v>739</v>
      </c>
      <c r="C4405" t="s">
        <v>88</v>
      </c>
      <c r="D4405" t="s">
        <v>4101</v>
      </c>
      <c r="E4405" t="s">
        <v>959</v>
      </c>
      <c r="F4405" t="s">
        <v>88</v>
      </c>
      <c r="G4405" t="s">
        <v>88</v>
      </c>
      <c r="H4405" t="s">
        <v>92</v>
      </c>
    </row>
    <row r="4406" spans="1:8" x14ac:dyDescent="0.25">
      <c r="A4406" t="s">
        <v>224</v>
      </c>
      <c r="B4406" t="s">
        <v>925</v>
      </c>
      <c r="C4406" t="s">
        <v>88</v>
      </c>
      <c r="D4406" t="s">
        <v>4101</v>
      </c>
      <c r="E4406" t="s">
        <v>780</v>
      </c>
      <c r="F4406" t="s">
        <v>88</v>
      </c>
      <c r="G4406" t="s">
        <v>88</v>
      </c>
      <c r="H4406" t="s">
        <v>92</v>
      </c>
    </row>
    <row r="4407" spans="1:8" x14ac:dyDescent="0.25">
      <c r="A4407" t="s">
        <v>224</v>
      </c>
      <c r="B4407" t="s">
        <v>4115</v>
      </c>
      <c r="C4407" t="s">
        <v>88</v>
      </c>
      <c r="D4407" t="s">
        <v>4101</v>
      </c>
      <c r="E4407" t="s">
        <v>937</v>
      </c>
      <c r="F4407" t="s">
        <v>88</v>
      </c>
      <c r="G4407" t="s">
        <v>88</v>
      </c>
      <c r="H4407" t="s">
        <v>92</v>
      </c>
    </row>
    <row r="4408" spans="1:8" x14ac:dyDescent="0.25">
      <c r="A4408" t="s">
        <v>224</v>
      </c>
      <c r="B4408" t="s">
        <v>4116</v>
      </c>
      <c r="C4408" t="s">
        <v>88</v>
      </c>
      <c r="D4408" t="s">
        <v>4101</v>
      </c>
      <c r="E4408" t="s">
        <v>780</v>
      </c>
      <c r="F4408" t="s">
        <v>88</v>
      </c>
      <c r="G4408" t="s">
        <v>88</v>
      </c>
      <c r="H4408" t="s">
        <v>92</v>
      </c>
    </row>
    <row r="4409" spans="1:8" x14ac:dyDescent="0.25">
      <c r="A4409" t="s">
        <v>224</v>
      </c>
      <c r="B4409" t="s">
        <v>3556</v>
      </c>
      <c r="C4409" t="s">
        <v>88</v>
      </c>
      <c r="D4409" t="s">
        <v>4117</v>
      </c>
      <c r="E4409" t="s">
        <v>692</v>
      </c>
      <c r="F4409" t="s">
        <v>88</v>
      </c>
      <c r="G4409" t="s">
        <v>88</v>
      </c>
      <c r="H4409" t="s">
        <v>92</v>
      </c>
    </row>
    <row r="4410" spans="1:8" x14ac:dyDescent="0.25">
      <c r="A4410" t="s">
        <v>224</v>
      </c>
      <c r="B4410" t="s">
        <v>3550</v>
      </c>
      <c r="C4410" t="s">
        <v>88</v>
      </c>
      <c r="D4410" t="s">
        <v>4117</v>
      </c>
      <c r="E4410" t="s">
        <v>692</v>
      </c>
      <c r="F4410" t="s">
        <v>88</v>
      </c>
      <c r="G4410" t="s">
        <v>88</v>
      </c>
      <c r="H4410" t="s">
        <v>92</v>
      </c>
    </row>
    <row r="4411" spans="1:8" x14ac:dyDescent="0.25">
      <c r="A4411" t="s">
        <v>224</v>
      </c>
      <c r="B4411" t="s">
        <v>3374</v>
      </c>
      <c r="C4411" t="s">
        <v>88</v>
      </c>
      <c r="D4411" t="s">
        <v>88</v>
      </c>
      <c r="E4411" t="s">
        <v>735</v>
      </c>
      <c r="F4411" t="s">
        <v>88</v>
      </c>
      <c r="G4411" t="s">
        <v>88</v>
      </c>
      <c r="H4411" t="s">
        <v>92</v>
      </c>
    </row>
    <row r="4412" spans="1:8" x14ac:dyDescent="0.25">
      <c r="A4412" t="s">
        <v>224</v>
      </c>
      <c r="B4412" t="s">
        <v>4118</v>
      </c>
      <c r="C4412" t="s">
        <v>88</v>
      </c>
      <c r="D4412" t="s">
        <v>88</v>
      </c>
      <c r="E4412" t="s">
        <v>735</v>
      </c>
      <c r="F4412" t="s">
        <v>88</v>
      </c>
      <c r="G4412" t="s">
        <v>88</v>
      </c>
      <c r="H4412" t="s">
        <v>92</v>
      </c>
    </row>
    <row r="4413" spans="1:8" x14ac:dyDescent="0.25">
      <c r="A4413" t="s">
        <v>224</v>
      </c>
      <c r="B4413" t="s">
        <v>2741</v>
      </c>
      <c r="C4413" t="s">
        <v>88</v>
      </c>
      <c r="D4413" t="s">
        <v>88</v>
      </c>
      <c r="E4413" t="s">
        <v>732</v>
      </c>
      <c r="F4413" t="s">
        <v>88</v>
      </c>
      <c r="G4413" t="s">
        <v>88</v>
      </c>
      <c r="H4413" t="s">
        <v>92</v>
      </c>
    </row>
    <row r="4414" spans="1:8" x14ac:dyDescent="0.25">
      <c r="A4414" t="s">
        <v>224</v>
      </c>
      <c r="B4414" t="s">
        <v>4119</v>
      </c>
      <c r="C4414" t="s">
        <v>88</v>
      </c>
      <c r="D4414" t="s">
        <v>88</v>
      </c>
      <c r="E4414" t="s">
        <v>709</v>
      </c>
      <c r="F4414" t="s">
        <v>88</v>
      </c>
      <c r="G4414" t="s">
        <v>88</v>
      </c>
      <c r="H4414" t="s">
        <v>92</v>
      </c>
    </row>
    <row r="4415" spans="1:8" x14ac:dyDescent="0.25">
      <c r="A4415" t="s">
        <v>224</v>
      </c>
      <c r="B4415" t="s">
        <v>4120</v>
      </c>
      <c r="C4415" t="s">
        <v>88</v>
      </c>
      <c r="D4415" t="s">
        <v>4121</v>
      </c>
      <c r="E4415" t="s">
        <v>641</v>
      </c>
      <c r="F4415" t="s">
        <v>88</v>
      </c>
      <c r="G4415" t="s">
        <v>88</v>
      </c>
      <c r="H4415" t="s">
        <v>92</v>
      </c>
    </row>
    <row r="4416" spans="1:8" x14ac:dyDescent="0.25">
      <c r="A4416" t="s">
        <v>224</v>
      </c>
      <c r="B4416" t="s">
        <v>4122</v>
      </c>
      <c r="C4416" t="s">
        <v>88</v>
      </c>
      <c r="D4416" t="s">
        <v>4123</v>
      </c>
      <c r="E4416" t="s">
        <v>814</v>
      </c>
      <c r="F4416" t="s">
        <v>88</v>
      </c>
      <c r="G4416" t="s">
        <v>88</v>
      </c>
      <c r="H4416" t="s">
        <v>92</v>
      </c>
    </row>
    <row r="4417" spans="1:8" x14ac:dyDescent="0.25">
      <c r="A4417" t="s">
        <v>224</v>
      </c>
      <c r="B4417" t="s">
        <v>4124</v>
      </c>
      <c r="C4417" t="s">
        <v>88</v>
      </c>
      <c r="D4417" t="s">
        <v>4123</v>
      </c>
      <c r="E4417" t="s">
        <v>4125</v>
      </c>
      <c r="F4417" t="s">
        <v>88</v>
      </c>
      <c r="G4417" t="s">
        <v>88</v>
      </c>
      <c r="H4417" t="s">
        <v>92</v>
      </c>
    </row>
    <row r="4418" spans="1:8" x14ac:dyDescent="0.25">
      <c r="A4418" t="s">
        <v>224</v>
      </c>
      <c r="B4418" t="s">
        <v>4126</v>
      </c>
      <c r="C4418" t="s">
        <v>88</v>
      </c>
      <c r="D4418" t="s">
        <v>4123</v>
      </c>
      <c r="E4418" t="s">
        <v>4125</v>
      </c>
      <c r="F4418" t="s">
        <v>88</v>
      </c>
      <c r="G4418" t="s">
        <v>88</v>
      </c>
      <c r="H4418" t="s">
        <v>92</v>
      </c>
    </row>
    <row r="4419" spans="1:8" x14ac:dyDescent="0.25">
      <c r="A4419" t="s">
        <v>224</v>
      </c>
      <c r="B4419" t="s">
        <v>4127</v>
      </c>
      <c r="C4419" t="s">
        <v>88</v>
      </c>
      <c r="D4419" t="s">
        <v>4123</v>
      </c>
      <c r="E4419" t="s">
        <v>814</v>
      </c>
      <c r="F4419" t="s">
        <v>88</v>
      </c>
      <c r="G4419" t="s">
        <v>88</v>
      </c>
      <c r="H4419" t="s">
        <v>92</v>
      </c>
    </row>
    <row r="4420" spans="1:8" x14ac:dyDescent="0.25">
      <c r="A4420" t="s">
        <v>224</v>
      </c>
      <c r="B4420" t="s">
        <v>4128</v>
      </c>
      <c r="C4420" t="s">
        <v>88</v>
      </c>
      <c r="D4420" t="s">
        <v>4123</v>
      </c>
      <c r="E4420" t="s">
        <v>4125</v>
      </c>
      <c r="F4420" t="s">
        <v>88</v>
      </c>
      <c r="G4420" t="s">
        <v>88</v>
      </c>
      <c r="H4420" t="s">
        <v>92</v>
      </c>
    </row>
    <row r="4421" spans="1:8" x14ac:dyDescent="0.25">
      <c r="A4421" t="s">
        <v>224</v>
      </c>
      <c r="B4421" t="s">
        <v>2776</v>
      </c>
      <c r="C4421" t="s">
        <v>88</v>
      </c>
      <c r="D4421" t="s">
        <v>4123</v>
      </c>
      <c r="E4421" t="s">
        <v>4125</v>
      </c>
      <c r="F4421" t="s">
        <v>88</v>
      </c>
      <c r="G4421" t="s">
        <v>88</v>
      </c>
      <c r="H4421" t="s">
        <v>92</v>
      </c>
    </row>
    <row r="4422" spans="1:8" x14ac:dyDescent="0.25">
      <c r="A4422" t="s">
        <v>224</v>
      </c>
      <c r="B4422" t="s">
        <v>2418</v>
      </c>
      <c r="C4422" t="s">
        <v>88</v>
      </c>
      <c r="D4422" t="s">
        <v>4121</v>
      </c>
      <c r="E4422" t="s">
        <v>641</v>
      </c>
      <c r="F4422" t="s">
        <v>88</v>
      </c>
      <c r="G4422" t="s">
        <v>88</v>
      </c>
      <c r="H4422" t="s">
        <v>92</v>
      </c>
    </row>
    <row r="4423" spans="1:8" x14ac:dyDescent="0.25">
      <c r="A4423" t="s">
        <v>224</v>
      </c>
      <c r="B4423" t="s">
        <v>4129</v>
      </c>
      <c r="C4423" t="s">
        <v>88</v>
      </c>
      <c r="D4423" t="s">
        <v>4130</v>
      </c>
      <c r="E4423" t="s">
        <v>841</v>
      </c>
      <c r="F4423" t="s">
        <v>88</v>
      </c>
      <c r="G4423" t="s">
        <v>88</v>
      </c>
      <c r="H4423" t="s">
        <v>92</v>
      </c>
    </row>
    <row r="4424" spans="1:8" x14ac:dyDescent="0.25">
      <c r="A4424" t="s">
        <v>224</v>
      </c>
      <c r="B4424" t="s">
        <v>1232</v>
      </c>
      <c r="C4424" t="s">
        <v>88</v>
      </c>
      <c r="D4424" t="s">
        <v>4130</v>
      </c>
      <c r="E4424" t="s">
        <v>964</v>
      </c>
      <c r="F4424" t="s">
        <v>88</v>
      </c>
      <c r="G4424" t="s">
        <v>88</v>
      </c>
      <c r="H4424" t="s">
        <v>92</v>
      </c>
    </row>
    <row r="4425" spans="1:8" x14ac:dyDescent="0.25">
      <c r="A4425" t="s">
        <v>224</v>
      </c>
      <c r="B4425" t="s">
        <v>4131</v>
      </c>
      <c r="C4425" t="s">
        <v>88</v>
      </c>
      <c r="D4425" t="s">
        <v>4130</v>
      </c>
      <c r="E4425" t="s">
        <v>964</v>
      </c>
      <c r="F4425" t="s">
        <v>88</v>
      </c>
      <c r="G4425" t="s">
        <v>88</v>
      </c>
      <c r="H4425" t="s">
        <v>92</v>
      </c>
    </row>
    <row r="4426" spans="1:8" x14ac:dyDescent="0.25">
      <c r="A4426" t="s">
        <v>224</v>
      </c>
      <c r="B4426" t="s">
        <v>4132</v>
      </c>
      <c r="C4426" t="s">
        <v>88</v>
      </c>
      <c r="D4426" t="s">
        <v>4130</v>
      </c>
      <c r="E4426" t="s">
        <v>841</v>
      </c>
      <c r="F4426" t="s">
        <v>88</v>
      </c>
      <c r="G4426" t="s">
        <v>88</v>
      </c>
      <c r="H4426" t="s">
        <v>92</v>
      </c>
    </row>
    <row r="4427" spans="1:8" x14ac:dyDescent="0.25">
      <c r="A4427" t="s">
        <v>224</v>
      </c>
      <c r="B4427" t="s">
        <v>1234</v>
      </c>
      <c r="C4427" t="s">
        <v>88</v>
      </c>
      <c r="D4427" t="s">
        <v>4117</v>
      </c>
      <c r="E4427" t="s">
        <v>676</v>
      </c>
      <c r="F4427" t="s">
        <v>88</v>
      </c>
      <c r="G4427" t="s">
        <v>88</v>
      </c>
      <c r="H4427" t="s">
        <v>92</v>
      </c>
    </row>
    <row r="4428" spans="1:8" x14ac:dyDescent="0.25">
      <c r="A4428" t="s">
        <v>224</v>
      </c>
      <c r="B4428" t="s">
        <v>2417</v>
      </c>
      <c r="C4428" t="s">
        <v>88</v>
      </c>
      <c r="D4428" t="s">
        <v>4117</v>
      </c>
      <c r="E4428" t="s">
        <v>676</v>
      </c>
      <c r="F4428" t="s">
        <v>88</v>
      </c>
      <c r="G4428" t="s">
        <v>88</v>
      </c>
      <c r="H4428" t="s">
        <v>92</v>
      </c>
    </row>
    <row r="4429" spans="1:8" x14ac:dyDescent="0.25">
      <c r="A4429" t="s">
        <v>224</v>
      </c>
      <c r="B4429" t="s">
        <v>1237</v>
      </c>
      <c r="C4429" t="s">
        <v>88</v>
      </c>
      <c r="D4429" t="s">
        <v>4117</v>
      </c>
      <c r="E4429" t="s">
        <v>964</v>
      </c>
      <c r="F4429" t="s">
        <v>88</v>
      </c>
      <c r="G4429" t="s">
        <v>88</v>
      </c>
      <c r="H4429" t="s">
        <v>92</v>
      </c>
    </row>
    <row r="4430" spans="1:8" x14ac:dyDescent="0.25">
      <c r="A4430" t="s">
        <v>224</v>
      </c>
      <c r="B4430" t="s">
        <v>612</v>
      </c>
      <c r="C4430" t="s">
        <v>88</v>
      </c>
      <c r="D4430" t="s">
        <v>88</v>
      </c>
      <c r="E4430" t="s">
        <v>709</v>
      </c>
      <c r="F4430" t="s">
        <v>88</v>
      </c>
      <c r="G4430" t="s">
        <v>88</v>
      </c>
      <c r="H4430" t="s">
        <v>92</v>
      </c>
    </row>
    <row r="4431" spans="1:8" x14ac:dyDescent="0.25">
      <c r="A4431" t="s">
        <v>224</v>
      </c>
      <c r="B4431" t="s">
        <v>614</v>
      </c>
      <c r="C4431" t="s">
        <v>88</v>
      </c>
      <c r="D4431" t="s">
        <v>88</v>
      </c>
      <c r="E4431" t="s">
        <v>709</v>
      </c>
      <c r="F4431" t="s">
        <v>88</v>
      </c>
      <c r="G4431" t="s">
        <v>88</v>
      </c>
      <c r="H4431" t="s">
        <v>92</v>
      </c>
    </row>
    <row r="4432" spans="1:8" x14ac:dyDescent="0.25">
      <c r="A4432" t="s">
        <v>224</v>
      </c>
      <c r="B4432" t="s">
        <v>615</v>
      </c>
      <c r="C4432" t="s">
        <v>88</v>
      </c>
      <c r="D4432" t="s">
        <v>88</v>
      </c>
      <c r="E4432" t="s">
        <v>709</v>
      </c>
      <c r="F4432" t="s">
        <v>88</v>
      </c>
      <c r="G4432" t="s">
        <v>88</v>
      </c>
      <c r="H4432" t="s">
        <v>92</v>
      </c>
    </row>
    <row r="4433" spans="1:8" x14ac:dyDescent="0.25">
      <c r="A4433" t="s">
        <v>224</v>
      </c>
      <c r="B4433" t="s">
        <v>616</v>
      </c>
      <c r="C4433" t="s">
        <v>88</v>
      </c>
      <c r="D4433" t="s">
        <v>88</v>
      </c>
      <c r="E4433" t="s">
        <v>709</v>
      </c>
      <c r="F4433" t="s">
        <v>88</v>
      </c>
      <c r="G4433" t="s">
        <v>88</v>
      </c>
      <c r="H4433" t="s">
        <v>92</v>
      </c>
    </row>
    <row r="4434" spans="1:8" x14ac:dyDescent="0.25">
      <c r="A4434" t="s">
        <v>224</v>
      </c>
      <c r="B4434" t="s">
        <v>3242</v>
      </c>
      <c r="C4434" t="s">
        <v>88</v>
      </c>
      <c r="D4434" t="s">
        <v>88</v>
      </c>
      <c r="E4434" t="s">
        <v>709</v>
      </c>
      <c r="F4434" t="s">
        <v>88</v>
      </c>
      <c r="G4434" t="s">
        <v>88</v>
      </c>
      <c r="H4434" t="s">
        <v>92</v>
      </c>
    </row>
    <row r="4435" spans="1:8" x14ac:dyDescent="0.25">
      <c r="A4435" t="s">
        <v>224</v>
      </c>
      <c r="B4435" t="s">
        <v>4133</v>
      </c>
      <c r="C4435" t="s">
        <v>88</v>
      </c>
      <c r="D4435" t="s">
        <v>88</v>
      </c>
      <c r="E4435" t="s">
        <v>709</v>
      </c>
      <c r="F4435" t="s">
        <v>88</v>
      </c>
      <c r="G4435" t="s">
        <v>88</v>
      </c>
      <c r="H4435" t="s">
        <v>92</v>
      </c>
    </row>
    <row r="4436" spans="1:8" x14ac:dyDescent="0.25">
      <c r="A4436" t="s">
        <v>224</v>
      </c>
      <c r="B4436" t="s">
        <v>733</v>
      </c>
      <c r="C4436" t="s">
        <v>88</v>
      </c>
      <c r="D4436" t="s">
        <v>88</v>
      </c>
      <c r="E4436" t="s">
        <v>709</v>
      </c>
      <c r="F4436" t="s">
        <v>88</v>
      </c>
      <c r="G4436" t="s">
        <v>88</v>
      </c>
      <c r="H4436" t="s">
        <v>92</v>
      </c>
    </row>
    <row r="4437" spans="1:8" x14ac:dyDescent="0.25">
      <c r="A4437" t="s">
        <v>224</v>
      </c>
      <c r="B4437" t="s">
        <v>926</v>
      </c>
      <c r="C4437" t="s">
        <v>88</v>
      </c>
      <c r="D4437" t="s">
        <v>88</v>
      </c>
      <c r="E4437" t="s">
        <v>735</v>
      </c>
      <c r="F4437" t="s">
        <v>88</v>
      </c>
      <c r="G4437" t="s">
        <v>88</v>
      </c>
      <c r="H4437" t="s">
        <v>92</v>
      </c>
    </row>
    <row r="4438" spans="1:8" x14ac:dyDescent="0.25">
      <c r="A4438" t="s">
        <v>224</v>
      </c>
      <c r="B4438" t="s">
        <v>620</v>
      </c>
      <c r="C4438" t="s">
        <v>88</v>
      </c>
      <c r="D4438" t="s">
        <v>88</v>
      </c>
      <c r="E4438" t="s">
        <v>711</v>
      </c>
      <c r="F4438" t="s">
        <v>88</v>
      </c>
      <c r="G4438" t="s">
        <v>88</v>
      </c>
      <c r="H4438" t="s">
        <v>92</v>
      </c>
    </row>
    <row r="4439" spans="1:8" x14ac:dyDescent="0.25">
      <c r="A4439" t="s">
        <v>224</v>
      </c>
      <c r="B4439" t="s">
        <v>622</v>
      </c>
      <c r="C4439" t="s">
        <v>88</v>
      </c>
      <c r="D4439" t="s">
        <v>88</v>
      </c>
      <c r="E4439" t="s">
        <v>735</v>
      </c>
      <c r="F4439" t="s">
        <v>88</v>
      </c>
      <c r="G4439" t="s">
        <v>88</v>
      </c>
      <c r="H4439" t="s">
        <v>92</v>
      </c>
    </row>
    <row r="4440" spans="1:8" x14ac:dyDescent="0.25">
      <c r="A4440" t="s">
        <v>224</v>
      </c>
      <c r="B4440" t="s">
        <v>623</v>
      </c>
      <c r="C4440" t="s">
        <v>88</v>
      </c>
      <c r="D4440" t="s">
        <v>88</v>
      </c>
      <c r="E4440" t="s">
        <v>849</v>
      </c>
      <c r="F4440" t="s">
        <v>88</v>
      </c>
      <c r="G4440" t="s">
        <v>88</v>
      </c>
      <c r="H4440" t="s">
        <v>92</v>
      </c>
    </row>
    <row r="4441" spans="1:8" x14ac:dyDescent="0.25">
      <c r="A4441" t="s">
        <v>224</v>
      </c>
      <c r="B4441" t="s">
        <v>798</v>
      </c>
      <c r="C4441" t="s">
        <v>88</v>
      </c>
      <c r="D4441" t="s">
        <v>88</v>
      </c>
      <c r="E4441" t="s">
        <v>732</v>
      </c>
      <c r="F4441" t="s">
        <v>88</v>
      </c>
      <c r="G4441" t="s">
        <v>88</v>
      </c>
      <c r="H4441" t="s">
        <v>92</v>
      </c>
    </row>
    <row r="4442" spans="1:8" x14ac:dyDescent="0.25">
      <c r="A4442" t="s">
        <v>224</v>
      </c>
      <c r="B4442" t="s">
        <v>1907</v>
      </c>
      <c r="C4442" t="s">
        <v>88</v>
      </c>
      <c r="D4442" t="s">
        <v>88</v>
      </c>
      <c r="E4442" t="s">
        <v>732</v>
      </c>
      <c r="F4442" t="s">
        <v>88</v>
      </c>
      <c r="G4442" t="s">
        <v>88</v>
      </c>
      <c r="H4442" t="s">
        <v>92</v>
      </c>
    </row>
    <row r="4443" spans="1:8" x14ac:dyDescent="0.25">
      <c r="A4443" t="s">
        <v>224</v>
      </c>
      <c r="B4443" t="s">
        <v>982</v>
      </c>
      <c r="C4443" t="s">
        <v>88</v>
      </c>
      <c r="D4443" t="s">
        <v>88</v>
      </c>
      <c r="E4443" t="s">
        <v>732</v>
      </c>
      <c r="F4443" t="s">
        <v>88</v>
      </c>
      <c r="G4443" t="s">
        <v>88</v>
      </c>
      <c r="H4443" t="s">
        <v>92</v>
      </c>
    </row>
    <row r="4444" spans="1:8" x14ac:dyDescent="0.25">
      <c r="A4444" t="s">
        <v>224</v>
      </c>
      <c r="B4444" t="s">
        <v>1908</v>
      </c>
      <c r="C4444" t="s">
        <v>88</v>
      </c>
      <c r="D4444" t="s">
        <v>88</v>
      </c>
      <c r="E4444" t="s">
        <v>732</v>
      </c>
      <c r="F4444" t="s">
        <v>88</v>
      </c>
      <c r="G4444" t="s">
        <v>88</v>
      </c>
      <c r="H4444" t="s">
        <v>92</v>
      </c>
    </row>
    <row r="4445" spans="1:8" x14ac:dyDescent="0.25">
      <c r="A4445" t="s">
        <v>224</v>
      </c>
      <c r="B4445" t="s">
        <v>4134</v>
      </c>
      <c r="C4445" t="s">
        <v>88</v>
      </c>
      <c r="D4445" t="s">
        <v>88</v>
      </c>
      <c r="E4445" t="s">
        <v>732</v>
      </c>
      <c r="F4445" t="s">
        <v>88</v>
      </c>
      <c r="G4445" t="s">
        <v>88</v>
      </c>
      <c r="H4445" t="s">
        <v>92</v>
      </c>
    </row>
    <row r="4446" spans="1:8" x14ac:dyDescent="0.25">
      <c r="A4446" t="s">
        <v>224</v>
      </c>
      <c r="B4446" t="s">
        <v>625</v>
      </c>
      <c r="C4446" t="s">
        <v>88</v>
      </c>
      <c r="D4446" t="s">
        <v>88</v>
      </c>
      <c r="E4446" t="s">
        <v>626</v>
      </c>
      <c r="F4446" t="s">
        <v>88</v>
      </c>
      <c r="G4446" t="s">
        <v>88</v>
      </c>
      <c r="H4446" t="s">
        <v>92</v>
      </c>
    </row>
    <row r="4447" spans="1:8" x14ac:dyDescent="0.25">
      <c r="A4447" t="s">
        <v>226</v>
      </c>
      <c r="B4447" t="s">
        <v>4026</v>
      </c>
      <c r="C4447" t="s">
        <v>88</v>
      </c>
      <c r="D4447" t="s">
        <v>88</v>
      </c>
      <c r="E4447" t="s">
        <v>3593</v>
      </c>
      <c r="F4447" t="s">
        <v>88</v>
      </c>
      <c r="G4447" t="s">
        <v>88</v>
      </c>
      <c r="H4447" t="s">
        <v>92</v>
      </c>
    </row>
    <row r="4448" spans="1:8" x14ac:dyDescent="0.25">
      <c r="A4448" t="s">
        <v>226</v>
      </c>
      <c r="B4448" t="s">
        <v>4135</v>
      </c>
      <c r="C4448" t="s">
        <v>88</v>
      </c>
      <c r="D4448" t="s">
        <v>88</v>
      </c>
      <c r="E4448" t="s">
        <v>1255</v>
      </c>
      <c r="F4448" t="s">
        <v>88</v>
      </c>
      <c r="G4448" t="s">
        <v>88</v>
      </c>
      <c r="H4448" t="s">
        <v>92</v>
      </c>
    </row>
    <row r="4449" spans="1:8" x14ac:dyDescent="0.25">
      <c r="A4449" t="s">
        <v>226</v>
      </c>
      <c r="B4449" t="s">
        <v>4136</v>
      </c>
      <c r="C4449" t="s">
        <v>88</v>
      </c>
      <c r="D4449" t="s">
        <v>88</v>
      </c>
      <c r="E4449" t="s">
        <v>1241</v>
      </c>
      <c r="F4449" t="s">
        <v>88</v>
      </c>
      <c r="G4449" t="s">
        <v>88</v>
      </c>
      <c r="H4449" t="s">
        <v>92</v>
      </c>
    </row>
    <row r="4450" spans="1:8" x14ac:dyDescent="0.25">
      <c r="A4450" t="s">
        <v>226</v>
      </c>
      <c r="B4450" t="s">
        <v>4137</v>
      </c>
      <c r="C4450" t="s">
        <v>88</v>
      </c>
      <c r="D4450" t="s">
        <v>88</v>
      </c>
      <c r="E4450" t="s">
        <v>893</v>
      </c>
      <c r="F4450" t="s">
        <v>88</v>
      </c>
      <c r="G4450" t="s">
        <v>88</v>
      </c>
      <c r="H4450" t="s">
        <v>92</v>
      </c>
    </row>
    <row r="4451" spans="1:8" x14ac:dyDescent="0.25">
      <c r="A4451" t="s">
        <v>226</v>
      </c>
      <c r="B4451" t="s">
        <v>1659</v>
      </c>
      <c r="C4451" t="s">
        <v>88</v>
      </c>
      <c r="D4451" t="s">
        <v>88</v>
      </c>
      <c r="E4451" t="s">
        <v>893</v>
      </c>
      <c r="F4451" t="s">
        <v>88</v>
      </c>
      <c r="G4451" t="s">
        <v>88</v>
      </c>
      <c r="H4451" t="s">
        <v>92</v>
      </c>
    </row>
    <row r="4452" spans="1:8" x14ac:dyDescent="0.25">
      <c r="A4452" t="s">
        <v>226</v>
      </c>
      <c r="B4452" t="s">
        <v>4138</v>
      </c>
      <c r="C4452" t="s">
        <v>88</v>
      </c>
      <c r="D4452" t="s">
        <v>88</v>
      </c>
      <c r="E4452" t="s">
        <v>1006</v>
      </c>
      <c r="F4452" t="s">
        <v>88</v>
      </c>
      <c r="G4452" t="s">
        <v>88</v>
      </c>
      <c r="H4452" t="s">
        <v>92</v>
      </c>
    </row>
    <row r="4453" spans="1:8" x14ac:dyDescent="0.25">
      <c r="A4453" t="s">
        <v>226</v>
      </c>
      <c r="B4453" t="s">
        <v>4139</v>
      </c>
      <c r="C4453" t="s">
        <v>88</v>
      </c>
      <c r="D4453" t="s">
        <v>772</v>
      </c>
      <c r="E4453" t="s">
        <v>723</v>
      </c>
      <c r="F4453" t="s">
        <v>88</v>
      </c>
      <c r="G4453" t="s">
        <v>88</v>
      </c>
      <c r="H4453" t="s">
        <v>92</v>
      </c>
    </row>
    <row r="4454" spans="1:8" x14ac:dyDescent="0.25">
      <c r="A4454" t="s">
        <v>226</v>
      </c>
      <c r="B4454" t="s">
        <v>4140</v>
      </c>
      <c r="C4454" t="s">
        <v>88</v>
      </c>
      <c r="D4454" t="s">
        <v>772</v>
      </c>
      <c r="E4454" t="s">
        <v>679</v>
      </c>
      <c r="F4454" t="s">
        <v>88</v>
      </c>
      <c r="G4454" t="s">
        <v>88</v>
      </c>
      <c r="H4454" t="s">
        <v>92</v>
      </c>
    </row>
    <row r="4455" spans="1:8" x14ac:dyDescent="0.25">
      <c r="A4455" t="s">
        <v>226</v>
      </c>
      <c r="B4455" t="s">
        <v>4141</v>
      </c>
      <c r="C4455" t="s">
        <v>88</v>
      </c>
      <c r="D4455" t="s">
        <v>772</v>
      </c>
      <c r="E4455" t="s">
        <v>658</v>
      </c>
      <c r="F4455" t="s">
        <v>88</v>
      </c>
      <c r="G4455" t="s">
        <v>88</v>
      </c>
      <c r="H4455" t="s">
        <v>92</v>
      </c>
    </row>
    <row r="4456" spans="1:8" x14ac:dyDescent="0.25">
      <c r="A4456" t="s">
        <v>226</v>
      </c>
      <c r="B4456" t="s">
        <v>4142</v>
      </c>
      <c r="C4456" t="s">
        <v>88</v>
      </c>
      <c r="D4456" t="s">
        <v>772</v>
      </c>
      <c r="E4456" t="s">
        <v>717</v>
      </c>
      <c r="F4456" t="s">
        <v>88</v>
      </c>
      <c r="G4456" t="s">
        <v>88</v>
      </c>
      <c r="H4456" t="s">
        <v>92</v>
      </c>
    </row>
    <row r="4457" spans="1:8" x14ac:dyDescent="0.25">
      <c r="A4457" t="s">
        <v>226</v>
      </c>
      <c r="B4457" t="s">
        <v>4143</v>
      </c>
      <c r="C4457" t="s">
        <v>88</v>
      </c>
      <c r="D4457" t="s">
        <v>772</v>
      </c>
      <c r="E4457" t="s">
        <v>655</v>
      </c>
      <c r="F4457" t="s">
        <v>88</v>
      </c>
      <c r="G4457" t="s">
        <v>88</v>
      </c>
      <c r="H4457" t="s">
        <v>92</v>
      </c>
    </row>
    <row r="4458" spans="1:8" x14ac:dyDescent="0.25">
      <c r="A4458" t="s">
        <v>226</v>
      </c>
      <c r="B4458" t="s">
        <v>4144</v>
      </c>
      <c r="C4458" t="s">
        <v>88</v>
      </c>
      <c r="D4458" t="s">
        <v>772</v>
      </c>
      <c r="E4458" t="s">
        <v>844</v>
      </c>
      <c r="F4458" t="s">
        <v>88</v>
      </c>
      <c r="G4458" t="s">
        <v>88</v>
      </c>
      <c r="H4458" t="s">
        <v>92</v>
      </c>
    </row>
    <row r="4459" spans="1:8" x14ac:dyDescent="0.25">
      <c r="A4459" t="s">
        <v>226</v>
      </c>
      <c r="B4459" t="s">
        <v>4145</v>
      </c>
      <c r="C4459" t="s">
        <v>88</v>
      </c>
      <c r="D4459" t="s">
        <v>772</v>
      </c>
      <c r="E4459" t="s">
        <v>679</v>
      </c>
      <c r="F4459" t="s">
        <v>88</v>
      </c>
      <c r="G4459" t="s">
        <v>88</v>
      </c>
      <c r="H4459" t="s">
        <v>92</v>
      </c>
    </row>
    <row r="4460" spans="1:8" x14ac:dyDescent="0.25">
      <c r="A4460" t="s">
        <v>226</v>
      </c>
      <c r="B4460" t="s">
        <v>4146</v>
      </c>
      <c r="C4460" t="s">
        <v>88</v>
      </c>
      <c r="D4460" t="s">
        <v>772</v>
      </c>
      <c r="E4460" t="s">
        <v>658</v>
      </c>
      <c r="F4460" t="s">
        <v>88</v>
      </c>
      <c r="G4460" t="s">
        <v>88</v>
      </c>
      <c r="H4460" t="s">
        <v>92</v>
      </c>
    </row>
    <row r="4461" spans="1:8" x14ac:dyDescent="0.25">
      <c r="A4461" t="s">
        <v>226</v>
      </c>
      <c r="B4461" t="s">
        <v>4147</v>
      </c>
      <c r="C4461" t="s">
        <v>88</v>
      </c>
      <c r="D4461" t="s">
        <v>772</v>
      </c>
      <c r="E4461" t="s">
        <v>717</v>
      </c>
      <c r="F4461" t="s">
        <v>88</v>
      </c>
      <c r="G4461" t="s">
        <v>88</v>
      </c>
      <c r="H4461" t="s">
        <v>92</v>
      </c>
    </row>
    <row r="4462" spans="1:8" x14ac:dyDescent="0.25">
      <c r="A4462" t="s">
        <v>226</v>
      </c>
      <c r="B4462" t="s">
        <v>4148</v>
      </c>
      <c r="C4462" t="s">
        <v>88</v>
      </c>
      <c r="D4462" t="s">
        <v>772</v>
      </c>
      <c r="E4462" t="s">
        <v>655</v>
      </c>
      <c r="F4462" t="s">
        <v>88</v>
      </c>
      <c r="G4462" t="s">
        <v>88</v>
      </c>
      <c r="H4462" t="s">
        <v>92</v>
      </c>
    </row>
    <row r="4463" spans="1:8" x14ac:dyDescent="0.25">
      <c r="A4463" t="s">
        <v>226</v>
      </c>
      <c r="B4463" t="s">
        <v>4149</v>
      </c>
      <c r="C4463" t="s">
        <v>88</v>
      </c>
      <c r="D4463" t="s">
        <v>772</v>
      </c>
      <c r="E4463" t="s">
        <v>844</v>
      </c>
      <c r="F4463" t="s">
        <v>88</v>
      </c>
      <c r="G4463" t="s">
        <v>88</v>
      </c>
      <c r="H4463" t="s">
        <v>92</v>
      </c>
    </row>
    <row r="4464" spans="1:8" x14ac:dyDescent="0.25">
      <c r="A4464" t="s">
        <v>226</v>
      </c>
      <c r="B4464" t="s">
        <v>617</v>
      </c>
      <c r="C4464" t="s">
        <v>88</v>
      </c>
      <c r="D4464" t="s">
        <v>88</v>
      </c>
      <c r="E4464" t="s">
        <v>1978</v>
      </c>
      <c r="F4464" t="s">
        <v>88</v>
      </c>
      <c r="G4464" t="s">
        <v>88</v>
      </c>
      <c r="H4464" t="s">
        <v>92</v>
      </c>
    </row>
    <row r="4465" spans="1:8" x14ac:dyDescent="0.25">
      <c r="A4465" t="s">
        <v>226</v>
      </c>
      <c r="B4465" t="s">
        <v>733</v>
      </c>
      <c r="C4465" t="s">
        <v>88</v>
      </c>
      <c r="D4465" t="s">
        <v>88</v>
      </c>
      <c r="E4465" t="s">
        <v>1978</v>
      </c>
      <c r="F4465" t="s">
        <v>88</v>
      </c>
      <c r="G4465" t="s">
        <v>88</v>
      </c>
      <c r="H4465" t="s">
        <v>92</v>
      </c>
    </row>
    <row r="4466" spans="1:8" x14ac:dyDescent="0.25">
      <c r="A4466" t="s">
        <v>226</v>
      </c>
      <c r="B4466" t="s">
        <v>4150</v>
      </c>
      <c r="C4466" t="s">
        <v>88</v>
      </c>
      <c r="D4466" t="s">
        <v>88</v>
      </c>
      <c r="E4466" t="s">
        <v>710</v>
      </c>
      <c r="F4466" t="s">
        <v>88</v>
      </c>
      <c r="G4466" t="s">
        <v>88</v>
      </c>
      <c r="H4466" t="s">
        <v>92</v>
      </c>
    </row>
    <row r="4467" spans="1:8" x14ac:dyDescent="0.25">
      <c r="A4467" t="s">
        <v>226</v>
      </c>
      <c r="B4467" t="s">
        <v>795</v>
      </c>
      <c r="C4467" t="s">
        <v>88</v>
      </c>
      <c r="D4467" t="s">
        <v>88</v>
      </c>
      <c r="E4467" t="s">
        <v>848</v>
      </c>
      <c r="F4467" t="s">
        <v>88</v>
      </c>
      <c r="G4467" t="s">
        <v>88</v>
      </c>
      <c r="H4467" t="s">
        <v>92</v>
      </c>
    </row>
    <row r="4468" spans="1:8" x14ac:dyDescent="0.25">
      <c r="A4468" t="s">
        <v>226</v>
      </c>
      <c r="B4468" t="s">
        <v>623</v>
      </c>
      <c r="C4468" t="s">
        <v>88</v>
      </c>
      <c r="D4468" t="s">
        <v>88</v>
      </c>
      <c r="E4468" t="s">
        <v>849</v>
      </c>
      <c r="F4468" t="s">
        <v>88</v>
      </c>
      <c r="G4468" t="s">
        <v>88</v>
      </c>
      <c r="H4468" t="s">
        <v>92</v>
      </c>
    </row>
    <row r="4469" spans="1:8" x14ac:dyDescent="0.25">
      <c r="A4469" t="s">
        <v>226</v>
      </c>
      <c r="B4469" t="s">
        <v>4027</v>
      </c>
      <c r="C4469" t="s">
        <v>88</v>
      </c>
      <c r="D4469" t="s">
        <v>88</v>
      </c>
      <c r="E4469" t="s">
        <v>1717</v>
      </c>
      <c r="F4469" t="s">
        <v>88</v>
      </c>
      <c r="G4469" t="s">
        <v>88</v>
      </c>
      <c r="H4469" t="s">
        <v>92</v>
      </c>
    </row>
    <row r="4470" spans="1:8" x14ac:dyDescent="0.25">
      <c r="A4470" t="s">
        <v>226</v>
      </c>
      <c r="B4470" t="s">
        <v>4151</v>
      </c>
      <c r="C4470" t="s">
        <v>88</v>
      </c>
      <c r="D4470" t="s">
        <v>4152</v>
      </c>
      <c r="E4470" t="s">
        <v>1060</v>
      </c>
      <c r="F4470" t="s">
        <v>88</v>
      </c>
      <c r="G4470" t="s">
        <v>88</v>
      </c>
      <c r="H4470" t="s">
        <v>92</v>
      </c>
    </row>
    <row r="4471" spans="1:8" x14ac:dyDescent="0.25">
      <c r="A4471" t="s">
        <v>226</v>
      </c>
      <c r="B4471" t="s">
        <v>4028</v>
      </c>
      <c r="C4471" t="s">
        <v>88</v>
      </c>
      <c r="D4471" t="s">
        <v>88</v>
      </c>
      <c r="E4471" t="s">
        <v>2016</v>
      </c>
      <c r="F4471" t="s">
        <v>88</v>
      </c>
      <c r="G4471" t="s">
        <v>88</v>
      </c>
      <c r="H4471" t="s">
        <v>92</v>
      </c>
    </row>
    <row r="4472" spans="1:8" x14ac:dyDescent="0.25">
      <c r="A4472" t="s">
        <v>226</v>
      </c>
      <c r="B4472" t="s">
        <v>4029</v>
      </c>
      <c r="C4472" t="s">
        <v>88</v>
      </c>
      <c r="D4472" t="s">
        <v>88</v>
      </c>
      <c r="E4472" t="s">
        <v>4153</v>
      </c>
      <c r="F4472" t="s">
        <v>88</v>
      </c>
      <c r="G4472" t="s">
        <v>88</v>
      </c>
      <c r="H4472" t="s">
        <v>92</v>
      </c>
    </row>
    <row r="4473" spans="1:8" x14ac:dyDescent="0.25">
      <c r="A4473" t="s">
        <v>227</v>
      </c>
      <c r="B4473" t="s">
        <v>4154</v>
      </c>
      <c r="C4473" t="s">
        <v>88</v>
      </c>
      <c r="D4473" t="s">
        <v>4155</v>
      </c>
      <c r="E4473" t="s">
        <v>964</v>
      </c>
      <c r="F4473" t="s">
        <v>88</v>
      </c>
      <c r="G4473" t="s">
        <v>88</v>
      </c>
      <c r="H4473" t="s">
        <v>92</v>
      </c>
    </row>
    <row r="4474" spans="1:8" x14ac:dyDescent="0.25">
      <c r="A4474" t="s">
        <v>227</v>
      </c>
      <c r="B4474" t="s">
        <v>4156</v>
      </c>
      <c r="C4474" t="s">
        <v>88</v>
      </c>
      <c r="D4474" t="s">
        <v>4157</v>
      </c>
      <c r="E4474" t="s">
        <v>841</v>
      </c>
      <c r="F4474" t="s">
        <v>88</v>
      </c>
      <c r="G4474" t="s">
        <v>88</v>
      </c>
      <c r="H4474" t="s">
        <v>92</v>
      </c>
    </row>
    <row r="4475" spans="1:8" x14ac:dyDescent="0.25">
      <c r="A4475" t="s">
        <v>227</v>
      </c>
      <c r="B4475" t="s">
        <v>4158</v>
      </c>
      <c r="C4475" t="s">
        <v>88</v>
      </c>
      <c r="D4475" t="s">
        <v>4159</v>
      </c>
      <c r="E4475" t="s">
        <v>673</v>
      </c>
      <c r="F4475" t="s">
        <v>88</v>
      </c>
      <c r="G4475" t="s">
        <v>88</v>
      </c>
      <c r="H4475" t="s">
        <v>92</v>
      </c>
    </row>
    <row r="4476" spans="1:8" x14ac:dyDescent="0.25">
      <c r="A4476" t="s">
        <v>227</v>
      </c>
      <c r="B4476" t="s">
        <v>4160</v>
      </c>
      <c r="C4476" t="s">
        <v>88</v>
      </c>
      <c r="D4476" t="s">
        <v>4161</v>
      </c>
      <c r="E4476" t="s">
        <v>762</v>
      </c>
      <c r="F4476" t="s">
        <v>88</v>
      </c>
      <c r="G4476" t="s">
        <v>88</v>
      </c>
      <c r="H4476" t="s">
        <v>92</v>
      </c>
    </row>
    <row r="4477" spans="1:8" x14ac:dyDescent="0.25">
      <c r="A4477" t="s">
        <v>227</v>
      </c>
      <c r="B4477" t="s">
        <v>4162</v>
      </c>
      <c r="C4477" t="s">
        <v>88</v>
      </c>
      <c r="D4477" t="s">
        <v>4163</v>
      </c>
      <c r="E4477" t="s">
        <v>655</v>
      </c>
      <c r="F4477" t="s">
        <v>88</v>
      </c>
      <c r="G4477" t="s">
        <v>88</v>
      </c>
      <c r="H4477" t="s">
        <v>92</v>
      </c>
    </row>
    <row r="4478" spans="1:8" x14ac:dyDescent="0.25">
      <c r="A4478" t="s">
        <v>227</v>
      </c>
      <c r="B4478" t="s">
        <v>4164</v>
      </c>
      <c r="C4478" t="s">
        <v>88</v>
      </c>
      <c r="D4478" t="s">
        <v>4165</v>
      </c>
      <c r="E4478" t="s">
        <v>762</v>
      </c>
      <c r="F4478" t="s">
        <v>88</v>
      </c>
      <c r="G4478" t="s">
        <v>88</v>
      </c>
      <c r="H4478" t="s">
        <v>92</v>
      </c>
    </row>
    <row r="4479" spans="1:8" x14ac:dyDescent="0.25">
      <c r="A4479" t="s">
        <v>227</v>
      </c>
      <c r="B4479" t="s">
        <v>4166</v>
      </c>
      <c r="C4479" t="s">
        <v>88</v>
      </c>
      <c r="D4479" t="s">
        <v>4167</v>
      </c>
      <c r="E4479" t="s">
        <v>1756</v>
      </c>
      <c r="F4479" t="s">
        <v>88</v>
      </c>
      <c r="G4479" t="s">
        <v>88</v>
      </c>
      <c r="H4479" t="s">
        <v>92</v>
      </c>
    </row>
    <row r="4480" spans="1:8" x14ac:dyDescent="0.25">
      <c r="A4480" t="s">
        <v>227</v>
      </c>
      <c r="B4480" t="s">
        <v>4168</v>
      </c>
      <c r="C4480" t="s">
        <v>88</v>
      </c>
      <c r="D4480" t="s">
        <v>4169</v>
      </c>
      <c r="E4480" t="s">
        <v>762</v>
      </c>
      <c r="F4480" t="s">
        <v>88</v>
      </c>
      <c r="G4480" t="s">
        <v>88</v>
      </c>
      <c r="H4480" t="s">
        <v>92</v>
      </c>
    </row>
    <row r="4481" spans="1:8" x14ac:dyDescent="0.25">
      <c r="A4481" t="s">
        <v>227</v>
      </c>
      <c r="B4481" t="s">
        <v>4170</v>
      </c>
      <c r="C4481" t="s">
        <v>88</v>
      </c>
      <c r="D4481" t="s">
        <v>4171</v>
      </c>
      <c r="E4481" t="s">
        <v>883</v>
      </c>
      <c r="F4481" t="s">
        <v>88</v>
      </c>
      <c r="G4481" t="s">
        <v>88</v>
      </c>
      <c r="H4481" t="s">
        <v>92</v>
      </c>
    </row>
    <row r="4482" spans="1:8" x14ac:dyDescent="0.25">
      <c r="A4482" t="s">
        <v>227</v>
      </c>
      <c r="B4482" t="s">
        <v>4172</v>
      </c>
      <c r="C4482" t="s">
        <v>88</v>
      </c>
      <c r="D4482" t="s">
        <v>4173</v>
      </c>
      <c r="E4482" t="s">
        <v>1006</v>
      </c>
      <c r="F4482" t="s">
        <v>88</v>
      </c>
      <c r="G4482" t="s">
        <v>88</v>
      </c>
      <c r="H4482" t="s">
        <v>92</v>
      </c>
    </row>
    <row r="4483" spans="1:8" x14ac:dyDescent="0.25">
      <c r="A4483" t="s">
        <v>227</v>
      </c>
      <c r="B4483" t="s">
        <v>4174</v>
      </c>
      <c r="C4483" t="s">
        <v>88</v>
      </c>
      <c r="D4483" t="s">
        <v>4175</v>
      </c>
      <c r="E4483" t="s">
        <v>762</v>
      </c>
      <c r="F4483" t="s">
        <v>88</v>
      </c>
      <c r="G4483" t="s">
        <v>88</v>
      </c>
      <c r="H4483" t="s">
        <v>92</v>
      </c>
    </row>
    <row r="4484" spans="1:8" x14ac:dyDescent="0.25">
      <c r="A4484" t="s">
        <v>227</v>
      </c>
      <c r="B4484" t="s">
        <v>630</v>
      </c>
      <c r="C4484" t="s">
        <v>88</v>
      </c>
      <c r="D4484" t="s">
        <v>4176</v>
      </c>
      <c r="E4484" t="s">
        <v>760</v>
      </c>
      <c r="F4484" t="s">
        <v>88</v>
      </c>
      <c r="G4484" t="s">
        <v>88</v>
      </c>
      <c r="H4484" t="s">
        <v>92</v>
      </c>
    </row>
    <row r="4485" spans="1:8" x14ac:dyDescent="0.25">
      <c r="A4485" t="s">
        <v>227</v>
      </c>
      <c r="B4485" t="s">
        <v>4177</v>
      </c>
      <c r="C4485" t="s">
        <v>88</v>
      </c>
      <c r="D4485" t="s">
        <v>4178</v>
      </c>
      <c r="E4485" t="s">
        <v>762</v>
      </c>
      <c r="F4485" t="s">
        <v>88</v>
      </c>
      <c r="G4485" t="s">
        <v>88</v>
      </c>
      <c r="H4485" t="s">
        <v>92</v>
      </c>
    </row>
    <row r="4486" spans="1:8" x14ac:dyDescent="0.25">
      <c r="A4486" t="s">
        <v>227</v>
      </c>
      <c r="B4486" t="s">
        <v>4179</v>
      </c>
      <c r="C4486" t="s">
        <v>88</v>
      </c>
      <c r="D4486" t="s">
        <v>4180</v>
      </c>
      <c r="E4486" t="s">
        <v>893</v>
      </c>
      <c r="F4486" t="s">
        <v>88</v>
      </c>
      <c r="G4486" t="s">
        <v>88</v>
      </c>
      <c r="H4486" t="s">
        <v>92</v>
      </c>
    </row>
    <row r="4487" spans="1:8" x14ac:dyDescent="0.25">
      <c r="A4487" t="s">
        <v>227</v>
      </c>
      <c r="B4487" t="s">
        <v>4181</v>
      </c>
      <c r="C4487" t="s">
        <v>88</v>
      </c>
      <c r="D4487" t="s">
        <v>4182</v>
      </c>
      <c r="E4487" t="s">
        <v>1241</v>
      </c>
      <c r="F4487" t="s">
        <v>88</v>
      </c>
      <c r="G4487" t="s">
        <v>88</v>
      </c>
      <c r="H4487" t="s">
        <v>92</v>
      </c>
    </row>
    <row r="4488" spans="1:8" x14ac:dyDescent="0.25">
      <c r="A4488" t="s">
        <v>227</v>
      </c>
      <c r="B4488" t="s">
        <v>4183</v>
      </c>
      <c r="C4488" t="s">
        <v>88</v>
      </c>
      <c r="D4488" t="s">
        <v>4184</v>
      </c>
      <c r="E4488" t="s">
        <v>725</v>
      </c>
      <c r="F4488" t="s">
        <v>88</v>
      </c>
      <c r="G4488" t="s">
        <v>88</v>
      </c>
      <c r="H4488" t="s">
        <v>92</v>
      </c>
    </row>
    <row r="4489" spans="1:8" x14ac:dyDescent="0.25">
      <c r="A4489" t="s">
        <v>227</v>
      </c>
      <c r="B4489" t="s">
        <v>4185</v>
      </c>
      <c r="C4489" t="s">
        <v>88</v>
      </c>
      <c r="D4489" t="s">
        <v>4186</v>
      </c>
      <c r="E4489" t="s">
        <v>780</v>
      </c>
      <c r="F4489" t="s">
        <v>88</v>
      </c>
      <c r="G4489" t="s">
        <v>88</v>
      </c>
      <c r="H4489" t="s">
        <v>92</v>
      </c>
    </row>
    <row r="4490" spans="1:8" x14ac:dyDescent="0.25">
      <c r="A4490" t="s">
        <v>227</v>
      </c>
      <c r="B4490" t="s">
        <v>671</v>
      </c>
      <c r="C4490" t="s">
        <v>88</v>
      </c>
      <c r="D4490" t="s">
        <v>4187</v>
      </c>
      <c r="E4490" t="s">
        <v>673</v>
      </c>
      <c r="F4490" t="s">
        <v>88</v>
      </c>
      <c r="G4490" t="s">
        <v>88</v>
      </c>
      <c r="H4490" t="s">
        <v>92</v>
      </c>
    </row>
    <row r="4491" spans="1:8" x14ac:dyDescent="0.25">
      <c r="A4491" t="s">
        <v>227</v>
      </c>
      <c r="B4491" t="s">
        <v>4188</v>
      </c>
      <c r="C4491" t="s">
        <v>88</v>
      </c>
      <c r="D4491" t="s">
        <v>4189</v>
      </c>
      <c r="E4491" t="s">
        <v>725</v>
      </c>
      <c r="F4491" t="s">
        <v>88</v>
      </c>
      <c r="G4491" t="s">
        <v>88</v>
      </c>
      <c r="H4491" t="s">
        <v>92</v>
      </c>
    </row>
    <row r="4492" spans="1:8" x14ac:dyDescent="0.25">
      <c r="A4492" t="s">
        <v>227</v>
      </c>
      <c r="B4492" t="s">
        <v>4190</v>
      </c>
      <c r="C4492" t="s">
        <v>88</v>
      </c>
      <c r="D4492" t="s">
        <v>4191</v>
      </c>
      <c r="E4492" t="s">
        <v>655</v>
      </c>
      <c r="F4492" t="s">
        <v>88</v>
      </c>
      <c r="G4492" t="s">
        <v>88</v>
      </c>
      <c r="H4492" t="s">
        <v>92</v>
      </c>
    </row>
    <row r="4493" spans="1:8" x14ac:dyDescent="0.25">
      <c r="A4493" t="s">
        <v>227</v>
      </c>
      <c r="B4493" t="s">
        <v>4192</v>
      </c>
      <c r="C4493" t="s">
        <v>88</v>
      </c>
      <c r="D4493" t="s">
        <v>4193</v>
      </c>
      <c r="E4493" t="s">
        <v>655</v>
      </c>
      <c r="F4493" t="s">
        <v>88</v>
      </c>
      <c r="G4493" t="s">
        <v>88</v>
      </c>
      <c r="H4493" t="s">
        <v>92</v>
      </c>
    </row>
    <row r="4494" spans="1:8" x14ac:dyDescent="0.25">
      <c r="A4494" t="s">
        <v>227</v>
      </c>
      <c r="B4494" t="s">
        <v>4194</v>
      </c>
      <c r="C4494" t="s">
        <v>88</v>
      </c>
      <c r="D4494" t="s">
        <v>4195</v>
      </c>
      <c r="E4494" t="s">
        <v>700</v>
      </c>
      <c r="F4494" t="s">
        <v>88</v>
      </c>
      <c r="G4494" t="s">
        <v>88</v>
      </c>
      <c r="H4494" t="s">
        <v>92</v>
      </c>
    </row>
    <row r="4495" spans="1:8" x14ac:dyDescent="0.25">
      <c r="A4495" t="s">
        <v>227</v>
      </c>
      <c r="B4495" t="s">
        <v>4196</v>
      </c>
      <c r="C4495" t="s">
        <v>88</v>
      </c>
      <c r="D4495" t="s">
        <v>4197</v>
      </c>
      <c r="E4495" t="s">
        <v>717</v>
      </c>
      <c r="F4495" t="s">
        <v>88</v>
      </c>
      <c r="G4495" t="s">
        <v>88</v>
      </c>
      <c r="H4495" t="s">
        <v>92</v>
      </c>
    </row>
    <row r="4496" spans="1:8" x14ac:dyDescent="0.25">
      <c r="A4496" t="s">
        <v>227</v>
      </c>
      <c r="B4496" t="s">
        <v>2586</v>
      </c>
      <c r="C4496" t="s">
        <v>88</v>
      </c>
      <c r="D4496" t="s">
        <v>4198</v>
      </c>
      <c r="E4496" t="s">
        <v>655</v>
      </c>
      <c r="F4496" t="s">
        <v>88</v>
      </c>
      <c r="G4496" t="s">
        <v>88</v>
      </c>
      <c r="H4496" t="s">
        <v>92</v>
      </c>
    </row>
    <row r="4497" spans="1:8" x14ac:dyDescent="0.25">
      <c r="A4497" t="s">
        <v>227</v>
      </c>
      <c r="B4497" t="s">
        <v>1842</v>
      </c>
      <c r="C4497" t="s">
        <v>88</v>
      </c>
      <c r="D4497" t="s">
        <v>2845</v>
      </c>
      <c r="E4497" t="s">
        <v>655</v>
      </c>
      <c r="F4497" t="s">
        <v>88</v>
      </c>
      <c r="G4497" t="s">
        <v>88</v>
      </c>
      <c r="H4497" t="s">
        <v>92</v>
      </c>
    </row>
    <row r="4498" spans="1:8" x14ac:dyDescent="0.25">
      <c r="A4498" t="s">
        <v>227</v>
      </c>
      <c r="B4498" t="s">
        <v>1859</v>
      </c>
      <c r="C4498" t="s">
        <v>88</v>
      </c>
      <c r="D4498" t="s">
        <v>2844</v>
      </c>
      <c r="E4498" t="s">
        <v>762</v>
      </c>
      <c r="F4498" t="s">
        <v>88</v>
      </c>
      <c r="G4498" t="s">
        <v>88</v>
      </c>
      <c r="H4498" t="s">
        <v>92</v>
      </c>
    </row>
    <row r="4499" spans="1:8" x14ac:dyDescent="0.25">
      <c r="A4499" t="s">
        <v>227</v>
      </c>
      <c r="B4499" t="s">
        <v>4199</v>
      </c>
      <c r="C4499" t="s">
        <v>88</v>
      </c>
      <c r="D4499" t="s">
        <v>88</v>
      </c>
      <c r="E4499" t="s">
        <v>655</v>
      </c>
      <c r="F4499" t="s">
        <v>88</v>
      </c>
      <c r="G4499" t="s">
        <v>88</v>
      </c>
      <c r="H4499" t="s">
        <v>92</v>
      </c>
    </row>
    <row r="4500" spans="1:8" x14ac:dyDescent="0.25">
      <c r="A4500" t="s">
        <v>227</v>
      </c>
      <c r="B4500" t="s">
        <v>4200</v>
      </c>
      <c r="C4500" t="s">
        <v>88</v>
      </c>
      <c r="D4500" t="s">
        <v>88</v>
      </c>
      <c r="E4500" t="s">
        <v>655</v>
      </c>
      <c r="F4500" t="s">
        <v>88</v>
      </c>
      <c r="G4500" t="s">
        <v>88</v>
      </c>
      <c r="H4500" t="s">
        <v>92</v>
      </c>
    </row>
    <row r="4501" spans="1:8" x14ac:dyDescent="0.25">
      <c r="A4501" t="s">
        <v>227</v>
      </c>
      <c r="B4501" t="s">
        <v>1871</v>
      </c>
      <c r="C4501" t="s">
        <v>88</v>
      </c>
      <c r="D4501" t="s">
        <v>88</v>
      </c>
      <c r="E4501" t="s">
        <v>673</v>
      </c>
      <c r="F4501" t="s">
        <v>88</v>
      </c>
      <c r="G4501" t="s">
        <v>88</v>
      </c>
      <c r="H4501" t="s">
        <v>92</v>
      </c>
    </row>
    <row r="4502" spans="1:8" x14ac:dyDescent="0.25">
      <c r="A4502" t="s">
        <v>227</v>
      </c>
      <c r="B4502" t="s">
        <v>4201</v>
      </c>
      <c r="C4502" t="s">
        <v>88</v>
      </c>
      <c r="D4502" t="s">
        <v>4202</v>
      </c>
      <c r="E4502" t="s">
        <v>679</v>
      </c>
      <c r="F4502" t="s">
        <v>88</v>
      </c>
      <c r="G4502" t="s">
        <v>88</v>
      </c>
      <c r="H4502" t="s">
        <v>92</v>
      </c>
    </row>
    <row r="4503" spans="1:8" x14ac:dyDescent="0.25">
      <c r="A4503" t="s">
        <v>227</v>
      </c>
      <c r="B4503" t="s">
        <v>4203</v>
      </c>
      <c r="C4503" t="s">
        <v>88</v>
      </c>
      <c r="D4503" t="s">
        <v>4204</v>
      </c>
      <c r="E4503" t="s">
        <v>663</v>
      </c>
      <c r="F4503" t="s">
        <v>88</v>
      </c>
      <c r="G4503" t="s">
        <v>88</v>
      </c>
      <c r="H4503" t="s">
        <v>92</v>
      </c>
    </row>
    <row r="4504" spans="1:8" x14ac:dyDescent="0.25">
      <c r="A4504" t="s">
        <v>227</v>
      </c>
      <c r="B4504" t="s">
        <v>4205</v>
      </c>
      <c r="C4504" t="s">
        <v>88</v>
      </c>
      <c r="D4504" t="s">
        <v>4206</v>
      </c>
      <c r="E4504" t="s">
        <v>725</v>
      </c>
      <c r="F4504" t="s">
        <v>88</v>
      </c>
      <c r="G4504" t="s">
        <v>88</v>
      </c>
      <c r="H4504" t="s">
        <v>92</v>
      </c>
    </row>
    <row r="4505" spans="1:8" x14ac:dyDescent="0.25">
      <c r="A4505" t="s">
        <v>227</v>
      </c>
      <c r="B4505" t="s">
        <v>4207</v>
      </c>
      <c r="C4505" t="s">
        <v>88</v>
      </c>
      <c r="D4505" t="s">
        <v>4208</v>
      </c>
      <c r="E4505" t="s">
        <v>663</v>
      </c>
      <c r="F4505" t="s">
        <v>88</v>
      </c>
      <c r="G4505" t="s">
        <v>88</v>
      </c>
      <c r="H4505" t="s">
        <v>92</v>
      </c>
    </row>
    <row r="4506" spans="1:8" x14ac:dyDescent="0.25">
      <c r="A4506" t="s">
        <v>227</v>
      </c>
      <c r="B4506" t="s">
        <v>4209</v>
      </c>
      <c r="C4506" t="s">
        <v>88</v>
      </c>
      <c r="D4506" t="s">
        <v>4210</v>
      </c>
      <c r="E4506" t="s">
        <v>663</v>
      </c>
      <c r="F4506" t="s">
        <v>88</v>
      </c>
      <c r="G4506" t="s">
        <v>88</v>
      </c>
      <c r="H4506" t="s">
        <v>92</v>
      </c>
    </row>
    <row r="4507" spans="1:8" x14ac:dyDescent="0.25">
      <c r="A4507" t="s">
        <v>227</v>
      </c>
      <c r="B4507" t="s">
        <v>4211</v>
      </c>
      <c r="C4507" t="s">
        <v>88</v>
      </c>
      <c r="D4507" t="s">
        <v>4212</v>
      </c>
      <c r="E4507" t="s">
        <v>673</v>
      </c>
      <c r="F4507" t="s">
        <v>88</v>
      </c>
      <c r="G4507" t="s">
        <v>88</v>
      </c>
      <c r="H4507" t="s">
        <v>92</v>
      </c>
    </row>
    <row r="4508" spans="1:8" x14ac:dyDescent="0.25">
      <c r="A4508" t="s">
        <v>227</v>
      </c>
      <c r="B4508" t="s">
        <v>4213</v>
      </c>
      <c r="C4508" t="s">
        <v>88</v>
      </c>
      <c r="D4508" t="s">
        <v>4214</v>
      </c>
      <c r="E4508" t="s">
        <v>658</v>
      </c>
      <c r="F4508" t="s">
        <v>88</v>
      </c>
      <c r="G4508" t="s">
        <v>88</v>
      </c>
      <c r="H4508" t="s">
        <v>92</v>
      </c>
    </row>
    <row r="4509" spans="1:8" x14ac:dyDescent="0.25">
      <c r="A4509" t="s">
        <v>227</v>
      </c>
      <c r="B4509" t="s">
        <v>4215</v>
      </c>
      <c r="C4509" t="s">
        <v>88</v>
      </c>
      <c r="D4509" t="s">
        <v>4216</v>
      </c>
      <c r="E4509" t="s">
        <v>663</v>
      </c>
      <c r="F4509" t="s">
        <v>88</v>
      </c>
      <c r="G4509" t="s">
        <v>88</v>
      </c>
      <c r="H4509" t="s">
        <v>92</v>
      </c>
    </row>
    <row r="4510" spans="1:8" x14ac:dyDescent="0.25">
      <c r="A4510" t="s">
        <v>227</v>
      </c>
      <c r="B4510" t="s">
        <v>4217</v>
      </c>
      <c r="C4510" t="s">
        <v>88</v>
      </c>
      <c r="D4510" t="s">
        <v>4218</v>
      </c>
      <c r="E4510" t="s">
        <v>883</v>
      </c>
      <c r="F4510" t="s">
        <v>88</v>
      </c>
      <c r="G4510" t="s">
        <v>88</v>
      </c>
      <c r="H4510" t="s">
        <v>92</v>
      </c>
    </row>
    <row r="4511" spans="1:8" x14ac:dyDescent="0.25">
      <c r="A4511" t="s">
        <v>227</v>
      </c>
      <c r="B4511" t="s">
        <v>4219</v>
      </c>
      <c r="C4511" t="s">
        <v>88</v>
      </c>
      <c r="D4511" t="s">
        <v>4220</v>
      </c>
      <c r="E4511" t="s">
        <v>883</v>
      </c>
      <c r="F4511" t="s">
        <v>88</v>
      </c>
      <c r="G4511" t="s">
        <v>88</v>
      </c>
      <c r="H4511" t="s">
        <v>92</v>
      </c>
    </row>
    <row r="4512" spans="1:8" x14ac:dyDescent="0.25">
      <c r="A4512" t="s">
        <v>227</v>
      </c>
      <c r="B4512" t="s">
        <v>4221</v>
      </c>
      <c r="C4512" t="s">
        <v>88</v>
      </c>
      <c r="D4512" t="s">
        <v>4222</v>
      </c>
      <c r="E4512" t="s">
        <v>663</v>
      </c>
      <c r="F4512" t="s">
        <v>88</v>
      </c>
      <c r="G4512" t="s">
        <v>88</v>
      </c>
      <c r="H4512" t="s">
        <v>92</v>
      </c>
    </row>
    <row r="4513" spans="1:8" x14ac:dyDescent="0.25">
      <c r="A4513" t="s">
        <v>227</v>
      </c>
      <c r="B4513" t="s">
        <v>4223</v>
      </c>
      <c r="C4513" t="s">
        <v>88</v>
      </c>
      <c r="D4513" t="s">
        <v>4224</v>
      </c>
      <c r="E4513" t="s">
        <v>663</v>
      </c>
      <c r="F4513" t="s">
        <v>88</v>
      </c>
      <c r="G4513" t="s">
        <v>88</v>
      </c>
      <c r="H4513" t="s">
        <v>92</v>
      </c>
    </row>
    <row r="4514" spans="1:8" x14ac:dyDescent="0.25">
      <c r="A4514" t="s">
        <v>227</v>
      </c>
      <c r="B4514" t="s">
        <v>4225</v>
      </c>
      <c r="C4514" t="s">
        <v>88</v>
      </c>
      <c r="D4514" t="s">
        <v>4226</v>
      </c>
      <c r="E4514" t="s">
        <v>679</v>
      </c>
      <c r="F4514" t="s">
        <v>88</v>
      </c>
      <c r="G4514" t="s">
        <v>88</v>
      </c>
      <c r="H4514" t="s">
        <v>92</v>
      </c>
    </row>
    <row r="4515" spans="1:8" x14ac:dyDescent="0.25">
      <c r="A4515" t="s">
        <v>227</v>
      </c>
      <c r="B4515" t="s">
        <v>4227</v>
      </c>
      <c r="C4515" t="s">
        <v>88</v>
      </c>
      <c r="D4515" t="s">
        <v>4228</v>
      </c>
      <c r="E4515" t="s">
        <v>673</v>
      </c>
      <c r="F4515" t="s">
        <v>88</v>
      </c>
      <c r="G4515" t="s">
        <v>88</v>
      </c>
      <c r="H4515" t="s">
        <v>92</v>
      </c>
    </row>
    <row r="4516" spans="1:8" x14ac:dyDescent="0.25">
      <c r="A4516" t="s">
        <v>227</v>
      </c>
      <c r="B4516" t="s">
        <v>4229</v>
      </c>
      <c r="C4516" t="s">
        <v>88</v>
      </c>
      <c r="D4516" t="s">
        <v>4230</v>
      </c>
      <c r="E4516" t="s">
        <v>658</v>
      </c>
      <c r="F4516" t="s">
        <v>88</v>
      </c>
      <c r="G4516" t="s">
        <v>88</v>
      </c>
      <c r="H4516" t="s">
        <v>92</v>
      </c>
    </row>
    <row r="4517" spans="1:8" x14ac:dyDescent="0.25">
      <c r="A4517" t="s">
        <v>227</v>
      </c>
      <c r="B4517" t="s">
        <v>4231</v>
      </c>
      <c r="C4517" t="s">
        <v>88</v>
      </c>
      <c r="D4517" t="s">
        <v>4232</v>
      </c>
      <c r="E4517" t="s">
        <v>663</v>
      </c>
      <c r="F4517" t="s">
        <v>88</v>
      </c>
      <c r="G4517" t="s">
        <v>88</v>
      </c>
      <c r="H4517" t="s">
        <v>92</v>
      </c>
    </row>
    <row r="4518" spans="1:8" x14ac:dyDescent="0.25">
      <c r="A4518" t="s">
        <v>227</v>
      </c>
      <c r="B4518" t="s">
        <v>4233</v>
      </c>
      <c r="C4518" t="s">
        <v>88</v>
      </c>
      <c r="D4518" t="s">
        <v>4234</v>
      </c>
      <c r="E4518" t="s">
        <v>663</v>
      </c>
      <c r="F4518" t="s">
        <v>88</v>
      </c>
      <c r="G4518" t="s">
        <v>88</v>
      </c>
      <c r="H4518" t="s">
        <v>92</v>
      </c>
    </row>
    <row r="4519" spans="1:8" x14ac:dyDescent="0.25">
      <c r="A4519" t="s">
        <v>227</v>
      </c>
      <c r="B4519" t="s">
        <v>4235</v>
      </c>
      <c r="C4519" t="s">
        <v>88</v>
      </c>
      <c r="D4519" t="s">
        <v>4204</v>
      </c>
      <c r="E4519" t="s">
        <v>655</v>
      </c>
      <c r="F4519" t="s">
        <v>88</v>
      </c>
      <c r="G4519" t="s">
        <v>88</v>
      </c>
      <c r="H4519" t="s">
        <v>92</v>
      </c>
    </row>
    <row r="4520" spans="1:8" x14ac:dyDescent="0.25">
      <c r="A4520" t="s">
        <v>227</v>
      </c>
      <c r="B4520" t="s">
        <v>4236</v>
      </c>
      <c r="C4520" t="s">
        <v>88</v>
      </c>
      <c r="D4520" t="s">
        <v>4234</v>
      </c>
      <c r="E4520" t="s">
        <v>655</v>
      </c>
      <c r="F4520" t="s">
        <v>88</v>
      </c>
      <c r="G4520" t="s">
        <v>88</v>
      </c>
      <c r="H4520" t="s">
        <v>92</v>
      </c>
    </row>
    <row r="4521" spans="1:8" x14ac:dyDescent="0.25">
      <c r="A4521" t="s">
        <v>227</v>
      </c>
      <c r="B4521" t="s">
        <v>4237</v>
      </c>
      <c r="C4521" t="s">
        <v>88</v>
      </c>
      <c r="D4521" t="s">
        <v>4214</v>
      </c>
      <c r="E4521" t="s">
        <v>760</v>
      </c>
      <c r="F4521" t="s">
        <v>88</v>
      </c>
      <c r="G4521" t="s">
        <v>88</v>
      </c>
      <c r="H4521" t="s">
        <v>92</v>
      </c>
    </row>
    <row r="4522" spans="1:8" x14ac:dyDescent="0.25">
      <c r="A4522" t="s">
        <v>227</v>
      </c>
      <c r="B4522" t="s">
        <v>4238</v>
      </c>
      <c r="C4522" t="s">
        <v>88</v>
      </c>
      <c r="D4522" t="s">
        <v>4202</v>
      </c>
      <c r="E4522" t="s">
        <v>883</v>
      </c>
      <c r="F4522" t="s">
        <v>88</v>
      </c>
      <c r="G4522" t="s">
        <v>88</v>
      </c>
      <c r="H4522" t="s">
        <v>92</v>
      </c>
    </row>
    <row r="4523" spans="1:8" x14ac:dyDescent="0.25">
      <c r="A4523" t="s">
        <v>227</v>
      </c>
      <c r="B4523" t="s">
        <v>4239</v>
      </c>
      <c r="C4523" t="s">
        <v>88</v>
      </c>
      <c r="D4523" t="s">
        <v>4216</v>
      </c>
      <c r="E4523" t="s">
        <v>655</v>
      </c>
      <c r="F4523" t="s">
        <v>88</v>
      </c>
      <c r="G4523" t="s">
        <v>88</v>
      </c>
      <c r="H4523" t="s">
        <v>92</v>
      </c>
    </row>
    <row r="4524" spans="1:8" x14ac:dyDescent="0.25">
      <c r="A4524" t="s">
        <v>227</v>
      </c>
      <c r="B4524" t="s">
        <v>4240</v>
      </c>
      <c r="C4524" t="s">
        <v>88</v>
      </c>
      <c r="D4524" t="s">
        <v>4218</v>
      </c>
      <c r="E4524" t="s">
        <v>1353</v>
      </c>
      <c r="F4524" t="s">
        <v>88</v>
      </c>
      <c r="G4524" t="s">
        <v>88</v>
      </c>
      <c r="H4524" t="s">
        <v>92</v>
      </c>
    </row>
    <row r="4525" spans="1:8" x14ac:dyDescent="0.25">
      <c r="A4525" t="s">
        <v>227</v>
      </c>
      <c r="B4525" t="s">
        <v>4241</v>
      </c>
      <c r="C4525" t="s">
        <v>88</v>
      </c>
      <c r="D4525" t="s">
        <v>4220</v>
      </c>
      <c r="E4525" t="s">
        <v>692</v>
      </c>
      <c r="F4525" t="s">
        <v>88</v>
      </c>
      <c r="G4525" t="s">
        <v>88</v>
      </c>
      <c r="H4525" t="s">
        <v>92</v>
      </c>
    </row>
    <row r="4526" spans="1:8" x14ac:dyDescent="0.25">
      <c r="A4526" t="s">
        <v>227</v>
      </c>
      <c r="B4526" t="s">
        <v>4242</v>
      </c>
      <c r="C4526" t="s">
        <v>88</v>
      </c>
      <c r="D4526" t="s">
        <v>4232</v>
      </c>
      <c r="E4526" t="s">
        <v>655</v>
      </c>
      <c r="F4526" t="s">
        <v>88</v>
      </c>
      <c r="G4526" t="s">
        <v>88</v>
      </c>
      <c r="H4526" t="s">
        <v>92</v>
      </c>
    </row>
    <row r="4527" spans="1:8" x14ac:dyDescent="0.25">
      <c r="A4527" t="s">
        <v>227</v>
      </c>
      <c r="B4527" t="s">
        <v>4243</v>
      </c>
      <c r="C4527" t="s">
        <v>88</v>
      </c>
      <c r="D4527" t="s">
        <v>4212</v>
      </c>
      <c r="E4527" t="s">
        <v>893</v>
      </c>
      <c r="F4527" t="s">
        <v>88</v>
      </c>
      <c r="G4527" t="s">
        <v>88</v>
      </c>
      <c r="H4527" t="s">
        <v>92</v>
      </c>
    </row>
    <row r="4528" spans="1:8" x14ac:dyDescent="0.25">
      <c r="A4528" t="s">
        <v>227</v>
      </c>
      <c r="B4528" t="s">
        <v>4244</v>
      </c>
      <c r="C4528" t="s">
        <v>88</v>
      </c>
      <c r="D4528" t="s">
        <v>4208</v>
      </c>
      <c r="E4528" t="s">
        <v>655</v>
      </c>
      <c r="F4528" t="s">
        <v>88</v>
      </c>
      <c r="G4528" t="s">
        <v>88</v>
      </c>
      <c r="H4528" t="s">
        <v>92</v>
      </c>
    </row>
    <row r="4529" spans="1:8" x14ac:dyDescent="0.25">
      <c r="A4529" t="s">
        <v>227</v>
      </c>
      <c r="B4529" t="s">
        <v>4245</v>
      </c>
      <c r="C4529" t="s">
        <v>88</v>
      </c>
      <c r="D4529" t="s">
        <v>4206</v>
      </c>
      <c r="E4529" t="s">
        <v>655</v>
      </c>
      <c r="F4529" t="s">
        <v>88</v>
      </c>
      <c r="G4529" t="s">
        <v>88</v>
      </c>
      <c r="H4529" t="s">
        <v>92</v>
      </c>
    </row>
    <row r="4530" spans="1:8" x14ac:dyDescent="0.25">
      <c r="A4530" t="s">
        <v>227</v>
      </c>
      <c r="B4530" t="s">
        <v>4246</v>
      </c>
      <c r="C4530" t="s">
        <v>88</v>
      </c>
      <c r="D4530" t="s">
        <v>4222</v>
      </c>
      <c r="E4530" t="s">
        <v>655</v>
      </c>
      <c r="F4530" t="s">
        <v>88</v>
      </c>
      <c r="G4530" t="s">
        <v>88</v>
      </c>
      <c r="H4530" t="s">
        <v>92</v>
      </c>
    </row>
    <row r="4531" spans="1:8" x14ac:dyDescent="0.25">
      <c r="A4531" t="s">
        <v>227</v>
      </c>
      <c r="B4531" t="s">
        <v>4247</v>
      </c>
      <c r="C4531" t="s">
        <v>88</v>
      </c>
      <c r="D4531" t="s">
        <v>4224</v>
      </c>
      <c r="E4531" t="s">
        <v>655</v>
      </c>
      <c r="F4531" t="s">
        <v>88</v>
      </c>
      <c r="G4531" t="s">
        <v>88</v>
      </c>
      <c r="H4531" t="s">
        <v>92</v>
      </c>
    </row>
    <row r="4532" spans="1:8" x14ac:dyDescent="0.25">
      <c r="A4532" t="s">
        <v>227</v>
      </c>
      <c r="B4532" t="s">
        <v>4248</v>
      </c>
      <c r="C4532" t="s">
        <v>88</v>
      </c>
      <c r="D4532" t="s">
        <v>4228</v>
      </c>
      <c r="E4532" t="s">
        <v>893</v>
      </c>
      <c r="F4532" t="s">
        <v>88</v>
      </c>
      <c r="G4532" t="s">
        <v>88</v>
      </c>
      <c r="H4532" t="s">
        <v>92</v>
      </c>
    </row>
    <row r="4533" spans="1:8" x14ac:dyDescent="0.25">
      <c r="A4533" t="s">
        <v>227</v>
      </c>
      <c r="B4533" t="s">
        <v>4249</v>
      </c>
      <c r="C4533" t="s">
        <v>88</v>
      </c>
      <c r="D4533" t="s">
        <v>4230</v>
      </c>
      <c r="E4533" t="s">
        <v>760</v>
      </c>
      <c r="F4533" t="s">
        <v>88</v>
      </c>
      <c r="G4533" t="s">
        <v>88</v>
      </c>
      <c r="H4533" t="s">
        <v>92</v>
      </c>
    </row>
    <row r="4534" spans="1:8" x14ac:dyDescent="0.25">
      <c r="A4534" t="s">
        <v>227</v>
      </c>
      <c r="B4534" t="s">
        <v>4250</v>
      </c>
      <c r="C4534" t="s">
        <v>88</v>
      </c>
      <c r="D4534" t="s">
        <v>4210</v>
      </c>
      <c r="E4534" t="s">
        <v>655</v>
      </c>
      <c r="F4534" t="s">
        <v>88</v>
      </c>
      <c r="G4534" t="s">
        <v>88</v>
      </c>
      <c r="H4534" t="s">
        <v>92</v>
      </c>
    </row>
    <row r="4535" spans="1:8" x14ac:dyDescent="0.25">
      <c r="A4535" t="s">
        <v>227</v>
      </c>
      <c r="B4535" t="s">
        <v>4251</v>
      </c>
      <c r="C4535" t="s">
        <v>88</v>
      </c>
      <c r="D4535" t="s">
        <v>4226</v>
      </c>
      <c r="E4535" t="s">
        <v>883</v>
      </c>
      <c r="F4535" t="s">
        <v>88</v>
      </c>
      <c r="G4535" t="s">
        <v>88</v>
      </c>
      <c r="H4535" t="s">
        <v>92</v>
      </c>
    </row>
    <row r="4536" spans="1:8" x14ac:dyDescent="0.25">
      <c r="A4536" t="s">
        <v>227</v>
      </c>
      <c r="B4536" t="s">
        <v>4252</v>
      </c>
      <c r="C4536" t="s">
        <v>88</v>
      </c>
      <c r="D4536" t="s">
        <v>4234</v>
      </c>
      <c r="E4536" t="s">
        <v>2833</v>
      </c>
      <c r="F4536" t="s">
        <v>88</v>
      </c>
      <c r="G4536" t="s">
        <v>88</v>
      </c>
      <c r="H4536" t="s">
        <v>92</v>
      </c>
    </row>
    <row r="4537" spans="1:8" x14ac:dyDescent="0.25">
      <c r="A4537" t="s">
        <v>227</v>
      </c>
      <c r="B4537" t="s">
        <v>4253</v>
      </c>
      <c r="C4537" t="s">
        <v>88</v>
      </c>
      <c r="D4537" t="s">
        <v>4208</v>
      </c>
      <c r="E4537" t="s">
        <v>2833</v>
      </c>
      <c r="F4537" t="s">
        <v>88</v>
      </c>
      <c r="G4537" t="s">
        <v>88</v>
      </c>
      <c r="H4537" t="s">
        <v>92</v>
      </c>
    </row>
    <row r="4538" spans="1:8" x14ac:dyDescent="0.25">
      <c r="A4538" t="s">
        <v>227</v>
      </c>
      <c r="B4538" t="s">
        <v>4254</v>
      </c>
      <c r="C4538" t="s">
        <v>88</v>
      </c>
      <c r="D4538" t="s">
        <v>4232</v>
      </c>
      <c r="E4538" t="s">
        <v>2833</v>
      </c>
      <c r="F4538" t="s">
        <v>88</v>
      </c>
      <c r="G4538" t="s">
        <v>88</v>
      </c>
      <c r="H4538" t="s">
        <v>92</v>
      </c>
    </row>
    <row r="4539" spans="1:8" x14ac:dyDescent="0.25">
      <c r="A4539" t="s">
        <v>227</v>
      </c>
      <c r="B4539" t="s">
        <v>4255</v>
      </c>
      <c r="C4539" t="s">
        <v>88</v>
      </c>
      <c r="D4539" t="s">
        <v>4214</v>
      </c>
      <c r="E4539" t="s">
        <v>838</v>
      </c>
      <c r="F4539" t="s">
        <v>88</v>
      </c>
      <c r="G4539" t="s">
        <v>88</v>
      </c>
      <c r="H4539" t="s">
        <v>92</v>
      </c>
    </row>
    <row r="4540" spans="1:8" x14ac:dyDescent="0.25">
      <c r="A4540" t="s">
        <v>227</v>
      </c>
      <c r="B4540" t="s">
        <v>4256</v>
      </c>
      <c r="C4540" t="s">
        <v>88</v>
      </c>
      <c r="D4540" t="s">
        <v>4216</v>
      </c>
      <c r="E4540" t="s">
        <v>2833</v>
      </c>
      <c r="F4540" t="s">
        <v>88</v>
      </c>
      <c r="G4540" t="s">
        <v>88</v>
      </c>
      <c r="H4540" t="s">
        <v>92</v>
      </c>
    </row>
    <row r="4541" spans="1:8" x14ac:dyDescent="0.25">
      <c r="A4541" t="s">
        <v>227</v>
      </c>
      <c r="B4541" t="s">
        <v>4257</v>
      </c>
      <c r="C4541" t="s">
        <v>88</v>
      </c>
      <c r="D4541" t="s">
        <v>4202</v>
      </c>
      <c r="E4541" t="s">
        <v>836</v>
      </c>
      <c r="F4541" t="s">
        <v>88</v>
      </c>
      <c r="G4541" t="s">
        <v>88</v>
      </c>
      <c r="H4541" t="s">
        <v>92</v>
      </c>
    </row>
    <row r="4542" spans="1:8" x14ac:dyDescent="0.25">
      <c r="A4542" t="s">
        <v>227</v>
      </c>
      <c r="B4542" t="s">
        <v>4258</v>
      </c>
      <c r="C4542" t="s">
        <v>88</v>
      </c>
      <c r="D4542" t="s">
        <v>4218</v>
      </c>
      <c r="E4542" t="s">
        <v>4259</v>
      </c>
      <c r="F4542" t="s">
        <v>88</v>
      </c>
      <c r="G4542" t="s">
        <v>88</v>
      </c>
      <c r="H4542" t="s">
        <v>92</v>
      </c>
    </row>
    <row r="4543" spans="1:8" x14ac:dyDescent="0.25">
      <c r="A4543" t="s">
        <v>227</v>
      </c>
      <c r="B4543" t="s">
        <v>4260</v>
      </c>
      <c r="C4543" t="s">
        <v>88</v>
      </c>
      <c r="D4543" t="s">
        <v>4212</v>
      </c>
      <c r="E4543" t="s">
        <v>2294</v>
      </c>
      <c r="F4543" t="s">
        <v>88</v>
      </c>
      <c r="G4543" t="s">
        <v>88</v>
      </c>
      <c r="H4543" t="s">
        <v>92</v>
      </c>
    </row>
    <row r="4544" spans="1:8" x14ac:dyDescent="0.25">
      <c r="A4544" t="s">
        <v>227</v>
      </c>
      <c r="B4544" t="s">
        <v>4261</v>
      </c>
      <c r="C4544" t="s">
        <v>88</v>
      </c>
      <c r="D4544" t="s">
        <v>4220</v>
      </c>
      <c r="E4544" t="s">
        <v>1015</v>
      </c>
      <c r="F4544" t="s">
        <v>88</v>
      </c>
      <c r="G4544" t="s">
        <v>88</v>
      </c>
      <c r="H4544" t="s">
        <v>92</v>
      </c>
    </row>
    <row r="4545" spans="1:8" x14ac:dyDescent="0.25">
      <c r="A4545" t="s">
        <v>227</v>
      </c>
      <c r="B4545" t="s">
        <v>4262</v>
      </c>
      <c r="C4545" t="s">
        <v>88</v>
      </c>
      <c r="D4545" t="s">
        <v>4226</v>
      </c>
      <c r="E4545" t="s">
        <v>836</v>
      </c>
      <c r="F4545" t="s">
        <v>88</v>
      </c>
      <c r="G4545" t="s">
        <v>88</v>
      </c>
      <c r="H4545" t="s">
        <v>92</v>
      </c>
    </row>
    <row r="4546" spans="1:8" x14ac:dyDescent="0.25">
      <c r="A4546" t="s">
        <v>227</v>
      </c>
      <c r="B4546" t="s">
        <v>4263</v>
      </c>
      <c r="C4546" t="s">
        <v>88</v>
      </c>
      <c r="D4546" t="s">
        <v>4204</v>
      </c>
      <c r="E4546" t="s">
        <v>2833</v>
      </c>
      <c r="F4546" t="s">
        <v>88</v>
      </c>
      <c r="G4546" t="s">
        <v>88</v>
      </c>
      <c r="H4546" t="s">
        <v>92</v>
      </c>
    </row>
    <row r="4547" spans="1:8" x14ac:dyDescent="0.25">
      <c r="A4547" t="s">
        <v>227</v>
      </c>
      <c r="B4547" t="s">
        <v>4264</v>
      </c>
      <c r="C4547" t="s">
        <v>88</v>
      </c>
      <c r="D4547" t="s">
        <v>4206</v>
      </c>
      <c r="E4547" t="s">
        <v>2833</v>
      </c>
      <c r="F4547" t="s">
        <v>88</v>
      </c>
      <c r="G4547" t="s">
        <v>88</v>
      </c>
      <c r="H4547" t="s">
        <v>92</v>
      </c>
    </row>
    <row r="4548" spans="1:8" x14ac:dyDescent="0.25">
      <c r="A4548" t="s">
        <v>227</v>
      </c>
      <c r="B4548" t="s">
        <v>4265</v>
      </c>
      <c r="C4548" t="s">
        <v>88</v>
      </c>
      <c r="D4548" t="s">
        <v>4228</v>
      </c>
      <c r="E4548" t="s">
        <v>2294</v>
      </c>
      <c r="F4548" t="s">
        <v>88</v>
      </c>
      <c r="G4548" t="s">
        <v>88</v>
      </c>
      <c r="H4548" t="s">
        <v>92</v>
      </c>
    </row>
    <row r="4549" spans="1:8" x14ac:dyDescent="0.25">
      <c r="A4549" t="s">
        <v>227</v>
      </c>
      <c r="B4549" t="s">
        <v>4266</v>
      </c>
      <c r="C4549" t="s">
        <v>88</v>
      </c>
      <c r="D4549" t="s">
        <v>4210</v>
      </c>
      <c r="E4549" t="s">
        <v>2833</v>
      </c>
      <c r="F4549" t="s">
        <v>88</v>
      </c>
      <c r="G4549" t="s">
        <v>88</v>
      </c>
      <c r="H4549" t="s">
        <v>92</v>
      </c>
    </row>
    <row r="4550" spans="1:8" x14ac:dyDescent="0.25">
      <c r="A4550" t="s">
        <v>227</v>
      </c>
      <c r="B4550" t="s">
        <v>4267</v>
      </c>
      <c r="C4550" t="s">
        <v>88</v>
      </c>
      <c r="D4550" t="s">
        <v>4224</v>
      </c>
      <c r="E4550" t="s">
        <v>1756</v>
      </c>
      <c r="F4550" t="s">
        <v>88</v>
      </c>
      <c r="G4550" t="s">
        <v>88</v>
      </c>
      <c r="H4550" t="s">
        <v>92</v>
      </c>
    </row>
    <row r="4551" spans="1:8" x14ac:dyDescent="0.25">
      <c r="A4551" t="s">
        <v>227</v>
      </c>
      <c r="B4551" t="s">
        <v>4268</v>
      </c>
      <c r="C4551" t="s">
        <v>88</v>
      </c>
      <c r="D4551" t="s">
        <v>4222</v>
      </c>
      <c r="E4551" t="s">
        <v>2833</v>
      </c>
      <c r="F4551" t="s">
        <v>88</v>
      </c>
      <c r="G4551" t="s">
        <v>88</v>
      </c>
      <c r="H4551" t="s">
        <v>92</v>
      </c>
    </row>
    <row r="4552" spans="1:8" x14ac:dyDescent="0.25">
      <c r="A4552" t="s">
        <v>227</v>
      </c>
      <c r="B4552" t="s">
        <v>4269</v>
      </c>
      <c r="C4552" t="s">
        <v>88</v>
      </c>
      <c r="D4552" t="s">
        <v>4230</v>
      </c>
      <c r="E4552" t="s">
        <v>838</v>
      </c>
      <c r="F4552" t="s">
        <v>88</v>
      </c>
      <c r="G4552" t="s">
        <v>88</v>
      </c>
      <c r="H4552" t="s">
        <v>92</v>
      </c>
    </row>
    <row r="4553" spans="1:8" x14ac:dyDescent="0.25">
      <c r="A4553" t="s">
        <v>227</v>
      </c>
      <c r="B4553" t="s">
        <v>4270</v>
      </c>
      <c r="C4553" t="s">
        <v>88</v>
      </c>
      <c r="D4553" t="s">
        <v>4208</v>
      </c>
      <c r="E4553" t="s">
        <v>1714</v>
      </c>
      <c r="F4553" t="s">
        <v>88</v>
      </c>
      <c r="G4553" t="s">
        <v>88</v>
      </c>
      <c r="H4553" t="s">
        <v>92</v>
      </c>
    </row>
    <row r="4554" spans="1:8" x14ac:dyDescent="0.25">
      <c r="A4554" t="s">
        <v>227</v>
      </c>
      <c r="B4554" t="s">
        <v>4271</v>
      </c>
      <c r="C4554" t="s">
        <v>88</v>
      </c>
      <c r="D4554" t="s">
        <v>4212</v>
      </c>
      <c r="E4554" t="s">
        <v>812</v>
      </c>
      <c r="F4554" t="s">
        <v>88</v>
      </c>
      <c r="G4554" t="s">
        <v>88</v>
      </c>
      <c r="H4554" t="s">
        <v>92</v>
      </c>
    </row>
    <row r="4555" spans="1:8" x14ac:dyDescent="0.25">
      <c r="A4555" t="s">
        <v>227</v>
      </c>
      <c r="B4555" t="s">
        <v>4272</v>
      </c>
      <c r="C4555" t="s">
        <v>88</v>
      </c>
      <c r="D4555" t="s">
        <v>4234</v>
      </c>
      <c r="E4555" t="s">
        <v>1714</v>
      </c>
      <c r="F4555" t="s">
        <v>88</v>
      </c>
      <c r="G4555" t="s">
        <v>88</v>
      </c>
      <c r="H4555" t="s">
        <v>92</v>
      </c>
    </row>
    <row r="4556" spans="1:8" x14ac:dyDescent="0.25">
      <c r="A4556" t="s">
        <v>227</v>
      </c>
      <c r="B4556" t="s">
        <v>4273</v>
      </c>
      <c r="C4556" t="s">
        <v>88</v>
      </c>
      <c r="D4556" t="s">
        <v>4206</v>
      </c>
      <c r="E4556" t="s">
        <v>917</v>
      </c>
      <c r="F4556" t="s">
        <v>88</v>
      </c>
      <c r="G4556" t="s">
        <v>88</v>
      </c>
      <c r="H4556" t="s">
        <v>92</v>
      </c>
    </row>
    <row r="4557" spans="1:8" x14ac:dyDescent="0.25">
      <c r="A4557" t="s">
        <v>227</v>
      </c>
      <c r="B4557" t="s">
        <v>4274</v>
      </c>
      <c r="C4557" t="s">
        <v>88</v>
      </c>
      <c r="D4557" t="s">
        <v>4202</v>
      </c>
      <c r="E4557" t="s">
        <v>4275</v>
      </c>
      <c r="F4557" t="s">
        <v>88</v>
      </c>
      <c r="G4557" t="s">
        <v>88</v>
      </c>
      <c r="H4557" t="s">
        <v>92</v>
      </c>
    </row>
    <row r="4558" spans="1:8" x14ac:dyDescent="0.25">
      <c r="A4558" t="s">
        <v>227</v>
      </c>
      <c r="B4558" t="s">
        <v>4276</v>
      </c>
      <c r="C4558" t="s">
        <v>88</v>
      </c>
      <c r="D4558" t="s">
        <v>4216</v>
      </c>
      <c r="E4558" t="s">
        <v>1714</v>
      </c>
      <c r="F4558" t="s">
        <v>88</v>
      </c>
      <c r="G4558" t="s">
        <v>88</v>
      </c>
      <c r="H4558" t="s">
        <v>92</v>
      </c>
    </row>
    <row r="4559" spans="1:8" x14ac:dyDescent="0.25">
      <c r="A4559" t="s">
        <v>227</v>
      </c>
      <c r="B4559" t="s">
        <v>4277</v>
      </c>
      <c r="C4559" t="s">
        <v>88</v>
      </c>
      <c r="D4559" t="s">
        <v>4220</v>
      </c>
      <c r="E4559" t="s">
        <v>4278</v>
      </c>
      <c r="F4559" t="s">
        <v>88</v>
      </c>
      <c r="G4559" t="s">
        <v>88</v>
      </c>
      <c r="H4559" t="s">
        <v>92</v>
      </c>
    </row>
    <row r="4560" spans="1:8" x14ac:dyDescent="0.25">
      <c r="A4560" t="s">
        <v>227</v>
      </c>
      <c r="B4560" t="s">
        <v>4279</v>
      </c>
      <c r="C4560" t="s">
        <v>88</v>
      </c>
      <c r="D4560" t="s">
        <v>4228</v>
      </c>
      <c r="E4560" t="s">
        <v>812</v>
      </c>
      <c r="F4560" t="s">
        <v>88</v>
      </c>
      <c r="G4560" t="s">
        <v>88</v>
      </c>
      <c r="H4560" t="s">
        <v>92</v>
      </c>
    </row>
    <row r="4561" spans="1:8" x14ac:dyDescent="0.25">
      <c r="A4561" t="s">
        <v>227</v>
      </c>
      <c r="B4561" t="s">
        <v>4280</v>
      </c>
      <c r="C4561" t="s">
        <v>88</v>
      </c>
      <c r="D4561" t="s">
        <v>4210</v>
      </c>
      <c r="E4561" t="s">
        <v>1714</v>
      </c>
      <c r="F4561" t="s">
        <v>88</v>
      </c>
      <c r="G4561" t="s">
        <v>88</v>
      </c>
      <c r="H4561" t="s">
        <v>92</v>
      </c>
    </row>
    <row r="4562" spans="1:8" x14ac:dyDescent="0.25">
      <c r="A4562" t="s">
        <v>227</v>
      </c>
      <c r="B4562" t="s">
        <v>4281</v>
      </c>
      <c r="C4562" t="s">
        <v>88</v>
      </c>
      <c r="D4562" t="s">
        <v>4226</v>
      </c>
      <c r="E4562" t="s">
        <v>4275</v>
      </c>
      <c r="F4562" t="s">
        <v>88</v>
      </c>
      <c r="G4562" t="s">
        <v>88</v>
      </c>
      <c r="H4562" t="s">
        <v>92</v>
      </c>
    </row>
    <row r="4563" spans="1:8" x14ac:dyDescent="0.25">
      <c r="A4563" t="s">
        <v>227</v>
      </c>
      <c r="B4563" t="s">
        <v>4282</v>
      </c>
      <c r="C4563" t="s">
        <v>88</v>
      </c>
      <c r="D4563" t="s">
        <v>4222</v>
      </c>
      <c r="E4563" t="s">
        <v>1714</v>
      </c>
      <c r="F4563" t="s">
        <v>88</v>
      </c>
      <c r="G4563" t="s">
        <v>88</v>
      </c>
      <c r="H4563" t="s">
        <v>92</v>
      </c>
    </row>
    <row r="4564" spans="1:8" x14ac:dyDescent="0.25">
      <c r="A4564" t="s">
        <v>227</v>
      </c>
      <c r="B4564" t="s">
        <v>4283</v>
      </c>
      <c r="C4564" t="s">
        <v>88</v>
      </c>
      <c r="D4564" t="s">
        <v>4224</v>
      </c>
      <c r="E4564" t="s">
        <v>1714</v>
      </c>
      <c r="F4564" t="s">
        <v>88</v>
      </c>
      <c r="G4564" t="s">
        <v>88</v>
      </c>
      <c r="H4564" t="s">
        <v>92</v>
      </c>
    </row>
    <row r="4565" spans="1:8" x14ac:dyDescent="0.25">
      <c r="A4565" t="s">
        <v>227</v>
      </c>
      <c r="B4565" t="s">
        <v>4284</v>
      </c>
      <c r="C4565" t="s">
        <v>88</v>
      </c>
      <c r="D4565" t="s">
        <v>4214</v>
      </c>
      <c r="E4565" t="s">
        <v>4285</v>
      </c>
      <c r="F4565" t="s">
        <v>88</v>
      </c>
      <c r="G4565" t="s">
        <v>88</v>
      </c>
      <c r="H4565" t="s">
        <v>92</v>
      </c>
    </row>
    <row r="4566" spans="1:8" x14ac:dyDescent="0.25">
      <c r="A4566" t="s">
        <v>227</v>
      </c>
      <c r="B4566" t="s">
        <v>4286</v>
      </c>
      <c r="C4566" t="s">
        <v>88</v>
      </c>
      <c r="D4566" t="s">
        <v>4204</v>
      </c>
      <c r="E4566" t="s">
        <v>917</v>
      </c>
      <c r="F4566" t="s">
        <v>88</v>
      </c>
      <c r="G4566" t="s">
        <v>88</v>
      </c>
      <c r="H4566" t="s">
        <v>92</v>
      </c>
    </row>
    <row r="4567" spans="1:8" x14ac:dyDescent="0.25">
      <c r="A4567" t="s">
        <v>227</v>
      </c>
      <c r="B4567" t="s">
        <v>4287</v>
      </c>
      <c r="C4567" t="s">
        <v>88</v>
      </c>
      <c r="D4567" t="s">
        <v>4230</v>
      </c>
      <c r="E4567" t="s">
        <v>666</v>
      </c>
      <c r="F4567" t="s">
        <v>88</v>
      </c>
      <c r="G4567" t="s">
        <v>88</v>
      </c>
      <c r="H4567" t="s">
        <v>92</v>
      </c>
    </row>
    <row r="4568" spans="1:8" x14ac:dyDescent="0.25">
      <c r="A4568" t="s">
        <v>227</v>
      </c>
      <c r="B4568" t="s">
        <v>4288</v>
      </c>
      <c r="C4568" t="s">
        <v>88</v>
      </c>
      <c r="D4568" t="s">
        <v>4218</v>
      </c>
      <c r="E4568" t="s">
        <v>1153</v>
      </c>
      <c r="F4568" t="s">
        <v>88</v>
      </c>
      <c r="G4568" t="s">
        <v>88</v>
      </c>
      <c r="H4568" t="s">
        <v>92</v>
      </c>
    </row>
    <row r="4569" spans="1:8" x14ac:dyDescent="0.25">
      <c r="A4569" t="s">
        <v>227</v>
      </c>
      <c r="B4569" t="s">
        <v>4289</v>
      </c>
      <c r="C4569" t="s">
        <v>88</v>
      </c>
      <c r="D4569" t="s">
        <v>4232</v>
      </c>
      <c r="E4569" t="s">
        <v>1714</v>
      </c>
      <c r="F4569" t="s">
        <v>88</v>
      </c>
      <c r="G4569" t="s">
        <v>88</v>
      </c>
      <c r="H4569" t="s">
        <v>92</v>
      </c>
    </row>
    <row r="4570" spans="1:8" x14ac:dyDescent="0.25">
      <c r="A4570" t="s">
        <v>227</v>
      </c>
      <c r="B4570" t="s">
        <v>4290</v>
      </c>
      <c r="C4570" t="s">
        <v>88</v>
      </c>
      <c r="D4570" t="s">
        <v>4291</v>
      </c>
      <c r="E4570" t="s">
        <v>1135</v>
      </c>
      <c r="F4570" t="s">
        <v>88</v>
      </c>
      <c r="G4570" t="s">
        <v>88</v>
      </c>
      <c r="H4570" t="s">
        <v>92</v>
      </c>
    </row>
    <row r="4571" spans="1:8" x14ac:dyDescent="0.25">
      <c r="A4571" t="s">
        <v>227</v>
      </c>
      <c r="B4571" t="s">
        <v>4292</v>
      </c>
      <c r="C4571" t="s">
        <v>88</v>
      </c>
      <c r="D4571" t="s">
        <v>4293</v>
      </c>
      <c r="E4571" t="s">
        <v>4294</v>
      </c>
      <c r="F4571" t="s">
        <v>88</v>
      </c>
      <c r="G4571" t="s">
        <v>88</v>
      </c>
      <c r="H4571" t="s">
        <v>92</v>
      </c>
    </row>
    <row r="4572" spans="1:8" x14ac:dyDescent="0.25">
      <c r="A4572" t="s">
        <v>227</v>
      </c>
      <c r="B4572" t="s">
        <v>4295</v>
      </c>
      <c r="C4572" t="s">
        <v>88</v>
      </c>
      <c r="D4572" t="s">
        <v>4296</v>
      </c>
      <c r="E4572" t="s">
        <v>4297</v>
      </c>
      <c r="F4572" t="s">
        <v>88</v>
      </c>
      <c r="G4572" t="s">
        <v>88</v>
      </c>
      <c r="H4572" t="s">
        <v>92</v>
      </c>
    </row>
    <row r="4573" spans="1:8" x14ac:dyDescent="0.25">
      <c r="A4573" t="s">
        <v>227</v>
      </c>
      <c r="B4573" t="s">
        <v>4298</v>
      </c>
      <c r="C4573" t="s">
        <v>88</v>
      </c>
      <c r="D4573" t="s">
        <v>4299</v>
      </c>
      <c r="E4573" t="s">
        <v>4278</v>
      </c>
      <c r="F4573" t="s">
        <v>88</v>
      </c>
      <c r="G4573" t="s">
        <v>88</v>
      </c>
      <c r="H4573" t="s">
        <v>92</v>
      </c>
    </row>
    <row r="4574" spans="1:8" x14ac:dyDescent="0.25">
      <c r="A4574" t="s">
        <v>227</v>
      </c>
      <c r="B4574" t="s">
        <v>4300</v>
      </c>
      <c r="C4574" t="s">
        <v>88</v>
      </c>
      <c r="D4574" t="s">
        <v>4301</v>
      </c>
      <c r="E4574" t="s">
        <v>1171</v>
      </c>
      <c r="F4574" t="s">
        <v>88</v>
      </c>
      <c r="G4574" t="s">
        <v>88</v>
      </c>
      <c r="H4574" t="s">
        <v>92</v>
      </c>
    </row>
    <row r="4575" spans="1:8" x14ac:dyDescent="0.25">
      <c r="A4575" t="s">
        <v>227</v>
      </c>
      <c r="B4575" t="s">
        <v>4302</v>
      </c>
      <c r="C4575" t="s">
        <v>88</v>
      </c>
      <c r="D4575" t="s">
        <v>4303</v>
      </c>
      <c r="E4575" t="s">
        <v>4297</v>
      </c>
      <c r="F4575" t="s">
        <v>88</v>
      </c>
      <c r="G4575" t="s">
        <v>88</v>
      </c>
      <c r="H4575" t="s">
        <v>92</v>
      </c>
    </row>
    <row r="4576" spans="1:8" x14ac:dyDescent="0.25">
      <c r="A4576" t="s">
        <v>227</v>
      </c>
      <c r="B4576" t="s">
        <v>4304</v>
      </c>
      <c r="C4576" t="s">
        <v>88</v>
      </c>
      <c r="D4576" t="s">
        <v>4305</v>
      </c>
      <c r="E4576" t="s">
        <v>4294</v>
      </c>
      <c r="F4576" t="s">
        <v>88</v>
      </c>
      <c r="G4576" t="s">
        <v>88</v>
      </c>
      <c r="H4576" t="s">
        <v>92</v>
      </c>
    </row>
    <row r="4577" spans="1:8" x14ac:dyDescent="0.25">
      <c r="A4577" t="s">
        <v>227</v>
      </c>
      <c r="B4577" t="s">
        <v>4306</v>
      </c>
      <c r="C4577" t="s">
        <v>88</v>
      </c>
      <c r="D4577" t="s">
        <v>4307</v>
      </c>
      <c r="E4577" t="s">
        <v>1068</v>
      </c>
      <c r="F4577" t="s">
        <v>88</v>
      </c>
      <c r="G4577" t="s">
        <v>88</v>
      </c>
      <c r="H4577" t="s">
        <v>92</v>
      </c>
    </row>
    <row r="4578" spans="1:8" x14ac:dyDescent="0.25">
      <c r="A4578" t="s">
        <v>227</v>
      </c>
      <c r="B4578" t="s">
        <v>4308</v>
      </c>
      <c r="C4578" t="s">
        <v>88</v>
      </c>
      <c r="D4578" t="s">
        <v>4309</v>
      </c>
      <c r="E4578" t="s">
        <v>1171</v>
      </c>
      <c r="F4578" t="s">
        <v>88</v>
      </c>
      <c r="G4578" t="s">
        <v>88</v>
      </c>
      <c r="H4578" t="s">
        <v>92</v>
      </c>
    </row>
    <row r="4579" spans="1:8" x14ac:dyDescent="0.25">
      <c r="A4579" t="s">
        <v>227</v>
      </c>
      <c r="B4579" t="s">
        <v>4310</v>
      </c>
      <c r="C4579" t="s">
        <v>88</v>
      </c>
      <c r="D4579" t="s">
        <v>4311</v>
      </c>
      <c r="E4579" t="s">
        <v>1135</v>
      </c>
      <c r="F4579" t="s">
        <v>88</v>
      </c>
      <c r="G4579" t="s">
        <v>88</v>
      </c>
      <c r="H4579" t="s">
        <v>92</v>
      </c>
    </row>
    <row r="4580" spans="1:8" x14ac:dyDescent="0.25">
      <c r="A4580" t="s">
        <v>227</v>
      </c>
      <c r="B4580" t="s">
        <v>4312</v>
      </c>
      <c r="C4580" t="s">
        <v>88</v>
      </c>
      <c r="D4580" t="s">
        <v>4313</v>
      </c>
      <c r="E4580" t="s">
        <v>1135</v>
      </c>
      <c r="F4580" t="s">
        <v>88</v>
      </c>
      <c r="G4580" t="s">
        <v>88</v>
      </c>
      <c r="H4580" t="s">
        <v>92</v>
      </c>
    </row>
    <row r="4581" spans="1:8" x14ac:dyDescent="0.25">
      <c r="A4581" t="s">
        <v>227</v>
      </c>
      <c r="B4581" t="s">
        <v>4314</v>
      </c>
      <c r="C4581" t="s">
        <v>88</v>
      </c>
      <c r="D4581" t="s">
        <v>4315</v>
      </c>
      <c r="E4581" t="s">
        <v>4278</v>
      </c>
      <c r="F4581" t="s">
        <v>88</v>
      </c>
      <c r="G4581" t="s">
        <v>88</v>
      </c>
      <c r="H4581" t="s">
        <v>92</v>
      </c>
    </row>
    <row r="4582" spans="1:8" x14ac:dyDescent="0.25">
      <c r="A4582" t="s">
        <v>227</v>
      </c>
      <c r="B4582" t="s">
        <v>4316</v>
      </c>
      <c r="C4582" t="s">
        <v>88</v>
      </c>
      <c r="D4582" t="s">
        <v>4317</v>
      </c>
      <c r="E4582" t="s">
        <v>1135</v>
      </c>
      <c r="F4582" t="s">
        <v>88</v>
      </c>
      <c r="G4582" t="s">
        <v>88</v>
      </c>
      <c r="H4582" t="s">
        <v>92</v>
      </c>
    </row>
    <row r="4583" spans="1:8" x14ac:dyDescent="0.25">
      <c r="A4583" t="s">
        <v>227</v>
      </c>
      <c r="B4583" t="s">
        <v>4318</v>
      </c>
      <c r="C4583" t="s">
        <v>88</v>
      </c>
      <c r="D4583" t="s">
        <v>4319</v>
      </c>
      <c r="E4583" t="s">
        <v>1135</v>
      </c>
      <c r="F4583" t="s">
        <v>88</v>
      </c>
      <c r="G4583" t="s">
        <v>88</v>
      </c>
      <c r="H4583" t="s">
        <v>92</v>
      </c>
    </row>
    <row r="4584" spans="1:8" x14ac:dyDescent="0.25">
      <c r="A4584" t="s">
        <v>227</v>
      </c>
      <c r="B4584" t="s">
        <v>4320</v>
      </c>
      <c r="C4584" t="s">
        <v>88</v>
      </c>
      <c r="D4584" t="s">
        <v>4321</v>
      </c>
      <c r="E4584" t="s">
        <v>1171</v>
      </c>
      <c r="F4584" t="s">
        <v>88</v>
      </c>
      <c r="G4584" t="s">
        <v>88</v>
      </c>
      <c r="H4584" t="s">
        <v>92</v>
      </c>
    </row>
    <row r="4585" spans="1:8" x14ac:dyDescent="0.25">
      <c r="A4585" t="s">
        <v>227</v>
      </c>
      <c r="B4585" t="s">
        <v>4322</v>
      </c>
      <c r="C4585" t="s">
        <v>88</v>
      </c>
      <c r="D4585" t="s">
        <v>4323</v>
      </c>
      <c r="E4585" t="s">
        <v>1135</v>
      </c>
      <c r="F4585" t="s">
        <v>88</v>
      </c>
      <c r="G4585" t="s">
        <v>88</v>
      </c>
      <c r="H4585" t="s">
        <v>92</v>
      </c>
    </row>
    <row r="4586" spans="1:8" x14ac:dyDescent="0.25">
      <c r="A4586" t="s">
        <v>227</v>
      </c>
      <c r="B4586" t="s">
        <v>4324</v>
      </c>
      <c r="C4586" t="s">
        <v>88</v>
      </c>
      <c r="D4586" t="s">
        <v>4325</v>
      </c>
      <c r="E4586" t="s">
        <v>1137</v>
      </c>
      <c r="F4586" t="s">
        <v>88</v>
      </c>
      <c r="G4586" t="s">
        <v>88</v>
      </c>
      <c r="H4586" t="s">
        <v>92</v>
      </c>
    </row>
    <row r="4587" spans="1:8" x14ac:dyDescent="0.25">
      <c r="A4587" t="s">
        <v>227</v>
      </c>
      <c r="B4587" t="s">
        <v>3410</v>
      </c>
      <c r="C4587" t="s">
        <v>88</v>
      </c>
      <c r="D4587" t="s">
        <v>772</v>
      </c>
      <c r="E4587" t="s">
        <v>959</v>
      </c>
      <c r="F4587" t="s">
        <v>88</v>
      </c>
      <c r="G4587" t="s">
        <v>88</v>
      </c>
      <c r="H4587" t="s">
        <v>92</v>
      </c>
    </row>
    <row r="4588" spans="1:8" x14ac:dyDescent="0.25">
      <c r="A4588" t="s">
        <v>227</v>
      </c>
      <c r="B4588" t="s">
        <v>1668</v>
      </c>
      <c r="C4588" t="s">
        <v>88</v>
      </c>
      <c r="D4588" t="s">
        <v>4326</v>
      </c>
      <c r="E4588" t="s">
        <v>959</v>
      </c>
      <c r="F4588" t="s">
        <v>88</v>
      </c>
      <c r="G4588" t="s">
        <v>88</v>
      </c>
      <c r="H4588" t="s">
        <v>92</v>
      </c>
    </row>
    <row r="4589" spans="1:8" x14ac:dyDescent="0.25">
      <c r="A4589" t="s">
        <v>227</v>
      </c>
      <c r="B4589" t="s">
        <v>4327</v>
      </c>
      <c r="C4589" t="s">
        <v>88</v>
      </c>
      <c r="D4589" t="s">
        <v>88</v>
      </c>
      <c r="E4589" t="s">
        <v>738</v>
      </c>
      <c r="F4589" t="s">
        <v>88</v>
      </c>
      <c r="G4589" t="s">
        <v>88</v>
      </c>
      <c r="H4589" t="s">
        <v>92</v>
      </c>
    </row>
    <row r="4590" spans="1:8" x14ac:dyDescent="0.25">
      <c r="A4590" t="s">
        <v>227</v>
      </c>
      <c r="B4590" t="s">
        <v>4328</v>
      </c>
      <c r="C4590" t="s">
        <v>88</v>
      </c>
      <c r="D4590" t="s">
        <v>4232</v>
      </c>
      <c r="E4590" t="s">
        <v>738</v>
      </c>
      <c r="F4590" t="s">
        <v>88</v>
      </c>
      <c r="G4590" t="s">
        <v>88</v>
      </c>
      <c r="H4590" t="s">
        <v>92</v>
      </c>
    </row>
    <row r="4591" spans="1:8" x14ac:dyDescent="0.25">
      <c r="A4591" t="s">
        <v>227</v>
      </c>
      <c r="B4591" t="s">
        <v>4329</v>
      </c>
      <c r="C4591" t="s">
        <v>88</v>
      </c>
      <c r="D4591" t="s">
        <v>88</v>
      </c>
      <c r="E4591" t="s">
        <v>1323</v>
      </c>
      <c r="F4591" t="s">
        <v>88</v>
      </c>
      <c r="G4591" t="s">
        <v>88</v>
      </c>
      <c r="H4591" t="s">
        <v>92</v>
      </c>
    </row>
    <row r="4592" spans="1:8" x14ac:dyDescent="0.25">
      <c r="A4592" t="s">
        <v>227</v>
      </c>
      <c r="B4592" t="s">
        <v>1322</v>
      </c>
      <c r="C4592" t="s">
        <v>88</v>
      </c>
      <c r="D4592" t="s">
        <v>88</v>
      </c>
      <c r="E4592" t="s">
        <v>780</v>
      </c>
      <c r="F4592" t="s">
        <v>88</v>
      </c>
      <c r="G4592" t="s">
        <v>88</v>
      </c>
      <c r="H4592" t="s">
        <v>92</v>
      </c>
    </row>
    <row r="4593" spans="1:8" x14ac:dyDescent="0.25">
      <c r="A4593" t="s">
        <v>227</v>
      </c>
      <c r="B4593" t="s">
        <v>701</v>
      </c>
      <c r="C4593" t="s">
        <v>88</v>
      </c>
      <c r="D4593" t="s">
        <v>88</v>
      </c>
      <c r="E4593" t="s">
        <v>734</v>
      </c>
      <c r="F4593" t="s">
        <v>88</v>
      </c>
      <c r="G4593" t="s">
        <v>88</v>
      </c>
      <c r="H4593" t="s">
        <v>92</v>
      </c>
    </row>
    <row r="4594" spans="1:8" x14ac:dyDescent="0.25">
      <c r="A4594" t="s">
        <v>227</v>
      </c>
      <c r="B4594" t="s">
        <v>705</v>
      </c>
      <c r="C4594" t="s">
        <v>88</v>
      </c>
      <c r="D4594" t="s">
        <v>88</v>
      </c>
      <c r="E4594" t="s">
        <v>734</v>
      </c>
      <c r="F4594" t="s">
        <v>88</v>
      </c>
      <c r="G4594" t="s">
        <v>88</v>
      </c>
      <c r="H4594" t="s">
        <v>92</v>
      </c>
    </row>
    <row r="4595" spans="1:8" x14ac:dyDescent="0.25">
      <c r="A4595" t="s">
        <v>227</v>
      </c>
      <c r="B4595" t="s">
        <v>706</v>
      </c>
      <c r="C4595" t="s">
        <v>88</v>
      </c>
      <c r="D4595" t="s">
        <v>88</v>
      </c>
      <c r="E4595" t="s">
        <v>734</v>
      </c>
      <c r="F4595" t="s">
        <v>88</v>
      </c>
      <c r="G4595" t="s">
        <v>88</v>
      </c>
      <c r="H4595" t="s">
        <v>92</v>
      </c>
    </row>
    <row r="4596" spans="1:8" x14ac:dyDescent="0.25">
      <c r="A4596" t="s">
        <v>227</v>
      </c>
      <c r="B4596" t="s">
        <v>707</v>
      </c>
      <c r="C4596" t="s">
        <v>88</v>
      </c>
      <c r="D4596" t="s">
        <v>88</v>
      </c>
      <c r="E4596" t="s">
        <v>734</v>
      </c>
      <c r="F4596" t="s">
        <v>88</v>
      </c>
      <c r="G4596" t="s">
        <v>88</v>
      </c>
      <c r="H4596" t="s">
        <v>92</v>
      </c>
    </row>
    <row r="4597" spans="1:8" x14ac:dyDescent="0.25">
      <c r="A4597" t="s">
        <v>227</v>
      </c>
      <c r="B4597" t="s">
        <v>708</v>
      </c>
      <c r="C4597" t="s">
        <v>88</v>
      </c>
      <c r="D4597" t="s">
        <v>88</v>
      </c>
      <c r="E4597" t="s">
        <v>734</v>
      </c>
      <c r="F4597" t="s">
        <v>88</v>
      </c>
      <c r="G4597" t="s">
        <v>88</v>
      </c>
      <c r="H4597" t="s">
        <v>92</v>
      </c>
    </row>
    <row r="4598" spans="1:8" x14ac:dyDescent="0.25">
      <c r="A4598" t="s">
        <v>227</v>
      </c>
      <c r="B4598" t="s">
        <v>618</v>
      </c>
      <c r="C4598" t="s">
        <v>88</v>
      </c>
      <c r="D4598" t="s">
        <v>88</v>
      </c>
      <c r="E4598" t="s">
        <v>710</v>
      </c>
      <c r="F4598" t="s">
        <v>88</v>
      </c>
      <c r="G4598" t="s">
        <v>88</v>
      </c>
      <c r="H4598" t="s">
        <v>92</v>
      </c>
    </row>
    <row r="4599" spans="1:8" x14ac:dyDescent="0.25">
      <c r="A4599" t="s">
        <v>227</v>
      </c>
      <c r="B4599" t="s">
        <v>623</v>
      </c>
      <c r="C4599" t="s">
        <v>88</v>
      </c>
      <c r="D4599" t="s">
        <v>88</v>
      </c>
      <c r="E4599" t="s">
        <v>735</v>
      </c>
      <c r="F4599" t="s">
        <v>88</v>
      </c>
      <c r="G4599" t="s">
        <v>88</v>
      </c>
      <c r="H4599" t="s">
        <v>92</v>
      </c>
    </row>
    <row r="4600" spans="1:8" x14ac:dyDescent="0.25">
      <c r="A4600" t="s">
        <v>227</v>
      </c>
      <c r="B4600" t="s">
        <v>714</v>
      </c>
      <c r="C4600" t="s">
        <v>88</v>
      </c>
      <c r="D4600" t="s">
        <v>88</v>
      </c>
      <c r="E4600" t="s">
        <v>799</v>
      </c>
      <c r="F4600" t="s">
        <v>88</v>
      </c>
      <c r="G4600" t="s">
        <v>88</v>
      </c>
      <c r="H4600" t="s">
        <v>92</v>
      </c>
    </row>
    <row r="4601" spans="1:8" x14ac:dyDescent="0.25">
      <c r="A4601" t="s">
        <v>227</v>
      </c>
      <c r="B4601" t="s">
        <v>998</v>
      </c>
      <c r="C4601" t="s">
        <v>88</v>
      </c>
      <c r="D4601" t="s">
        <v>88</v>
      </c>
      <c r="E4601" t="s">
        <v>799</v>
      </c>
      <c r="F4601" t="s">
        <v>88</v>
      </c>
      <c r="G4601" t="s">
        <v>88</v>
      </c>
      <c r="H4601" t="s">
        <v>92</v>
      </c>
    </row>
    <row r="4602" spans="1:8" x14ac:dyDescent="0.25">
      <c r="A4602" t="s">
        <v>227</v>
      </c>
      <c r="B4602" t="s">
        <v>1073</v>
      </c>
      <c r="C4602" t="s">
        <v>88</v>
      </c>
      <c r="D4602" t="s">
        <v>88</v>
      </c>
      <c r="E4602" t="s">
        <v>799</v>
      </c>
      <c r="F4602" t="s">
        <v>88</v>
      </c>
      <c r="G4602" t="s">
        <v>88</v>
      </c>
      <c r="H4602" t="s">
        <v>92</v>
      </c>
    </row>
    <row r="4603" spans="1:8" x14ac:dyDescent="0.25">
      <c r="A4603" t="s">
        <v>227</v>
      </c>
      <c r="B4603" t="s">
        <v>625</v>
      </c>
      <c r="C4603" t="s">
        <v>88</v>
      </c>
      <c r="D4603" t="s">
        <v>88</v>
      </c>
      <c r="E4603" t="s">
        <v>626</v>
      </c>
      <c r="F4603" t="s">
        <v>88</v>
      </c>
      <c r="G4603" t="s">
        <v>88</v>
      </c>
      <c r="H4603" t="s">
        <v>92</v>
      </c>
    </row>
    <row r="4604" spans="1:8" x14ac:dyDescent="0.25">
      <c r="A4604" t="s">
        <v>228</v>
      </c>
      <c r="B4604" t="s">
        <v>4330</v>
      </c>
      <c r="C4604" t="s">
        <v>88</v>
      </c>
      <c r="D4604" t="s">
        <v>4331</v>
      </c>
      <c r="E4604" t="s">
        <v>717</v>
      </c>
      <c r="F4604" t="s">
        <v>88</v>
      </c>
      <c r="G4604" t="s">
        <v>88</v>
      </c>
      <c r="H4604" t="s">
        <v>92</v>
      </c>
    </row>
    <row r="4605" spans="1:8" x14ac:dyDescent="0.25">
      <c r="A4605" t="s">
        <v>228</v>
      </c>
      <c r="B4605" t="s">
        <v>4332</v>
      </c>
      <c r="C4605" t="s">
        <v>88</v>
      </c>
      <c r="D4605" t="s">
        <v>4333</v>
      </c>
      <c r="E4605" t="s">
        <v>893</v>
      </c>
      <c r="F4605" t="s">
        <v>88</v>
      </c>
      <c r="G4605" t="s">
        <v>88</v>
      </c>
      <c r="H4605" t="s">
        <v>92</v>
      </c>
    </row>
    <row r="4606" spans="1:8" x14ac:dyDescent="0.25">
      <c r="A4606" t="s">
        <v>228</v>
      </c>
      <c r="B4606" t="s">
        <v>1360</v>
      </c>
      <c r="C4606" t="s">
        <v>88</v>
      </c>
      <c r="D4606" t="s">
        <v>4334</v>
      </c>
      <c r="E4606" t="s">
        <v>838</v>
      </c>
      <c r="F4606" t="s">
        <v>88</v>
      </c>
      <c r="G4606" t="s">
        <v>88</v>
      </c>
      <c r="H4606" t="s">
        <v>92</v>
      </c>
    </row>
    <row r="4607" spans="1:8" x14ac:dyDescent="0.25">
      <c r="A4607" t="s">
        <v>228</v>
      </c>
      <c r="B4607" t="s">
        <v>1363</v>
      </c>
      <c r="C4607" t="s">
        <v>88</v>
      </c>
      <c r="D4607" t="s">
        <v>4335</v>
      </c>
      <c r="E4607" t="s">
        <v>883</v>
      </c>
      <c r="F4607" t="s">
        <v>88</v>
      </c>
      <c r="G4607" t="s">
        <v>88</v>
      </c>
      <c r="H4607" t="s">
        <v>92</v>
      </c>
    </row>
    <row r="4608" spans="1:8" x14ac:dyDescent="0.25">
      <c r="A4608" t="s">
        <v>228</v>
      </c>
      <c r="B4608" t="s">
        <v>4336</v>
      </c>
      <c r="C4608" t="s">
        <v>88</v>
      </c>
      <c r="D4608" t="s">
        <v>4337</v>
      </c>
      <c r="E4608" t="s">
        <v>1282</v>
      </c>
      <c r="F4608" t="s">
        <v>88</v>
      </c>
      <c r="G4608" t="s">
        <v>88</v>
      </c>
      <c r="H4608" t="s">
        <v>92</v>
      </c>
    </row>
    <row r="4609" spans="1:8" x14ac:dyDescent="0.25">
      <c r="A4609" t="s">
        <v>228</v>
      </c>
      <c r="B4609" t="s">
        <v>4338</v>
      </c>
      <c r="C4609" t="s">
        <v>88</v>
      </c>
      <c r="D4609" t="s">
        <v>4339</v>
      </c>
      <c r="E4609" t="s">
        <v>692</v>
      </c>
      <c r="F4609" t="s">
        <v>88</v>
      </c>
      <c r="G4609" t="s">
        <v>88</v>
      </c>
      <c r="H4609" t="s">
        <v>92</v>
      </c>
    </row>
    <row r="4610" spans="1:8" x14ac:dyDescent="0.25">
      <c r="A4610" t="s">
        <v>228</v>
      </c>
      <c r="B4610" t="s">
        <v>4340</v>
      </c>
      <c r="C4610" t="s">
        <v>88</v>
      </c>
      <c r="D4610" t="s">
        <v>4341</v>
      </c>
      <c r="E4610" t="s">
        <v>655</v>
      </c>
      <c r="F4610" t="s">
        <v>88</v>
      </c>
      <c r="G4610" t="s">
        <v>88</v>
      </c>
      <c r="H4610" t="s">
        <v>92</v>
      </c>
    </row>
    <row r="4611" spans="1:8" x14ac:dyDescent="0.25">
      <c r="A4611" t="s">
        <v>228</v>
      </c>
      <c r="B4611" t="s">
        <v>4342</v>
      </c>
      <c r="C4611" t="s">
        <v>88</v>
      </c>
      <c r="D4611" t="s">
        <v>4343</v>
      </c>
      <c r="E4611" t="s">
        <v>655</v>
      </c>
      <c r="F4611" t="s">
        <v>88</v>
      </c>
      <c r="G4611" t="s">
        <v>88</v>
      </c>
      <c r="H4611" t="s">
        <v>92</v>
      </c>
    </row>
    <row r="4612" spans="1:8" x14ac:dyDescent="0.25">
      <c r="A4612" t="s">
        <v>228</v>
      </c>
      <c r="B4612" t="s">
        <v>1358</v>
      </c>
      <c r="C4612" t="s">
        <v>88</v>
      </c>
      <c r="D4612" t="s">
        <v>4344</v>
      </c>
      <c r="E4612" t="s">
        <v>893</v>
      </c>
      <c r="F4612" t="s">
        <v>88</v>
      </c>
      <c r="G4612" t="s">
        <v>88</v>
      </c>
      <c r="H4612" t="s">
        <v>92</v>
      </c>
    </row>
    <row r="4613" spans="1:8" x14ac:dyDescent="0.25">
      <c r="A4613" t="s">
        <v>228</v>
      </c>
      <c r="B4613" t="s">
        <v>4345</v>
      </c>
      <c r="C4613" t="s">
        <v>88</v>
      </c>
      <c r="D4613" t="s">
        <v>4346</v>
      </c>
      <c r="E4613" t="s">
        <v>692</v>
      </c>
      <c r="F4613" t="s">
        <v>88</v>
      </c>
      <c r="G4613" t="s">
        <v>88</v>
      </c>
      <c r="H4613" t="s">
        <v>92</v>
      </c>
    </row>
    <row r="4614" spans="1:8" x14ac:dyDescent="0.25">
      <c r="A4614" t="s">
        <v>228</v>
      </c>
      <c r="B4614" t="s">
        <v>4347</v>
      </c>
      <c r="C4614" t="s">
        <v>88</v>
      </c>
      <c r="D4614" t="s">
        <v>4348</v>
      </c>
      <c r="E4614" t="s">
        <v>655</v>
      </c>
      <c r="F4614" t="s">
        <v>88</v>
      </c>
      <c r="G4614" t="s">
        <v>88</v>
      </c>
      <c r="H4614" t="s">
        <v>92</v>
      </c>
    </row>
    <row r="4615" spans="1:8" x14ac:dyDescent="0.25">
      <c r="A4615" t="s">
        <v>228</v>
      </c>
      <c r="B4615" t="s">
        <v>1364</v>
      </c>
      <c r="C4615" t="s">
        <v>88</v>
      </c>
      <c r="D4615" t="s">
        <v>4349</v>
      </c>
      <c r="E4615" t="s">
        <v>700</v>
      </c>
      <c r="F4615" t="s">
        <v>88</v>
      </c>
      <c r="G4615" t="s">
        <v>88</v>
      </c>
      <c r="H4615" t="s">
        <v>92</v>
      </c>
    </row>
    <row r="4616" spans="1:8" x14ac:dyDescent="0.25">
      <c r="A4616" t="s">
        <v>228</v>
      </c>
      <c r="B4616" t="s">
        <v>736</v>
      </c>
      <c r="C4616" t="s">
        <v>88</v>
      </c>
      <c r="D4616" t="s">
        <v>4350</v>
      </c>
      <c r="E4616" t="s">
        <v>738</v>
      </c>
      <c r="F4616" t="s">
        <v>88</v>
      </c>
      <c r="G4616" t="s">
        <v>88</v>
      </c>
      <c r="H4616" t="s">
        <v>92</v>
      </c>
    </row>
    <row r="4617" spans="1:8" x14ac:dyDescent="0.25">
      <c r="A4617" t="s">
        <v>228</v>
      </c>
      <c r="B4617" t="s">
        <v>1658</v>
      </c>
      <c r="C4617" t="s">
        <v>88</v>
      </c>
      <c r="D4617" t="s">
        <v>4350</v>
      </c>
      <c r="E4617" t="s">
        <v>738</v>
      </c>
      <c r="F4617" t="s">
        <v>88</v>
      </c>
      <c r="G4617" t="s">
        <v>88</v>
      </c>
      <c r="H4617" t="s">
        <v>92</v>
      </c>
    </row>
    <row r="4618" spans="1:8" x14ac:dyDescent="0.25">
      <c r="A4618" t="s">
        <v>228</v>
      </c>
      <c r="B4618" t="s">
        <v>739</v>
      </c>
      <c r="C4618" t="s">
        <v>88</v>
      </c>
      <c r="D4618" t="s">
        <v>4350</v>
      </c>
      <c r="E4618" t="s">
        <v>715</v>
      </c>
      <c r="F4618" t="s">
        <v>88</v>
      </c>
      <c r="G4618" t="s">
        <v>88</v>
      </c>
      <c r="H4618" t="s">
        <v>92</v>
      </c>
    </row>
    <row r="4619" spans="1:8" x14ac:dyDescent="0.25">
      <c r="A4619" t="s">
        <v>228</v>
      </c>
      <c r="B4619" t="s">
        <v>1396</v>
      </c>
      <c r="C4619" t="s">
        <v>88</v>
      </c>
      <c r="D4619" t="s">
        <v>4350</v>
      </c>
      <c r="E4619" t="s">
        <v>723</v>
      </c>
      <c r="F4619" t="s">
        <v>88</v>
      </c>
      <c r="G4619" t="s">
        <v>88</v>
      </c>
      <c r="H4619" t="s">
        <v>92</v>
      </c>
    </row>
    <row r="4620" spans="1:8" x14ac:dyDescent="0.25">
      <c r="A4620" t="s">
        <v>228</v>
      </c>
      <c r="B4620" t="s">
        <v>777</v>
      </c>
      <c r="C4620" t="s">
        <v>88</v>
      </c>
      <c r="D4620" t="s">
        <v>4350</v>
      </c>
      <c r="E4620" t="s">
        <v>715</v>
      </c>
      <c r="F4620" t="s">
        <v>88</v>
      </c>
      <c r="G4620" t="s">
        <v>88</v>
      </c>
      <c r="H4620" t="s">
        <v>92</v>
      </c>
    </row>
    <row r="4621" spans="1:8" x14ac:dyDescent="0.25">
      <c r="A4621" t="s">
        <v>228</v>
      </c>
      <c r="B4621" t="s">
        <v>612</v>
      </c>
      <c r="C4621" t="s">
        <v>88</v>
      </c>
      <c r="D4621" t="s">
        <v>88</v>
      </c>
      <c r="E4621" t="s">
        <v>709</v>
      </c>
      <c r="F4621" t="s">
        <v>88</v>
      </c>
      <c r="G4621" t="s">
        <v>88</v>
      </c>
      <c r="H4621" t="s">
        <v>92</v>
      </c>
    </row>
    <row r="4622" spans="1:8" x14ac:dyDescent="0.25">
      <c r="A4622" t="s">
        <v>228</v>
      </c>
      <c r="B4622" t="s">
        <v>615</v>
      </c>
      <c r="C4622" t="s">
        <v>88</v>
      </c>
      <c r="D4622" t="s">
        <v>88</v>
      </c>
      <c r="E4622" t="s">
        <v>709</v>
      </c>
      <c r="F4622" t="s">
        <v>88</v>
      </c>
      <c r="G4622" t="s">
        <v>88</v>
      </c>
      <c r="H4622" t="s">
        <v>92</v>
      </c>
    </row>
    <row r="4623" spans="1:8" x14ac:dyDescent="0.25">
      <c r="A4623" t="s">
        <v>228</v>
      </c>
      <c r="B4623" t="s">
        <v>617</v>
      </c>
      <c r="C4623" t="s">
        <v>88</v>
      </c>
      <c r="D4623" t="s">
        <v>88</v>
      </c>
      <c r="E4623" t="s">
        <v>709</v>
      </c>
      <c r="F4623" t="s">
        <v>88</v>
      </c>
      <c r="G4623" t="s">
        <v>88</v>
      </c>
      <c r="H4623" t="s">
        <v>92</v>
      </c>
    </row>
    <row r="4624" spans="1:8" x14ac:dyDescent="0.25">
      <c r="A4624" t="s">
        <v>228</v>
      </c>
      <c r="B4624" t="s">
        <v>926</v>
      </c>
      <c r="C4624" t="s">
        <v>88</v>
      </c>
      <c r="D4624" t="s">
        <v>88</v>
      </c>
      <c r="E4624" t="s">
        <v>711</v>
      </c>
      <c r="F4624" t="s">
        <v>88</v>
      </c>
      <c r="G4624" t="s">
        <v>88</v>
      </c>
      <c r="H4624" t="s">
        <v>92</v>
      </c>
    </row>
    <row r="4625" spans="1:8" x14ac:dyDescent="0.25">
      <c r="A4625" t="s">
        <v>228</v>
      </c>
      <c r="B4625" t="s">
        <v>622</v>
      </c>
      <c r="C4625" t="s">
        <v>88</v>
      </c>
      <c r="D4625" t="s">
        <v>88</v>
      </c>
      <c r="E4625" t="s">
        <v>735</v>
      </c>
      <c r="F4625" t="s">
        <v>88</v>
      </c>
      <c r="G4625" t="s">
        <v>88</v>
      </c>
      <c r="H4625" t="s">
        <v>92</v>
      </c>
    </row>
    <row r="4626" spans="1:8" x14ac:dyDescent="0.25">
      <c r="A4626" t="s">
        <v>228</v>
      </c>
      <c r="B4626" t="s">
        <v>623</v>
      </c>
      <c r="C4626" t="s">
        <v>88</v>
      </c>
      <c r="D4626" t="s">
        <v>88</v>
      </c>
      <c r="E4626" t="s">
        <v>735</v>
      </c>
      <c r="F4626" t="s">
        <v>88</v>
      </c>
      <c r="G4626" t="s">
        <v>88</v>
      </c>
      <c r="H4626" t="s">
        <v>92</v>
      </c>
    </row>
    <row r="4627" spans="1:8" x14ac:dyDescent="0.25">
      <c r="A4627" t="s">
        <v>228</v>
      </c>
      <c r="B4627" t="s">
        <v>625</v>
      </c>
      <c r="C4627" t="s">
        <v>88</v>
      </c>
      <c r="D4627" t="s">
        <v>88</v>
      </c>
      <c r="E4627" t="s">
        <v>626</v>
      </c>
      <c r="F4627" t="s">
        <v>88</v>
      </c>
      <c r="G4627" t="s">
        <v>88</v>
      </c>
      <c r="H4627" t="s">
        <v>92</v>
      </c>
    </row>
    <row r="4628" spans="1:8" x14ac:dyDescent="0.25">
      <c r="A4628" t="s">
        <v>229</v>
      </c>
      <c r="B4628" t="s">
        <v>739</v>
      </c>
      <c r="C4628" t="s">
        <v>88</v>
      </c>
      <c r="D4628" t="s">
        <v>4351</v>
      </c>
      <c r="E4628" t="s">
        <v>723</v>
      </c>
      <c r="F4628" t="s">
        <v>88</v>
      </c>
      <c r="G4628" t="s">
        <v>88</v>
      </c>
      <c r="H4628" t="s">
        <v>92</v>
      </c>
    </row>
    <row r="4629" spans="1:8" x14ac:dyDescent="0.25">
      <c r="A4629" t="s">
        <v>229</v>
      </c>
      <c r="B4629" t="s">
        <v>769</v>
      </c>
      <c r="C4629" t="s">
        <v>88</v>
      </c>
      <c r="D4629" t="s">
        <v>4352</v>
      </c>
      <c r="E4629" t="s">
        <v>838</v>
      </c>
      <c r="F4629" t="s">
        <v>88</v>
      </c>
      <c r="G4629" t="s">
        <v>88</v>
      </c>
      <c r="H4629" t="s">
        <v>92</v>
      </c>
    </row>
    <row r="4630" spans="1:8" x14ac:dyDescent="0.25">
      <c r="A4630" t="s">
        <v>229</v>
      </c>
      <c r="B4630" t="s">
        <v>923</v>
      </c>
      <c r="C4630" t="s">
        <v>88</v>
      </c>
      <c r="D4630" t="s">
        <v>4351</v>
      </c>
      <c r="E4630" t="s">
        <v>723</v>
      </c>
      <c r="F4630" t="s">
        <v>88</v>
      </c>
      <c r="G4630" t="s">
        <v>88</v>
      </c>
      <c r="H4630" t="s">
        <v>92</v>
      </c>
    </row>
    <row r="4631" spans="1:8" x14ac:dyDescent="0.25">
      <c r="A4631" t="s">
        <v>229</v>
      </c>
      <c r="B4631" t="s">
        <v>1234</v>
      </c>
      <c r="C4631" t="s">
        <v>88</v>
      </c>
      <c r="D4631" t="s">
        <v>2397</v>
      </c>
      <c r="E4631" t="s">
        <v>964</v>
      </c>
      <c r="F4631" t="s">
        <v>88</v>
      </c>
      <c r="G4631" t="s">
        <v>88</v>
      </c>
      <c r="H4631" t="s">
        <v>92</v>
      </c>
    </row>
    <row r="4632" spans="1:8" x14ac:dyDescent="0.25">
      <c r="A4632" t="s">
        <v>229</v>
      </c>
      <c r="B4632" t="s">
        <v>876</v>
      </c>
      <c r="C4632" t="s">
        <v>88</v>
      </c>
      <c r="D4632" t="s">
        <v>4353</v>
      </c>
      <c r="E4632" t="s">
        <v>692</v>
      </c>
      <c r="F4632" t="s">
        <v>88</v>
      </c>
      <c r="G4632" t="s">
        <v>88</v>
      </c>
      <c r="H4632" t="s">
        <v>92</v>
      </c>
    </row>
    <row r="4633" spans="1:8" x14ac:dyDescent="0.25">
      <c r="A4633" t="s">
        <v>229</v>
      </c>
      <c r="B4633" t="s">
        <v>876</v>
      </c>
      <c r="C4633" t="s">
        <v>88</v>
      </c>
      <c r="D4633" t="s">
        <v>4353</v>
      </c>
      <c r="E4633" t="s">
        <v>692</v>
      </c>
      <c r="F4633" t="s">
        <v>88</v>
      </c>
      <c r="G4633" t="s">
        <v>88</v>
      </c>
      <c r="H4633" t="s">
        <v>92</v>
      </c>
    </row>
    <row r="4634" spans="1:8" x14ac:dyDescent="0.25">
      <c r="A4634" t="s">
        <v>229</v>
      </c>
      <c r="B4634" t="s">
        <v>881</v>
      </c>
      <c r="C4634" t="s">
        <v>88</v>
      </c>
      <c r="D4634" t="s">
        <v>4353</v>
      </c>
      <c r="E4634" t="s">
        <v>692</v>
      </c>
      <c r="F4634" t="s">
        <v>88</v>
      </c>
      <c r="G4634" t="s">
        <v>88</v>
      </c>
      <c r="H4634" t="s">
        <v>92</v>
      </c>
    </row>
    <row r="4635" spans="1:8" x14ac:dyDescent="0.25">
      <c r="A4635" t="s">
        <v>229</v>
      </c>
      <c r="B4635" t="s">
        <v>740</v>
      </c>
      <c r="C4635" t="s">
        <v>88</v>
      </c>
      <c r="D4635" t="s">
        <v>4353</v>
      </c>
      <c r="E4635" t="s">
        <v>893</v>
      </c>
      <c r="F4635" t="s">
        <v>88</v>
      </c>
      <c r="G4635" t="s">
        <v>88</v>
      </c>
      <c r="H4635" t="s">
        <v>92</v>
      </c>
    </row>
    <row r="4636" spans="1:8" x14ac:dyDescent="0.25">
      <c r="A4636" t="s">
        <v>229</v>
      </c>
      <c r="B4636" t="s">
        <v>769</v>
      </c>
      <c r="C4636" t="s">
        <v>88</v>
      </c>
      <c r="D4636" t="s">
        <v>4352</v>
      </c>
      <c r="E4636" t="s">
        <v>838</v>
      </c>
      <c r="F4636" t="s">
        <v>88</v>
      </c>
      <c r="G4636" t="s">
        <v>88</v>
      </c>
      <c r="H4636" t="s">
        <v>92</v>
      </c>
    </row>
    <row r="4637" spans="1:8" x14ac:dyDescent="0.25">
      <c r="A4637" t="s">
        <v>229</v>
      </c>
      <c r="B4637" t="s">
        <v>764</v>
      </c>
      <c r="C4637" t="s">
        <v>88</v>
      </c>
      <c r="D4637" t="s">
        <v>4353</v>
      </c>
      <c r="E4637" t="s">
        <v>760</v>
      </c>
      <c r="F4637" t="s">
        <v>88</v>
      </c>
      <c r="G4637" t="s">
        <v>88</v>
      </c>
      <c r="H4637" t="s">
        <v>92</v>
      </c>
    </row>
    <row r="4638" spans="1:8" x14ac:dyDescent="0.25">
      <c r="A4638" t="s">
        <v>229</v>
      </c>
      <c r="B4638" t="s">
        <v>743</v>
      </c>
      <c r="C4638" t="s">
        <v>88</v>
      </c>
      <c r="D4638" t="s">
        <v>4353</v>
      </c>
      <c r="E4638" t="s">
        <v>760</v>
      </c>
      <c r="F4638" t="s">
        <v>88</v>
      </c>
      <c r="G4638" t="s">
        <v>88</v>
      </c>
      <c r="H4638" t="s">
        <v>92</v>
      </c>
    </row>
    <row r="4639" spans="1:8" x14ac:dyDescent="0.25">
      <c r="A4639" t="s">
        <v>229</v>
      </c>
      <c r="B4639" t="s">
        <v>767</v>
      </c>
      <c r="C4639" t="s">
        <v>88</v>
      </c>
      <c r="D4639" t="s">
        <v>4353</v>
      </c>
      <c r="E4639" t="s">
        <v>760</v>
      </c>
      <c r="F4639" t="s">
        <v>88</v>
      </c>
      <c r="G4639" t="s">
        <v>88</v>
      </c>
      <c r="H4639" t="s">
        <v>92</v>
      </c>
    </row>
    <row r="4640" spans="1:8" x14ac:dyDescent="0.25">
      <c r="A4640" t="s">
        <v>229</v>
      </c>
      <c r="B4640" t="s">
        <v>898</v>
      </c>
      <c r="C4640" t="s">
        <v>88</v>
      </c>
      <c r="D4640" t="s">
        <v>4353</v>
      </c>
      <c r="E4640" t="s">
        <v>1353</v>
      </c>
      <c r="F4640" t="s">
        <v>88</v>
      </c>
      <c r="G4640" t="s">
        <v>88</v>
      </c>
      <c r="H4640" t="s">
        <v>92</v>
      </c>
    </row>
    <row r="4641" spans="1:8" x14ac:dyDescent="0.25">
      <c r="A4641" t="s">
        <v>229</v>
      </c>
      <c r="B4641" t="s">
        <v>4354</v>
      </c>
      <c r="C4641" t="s">
        <v>88</v>
      </c>
      <c r="D4641" t="s">
        <v>4351</v>
      </c>
      <c r="E4641" t="s">
        <v>723</v>
      </c>
      <c r="F4641" t="s">
        <v>88</v>
      </c>
      <c r="G4641" t="s">
        <v>88</v>
      </c>
      <c r="H4641" t="s">
        <v>92</v>
      </c>
    </row>
    <row r="4642" spans="1:8" x14ac:dyDescent="0.25">
      <c r="A4642" t="s">
        <v>229</v>
      </c>
      <c r="B4642" t="s">
        <v>923</v>
      </c>
      <c r="C4642" t="s">
        <v>88</v>
      </c>
      <c r="D4642" t="s">
        <v>4351</v>
      </c>
      <c r="E4642" t="s">
        <v>723</v>
      </c>
      <c r="F4642" t="s">
        <v>88</v>
      </c>
      <c r="G4642" t="s">
        <v>88</v>
      </c>
      <c r="H4642" t="s">
        <v>92</v>
      </c>
    </row>
    <row r="4643" spans="1:8" x14ac:dyDescent="0.25">
      <c r="A4643" t="s">
        <v>229</v>
      </c>
      <c r="B4643" t="s">
        <v>739</v>
      </c>
      <c r="C4643" t="s">
        <v>88</v>
      </c>
      <c r="D4643" t="s">
        <v>4351</v>
      </c>
      <c r="E4643" t="s">
        <v>723</v>
      </c>
      <c r="F4643" t="s">
        <v>88</v>
      </c>
      <c r="G4643" t="s">
        <v>88</v>
      </c>
      <c r="H4643" t="s">
        <v>92</v>
      </c>
    </row>
    <row r="4644" spans="1:8" x14ac:dyDescent="0.25">
      <c r="A4644" t="s">
        <v>229</v>
      </c>
      <c r="B4644" t="s">
        <v>1396</v>
      </c>
      <c r="C4644" t="s">
        <v>88</v>
      </c>
      <c r="D4644" t="s">
        <v>4351</v>
      </c>
      <c r="E4644" t="s">
        <v>663</v>
      </c>
      <c r="F4644" t="s">
        <v>88</v>
      </c>
      <c r="G4644" t="s">
        <v>88</v>
      </c>
      <c r="H4644" t="s">
        <v>92</v>
      </c>
    </row>
    <row r="4645" spans="1:8" x14ac:dyDescent="0.25">
      <c r="A4645" t="s">
        <v>229</v>
      </c>
      <c r="B4645" t="s">
        <v>948</v>
      </c>
      <c r="C4645" t="s">
        <v>88</v>
      </c>
      <c r="D4645" t="s">
        <v>88</v>
      </c>
      <c r="E4645" t="s">
        <v>735</v>
      </c>
      <c r="F4645" t="s">
        <v>88</v>
      </c>
      <c r="G4645" t="s">
        <v>88</v>
      </c>
      <c r="H4645" t="s">
        <v>92</v>
      </c>
    </row>
    <row r="4646" spans="1:8" x14ac:dyDescent="0.25">
      <c r="A4646" t="s">
        <v>229</v>
      </c>
      <c r="B4646" t="s">
        <v>612</v>
      </c>
      <c r="C4646" t="s">
        <v>88</v>
      </c>
      <c r="D4646" t="s">
        <v>88</v>
      </c>
      <c r="E4646" t="s">
        <v>734</v>
      </c>
      <c r="F4646" t="s">
        <v>88</v>
      </c>
      <c r="G4646" t="s">
        <v>88</v>
      </c>
      <c r="H4646" t="s">
        <v>92</v>
      </c>
    </row>
    <row r="4647" spans="1:8" x14ac:dyDescent="0.25">
      <c r="A4647" t="s">
        <v>229</v>
      </c>
      <c r="B4647" t="s">
        <v>615</v>
      </c>
      <c r="C4647" t="s">
        <v>88</v>
      </c>
      <c r="D4647" t="s">
        <v>88</v>
      </c>
      <c r="E4647" t="s">
        <v>734</v>
      </c>
      <c r="F4647" t="s">
        <v>88</v>
      </c>
      <c r="G4647" t="s">
        <v>88</v>
      </c>
      <c r="H4647" t="s">
        <v>92</v>
      </c>
    </row>
    <row r="4648" spans="1:8" x14ac:dyDescent="0.25">
      <c r="A4648" t="s">
        <v>229</v>
      </c>
      <c r="B4648" t="s">
        <v>794</v>
      </c>
      <c r="C4648" t="s">
        <v>88</v>
      </c>
      <c r="D4648" t="s">
        <v>88</v>
      </c>
      <c r="E4648" t="s">
        <v>710</v>
      </c>
      <c r="F4648" t="s">
        <v>88</v>
      </c>
      <c r="G4648" t="s">
        <v>88</v>
      </c>
      <c r="H4648" t="s">
        <v>92</v>
      </c>
    </row>
    <row r="4649" spans="1:8" x14ac:dyDescent="0.25">
      <c r="A4649" t="s">
        <v>229</v>
      </c>
      <c r="B4649" t="s">
        <v>618</v>
      </c>
      <c r="C4649" t="s">
        <v>88</v>
      </c>
      <c r="D4649" t="s">
        <v>88</v>
      </c>
      <c r="E4649" t="s">
        <v>710</v>
      </c>
      <c r="F4649" t="s">
        <v>88</v>
      </c>
      <c r="G4649" t="s">
        <v>88</v>
      </c>
      <c r="H4649" t="s">
        <v>92</v>
      </c>
    </row>
    <row r="4650" spans="1:8" x14ac:dyDescent="0.25">
      <c r="A4650" t="s">
        <v>229</v>
      </c>
      <c r="B4650" t="s">
        <v>620</v>
      </c>
      <c r="C4650" t="s">
        <v>88</v>
      </c>
      <c r="D4650" t="s">
        <v>88</v>
      </c>
      <c r="E4650" t="s">
        <v>710</v>
      </c>
      <c r="F4650" t="s">
        <v>88</v>
      </c>
      <c r="G4650" t="s">
        <v>88</v>
      </c>
      <c r="H4650" t="s">
        <v>92</v>
      </c>
    </row>
    <row r="4651" spans="1:8" x14ac:dyDescent="0.25">
      <c r="A4651" t="s">
        <v>229</v>
      </c>
      <c r="B4651" t="s">
        <v>622</v>
      </c>
      <c r="C4651" t="s">
        <v>88</v>
      </c>
      <c r="D4651" t="s">
        <v>88</v>
      </c>
      <c r="E4651" t="s">
        <v>710</v>
      </c>
      <c r="F4651" t="s">
        <v>88</v>
      </c>
      <c r="G4651" t="s">
        <v>88</v>
      </c>
      <c r="H4651" t="s">
        <v>92</v>
      </c>
    </row>
    <row r="4652" spans="1:8" x14ac:dyDescent="0.25">
      <c r="A4652" t="s">
        <v>229</v>
      </c>
      <c r="B4652" t="s">
        <v>623</v>
      </c>
      <c r="C4652" t="s">
        <v>88</v>
      </c>
      <c r="D4652" t="s">
        <v>88</v>
      </c>
      <c r="E4652" t="s">
        <v>735</v>
      </c>
      <c r="F4652" t="s">
        <v>88</v>
      </c>
      <c r="G4652" t="s">
        <v>88</v>
      </c>
      <c r="H4652" t="s">
        <v>92</v>
      </c>
    </row>
    <row r="4653" spans="1:8" x14ac:dyDescent="0.25">
      <c r="A4653" t="s">
        <v>229</v>
      </c>
      <c r="B4653" t="s">
        <v>798</v>
      </c>
      <c r="C4653" t="s">
        <v>88</v>
      </c>
      <c r="D4653" t="s">
        <v>88</v>
      </c>
      <c r="E4653" t="s">
        <v>791</v>
      </c>
      <c r="F4653" t="s">
        <v>88</v>
      </c>
      <c r="G4653" t="s">
        <v>88</v>
      </c>
      <c r="H4653" t="s">
        <v>92</v>
      </c>
    </row>
    <row r="4654" spans="1:8" x14ac:dyDescent="0.25">
      <c r="A4654" t="s">
        <v>229</v>
      </c>
      <c r="B4654" t="s">
        <v>852</v>
      </c>
      <c r="C4654" t="s">
        <v>88</v>
      </c>
      <c r="D4654" t="s">
        <v>88</v>
      </c>
      <c r="E4654" t="s">
        <v>715</v>
      </c>
      <c r="F4654" t="s">
        <v>88</v>
      </c>
      <c r="G4654" t="s">
        <v>88</v>
      </c>
      <c r="H4654" t="s">
        <v>92</v>
      </c>
    </row>
    <row r="4655" spans="1:8" x14ac:dyDescent="0.25">
      <c r="A4655" t="s">
        <v>229</v>
      </c>
      <c r="B4655" t="s">
        <v>1237</v>
      </c>
      <c r="C4655" t="s">
        <v>88</v>
      </c>
      <c r="D4655" t="s">
        <v>2397</v>
      </c>
      <c r="E4655" t="s">
        <v>841</v>
      </c>
      <c r="F4655" t="s">
        <v>88</v>
      </c>
      <c r="G4655" t="s">
        <v>88</v>
      </c>
      <c r="H4655" t="s">
        <v>92</v>
      </c>
    </row>
    <row r="4656" spans="1:8" x14ac:dyDescent="0.25">
      <c r="A4656" t="s">
        <v>229</v>
      </c>
      <c r="B4656" t="s">
        <v>1234</v>
      </c>
      <c r="C4656" t="s">
        <v>88</v>
      </c>
      <c r="D4656" t="s">
        <v>2397</v>
      </c>
      <c r="E4656" t="s">
        <v>964</v>
      </c>
      <c r="F4656" t="s">
        <v>88</v>
      </c>
      <c r="G4656" t="s">
        <v>88</v>
      </c>
      <c r="H4656" t="s">
        <v>92</v>
      </c>
    </row>
    <row r="4657" spans="1:8" x14ac:dyDescent="0.25">
      <c r="A4657" t="s">
        <v>229</v>
      </c>
      <c r="B4657" t="s">
        <v>1238</v>
      </c>
      <c r="C4657" t="s">
        <v>88</v>
      </c>
      <c r="D4657" t="s">
        <v>2397</v>
      </c>
      <c r="E4657" t="s">
        <v>964</v>
      </c>
      <c r="F4657" t="s">
        <v>88</v>
      </c>
      <c r="G4657" t="s">
        <v>88</v>
      </c>
      <c r="H4657" t="s">
        <v>92</v>
      </c>
    </row>
    <row r="4658" spans="1:8" x14ac:dyDescent="0.25">
      <c r="A4658" t="s">
        <v>229</v>
      </c>
      <c r="B4658" t="s">
        <v>625</v>
      </c>
      <c r="C4658" t="s">
        <v>88</v>
      </c>
      <c r="D4658" t="s">
        <v>88</v>
      </c>
      <c r="E4658" t="s">
        <v>626</v>
      </c>
      <c r="F4658" t="s">
        <v>88</v>
      </c>
      <c r="G4658" t="s">
        <v>88</v>
      </c>
      <c r="H4658" t="s">
        <v>92</v>
      </c>
    </row>
    <row r="4659" spans="1:8" x14ac:dyDescent="0.25">
      <c r="A4659" t="s">
        <v>231</v>
      </c>
      <c r="B4659" t="s">
        <v>2021</v>
      </c>
      <c r="C4659" t="s">
        <v>88</v>
      </c>
      <c r="D4659" t="s">
        <v>88</v>
      </c>
      <c r="E4659" t="s">
        <v>702</v>
      </c>
      <c r="F4659" t="s">
        <v>88</v>
      </c>
      <c r="G4659" t="s">
        <v>88</v>
      </c>
      <c r="H4659" t="s">
        <v>92</v>
      </c>
    </row>
    <row r="4660" spans="1:8" x14ac:dyDescent="0.25">
      <c r="A4660" t="s">
        <v>231</v>
      </c>
      <c r="B4660" t="s">
        <v>882</v>
      </c>
      <c r="C4660" t="s">
        <v>88</v>
      </c>
      <c r="D4660" t="s">
        <v>88</v>
      </c>
      <c r="E4660" t="s">
        <v>748</v>
      </c>
      <c r="F4660" t="s">
        <v>88</v>
      </c>
      <c r="G4660" t="s">
        <v>88</v>
      </c>
      <c r="H4660" t="s">
        <v>92</v>
      </c>
    </row>
    <row r="4661" spans="1:8" x14ac:dyDescent="0.25">
      <c r="A4661" t="s">
        <v>231</v>
      </c>
      <c r="B4661" t="s">
        <v>4355</v>
      </c>
      <c r="C4661" t="s">
        <v>88</v>
      </c>
      <c r="D4661" t="s">
        <v>4356</v>
      </c>
      <c r="E4661" t="s">
        <v>717</v>
      </c>
      <c r="F4661" t="s">
        <v>88</v>
      </c>
      <c r="G4661" t="s">
        <v>88</v>
      </c>
      <c r="H4661" t="s">
        <v>92</v>
      </c>
    </row>
    <row r="4662" spans="1:8" x14ac:dyDescent="0.25">
      <c r="A4662" t="s">
        <v>231</v>
      </c>
      <c r="B4662" t="s">
        <v>736</v>
      </c>
      <c r="C4662" t="s">
        <v>88</v>
      </c>
      <c r="D4662" t="s">
        <v>4357</v>
      </c>
      <c r="E4662" t="s">
        <v>723</v>
      </c>
      <c r="F4662" t="s">
        <v>88</v>
      </c>
      <c r="G4662" t="s">
        <v>88</v>
      </c>
      <c r="H4662" t="s">
        <v>92</v>
      </c>
    </row>
    <row r="4663" spans="1:8" x14ac:dyDescent="0.25">
      <c r="A4663" t="s">
        <v>231</v>
      </c>
      <c r="B4663" t="s">
        <v>896</v>
      </c>
      <c r="C4663" t="s">
        <v>88</v>
      </c>
      <c r="D4663" t="s">
        <v>88</v>
      </c>
      <c r="E4663" t="s">
        <v>655</v>
      </c>
      <c r="F4663" t="s">
        <v>88</v>
      </c>
      <c r="G4663" t="s">
        <v>88</v>
      </c>
      <c r="H4663" t="s">
        <v>92</v>
      </c>
    </row>
    <row r="4664" spans="1:8" x14ac:dyDescent="0.25">
      <c r="A4664" t="s">
        <v>231</v>
      </c>
      <c r="B4664" t="s">
        <v>3338</v>
      </c>
      <c r="C4664" t="s">
        <v>88</v>
      </c>
      <c r="D4664" t="s">
        <v>3339</v>
      </c>
      <c r="E4664" t="s">
        <v>889</v>
      </c>
      <c r="F4664" t="s">
        <v>88</v>
      </c>
      <c r="G4664" t="s">
        <v>88</v>
      </c>
      <c r="H4664" t="s">
        <v>92</v>
      </c>
    </row>
    <row r="4665" spans="1:8" x14ac:dyDescent="0.25">
      <c r="A4665" t="s">
        <v>231</v>
      </c>
      <c r="B4665" t="s">
        <v>1741</v>
      </c>
      <c r="C4665" t="s">
        <v>88</v>
      </c>
      <c r="D4665" t="s">
        <v>4358</v>
      </c>
      <c r="E4665" t="s">
        <v>959</v>
      </c>
      <c r="F4665" t="s">
        <v>88</v>
      </c>
      <c r="G4665" t="s">
        <v>88</v>
      </c>
      <c r="H4665" t="s">
        <v>92</v>
      </c>
    </row>
    <row r="4666" spans="1:8" x14ac:dyDescent="0.25">
      <c r="A4666" t="s">
        <v>231</v>
      </c>
      <c r="B4666" t="s">
        <v>4355</v>
      </c>
      <c r="C4666" t="s">
        <v>88</v>
      </c>
      <c r="D4666" t="s">
        <v>4356</v>
      </c>
      <c r="E4666" t="s">
        <v>717</v>
      </c>
      <c r="F4666" t="s">
        <v>88</v>
      </c>
      <c r="G4666" t="s">
        <v>88</v>
      </c>
      <c r="H4666" t="s">
        <v>92</v>
      </c>
    </row>
    <row r="4667" spans="1:8" x14ac:dyDescent="0.25">
      <c r="A4667" t="s">
        <v>231</v>
      </c>
      <c r="B4667" t="s">
        <v>1780</v>
      </c>
      <c r="C4667" t="s">
        <v>88</v>
      </c>
      <c r="D4667" t="s">
        <v>88</v>
      </c>
      <c r="E4667" t="s">
        <v>2513</v>
      </c>
      <c r="F4667" t="s">
        <v>88</v>
      </c>
      <c r="G4667" t="s">
        <v>88</v>
      </c>
      <c r="H4667" t="s">
        <v>92</v>
      </c>
    </row>
    <row r="4668" spans="1:8" x14ac:dyDescent="0.25">
      <c r="A4668" t="s">
        <v>231</v>
      </c>
      <c r="B4668" t="s">
        <v>2021</v>
      </c>
      <c r="C4668" t="s">
        <v>88</v>
      </c>
      <c r="D4668" t="s">
        <v>88</v>
      </c>
      <c r="E4668" t="s">
        <v>702</v>
      </c>
      <c r="F4668" t="s">
        <v>88</v>
      </c>
      <c r="G4668" t="s">
        <v>88</v>
      </c>
      <c r="H4668" t="s">
        <v>92</v>
      </c>
    </row>
    <row r="4669" spans="1:8" x14ac:dyDescent="0.25">
      <c r="A4669" t="s">
        <v>231</v>
      </c>
      <c r="B4669" t="s">
        <v>882</v>
      </c>
      <c r="C4669" t="s">
        <v>88</v>
      </c>
      <c r="D4669" t="s">
        <v>88</v>
      </c>
      <c r="E4669" t="s">
        <v>748</v>
      </c>
      <c r="F4669" t="s">
        <v>88</v>
      </c>
      <c r="G4669" t="s">
        <v>88</v>
      </c>
      <c r="H4669" t="s">
        <v>92</v>
      </c>
    </row>
    <row r="4670" spans="1:8" x14ac:dyDescent="0.25">
      <c r="A4670" t="s">
        <v>231</v>
      </c>
      <c r="B4670" t="s">
        <v>4359</v>
      </c>
      <c r="C4670" t="s">
        <v>88</v>
      </c>
      <c r="D4670" t="s">
        <v>4360</v>
      </c>
      <c r="E4670" t="s">
        <v>715</v>
      </c>
      <c r="F4670" t="s">
        <v>88</v>
      </c>
      <c r="G4670" t="s">
        <v>88</v>
      </c>
      <c r="H4670" t="s">
        <v>92</v>
      </c>
    </row>
    <row r="4671" spans="1:8" x14ac:dyDescent="0.25">
      <c r="A4671" t="s">
        <v>231</v>
      </c>
      <c r="B4671" t="s">
        <v>896</v>
      </c>
      <c r="C4671" t="s">
        <v>88</v>
      </c>
      <c r="D4671" t="s">
        <v>88</v>
      </c>
      <c r="E4671" t="s">
        <v>655</v>
      </c>
      <c r="F4671" t="s">
        <v>88</v>
      </c>
      <c r="G4671" t="s">
        <v>88</v>
      </c>
      <c r="H4671" t="s">
        <v>92</v>
      </c>
    </row>
    <row r="4672" spans="1:8" x14ac:dyDescent="0.25">
      <c r="A4672" t="s">
        <v>231</v>
      </c>
      <c r="B4672" t="s">
        <v>895</v>
      </c>
      <c r="C4672" t="s">
        <v>88</v>
      </c>
      <c r="D4672" t="s">
        <v>88</v>
      </c>
      <c r="E4672" t="s">
        <v>762</v>
      </c>
      <c r="F4672" t="s">
        <v>88</v>
      </c>
      <c r="G4672" t="s">
        <v>88</v>
      </c>
      <c r="H4672" t="s">
        <v>92</v>
      </c>
    </row>
    <row r="4673" spans="1:8" x14ac:dyDescent="0.25">
      <c r="A4673" t="s">
        <v>231</v>
      </c>
      <c r="B4673" t="s">
        <v>892</v>
      </c>
      <c r="C4673" t="s">
        <v>88</v>
      </c>
      <c r="D4673" t="s">
        <v>88</v>
      </c>
      <c r="E4673" t="s">
        <v>717</v>
      </c>
      <c r="F4673" t="s">
        <v>88</v>
      </c>
      <c r="G4673" t="s">
        <v>88</v>
      </c>
      <c r="H4673" t="s">
        <v>92</v>
      </c>
    </row>
    <row r="4674" spans="1:8" x14ac:dyDescent="0.25">
      <c r="A4674" t="s">
        <v>231</v>
      </c>
      <c r="B4674" t="s">
        <v>894</v>
      </c>
      <c r="C4674" t="s">
        <v>88</v>
      </c>
      <c r="D4674" t="s">
        <v>88</v>
      </c>
      <c r="E4674" t="s">
        <v>762</v>
      </c>
      <c r="F4674" t="s">
        <v>88</v>
      </c>
      <c r="G4674" t="s">
        <v>88</v>
      </c>
      <c r="H4674" t="s">
        <v>92</v>
      </c>
    </row>
    <row r="4675" spans="1:8" x14ac:dyDescent="0.25">
      <c r="A4675" t="s">
        <v>231</v>
      </c>
      <c r="B4675" t="s">
        <v>890</v>
      </c>
      <c r="C4675" t="s">
        <v>88</v>
      </c>
      <c r="D4675" t="s">
        <v>88</v>
      </c>
      <c r="E4675" t="s">
        <v>700</v>
      </c>
      <c r="F4675" t="s">
        <v>88</v>
      </c>
      <c r="G4675" t="s">
        <v>88</v>
      </c>
      <c r="H4675" t="s">
        <v>92</v>
      </c>
    </row>
    <row r="4676" spans="1:8" x14ac:dyDescent="0.25">
      <c r="A4676" t="s">
        <v>231</v>
      </c>
      <c r="B4676" t="s">
        <v>1380</v>
      </c>
      <c r="C4676" t="s">
        <v>88</v>
      </c>
      <c r="D4676" t="s">
        <v>4361</v>
      </c>
      <c r="E4676" t="s">
        <v>760</v>
      </c>
      <c r="F4676" t="s">
        <v>88</v>
      </c>
      <c r="G4676" t="s">
        <v>88</v>
      </c>
      <c r="H4676" t="s">
        <v>92</v>
      </c>
    </row>
    <row r="4677" spans="1:8" x14ac:dyDescent="0.25">
      <c r="A4677" t="s">
        <v>231</v>
      </c>
      <c r="B4677" t="s">
        <v>4362</v>
      </c>
      <c r="C4677" t="s">
        <v>88</v>
      </c>
      <c r="D4677" t="s">
        <v>4363</v>
      </c>
      <c r="E4677" t="s">
        <v>692</v>
      </c>
      <c r="F4677" t="s">
        <v>88</v>
      </c>
      <c r="G4677" t="s">
        <v>88</v>
      </c>
      <c r="H4677" t="s">
        <v>92</v>
      </c>
    </row>
    <row r="4678" spans="1:8" x14ac:dyDescent="0.25">
      <c r="A4678" t="s">
        <v>231</v>
      </c>
      <c r="B4678" t="s">
        <v>891</v>
      </c>
      <c r="C4678" t="s">
        <v>88</v>
      </c>
      <c r="D4678" t="s">
        <v>88</v>
      </c>
      <c r="E4678" t="s">
        <v>762</v>
      </c>
      <c r="F4678" t="s">
        <v>88</v>
      </c>
      <c r="G4678" t="s">
        <v>88</v>
      </c>
      <c r="H4678" t="s">
        <v>92</v>
      </c>
    </row>
    <row r="4679" spans="1:8" x14ac:dyDescent="0.25">
      <c r="A4679" t="s">
        <v>231</v>
      </c>
      <c r="B4679" t="s">
        <v>876</v>
      </c>
      <c r="C4679" t="s">
        <v>88</v>
      </c>
      <c r="D4679" t="s">
        <v>4364</v>
      </c>
      <c r="E4679" t="s">
        <v>655</v>
      </c>
      <c r="F4679" t="s">
        <v>88</v>
      </c>
      <c r="G4679" t="s">
        <v>88</v>
      </c>
      <c r="H4679" t="s">
        <v>92</v>
      </c>
    </row>
    <row r="4680" spans="1:8" x14ac:dyDescent="0.25">
      <c r="A4680" t="s">
        <v>231</v>
      </c>
      <c r="B4680" t="s">
        <v>897</v>
      </c>
      <c r="C4680" t="s">
        <v>88</v>
      </c>
      <c r="D4680" t="s">
        <v>4364</v>
      </c>
      <c r="E4680" t="s">
        <v>655</v>
      </c>
      <c r="F4680" t="s">
        <v>88</v>
      </c>
      <c r="G4680" t="s">
        <v>88</v>
      </c>
      <c r="H4680" t="s">
        <v>92</v>
      </c>
    </row>
    <row r="4681" spans="1:8" x14ac:dyDescent="0.25">
      <c r="A4681" t="s">
        <v>231</v>
      </c>
      <c r="B4681" t="s">
        <v>1675</v>
      </c>
      <c r="C4681" t="s">
        <v>88</v>
      </c>
      <c r="D4681" t="s">
        <v>4364</v>
      </c>
      <c r="E4681" t="s">
        <v>692</v>
      </c>
      <c r="F4681" t="s">
        <v>88</v>
      </c>
      <c r="G4681" t="s">
        <v>88</v>
      </c>
      <c r="H4681" t="s">
        <v>92</v>
      </c>
    </row>
    <row r="4682" spans="1:8" x14ac:dyDescent="0.25">
      <c r="A4682" t="s">
        <v>231</v>
      </c>
      <c r="B4682" t="s">
        <v>4365</v>
      </c>
      <c r="C4682" t="s">
        <v>88</v>
      </c>
      <c r="D4682" t="s">
        <v>4364</v>
      </c>
      <c r="E4682" t="s">
        <v>692</v>
      </c>
      <c r="F4682" t="s">
        <v>88</v>
      </c>
      <c r="G4682" t="s">
        <v>88</v>
      </c>
      <c r="H4682" t="s">
        <v>92</v>
      </c>
    </row>
    <row r="4683" spans="1:8" x14ac:dyDescent="0.25">
      <c r="A4683" t="s">
        <v>231</v>
      </c>
      <c r="B4683" t="s">
        <v>764</v>
      </c>
      <c r="C4683" t="s">
        <v>88</v>
      </c>
      <c r="D4683" t="s">
        <v>4364</v>
      </c>
      <c r="E4683" t="s">
        <v>717</v>
      </c>
      <c r="F4683" t="s">
        <v>88</v>
      </c>
      <c r="G4683" t="s">
        <v>88</v>
      </c>
      <c r="H4683" t="s">
        <v>92</v>
      </c>
    </row>
    <row r="4684" spans="1:8" x14ac:dyDescent="0.25">
      <c r="A4684" t="s">
        <v>231</v>
      </c>
      <c r="B4684" t="s">
        <v>740</v>
      </c>
      <c r="C4684" t="s">
        <v>88</v>
      </c>
      <c r="D4684" t="s">
        <v>4364</v>
      </c>
      <c r="E4684" t="s">
        <v>717</v>
      </c>
      <c r="F4684" t="s">
        <v>88</v>
      </c>
      <c r="G4684" t="s">
        <v>88</v>
      </c>
      <c r="H4684" t="s">
        <v>92</v>
      </c>
    </row>
    <row r="4685" spans="1:8" x14ac:dyDescent="0.25">
      <c r="A4685" t="s">
        <v>231</v>
      </c>
      <c r="B4685" t="s">
        <v>743</v>
      </c>
      <c r="C4685" t="s">
        <v>88</v>
      </c>
      <c r="D4685" t="s">
        <v>4364</v>
      </c>
      <c r="E4685" t="s">
        <v>717</v>
      </c>
      <c r="F4685" t="s">
        <v>88</v>
      </c>
      <c r="G4685" t="s">
        <v>88</v>
      </c>
      <c r="H4685" t="s">
        <v>92</v>
      </c>
    </row>
    <row r="4686" spans="1:8" x14ac:dyDescent="0.25">
      <c r="A4686" t="s">
        <v>231</v>
      </c>
      <c r="B4686" t="s">
        <v>736</v>
      </c>
      <c r="C4686" t="s">
        <v>88</v>
      </c>
      <c r="D4686" t="s">
        <v>4357</v>
      </c>
      <c r="E4686" t="s">
        <v>723</v>
      </c>
      <c r="F4686" t="s">
        <v>88</v>
      </c>
      <c r="G4686" t="s">
        <v>88</v>
      </c>
      <c r="H4686" t="s">
        <v>92</v>
      </c>
    </row>
    <row r="4687" spans="1:8" x14ac:dyDescent="0.25">
      <c r="A4687" t="s">
        <v>231</v>
      </c>
      <c r="B4687" t="s">
        <v>925</v>
      </c>
      <c r="C4687" t="s">
        <v>88</v>
      </c>
      <c r="D4687" t="s">
        <v>4357</v>
      </c>
      <c r="E4687" t="s">
        <v>723</v>
      </c>
      <c r="F4687" t="s">
        <v>88</v>
      </c>
      <c r="G4687" t="s">
        <v>88</v>
      </c>
      <c r="H4687" t="s">
        <v>92</v>
      </c>
    </row>
    <row r="4688" spans="1:8" x14ac:dyDescent="0.25">
      <c r="A4688" t="s">
        <v>231</v>
      </c>
      <c r="B4688" t="s">
        <v>777</v>
      </c>
      <c r="C4688" t="s">
        <v>88</v>
      </c>
      <c r="D4688" t="s">
        <v>4357</v>
      </c>
      <c r="E4688" t="s">
        <v>679</v>
      </c>
      <c r="F4688" t="s">
        <v>88</v>
      </c>
      <c r="G4688" t="s">
        <v>88</v>
      </c>
      <c r="H4688" t="s">
        <v>92</v>
      </c>
    </row>
    <row r="4689" spans="1:8" x14ac:dyDescent="0.25">
      <c r="A4689" t="s">
        <v>231</v>
      </c>
      <c r="B4689" t="s">
        <v>739</v>
      </c>
      <c r="C4689" t="s">
        <v>88</v>
      </c>
      <c r="D4689" t="s">
        <v>4357</v>
      </c>
      <c r="E4689" t="s">
        <v>738</v>
      </c>
      <c r="F4689" t="s">
        <v>88</v>
      </c>
      <c r="G4689" t="s">
        <v>88</v>
      </c>
      <c r="H4689" t="s">
        <v>92</v>
      </c>
    </row>
    <row r="4690" spans="1:8" x14ac:dyDescent="0.25">
      <c r="A4690" t="s">
        <v>231</v>
      </c>
      <c r="B4690" t="s">
        <v>4366</v>
      </c>
      <c r="C4690" t="s">
        <v>88</v>
      </c>
      <c r="D4690" t="s">
        <v>4367</v>
      </c>
      <c r="E4690" t="s">
        <v>791</v>
      </c>
      <c r="F4690" t="s">
        <v>88</v>
      </c>
      <c r="G4690" t="s">
        <v>88</v>
      </c>
      <c r="H4690" t="s">
        <v>92</v>
      </c>
    </row>
    <row r="4691" spans="1:8" x14ac:dyDescent="0.25">
      <c r="A4691" t="s">
        <v>231</v>
      </c>
      <c r="B4691" t="s">
        <v>4368</v>
      </c>
      <c r="C4691" t="s">
        <v>88</v>
      </c>
      <c r="D4691" t="s">
        <v>4367</v>
      </c>
      <c r="E4691" t="s">
        <v>679</v>
      </c>
      <c r="F4691" t="s">
        <v>88</v>
      </c>
      <c r="G4691" t="s">
        <v>88</v>
      </c>
      <c r="H4691" t="s">
        <v>92</v>
      </c>
    </row>
    <row r="4692" spans="1:8" x14ac:dyDescent="0.25">
      <c r="A4692" t="s">
        <v>231</v>
      </c>
      <c r="B4692" t="s">
        <v>1792</v>
      </c>
      <c r="C4692" t="s">
        <v>88</v>
      </c>
      <c r="D4692" t="s">
        <v>88</v>
      </c>
      <c r="E4692" t="s">
        <v>710</v>
      </c>
      <c r="F4692" t="s">
        <v>88</v>
      </c>
      <c r="G4692" t="s">
        <v>88</v>
      </c>
      <c r="H4692" t="s">
        <v>92</v>
      </c>
    </row>
    <row r="4693" spans="1:8" x14ac:dyDescent="0.25">
      <c r="A4693" t="s">
        <v>231</v>
      </c>
      <c r="B4693" t="s">
        <v>4369</v>
      </c>
      <c r="C4693" t="s">
        <v>88</v>
      </c>
      <c r="D4693" t="s">
        <v>88</v>
      </c>
      <c r="E4693" t="s">
        <v>710</v>
      </c>
      <c r="F4693" t="s">
        <v>88</v>
      </c>
      <c r="G4693" t="s">
        <v>88</v>
      </c>
      <c r="H4693" t="s">
        <v>92</v>
      </c>
    </row>
    <row r="4694" spans="1:8" x14ac:dyDescent="0.25">
      <c r="A4694" t="s">
        <v>231</v>
      </c>
      <c r="B4694" t="s">
        <v>1398</v>
      </c>
      <c r="C4694" t="s">
        <v>88</v>
      </c>
      <c r="D4694" t="s">
        <v>88</v>
      </c>
      <c r="E4694" t="s">
        <v>723</v>
      </c>
      <c r="F4694" t="s">
        <v>88</v>
      </c>
      <c r="G4694" t="s">
        <v>88</v>
      </c>
      <c r="H4694" t="s">
        <v>92</v>
      </c>
    </row>
    <row r="4695" spans="1:8" x14ac:dyDescent="0.25">
      <c r="A4695" t="s">
        <v>231</v>
      </c>
      <c r="B4695" t="s">
        <v>4370</v>
      </c>
      <c r="C4695" t="s">
        <v>88</v>
      </c>
      <c r="D4695" t="s">
        <v>88</v>
      </c>
      <c r="E4695" t="s">
        <v>721</v>
      </c>
      <c r="F4695" t="s">
        <v>88</v>
      </c>
      <c r="G4695" t="s">
        <v>88</v>
      </c>
      <c r="H4695" t="s">
        <v>92</v>
      </c>
    </row>
    <row r="4696" spans="1:8" x14ac:dyDescent="0.25">
      <c r="A4696" t="s">
        <v>231</v>
      </c>
      <c r="B4696" t="s">
        <v>701</v>
      </c>
      <c r="C4696" t="s">
        <v>88</v>
      </c>
      <c r="D4696" t="s">
        <v>88</v>
      </c>
      <c r="E4696" t="s">
        <v>734</v>
      </c>
      <c r="F4696" t="s">
        <v>88</v>
      </c>
      <c r="G4696" t="s">
        <v>88</v>
      </c>
      <c r="H4696" t="s">
        <v>92</v>
      </c>
    </row>
    <row r="4697" spans="1:8" x14ac:dyDescent="0.25">
      <c r="A4697" t="s">
        <v>231</v>
      </c>
      <c r="B4697" t="s">
        <v>705</v>
      </c>
      <c r="C4697" t="s">
        <v>88</v>
      </c>
      <c r="D4697" t="s">
        <v>88</v>
      </c>
      <c r="E4697" t="s">
        <v>734</v>
      </c>
      <c r="F4697" t="s">
        <v>88</v>
      </c>
      <c r="G4697" t="s">
        <v>88</v>
      </c>
      <c r="H4697" t="s">
        <v>92</v>
      </c>
    </row>
    <row r="4698" spans="1:8" x14ac:dyDescent="0.25">
      <c r="A4698" t="s">
        <v>231</v>
      </c>
      <c r="B4698" t="s">
        <v>4371</v>
      </c>
      <c r="C4698" t="s">
        <v>88</v>
      </c>
      <c r="D4698" t="s">
        <v>88</v>
      </c>
      <c r="E4698" t="s">
        <v>734</v>
      </c>
      <c r="F4698" t="s">
        <v>88</v>
      </c>
      <c r="G4698" t="s">
        <v>88</v>
      </c>
      <c r="H4698" t="s">
        <v>92</v>
      </c>
    </row>
    <row r="4699" spans="1:8" x14ac:dyDescent="0.25">
      <c r="A4699" t="s">
        <v>231</v>
      </c>
      <c r="B4699" t="s">
        <v>618</v>
      </c>
      <c r="C4699" t="s">
        <v>88</v>
      </c>
      <c r="D4699" t="s">
        <v>88</v>
      </c>
      <c r="E4699" t="s">
        <v>710</v>
      </c>
      <c r="F4699" t="s">
        <v>88</v>
      </c>
      <c r="G4699" t="s">
        <v>88</v>
      </c>
      <c r="H4699" t="s">
        <v>92</v>
      </c>
    </row>
    <row r="4700" spans="1:8" x14ac:dyDescent="0.25">
      <c r="A4700" t="s">
        <v>231</v>
      </c>
      <c r="B4700" t="s">
        <v>926</v>
      </c>
      <c r="C4700" t="s">
        <v>88</v>
      </c>
      <c r="D4700" t="s">
        <v>88</v>
      </c>
      <c r="E4700" t="s">
        <v>848</v>
      </c>
      <c r="F4700" t="s">
        <v>88</v>
      </c>
      <c r="G4700" t="s">
        <v>88</v>
      </c>
      <c r="H4700" t="s">
        <v>92</v>
      </c>
    </row>
    <row r="4701" spans="1:8" x14ac:dyDescent="0.25">
      <c r="A4701" t="s">
        <v>231</v>
      </c>
      <c r="B4701" t="s">
        <v>4372</v>
      </c>
      <c r="C4701" t="s">
        <v>88</v>
      </c>
      <c r="D4701" t="s">
        <v>88</v>
      </c>
      <c r="E4701" t="s">
        <v>711</v>
      </c>
      <c r="F4701" t="s">
        <v>88</v>
      </c>
      <c r="G4701" t="s">
        <v>88</v>
      </c>
      <c r="H4701" t="s">
        <v>92</v>
      </c>
    </row>
    <row r="4702" spans="1:8" x14ac:dyDescent="0.25">
      <c r="A4702" t="s">
        <v>231</v>
      </c>
      <c r="B4702" t="s">
        <v>928</v>
      </c>
      <c r="C4702" t="s">
        <v>88</v>
      </c>
      <c r="D4702" t="s">
        <v>88</v>
      </c>
      <c r="E4702" t="s">
        <v>711</v>
      </c>
      <c r="F4702" t="s">
        <v>88</v>
      </c>
      <c r="G4702" t="s">
        <v>88</v>
      </c>
      <c r="H4702" t="s">
        <v>92</v>
      </c>
    </row>
    <row r="4703" spans="1:8" x14ac:dyDescent="0.25">
      <c r="A4703" t="s">
        <v>231</v>
      </c>
      <c r="B4703" t="s">
        <v>929</v>
      </c>
      <c r="C4703" t="s">
        <v>88</v>
      </c>
      <c r="D4703" t="s">
        <v>88</v>
      </c>
      <c r="E4703" t="s">
        <v>735</v>
      </c>
      <c r="F4703" t="s">
        <v>88</v>
      </c>
      <c r="G4703" t="s">
        <v>88</v>
      </c>
      <c r="H4703" t="s">
        <v>92</v>
      </c>
    </row>
    <row r="4704" spans="1:8" x14ac:dyDescent="0.25">
      <c r="A4704" t="s">
        <v>231</v>
      </c>
      <c r="B4704" t="s">
        <v>625</v>
      </c>
      <c r="C4704" t="s">
        <v>88</v>
      </c>
      <c r="D4704" t="s">
        <v>88</v>
      </c>
      <c r="E4704" t="s">
        <v>626</v>
      </c>
      <c r="F4704" t="s">
        <v>88</v>
      </c>
      <c r="G4704" t="s">
        <v>88</v>
      </c>
      <c r="H4704" t="s">
        <v>92</v>
      </c>
    </row>
    <row r="4705" spans="1:8" x14ac:dyDescent="0.25">
      <c r="A4705" t="s">
        <v>232</v>
      </c>
      <c r="B4705" t="s">
        <v>4373</v>
      </c>
      <c r="C4705" t="s">
        <v>88</v>
      </c>
      <c r="D4705" t="s">
        <v>4374</v>
      </c>
      <c r="E4705" t="s">
        <v>700</v>
      </c>
      <c r="F4705" t="s">
        <v>88</v>
      </c>
      <c r="G4705" t="s">
        <v>88</v>
      </c>
      <c r="H4705" t="s">
        <v>92</v>
      </c>
    </row>
    <row r="4706" spans="1:8" x14ac:dyDescent="0.25">
      <c r="A4706" t="s">
        <v>232</v>
      </c>
      <c r="B4706" t="s">
        <v>4375</v>
      </c>
      <c r="C4706" t="s">
        <v>88</v>
      </c>
      <c r="D4706" t="s">
        <v>4376</v>
      </c>
      <c r="E4706" t="s">
        <v>780</v>
      </c>
      <c r="F4706" t="s">
        <v>88</v>
      </c>
      <c r="G4706" t="s">
        <v>88</v>
      </c>
      <c r="H4706" t="s">
        <v>92</v>
      </c>
    </row>
    <row r="4707" spans="1:8" x14ac:dyDescent="0.25">
      <c r="A4707" t="s">
        <v>232</v>
      </c>
      <c r="B4707" t="s">
        <v>4377</v>
      </c>
      <c r="C4707" t="s">
        <v>88</v>
      </c>
      <c r="D4707" t="s">
        <v>4378</v>
      </c>
      <c r="E4707" t="s">
        <v>679</v>
      </c>
      <c r="F4707" t="s">
        <v>88</v>
      </c>
      <c r="G4707" t="s">
        <v>88</v>
      </c>
      <c r="H4707" t="s">
        <v>92</v>
      </c>
    </row>
    <row r="4708" spans="1:8" x14ac:dyDescent="0.25">
      <c r="A4708" t="s">
        <v>232</v>
      </c>
      <c r="B4708" t="s">
        <v>4379</v>
      </c>
      <c r="C4708" t="s">
        <v>88</v>
      </c>
      <c r="D4708" t="s">
        <v>88</v>
      </c>
      <c r="E4708" t="s">
        <v>732</v>
      </c>
      <c r="F4708" t="s">
        <v>88</v>
      </c>
      <c r="G4708" t="s">
        <v>88</v>
      </c>
      <c r="H4708" t="s">
        <v>92</v>
      </c>
    </row>
    <row r="4709" spans="1:8" x14ac:dyDescent="0.25">
      <c r="A4709" t="s">
        <v>232</v>
      </c>
      <c r="B4709" t="s">
        <v>4380</v>
      </c>
      <c r="C4709" t="s">
        <v>88</v>
      </c>
      <c r="D4709" t="s">
        <v>4381</v>
      </c>
      <c r="E4709" t="s">
        <v>700</v>
      </c>
      <c r="F4709" t="s">
        <v>88</v>
      </c>
      <c r="G4709" t="s">
        <v>88</v>
      </c>
      <c r="H4709" t="s">
        <v>92</v>
      </c>
    </row>
    <row r="4710" spans="1:8" x14ac:dyDescent="0.25">
      <c r="A4710" t="s">
        <v>232</v>
      </c>
      <c r="B4710" t="s">
        <v>4377</v>
      </c>
      <c r="C4710" t="s">
        <v>88</v>
      </c>
      <c r="D4710" t="s">
        <v>4378</v>
      </c>
      <c r="E4710" t="s">
        <v>679</v>
      </c>
      <c r="F4710" t="s">
        <v>88</v>
      </c>
      <c r="G4710" t="s">
        <v>88</v>
      </c>
      <c r="H4710" t="s">
        <v>92</v>
      </c>
    </row>
    <row r="4711" spans="1:8" x14ac:dyDescent="0.25">
      <c r="A4711" t="s">
        <v>232</v>
      </c>
      <c r="B4711" t="s">
        <v>4382</v>
      </c>
      <c r="C4711" t="s">
        <v>88</v>
      </c>
      <c r="D4711" t="s">
        <v>4383</v>
      </c>
      <c r="E4711" t="s">
        <v>721</v>
      </c>
      <c r="F4711" t="s">
        <v>88</v>
      </c>
      <c r="G4711" t="s">
        <v>88</v>
      </c>
      <c r="H4711" t="s">
        <v>92</v>
      </c>
    </row>
    <row r="4712" spans="1:8" x14ac:dyDescent="0.25">
      <c r="A4712" t="s">
        <v>232</v>
      </c>
      <c r="B4712" t="s">
        <v>4380</v>
      </c>
      <c r="C4712" t="s">
        <v>88</v>
      </c>
      <c r="D4712" t="s">
        <v>4381</v>
      </c>
      <c r="E4712" t="s">
        <v>700</v>
      </c>
      <c r="F4712" t="s">
        <v>88</v>
      </c>
      <c r="G4712" t="s">
        <v>88</v>
      </c>
      <c r="H4712" t="s">
        <v>92</v>
      </c>
    </row>
    <row r="4713" spans="1:8" x14ac:dyDescent="0.25">
      <c r="A4713" t="s">
        <v>232</v>
      </c>
      <c r="B4713" t="s">
        <v>4384</v>
      </c>
      <c r="C4713" t="s">
        <v>88</v>
      </c>
      <c r="D4713" t="s">
        <v>4385</v>
      </c>
      <c r="E4713" t="s">
        <v>715</v>
      </c>
      <c r="F4713" t="s">
        <v>88</v>
      </c>
      <c r="G4713" t="s">
        <v>88</v>
      </c>
      <c r="H4713" t="s">
        <v>92</v>
      </c>
    </row>
    <row r="4714" spans="1:8" x14ac:dyDescent="0.25">
      <c r="A4714" t="s">
        <v>232</v>
      </c>
      <c r="B4714" t="s">
        <v>4375</v>
      </c>
      <c r="C4714" t="s">
        <v>88</v>
      </c>
      <c r="D4714" t="s">
        <v>4376</v>
      </c>
      <c r="E4714" t="s">
        <v>780</v>
      </c>
      <c r="F4714" t="s">
        <v>88</v>
      </c>
      <c r="G4714" t="s">
        <v>88</v>
      </c>
      <c r="H4714" t="s">
        <v>92</v>
      </c>
    </row>
    <row r="4715" spans="1:8" x14ac:dyDescent="0.25">
      <c r="A4715" t="s">
        <v>232</v>
      </c>
      <c r="B4715" t="s">
        <v>4386</v>
      </c>
      <c r="C4715" t="s">
        <v>88</v>
      </c>
      <c r="D4715" t="s">
        <v>4387</v>
      </c>
      <c r="E4715" t="s">
        <v>663</v>
      </c>
      <c r="F4715" t="s">
        <v>88</v>
      </c>
      <c r="G4715" t="s">
        <v>88</v>
      </c>
      <c r="H4715" t="s">
        <v>92</v>
      </c>
    </row>
    <row r="4716" spans="1:8" x14ac:dyDescent="0.25">
      <c r="A4716" t="s">
        <v>232</v>
      </c>
      <c r="B4716" t="s">
        <v>4373</v>
      </c>
      <c r="C4716" t="s">
        <v>88</v>
      </c>
      <c r="D4716" t="s">
        <v>4374</v>
      </c>
      <c r="E4716" t="s">
        <v>700</v>
      </c>
      <c r="F4716" t="s">
        <v>88</v>
      </c>
      <c r="G4716" t="s">
        <v>88</v>
      </c>
      <c r="H4716" t="s">
        <v>92</v>
      </c>
    </row>
    <row r="4717" spans="1:8" x14ac:dyDescent="0.25">
      <c r="A4717" t="s">
        <v>232</v>
      </c>
      <c r="B4717" t="s">
        <v>4388</v>
      </c>
      <c r="C4717" t="s">
        <v>88</v>
      </c>
      <c r="D4717" t="s">
        <v>88</v>
      </c>
      <c r="E4717" t="s">
        <v>812</v>
      </c>
      <c r="F4717" t="s">
        <v>88</v>
      </c>
      <c r="G4717" t="s">
        <v>88</v>
      </c>
      <c r="H4717" t="s">
        <v>92</v>
      </c>
    </row>
    <row r="4718" spans="1:8" x14ac:dyDescent="0.25">
      <c r="A4718" t="s">
        <v>232</v>
      </c>
      <c r="B4718" t="s">
        <v>4389</v>
      </c>
      <c r="C4718" t="s">
        <v>88</v>
      </c>
      <c r="D4718" t="s">
        <v>88</v>
      </c>
      <c r="E4718" t="s">
        <v>805</v>
      </c>
      <c r="F4718" t="s">
        <v>88</v>
      </c>
      <c r="G4718" t="s">
        <v>88</v>
      </c>
      <c r="H4718" t="s">
        <v>92</v>
      </c>
    </row>
    <row r="4719" spans="1:8" x14ac:dyDescent="0.25">
      <c r="A4719" t="s">
        <v>232</v>
      </c>
      <c r="B4719" t="s">
        <v>4390</v>
      </c>
      <c r="C4719" t="s">
        <v>88</v>
      </c>
      <c r="D4719" t="s">
        <v>88</v>
      </c>
      <c r="E4719" t="s">
        <v>732</v>
      </c>
      <c r="F4719" t="s">
        <v>88</v>
      </c>
      <c r="G4719" t="s">
        <v>88</v>
      </c>
      <c r="H4719" t="s">
        <v>92</v>
      </c>
    </row>
    <row r="4720" spans="1:8" x14ac:dyDescent="0.25">
      <c r="A4720" t="s">
        <v>232</v>
      </c>
      <c r="B4720" t="s">
        <v>4379</v>
      </c>
      <c r="C4720" t="s">
        <v>88</v>
      </c>
      <c r="D4720" t="s">
        <v>88</v>
      </c>
      <c r="E4720" t="s">
        <v>732</v>
      </c>
      <c r="F4720" t="s">
        <v>88</v>
      </c>
      <c r="G4720" t="s">
        <v>88</v>
      </c>
      <c r="H4720" t="s">
        <v>92</v>
      </c>
    </row>
    <row r="4721" spans="1:8" x14ac:dyDescent="0.25">
      <c r="A4721" t="s">
        <v>232</v>
      </c>
      <c r="B4721" t="s">
        <v>4391</v>
      </c>
      <c r="C4721" t="s">
        <v>88</v>
      </c>
      <c r="D4721" t="s">
        <v>88</v>
      </c>
      <c r="E4721" t="s">
        <v>732</v>
      </c>
      <c r="F4721" t="s">
        <v>88</v>
      </c>
      <c r="G4721" t="s">
        <v>88</v>
      </c>
      <c r="H4721" t="s">
        <v>92</v>
      </c>
    </row>
    <row r="4722" spans="1:8" x14ac:dyDescent="0.25">
      <c r="A4722" t="s">
        <v>232</v>
      </c>
      <c r="B4722" t="s">
        <v>4392</v>
      </c>
      <c r="C4722" t="s">
        <v>88</v>
      </c>
      <c r="D4722" t="s">
        <v>88</v>
      </c>
      <c r="E4722" t="s">
        <v>734</v>
      </c>
      <c r="F4722" t="s">
        <v>88</v>
      </c>
      <c r="G4722" t="s">
        <v>88</v>
      </c>
      <c r="H4722" t="s">
        <v>92</v>
      </c>
    </row>
    <row r="4723" spans="1:8" x14ac:dyDescent="0.25">
      <c r="A4723" t="s">
        <v>232</v>
      </c>
      <c r="B4723" t="s">
        <v>701</v>
      </c>
      <c r="C4723" t="s">
        <v>88</v>
      </c>
      <c r="D4723" t="s">
        <v>88</v>
      </c>
      <c r="E4723" t="s">
        <v>732</v>
      </c>
      <c r="F4723" t="s">
        <v>88</v>
      </c>
      <c r="G4723" t="s">
        <v>88</v>
      </c>
      <c r="H4723" t="s">
        <v>92</v>
      </c>
    </row>
    <row r="4724" spans="1:8" x14ac:dyDescent="0.25">
      <c r="A4724" t="s">
        <v>232</v>
      </c>
      <c r="B4724" t="s">
        <v>705</v>
      </c>
      <c r="C4724" t="s">
        <v>88</v>
      </c>
      <c r="D4724" t="s">
        <v>88</v>
      </c>
      <c r="E4724" t="s">
        <v>732</v>
      </c>
      <c r="F4724" t="s">
        <v>88</v>
      </c>
      <c r="G4724" t="s">
        <v>88</v>
      </c>
      <c r="H4724" t="s">
        <v>92</v>
      </c>
    </row>
    <row r="4725" spans="1:8" x14ac:dyDescent="0.25">
      <c r="A4725" t="s">
        <v>232</v>
      </c>
      <c r="B4725" t="s">
        <v>4150</v>
      </c>
      <c r="C4725" t="s">
        <v>88</v>
      </c>
      <c r="D4725" t="s">
        <v>88</v>
      </c>
      <c r="E4725" t="s">
        <v>709</v>
      </c>
      <c r="F4725" t="s">
        <v>88</v>
      </c>
      <c r="G4725" t="s">
        <v>88</v>
      </c>
      <c r="H4725" t="s">
        <v>92</v>
      </c>
    </row>
    <row r="4726" spans="1:8" x14ac:dyDescent="0.25">
      <c r="A4726" t="s">
        <v>232</v>
      </c>
      <c r="B4726" t="s">
        <v>4393</v>
      </c>
      <c r="C4726" t="s">
        <v>88</v>
      </c>
      <c r="D4726" t="s">
        <v>88</v>
      </c>
      <c r="E4726" t="s">
        <v>710</v>
      </c>
      <c r="F4726" t="s">
        <v>88</v>
      </c>
      <c r="G4726" t="s">
        <v>88</v>
      </c>
      <c r="H4726" t="s">
        <v>92</v>
      </c>
    </row>
    <row r="4727" spans="1:8" x14ac:dyDescent="0.25">
      <c r="A4727" t="s">
        <v>232</v>
      </c>
      <c r="B4727" t="s">
        <v>2752</v>
      </c>
      <c r="C4727" t="s">
        <v>88</v>
      </c>
      <c r="D4727" t="s">
        <v>88</v>
      </c>
      <c r="E4727" t="s">
        <v>711</v>
      </c>
      <c r="F4727" t="s">
        <v>88</v>
      </c>
      <c r="G4727" t="s">
        <v>88</v>
      </c>
      <c r="H4727" t="s">
        <v>92</v>
      </c>
    </row>
    <row r="4728" spans="1:8" x14ac:dyDescent="0.25">
      <c r="A4728" t="s">
        <v>232</v>
      </c>
      <c r="B4728" t="s">
        <v>926</v>
      </c>
      <c r="C4728" t="s">
        <v>88</v>
      </c>
      <c r="D4728" t="s">
        <v>88</v>
      </c>
      <c r="E4728" t="s">
        <v>710</v>
      </c>
      <c r="F4728" t="s">
        <v>88</v>
      </c>
      <c r="G4728" t="s">
        <v>88</v>
      </c>
      <c r="H4728" t="s">
        <v>92</v>
      </c>
    </row>
    <row r="4729" spans="1:8" x14ac:dyDescent="0.25">
      <c r="A4729" t="s">
        <v>232</v>
      </c>
      <c r="B4729" t="s">
        <v>620</v>
      </c>
      <c r="C4729" t="s">
        <v>88</v>
      </c>
      <c r="D4729" t="s">
        <v>88</v>
      </c>
      <c r="E4729" t="s">
        <v>710</v>
      </c>
      <c r="F4729" t="s">
        <v>88</v>
      </c>
      <c r="G4729" t="s">
        <v>88</v>
      </c>
      <c r="H4729" t="s">
        <v>92</v>
      </c>
    </row>
    <row r="4730" spans="1:8" x14ac:dyDescent="0.25">
      <c r="A4730" t="s">
        <v>232</v>
      </c>
      <c r="B4730" t="s">
        <v>622</v>
      </c>
      <c r="C4730" t="s">
        <v>88</v>
      </c>
      <c r="D4730" t="s">
        <v>88</v>
      </c>
      <c r="E4730" t="s">
        <v>711</v>
      </c>
      <c r="F4730" t="s">
        <v>88</v>
      </c>
      <c r="G4730" t="s">
        <v>88</v>
      </c>
      <c r="H4730" t="s">
        <v>92</v>
      </c>
    </row>
    <row r="4731" spans="1:8" x14ac:dyDescent="0.25">
      <c r="A4731" t="s">
        <v>232</v>
      </c>
      <c r="B4731" t="s">
        <v>623</v>
      </c>
      <c r="C4731" t="s">
        <v>88</v>
      </c>
      <c r="D4731" t="s">
        <v>88</v>
      </c>
      <c r="E4731" t="s">
        <v>735</v>
      </c>
      <c r="F4731" t="s">
        <v>88</v>
      </c>
      <c r="G4731" t="s">
        <v>88</v>
      </c>
      <c r="H4731" t="s">
        <v>92</v>
      </c>
    </row>
    <row r="4732" spans="1:8" x14ac:dyDescent="0.25">
      <c r="A4732" t="s">
        <v>232</v>
      </c>
      <c r="B4732" t="s">
        <v>714</v>
      </c>
      <c r="C4732" t="s">
        <v>88</v>
      </c>
      <c r="D4732" t="s">
        <v>88</v>
      </c>
      <c r="E4732" t="s">
        <v>791</v>
      </c>
      <c r="F4732" t="s">
        <v>88</v>
      </c>
      <c r="G4732" t="s">
        <v>88</v>
      </c>
      <c r="H4732" t="s">
        <v>92</v>
      </c>
    </row>
    <row r="4733" spans="1:8" x14ac:dyDescent="0.25">
      <c r="A4733" t="s">
        <v>232</v>
      </c>
      <c r="B4733" t="s">
        <v>851</v>
      </c>
      <c r="C4733" t="s">
        <v>88</v>
      </c>
      <c r="D4733" t="s">
        <v>88</v>
      </c>
      <c r="E4733" t="s">
        <v>791</v>
      </c>
      <c r="F4733" t="s">
        <v>88</v>
      </c>
      <c r="G4733" t="s">
        <v>88</v>
      </c>
      <c r="H4733" t="s">
        <v>92</v>
      </c>
    </row>
    <row r="4734" spans="1:8" x14ac:dyDescent="0.25">
      <c r="A4734" t="s">
        <v>232</v>
      </c>
      <c r="B4734" t="s">
        <v>625</v>
      </c>
      <c r="C4734" t="s">
        <v>88</v>
      </c>
      <c r="D4734" t="s">
        <v>88</v>
      </c>
      <c r="E4734" t="s">
        <v>626</v>
      </c>
      <c r="F4734" t="s">
        <v>88</v>
      </c>
      <c r="G4734" t="s">
        <v>88</v>
      </c>
      <c r="H4734" t="s">
        <v>92</v>
      </c>
    </row>
    <row r="4735" spans="1:8" x14ac:dyDescent="0.25">
      <c r="A4735" t="s">
        <v>234</v>
      </c>
      <c r="B4735" t="s">
        <v>1078</v>
      </c>
      <c r="C4735" t="s">
        <v>88</v>
      </c>
      <c r="D4735" t="s">
        <v>88</v>
      </c>
      <c r="E4735" t="s">
        <v>4394</v>
      </c>
      <c r="F4735" t="s">
        <v>88</v>
      </c>
      <c r="G4735" t="s">
        <v>88</v>
      </c>
      <c r="H4735" t="s">
        <v>92</v>
      </c>
    </row>
    <row r="4736" spans="1:8" x14ac:dyDescent="0.25">
      <c r="A4736" t="s">
        <v>234</v>
      </c>
      <c r="B4736" t="s">
        <v>4395</v>
      </c>
      <c r="C4736" t="s">
        <v>88</v>
      </c>
      <c r="D4736" t="s">
        <v>4396</v>
      </c>
      <c r="E4736" t="s">
        <v>4397</v>
      </c>
      <c r="F4736" t="s">
        <v>88</v>
      </c>
      <c r="G4736" t="s">
        <v>88</v>
      </c>
      <c r="H4736" t="s">
        <v>92</v>
      </c>
    </row>
    <row r="4737" spans="1:8" x14ac:dyDescent="0.25">
      <c r="A4737" t="s">
        <v>234</v>
      </c>
      <c r="B4737" t="s">
        <v>4398</v>
      </c>
      <c r="C4737" t="s">
        <v>88</v>
      </c>
      <c r="D4737" t="s">
        <v>4399</v>
      </c>
      <c r="E4737" t="s">
        <v>748</v>
      </c>
      <c r="F4737" t="s">
        <v>88</v>
      </c>
      <c r="G4737" t="s">
        <v>88</v>
      </c>
      <c r="H4737" t="s">
        <v>92</v>
      </c>
    </row>
    <row r="4738" spans="1:8" x14ac:dyDescent="0.25">
      <c r="A4738" t="s">
        <v>234</v>
      </c>
      <c r="B4738" t="s">
        <v>4400</v>
      </c>
      <c r="C4738" t="s">
        <v>88</v>
      </c>
      <c r="D4738" t="s">
        <v>88</v>
      </c>
      <c r="E4738" t="s">
        <v>710</v>
      </c>
      <c r="F4738" t="s">
        <v>88</v>
      </c>
      <c r="G4738" t="s">
        <v>88</v>
      </c>
      <c r="H4738" t="s">
        <v>92</v>
      </c>
    </row>
    <row r="4739" spans="1:8" x14ac:dyDescent="0.25">
      <c r="A4739" t="s">
        <v>234</v>
      </c>
      <c r="B4739" t="s">
        <v>4401</v>
      </c>
      <c r="C4739" t="s">
        <v>88</v>
      </c>
      <c r="D4739" t="s">
        <v>88</v>
      </c>
      <c r="E4739" t="s">
        <v>838</v>
      </c>
      <c r="F4739" t="s">
        <v>88</v>
      </c>
      <c r="G4739" t="s">
        <v>88</v>
      </c>
      <c r="H4739" t="s">
        <v>92</v>
      </c>
    </row>
    <row r="4740" spans="1:8" x14ac:dyDescent="0.25">
      <c r="A4740" t="s">
        <v>234</v>
      </c>
      <c r="B4740" t="s">
        <v>4402</v>
      </c>
      <c r="C4740" t="s">
        <v>88</v>
      </c>
      <c r="D4740" t="s">
        <v>4403</v>
      </c>
      <c r="E4740" t="s">
        <v>760</v>
      </c>
      <c r="F4740" t="s">
        <v>88</v>
      </c>
      <c r="G4740" t="s">
        <v>88</v>
      </c>
      <c r="H4740" t="s">
        <v>92</v>
      </c>
    </row>
    <row r="4741" spans="1:8" x14ac:dyDescent="0.25">
      <c r="A4741" t="s">
        <v>234</v>
      </c>
      <c r="B4741" t="s">
        <v>4404</v>
      </c>
      <c r="C4741" t="s">
        <v>88</v>
      </c>
      <c r="D4741" t="s">
        <v>88</v>
      </c>
      <c r="E4741" t="s">
        <v>889</v>
      </c>
      <c r="F4741" t="s">
        <v>88</v>
      </c>
      <c r="G4741" t="s">
        <v>88</v>
      </c>
      <c r="H4741" t="s">
        <v>92</v>
      </c>
    </row>
    <row r="4742" spans="1:8" x14ac:dyDescent="0.25">
      <c r="A4742" t="s">
        <v>234</v>
      </c>
      <c r="B4742" t="s">
        <v>4405</v>
      </c>
      <c r="C4742" t="s">
        <v>88</v>
      </c>
      <c r="D4742" t="s">
        <v>4403</v>
      </c>
      <c r="E4742" t="s">
        <v>748</v>
      </c>
      <c r="F4742" t="s">
        <v>88</v>
      </c>
      <c r="G4742" t="s">
        <v>88</v>
      </c>
      <c r="H4742" t="s">
        <v>92</v>
      </c>
    </row>
    <row r="4743" spans="1:8" x14ac:dyDescent="0.25">
      <c r="A4743" t="s">
        <v>234</v>
      </c>
      <c r="B4743" t="s">
        <v>1876</v>
      </c>
      <c r="C4743" t="s">
        <v>88</v>
      </c>
      <c r="D4743" t="s">
        <v>4403</v>
      </c>
      <c r="E4743" t="s">
        <v>893</v>
      </c>
      <c r="F4743" t="s">
        <v>88</v>
      </c>
      <c r="G4743" t="s">
        <v>88</v>
      </c>
      <c r="H4743" t="s">
        <v>92</v>
      </c>
    </row>
    <row r="4744" spans="1:8" x14ac:dyDescent="0.25">
      <c r="A4744" t="s">
        <v>234</v>
      </c>
      <c r="B4744" t="s">
        <v>4406</v>
      </c>
      <c r="C4744" t="s">
        <v>88</v>
      </c>
      <c r="D4744" t="s">
        <v>4403</v>
      </c>
      <c r="E4744" t="s">
        <v>1353</v>
      </c>
      <c r="F4744" t="s">
        <v>88</v>
      </c>
      <c r="G4744" t="s">
        <v>88</v>
      </c>
      <c r="H4744" t="s">
        <v>92</v>
      </c>
    </row>
    <row r="4745" spans="1:8" x14ac:dyDescent="0.25">
      <c r="A4745" t="s">
        <v>234</v>
      </c>
      <c r="B4745" t="s">
        <v>4407</v>
      </c>
      <c r="C4745" t="s">
        <v>88</v>
      </c>
      <c r="D4745" t="s">
        <v>4403</v>
      </c>
      <c r="E4745" t="s">
        <v>760</v>
      </c>
      <c r="F4745" t="s">
        <v>88</v>
      </c>
      <c r="G4745" t="s">
        <v>88</v>
      </c>
      <c r="H4745" t="s">
        <v>92</v>
      </c>
    </row>
    <row r="4746" spans="1:8" x14ac:dyDescent="0.25">
      <c r="A4746" t="s">
        <v>234</v>
      </c>
      <c r="B4746" t="s">
        <v>4408</v>
      </c>
      <c r="C4746" t="s">
        <v>88</v>
      </c>
      <c r="D4746" t="s">
        <v>4409</v>
      </c>
      <c r="E4746" t="s">
        <v>836</v>
      </c>
      <c r="F4746" t="s">
        <v>88</v>
      </c>
      <c r="G4746" t="s">
        <v>88</v>
      </c>
      <c r="H4746" t="s">
        <v>92</v>
      </c>
    </row>
    <row r="4747" spans="1:8" x14ac:dyDescent="0.25">
      <c r="A4747" t="s">
        <v>234</v>
      </c>
      <c r="B4747" t="s">
        <v>4410</v>
      </c>
      <c r="C4747" t="s">
        <v>88</v>
      </c>
      <c r="D4747" t="s">
        <v>4411</v>
      </c>
      <c r="E4747" t="s">
        <v>893</v>
      </c>
      <c r="F4747" t="s">
        <v>88</v>
      </c>
      <c r="G4747" t="s">
        <v>88</v>
      </c>
      <c r="H4747" t="s">
        <v>92</v>
      </c>
    </row>
    <row r="4748" spans="1:8" x14ac:dyDescent="0.25">
      <c r="A4748" t="s">
        <v>234</v>
      </c>
      <c r="B4748" t="s">
        <v>4412</v>
      </c>
      <c r="C4748" t="s">
        <v>88</v>
      </c>
      <c r="D4748" t="s">
        <v>4409</v>
      </c>
      <c r="E4748" t="s">
        <v>692</v>
      </c>
      <c r="F4748" t="s">
        <v>88</v>
      </c>
      <c r="G4748" t="s">
        <v>88</v>
      </c>
      <c r="H4748" t="s">
        <v>92</v>
      </c>
    </row>
    <row r="4749" spans="1:8" x14ac:dyDescent="0.25">
      <c r="A4749" t="s">
        <v>234</v>
      </c>
      <c r="B4749" t="s">
        <v>4413</v>
      </c>
      <c r="C4749" t="s">
        <v>88</v>
      </c>
      <c r="D4749" t="s">
        <v>4414</v>
      </c>
      <c r="E4749" t="s">
        <v>1241</v>
      </c>
      <c r="F4749" t="s">
        <v>88</v>
      </c>
      <c r="G4749" t="s">
        <v>88</v>
      </c>
      <c r="H4749" t="s">
        <v>92</v>
      </c>
    </row>
    <row r="4750" spans="1:8" x14ac:dyDescent="0.25">
      <c r="A4750" t="s">
        <v>234</v>
      </c>
      <c r="B4750" t="s">
        <v>4415</v>
      </c>
      <c r="C4750" t="s">
        <v>88</v>
      </c>
      <c r="D4750" t="s">
        <v>4414</v>
      </c>
      <c r="E4750" t="s">
        <v>1282</v>
      </c>
      <c r="F4750" t="s">
        <v>88</v>
      </c>
      <c r="G4750" t="s">
        <v>88</v>
      </c>
      <c r="H4750" t="s">
        <v>92</v>
      </c>
    </row>
    <row r="4751" spans="1:8" x14ac:dyDescent="0.25">
      <c r="A4751" t="s">
        <v>234</v>
      </c>
      <c r="B4751" t="s">
        <v>4416</v>
      </c>
      <c r="C4751" t="s">
        <v>88</v>
      </c>
      <c r="D4751" t="s">
        <v>4409</v>
      </c>
      <c r="E4751" t="s">
        <v>979</v>
      </c>
      <c r="F4751" t="s">
        <v>88</v>
      </c>
      <c r="G4751" t="s">
        <v>88</v>
      </c>
      <c r="H4751" t="s">
        <v>92</v>
      </c>
    </row>
    <row r="4752" spans="1:8" x14ac:dyDescent="0.25">
      <c r="A4752" t="s">
        <v>234</v>
      </c>
      <c r="B4752" t="s">
        <v>4417</v>
      </c>
      <c r="C4752" t="s">
        <v>88</v>
      </c>
      <c r="D4752" t="s">
        <v>4403</v>
      </c>
      <c r="E4752" t="s">
        <v>655</v>
      </c>
      <c r="F4752" t="s">
        <v>88</v>
      </c>
      <c r="G4752" t="s">
        <v>88</v>
      </c>
      <c r="H4752" t="s">
        <v>92</v>
      </c>
    </row>
    <row r="4753" spans="1:8" x14ac:dyDescent="0.25">
      <c r="A4753" t="s">
        <v>234</v>
      </c>
      <c r="B4753" t="s">
        <v>1878</v>
      </c>
      <c r="C4753" t="s">
        <v>88</v>
      </c>
      <c r="D4753" t="s">
        <v>4411</v>
      </c>
      <c r="E4753" t="s">
        <v>760</v>
      </c>
      <c r="F4753" t="s">
        <v>88</v>
      </c>
      <c r="G4753" t="s">
        <v>88</v>
      </c>
      <c r="H4753" t="s">
        <v>92</v>
      </c>
    </row>
    <row r="4754" spans="1:8" x14ac:dyDescent="0.25">
      <c r="A4754" t="s">
        <v>234</v>
      </c>
      <c r="B4754" t="s">
        <v>4418</v>
      </c>
      <c r="C4754" t="s">
        <v>88</v>
      </c>
      <c r="D4754" t="s">
        <v>4403</v>
      </c>
      <c r="E4754" t="s">
        <v>717</v>
      </c>
      <c r="F4754" t="s">
        <v>88</v>
      </c>
      <c r="G4754" t="s">
        <v>88</v>
      </c>
      <c r="H4754" t="s">
        <v>92</v>
      </c>
    </row>
    <row r="4755" spans="1:8" x14ac:dyDescent="0.25">
      <c r="A4755" t="s">
        <v>234</v>
      </c>
      <c r="B4755" t="s">
        <v>4419</v>
      </c>
      <c r="C4755" t="s">
        <v>88</v>
      </c>
      <c r="D4755" t="s">
        <v>4409</v>
      </c>
      <c r="E4755" t="s">
        <v>717</v>
      </c>
      <c r="F4755" t="s">
        <v>88</v>
      </c>
      <c r="G4755" t="s">
        <v>88</v>
      </c>
      <c r="H4755" t="s">
        <v>92</v>
      </c>
    </row>
    <row r="4756" spans="1:8" x14ac:dyDescent="0.25">
      <c r="A4756" t="s">
        <v>234</v>
      </c>
      <c r="B4756" t="s">
        <v>4420</v>
      </c>
      <c r="C4756" t="s">
        <v>88</v>
      </c>
      <c r="D4756" t="s">
        <v>88</v>
      </c>
      <c r="E4756" t="s">
        <v>702</v>
      </c>
      <c r="F4756" t="s">
        <v>88</v>
      </c>
      <c r="G4756" t="s">
        <v>88</v>
      </c>
      <c r="H4756" t="s">
        <v>92</v>
      </c>
    </row>
    <row r="4757" spans="1:8" x14ac:dyDescent="0.25">
      <c r="A4757" t="s">
        <v>234</v>
      </c>
      <c r="B4757" t="s">
        <v>4421</v>
      </c>
      <c r="C4757" t="s">
        <v>88</v>
      </c>
      <c r="D4757" t="s">
        <v>88</v>
      </c>
      <c r="E4757" t="s">
        <v>791</v>
      </c>
      <c r="F4757" t="s">
        <v>88</v>
      </c>
      <c r="G4757" t="s">
        <v>88</v>
      </c>
      <c r="H4757" t="s">
        <v>92</v>
      </c>
    </row>
    <row r="4758" spans="1:8" x14ac:dyDescent="0.25">
      <c r="A4758" t="s">
        <v>234</v>
      </c>
      <c r="B4758" t="s">
        <v>4422</v>
      </c>
      <c r="C4758" t="s">
        <v>88</v>
      </c>
      <c r="D4758" t="s">
        <v>88</v>
      </c>
      <c r="E4758" t="s">
        <v>702</v>
      </c>
      <c r="F4758" t="s">
        <v>88</v>
      </c>
      <c r="G4758" t="s">
        <v>88</v>
      </c>
      <c r="H4758" t="s">
        <v>92</v>
      </c>
    </row>
    <row r="4759" spans="1:8" x14ac:dyDescent="0.25">
      <c r="A4759" t="s">
        <v>234</v>
      </c>
      <c r="B4759" t="s">
        <v>4423</v>
      </c>
      <c r="C4759" t="s">
        <v>88</v>
      </c>
      <c r="D4759" t="s">
        <v>4424</v>
      </c>
      <c r="E4759" t="s">
        <v>799</v>
      </c>
      <c r="F4759" t="s">
        <v>88</v>
      </c>
      <c r="G4759" t="s">
        <v>88</v>
      </c>
      <c r="H4759" t="s">
        <v>92</v>
      </c>
    </row>
    <row r="4760" spans="1:8" x14ac:dyDescent="0.25">
      <c r="A4760" t="s">
        <v>234</v>
      </c>
      <c r="B4760" t="s">
        <v>4425</v>
      </c>
      <c r="C4760" t="s">
        <v>88</v>
      </c>
      <c r="D4760" t="s">
        <v>4426</v>
      </c>
      <c r="E4760" t="s">
        <v>738</v>
      </c>
      <c r="F4760" t="s">
        <v>88</v>
      </c>
      <c r="G4760" t="s">
        <v>88</v>
      </c>
      <c r="H4760" t="s">
        <v>92</v>
      </c>
    </row>
    <row r="4761" spans="1:8" x14ac:dyDescent="0.25">
      <c r="A4761" t="s">
        <v>234</v>
      </c>
      <c r="B4761" t="s">
        <v>4427</v>
      </c>
      <c r="C4761" t="s">
        <v>88</v>
      </c>
      <c r="D4761" t="s">
        <v>88</v>
      </c>
      <c r="E4761" t="s">
        <v>2756</v>
      </c>
      <c r="F4761" t="s">
        <v>88</v>
      </c>
      <c r="G4761" t="s">
        <v>88</v>
      </c>
      <c r="H4761" t="s">
        <v>92</v>
      </c>
    </row>
    <row r="4762" spans="1:8" x14ac:dyDescent="0.25">
      <c r="A4762" t="s">
        <v>234</v>
      </c>
      <c r="B4762" t="s">
        <v>4428</v>
      </c>
      <c r="C4762" t="s">
        <v>88</v>
      </c>
      <c r="D4762" t="s">
        <v>88</v>
      </c>
      <c r="E4762" t="s">
        <v>780</v>
      </c>
      <c r="F4762" t="s">
        <v>88</v>
      </c>
      <c r="G4762" t="s">
        <v>88</v>
      </c>
      <c r="H4762" t="s">
        <v>92</v>
      </c>
    </row>
    <row r="4763" spans="1:8" x14ac:dyDescent="0.25">
      <c r="A4763" t="s">
        <v>234</v>
      </c>
      <c r="B4763" t="s">
        <v>4429</v>
      </c>
      <c r="C4763" t="s">
        <v>88</v>
      </c>
      <c r="D4763" t="s">
        <v>4430</v>
      </c>
      <c r="E4763" t="s">
        <v>715</v>
      </c>
      <c r="F4763" t="s">
        <v>88</v>
      </c>
      <c r="G4763" t="s">
        <v>88</v>
      </c>
      <c r="H4763" t="s">
        <v>92</v>
      </c>
    </row>
    <row r="4764" spans="1:8" x14ac:dyDescent="0.25">
      <c r="A4764" t="s">
        <v>234</v>
      </c>
      <c r="B4764" t="s">
        <v>4431</v>
      </c>
      <c r="C4764" t="s">
        <v>88</v>
      </c>
      <c r="D4764" t="s">
        <v>4430</v>
      </c>
      <c r="E4764" t="s">
        <v>4432</v>
      </c>
      <c r="F4764" t="s">
        <v>88</v>
      </c>
      <c r="G4764" t="s">
        <v>88</v>
      </c>
      <c r="H4764" t="s">
        <v>92</v>
      </c>
    </row>
    <row r="4765" spans="1:8" x14ac:dyDescent="0.25">
      <c r="A4765" t="s">
        <v>234</v>
      </c>
      <c r="B4765" t="s">
        <v>4433</v>
      </c>
      <c r="C4765" t="s">
        <v>88</v>
      </c>
      <c r="D4765" t="s">
        <v>88</v>
      </c>
      <c r="E4765" t="s">
        <v>1323</v>
      </c>
      <c r="F4765" t="s">
        <v>88</v>
      </c>
      <c r="G4765" t="s">
        <v>88</v>
      </c>
      <c r="H4765" t="s">
        <v>92</v>
      </c>
    </row>
    <row r="4766" spans="1:8" x14ac:dyDescent="0.25">
      <c r="A4766" t="s">
        <v>234</v>
      </c>
      <c r="B4766" t="s">
        <v>4434</v>
      </c>
      <c r="C4766" t="s">
        <v>88</v>
      </c>
      <c r="D4766" t="s">
        <v>88</v>
      </c>
      <c r="E4766" t="s">
        <v>2756</v>
      </c>
      <c r="F4766" t="s">
        <v>88</v>
      </c>
      <c r="G4766" t="s">
        <v>88</v>
      </c>
      <c r="H4766" t="s">
        <v>92</v>
      </c>
    </row>
    <row r="4767" spans="1:8" x14ac:dyDescent="0.25">
      <c r="A4767" t="s">
        <v>234</v>
      </c>
      <c r="B4767" t="s">
        <v>4435</v>
      </c>
      <c r="C4767" t="s">
        <v>88</v>
      </c>
      <c r="D4767" t="s">
        <v>88</v>
      </c>
      <c r="E4767" t="s">
        <v>732</v>
      </c>
      <c r="F4767" t="s">
        <v>88</v>
      </c>
      <c r="G4767" t="s">
        <v>88</v>
      </c>
      <c r="H4767" t="s">
        <v>92</v>
      </c>
    </row>
    <row r="4768" spans="1:8" x14ac:dyDescent="0.25">
      <c r="A4768" t="s">
        <v>234</v>
      </c>
      <c r="B4768" t="s">
        <v>4436</v>
      </c>
      <c r="C4768" t="s">
        <v>88</v>
      </c>
      <c r="D4768" t="s">
        <v>4409</v>
      </c>
      <c r="E4768" t="s">
        <v>799</v>
      </c>
      <c r="F4768" t="s">
        <v>88</v>
      </c>
      <c r="G4768" t="s">
        <v>88</v>
      </c>
      <c r="H4768" t="s">
        <v>92</v>
      </c>
    </row>
    <row r="4769" spans="1:8" x14ac:dyDescent="0.25">
      <c r="A4769" t="s">
        <v>234</v>
      </c>
      <c r="B4769" t="s">
        <v>4437</v>
      </c>
      <c r="C4769" t="s">
        <v>88</v>
      </c>
      <c r="D4769" t="s">
        <v>88</v>
      </c>
      <c r="E4769" t="s">
        <v>655</v>
      </c>
      <c r="F4769" t="s">
        <v>88</v>
      </c>
      <c r="G4769" t="s">
        <v>88</v>
      </c>
      <c r="H4769" t="s">
        <v>92</v>
      </c>
    </row>
    <row r="4770" spans="1:8" x14ac:dyDescent="0.25">
      <c r="A4770" t="s">
        <v>234</v>
      </c>
      <c r="B4770" t="s">
        <v>1127</v>
      </c>
      <c r="C4770" t="s">
        <v>88</v>
      </c>
      <c r="D4770" t="s">
        <v>88</v>
      </c>
      <c r="E4770" t="s">
        <v>700</v>
      </c>
      <c r="F4770" t="s">
        <v>88</v>
      </c>
      <c r="G4770" t="s">
        <v>88</v>
      </c>
      <c r="H4770" t="s">
        <v>92</v>
      </c>
    </row>
    <row r="4771" spans="1:8" x14ac:dyDescent="0.25">
      <c r="A4771" t="s">
        <v>234</v>
      </c>
      <c r="B4771" t="s">
        <v>4438</v>
      </c>
      <c r="C4771" t="s">
        <v>88</v>
      </c>
      <c r="D4771" t="s">
        <v>88</v>
      </c>
      <c r="E4771" t="s">
        <v>700</v>
      </c>
      <c r="F4771" t="s">
        <v>88</v>
      </c>
      <c r="G4771" t="s">
        <v>88</v>
      </c>
      <c r="H4771" t="s">
        <v>92</v>
      </c>
    </row>
    <row r="4772" spans="1:8" x14ac:dyDescent="0.25">
      <c r="A4772" t="s">
        <v>234</v>
      </c>
      <c r="B4772" t="s">
        <v>4439</v>
      </c>
      <c r="C4772" t="s">
        <v>88</v>
      </c>
      <c r="D4772" t="s">
        <v>88</v>
      </c>
      <c r="E4772" t="s">
        <v>700</v>
      </c>
      <c r="F4772" t="s">
        <v>88</v>
      </c>
      <c r="G4772" t="s">
        <v>88</v>
      </c>
      <c r="H4772" t="s">
        <v>92</v>
      </c>
    </row>
    <row r="4773" spans="1:8" x14ac:dyDescent="0.25">
      <c r="A4773" t="s">
        <v>234</v>
      </c>
      <c r="B4773" t="s">
        <v>4440</v>
      </c>
      <c r="C4773" t="s">
        <v>88</v>
      </c>
      <c r="D4773" t="s">
        <v>88</v>
      </c>
      <c r="E4773" t="s">
        <v>700</v>
      </c>
      <c r="F4773" t="s">
        <v>88</v>
      </c>
      <c r="G4773" t="s">
        <v>88</v>
      </c>
      <c r="H4773" t="s">
        <v>92</v>
      </c>
    </row>
    <row r="4774" spans="1:8" x14ac:dyDescent="0.25">
      <c r="A4774" t="s">
        <v>234</v>
      </c>
      <c r="B4774" t="s">
        <v>4441</v>
      </c>
      <c r="C4774" t="s">
        <v>88</v>
      </c>
      <c r="D4774" t="s">
        <v>88</v>
      </c>
      <c r="E4774" t="s">
        <v>889</v>
      </c>
      <c r="F4774" t="s">
        <v>88</v>
      </c>
      <c r="G4774" t="s">
        <v>88</v>
      </c>
      <c r="H4774" t="s">
        <v>92</v>
      </c>
    </row>
    <row r="4775" spans="1:8" x14ac:dyDescent="0.25">
      <c r="A4775" t="s">
        <v>234</v>
      </c>
      <c r="B4775" t="s">
        <v>4442</v>
      </c>
      <c r="C4775" t="s">
        <v>88</v>
      </c>
      <c r="D4775" t="s">
        <v>88</v>
      </c>
      <c r="E4775" t="s">
        <v>700</v>
      </c>
      <c r="F4775" t="s">
        <v>88</v>
      </c>
      <c r="G4775" t="s">
        <v>88</v>
      </c>
      <c r="H4775" t="s">
        <v>92</v>
      </c>
    </row>
    <row r="4776" spans="1:8" x14ac:dyDescent="0.25">
      <c r="A4776" t="s">
        <v>234</v>
      </c>
      <c r="B4776" t="s">
        <v>4443</v>
      </c>
      <c r="C4776" t="s">
        <v>88</v>
      </c>
      <c r="D4776" t="s">
        <v>88</v>
      </c>
      <c r="E4776" t="s">
        <v>700</v>
      </c>
      <c r="F4776" t="s">
        <v>88</v>
      </c>
      <c r="G4776" t="s">
        <v>88</v>
      </c>
      <c r="H4776" t="s">
        <v>92</v>
      </c>
    </row>
    <row r="4777" spans="1:8" x14ac:dyDescent="0.25">
      <c r="A4777" t="s">
        <v>234</v>
      </c>
      <c r="B4777" t="s">
        <v>4444</v>
      </c>
      <c r="C4777" t="s">
        <v>88</v>
      </c>
      <c r="D4777" t="s">
        <v>88</v>
      </c>
      <c r="E4777" t="s">
        <v>700</v>
      </c>
      <c r="F4777" t="s">
        <v>88</v>
      </c>
      <c r="G4777" t="s">
        <v>88</v>
      </c>
      <c r="H4777" t="s">
        <v>92</v>
      </c>
    </row>
    <row r="4778" spans="1:8" x14ac:dyDescent="0.25">
      <c r="A4778" t="s">
        <v>234</v>
      </c>
      <c r="B4778" t="s">
        <v>4445</v>
      </c>
      <c r="C4778" t="s">
        <v>88</v>
      </c>
      <c r="D4778" t="s">
        <v>88</v>
      </c>
      <c r="E4778" t="s">
        <v>893</v>
      </c>
      <c r="F4778" t="s">
        <v>88</v>
      </c>
      <c r="G4778" t="s">
        <v>88</v>
      </c>
      <c r="H4778" t="s">
        <v>92</v>
      </c>
    </row>
    <row r="4779" spans="1:8" x14ac:dyDescent="0.25">
      <c r="A4779" t="s">
        <v>234</v>
      </c>
      <c r="B4779" t="s">
        <v>4446</v>
      </c>
      <c r="C4779" t="s">
        <v>88</v>
      </c>
      <c r="D4779" t="s">
        <v>88</v>
      </c>
      <c r="E4779" t="s">
        <v>700</v>
      </c>
      <c r="F4779" t="s">
        <v>88</v>
      </c>
      <c r="G4779" t="s">
        <v>88</v>
      </c>
      <c r="H4779" t="s">
        <v>92</v>
      </c>
    </row>
    <row r="4780" spans="1:8" x14ac:dyDescent="0.25">
      <c r="A4780" t="s">
        <v>234</v>
      </c>
      <c r="B4780" t="s">
        <v>4447</v>
      </c>
      <c r="C4780" t="s">
        <v>88</v>
      </c>
      <c r="D4780" t="s">
        <v>88</v>
      </c>
      <c r="E4780" t="s">
        <v>658</v>
      </c>
      <c r="F4780" t="s">
        <v>88</v>
      </c>
      <c r="G4780" t="s">
        <v>88</v>
      </c>
      <c r="H4780" t="s">
        <v>92</v>
      </c>
    </row>
    <row r="4781" spans="1:8" x14ac:dyDescent="0.25">
      <c r="A4781" t="s">
        <v>234</v>
      </c>
      <c r="B4781" t="s">
        <v>4448</v>
      </c>
      <c r="C4781" t="s">
        <v>88</v>
      </c>
      <c r="D4781" t="s">
        <v>88</v>
      </c>
      <c r="E4781" t="s">
        <v>893</v>
      </c>
      <c r="F4781" t="s">
        <v>88</v>
      </c>
      <c r="G4781" t="s">
        <v>88</v>
      </c>
      <c r="H4781" t="s">
        <v>92</v>
      </c>
    </row>
    <row r="4782" spans="1:8" x14ac:dyDescent="0.25">
      <c r="A4782" t="s">
        <v>234</v>
      </c>
      <c r="B4782" t="s">
        <v>4449</v>
      </c>
      <c r="C4782" t="s">
        <v>88</v>
      </c>
      <c r="D4782" t="s">
        <v>88</v>
      </c>
      <c r="E4782" t="s">
        <v>2464</v>
      </c>
      <c r="F4782" t="s">
        <v>88</v>
      </c>
      <c r="G4782" t="s">
        <v>88</v>
      </c>
      <c r="H4782" t="s">
        <v>92</v>
      </c>
    </row>
    <row r="4783" spans="1:8" x14ac:dyDescent="0.25">
      <c r="A4783" t="s">
        <v>234</v>
      </c>
      <c r="B4783" t="s">
        <v>4450</v>
      </c>
      <c r="C4783" t="s">
        <v>88</v>
      </c>
      <c r="D4783" t="s">
        <v>88</v>
      </c>
      <c r="E4783" t="s">
        <v>658</v>
      </c>
      <c r="F4783" t="s">
        <v>88</v>
      </c>
      <c r="G4783" t="s">
        <v>88</v>
      </c>
      <c r="H4783" t="s">
        <v>92</v>
      </c>
    </row>
    <row r="4784" spans="1:8" x14ac:dyDescent="0.25">
      <c r="A4784" t="s">
        <v>234</v>
      </c>
      <c r="B4784" t="s">
        <v>4451</v>
      </c>
      <c r="C4784" t="s">
        <v>88</v>
      </c>
      <c r="D4784" t="s">
        <v>88</v>
      </c>
      <c r="E4784" t="s">
        <v>820</v>
      </c>
      <c r="F4784" t="s">
        <v>88</v>
      </c>
      <c r="G4784" t="s">
        <v>88</v>
      </c>
      <c r="H4784" t="s">
        <v>92</v>
      </c>
    </row>
    <row r="4785" spans="1:8" x14ac:dyDescent="0.25">
      <c r="A4785" t="s">
        <v>234</v>
      </c>
      <c r="B4785" t="s">
        <v>4452</v>
      </c>
      <c r="C4785" t="s">
        <v>88</v>
      </c>
      <c r="D4785" t="s">
        <v>88</v>
      </c>
      <c r="E4785" t="s">
        <v>700</v>
      </c>
      <c r="F4785" t="s">
        <v>88</v>
      </c>
      <c r="G4785" t="s">
        <v>88</v>
      </c>
      <c r="H4785" t="s">
        <v>92</v>
      </c>
    </row>
    <row r="4786" spans="1:8" x14ac:dyDescent="0.25">
      <c r="A4786" t="s">
        <v>234</v>
      </c>
      <c r="B4786" t="s">
        <v>1145</v>
      </c>
      <c r="C4786" t="s">
        <v>88</v>
      </c>
      <c r="D4786" t="s">
        <v>4453</v>
      </c>
      <c r="E4786" t="s">
        <v>700</v>
      </c>
      <c r="F4786" t="s">
        <v>88</v>
      </c>
      <c r="G4786" t="s">
        <v>88</v>
      </c>
      <c r="H4786" t="s">
        <v>92</v>
      </c>
    </row>
    <row r="4787" spans="1:8" x14ac:dyDescent="0.25">
      <c r="A4787" t="s">
        <v>234</v>
      </c>
      <c r="B4787" t="s">
        <v>4454</v>
      </c>
      <c r="C4787" t="s">
        <v>88</v>
      </c>
      <c r="D4787" t="s">
        <v>4453</v>
      </c>
      <c r="E4787" t="s">
        <v>889</v>
      </c>
      <c r="F4787" t="s">
        <v>88</v>
      </c>
      <c r="G4787" t="s">
        <v>88</v>
      </c>
      <c r="H4787" t="s">
        <v>92</v>
      </c>
    </row>
    <row r="4788" spans="1:8" x14ac:dyDescent="0.25">
      <c r="A4788" t="s">
        <v>234</v>
      </c>
      <c r="B4788" t="s">
        <v>1147</v>
      </c>
      <c r="C4788" t="s">
        <v>88</v>
      </c>
      <c r="D4788" t="s">
        <v>4399</v>
      </c>
      <c r="E4788" t="s">
        <v>700</v>
      </c>
      <c r="F4788" t="s">
        <v>88</v>
      </c>
      <c r="G4788" t="s">
        <v>88</v>
      </c>
      <c r="H4788" t="s">
        <v>92</v>
      </c>
    </row>
    <row r="4789" spans="1:8" x14ac:dyDescent="0.25">
      <c r="A4789" t="s">
        <v>234</v>
      </c>
      <c r="B4789" t="s">
        <v>4455</v>
      </c>
      <c r="C4789" t="s">
        <v>88</v>
      </c>
      <c r="D4789" t="s">
        <v>4399</v>
      </c>
      <c r="E4789" t="s">
        <v>700</v>
      </c>
      <c r="F4789" t="s">
        <v>88</v>
      </c>
      <c r="G4789" t="s">
        <v>88</v>
      </c>
      <c r="H4789" t="s">
        <v>92</v>
      </c>
    </row>
    <row r="4790" spans="1:8" x14ac:dyDescent="0.25">
      <c r="A4790" t="s">
        <v>234</v>
      </c>
      <c r="B4790" t="s">
        <v>4398</v>
      </c>
      <c r="C4790" t="s">
        <v>88</v>
      </c>
      <c r="D4790" t="s">
        <v>4399</v>
      </c>
      <c r="E4790" t="s">
        <v>748</v>
      </c>
      <c r="F4790" t="s">
        <v>88</v>
      </c>
      <c r="G4790" t="s">
        <v>88</v>
      </c>
      <c r="H4790" t="s">
        <v>92</v>
      </c>
    </row>
    <row r="4791" spans="1:8" x14ac:dyDescent="0.25">
      <c r="A4791" t="s">
        <v>234</v>
      </c>
      <c r="B4791" t="s">
        <v>4456</v>
      </c>
      <c r="C4791" t="s">
        <v>88</v>
      </c>
      <c r="D4791" t="s">
        <v>4399</v>
      </c>
      <c r="E4791" t="s">
        <v>748</v>
      </c>
      <c r="F4791" t="s">
        <v>88</v>
      </c>
      <c r="G4791" t="s">
        <v>88</v>
      </c>
      <c r="H4791" t="s">
        <v>92</v>
      </c>
    </row>
    <row r="4792" spans="1:8" x14ac:dyDescent="0.25">
      <c r="A4792" t="s">
        <v>234</v>
      </c>
      <c r="B4792" t="s">
        <v>4457</v>
      </c>
      <c r="C4792" t="s">
        <v>88</v>
      </c>
      <c r="D4792" t="s">
        <v>4399</v>
      </c>
      <c r="E4792" t="s">
        <v>748</v>
      </c>
      <c r="F4792" t="s">
        <v>88</v>
      </c>
      <c r="G4792" t="s">
        <v>88</v>
      </c>
      <c r="H4792" t="s">
        <v>92</v>
      </c>
    </row>
    <row r="4793" spans="1:8" x14ac:dyDescent="0.25">
      <c r="A4793" t="s">
        <v>234</v>
      </c>
      <c r="B4793" t="s">
        <v>4458</v>
      </c>
      <c r="C4793" t="s">
        <v>88</v>
      </c>
      <c r="D4793" t="s">
        <v>4399</v>
      </c>
      <c r="E4793" t="s">
        <v>748</v>
      </c>
      <c r="F4793" t="s">
        <v>88</v>
      </c>
      <c r="G4793" t="s">
        <v>88</v>
      </c>
      <c r="H4793" t="s">
        <v>92</v>
      </c>
    </row>
    <row r="4794" spans="1:8" x14ac:dyDescent="0.25">
      <c r="A4794" t="s">
        <v>234</v>
      </c>
      <c r="B4794" t="s">
        <v>4459</v>
      </c>
      <c r="C4794" t="s">
        <v>88</v>
      </c>
      <c r="D4794" t="s">
        <v>4399</v>
      </c>
      <c r="E4794" t="s">
        <v>748</v>
      </c>
      <c r="F4794" t="s">
        <v>88</v>
      </c>
      <c r="G4794" t="s">
        <v>88</v>
      </c>
      <c r="H4794" t="s">
        <v>92</v>
      </c>
    </row>
    <row r="4795" spans="1:8" x14ac:dyDescent="0.25">
      <c r="A4795" t="s">
        <v>234</v>
      </c>
      <c r="B4795" t="s">
        <v>4460</v>
      </c>
      <c r="C4795" t="s">
        <v>88</v>
      </c>
      <c r="D4795" t="s">
        <v>88</v>
      </c>
      <c r="E4795" t="s">
        <v>710</v>
      </c>
      <c r="F4795" t="s">
        <v>88</v>
      </c>
      <c r="G4795" t="s">
        <v>88</v>
      </c>
      <c r="H4795" t="s">
        <v>92</v>
      </c>
    </row>
    <row r="4796" spans="1:8" x14ac:dyDescent="0.25">
      <c r="A4796" t="s">
        <v>234</v>
      </c>
      <c r="B4796" t="s">
        <v>4461</v>
      </c>
      <c r="C4796" t="s">
        <v>88</v>
      </c>
      <c r="D4796" t="s">
        <v>88</v>
      </c>
      <c r="E4796" t="s">
        <v>710</v>
      </c>
      <c r="F4796" t="s">
        <v>88</v>
      </c>
      <c r="G4796" t="s">
        <v>88</v>
      </c>
      <c r="H4796" t="s">
        <v>92</v>
      </c>
    </row>
    <row r="4797" spans="1:8" x14ac:dyDescent="0.25">
      <c r="A4797" t="s">
        <v>234</v>
      </c>
      <c r="B4797" t="s">
        <v>4462</v>
      </c>
      <c r="C4797" t="s">
        <v>88</v>
      </c>
      <c r="D4797" t="s">
        <v>88</v>
      </c>
      <c r="E4797" t="s">
        <v>710</v>
      </c>
      <c r="F4797" t="s">
        <v>88</v>
      </c>
      <c r="G4797" t="s">
        <v>88</v>
      </c>
      <c r="H4797" t="s">
        <v>92</v>
      </c>
    </row>
    <row r="4798" spans="1:8" x14ac:dyDescent="0.25">
      <c r="A4798" t="s">
        <v>234</v>
      </c>
      <c r="B4798" t="s">
        <v>4463</v>
      </c>
      <c r="C4798" t="s">
        <v>88</v>
      </c>
      <c r="D4798" t="s">
        <v>88</v>
      </c>
      <c r="E4798" t="s">
        <v>710</v>
      </c>
      <c r="F4798" t="s">
        <v>88</v>
      </c>
      <c r="G4798" t="s">
        <v>88</v>
      </c>
      <c r="H4798" t="s">
        <v>92</v>
      </c>
    </row>
    <row r="4799" spans="1:8" x14ac:dyDescent="0.25">
      <c r="A4799" t="s">
        <v>234</v>
      </c>
      <c r="B4799" t="s">
        <v>4464</v>
      </c>
      <c r="C4799" t="s">
        <v>88</v>
      </c>
      <c r="D4799" t="s">
        <v>88</v>
      </c>
      <c r="E4799" t="s">
        <v>710</v>
      </c>
      <c r="F4799" t="s">
        <v>88</v>
      </c>
      <c r="G4799" t="s">
        <v>88</v>
      </c>
      <c r="H4799" t="s">
        <v>92</v>
      </c>
    </row>
    <row r="4800" spans="1:8" x14ac:dyDescent="0.25">
      <c r="A4800" t="s">
        <v>234</v>
      </c>
      <c r="B4800" t="s">
        <v>4400</v>
      </c>
      <c r="C4800" t="s">
        <v>88</v>
      </c>
      <c r="D4800" t="s">
        <v>88</v>
      </c>
      <c r="E4800" t="s">
        <v>710</v>
      </c>
      <c r="F4800" t="s">
        <v>88</v>
      </c>
      <c r="G4800" t="s">
        <v>88</v>
      </c>
      <c r="H4800" t="s">
        <v>92</v>
      </c>
    </row>
    <row r="4801" spans="1:8" x14ac:dyDescent="0.25">
      <c r="A4801" t="s">
        <v>234</v>
      </c>
      <c r="B4801" t="s">
        <v>4465</v>
      </c>
      <c r="C4801" t="s">
        <v>88</v>
      </c>
      <c r="D4801" t="s">
        <v>88</v>
      </c>
      <c r="E4801" t="s">
        <v>848</v>
      </c>
      <c r="F4801" t="s">
        <v>88</v>
      </c>
      <c r="G4801" t="s">
        <v>88</v>
      </c>
      <c r="H4801" t="s">
        <v>92</v>
      </c>
    </row>
    <row r="4802" spans="1:8" x14ac:dyDescent="0.25">
      <c r="A4802" t="s">
        <v>234</v>
      </c>
      <c r="B4802" t="s">
        <v>4466</v>
      </c>
      <c r="C4802" t="s">
        <v>88</v>
      </c>
      <c r="D4802" t="s">
        <v>88</v>
      </c>
      <c r="E4802" t="s">
        <v>710</v>
      </c>
      <c r="F4802" t="s">
        <v>88</v>
      </c>
      <c r="G4802" t="s">
        <v>88</v>
      </c>
      <c r="H4802" t="s">
        <v>92</v>
      </c>
    </row>
    <row r="4803" spans="1:8" x14ac:dyDescent="0.25">
      <c r="A4803" t="s">
        <v>234</v>
      </c>
      <c r="B4803" t="s">
        <v>4467</v>
      </c>
      <c r="C4803" t="s">
        <v>88</v>
      </c>
      <c r="D4803" t="s">
        <v>88</v>
      </c>
      <c r="E4803" t="s">
        <v>848</v>
      </c>
      <c r="F4803" t="s">
        <v>88</v>
      </c>
      <c r="G4803" t="s">
        <v>88</v>
      </c>
      <c r="H4803" t="s">
        <v>92</v>
      </c>
    </row>
    <row r="4804" spans="1:8" x14ac:dyDescent="0.25">
      <c r="A4804" t="s">
        <v>234</v>
      </c>
      <c r="B4804" t="s">
        <v>4468</v>
      </c>
      <c r="C4804" t="s">
        <v>88</v>
      </c>
      <c r="D4804" t="s">
        <v>88</v>
      </c>
      <c r="E4804" t="s">
        <v>710</v>
      </c>
      <c r="F4804" t="s">
        <v>88</v>
      </c>
      <c r="G4804" t="s">
        <v>88</v>
      </c>
      <c r="H4804" t="s">
        <v>92</v>
      </c>
    </row>
    <row r="4805" spans="1:8" x14ac:dyDescent="0.25">
      <c r="A4805" t="s">
        <v>234</v>
      </c>
      <c r="B4805" t="s">
        <v>4469</v>
      </c>
      <c r="C4805" t="s">
        <v>88</v>
      </c>
      <c r="D4805" t="s">
        <v>88</v>
      </c>
      <c r="E4805" t="s">
        <v>710</v>
      </c>
      <c r="F4805" t="s">
        <v>88</v>
      </c>
      <c r="G4805" t="s">
        <v>88</v>
      </c>
      <c r="H4805" t="s">
        <v>92</v>
      </c>
    </row>
    <row r="4806" spans="1:8" x14ac:dyDescent="0.25">
      <c r="A4806" t="s">
        <v>234</v>
      </c>
      <c r="B4806" t="s">
        <v>4470</v>
      </c>
      <c r="C4806" t="s">
        <v>88</v>
      </c>
      <c r="D4806" t="s">
        <v>88</v>
      </c>
      <c r="E4806" t="s">
        <v>1978</v>
      </c>
      <c r="F4806" t="s">
        <v>88</v>
      </c>
      <c r="G4806" t="s">
        <v>88</v>
      </c>
      <c r="H4806" t="s">
        <v>92</v>
      </c>
    </row>
    <row r="4807" spans="1:8" x14ac:dyDescent="0.25">
      <c r="A4807" t="s">
        <v>234</v>
      </c>
      <c r="B4807" t="s">
        <v>4471</v>
      </c>
      <c r="C4807" t="s">
        <v>88</v>
      </c>
      <c r="D4807" t="s">
        <v>88</v>
      </c>
      <c r="E4807" t="s">
        <v>709</v>
      </c>
      <c r="F4807" t="s">
        <v>88</v>
      </c>
      <c r="G4807" t="s">
        <v>88</v>
      </c>
      <c r="H4807" t="s">
        <v>92</v>
      </c>
    </row>
    <row r="4808" spans="1:8" x14ac:dyDescent="0.25">
      <c r="A4808" t="s">
        <v>234</v>
      </c>
      <c r="B4808" t="s">
        <v>4472</v>
      </c>
      <c r="C4808" t="s">
        <v>88</v>
      </c>
      <c r="D4808" t="s">
        <v>88</v>
      </c>
      <c r="E4808" t="s">
        <v>1323</v>
      </c>
      <c r="F4808" t="s">
        <v>88</v>
      </c>
      <c r="G4808" t="s">
        <v>88</v>
      </c>
      <c r="H4808" t="s">
        <v>92</v>
      </c>
    </row>
    <row r="4809" spans="1:8" x14ac:dyDescent="0.25">
      <c r="A4809" t="s">
        <v>234</v>
      </c>
      <c r="B4809" t="s">
        <v>4473</v>
      </c>
      <c r="C4809" t="s">
        <v>88</v>
      </c>
      <c r="D4809" t="s">
        <v>88</v>
      </c>
      <c r="E4809" t="s">
        <v>2756</v>
      </c>
      <c r="F4809" t="s">
        <v>88</v>
      </c>
      <c r="G4809" t="s">
        <v>88</v>
      </c>
      <c r="H4809" t="s">
        <v>92</v>
      </c>
    </row>
    <row r="4810" spans="1:8" x14ac:dyDescent="0.25">
      <c r="A4810" t="s">
        <v>234</v>
      </c>
      <c r="B4810" t="s">
        <v>4474</v>
      </c>
      <c r="C4810" t="s">
        <v>88</v>
      </c>
      <c r="D4810" t="s">
        <v>88</v>
      </c>
      <c r="E4810" t="s">
        <v>2756</v>
      </c>
      <c r="F4810" t="s">
        <v>88</v>
      </c>
      <c r="G4810" t="s">
        <v>88</v>
      </c>
      <c r="H4810" t="s">
        <v>92</v>
      </c>
    </row>
    <row r="4811" spans="1:8" x14ac:dyDescent="0.25">
      <c r="A4811" t="s">
        <v>234</v>
      </c>
      <c r="B4811" t="s">
        <v>4475</v>
      </c>
      <c r="C4811" t="s">
        <v>88</v>
      </c>
      <c r="D4811" t="s">
        <v>88</v>
      </c>
      <c r="E4811" t="s">
        <v>2756</v>
      </c>
      <c r="F4811" t="s">
        <v>88</v>
      </c>
      <c r="G4811" t="s">
        <v>88</v>
      </c>
      <c r="H4811" t="s">
        <v>92</v>
      </c>
    </row>
    <row r="4812" spans="1:8" x14ac:dyDescent="0.25">
      <c r="A4812" t="s">
        <v>234</v>
      </c>
      <c r="B4812" t="s">
        <v>4476</v>
      </c>
      <c r="C4812" t="s">
        <v>88</v>
      </c>
      <c r="D4812" t="s">
        <v>88</v>
      </c>
      <c r="E4812" t="s">
        <v>2756</v>
      </c>
      <c r="F4812" t="s">
        <v>88</v>
      </c>
      <c r="G4812" t="s">
        <v>88</v>
      </c>
      <c r="H4812" t="s">
        <v>92</v>
      </c>
    </row>
    <row r="4813" spans="1:8" x14ac:dyDescent="0.25">
      <c r="A4813" t="s">
        <v>234</v>
      </c>
      <c r="B4813" t="s">
        <v>4477</v>
      </c>
      <c r="C4813" t="s">
        <v>88</v>
      </c>
      <c r="D4813" t="s">
        <v>88</v>
      </c>
      <c r="E4813" t="s">
        <v>1323</v>
      </c>
      <c r="F4813" t="s">
        <v>88</v>
      </c>
      <c r="G4813" t="s">
        <v>88</v>
      </c>
      <c r="H4813" t="s">
        <v>92</v>
      </c>
    </row>
    <row r="4814" spans="1:8" x14ac:dyDescent="0.25">
      <c r="A4814" t="s">
        <v>234</v>
      </c>
      <c r="B4814" t="s">
        <v>4478</v>
      </c>
      <c r="C4814" t="s">
        <v>88</v>
      </c>
      <c r="D4814" t="s">
        <v>88</v>
      </c>
      <c r="E4814" t="s">
        <v>791</v>
      </c>
      <c r="F4814" t="s">
        <v>88</v>
      </c>
      <c r="G4814" t="s">
        <v>88</v>
      </c>
      <c r="H4814" t="s">
        <v>92</v>
      </c>
    </row>
    <row r="4815" spans="1:8" x14ac:dyDescent="0.25">
      <c r="A4815" t="s">
        <v>234</v>
      </c>
      <c r="B4815" t="s">
        <v>4479</v>
      </c>
      <c r="C4815" t="s">
        <v>88</v>
      </c>
      <c r="D4815" t="s">
        <v>88</v>
      </c>
      <c r="E4815" t="s">
        <v>721</v>
      </c>
      <c r="F4815" t="s">
        <v>88</v>
      </c>
      <c r="G4815" t="s">
        <v>88</v>
      </c>
      <c r="H4815" t="s">
        <v>92</v>
      </c>
    </row>
    <row r="4816" spans="1:8" x14ac:dyDescent="0.25">
      <c r="A4816" t="s">
        <v>234</v>
      </c>
      <c r="B4816" t="s">
        <v>4480</v>
      </c>
      <c r="C4816" t="s">
        <v>88</v>
      </c>
      <c r="D4816" t="s">
        <v>88</v>
      </c>
      <c r="E4816" t="s">
        <v>717</v>
      </c>
      <c r="F4816" t="s">
        <v>88</v>
      </c>
      <c r="G4816" t="s">
        <v>88</v>
      </c>
      <c r="H4816" t="s">
        <v>92</v>
      </c>
    </row>
    <row r="4817" spans="1:8" x14ac:dyDescent="0.25">
      <c r="A4817" t="s">
        <v>234</v>
      </c>
      <c r="B4817" t="s">
        <v>4481</v>
      </c>
      <c r="C4817" t="s">
        <v>88</v>
      </c>
      <c r="D4817" t="s">
        <v>88</v>
      </c>
      <c r="E4817" t="s">
        <v>725</v>
      </c>
      <c r="F4817" t="s">
        <v>88</v>
      </c>
      <c r="G4817" t="s">
        <v>88</v>
      </c>
      <c r="H4817" t="s">
        <v>92</v>
      </c>
    </row>
    <row r="4818" spans="1:8" x14ac:dyDescent="0.25">
      <c r="A4818" t="s">
        <v>234</v>
      </c>
      <c r="B4818" t="s">
        <v>4482</v>
      </c>
      <c r="C4818" t="s">
        <v>88</v>
      </c>
      <c r="D4818" t="s">
        <v>4483</v>
      </c>
      <c r="E4818" t="s">
        <v>663</v>
      </c>
      <c r="F4818" t="s">
        <v>88</v>
      </c>
      <c r="G4818" t="s">
        <v>88</v>
      </c>
      <c r="H4818" t="s">
        <v>92</v>
      </c>
    </row>
    <row r="4819" spans="1:8" x14ac:dyDescent="0.25">
      <c r="A4819" t="s">
        <v>234</v>
      </c>
      <c r="B4819" t="s">
        <v>4484</v>
      </c>
      <c r="C4819" t="s">
        <v>88</v>
      </c>
      <c r="D4819" t="s">
        <v>4485</v>
      </c>
      <c r="E4819" t="s">
        <v>663</v>
      </c>
      <c r="F4819" t="s">
        <v>88</v>
      </c>
      <c r="G4819" t="s">
        <v>88</v>
      </c>
      <c r="H4819" t="s">
        <v>92</v>
      </c>
    </row>
    <row r="4820" spans="1:8" x14ac:dyDescent="0.25">
      <c r="A4820" t="s">
        <v>234</v>
      </c>
      <c r="B4820" t="s">
        <v>4486</v>
      </c>
      <c r="C4820" t="s">
        <v>88</v>
      </c>
      <c r="D4820" t="s">
        <v>4487</v>
      </c>
      <c r="E4820" t="s">
        <v>679</v>
      </c>
      <c r="F4820" t="s">
        <v>88</v>
      </c>
      <c r="G4820" t="s">
        <v>88</v>
      </c>
      <c r="H4820" t="s">
        <v>92</v>
      </c>
    </row>
    <row r="4821" spans="1:8" x14ac:dyDescent="0.25">
      <c r="A4821" t="s">
        <v>234</v>
      </c>
      <c r="B4821" t="s">
        <v>4488</v>
      </c>
      <c r="C4821" t="s">
        <v>88</v>
      </c>
      <c r="D4821" t="s">
        <v>4489</v>
      </c>
      <c r="E4821" t="s">
        <v>679</v>
      </c>
      <c r="F4821" t="s">
        <v>88</v>
      </c>
      <c r="G4821" t="s">
        <v>88</v>
      </c>
      <c r="H4821" t="s">
        <v>92</v>
      </c>
    </row>
    <row r="4822" spans="1:8" x14ac:dyDescent="0.25">
      <c r="A4822" t="s">
        <v>234</v>
      </c>
      <c r="B4822" t="s">
        <v>4490</v>
      </c>
      <c r="C4822" t="s">
        <v>88</v>
      </c>
      <c r="D4822" t="s">
        <v>88</v>
      </c>
      <c r="E4822" t="s">
        <v>4491</v>
      </c>
      <c r="F4822" t="s">
        <v>88</v>
      </c>
      <c r="G4822" t="s">
        <v>88</v>
      </c>
      <c r="H4822" t="s">
        <v>92</v>
      </c>
    </row>
    <row r="4823" spans="1:8" x14ac:dyDescent="0.25">
      <c r="A4823" t="s">
        <v>234</v>
      </c>
      <c r="B4823" t="s">
        <v>4492</v>
      </c>
      <c r="C4823" t="s">
        <v>88</v>
      </c>
      <c r="D4823" t="s">
        <v>88</v>
      </c>
      <c r="E4823" t="s">
        <v>4491</v>
      </c>
      <c r="F4823" t="s">
        <v>88</v>
      </c>
      <c r="G4823" t="s">
        <v>88</v>
      </c>
      <c r="H4823" t="s">
        <v>92</v>
      </c>
    </row>
    <row r="4824" spans="1:8" x14ac:dyDescent="0.25">
      <c r="A4824" t="s">
        <v>234</v>
      </c>
      <c r="B4824" t="s">
        <v>4493</v>
      </c>
      <c r="C4824" t="s">
        <v>88</v>
      </c>
      <c r="D4824" t="s">
        <v>88</v>
      </c>
      <c r="E4824" t="s">
        <v>4491</v>
      </c>
      <c r="F4824" t="s">
        <v>88</v>
      </c>
      <c r="G4824" t="s">
        <v>88</v>
      </c>
      <c r="H4824" t="s">
        <v>92</v>
      </c>
    </row>
    <row r="4825" spans="1:8" x14ac:dyDescent="0.25">
      <c r="A4825" t="s">
        <v>234</v>
      </c>
      <c r="B4825" t="s">
        <v>4494</v>
      </c>
      <c r="C4825" t="s">
        <v>88</v>
      </c>
      <c r="D4825" t="s">
        <v>88</v>
      </c>
      <c r="E4825" t="s">
        <v>4495</v>
      </c>
      <c r="F4825" t="s">
        <v>88</v>
      </c>
      <c r="G4825" t="s">
        <v>88</v>
      </c>
      <c r="H4825" t="s">
        <v>92</v>
      </c>
    </row>
    <row r="4826" spans="1:8" x14ac:dyDescent="0.25">
      <c r="A4826" t="s">
        <v>234</v>
      </c>
      <c r="B4826" t="s">
        <v>4496</v>
      </c>
      <c r="C4826" t="s">
        <v>88</v>
      </c>
      <c r="D4826" t="s">
        <v>88</v>
      </c>
      <c r="E4826" t="s">
        <v>1680</v>
      </c>
      <c r="F4826" t="s">
        <v>88</v>
      </c>
      <c r="G4826" t="s">
        <v>88</v>
      </c>
      <c r="H4826" t="s">
        <v>92</v>
      </c>
    </row>
    <row r="4827" spans="1:8" x14ac:dyDescent="0.25">
      <c r="A4827" t="s">
        <v>234</v>
      </c>
      <c r="B4827" t="s">
        <v>4497</v>
      </c>
      <c r="C4827" t="s">
        <v>88</v>
      </c>
      <c r="D4827" t="s">
        <v>88</v>
      </c>
      <c r="E4827" t="s">
        <v>4278</v>
      </c>
      <c r="F4827" t="s">
        <v>88</v>
      </c>
      <c r="G4827" t="s">
        <v>88</v>
      </c>
      <c r="H4827" t="s">
        <v>92</v>
      </c>
    </row>
    <row r="4828" spans="1:8" x14ac:dyDescent="0.25">
      <c r="A4828" t="s">
        <v>234</v>
      </c>
      <c r="B4828" t="s">
        <v>4498</v>
      </c>
      <c r="C4828" t="s">
        <v>88</v>
      </c>
      <c r="D4828" t="s">
        <v>88</v>
      </c>
      <c r="E4828" t="s">
        <v>692</v>
      </c>
      <c r="F4828" t="s">
        <v>88</v>
      </c>
      <c r="G4828" t="s">
        <v>88</v>
      </c>
      <c r="H4828" t="s">
        <v>92</v>
      </c>
    </row>
    <row r="4829" spans="1:8" x14ac:dyDescent="0.25">
      <c r="A4829" t="s">
        <v>234</v>
      </c>
      <c r="B4829" t="s">
        <v>4499</v>
      </c>
      <c r="C4829" t="s">
        <v>88</v>
      </c>
      <c r="D4829" t="s">
        <v>88</v>
      </c>
      <c r="E4829" t="s">
        <v>3663</v>
      </c>
      <c r="F4829" t="s">
        <v>88</v>
      </c>
      <c r="G4829" t="s">
        <v>88</v>
      </c>
      <c r="H4829" t="s">
        <v>92</v>
      </c>
    </row>
    <row r="4830" spans="1:8" x14ac:dyDescent="0.25">
      <c r="A4830" t="s">
        <v>234</v>
      </c>
      <c r="B4830" t="s">
        <v>4500</v>
      </c>
      <c r="C4830" t="s">
        <v>88</v>
      </c>
      <c r="D4830" t="s">
        <v>88</v>
      </c>
      <c r="E4830" t="s">
        <v>1236</v>
      </c>
      <c r="F4830" t="s">
        <v>88</v>
      </c>
      <c r="G4830" t="s">
        <v>88</v>
      </c>
      <c r="H4830" t="s">
        <v>92</v>
      </c>
    </row>
    <row r="4831" spans="1:8" x14ac:dyDescent="0.25">
      <c r="A4831" t="s">
        <v>234</v>
      </c>
      <c r="B4831" t="s">
        <v>4501</v>
      </c>
      <c r="C4831" t="s">
        <v>88</v>
      </c>
      <c r="D4831" t="s">
        <v>88</v>
      </c>
      <c r="E4831" t="s">
        <v>2289</v>
      </c>
      <c r="F4831" t="s">
        <v>88</v>
      </c>
      <c r="G4831" t="s">
        <v>88</v>
      </c>
      <c r="H4831" t="s">
        <v>92</v>
      </c>
    </row>
    <row r="4832" spans="1:8" x14ac:dyDescent="0.25">
      <c r="A4832" t="s">
        <v>234</v>
      </c>
      <c r="B4832" t="s">
        <v>4502</v>
      </c>
      <c r="C4832" t="s">
        <v>88</v>
      </c>
      <c r="D4832" t="s">
        <v>88</v>
      </c>
      <c r="E4832" t="s">
        <v>4503</v>
      </c>
      <c r="F4832" t="s">
        <v>88</v>
      </c>
      <c r="G4832" t="s">
        <v>88</v>
      </c>
      <c r="H4832" t="s">
        <v>92</v>
      </c>
    </row>
    <row r="4833" spans="1:8" x14ac:dyDescent="0.25">
      <c r="A4833" t="s">
        <v>234</v>
      </c>
      <c r="B4833" t="s">
        <v>4504</v>
      </c>
      <c r="C4833" t="s">
        <v>88</v>
      </c>
      <c r="D4833" t="s">
        <v>88</v>
      </c>
      <c r="E4833" t="s">
        <v>820</v>
      </c>
      <c r="F4833" t="s">
        <v>88</v>
      </c>
      <c r="G4833" t="s">
        <v>88</v>
      </c>
      <c r="H4833" t="s">
        <v>92</v>
      </c>
    </row>
    <row r="4834" spans="1:8" x14ac:dyDescent="0.25">
      <c r="A4834" t="s">
        <v>234</v>
      </c>
      <c r="B4834" t="s">
        <v>4505</v>
      </c>
      <c r="C4834" t="s">
        <v>88</v>
      </c>
      <c r="D4834" t="s">
        <v>88</v>
      </c>
      <c r="E4834" t="s">
        <v>3663</v>
      </c>
      <c r="F4834" t="s">
        <v>88</v>
      </c>
      <c r="G4834" t="s">
        <v>88</v>
      </c>
      <c r="H4834" t="s">
        <v>92</v>
      </c>
    </row>
    <row r="4835" spans="1:8" x14ac:dyDescent="0.25">
      <c r="A4835" t="s">
        <v>234</v>
      </c>
      <c r="B4835" t="s">
        <v>4506</v>
      </c>
      <c r="C4835" t="s">
        <v>88</v>
      </c>
      <c r="D4835" t="s">
        <v>88</v>
      </c>
      <c r="E4835" t="s">
        <v>762</v>
      </c>
      <c r="F4835" t="s">
        <v>88</v>
      </c>
      <c r="G4835" t="s">
        <v>88</v>
      </c>
      <c r="H4835" t="s">
        <v>92</v>
      </c>
    </row>
    <row r="4836" spans="1:8" x14ac:dyDescent="0.25">
      <c r="A4836" t="s">
        <v>234</v>
      </c>
      <c r="B4836" t="s">
        <v>4507</v>
      </c>
      <c r="C4836" t="s">
        <v>88</v>
      </c>
      <c r="D4836" t="s">
        <v>88</v>
      </c>
      <c r="E4836" t="s">
        <v>899</v>
      </c>
      <c r="F4836" t="s">
        <v>88</v>
      </c>
      <c r="G4836" t="s">
        <v>88</v>
      </c>
      <c r="H4836" t="s">
        <v>92</v>
      </c>
    </row>
    <row r="4837" spans="1:8" x14ac:dyDescent="0.25">
      <c r="A4837" t="s">
        <v>234</v>
      </c>
      <c r="B4837" t="s">
        <v>4508</v>
      </c>
      <c r="C4837" t="s">
        <v>88</v>
      </c>
      <c r="D4837" t="s">
        <v>88</v>
      </c>
      <c r="E4837" t="s">
        <v>836</v>
      </c>
      <c r="F4837" t="s">
        <v>88</v>
      </c>
      <c r="G4837" t="s">
        <v>88</v>
      </c>
      <c r="H4837" t="s">
        <v>92</v>
      </c>
    </row>
    <row r="4838" spans="1:8" x14ac:dyDescent="0.25">
      <c r="A4838" t="s">
        <v>234</v>
      </c>
      <c r="B4838" t="s">
        <v>4509</v>
      </c>
      <c r="C4838" t="s">
        <v>88</v>
      </c>
      <c r="D4838" t="s">
        <v>88</v>
      </c>
      <c r="E4838" t="s">
        <v>4510</v>
      </c>
      <c r="F4838" t="s">
        <v>88</v>
      </c>
      <c r="G4838" t="s">
        <v>88</v>
      </c>
      <c r="H4838" t="s">
        <v>92</v>
      </c>
    </row>
    <row r="4839" spans="1:8" x14ac:dyDescent="0.25">
      <c r="A4839" t="s">
        <v>234</v>
      </c>
      <c r="B4839" t="s">
        <v>4511</v>
      </c>
      <c r="C4839" t="s">
        <v>88</v>
      </c>
      <c r="D4839" t="s">
        <v>88</v>
      </c>
      <c r="E4839" t="s">
        <v>4512</v>
      </c>
      <c r="F4839" t="s">
        <v>88</v>
      </c>
      <c r="G4839" t="s">
        <v>88</v>
      </c>
      <c r="H4839" t="s">
        <v>92</v>
      </c>
    </row>
    <row r="4840" spans="1:8" x14ac:dyDescent="0.25">
      <c r="A4840" t="s">
        <v>234</v>
      </c>
      <c r="B4840" t="s">
        <v>4513</v>
      </c>
      <c r="C4840" t="s">
        <v>88</v>
      </c>
      <c r="D4840" t="s">
        <v>88</v>
      </c>
      <c r="E4840" t="s">
        <v>807</v>
      </c>
      <c r="F4840" t="s">
        <v>88</v>
      </c>
      <c r="G4840" t="s">
        <v>88</v>
      </c>
      <c r="H4840" t="s">
        <v>92</v>
      </c>
    </row>
    <row r="4841" spans="1:8" x14ac:dyDescent="0.25">
      <c r="A4841" t="s">
        <v>234</v>
      </c>
      <c r="B4841" t="s">
        <v>4514</v>
      </c>
      <c r="C4841" t="s">
        <v>88</v>
      </c>
      <c r="D4841" t="s">
        <v>88</v>
      </c>
      <c r="E4841" t="s">
        <v>899</v>
      </c>
      <c r="F4841" t="s">
        <v>88</v>
      </c>
      <c r="G4841" t="s">
        <v>88</v>
      </c>
      <c r="H4841" t="s">
        <v>92</v>
      </c>
    </row>
    <row r="4842" spans="1:8" x14ac:dyDescent="0.25">
      <c r="A4842" t="s">
        <v>234</v>
      </c>
      <c r="B4842" t="s">
        <v>4515</v>
      </c>
      <c r="C4842" t="s">
        <v>88</v>
      </c>
      <c r="D4842" t="s">
        <v>88</v>
      </c>
      <c r="E4842" t="s">
        <v>836</v>
      </c>
      <c r="F4842" t="s">
        <v>88</v>
      </c>
      <c r="G4842" t="s">
        <v>88</v>
      </c>
      <c r="H4842" t="s">
        <v>92</v>
      </c>
    </row>
    <row r="4843" spans="1:8" x14ac:dyDescent="0.25">
      <c r="A4843" t="s">
        <v>234</v>
      </c>
      <c r="B4843" t="s">
        <v>4516</v>
      </c>
      <c r="C4843" t="s">
        <v>88</v>
      </c>
      <c r="D4843" t="s">
        <v>88</v>
      </c>
      <c r="E4843" t="s">
        <v>4510</v>
      </c>
      <c r="F4843" t="s">
        <v>88</v>
      </c>
      <c r="G4843" t="s">
        <v>88</v>
      </c>
      <c r="H4843" t="s">
        <v>92</v>
      </c>
    </row>
    <row r="4844" spans="1:8" x14ac:dyDescent="0.25">
      <c r="A4844" t="s">
        <v>234</v>
      </c>
      <c r="B4844" t="s">
        <v>4517</v>
      </c>
      <c r="C4844" t="s">
        <v>88</v>
      </c>
      <c r="D4844" t="s">
        <v>88</v>
      </c>
      <c r="E4844" t="s">
        <v>723</v>
      </c>
      <c r="F4844" t="s">
        <v>88</v>
      </c>
      <c r="G4844" t="s">
        <v>88</v>
      </c>
      <c r="H4844" t="s">
        <v>92</v>
      </c>
    </row>
    <row r="4845" spans="1:8" x14ac:dyDescent="0.25">
      <c r="A4845" t="s">
        <v>234</v>
      </c>
      <c r="B4845" t="s">
        <v>4518</v>
      </c>
      <c r="C4845" t="s">
        <v>88</v>
      </c>
      <c r="D4845" t="s">
        <v>88</v>
      </c>
      <c r="E4845" t="s">
        <v>1241</v>
      </c>
      <c r="F4845" t="s">
        <v>88</v>
      </c>
      <c r="G4845" t="s">
        <v>88</v>
      </c>
      <c r="H4845" t="s">
        <v>92</v>
      </c>
    </row>
    <row r="4846" spans="1:8" x14ac:dyDescent="0.25">
      <c r="A4846" t="s">
        <v>234</v>
      </c>
      <c r="B4846" t="s">
        <v>4519</v>
      </c>
      <c r="C4846" t="s">
        <v>88</v>
      </c>
      <c r="D4846" t="s">
        <v>88</v>
      </c>
      <c r="E4846" t="s">
        <v>4520</v>
      </c>
      <c r="F4846" t="s">
        <v>88</v>
      </c>
      <c r="G4846" t="s">
        <v>88</v>
      </c>
      <c r="H4846" t="s">
        <v>92</v>
      </c>
    </row>
    <row r="4847" spans="1:8" x14ac:dyDescent="0.25">
      <c r="A4847" t="s">
        <v>234</v>
      </c>
      <c r="B4847" t="s">
        <v>4521</v>
      </c>
      <c r="C4847" t="s">
        <v>88</v>
      </c>
      <c r="D4847" t="s">
        <v>88</v>
      </c>
      <c r="E4847" t="s">
        <v>4522</v>
      </c>
      <c r="F4847" t="s">
        <v>88</v>
      </c>
      <c r="G4847" t="s">
        <v>88</v>
      </c>
      <c r="H4847" t="s">
        <v>92</v>
      </c>
    </row>
    <row r="4848" spans="1:8" x14ac:dyDescent="0.25">
      <c r="A4848" t="s">
        <v>234</v>
      </c>
      <c r="B4848" t="s">
        <v>4523</v>
      </c>
      <c r="C4848" t="s">
        <v>88</v>
      </c>
      <c r="D4848" t="s">
        <v>88</v>
      </c>
      <c r="E4848" t="s">
        <v>3663</v>
      </c>
      <c r="F4848" t="s">
        <v>88</v>
      </c>
      <c r="G4848" t="s">
        <v>88</v>
      </c>
      <c r="H4848" t="s">
        <v>92</v>
      </c>
    </row>
    <row r="4849" spans="1:8" x14ac:dyDescent="0.25">
      <c r="A4849" t="s">
        <v>234</v>
      </c>
      <c r="B4849" t="s">
        <v>4524</v>
      </c>
      <c r="C4849" t="s">
        <v>88</v>
      </c>
      <c r="D4849" t="s">
        <v>88</v>
      </c>
      <c r="E4849" t="s">
        <v>820</v>
      </c>
      <c r="F4849" t="s">
        <v>88</v>
      </c>
      <c r="G4849" t="s">
        <v>88</v>
      </c>
      <c r="H4849" t="s">
        <v>92</v>
      </c>
    </row>
    <row r="4850" spans="1:8" x14ac:dyDescent="0.25">
      <c r="A4850" t="s">
        <v>234</v>
      </c>
      <c r="B4850" t="s">
        <v>4525</v>
      </c>
      <c r="C4850" t="s">
        <v>88</v>
      </c>
      <c r="D4850" t="s">
        <v>88</v>
      </c>
      <c r="E4850" t="s">
        <v>1680</v>
      </c>
      <c r="F4850" t="s">
        <v>88</v>
      </c>
      <c r="G4850" t="s">
        <v>88</v>
      </c>
      <c r="H4850" t="s">
        <v>92</v>
      </c>
    </row>
    <row r="4851" spans="1:8" x14ac:dyDescent="0.25">
      <c r="A4851" t="s">
        <v>234</v>
      </c>
      <c r="B4851" t="s">
        <v>701</v>
      </c>
      <c r="C4851" t="s">
        <v>88</v>
      </c>
      <c r="D4851" t="s">
        <v>88</v>
      </c>
      <c r="E4851" t="s">
        <v>1598</v>
      </c>
      <c r="F4851" t="s">
        <v>88</v>
      </c>
      <c r="G4851" t="s">
        <v>88</v>
      </c>
      <c r="H4851" t="s">
        <v>92</v>
      </c>
    </row>
    <row r="4852" spans="1:8" x14ac:dyDescent="0.25">
      <c r="A4852" t="s">
        <v>234</v>
      </c>
      <c r="B4852" t="s">
        <v>705</v>
      </c>
      <c r="C4852" t="s">
        <v>88</v>
      </c>
      <c r="D4852" t="s">
        <v>88</v>
      </c>
      <c r="E4852" t="s">
        <v>1598</v>
      </c>
      <c r="F4852" t="s">
        <v>88</v>
      </c>
      <c r="G4852" t="s">
        <v>88</v>
      </c>
      <c r="H4852" t="s">
        <v>92</v>
      </c>
    </row>
    <row r="4853" spans="1:8" x14ac:dyDescent="0.25">
      <c r="A4853" t="s">
        <v>234</v>
      </c>
      <c r="B4853" t="s">
        <v>706</v>
      </c>
      <c r="C4853" t="s">
        <v>88</v>
      </c>
      <c r="D4853" t="s">
        <v>88</v>
      </c>
      <c r="E4853" t="s">
        <v>1598</v>
      </c>
      <c r="F4853" t="s">
        <v>88</v>
      </c>
      <c r="G4853" t="s">
        <v>88</v>
      </c>
      <c r="H4853" t="s">
        <v>92</v>
      </c>
    </row>
    <row r="4854" spans="1:8" x14ac:dyDescent="0.25">
      <c r="A4854" t="s">
        <v>234</v>
      </c>
      <c r="B4854" t="s">
        <v>707</v>
      </c>
      <c r="C4854" t="s">
        <v>88</v>
      </c>
      <c r="D4854" t="s">
        <v>88</v>
      </c>
      <c r="E4854" t="s">
        <v>1598</v>
      </c>
      <c r="F4854" t="s">
        <v>88</v>
      </c>
      <c r="G4854" t="s">
        <v>88</v>
      </c>
      <c r="H4854" t="s">
        <v>92</v>
      </c>
    </row>
    <row r="4855" spans="1:8" x14ac:dyDescent="0.25">
      <c r="A4855" t="s">
        <v>234</v>
      </c>
      <c r="B4855" t="s">
        <v>708</v>
      </c>
      <c r="C4855" t="s">
        <v>88</v>
      </c>
      <c r="D4855" t="s">
        <v>88</v>
      </c>
      <c r="E4855" t="s">
        <v>1598</v>
      </c>
      <c r="F4855" t="s">
        <v>88</v>
      </c>
      <c r="G4855" t="s">
        <v>88</v>
      </c>
      <c r="H4855" t="s">
        <v>92</v>
      </c>
    </row>
    <row r="4856" spans="1:8" x14ac:dyDescent="0.25">
      <c r="A4856" t="s">
        <v>234</v>
      </c>
      <c r="B4856" t="s">
        <v>797</v>
      </c>
      <c r="C4856" t="s">
        <v>88</v>
      </c>
      <c r="D4856" t="s">
        <v>88</v>
      </c>
      <c r="E4856" t="s">
        <v>1596</v>
      </c>
      <c r="F4856" t="s">
        <v>88</v>
      </c>
      <c r="G4856" t="s">
        <v>88</v>
      </c>
      <c r="H4856" t="s">
        <v>92</v>
      </c>
    </row>
    <row r="4857" spans="1:8" x14ac:dyDescent="0.25">
      <c r="A4857" t="s">
        <v>234</v>
      </c>
      <c r="B4857" t="s">
        <v>622</v>
      </c>
      <c r="C4857" t="s">
        <v>88</v>
      </c>
      <c r="D4857" t="s">
        <v>88</v>
      </c>
      <c r="E4857" t="s">
        <v>732</v>
      </c>
      <c r="F4857" t="s">
        <v>88</v>
      </c>
      <c r="G4857" t="s">
        <v>88</v>
      </c>
      <c r="H4857" t="s">
        <v>92</v>
      </c>
    </row>
    <row r="4858" spans="1:8" x14ac:dyDescent="0.25">
      <c r="A4858" t="s">
        <v>234</v>
      </c>
      <c r="B4858" t="s">
        <v>623</v>
      </c>
      <c r="C4858" t="s">
        <v>88</v>
      </c>
      <c r="D4858" t="s">
        <v>88</v>
      </c>
      <c r="E4858" t="s">
        <v>709</v>
      </c>
      <c r="F4858" t="s">
        <v>88</v>
      </c>
      <c r="G4858" t="s">
        <v>88</v>
      </c>
      <c r="H4858" t="s">
        <v>92</v>
      </c>
    </row>
    <row r="4859" spans="1:8" x14ac:dyDescent="0.25">
      <c r="A4859" t="s">
        <v>234</v>
      </c>
      <c r="B4859" t="s">
        <v>712</v>
      </c>
      <c r="C4859" t="s">
        <v>88</v>
      </c>
      <c r="D4859" t="s">
        <v>4526</v>
      </c>
      <c r="E4859" t="s">
        <v>702</v>
      </c>
      <c r="F4859" t="s">
        <v>88</v>
      </c>
      <c r="G4859" t="s">
        <v>88</v>
      </c>
      <c r="H4859" t="s">
        <v>92</v>
      </c>
    </row>
    <row r="4860" spans="1:8" x14ac:dyDescent="0.25">
      <c r="A4860" t="s">
        <v>234</v>
      </c>
      <c r="B4860" t="s">
        <v>4527</v>
      </c>
      <c r="C4860" t="s">
        <v>88</v>
      </c>
      <c r="D4860" t="s">
        <v>88</v>
      </c>
      <c r="E4860" t="s">
        <v>658</v>
      </c>
      <c r="F4860" t="s">
        <v>88</v>
      </c>
      <c r="G4860" t="s">
        <v>88</v>
      </c>
      <c r="H4860" t="s">
        <v>92</v>
      </c>
    </row>
    <row r="4861" spans="1:8" x14ac:dyDescent="0.25">
      <c r="A4861" t="s">
        <v>234</v>
      </c>
      <c r="B4861" t="s">
        <v>4528</v>
      </c>
      <c r="C4861" t="s">
        <v>88</v>
      </c>
      <c r="D4861" t="s">
        <v>88</v>
      </c>
      <c r="E4861" t="s">
        <v>658</v>
      </c>
      <c r="F4861" t="s">
        <v>88</v>
      </c>
      <c r="G4861" t="s">
        <v>88</v>
      </c>
      <c r="H4861" t="s">
        <v>92</v>
      </c>
    </row>
    <row r="4862" spans="1:8" x14ac:dyDescent="0.25">
      <c r="A4862" t="s">
        <v>234</v>
      </c>
      <c r="B4862" t="s">
        <v>4529</v>
      </c>
      <c r="C4862" t="s">
        <v>88</v>
      </c>
      <c r="D4862" t="s">
        <v>4530</v>
      </c>
      <c r="E4862" t="s">
        <v>886</v>
      </c>
      <c r="F4862" t="s">
        <v>88</v>
      </c>
      <c r="G4862" t="s">
        <v>88</v>
      </c>
      <c r="H4862" t="s">
        <v>92</v>
      </c>
    </row>
    <row r="4863" spans="1:8" x14ac:dyDescent="0.25">
      <c r="A4863" t="s">
        <v>234</v>
      </c>
      <c r="B4863" t="s">
        <v>1324</v>
      </c>
      <c r="C4863" t="s">
        <v>88</v>
      </c>
      <c r="D4863" t="s">
        <v>4530</v>
      </c>
      <c r="E4863" t="s">
        <v>725</v>
      </c>
      <c r="F4863" t="s">
        <v>88</v>
      </c>
      <c r="G4863" t="s">
        <v>88</v>
      </c>
      <c r="H4863" t="s">
        <v>92</v>
      </c>
    </row>
    <row r="4864" spans="1:8" x14ac:dyDescent="0.25">
      <c r="A4864" t="s">
        <v>234</v>
      </c>
      <c r="B4864" t="s">
        <v>1325</v>
      </c>
      <c r="C4864" t="s">
        <v>88</v>
      </c>
      <c r="D4864" t="s">
        <v>4530</v>
      </c>
      <c r="E4864" t="s">
        <v>725</v>
      </c>
      <c r="F4864" t="s">
        <v>88</v>
      </c>
      <c r="G4864" t="s">
        <v>88</v>
      </c>
      <c r="H4864" t="s">
        <v>92</v>
      </c>
    </row>
    <row r="4865" spans="1:8" x14ac:dyDescent="0.25">
      <c r="A4865" t="s">
        <v>234</v>
      </c>
      <c r="B4865" t="s">
        <v>4531</v>
      </c>
      <c r="C4865" t="s">
        <v>88</v>
      </c>
      <c r="D4865" t="s">
        <v>88</v>
      </c>
      <c r="E4865" t="s">
        <v>658</v>
      </c>
      <c r="F4865" t="s">
        <v>88</v>
      </c>
      <c r="G4865" t="s">
        <v>88</v>
      </c>
      <c r="H4865" t="s">
        <v>92</v>
      </c>
    </row>
    <row r="4866" spans="1:8" x14ac:dyDescent="0.25">
      <c r="A4866" t="s">
        <v>234</v>
      </c>
      <c r="B4866" t="s">
        <v>4532</v>
      </c>
      <c r="C4866" t="s">
        <v>88</v>
      </c>
      <c r="D4866" t="s">
        <v>88</v>
      </c>
      <c r="E4866" t="s">
        <v>658</v>
      </c>
      <c r="F4866" t="s">
        <v>88</v>
      </c>
      <c r="G4866" t="s">
        <v>88</v>
      </c>
      <c r="H4866" t="s">
        <v>92</v>
      </c>
    </row>
    <row r="4867" spans="1:8" x14ac:dyDescent="0.25">
      <c r="A4867" t="s">
        <v>234</v>
      </c>
      <c r="B4867" t="s">
        <v>4533</v>
      </c>
      <c r="C4867" t="s">
        <v>88</v>
      </c>
      <c r="D4867" t="s">
        <v>88</v>
      </c>
      <c r="E4867" t="s">
        <v>658</v>
      </c>
      <c r="F4867" t="s">
        <v>88</v>
      </c>
      <c r="G4867" t="s">
        <v>88</v>
      </c>
      <c r="H4867" t="s">
        <v>92</v>
      </c>
    </row>
    <row r="4868" spans="1:8" x14ac:dyDescent="0.25">
      <c r="A4868" t="s">
        <v>234</v>
      </c>
      <c r="B4868" t="s">
        <v>4534</v>
      </c>
      <c r="C4868" t="s">
        <v>88</v>
      </c>
      <c r="D4868" t="s">
        <v>88</v>
      </c>
      <c r="E4868" t="s">
        <v>4535</v>
      </c>
      <c r="F4868" t="s">
        <v>88</v>
      </c>
      <c r="G4868" t="s">
        <v>88</v>
      </c>
      <c r="H4868" t="s">
        <v>92</v>
      </c>
    </row>
    <row r="4869" spans="1:8" x14ac:dyDescent="0.25">
      <c r="A4869" t="s">
        <v>234</v>
      </c>
      <c r="B4869" t="s">
        <v>4536</v>
      </c>
      <c r="C4869" t="s">
        <v>88</v>
      </c>
      <c r="D4869" t="s">
        <v>88</v>
      </c>
      <c r="E4869" t="s">
        <v>4537</v>
      </c>
      <c r="F4869" t="s">
        <v>88</v>
      </c>
      <c r="G4869" t="s">
        <v>88</v>
      </c>
      <c r="H4869" t="s">
        <v>92</v>
      </c>
    </row>
    <row r="4870" spans="1:8" x14ac:dyDescent="0.25">
      <c r="A4870" t="s">
        <v>234</v>
      </c>
      <c r="B4870" t="s">
        <v>4538</v>
      </c>
      <c r="C4870" t="s">
        <v>88</v>
      </c>
      <c r="D4870" t="s">
        <v>88</v>
      </c>
      <c r="E4870" t="s">
        <v>4397</v>
      </c>
      <c r="F4870" t="s">
        <v>88</v>
      </c>
      <c r="G4870" t="s">
        <v>88</v>
      </c>
      <c r="H4870" t="s">
        <v>92</v>
      </c>
    </row>
    <row r="4871" spans="1:8" x14ac:dyDescent="0.25">
      <c r="A4871" t="s">
        <v>234</v>
      </c>
      <c r="B4871" t="s">
        <v>4539</v>
      </c>
      <c r="C4871" t="s">
        <v>88</v>
      </c>
      <c r="D4871" t="s">
        <v>88</v>
      </c>
      <c r="E4871" t="s">
        <v>4540</v>
      </c>
      <c r="F4871" t="s">
        <v>88</v>
      </c>
      <c r="G4871" t="s">
        <v>88</v>
      </c>
      <c r="H4871" t="s">
        <v>92</v>
      </c>
    </row>
    <row r="4872" spans="1:8" x14ac:dyDescent="0.25">
      <c r="A4872" t="s">
        <v>234</v>
      </c>
      <c r="B4872" t="s">
        <v>4541</v>
      </c>
      <c r="C4872" t="s">
        <v>88</v>
      </c>
      <c r="D4872" t="s">
        <v>88</v>
      </c>
      <c r="E4872" t="s">
        <v>4294</v>
      </c>
      <c r="F4872" t="s">
        <v>88</v>
      </c>
      <c r="G4872" t="s">
        <v>88</v>
      </c>
      <c r="H4872" t="s">
        <v>92</v>
      </c>
    </row>
    <row r="4873" spans="1:8" x14ac:dyDescent="0.25">
      <c r="A4873" t="s">
        <v>234</v>
      </c>
      <c r="B4873" t="s">
        <v>4542</v>
      </c>
      <c r="C4873" t="s">
        <v>88</v>
      </c>
      <c r="D4873" t="s">
        <v>88</v>
      </c>
      <c r="E4873" t="s">
        <v>2289</v>
      </c>
      <c r="F4873" t="s">
        <v>88</v>
      </c>
      <c r="G4873" t="s">
        <v>88</v>
      </c>
      <c r="H4873" t="s">
        <v>92</v>
      </c>
    </row>
    <row r="4874" spans="1:8" x14ac:dyDescent="0.25">
      <c r="A4874" t="s">
        <v>234</v>
      </c>
      <c r="B4874" t="s">
        <v>4543</v>
      </c>
      <c r="C4874" t="s">
        <v>88</v>
      </c>
      <c r="D4874" t="s">
        <v>88</v>
      </c>
      <c r="E4874" t="s">
        <v>917</v>
      </c>
      <c r="F4874" t="s">
        <v>88</v>
      </c>
      <c r="G4874" t="s">
        <v>88</v>
      </c>
      <c r="H4874" t="s">
        <v>92</v>
      </c>
    </row>
    <row r="4875" spans="1:8" x14ac:dyDescent="0.25">
      <c r="A4875" t="s">
        <v>234</v>
      </c>
      <c r="B4875" t="s">
        <v>4544</v>
      </c>
      <c r="C4875" t="s">
        <v>88</v>
      </c>
      <c r="D4875" t="s">
        <v>88</v>
      </c>
      <c r="E4875" t="s">
        <v>4545</v>
      </c>
      <c r="F4875" t="s">
        <v>88</v>
      </c>
      <c r="G4875" t="s">
        <v>88</v>
      </c>
      <c r="H4875" t="s">
        <v>92</v>
      </c>
    </row>
    <row r="4876" spans="1:8" x14ac:dyDescent="0.25">
      <c r="A4876" t="s">
        <v>234</v>
      </c>
      <c r="B4876" t="s">
        <v>4546</v>
      </c>
      <c r="C4876" t="s">
        <v>88</v>
      </c>
      <c r="D4876" t="s">
        <v>88</v>
      </c>
      <c r="E4876" t="s">
        <v>893</v>
      </c>
      <c r="F4876" t="s">
        <v>88</v>
      </c>
      <c r="G4876" t="s">
        <v>88</v>
      </c>
      <c r="H4876" t="s">
        <v>92</v>
      </c>
    </row>
    <row r="4877" spans="1:8" x14ac:dyDescent="0.25">
      <c r="A4877" t="s">
        <v>234</v>
      </c>
      <c r="B4877" t="s">
        <v>4547</v>
      </c>
      <c r="C4877" t="s">
        <v>88</v>
      </c>
      <c r="D4877" t="s">
        <v>88</v>
      </c>
      <c r="E4877" t="s">
        <v>1353</v>
      </c>
      <c r="F4877" t="s">
        <v>88</v>
      </c>
      <c r="G4877" t="s">
        <v>88</v>
      </c>
      <c r="H4877" t="s">
        <v>92</v>
      </c>
    </row>
    <row r="4878" spans="1:8" x14ac:dyDescent="0.25">
      <c r="A4878" t="s">
        <v>234</v>
      </c>
      <c r="B4878" t="s">
        <v>4548</v>
      </c>
      <c r="C4878" t="s">
        <v>88</v>
      </c>
      <c r="D4878" t="s">
        <v>88</v>
      </c>
      <c r="E4878" t="s">
        <v>4545</v>
      </c>
      <c r="F4878" t="s">
        <v>88</v>
      </c>
      <c r="G4878" t="s">
        <v>88</v>
      </c>
      <c r="H4878" t="s">
        <v>92</v>
      </c>
    </row>
    <row r="4879" spans="1:8" x14ac:dyDescent="0.25">
      <c r="A4879" t="s">
        <v>234</v>
      </c>
      <c r="B4879" t="s">
        <v>4549</v>
      </c>
      <c r="C4879" t="s">
        <v>88</v>
      </c>
      <c r="D4879" t="s">
        <v>88</v>
      </c>
      <c r="E4879" t="s">
        <v>4550</v>
      </c>
      <c r="F4879" t="s">
        <v>88</v>
      </c>
      <c r="G4879" t="s">
        <v>88</v>
      </c>
      <c r="H4879" t="s">
        <v>92</v>
      </c>
    </row>
    <row r="4880" spans="1:8" x14ac:dyDescent="0.25">
      <c r="A4880" t="s">
        <v>234</v>
      </c>
      <c r="B4880" t="s">
        <v>4551</v>
      </c>
      <c r="C4880" t="s">
        <v>88</v>
      </c>
      <c r="D4880" t="s">
        <v>88</v>
      </c>
      <c r="E4880" t="s">
        <v>4550</v>
      </c>
      <c r="F4880" t="s">
        <v>88</v>
      </c>
      <c r="G4880" t="s">
        <v>88</v>
      </c>
      <c r="H4880" t="s">
        <v>92</v>
      </c>
    </row>
    <row r="4881" spans="1:8" x14ac:dyDescent="0.25">
      <c r="A4881" t="s">
        <v>234</v>
      </c>
      <c r="B4881" t="s">
        <v>4401</v>
      </c>
      <c r="C4881" t="s">
        <v>88</v>
      </c>
      <c r="D4881" t="s">
        <v>88</v>
      </c>
      <c r="E4881" t="s">
        <v>838</v>
      </c>
      <c r="F4881" t="s">
        <v>88</v>
      </c>
      <c r="G4881" t="s">
        <v>88</v>
      </c>
      <c r="H4881" t="s">
        <v>92</v>
      </c>
    </row>
    <row r="4882" spans="1:8" x14ac:dyDescent="0.25">
      <c r="A4882" t="s">
        <v>234</v>
      </c>
      <c r="B4882" t="s">
        <v>4552</v>
      </c>
      <c r="C4882" t="s">
        <v>88</v>
      </c>
      <c r="D4882" t="s">
        <v>88</v>
      </c>
      <c r="E4882" t="s">
        <v>1680</v>
      </c>
      <c r="F4882" t="s">
        <v>88</v>
      </c>
      <c r="G4882" t="s">
        <v>88</v>
      </c>
      <c r="H4882" t="s">
        <v>92</v>
      </c>
    </row>
    <row r="4883" spans="1:8" x14ac:dyDescent="0.25">
      <c r="A4883" t="s">
        <v>234</v>
      </c>
      <c r="B4883" t="s">
        <v>4553</v>
      </c>
      <c r="C4883" t="s">
        <v>88</v>
      </c>
      <c r="D4883" t="s">
        <v>88</v>
      </c>
      <c r="E4883" t="s">
        <v>838</v>
      </c>
      <c r="F4883" t="s">
        <v>88</v>
      </c>
      <c r="G4883" t="s">
        <v>88</v>
      </c>
      <c r="H4883" t="s">
        <v>92</v>
      </c>
    </row>
    <row r="4884" spans="1:8" x14ac:dyDescent="0.25">
      <c r="A4884" t="s">
        <v>234</v>
      </c>
      <c r="B4884" t="s">
        <v>4554</v>
      </c>
      <c r="C4884" t="s">
        <v>88</v>
      </c>
      <c r="D4884" t="s">
        <v>88</v>
      </c>
      <c r="E4884" t="s">
        <v>4555</v>
      </c>
      <c r="F4884" t="s">
        <v>88</v>
      </c>
      <c r="G4884" t="s">
        <v>88</v>
      </c>
      <c r="H4884" t="s">
        <v>92</v>
      </c>
    </row>
    <row r="4885" spans="1:8" x14ac:dyDescent="0.25">
      <c r="A4885" t="s">
        <v>234</v>
      </c>
      <c r="B4885" t="s">
        <v>4556</v>
      </c>
      <c r="C4885" t="s">
        <v>88</v>
      </c>
      <c r="D4885" t="s">
        <v>88</v>
      </c>
      <c r="E4885" t="s">
        <v>4557</v>
      </c>
      <c r="F4885" t="s">
        <v>88</v>
      </c>
      <c r="G4885" t="s">
        <v>88</v>
      </c>
      <c r="H4885" t="s">
        <v>92</v>
      </c>
    </row>
    <row r="4886" spans="1:8" x14ac:dyDescent="0.25">
      <c r="A4886" t="s">
        <v>234</v>
      </c>
      <c r="B4886" t="s">
        <v>4558</v>
      </c>
      <c r="C4886" t="s">
        <v>88</v>
      </c>
      <c r="D4886" t="s">
        <v>88</v>
      </c>
      <c r="E4886" t="s">
        <v>4535</v>
      </c>
      <c r="F4886" t="s">
        <v>88</v>
      </c>
      <c r="G4886" t="s">
        <v>88</v>
      </c>
      <c r="H4886" t="s">
        <v>92</v>
      </c>
    </row>
    <row r="4887" spans="1:8" x14ac:dyDescent="0.25">
      <c r="A4887" t="s">
        <v>234</v>
      </c>
      <c r="B4887" t="s">
        <v>4559</v>
      </c>
      <c r="C4887" t="s">
        <v>88</v>
      </c>
      <c r="D4887" t="s">
        <v>88</v>
      </c>
      <c r="E4887" t="s">
        <v>4557</v>
      </c>
      <c r="F4887" t="s">
        <v>88</v>
      </c>
      <c r="G4887" t="s">
        <v>88</v>
      </c>
      <c r="H4887" t="s">
        <v>92</v>
      </c>
    </row>
    <row r="4888" spans="1:8" x14ac:dyDescent="0.25">
      <c r="A4888" t="s">
        <v>234</v>
      </c>
      <c r="B4888" t="s">
        <v>4560</v>
      </c>
      <c r="C4888" t="s">
        <v>88</v>
      </c>
      <c r="D4888" t="s">
        <v>88</v>
      </c>
      <c r="E4888" t="s">
        <v>4545</v>
      </c>
      <c r="F4888" t="s">
        <v>88</v>
      </c>
      <c r="G4888" t="s">
        <v>88</v>
      </c>
      <c r="H4888" t="s">
        <v>92</v>
      </c>
    </row>
    <row r="4889" spans="1:8" x14ac:dyDescent="0.25">
      <c r="A4889" t="s">
        <v>234</v>
      </c>
      <c r="B4889" t="s">
        <v>4561</v>
      </c>
      <c r="C4889" t="s">
        <v>88</v>
      </c>
      <c r="D4889" t="s">
        <v>88</v>
      </c>
      <c r="E4889" t="s">
        <v>1985</v>
      </c>
      <c r="F4889" t="s">
        <v>88</v>
      </c>
      <c r="G4889" t="s">
        <v>88</v>
      </c>
      <c r="H4889" t="s">
        <v>92</v>
      </c>
    </row>
    <row r="4890" spans="1:8" x14ac:dyDescent="0.25">
      <c r="A4890" t="s">
        <v>234</v>
      </c>
      <c r="B4890" t="s">
        <v>4562</v>
      </c>
      <c r="C4890" t="s">
        <v>88</v>
      </c>
      <c r="D4890" t="s">
        <v>88</v>
      </c>
      <c r="E4890" t="s">
        <v>2445</v>
      </c>
      <c r="F4890" t="s">
        <v>88</v>
      </c>
      <c r="G4890" t="s">
        <v>88</v>
      </c>
      <c r="H4890" t="s">
        <v>92</v>
      </c>
    </row>
    <row r="4891" spans="1:8" x14ac:dyDescent="0.25">
      <c r="A4891" t="s">
        <v>234</v>
      </c>
      <c r="B4891" t="s">
        <v>4563</v>
      </c>
      <c r="C4891" t="s">
        <v>88</v>
      </c>
      <c r="D4891" t="s">
        <v>88</v>
      </c>
      <c r="E4891" t="s">
        <v>4564</v>
      </c>
      <c r="F4891" t="s">
        <v>88</v>
      </c>
      <c r="G4891" t="s">
        <v>88</v>
      </c>
      <c r="H4891" t="s">
        <v>92</v>
      </c>
    </row>
    <row r="4892" spans="1:8" x14ac:dyDescent="0.25">
      <c r="A4892" t="s">
        <v>234</v>
      </c>
      <c r="B4892" t="s">
        <v>4565</v>
      </c>
      <c r="C4892" t="s">
        <v>88</v>
      </c>
      <c r="D4892" t="s">
        <v>88</v>
      </c>
      <c r="E4892" t="s">
        <v>1353</v>
      </c>
      <c r="F4892" t="s">
        <v>88</v>
      </c>
      <c r="G4892" t="s">
        <v>88</v>
      </c>
      <c r="H4892" t="s">
        <v>92</v>
      </c>
    </row>
    <row r="4893" spans="1:8" x14ac:dyDescent="0.25">
      <c r="A4893" t="s">
        <v>234</v>
      </c>
      <c r="B4893" t="s">
        <v>4566</v>
      </c>
      <c r="C4893" t="s">
        <v>88</v>
      </c>
      <c r="D4893" t="s">
        <v>88</v>
      </c>
      <c r="E4893" t="s">
        <v>2445</v>
      </c>
      <c r="F4893" t="s">
        <v>88</v>
      </c>
      <c r="G4893" t="s">
        <v>88</v>
      </c>
      <c r="H4893" t="s">
        <v>92</v>
      </c>
    </row>
    <row r="4894" spans="1:8" x14ac:dyDescent="0.25">
      <c r="A4894" t="s">
        <v>234</v>
      </c>
      <c r="B4894" t="s">
        <v>4567</v>
      </c>
      <c r="C4894" t="s">
        <v>88</v>
      </c>
      <c r="D4894" t="s">
        <v>88</v>
      </c>
      <c r="E4894" t="s">
        <v>4564</v>
      </c>
      <c r="F4894" t="s">
        <v>88</v>
      </c>
      <c r="G4894" t="s">
        <v>88</v>
      </c>
      <c r="H4894" t="s">
        <v>92</v>
      </c>
    </row>
    <row r="4895" spans="1:8" x14ac:dyDescent="0.25">
      <c r="A4895" t="s">
        <v>234</v>
      </c>
      <c r="B4895" t="s">
        <v>4568</v>
      </c>
      <c r="C4895" t="s">
        <v>88</v>
      </c>
      <c r="D4895" t="s">
        <v>88</v>
      </c>
      <c r="E4895" t="s">
        <v>2814</v>
      </c>
      <c r="F4895" t="s">
        <v>88</v>
      </c>
      <c r="G4895" t="s">
        <v>88</v>
      </c>
      <c r="H4895" t="s">
        <v>92</v>
      </c>
    </row>
    <row r="4896" spans="1:8" x14ac:dyDescent="0.25">
      <c r="A4896" t="s">
        <v>234</v>
      </c>
      <c r="B4896" t="s">
        <v>4569</v>
      </c>
      <c r="C4896" t="s">
        <v>88</v>
      </c>
      <c r="D4896" t="s">
        <v>88</v>
      </c>
      <c r="E4896" t="s">
        <v>780</v>
      </c>
      <c r="F4896" t="s">
        <v>88</v>
      </c>
      <c r="G4896" t="s">
        <v>88</v>
      </c>
      <c r="H4896" t="s">
        <v>92</v>
      </c>
    </row>
    <row r="4897" spans="1:8" x14ac:dyDescent="0.25">
      <c r="A4897" t="s">
        <v>234</v>
      </c>
      <c r="B4897" t="s">
        <v>4570</v>
      </c>
      <c r="C4897" t="s">
        <v>88</v>
      </c>
      <c r="D4897" t="s">
        <v>4571</v>
      </c>
      <c r="E4897" t="s">
        <v>2445</v>
      </c>
      <c r="F4897" t="s">
        <v>88</v>
      </c>
      <c r="G4897" t="s">
        <v>88</v>
      </c>
      <c r="H4897" t="s">
        <v>92</v>
      </c>
    </row>
    <row r="4898" spans="1:8" x14ac:dyDescent="0.25">
      <c r="A4898" t="s">
        <v>234</v>
      </c>
      <c r="B4898" t="s">
        <v>4572</v>
      </c>
      <c r="C4898" t="s">
        <v>88</v>
      </c>
      <c r="D4898" t="s">
        <v>88</v>
      </c>
      <c r="E4898" t="s">
        <v>1236</v>
      </c>
      <c r="F4898" t="s">
        <v>88</v>
      </c>
      <c r="G4898" t="s">
        <v>88</v>
      </c>
      <c r="H4898" t="s">
        <v>92</v>
      </c>
    </row>
    <row r="4899" spans="1:8" x14ac:dyDescent="0.25">
      <c r="A4899" t="s">
        <v>234</v>
      </c>
      <c r="B4899" t="s">
        <v>4573</v>
      </c>
      <c r="C4899" t="s">
        <v>88</v>
      </c>
      <c r="D4899" t="s">
        <v>88</v>
      </c>
      <c r="E4899" t="s">
        <v>4545</v>
      </c>
      <c r="F4899" t="s">
        <v>88</v>
      </c>
      <c r="G4899" t="s">
        <v>88</v>
      </c>
      <c r="H4899" t="s">
        <v>92</v>
      </c>
    </row>
    <row r="4900" spans="1:8" x14ac:dyDescent="0.25">
      <c r="A4900" t="s">
        <v>234</v>
      </c>
      <c r="B4900" t="s">
        <v>4574</v>
      </c>
      <c r="C4900" t="s">
        <v>88</v>
      </c>
      <c r="D4900" t="s">
        <v>88</v>
      </c>
      <c r="E4900" t="s">
        <v>4575</v>
      </c>
      <c r="F4900" t="s">
        <v>88</v>
      </c>
      <c r="G4900" t="s">
        <v>88</v>
      </c>
      <c r="H4900" t="s">
        <v>92</v>
      </c>
    </row>
    <row r="4901" spans="1:8" x14ac:dyDescent="0.25">
      <c r="A4901" t="s">
        <v>234</v>
      </c>
      <c r="B4901" t="s">
        <v>4576</v>
      </c>
      <c r="C4901" t="s">
        <v>88</v>
      </c>
      <c r="D4901" t="s">
        <v>88</v>
      </c>
      <c r="E4901" t="s">
        <v>4577</v>
      </c>
      <c r="F4901" t="s">
        <v>88</v>
      </c>
      <c r="G4901" t="s">
        <v>88</v>
      </c>
      <c r="H4901" t="s">
        <v>92</v>
      </c>
    </row>
    <row r="4902" spans="1:8" x14ac:dyDescent="0.25">
      <c r="A4902" t="s">
        <v>234</v>
      </c>
      <c r="B4902" t="s">
        <v>4578</v>
      </c>
      <c r="C4902" t="s">
        <v>88</v>
      </c>
      <c r="D4902" t="s">
        <v>88</v>
      </c>
      <c r="E4902" t="s">
        <v>4579</v>
      </c>
      <c r="F4902" t="s">
        <v>88</v>
      </c>
      <c r="G4902" t="s">
        <v>88</v>
      </c>
      <c r="H4902" t="s">
        <v>92</v>
      </c>
    </row>
    <row r="4903" spans="1:8" x14ac:dyDescent="0.25">
      <c r="A4903" t="s">
        <v>234</v>
      </c>
      <c r="B4903" t="s">
        <v>4580</v>
      </c>
      <c r="C4903" t="s">
        <v>88</v>
      </c>
      <c r="D4903" t="s">
        <v>88</v>
      </c>
      <c r="E4903" t="s">
        <v>917</v>
      </c>
      <c r="F4903" t="s">
        <v>88</v>
      </c>
      <c r="G4903" t="s">
        <v>88</v>
      </c>
      <c r="H4903" t="s">
        <v>92</v>
      </c>
    </row>
    <row r="4904" spans="1:8" x14ac:dyDescent="0.25">
      <c r="A4904" t="s">
        <v>234</v>
      </c>
      <c r="B4904" t="s">
        <v>3182</v>
      </c>
      <c r="C4904" t="s">
        <v>88</v>
      </c>
      <c r="D4904" t="s">
        <v>88</v>
      </c>
      <c r="E4904" t="s">
        <v>4579</v>
      </c>
      <c r="F4904" t="s">
        <v>88</v>
      </c>
      <c r="G4904" t="s">
        <v>88</v>
      </c>
      <c r="H4904" t="s">
        <v>92</v>
      </c>
    </row>
    <row r="4905" spans="1:8" x14ac:dyDescent="0.25">
      <c r="A4905" t="s">
        <v>234</v>
      </c>
      <c r="B4905" t="s">
        <v>4581</v>
      </c>
      <c r="C4905" t="s">
        <v>88</v>
      </c>
      <c r="D4905" t="s">
        <v>88</v>
      </c>
      <c r="E4905" t="s">
        <v>1135</v>
      </c>
      <c r="F4905" t="s">
        <v>88</v>
      </c>
      <c r="G4905" t="s">
        <v>88</v>
      </c>
      <c r="H4905" t="s">
        <v>92</v>
      </c>
    </row>
    <row r="4906" spans="1:8" x14ac:dyDescent="0.25">
      <c r="A4906" t="s">
        <v>234</v>
      </c>
      <c r="B4906" t="s">
        <v>3183</v>
      </c>
      <c r="C4906" t="s">
        <v>88</v>
      </c>
      <c r="D4906" t="s">
        <v>88</v>
      </c>
      <c r="E4906" t="s">
        <v>4394</v>
      </c>
      <c r="F4906" t="s">
        <v>88</v>
      </c>
      <c r="G4906" t="s">
        <v>88</v>
      </c>
      <c r="H4906" t="s">
        <v>92</v>
      </c>
    </row>
    <row r="4907" spans="1:8" x14ac:dyDescent="0.25">
      <c r="A4907" t="s">
        <v>234</v>
      </c>
      <c r="B4907" t="s">
        <v>4582</v>
      </c>
      <c r="C4907" t="s">
        <v>88</v>
      </c>
      <c r="D4907" t="s">
        <v>88</v>
      </c>
      <c r="E4907" t="s">
        <v>4583</v>
      </c>
      <c r="F4907" t="s">
        <v>88</v>
      </c>
      <c r="G4907" t="s">
        <v>88</v>
      </c>
      <c r="H4907" t="s">
        <v>92</v>
      </c>
    </row>
    <row r="4908" spans="1:8" x14ac:dyDescent="0.25">
      <c r="A4908" t="s">
        <v>234</v>
      </c>
      <c r="B4908" t="s">
        <v>4584</v>
      </c>
      <c r="C4908" t="s">
        <v>88</v>
      </c>
      <c r="D4908" t="s">
        <v>88</v>
      </c>
      <c r="E4908" t="s">
        <v>4583</v>
      </c>
      <c r="F4908" t="s">
        <v>88</v>
      </c>
      <c r="G4908" t="s">
        <v>88</v>
      </c>
      <c r="H4908" t="s">
        <v>92</v>
      </c>
    </row>
    <row r="4909" spans="1:8" x14ac:dyDescent="0.25">
      <c r="A4909" t="s">
        <v>234</v>
      </c>
      <c r="B4909" t="s">
        <v>4585</v>
      </c>
      <c r="C4909" t="s">
        <v>88</v>
      </c>
      <c r="D4909" t="s">
        <v>88</v>
      </c>
      <c r="E4909" t="s">
        <v>4586</v>
      </c>
      <c r="F4909" t="s">
        <v>88</v>
      </c>
      <c r="G4909" t="s">
        <v>88</v>
      </c>
      <c r="H4909" t="s">
        <v>92</v>
      </c>
    </row>
    <row r="4910" spans="1:8" x14ac:dyDescent="0.25">
      <c r="A4910" t="s">
        <v>234</v>
      </c>
      <c r="B4910" t="s">
        <v>4587</v>
      </c>
      <c r="C4910" t="s">
        <v>88</v>
      </c>
      <c r="D4910" t="s">
        <v>88</v>
      </c>
      <c r="E4910" t="s">
        <v>917</v>
      </c>
      <c r="F4910" t="s">
        <v>88</v>
      </c>
      <c r="G4910" t="s">
        <v>88</v>
      </c>
      <c r="H4910" t="s">
        <v>92</v>
      </c>
    </row>
    <row r="4911" spans="1:8" x14ac:dyDescent="0.25">
      <c r="A4911" t="s">
        <v>234</v>
      </c>
      <c r="B4911" t="s">
        <v>1157</v>
      </c>
      <c r="C4911" t="s">
        <v>88</v>
      </c>
      <c r="D4911" t="s">
        <v>4588</v>
      </c>
      <c r="E4911" t="s">
        <v>4297</v>
      </c>
      <c r="F4911" t="s">
        <v>88</v>
      </c>
      <c r="G4911" t="s">
        <v>88</v>
      </c>
      <c r="H4911" t="s">
        <v>92</v>
      </c>
    </row>
    <row r="4912" spans="1:8" x14ac:dyDescent="0.25">
      <c r="A4912" t="s">
        <v>234</v>
      </c>
      <c r="B4912" t="s">
        <v>4589</v>
      </c>
      <c r="C4912" t="s">
        <v>88</v>
      </c>
      <c r="D4912" t="s">
        <v>4590</v>
      </c>
      <c r="E4912" t="s">
        <v>4591</v>
      </c>
      <c r="F4912" t="s">
        <v>88</v>
      </c>
      <c r="G4912" t="s">
        <v>88</v>
      </c>
      <c r="H4912" t="s">
        <v>92</v>
      </c>
    </row>
    <row r="4913" spans="1:8" x14ac:dyDescent="0.25">
      <c r="A4913" t="s">
        <v>234</v>
      </c>
      <c r="B4913" t="s">
        <v>4592</v>
      </c>
      <c r="C4913" t="s">
        <v>88</v>
      </c>
      <c r="D4913" t="s">
        <v>4590</v>
      </c>
      <c r="E4913" t="s">
        <v>4586</v>
      </c>
      <c r="F4913" t="s">
        <v>88</v>
      </c>
      <c r="G4913" t="s">
        <v>88</v>
      </c>
      <c r="H4913" t="s">
        <v>92</v>
      </c>
    </row>
    <row r="4914" spans="1:8" x14ac:dyDescent="0.25">
      <c r="A4914" t="s">
        <v>234</v>
      </c>
      <c r="B4914" t="s">
        <v>1159</v>
      </c>
      <c r="C4914" t="s">
        <v>88</v>
      </c>
      <c r="D4914" t="s">
        <v>4593</v>
      </c>
      <c r="E4914" t="s">
        <v>4591</v>
      </c>
      <c r="F4914" t="s">
        <v>88</v>
      </c>
      <c r="G4914" t="s">
        <v>88</v>
      </c>
      <c r="H4914" t="s">
        <v>92</v>
      </c>
    </row>
    <row r="4915" spans="1:8" x14ac:dyDescent="0.25">
      <c r="A4915" t="s">
        <v>234</v>
      </c>
      <c r="B4915" t="s">
        <v>4594</v>
      </c>
      <c r="C4915" t="s">
        <v>88</v>
      </c>
      <c r="D4915" t="s">
        <v>4595</v>
      </c>
      <c r="E4915" t="s">
        <v>4596</v>
      </c>
      <c r="F4915" t="s">
        <v>88</v>
      </c>
      <c r="G4915" t="s">
        <v>88</v>
      </c>
      <c r="H4915" t="s">
        <v>92</v>
      </c>
    </row>
    <row r="4916" spans="1:8" x14ac:dyDescent="0.25">
      <c r="A4916" t="s">
        <v>234</v>
      </c>
      <c r="B4916" t="s">
        <v>1160</v>
      </c>
      <c r="C4916" t="s">
        <v>88</v>
      </c>
      <c r="D4916" t="s">
        <v>4597</v>
      </c>
      <c r="E4916" t="s">
        <v>4596</v>
      </c>
      <c r="F4916" t="s">
        <v>88</v>
      </c>
      <c r="G4916" t="s">
        <v>88</v>
      </c>
      <c r="H4916" t="s">
        <v>92</v>
      </c>
    </row>
    <row r="4917" spans="1:8" x14ac:dyDescent="0.25">
      <c r="A4917" t="s">
        <v>234</v>
      </c>
      <c r="B4917" t="s">
        <v>1161</v>
      </c>
      <c r="C4917" t="s">
        <v>88</v>
      </c>
      <c r="D4917" t="s">
        <v>88</v>
      </c>
      <c r="E4917" t="s">
        <v>4394</v>
      </c>
      <c r="F4917" t="s">
        <v>88</v>
      </c>
      <c r="G4917" t="s">
        <v>88</v>
      </c>
      <c r="H4917" t="s">
        <v>92</v>
      </c>
    </row>
    <row r="4918" spans="1:8" x14ac:dyDescent="0.25">
      <c r="A4918" t="s">
        <v>234</v>
      </c>
      <c r="B4918" t="s">
        <v>4395</v>
      </c>
      <c r="C4918" t="s">
        <v>88</v>
      </c>
      <c r="D4918" t="s">
        <v>4396</v>
      </c>
      <c r="E4918" t="s">
        <v>4397</v>
      </c>
      <c r="F4918" t="s">
        <v>88</v>
      </c>
      <c r="G4918" t="s">
        <v>88</v>
      </c>
      <c r="H4918" t="s">
        <v>92</v>
      </c>
    </row>
    <row r="4919" spans="1:8" x14ac:dyDescent="0.25">
      <c r="A4919" t="s">
        <v>234</v>
      </c>
      <c r="B4919" t="s">
        <v>4598</v>
      </c>
      <c r="C4919" t="s">
        <v>88</v>
      </c>
      <c r="D4919" t="s">
        <v>88</v>
      </c>
      <c r="E4919" t="s">
        <v>4599</v>
      </c>
      <c r="F4919" t="s">
        <v>88</v>
      </c>
      <c r="G4919" t="s">
        <v>88</v>
      </c>
      <c r="H4919" t="s">
        <v>92</v>
      </c>
    </row>
    <row r="4920" spans="1:8" x14ac:dyDescent="0.25">
      <c r="A4920" t="s">
        <v>234</v>
      </c>
      <c r="B4920" t="s">
        <v>4600</v>
      </c>
      <c r="C4920" t="s">
        <v>88</v>
      </c>
      <c r="D4920" t="s">
        <v>88</v>
      </c>
      <c r="E4920" t="s">
        <v>4520</v>
      </c>
      <c r="F4920" t="s">
        <v>88</v>
      </c>
      <c r="G4920" t="s">
        <v>88</v>
      </c>
      <c r="H4920" t="s">
        <v>92</v>
      </c>
    </row>
    <row r="4921" spans="1:8" x14ac:dyDescent="0.25">
      <c r="A4921" t="s">
        <v>234</v>
      </c>
      <c r="B4921" t="s">
        <v>4601</v>
      </c>
      <c r="C4921" t="s">
        <v>88</v>
      </c>
      <c r="D4921" t="s">
        <v>88</v>
      </c>
      <c r="E4921" t="s">
        <v>4579</v>
      </c>
      <c r="F4921" t="s">
        <v>88</v>
      </c>
      <c r="G4921" t="s">
        <v>88</v>
      </c>
      <c r="H4921" t="s">
        <v>92</v>
      </c>
    </row>
    <row r="4922" spans="1:8" x14ac:dyDescent="0.25">
      <c r="A4922" t="s">
        <v>234</v>
      </c>
      <c r="B4922" t="s">
        <v>4602</v>
      </c>
      <c r="C4922" t="s">
        <v>88</v>
      </c>
      <c r="D4922" t="s">
        <v>88</v>
      </c>
      <c r="E4922" t="s">
        <v>4520</v>
      </c>
      <c r="F4922" t="s">
        <v>88</v>
      </c>
      <c r="G4922" t="s">
        <v>88</v>
      </c>
      <c r="H4922" t="s">
        <v>92</v>
      </c>
    </row>
    <row r="4923" spans="1:8" x14ac:dyDescent="0.25">
      <c r="A4923" t="s">
        <v>234</v>
      </c>
      <c r="B4923" t="s">
        <v>4603</v>
      </c>
      <c r="C4923" t="s">
        <v>88</v>
      </c>
      <c r="D4923" t="s">
        <v>88</v>
      </c>
      <c r="E4923" t="s">
        <v>655</v>
      </c>
      <c r="F4923" t="s">
        <v>88</v>
      </c>
      <c r="G4923" t="s">
        <v>88</v>
      </c>
      <c r="H4923" t="s">
        <v>92</v>
      </c>
    </row>
    <row r="4924" spans="1:8" x14ac:dyDescent="0.25">
      <c r="A4924" t="s">
        <v>234</v>
      </c>
      <c r="B4924" t="s">
        <v>1078</v>
      </c>
      <c r="C4924" t="s">
        <v>88</v>
      </c>
      <c r="D4924" t="s">
        <v>88</v>
      </c>
      <c r="E4924" t="s">
        <v>4394</v>
      </c>
      <c r="F4924" t="s">
        <v>88</v>
      </c>
      <c r="G4924" t="s">
        <v>88</v>
      </c>
      <c r="H4924" t="s">
        <v>92</v>
      </c>
    </row>
    <row r="4925" spans="1:8" x14ac:dyDescent="0.25">
      <c r="A4925" t="s">
        <v>234</v>
      </c>
      <c r="B4925" t="s">
        <v>4604</v>
      </c>
      <c r="C4925" t="s">
        <v>88</v>
      </c>
      <c r="D4925" t="s">
        <v>88</v>
      </c>
      <c r="E4925" t="s">
        <v>4599</v>
      </c>
      <c r="F4925" t="s">
        <v>88</v>
      </c>
      <c r="G4925" t="s">
        <v>88</v>
      </c>
      <c r="H4925" t="s">
        <v>92</v>
      </c>
    </row>
    <row r="4926" spans="1:8" x14ac:dyDescent="0.25">
      <c r="A4926" t="s">
        <v>234</v>
      </c>
      <c r="B4926" t="s">
        <v>4605</v>
      </c>
      <c r="C4926" t="s">
        <v>88</v>
      </c>
      <c r="D4926" t="s">
        <v>4606</v>
      </c>
      <c r="E4926" t="s">
        <v>4510</v>
      </c>
      <c r="F4926" t="s">
        <v>88</v>
      </c>
      <c r="G4926" t="s">
        <v>88</v>
      </c>
      <c r="H4926" t="s">
        <v>92</v>
      </c>
    </row>
    <row r="4927" spans="1:8" x14ac:dyDescent="0.25">
      <c r="A4927" t="s">
        <v>234</v>
      </c>
      <c r="B4927" t="s">
        <v>4607</v>
      </c>
      <c r="C4927" t="s">
        <v>88</v>
      </c>
      <c r="D4927" t="s">
        <v>4593</v>
      </c>
      <c r="E4927" t="s">
        <v>4394</v>
      </c>
      <c r="F4927" t="s">
        <v>88</v>
      </c>
      <c r="G4927" t="s">
        <v>88</v>
      </c>
      <c r="H4927" t="s">
        <v>92</v>
      </c>
    </row>
    <row r="4928" spans="1:8" x14ac:dyDescent="0.25">
      <c r="A4928" t="s">
        <v>234</v>
      </c>
      <c r="B4928" t="s">
        <v>4608</v>
      </c>
      <c r="C4928" t="s">
        <v>88</v>
      </c>
      <c r="D4928" t="s">
        <v>88</v>
      </c>
      <c r="E4928" t="s">
        <v>4609</v>
      </c>
      <c r="F4928" t="s">
        <v>88</v>
      </c>
      <c r="G4928" t="s">
        <v>88</v>
      </c>
      <c r="H4928" t="s">
        <v>92</v>
      </c>
    </row>
    <row r="4929" spans="1:8" x14ac:dyDescent="0.25">
      <c r="A4929" t="s">
        <v>234</v>
      </c>
      <c r="B4929" t="s">
        <v>4610</v>
      </c>
      <c r="C4929" t="s">
        <v>88</v>
      </c>
      <c r="D4929" t="s">
        <v>88</v>
      </c>
      <c r="E4929" t="s">
        <v>4611</v>
      </c>
      <c r="F4929" t="s">
        <v>88</v>
      </c>
      <c r="G4929" t="s">
        <v>88</v>
      </c>
      <c r="H4929" t="s">
        <v>92</v>
      </c>
    </row>
    <row r="4930" spans="1:8" x14ac:dyDescent="0.25">
      <c r="A4930" t="s">
        <v>234</v>
      </c>
      <c r="B4930" t="s">
        <v>1046</v>
      </c>
      <c r="C4930" t="s">
        <v>88</v>
      </c>
      <c r="D4930" t="s">
        <v>4612</v>
      </c>
      <c r="E4930" t="s">
        <v>4613</v>
      </c>
      <c r="F4930" t="s">
        <v>88</v>
      </c>
      <c r="G4930" t="s">
        <v>88</v>
      </c>
      <c r="H4930" t="s">
        <v>92</v>
      </c>
    </row>
    <row r="4931" spans="1:8" x14ac:dyDescent="0.25">
      <c r="A4931" t="s">
        <v>234</v>
      </c>
      <c r="B4931" t="s">
        <v>1715</v>
      </c>
      <c r="C4931" t="s">
        <v>88</v>
      </c>
      <c r="D4931" t="s">
        <v>88</v>
      </c>
      <c r="E4931" t="s">
        <v>4614</v>
      </c>
      <c r="F4931" t="s">
        <v>88</v>
      </c>
      <c r="G4931" t="s">
        <v>88</v>
      </c>
      <c r="H4931" t="s">
        <v>92</v>
      </c>
    </row>
    <row r="4932" spans="1:8" x14ac:dyDescent="0.25">
      <c r="A4932" t="s">
        <v>234</v>
      </c>
      <c r="B4932" t="s">
        <v>1712</v>
      </c>
      <c r="C4932" t="s">
        <v>88</v>
      </c>
      <c r="D4932" t="s">
        <v>88</v>
      </c>
      <c r="E4932" t="s">
        <v>4615</v>
      </c>
      <c r="F4932" t="s">
        <v>88</v>
      </c>
      <c r="G4932" t="s">
        <v>88</v>
      </c>
      <c r="H4932" t="s">
        <v>92</v>
      </c>
    </row>
    <row r="4933" spans="1:8" x14ac:dyDescent="0.25">
      <c r="A4933" t="s">
        <v>234</v>
      </c>
      <c r="B4933" t="s">
        <v>4616</v>
      </c>
      <c r="C4933" t="s">
        <v>88</v>
      </c>
      <c r="D4933" t="s">
        <v>88</v>
      </c>
      <c r="E4933" t="s">
        <v>4397</v>
      </c>
      <c r="F4933" t="s">
        <v>88</v>
      </c>
      <c r="G4933" t="s">
        <v>88</v>
      </c>
      <c r="H4933" t="s">
        <v>92</v>
      </c>
    </row>
    <row r="4934" spans="1:8" x14ac:dyDescent="0.25">
      <c r="A4934" t="s">
        <v>234</v>
      </c>
      <c r="B4934" t="s">
        <v>4617</v>
      </c>
      <c r="C4934" t="s">
        <v>88</v>
      </c>
      <c r="D4934" t="s">
        <v>88</v>
      </c>
      <c r="E4934" t="s">
        <v>4618</v>
      </c>
      <c r="F4934" t="s">
        <v>88</v>
      </c>
      <c r="G4934" t="s">
        <v>88</v>
      </c>
      <c r="H4934" t="s">
        <v>92</v>
      </c>
    </row>
    <row r="4935" spans="1:8" x14ac:dyDescent="0.25">
      <c r="A4935" t="s">
        <v>234</v>
      </c>
      <c r="B4935" t="s">
        <v>4619</v>
      </c>
      <c r="C4935" t="s">
        <v>88</v>
      </c>
      <c r="D4935" t="s">
        <v>88</v>
      </c>
      <c r="E4935" t="s">
        <v>4618</v>
      </c>
      <c r="F4935" t="s">
        <v>88</v>
      </c>
      <c r="G4935" t="s">
        <v>88</v>
      </c>
      <c r="H4935" t="s">
        <v>92</v>
      </c>
    </row>
    <row r="4936" spans="1:8" x14ac:dyDescent="0.25">
      <c r="A4936" t="s">
        <v>234</v>
      </c>
      <c r="B4936" t="s">
        <v>4620</v>
      </c>
      <c r="C4936" t="s">
        <v>88</v>
      </c>
      <c r="D4936" t="s">
        <v>88</v>
      </c>
      <c r="E4936" t="s">
        <v>4621</v>
      </c>
      <c r="F4936" t="s">
        <v>88</v>
      </c>
      <c r="G4936" t="s">
        <v>88</v>
      </c>
      <c r="H4936" t="s">
        <v>92</v>
      </c>
    </row>
    <row r="4937" spans="1:8" x14ac:dyDescent="0.25">
      <c r="A4937" t="s">
        <v>234</v>
      </c>
      <c r="B4937" t="s">
        <v>1053</v>
      </c>
      <c r="C4937" t="s">
        <v>88</v>
      </c>
      <c r="D4937" t="s">
        <v>4622</v>
      </c>
      <c r="E4937" t="s">
        <v>4623</v>
      </c>
      <c r="F4937" t="s">
        <v>88</v>
      </c>
      <c r="G4937" t="s">
        <v>88</v>
      </c>
      <c r="H4937" t="s">
        <v>92</v>
      </c>
    </row>
    <row r="4938" spans="1:8" x14ac:dyDescent="0.25">
      <c r="A4938" t="s">
        <v>234</v>
      </c>
      <c r="B4938" t="s">
        <v>4624</v>
      </c>
      <c r="C4938" t="s">
        <v>88</v>
      </c>
      <c r="D4938" t="s">
        <v>4625</v>
      </c>
      <c r="E4938" t="s">
        <v>4626</v>
      </c>
      <c r="F4938" t="s">
        <v>88</v>
      </c>
      <c r="G4938" t="s">
        <v>88</v>
      </c>
      <c r="H4938" t="s">
        <v>92</v>
      </c>
    </row>
    <row r="4939" spans="1:8" x14ac:dyDescent="0.25">
      <c r="A4939" t="s">
        <v>234</v>
      </c>
      <c r="B4939" t="s">
        <v>4627</v>
      </c>
      <c r="C4939" t="s">
        <v>88</v>
      </c>
      <c r="D4939" t="s">
        <v>88</v>
      </c>
      <c r="E4939" t="s">
        <v>4628</v>
      </c>
      <c r="F4939" t="s">
        <v>88</v>
      </c>
      <c r="G4939" t="s">
        <v>88</v>
      </c>
      <c r="H4939" t="s">
        <v>92</v>
      </c>
    </row>
    <row r="4940" spans="1:8" x14ac:dyDescent="0.25">
      <c r="A4940" t="s">
        <v>234</v>
      </c>
      <c r="B4940" t="s">
        <v>4629</v>
      </c>
      <c r="C4940" t="s">
        <v>88</v>
      </c>
      <c r="D4940" t="s">
        <v>4625</v>
      </c>
      <c r="E4940" t="s">
        <v>4621</v>
      </c>
      <c r="F4940" t="s">
        <v>88</v>
      </c>
      <c r="G4940" t="s">
        <v>88</v>
      </c>
      <c r="H4940" t="s">
        <v>92</v>
      </c>
    </row>
    <row r="4941" spans="1:8" x14ac:dyDescent="0.25">
      <c r="A4941" t="s">
        <v>234</v>
      </c>
      <c r="B4941" t="s">
        <v>4630</v>
      </c>
      <c r="C4941" t="s">
        <v>88</v>
      </c>
      <c r="D4941" t="s">
        <v>4631</v>
      </c>
      <c r="E4941" t="s">
        <v>4626</v>
      </c>
      <c r="F4941" t="s">
        <v>88</v>
      </c>
      <c r="G4941" t="s">
        <v>88</v>
      </c>
      <c r="H4941" t="s">
        <v>92</v>
      </c>
    </row>
    <row r="4942" spans="1:8" x14ac:dyDescent="0.25">
      <c r="A4942" t="s">
        <v>234</v>
      </c>
      <c r="B4942" t="s">
        <v>4632</v>
      </c>
      <c r="C4942" t="s">
        <v>88</v>
      </c>
      <c r="D4942" t="s">
        <v>4633</v>
      </c>
      <c r="E4942" t="s">
        <v>4634</v>
      </c>
      <c r="F4942" t="s">
        <v>88</v>
      </c>
      <c r="G4942" t="s">
        <v>88</v>
      </c>
      <c r="H4942" t="s">
        <v>92</v>
      </c>
    </row>
    <row r="4943" spans="1:8" x14ac:dyDescent="0.25">
      <c r="A4943" t="s">
        <v>234</v>
      </c>
      <c r="B4943" t="s">
        <v>4635</v>
      </c>
      <c r="C4943" t="s">
        <v>88</v>
      </c>
      <c r="D4943" t="s">
        <v>88</v>
      </c>
      <c r="E4943" t="s">
        <v>4636</v>
      </c>
      <c r="F4943" t="s">
        <v>88</v>
      </c>
      <c r="G4943" t="s">
        <v>88</v>
      </c>
      <c r="H4943" t="s">
        <v>92</v>
      </c>
    </row>
    <row r="4944" spans="1:8" x14ac:dyDescent="0.25">
      <c r="A4944" t="s">
        <v>234</v>
      </c>
      <c r="B4944" t="s">
        <v>1168</v>
      </c>
      <c r="C4944" t="s">
        <v>88</v>
      </c>
      <c r="D4944" t="s">
        <v>4637</v>
      </c>
      <c r="E4944" t="s">
        <v>4634</v>
      </c>
      <c r="F4944" t="s">
        <v>88</v>
      </c>
      <c r="G4944" t="s">
        <v>88</v>
      </c>
      <c r="H4944" t="s">
        <v>92</v>
      </c>
    </row>
    <row r="4945" spans="1:8" x14ac:dyDescent="0.25">
      <c r="A4945" t="s">
        <v>234</v>
      </c>
      <c r="B4945" t="s">
        <v>1172</v>
      </c>
      <c r="C4945" t="s">
        <v>88</v>
      </c>
      <c r="D4945" t="s">
        <v>88</v>
      </c>
      <c r="E4945" t="s">
        <v>4615</v>
      </c>
      <c r="F4945" t="s">
        <v>88</v>
      </c>
      <c r="G4945" t="s">
        <v>88</v>
      </c>
      <c r="H4945" t="s">
        <v>92</v>
      </c>
    </row>
    <row r="4946" spans="1:8" x14ac:dyDescent="0.25">
      <c r="A4946" t="s">
        <v>234</v>
      </c>
      <c r="B4946" t="s">
        <v>4638</v>
      </c>
      <c r="C4946" t="s">
        <v>88</v>
      </c>
      <c r="D4946" t="s">
        <v>4595</v>
      </c>
      <c r="E4946" t="s">
        <v>4639</v>
      </c>
      <c r="F4946" t="s">
        <v>88</v>
      </c>
      <c r="G4946" t="s">
        <v>88</v>
      </c>
      <c r="H4946" t="s">
        <v>92</v>
      </c>
    </row>
    <row r="4947" spans="1:8" x14ac:dyDescent="0.25">
      <c r="A4947" t="s">
        <v>234</v>
      </c>
      <c r="B4947" t="s">
        <v>4640</v>
      </c>
      <c r="C4947" t="s">
        <v>88</v>
      </c>
      <c r="D4947" t="s">
        <v>88</v>
      </c>
      <c r="E4947" t="s">
        <v>4641</v>
      </c>
      <c r="F4947" t="s">
        <v>88</v>
      </c>
      <c r="G4947" t="s">
        <v>88</v>
      </c>
      <c r="H4947" t="s">
        <v>92</v>
      </c>
    </row>
    <row r="4948" spans="1:8" x14ac:dyDescent="0.25">
      <c r="A4948" t="s">
        <v>234</v>
      </c>
      <c r="B4948" t="s">
        <v>4642</v>
      </c>
      <c r="C4948" t="s">
        <v>88</v>
      </c>
      <c r="D4948" t="s">
        <v>88</v>
      </c>
      <c r="E4948" t="s">
        <v>4643</v>
      </c>
      <c r="F4948" t="s">
        <v>88</v>
      </c>
      <c r="G4948" t="s">
        <v>88</v>
      </c>
      <c r="H4948" t="s">
        <v>92</v>
      </c>
    </row>
    <row r="4949" spans="1:8" x14ac:dyDescent="0.25">
      <c r="A4949" t="s">
        <v>234</v>
      </c>
      <c r="B4949" t="s">
        <v>4644</v>
      </c>
      <c r="C4949" t="s">
        <v>88</v>
      </c>
      <c r="D4949" t="s">
        <v>88</v>
      </c>
      <c r="E4949" t="s">
        <v>4613</v>
      </c>
      <c r="F4949" t="s">
        <v>88</v>
      </c>
      <c r="G4949" t="s">
        <v>88</v>
      </c>
      <c r="H4949" t="s">
        <v>92</v>
      </c>
    </row>
    <row r="4950" spans="1:8" x14ac:dyDescent="0.25">
      <c r="A4950" t="s">
        <v>234</v>
      </c>
      <c r="B4950" t="s">
        <v>4645</v>
      </c>
      <c r="C4950" t="s">
        <v>88</v>
      </c>
      <c r="D4950" t="s">
        <v>88</v>
      </c>
      <c r="E4950" t="s">
        <v>4643</v>
      </c>
      <c r="F4950" t="s">
        <v>88</v>
      </c>
      <c r="G4950" t="s">
        <v>88</v>
      </c>
      <c r="H4950" t="s">
        <v>92</v>
      </c>
    </row>
    <row r="4951" spans="1:8" x14ac:dyDescent="0.25">
      <c r="A4951" t="s">
        <v>234</v>
      </c>
      <c r="B4951" t="s">
        <v>1165</v>
      </c>
      <c r="C4951" t="s">
        <v>88</v>
      </c>
      <c r="D4951" t="s">
        <v>88</v>
      </c>
      <c r="E4951" t="s">
        <v>4615</v>
      </c>
      <c r="F4951" t="s">
        <v>88</v>
      </c>
      <c r="G4951" t="s">
        <v>88</v>
      </c>
      <c r="H4951" t="s">
        <v>92</v>
      </c>
    </row>
    <row r="4952" spans="1:8" x14ac:dyDescent="0.25">
      <c r="A4952" t="s">
        <v>234</v>
      </c>
      <c r="B4952" t="s">
        <v>4646</v>
      </c>
      <c r="C4952" t="s">
        <v>88</v>
      </c>
      <c r="D4952" t="s">
        <v>4647</v>
      </c>
      <c r="E4952" t="s">
        <v>4522</v>
      </c>
      <c r="F4952" t="s">
        <v>88</v>
      </c>
      <c r="G4952" t="s">
        <v>88</v>
      </c>
      <c r="H4952" t="s">
        <v>92</v>
      </c>
    </row>
    <row r="4953" spans="1:8" x14ac:dyDescent="0.25">
      <c r="A4953" t="s">
        <v>234</v>
      </c>
      <c r="B4953" t="s">
        <v>4648</v>
      </c>
      <c r="C4953" t="s">
        <v>88</v>
      </c>
      <c r="D4953" t="s">
        <v>4647</v>
      </c>
      <c r="E4953" t="s">
        <v>4615</v>
      </c>
      <c r="F4953" t="s">
        <v>88</v>
      </c>
      <c r="G4953" t="s">
        <v>88</v>
      </c>
      <c r="H4953" t="s">
        <v>92</v>
      </c>
    </row>
    <row r="4954" spans="1:8" x14ac:dyDescent="0.25">
      <c r="A4954" t="s">
        <v>234</v>
      </c>
      <c r="B4954" t="s">
        <v>4649</v>
      </c>
      <c r="C4954" t="s">
        <v>88</v>
      </c>
      <c r="D4954" t="s">
        <v>88</v>
      </c>
      <c r="E4954" t="s">
        <v>889</v>
      </c>
      <c r="F4954" t="s">
        <v>88</v>
      </c>
      <c r="G4954" t="s">
        <v>88</v>
      </c>
      <c r="H4954" t="s">
        <v>92</v>
      </c>
    </row>
    <row r="4955" spans="1:8" x14ac:dyDescent="0.25">
      <c r="A4955" t="s">
        <v>234</v>
      </c>
      <c r="B4955" t="s">
        <v>4650</v>
      </c>
      <c r="C4955" t="s">
        <v>88</v>
      </c>
      <c r="D4955" t="s">
        <v>88</v>
      </c>
      <c r="E4955" t="s">
        <v>886</v>
      </c>
      <c r="F4955" t="s">
        <v>88</v>
      </c>
      <c r="G4955" t="s">
        <v>88</v>
      </c>
      <c r="H4955" t="s">
        <v>92</v>
      </c>
    </row>
    <row r="4956" spans="1:8" x14ac:dyDescent="0.25">
      <c r="A4956" t="s">
        <v>234</v>
      </c>
      <c r="B4956" t="s">
        <v>4651</v>
      </c>
      <c r="C4956" t="s">
        <v>88</v>
      </c>
      <c r="D4956" t="s">
        <v>88</v>
      </c>
      <c r="E4956" t="s">
        <v>883</v>
      </c>
      <c r="F4956" t="s">
        <v>88</v>
      </c>
      <c r="G4956" t="s">
        <v>88</v>
      </c>
      <c r="H4956" t="s">
        <v>92</v>
      </c>
    </row>
    <row r="4957" spans="1:8" x14ac:dyDescent="0.25">
      <c r="A4957" t="s">
        <v>234</v>
      </c>
      <c r="B4957" t="s">
        <v>4652</v>
      </c>
      <c r="C4957" t="s">
        <v>88</v>
      </c>
      <c r="D4957" t="s">
        <v>88</v>
      </c>
      <c r="E4957" t="s">
        <v>717</v>
      </c>
      <c r="F4957" t="s">
        <v>88</v>
      </c>
      <c r="G4957" t="s">
        <v>88</v>
      </c>
      <c r="H4957" t="s">
        <v>92</v>
      </c>
    </row>
    <row r="4958" spans="1:8" x14ac:dyDescent="0.25">
      <c r="A4958" t="s">
        <v>234</v>
      </c>
      <c r="B4958" t="s">
        <v>4653</v>
      </c>
      <c r="C4958" t="s">
        <v>88</v>
      </c>
      <c r="D4958" t="s">
        <v>88</v>
      </c>
      <c r="E4958" t="s">
        <v>3593</v>
      </c>
      <c r="F4958" t="s">
        <v>88</v>
      </c>
      <c r="G4958" t="s">
        <v>88</v>
      </c>
      <c r="H4958" t="s">
        <v>92</v>
      </c>
    </row>
    <row r="4959" spans="1:8" x14ac:dyDescent="0.25">
      <c r="A4959" t="s">
        <v>234</v>
      </c>
      <c r="B4959" t="s">
        <v>4654</v>
      </c>
      <c r="C4959" t="s">
        <v>88</v>
      </c>
      <c r="D4959" t="s">
        <v>88</v>
      </c>
      <c r="E4959" t="s">
        <v>4655</v>
      </c>
      <c r="F4959" t="s">
        <v>88</v>
      </c>
      <c r="G4959" t="s">
        <v>88</v>
      </c>
      <c r="H4959" t="s">
        <v>92</v>
      </c>
    </row>
    <row r="4960" spans="1:8" x14ac:dyDescent="0.25">
      <c r="A4960" t="s">
        <v>234</v>
      </c>
      <c r="B4960" t="s">
        <v>4656</v>
      </c>
      <c r="C4960" t="s">
        <v>88</v>
      </c>
      <c r="D4960" t="s">
        <v>4657</v>
      </c>
      <c r="E4960" t="s">
        <v>889</v>
      </c>
      <c r="F4960" t="s">
        <v>88</v>
      </c>
      <c r="G4960" t="s">
        <v>88</v>
      </c>
      <c r="H4960" t="s">
        <v>92</v>
      </c>
    </row>
    <row r="4961" spans="1:8" x14ac:dyDescent="0.25">
      <c r="A4961" t="s">
        <v>234</v>
      </c>
      <c r="B4961" t="s">
        <v>4658</v>
      </c>
      <c r="C4961" t="s">
        <v>88</v>
      </c>
      <c r="D4961" t="s">
        <v>88</v>
      </c>
      <c r="E4961" t="s">
        <v>2360</v>
      </c>
      <c r="F4961" t="s">
        <v>88</v>
      </c>
      <c r="G4961" t="s">
        <v>88</v>
      </c>
      <c r="H4961" t="s">
        <v>92</v>
      </c>
    </row>
    <row r="4962" spans="1:8" x14ac:dyDescent="0.25">
      <c r="A4962" t="s">
        <v>234</v>
      </c>
      <c r="B4962" t="s">
        <v>4659</v>
      </c>
      <c r="C4962" t="s">
        <v>88</v>
      </c>
      <c r="D4962" t="s">
        <v>88</v>
      </c>
      <c r="E4962" t="s">
        <v>883</v>
      </c>
      <c r="F4962" t="s">
        <v>88</v>
      </c>
      <c r="G4962" t="s">
        <v>88</v>
      </c>
      <c r="H4962" t="s">
        <v>92</v>
      </c>
    </row>
    <row r="4963" spans="1:8" x14ac:dyDescent="0.25">
      <c r="A4963" t="s">
        <v>234</v>
      </c>
      <c r="B4963" t="s">
        <v>4660</v>
      </c>
      <c r="C4963" t="s">
        <v>88</v>
      </c>
      <c r="D4963" t="s">
        <v>4661</v>
      </c>
      <c r="E4963" t="s">
        <v>4510</v>
      </c>
      <c r="F4963" t="s">
        <v>88</v>
      </c>
      <c r="G4963" t="s">
        <v>88</v>
      </c>
      <c r="H4963" t="s">
        <v>92</v>
      </c>
    </row>
    <row r="4964" spans="1:8" x14ac:dyDescent="0.25">
      <c r="A4964" t="s">
        <v>234</v>
      </c>
      <c r="B4964" t="s">
        <v>4662</v>
      </c>
      <c r="C4964" t="s">
        <v>88</v>
      </c>
      <c r="D4964" t="s">
        <v>88</v>
      </c>
      <c r="E4964" t="s">
        <v>673</v>
      </c>
      <c r="F4964" t="s">
        <v>88</v>
      </c>
      <c r="G4964" t="s">
        <v>88</v>
      </c>
      <c r="H4964" t="s">
        <v>92</v>
      </c>
    </row>
    <row r="4965" spans="1:8" x14ac:dyDescent="0.25">
      <c r="A4965" t="s">
        <v>234</v>
      </c>
      <c r="B4965" t="s">
        <v>4663</v>
      </c>
      <c r="C4965" t="s">
        <v>88</v>
      </c>
      <c r="D4965" t="s">
        <v>88</v>
      </c>
      <c r="E4965" t="s">
        <v>721</v>
      </c>
      <c r="F4965" t="s">
        <v>88</v>
      </c>
      <c r="G4965" t="s">
        <v>88</v>
      </c>
      <c r="H4965" t="s">
        <v>92</v>
      </c>
    </row>
    <row r="4966" spans="1:8" x14ac:dyDescent="0.25">
      <c r="A4966" t="s">
        <v>234</v>
      </c>
      <c r="B4966" t="s">
        <v>4664</v>
      </c>
      <c r="C4966" t="s">
        <v>88</v>
      </c>
      <c r="D4966" t="s">
        <v>88</v>
      </c>
      <c r="E4966" t="s">
        <v>673</v>
      </c>
      <c r="F4966" t="s">
        <v>88</v>
      </c>
      <c r="G4966" t="s">
        <v>88</v>
      </c>
      <c r="H4966" t="s">
        <v>92</v>
      </c>
    </row>
    <row r="4967" spans="1:8" x14ac:dyDescent="0.25">
      <c r="A4967" t="s">
        <v>234</v>
      </c>
      <c r="B4967" t="s">
        <v>4665</v>
      </c>
      <c r="C4967" t="s">
        <v>88</v>
      </c>
      <c r="D4967" t="s">
        <v>88</v>
      </c>
      <c r="E4967" t="s">
        <v>721</v>
      </c>
      <c r="F4967" t="s">
        <v>88</v>
      </c>
      <c r="G4967" t="s">
        <v>88</v>
      </c>
      <c r="H4967" t="s">
        <v>92</v>
      </c>
    </row>
    <row r="4968" spans="1:8" x14ac:dyDescent="0.25">
      <c r="A4968" t="s">
        <v>234</v>
      </c>
      <c r="B4968" t="s">
        <v>4666</v>
      </c>
      <c r="C4968" t="s">
        <v>88</v>
      </c>
      <c r="D4968" t="s">
        <v>88</v>
      </c>
      <c r="E4968" t="s">
        <v>673</v>
      </c>
      <c r="F4968" t="s">
        <v>88</v>
      </c>
      <c r="G4968" t="s">
        <v>88</v>
      </c>
      <c r="H4968" t="s">
        <v>92</v>
      </c>
    </row>
    <row r="4969" spans="1:8" x14ac:dyDescent="0.25">
      <c r="A4969" t="s">
        <v>234</v>
      </c>
      <c r="B4969" t="s">
        <v>4667</v>
      </c>
      <c r="C4969" t="s">
        <v>88</v>
      </c>
      <c r="D4969" t="s">
        <v>88</v>
      </c>
      <c r="E4969" t="s">
        <v>721</v>
      </c>
      <c r="F4969" t="s">
        <v>88</v>
      </c>
      <c r="G4969" t="s">
        <v>88</v>
      </c>
      <c r="H4969" t="s">
        <v>92</v>
      </c>
    </row>
    <row r="4970" spans="1:8" x14ac:dyDescent="0.25">
      <c r="A4970" t="s">
        <v>234</v>
      </c>
      <c r="B4970" t="s">
        <v>4668</v>
      </c>
      <c r="C4970" t="s">
        <v>88</v>
      </c>
      <c r="D4970" t="s">
        <v>88</v>
      </c>
      <c r="E4970" t="s">
        <v>673</v>
      </c>
      <c r="F4970" t="s">
        <v>88</v>
      </c>
      <c r="G4970" t="s">
        <v>88</v>
      </c>
      <c r="H4970" t="s">
        <v>92</v>
      </c>
    </row>
    <row r="4971" spans="1:8" x14ac:dyDescent="0.25">
      <c r="A4971" t="s">
        <v>234</v>
      </c>
      <c r="B4971" t="s">
        <v>4669</v>
      </c>
      <c r="C4971" t="s">
        <v>88</v>
      </c>
      <c r="D4971" t="s">
        <v>88</v>
      </c>
      <c r="E4971" t="s">
        <v>4670</v>
      </c>
      <c r="F4971" t="s">
        <v>88</v>
      </c>
      <c r="G4971" t="s">
        <v>88</v>
      </c>
      <c r="H4971" t="s">
        <v>92</v>
      </c>
    </row>
    <row r="4972" spans="1:8" x14ac:dyDescent="0.25">
      <c r="A4972" t="s">
        <v>234</v>
      </c>
      <c r="B4972" t="s">
        <v>4671</v>
      </c>
      <c r="C4972" t="s">
        <v>88</v>
      </c>
      <c r="D4972" t="s">
        <v>88</v>
      </c>
      <c r="E4972" t="s">
        <v>4577</v>
      </c>
      <c r="F4972" t="s">
        <v>88</v>
      </c>
      <c r="G4972" t="s">
        <v>88</v>
      </c>
      <c r="H4972" t="s">
        <v>92</v>
      </c>
    </row>
    <row r="4973" spans="1:8" x14ac:dyDescent="0.25">
      <c r="A4973" t="s">
        <v>234</v>
      </c>
      <c r="B4973" t="s">
        <v>4672</v>
      </c>
      <c r="C4973" t="s">
        <v>88</v>
      </c>
      <c r="D4973" t="s">
        <v>88</v>
      </c>
      <c r="E4973" t="s">
        <v>841</v>
      </c>
      <c r="F4973" t="s">
        <v>88</v>
      </c>
      <c r="G4973" t="s">
        <v>88</v>
      </c>
      <c r="H4973" t="s">
        <v>92</v>
      </c>
    </row>
    <row r="4974" spans="1:8" x14ac:dyDescent="0.25">
      <c r="A4974" t="s">
        <v>234</v>
      </c>
      <c r="B4974" t="s">
        <v>4673</v>
      </c>
      <c r="C4974" t="s">
        <v>88</v>
      </c>
      <c r="D4974" t="s">
        <v>88</v>
      </c>
      <c r="E4974" t="s">
        <v>738</v>
      </c>
      <c r="F4974" t="s">
        <v>88</v>
      </c>
      <c r="G4974" t="s">
        <v>88</v>
      </c>
      <c r="H4974" t="s">
        <v>92</v>
      </c>
    </row>
    <row r="4975" spans="1:8" x14ac:dyDescent="0.25">
      <c r="A4975" t="s">
        <v>234</v>
      </c>
      <c r="B4975" t="s">
        <v>4674</v>
      </c>
      <c r="C4975" t="s">
        <v>88</v>
      </c>
      <c r="D4975" t="s">
        <v>88</v>
      </c>
      <c r="E4975" t="s">
        <v>721</v>
      </c>
      <c r="F4975" t="s">
        <v>88</v>
      </c>
      <c r="G4975" t="s">
        <v>88</v>
      </c>
      <c r="H4975" t="s">
        <v>92</v>
      </c>
    </row>
    <row r="4976" spans="1:8" x14ac:dyDescent="0.25">
      <c r="A4976" t="s">
        <v>234</v>
      </c>
      <c r="B4976" t="s">
        <v>4675</v>
      </c>
      <c r="C4976" t="s">
        <v>88</v>
      </c>
      <c r="D4976" t="s">
        <v>88</v>
      </c>
      <c r="E4976" t="s">
        <v>780</v>
      </c>
      <c r="F4976" t="s">
        <v>88</v>
      </c>
      <c r="G4976" t="s">
        <v>88</v>
      </c>
      <c r="H4976" t="s">
        <v>92</v>
      </c>
    </row>
    <row r="4977" spans="1:8" x14ac:dyDescent="0.25">
      <c r="A4977" t="s">
        <v>234</v>
      </c>
      <c r="B4977" t="s">
        <v>4676</v>
      </c>
      <c r="C4977" t="s">
        <v>88</v>
      </c>
      <c r="D4977" t="s">
        <v>88</v>
      </c>
      <c r="E4977" t="s">
        <v>937</v>
      </c>
      <c r="F4977" t="s">
        <v>88</v>
      </c>
      <c r="G4977" t="s">
        <v>88</v>
      </c>
      <c r="H4977" t="s">
        <v>92</v>
      </c>
    </row>
    <row r="4978" spans="1:8" x14ac:dyDescent="0.25">
      <c r="A4978" t="s">
        <v>234</v>
      </c>
      <c r="B4978" t="s">
        <v>4677</v>
      </c>
      <c r="C4978" t="s">
        <v>88</v>
      </c>
      <c r="D4978" t="s">
        <v>88</v>
      </c>
      <c r="E4978" t="s">
        <v>721</v>
      </c>
      <c r="F4978" t="s">
        <v>88</v>
      </c>
      <c r="G4978" t="s">
        <v>88</v>
      </c>
      <c r="H4978" t="s">
        <v>92</v>
      </c>
    </row>
    <row r="4979" spans="1:8" x14ac:dyDescent="0.25">
      <c r="A4979" t="s">
        <v>234</v>
      </c>
      <c r="B4979" t="s">
        <v>4678</v>
      </c>
      <c r="C4979" t="s">
        <v>88</v>
      </c>
      <c r="D4979" t="s">
        <v>88</v>
      </c>
      <c r="E4979" t="s">
        <v>780</v>
      </c>
      <c r="F4979" t="s">
        <v>88</v>
      </c>
      <c r="G4979" t="s">
        <v>88</v>
      </c>
      <c r="H4979" t="s">
        <v>92</v>
      </c>
    </row>
    <row r="4980" spans="1:8" x14ac:dyDescent="0.25">
      <c r="A4980" t="s">
        <v>234</v>
      </c>
      <c r="B4980" t="s">
        <v>4679</v>
      </c>
      <c r="C4980" t="s">
        <v>88</v>
      </c>
      <c r="D4980" t="s">
        <v>88</v>
      </c>
      <c r="E4980" t="s">
        <v>721</v>
      </c>
      <c r="F4980" t="s">
        <v>88</v>
      </c>
      <c r="G4980" t="s">
        <v>88</v>
      </c>
      <c r="H4980" t="s">
        <v>92</v>
      </c>
    </row>
    <row r="4981" spans="1:8" x14ac:dyDescent="0.25">
      <c r="A4981" t="s">
        <v>234</v>
      </c>
      <c r="B4981" t="s">
        <v>4680</v>
      </c>
      <c r="C4981" t="s">
        <v>88</v>
      </c>
      <c r="D4981" t="s">
        <v>88</v>
      </c>
      <c r="E4981" t="s">
        <v>663</v>
      </c>
      <c r="F4981" t="s">
        <v>88</v>
      </c>
      <c r="G4981" t="s">
        <v>88</v>
      </c>
      <c r="H4981" t="s">
        <v>92</v>
      </c>
    </row>
    <row r="4982" spans="1:8" x14ac:dyDescent="0.25">
      <c r="A4982" t="s">
        <v>234</v>
      </c>
      <c r="B4982" t="s">
        <v>4681</v>
      </c>
      <c r="C4982" t="s">
        <v>88</v>
      </c>
      <c r="D4982" t="s">
        <v>88</v>
      </c>
      <c r="E4982" t="s">
        <v>715</v>
      </c>
      <c r="F4982" t="s">
        <v>88</v>
      </c>
      <c r="G4982" t="s">
        <v>88</v>
      </c>
      <c r="H4982" t="s">
        <v>92</v>
      </c>
    </row>
    <row r="4983" spans="1:8" x14ac:dyDescent="0.25">
      <c r="A4983" t="s">
        <v>234</v>
      </c>
      <c r="B4983" t="s">
        <v>4682</v>
      </c>
      <c r="C4983" t="s">
        <v>88</v>
      </c>
      <c r="D4983" t="s">
        <v>88</v>
      </c>
      <c r="E4983" t="s">
        <v>715</v>
      </c>
      <c r="F4983" t="s">
        <v>88</v>
      </c>
      <c r="G4983" t="s">
        <v>88</v>
      </c>
      <c r="H4983" t="s">
        <v>92</v>
      </c>
    </row>
    <row r="4984" spans="1:8" x14ac:dyDescent="0.25">
      <c r="A4984" t="s">
        <v>234</v>
      </c>
      <c r="B4984" t="s">
        <v>4683</v>
      </c>
      <c r="C4984" t="s">
        <v>88</v>
      </c>
      <c r="D4984" t="s">
        <v>88</v>
      </c>
      <c r="E4984" t="s">
        <v>893</v>
      </c>
      <c r="F4984" t="s">
        <v>88</v>
      </c>
      <c r="G4984" t="s">
        <v>88</v>
      </c>
      <c r="H4984" t="s">
        <v>92</v>
      </c>
    </row>
    <row r="4985" spans="1:8" x14ac:dyDescent="0.25">
      <c r="A4985" t="s">
        <v>234</v>
      </c>
      <c r="B4985" t="s">
        <v>4684</v>
      </c>
      <c r="C4985" t="s">
        <v>88</v>
      </c>
      <c r="D4985" t="s">
        <v>88</v>
      </c>
      <c r="E4985" t="s">
        <v>836</v>
      </c>
      <c r="F4985" t="s">
        <v>88</v>
      </c>
      <c r="G4985" t="s">
        <v>88</v>
      </c>
      <c r="H4985" t="s">
        <v>92</v>
      </c>
    </row>
    <row r="4986" spans="1:8" x14ac:dyDescent="0.25">
      <c r="A4986" t="s">
        <v>234</v>
      </c>
      <c r="B4986" t="s">
        <v>4685</v>
      </c>
      <c r="C4986" t="s">
        <v>88</v>
      </c>
      <c r="D4986" t="s">
        <v>88</v>
      </c>
      <c r="E4986" t="s">
        <v>959</v>
      </c>
      <c r="F4986" t="s">
        <v>88</v>
      </c>
      <c r="G4986" t="s">
        <v>88</v>
      </c>
      <c r="H4986" t="s">
        <v>92</v>
      </c>
    </row>
    <row r="4987" spans="1:8" x14ac:dyDescent="0.25">
      <c r="A4987" t="s">
        <v>234</v>
      </c>
      <c r="B4987" t="s">
        <v>4686</v>
      </c>
      <c r="C4987" t="s">
        <v>88</v>
      </c>
      <c r="D4987" t="s">
        <v>88</v>
      </c>
      <c r="E4987" t="s">
        <v>959</v>
      </c>
      <c r="F4987" t="s">
        <v>88</v>
      </c>
      <c r="G4987" t="s">
        <v>88</v>
      </c>
      <c r="H4987" t="s">
        <v>92</v>
      </c>
    </row>
    <row r="4988" spans="1:8" x14ac:dyDescent="0.25">
      <c r="A4988" t="s">
        <v>234</v>
      </c>
      <c r="B4988" t="s">
        <v>4687</v>
      </c>
      <c r="C4988" t="s">
        <v>88</v>
      </c>
      <c r="D4988" t="s">
        <v>88</v>
      </c>
      <c r="E4988" t="s">
        <v>658</v>
      </c>
      <c r="F4988" t="s">
        <v>88</v>
      </c>
      <c r="G4988" t="s">
        <v>88</v>
      </c>
      <c r="H4988" t="s">
        <v>92</v>
      </c>
    </row>
    <row r="4989" spans="1:8" x14ac:dyDescent="0.25">
      <c r="A4989" t="s">
        <v>234</v>
      </c>
      <c r="B4989" t="s">
        <v>4688</v>
      </c>
      <c r="C4989" t="s">
        <v>88</v>
      </c>
      <c r="D4989" t="s">
        <v>88</v>
      </c>
      <c r="E4989" t="s">
        <v>663</v>
      </c>
      <c r="F4989" t="s">
        <v>88</v>
      </c>
      <c r="G4989" t="s">
        <v>88</v>
      </c>
      <c r="H4989" t="s">
        <v>92</v>
      </c>
    </row>
    <row r="4990" spans="1:8" x14ac:dyDescent="0.25">
      <c r="A4990" t="s">
        <v>234</v>
      </c>
      <c r="B4990" t="s">
        <v>625</v>
      </c>
      <c r="C4990" t="s">
        <v>88</v>
      </c>
      <c r="D4990" t="s">
        <v>88</v>
      </c>
      <c r="E4990" t="s">
        <v>626</v>
      </c>
      <c r="F4990" t="s">
        <v>88</v>
      </c>
      <c r="G4990" t="s">
        <v>88</v>
      </c>
      <c r="H4990" t="s">
        <v>92</v>
      </c>
    </row>
    <row r="4991" spans="1:8" x14ac:dyDescent="0.25">
      <c r="A4991" t="s">
        <v>236</v>
      </c>
      <c r="B4991" t="s">
        <v>4689</v>
      </c>
      <c r="C4991" t="s">
        <v>88</v>
      </c>
      <c r="D4991" t="s">
        <v>4690</v>
      </c>
      <c r="E4991" t="s">
        <v>732</v>
      </c>
      <c r="F4991" t="s">
        <v>88</v>
      </c>
      <c r="G4991" t="s">
        <v>88</v>
      </c>
      <c r="H4991" t="s">
        <v>92</v>
      </c>
    </row>
    <row r="4992" spans="1:8" x14ac:dyDescent="0.25">
      <c r="A4992" t="s">
        <v>236</v>
      </c>
      <c r="B4992" t="s">
        <v>4691</v>
      </c>
      <c r="C4992" t="s">
        <v>88</v>
      </c>
      <c r="D4992" t="s">
        <v>4692</v>
      </c>
      <c r="E4992" t="s">
        <v>2470</v>
      </c>
      <c r="F4992" t="s">
        <v>88</v>
      </c>
      <c r="G4992" t="s">
        <v>88</v>
      </c>
      <c r="H4992" t="s">
        <v>92</v>
      </c>
    </row>
    <row r="4993" spans="1:8" x14ac:dyDescent="0.25">
      <c r="A4993" t="s">
        <v>236</v>
      </c>
      <c r="B4993" t="s">
        <v>4693</v>
      </c>
      <c r="C4993" t="s">
        <v>88</v>
      </c>
      <c r="D4993" t="s">
        <v>4694</v>
      </c>
      <c r="E4993" t="s">
        <v>3169</v>
      </c>
      <c r="F4993" t="s">
        <v>88</v>
      </c>
      <c r="G4993" t="s">
        <v>88</v>
      </c>
      <c r="H4993" t="s">
        <v>92</v>
      </c>
    </row>
    <row r="4994" spans="1:8" x14ac:dyDescent="0.25">
      <c r="A4994" t="s">
        <v>236</v>
      </c>
      <c r="B4994" t="s">
        <v>4040</v>
      </c>
      <c r="C4994" t="s">
        <v>88</v>
      </c>
      <c r="D4994" t="s">
        <v>4695</v>
      </c>
      <c r="E4994" t="s">
        <v>937</v>
      </c>
      <c r="F4994" t="s">
        <v>88</v>
      </c>
      <c r="G4994" t="s">
        <v>88</v>
      </c>
      <c r="H4994" t="s">
        <v>92</v>
      </c>
    </row>
    <row r="4995" spans="1:8" x14ac:dyDescent="0.25">
      <c r="A4995" t="s">
        <v>236</v>
      </c>
      <c r="B4995" t="s">
        <v>4696</v>
      </c>
      <c r="C4995" t="s">
        <v>88</v>
      </c>
      <c r="D4995" t="s">
        <v>4697</v>
      </c>
      <c r="E4995" t="s">
        <v>844</v>
      </c>
      <c r="F4995" t="s">
        <v>88</v>
      </c>
      <c r="G4995" t="s">
        <v>88</v>
      </c>
      <c r="H4995" t="s">
        <v>92</v>
      </c>
    </row>
    <row r="4996" spans="1:8" x14ac:dyDescent="0.25">
      <c r="A4996" t="s">
        <v>236</v>
      </c>
      <c r="B4996" t="s">
        <v>4698</v>
      </c>
      <c r="C4996" t="s">
        <v>88</v>
      </c>
      <c r="D4996" t="s">
        <v>4699</v>
      </c>
      <c r="E4996" t="s">
        <v>715</v>
      </c>
      <c r="F4996" t="s">
        <v>88</v>
      </c>
      <c r="G4996" t="s">
        <v>88</v>
      </c>
      <c r="H4996" t="s">
        <v>92</v>
      </c>
    </row>
    <row r="4997" spans="1:8" x14ac:dyDescent="0.25">
      <c r="A4997" t="s">
        <v>236</v>
      </c>
      <c r="B4997" t="s">
        <v>4700</v>
      </c>
      <c r="C4997" t="s">
        <v>88</v>
      </c>
      <c r="D4997" t="s">
        <v>4701</v>
      </c>
      <c r="E4997" t="s">
        <v>4702</v>
      </c>
      <c r="F4997" t="s">
        <v>88</v>
      </c>
      <c r="G4997" t="s">
        <v>88</v>
      </c>
      <c r="H4997" t="s">
        <v>92</v>
      </c>
    </row>
    <row r="4998" spans="1:8" x14ac:dyDescent="0.25">
      <c r="A4998" t="s">
        <v>236</v>
      </c>
      <c r="B4998" t="s">
        <v>4703</v>
      </c>
      <c r="C4998" t="s">
        <v>88</v>
      </c>
      <c r="D4998" t="s">
        <v>4704</v>
      </c>
      <c r="E4998" t="s">
        <v>1135</v>
      </c>
      <c r="F4998" t="s">
        <v>88</v>
      </c>
      <c r="G4998" t="s">
        <v>88</v>
      </c>
      <c r="H4998" t="s">
        <v>92</v>
      </c>
    </row>
    <row r="4999" spans="1:8" x14ac:dyDescent="0.25">
      <c r="A4999" t="s">
        <v>236</v>
      </c>
      <c r="B4999" t="s">
        <v>4705</v>
      </c>
      <c r="C4999" t="s">
        <v>88</v>
      </c>
      <c r="D4999" t="s">
        <v>4706</v>
      </c>
      <c r="E4999" t="s">
        <v>812</v>
      </c>
      <c r="F4999" t="s">
        <v>88</v>
      </c>
      <c r="G4999" t="s">
        <v>88</v>
      </c>
      <c r="H4999" t="s">
        <v>92</v>
      </c>
    </row>
    <row r="5000" spans="1:8" x14ac:dyDescent="0.25">
      <c r="A5000" t="s">
        <v>236</v>
      </c>
      <c r="B5000" t="s">
        <v>4707</v>
      </c>
      <c r="C5000" t="s">
        <v>88</v>
      </c>
      <c r="D5000" t="s">
        <v>4708</v>
      </c>
      <c r="E5000" t="s">
        <v>4599</v>
      </c>
      <c r="F5000" t="s">
        <v>88</v>
      </c>
      <c r="G5000" t="s">
        <v>88</v>
      </c>
      <c r="H5000" t="s">
        <v>92</v>
      </c>
    </row>
    <row r="5001" spans="1:8" x14ac:dyDescent="0.25">
      <c r="A5001" t="s">
        <v>236</v>
      </c>
      <c r="B5001" t="s">
        <v>4709</v>
      </c>
      <c r="C5001" t="s">
        <v>88</v>
      </c>
      <c r="D5001" t="s">
        <v>4710</v>
      </c>
      <c r="E5001" t="s">
        <v>655</v>
      </c>
      <c r="F5001" t="s">
        <v>88</v>
      </c>
      <c r="G5001" t="s">
        <v>88</v>
      </c>
      <c r="H5001" t="s">
        <v>92</v>
      </c>
    </row>
    <row r="5002" spans="1:8" x14ac:dyDescent="0.25">
      <c r="A5002" t="s">
        <v>236</v>
      </c>
      <c r="B5002" t="s">
        <v>4711</v>
      </c>
      <c r="C5002" t="s">
        <v>88</v>
      </c>
      <c r="D5002" t="s">
        <v>4712</v>
      </c>
      <c r="E5002" t="s">
        <v>692</v>
      </c>
      <c r="F5002" t="s">
        <v>88</v>
      </c>
      <c r="G5002" t="s">
        <v>88</v>
      </c>
      <c r="H5002" t="s">
        <v>92</v>
      </c>
    </row>
    <row r="5003" spans="1:8" x14ac:dyDescent="0.25">
      <c r="A5003" t="s">
        <v>236</v>
      </c>
      <c r="B5003" t="s">
        <v>4713</v>
      </c>
      <c r="C5003" t="s">
        <v>88</v>
      </c>
      <c r="D5003" t="s">
        <v>4714</v>
      </c>
      <c r="E5003" t="s">
        <v>692</v>
      </c>
      <c r="F5003" t="s">
        <v>88</v>
      </c>
      <c r="G5003" t="s">
        <v>88</v>
      </c>
      <c r="H5003" t="s">
        <v>92</v>
      </c>
    </row>
    <row r="5004" spans="1:8" x14ac:dyDescent="0.25">
      <c r="A5004" t="s">
        <v>236</v>
      </c>
      <c r="B5004" t="s">
        <v>4715</v>
      </c>
      <c r="C5004" t="s">
        <v>88</v>
      </c>
      <c r="D5004" t="s">
        <v>4716</v>
      </c>
      <c r="E5004" t="s">
        <v>655</v>
      </c>
      <c r="F5004" t="s">
        <v>88</v>
      </c>
      <c r="G5004" t="s">
        <v>88</v>
      </c>
      <c r="H5004" t="s">
        <v>92</v>
      </c>
    </row>
    <row r="5005" spans="1:8" x14ac:dyDescent="0.25">
      <c r="A5005" t="s">
        <v>236</v>
      </c>
      <c r="B5005" t="s">
        <v>4717</v>
      </c>
      <c r="C5005" t="s">
        <v>88</v>
      </c>
      <c r="D5005" t="s">
        <v>4718</v>
      </c>
      <c r="E5005" t="s">
        <v>844</v>
      </c>
      <c r="F5005" t="s">
        <v>88</v>
      </c>
      <c r="G5005" t="s">
        <v>88</v>
      </c>
      <c r="H5005" t="s">
        <v>92</v>
      </c>
    </row>
    <row r="5006" spans="1:8" x14ac:dyDescent="0.25">
      <c r="A5006" t="s">
        <v>236</v>
      </c>
      <c r="B5006" t="s">
        <v>1776</v>
      </c>
      <c r="C5006" t="s">
        <v>88</v>
      </c>
      <c r="D5006" t="s">
        <v>4719</v>
      </c>
      <c r="E5006" t="s">
        <v>679</v>
      </c>
      <c r="F5006" t="s">
        <v>88</v>
      </c>
      <c r="G5006" t="s">
        <v>88</v>
      </c>
      <c r="H5006" t="s">
        <v>92</v>
      </c>
    </row>
    <row r="5007" spans="1:8" x14ac:dyDescent="0.25">
      <c r="A5007" t="s">
        <v>236</v>
      </c>
      <c r="B5007" t="s">
        <v>4720</v>
      </c>
      <c r="C5007" t="s">
        <v>88</v>
      </c>
      <c r="D5007" t="s">
        <v>4721</v>
      </c>
      <c r="E5007" t="s">
        <v>663</v>
      </c>
      <c r="F5007" t="s">
        <v>88</v>
      </c>
      <c r="G5007" t="s">
        <v>88</v>
      </c>
      <c r="H5007" t="s">
        <v>92</v>
      </c>
    </row>
    <row r="5008" spans="1:8" x14ac:dyDescent="0.25">
      <c r="A5008" t="s">
        <v>236</v>
      </c>
      <c r="B5008" t="s">
        <v>1768</v>
      </c>
      <c r="C5008" t="s">
        <v>88</v>
      </c>
      <c r="D5008" t="s">
        <v>4722</v>
      </c>
      <c r="E5008" t="s">
        <v>655</v>
      </c>
      <c r="F5008" t="s">
        <v>88</v>
      </c>
      <c r="G5008" t="s">
        <v>88</v>
      </c>
      <c r="H5008" t="s">
        <v>92</v>
      </c>
    </row>
    <row r="5009" spans="1:8" x14ac:dyDescent="0.25">
      <c r="A5009" t="s">
        <v>236</v>
      </c>
      <c r="B5009" t="s">
        <v>1770</v>
      </c>
      <c r="C5009" t="s">
        <v>88</v>
      </c>
      <c r="D5009" t="s">
        <v>4723</v>
      </c>
      <c r="E5009" t="s">
        <v>780</v>
      </c>
      <c r="F5009" t="s">
        <v>88</v>
      </c>
      <c r="G5009" t="s">
        <v>88</v>
      </c>
      <c r="H5009" t="s">
        <v>92</v>
      </c>
    </row>
    <row r="5010" spans="1:8" x14ac:dyDescent="0.25">
      <c r="A5010" t="s">
        <v>236</v>
      </c>
      <c r="B5010" t="s">
        <v>1774</v>
      </c>
      <c r="C5010" t="s">
        <v>88</v>
      </c>
      <c r="D5010" t="s">
        <v>4724</v>
      </c>
      <c r="E5010" t="s">
        <v>655</v>
      </c>
      <c r="F5010" t="s">
        <v>88</v>
      </c>
      <c r="G5010" t="s">
        <v>88</v>
      </c>
      <c r="H5010" t="s">
        <v>92</v>
      </c>
    </row>
    <row r="5011" spans="1:8" x14ac:dyDescent="0.25">
      <c r="A5011" t="s">
        <v>236</v>
      </c>
      <c r="B5011" t="s">
        <v>4725</v>
      </c>
      <c r="C5011" t="s">
        <v>88</v>
      </c>
      <c r="D5011" t="s">
        <v>88</v>
      </c>
      <c r="E5011" t="s">
        <v>709</v>
      </c>
      <c r="F5011" t="s">
        <v>88</v>
      </c>
      <c r="G5011" t="s">
        <v>88</v>
      </c>
      <c r="H5011" t="s">
        <v>92</v>
      </c>
    </row>
    <row r="5012" spans="1:8" x14ac:dyDescent="0.25">
      <c r="A5012" t="s">
        <v>236</v>
      </c>
      <c r="B5012" t="s">
        <v>4726</v>
      </c>
      <c r="C5012" t="s">
        <v>88</v>
      </c>
      <c r="D5012" t="s">
        <v>88</v>
      </c>
      <c r="E5012" t="s">
        <v>709</v>
      </c>
      <c r="F5012" t="s">
        <v>88</v>
      </c>
      <c r="G5012" t="s">
        <v>88</v>
      </c>
      <c r="H5012" t="s">
        <v>92</v>
      </c>
    </row>
    <row r="5013" spans="1:8" x14ac:dyDescent="0.25">
      <c r="A5013" t="s">
        <v>236</v>
      </c>
      <c r="B5013" t="s">
        <v>1780</v>
      </c>
      <c r="C5013" t="s">
        <v>88</v>
      </c>
      <c r="D5013" t="s">
        <v>88</v>
      </c>
      <c r="E5013" t="s">
        <v>791</v>
      </c>
      <c r="F5013" t="s">
        <v>88</v>
      </c>
      <c r="G5013" t="s">
        <v>88</v>
      </c>
      <c r="H5013" t="s">
        <v>92</v>
      </c>
    </row>
    <row r="5014" spans="1:8" x14ac:dyDescent="0.25">
      <c r="A5014" t="s">
        <v>236</v>
      </c>
      <c r="B5014" t="s">
        <v>3497</v>
      </c>
      <c r="C5014" t="s">
        <v>88</v>
      </c>
      <c r="D5014" t="s">
        <v>88</v>
      </c>
      <c r="E5014" t="s">
        <v>1153</v>
      </c>
      <c r="F5014" t="s">
        <v>88</v>
      </c>
      <c r="G5014" t="s">
        <v>88</v>
      </c>
      <c r="H5014" t="s">
        <v>92</v>
      </c>
    </row>
    <row r="5015" spans="1:8" x14ac:dyDescent="0.25">
      <c r="A5015" t="s">
        <v>236</v>
      </c>
      <c r="B5015" t="s">
        <v>4727</v>
      </c>
      <c r="C5015" t="s">
        <v>88</v>
      </c>
      <c r="D5015" t="s">
        <v>88</v>
      </c>
      <c r="E5015" t="s">
        <v>676</v>
      </c>
      <c r="F5015" t="s">
        <v>88</v>
      </c>
      <c r="G5015" t="s">
        <v>88</v>
      </c>
      <c r="H5015" t="s">
        <v>92</v>
      </c>
    </row>
    <row r="5016" spans="1:8" x14ac:dyDescent="0.25">
      <c r="A5016" t="s">
        <v>236</v>
      </c>
      <c r="B5016" t="s">
        <v>4728</v>
      </c>
      <c r="C5016" t="s">
        <v>88</v>
      </c>
      <c r="D5016" t="s">
        <v>88</v>
      </c>
      <c r="E5016" t="s">
        <v>641</v>
      </c>
      <c r="F5016" t="s">
        <v>88</v>
      </c>
      <c r="G5016" t="s">
        <v>88</v>
      </c>
      <c r="H5016" t="s">
        <v>92</v>
      </c>
    </row>
    <row r="5017" spans="1:8" x14ac:dyDescent="0.25">
      <c r="A5017" t="s">
        <v>236</v>
      </c>
      <c r="B5017" t="s">
        <v>4729</v>
      </c>
      <c r="C5017" t="s">
        <v>88</v>
      </c>
      <c r="D5017" t="s">
        <v>88</v>
      </c>
      <c r="E5017" t="s">
        <v>825</v>
      </c>
      <c r="F5017" t="s">
        <v>88</v>
      </c>
      <c r="G5017" t="s">
        <v>88</v>
      </c>
      <c r="H5017" t="s">
        <v>92</v>
      </c>
    </row>
    <row r="5018" spans="1:8" x14ac:dyDescent="0.25">
      <c r="A5018" t="s">
        <v>236</v>
      </c>
      <c r="B5018" t="s">
        <v>823</v>
      </c>
      <c r="C5018" t="s">
        <v>88</v>
      </c>
      <c r="D5018" t="s">
        <v>3302</v>
      </c>
      <c r="E5018" t="s">
        <v>844</v>
      </c>
      <c r="F5018" t="s">
        <v>88</v>
      </c>
      <c r="G5018" t="s">
        <v>88</v>
      </c>
      <c r="H5018" t="s">
        <v>92</v>
      </c>
    </row>
    <row r="5019" spans="1:8" x14ac:dyDescent="0.25">
      <c r="A5019" t="s">
        <v>236</v>
      </c>
      <c r="B5019" t="s">
        <v>1141</v>
      </c>
      <c r="C5019" t="s">
        <v>88</v>
      </c>
      <c r="D5019" t="s">
        <v>88</v>
      </c>
      <c r="E5019" t="s">
        <v>655</v>
      </c>
      <c r="F5019" t="s">
        <v>88</v>
      </c>
      <c r="G5019" t="s">
        <v>88</v>
      </c>
      <c r="H5019" t="s">
        <v>92</v>
      </c>
    </row>
    <row r="5020" spans="1:8" x14ac:dyDescent="0.25">
      <c r="A5020" t="s">
        <v>236</v>
      </c>
      <c r="B5020" t="s">
        <v>1142</v>
      </c>
      <c r="C5020" t="s">
        <v>88</v>
      </c>
      <c r="D5020" t="s">
        <v>88</v>
      </c>
      <c r="E5020" t="s">
        <v>655</v>
      </c>
      <c r="F5020" t="s">
        <v>88</v>
      </c>
      <c r="G5020" t="s">
        <v>88</v>
      </c>
      <c r="H5020" t="s">
        <v>92</v>
      </c>
    </row>
    <row r="5021" spans="1:8" x14ac:dyDescent="0.25">
      <c r="A5021" t="s">
        <v>236</v>
      </c>
      <c r="B5021" t="s">
        <v>4730</v>
      </c>
      <c r="C5021" t="s">
        <v>88</v>
      </c>
      <c r="D5021" t="s">
        <v>88</v>
      </c>
      <c r="E5021" t="s">
        <v>780</v>
      </c>
      <c r="F5021" t="s">
        <v>88</v>
      </c>
      <c r="G5021" t="s">
        <v>88</v>
      </c>
      <c r="H5021" t="s">
        <v>92</v>
      </c>
    </row>
    <row r="5022" spans="1:8" x14ac:dyDescent="0.25">
      <c r="A5022" t="s">
        <v>236</v>
      </c>
      <c r="B5022" t="s">
        <v>4731</v>
      </c>
      <c r="C5022" t="s">
        <v>88</v>
      </c>
      <c r="D5022" t="s">
        <v>88</v>
      </c>
      <c r="E5022" t="s">
        <v>780</v>
      </c>
      <c r="F5022" t="s">
        <v>88</v>
      </c>
      <c r="G5022" t="s">
        <v>88</v>
      </c>
      <c r="H5022" t="s">
        <v>92</v>
      </c>
    </row>
    <row r="5023" spans="1:8" x14ac:dyDescent="0.25">
      <c r="A5023" t="s">
        <v>236</v>
      </c>
      <c r="B5023" t="s">
        <v>4732</v>
      </c>
      <c r="C5023" t="s">
        <v>88</v>
      </c>
      <c r="D5023" t="s">
        <v>88</v>
      </c>
      <c r="E5023" t="s">
        <v>709</v>
      </c>
      <c r="F5023" t="s">
        <v>88</v>
      </c>
      <c r="G5023" t="s">
        <v>88</v>
      </c>
      <c r="H5023" t="s">
        <v>92</v>
      </c>
    </row>
    <row r="5024" spans="1:8" x14ac:dyDescent="0.25">
      <c r="A5024" t="s">
        <v>236</v>
      </c>
      <c r="B5024" t="s">
        <v>4733</v>
      </c>
      <c r="C5024" t="s">
        <v>88</v>
      </c>
      <c r="D5024" t="s">
        <v>88</v>
      </c>
      <c r="E5024" t="s">
        <v>709</v>
      </c>
      <c r="F5024" t="s">
        <v>88</v>
      </c>
      <c r="G5024" t="s">
        <v>88</v>
      </c>
      <c r="H5024" t="s">
        <v>92</v>
      </c>
    </row>
    <row r="5025" spans="1:8" x14ac:dyDescent="0.25">
      <c r="A5025" t="s">
        <v>236</v>
      </c>
      <c r="B5025" t="s">
        <v>4734</v>
      </c>
      <c r="C5025" t="s">
        <v>88</v>
      </c>
      <c r="D5025" t="s">
        <v>88</v>
      </c>
      <c r="E5025" t="s">
        <v>732</v>
      </c>
      <c r="F5025" t="s">
        <v>88</v>
      </c>
      <c r="G5025" t="s">
        <v>88</v>
      </c>
      <c r="H5025" t="s">
        <v>92</v>
      </c>
    </row>
    <row r="5026" spans="1:8" x14ac:dyDescent="0.25">
      <c r="A5026" t="s">
        <v>236</v>
      </c>
      <c r="B5026" t="s">
        <v>4735</v>
      </c>
      <c r="C5026" t="s">
        <v>88</v>
      </c>
      <c r="D5026" t="s">
        <v>88</v>
      </c>
      <c r="E5026" t="s">
        <v>702</v>
      </c>
      <c r="F5026" t="s">
        <v>88</v>
      </c>
      <c r="G5026" t="s">
        <v>88</v>
      </c>
      <c r="H5026" t="s">
        <v>92</v>
      </c>
    </row>
    <row r="5027" spans="1:8" x14ac:dyDescent="0.25">
      <c r="A5027" t="s">
        <v>236</v>
      </c>
      <c r="B5027" t="s">
        <v>4736</v>
      </c>
      <c r="C5027" t="s">
        <v>88</v>
      </c>
      <c r="D5027" t="s">
        <v>88</v>
      </c>
      <c r="E5027" t="s">
        <v>709</v>
      </c>
      <c r="F5027" t="s">
        <v>88</v>
      </c>
      <c r="G5027" t="s">
        <v>88</v>
      </c>
      <c r="H5027" t="s">
        <v>92</v>
      </c>
    </row>
    <row r="5028" spans="1:8" x14ac:dyDescent="0.25">
      <c r="A5028" t="s">
        <v>236</v>
      </c>
      <c r="B5028" t="s">
        <v>4737</v>
      </c>
      <c r="C5028" t="s">
        <v>88</v>
      </c>
      <c r="D5028" t="s">
        <v>88</v>
      </c>
      <c r="E5028" t="s">
        <v>709</v>
      </c>
      <c r="F5028" t="s">
        <v>88</v>
      </c>
      <c r="G5028" t="s">
        <v>88</v>
      </c>
      <c r="H5028" t="s">
        <v>92</v>
      </c>
    </row>
    <row r="5029" spans="1:8" x14ac:dyDescent="0.25">
      <c r="A5029" t="s">
        <v>236</v>
      </c>
      <c r="B5029" t="s">
        <v>4738</v>
      </c>
      <c r="C5029" t="s">
        <v>88</v>
      </c>
      <c r="D5029" t="s">
        <v>88</v>
      </c>
      <c r="E5029" t="s">
        <v>711</v>
      </c>
      <c r="F5029" t="s">
        <v>88</v>
      </c>
      <c r="G5029" t="s">
        <v>88</v>
      </c>
      <c r="H5029" t="s">
        <v>92</v>
      </c>
    </row>
    <row r="5030" spans="1:8" x14ac:dyDescent="0.25">
      <c r="A5030" t="s">
        <v>236</v>
      </c>
      <c r="B5030" t="s">
        <v>701</v>
      </c>
      <c r="C5030" t="s">
        <v>88</v>
      </c>
      <c r="D5030" t="s">
        <v>88</v>
      </c>
      <c r="E5030" t="s">
        <v>709</v>
      </c>
      <c r="F5030" t="s">
        <v>88</v>
      </c>
      <c r="G5030" t="s">
        <v>88</v>
      </c>
      <c r="H5030" t="s">
        <v>92</v>
      </c>
    </row>
    <row r="5031" spans="1:8" x14ac:dyDescent="0.25">
      <c r="A5031" t="s">
        <v>236</v>
      </c>
      <c r="B5031" t="s">
        <v>703</v>
      </c>
      <c r="C5031" t="s">
        <v>88</v>
      </c>
      <c r="D5031" t="s">
        <v>88</v>
      </c>
      <c r="E5031" t="s">
        <v>709</v>
      </c>
      <c r="F5031" t="s">
        <v>88</v>
      </c>
      <c r="G5031" t="s">
        <v>88</v>
      </c>
      <c r="H5031" t="s">
        <v>92</v>
      </c>
    </row>
    <row r="5032" spans="1:8" x14ac:dyDescent="0.25">
      <c r="A5032" t="s">
        <v>236</v>
      </c>
      <c r="B5032" t="s">
        <v>704</v>
      </c>
      <c r="C5032" t="s">
        <v>88</v>
      </c>
      <c r="D5032" t="s">
        <v>88</v>
      </c>
      <c r="E5032" t="s">
        <v>709</v>
      </c>
      <c r="F5032" t="s">
        <v>88</v>
      </c>
      <c r="G5032" t="s">
        <v>88</v>
      </c>
      <c r="H5032" t="s">
        <v>92</v>
      </c>
    </row>
    <row r="5033" spans="1:8" x14ac:dyDescent="0.25">
      <c r="A5033" t="s">
        <v>236</v>
      </c>
      <c r="B5033" t="s">
        <v>705</v>
      </c>
      <c r="C5033" t="s">
        <v>88</v>
      </c>
      <c r="D5033" t="s">
        <v>88</v>
      </c>
      <c r="E5033" t="s">
        <v>709</v>
      </c>
      <c r="F5033" t="s">
        <v>88</v>
      </c>
      <c r="G5033" t="s">
        <v>88</v>
      </c>
      <c r="H5033" t="s">
        <v>92</v>
      </c>
    </row>
    <row r="5034" spans="1:8" x14ac:dyDescent="0.25">
      <c r="A5034" t="s">
        <v>236</v>
      </c>
      <c r="B5034" t="s">
        <v>706</v>
      </c>
      <c r="C5034" t="s">
        <v>88</v>
      </c>
      <c r="D5034" t="s">
        <v>88</v>
      </c>
      <c r="E5034" t="s">
        <v>709</v>
      </c>
      <c r="F5034" t="s">
        <v>88</v>
      </c>
      <c r="G5034" t="s">
        <v>88</v>
      </c>
      <c r="H5034" t="s">
        <v>92</v>
      </c>
    </row>
    <row r="5035" spans="1:8" x14ac:dyDescent="0.25">
      <c r="A5035" t="s">
        <v>236</v>
      </c>
      <c r="B5035" t="s">
        <v>612</v>
      </c>
      <c r="C5035" t="s">
        <v>88</v>
      </c>
      <c r="D5035" t="s">
        <v>88</v>
      </c>
      <c r="E5035" t="s">
        <v>709</v>
      </c>
      <c r="F5035" t="s">
        <v>88</v>
      </c>
      <c r="G5035" t="s">
        <v>88</v>
      </c>
      <c r="H5035" t="s">
        <v>92</v>
      </c>
    </row>
    <row r="5036" spans="1:8" x14ac:dyDescent="0.25">
      <c r="A5036" t="s">
        <v>236</v>
      </c>
      <c r="B5036" t="s">
        <v>615</v>
      </c>
      <c r="C5036" t="s">
        <v>88</v>
      </c>
      <c r="D5036" t="s">
        <v>88</v>
      </c>
      <c r="E5036" t="s">
        <v>709</v>
      </c>
      <c r="F5036" t="s">
        <v>88</v>
      </c>
      <c r="G5036" t="s">
        <v>88</v>
      </c>
      <c r="H5036" t="s">
        <v>92</v>
      </c>
    </row>
    <row r="5037" spans="1:8" x14ac:dyDescent="0.25">
      <c r="A5037" t="s">
        <v>236</v>
      </c>
      <c r="B5037" t="s">
        <v>618</v>
      </c>
      <c r="C5037" t="s">
        <v>88</v>
      </c>
      <c r="D5037" t="s">
        <v>88</v>
      </c>
      <c r="E5037" t="s">
        <v>711</v>
      </c>
      <c r="F5037" t="s">
        <v>88</v>
      </c>
      <c r="G5037" t="s">
        <v>88</v>
      </c>
      <c r="H5037" t="s">
        <v>92</v>
      </c>
    </row>
    <row r="5038" spans="1:8" x14ac:dyDescent="0.25">
      <c r="A5038" t="s">
        <v>236</v>
      </c>
      <c r="B5038" t="s">
        <v>795</v>
      </c>
      <c r="C5038" t="s">
        <v>88</v>
      </c>
      <c r="D5038" t="s">
        <v>88</v>
      </c>
      <c r="E5038" t="s">
        <v>735</v>
      </c>
      <c r="F5038" t="s">
        <v>88</v>
      </c>
      <c r="G5038" t="s">
        <v>88</v>
      </c>
      <c r="H5038" t="s">
        <v>92</v>
      </c>
    </row>
    <row r="5039" spans="1:8" x14ac:dyDescent="0.25">
      <c r="A5039" t="s">
        <v>236</v>
      </c>
      <c r="B5039" t="s">
        <v>622</v>
      </c>
      <c r="C5039" t="s">
        <v>88</v>
      </c>
      <c r="D5039" t="s">
        <v>88</v>
      </c>
      <c r="E5039" t="s">
        <v>713</v>
      </c>
      <c r="F5039" t="s">
        <v>88</v>
      </c>
      <c r="G5039" t="s">
        <v>88</v>
      </c>
      <c r="H5039" t="s">
        <v>92</v>
      </c>
    </row>
    <row r="5040" spans="1:8" x14ac:dyDescent="0.25">
      <c r="A5040" t="s">
        <v>236</v>
      </c>
      <c r="B5040" t="s">
        <v>623</v>
      </c>
      <c r="C5040" t="s">
        <v>88</v>
      </c>
      <c r="D5040" t="s">
        <v>88</v>
      </c>
      <c r="E5040" t="s">
        <v>849</v>
      </c>
      <c r="F5040" t="s">
        <v>88</v>
      </c>
      <c r="G5040" t="s">
        <v>88</v>
      </c>
      <c r="H5040" t="s">
        <v>92</v>
      </c>
    </row>
    <row r="5041" spans="1:8" x14ac:dyDescent="0.25">
      <c r="A5041" t="s">
        <v>236</v>
      </c>
      <c r="B5041" t="s">
        <v>714</v>
      </c>
      <c r="C5041" t="s">
        <v>88</v>
      </c>
      <c r="D5041" t="s">
        <v>88</v>
      </c>
      <c r="E5041" t="s">
        <v>734</v>
      </c>
      <c r="F5041" t="s">
        <v>88</v>
      </c>
      <c r="G5041" t="s">
        <v>88</v>
      </c>
      <c r="H5041" t="s">
        <v>92</v>
      </c>
    </row>
    <row r="5042" spans="1:8" x14ac:dyDescent="0.25">
      <c r="A5042" t="s">
        <v>236</v>
      </c>
      <c r="B5042" t="s">
        <v>1074</v>
      </c>
      <c r="C5042" t="s">
        <v>88</v>
      </c>
      <c r="D5042" t="s">
        <v>88</v>
      </c>
      <c r="E5042" t="s">
        <v>734</v>
      </c>
      <c r="F5042" t="s">
        <v>88</v>
      </c>
      <c r="G5042" t="s">
        <v>88</v>
      </c>
      <c r="H5042" t="s">
        <v>92</v>
      </c>
    </row>
    <row r="5043" spans="1:8" x14ac:dyDescent="0.25">
      <c r="A5043" t="s">
        <v>236</v>
      </c>
      <c r="B5043" t="s">
        <v>1671</v>
      </c>
      <c r="C5043" t="s">
        <v>88</v>
      </c>
      <c r="D5043" t="s">
        <v>88</v>
      </c>
      <c r="E5043" t="s">
        <v>734</v>
      </c>
      <c r="F5043" t="s">
        <v>88</v>
      </c>
      <c r="G5043" t="s">
        <v>88</v>
      </c>
      <c r="H5043" t="s">
        <v>92</v>
      </c>
    </row>
    <row r="5044" spans="1:8" x14ac:dyDescent="0.25">
      <c r="A5044" t="s">
        <v>236</v>
      </c>
      <c r="B5044" t="s">
        <v>998</v>
      </c>
      <c r="C5044" t="s">
        <v>88</v>
      </c>
      <c r="D5044" t="s">
        <v>88</v>
      </c>
      <c r="E5044" t="s">
        <v>734</v>
      </c>
      <c r="F5044" t="s">
        <v>88</v>
      </c>
      <c r="G5044" t="s">
        <v>88</v>
      </c>
      <c r="H5044" t="s">
        <v>92</v>
      </c>
    </row>
    <row r="5045" spans="1:8" x14ac:dyDescent="0.25">
      <c r="A5045" t="s">
        <v>236</v>
      </c>
      <c r="B5045" t="s">
        <v>4739</v>
      </c>
      <c r="C5045" t="s">
        <v>88</v>
      </c>
      <c r="D5045" t="s">
        <v>88</v>
      </c>
      <c r="E5045" t="s">
        <v>655</v>
      </c>
      <c r="F5045" t="s">
        <v>88</v>
      </c>
      <c r="G5045" t="s">
        <v>88</v>
      </c>
      <c r="H5045" t="s">
        <v>92</v>
      </c>
    </row>
    <row r="5046" spans="1:8" x14ac:dyDescent="0.25">
      <c r="A5046" t="s">
        <v>236</v>
      </c>
      <c r="B5046" t="s">
        <v>4740</v>
      </c>
      <c r="C5046" t="s">
        <v>88</v>
      </c>
      <c r="D5046" t="s">
        <v>4741</v>
      </c>
      <c r="E5046" t="s">
        <v>700</v>
      </c>
      <c r="F5046" t="s">
        <v>88</v>
      </c>
      <c r="G5046" t="s">
        <v>88</v>
      </c>
      <c r="H5046" t="s">
        <v>92</v>
      </c>
    </row>
    <row r="5047" spans="1:8" x14ac:dyDescent="0.25">
      <c r="A5047" t="s">
        <v>236</v>
      </c>
      <c r="B5047" t="s">
        <v>4742</v>
      </c>
      <c r="C5047" t="s">
        <v>88</v>
      </c>
      <c r="D5047" t="s">
        <v>88</v>
      </c>
      <c r="E5047" t="s">
        <v>655</v>
      </c>
      <c r="F5047" t="s">
        <v>88</v>
      </c>
      <c r="G5047" t="s">
        <v>88</v>
      </c>
      <c r="H5047" t="s">
        <v>92</v>
      </c>
    </row>
    <row r="5048" spans="1:8" x14ac:dyDescent="0.25">
      <c r="A5048" t="s">
        <v>236</v>
      </c>
      <c r="B5048" t="s">
        <v>4743</v>
      </c>
      <c r="C5048" t="s">
        <v>88</v>
      </c>
      <c r="D5048" t="s">
        <v>88</v>
      </c>
      <c r="E5048" t="s">
        <v>655</v>
      </c>
      <c r="F5048" t="s">
        <v>88</v>
      </c>
      <c r="G5048" t="s">
        <v>88</v>
      </c>
      <c r="H5048" t="s">
        <v>92</v>
      </c>
    </row>
    <row r="5049" spans="1:8" x14ac:dyDescent="0.25">
      <c r="A5049" t="s">
        <v>236</v>
      </c>
      <c r="B5049" t="s">
        <v>3527</v>
      </c>
      <c r="C5049" t="s">
        <v>88</v>
      </c>
      <c r="D5049" t="s">
        <v>4744</v>
      </c>
      <c r="E5049" t="s">
        <v>692</v>
      </c>
      <c r="F5049" t="s">
        <v>88</v>
      </c>
      <c r="G5049" t="s">
        <v>88</v>
      </c>
      <c r="H5049" t="s">
        <v>92</v>
      </c>
    </row>
    <row r="5050" spans="1:8" x14ac:dyDescent="0.25">
      <c r="A5050" t="s">
        <v>236</v>
      </c>
      <c r="B5050" t="s">
        <v>4745</v>
      </c>
      <c r="C5050" t="s">
        <v>88</v>
      </c>
      <c r="D5050" t="s">
        <v>88</v>
      </c>
      <c r="E5050" t="s">
        <v>676</v>
      </c>
      <c r="F5050" t="s">
        <v>88</v>
      </c>
      <c r="G5050" t="s">
        <v>88</v>
      </c>
      <c r="H5050" t="s">
        <v>92</v>
      </c>
    </row>
    <row r="5051" spans="1:8" x14ac:dyDescent="0.25">
      <c r="A5051" t="s">
        <v>236</v>
      </c>
      <c r="B5051" t="s">
        <v>4746</v>
      </c>
      <c r="C5051" t="s">
        <v>88</v>
      </c>
      <c r="D5051" t="s">
        <v>88</v>
      </c>
      <c r="E5051" t="s">
        <v>655</v>
      </c>
      <c r="F5051" t="s">
        <v>88</v>
      </c>
      <c r="G5051" t="s">
        <v>88</v>
      </c>
      <c r="H5051" t="s">
        <v>92</v>
      </c>
    </row>
    <row r="5052" spans="1:8" x14ac:dyDescent="0.25">
      <c r="A5052" t="s">
        <v>236</v>
      </c>
      <c r="B5052" t="s">
        <v>3519</v>
      </c>
      <c r="C5052" t="s">
        <v>88</v>
      </c>
      <c r="D5052" t="s">
        <v>88</v>
      </c>
      <c r="E5052" t="s">
        <v>655</v>
      </c>
      <c r="F5052" t="s">
        <v>88</v>
      </c>
      <c r="G5052" t="s">
        <v>88</v>
      </c>
      <c r="H5052" t="s">
        <v>92</v>
      </c>
    </row>
    <row r="5053" spans="1:8" x14ac:dyDescent="0.25">
      <c r="A5053" t="s">
        <v>236</v>
      </c>
      <c r="B5053" t="s">
        <v>4747</v>
      </c>
      <c r="C5053" t="s">
        <v>88</v>
      </c>
      <c r="D5053" t="s">
        <v>88</v>
      </c>
      <c r="E5053" t="s">
        <v>655</v>
      </c>
      <c r="F5053" t="s">
        <v>88</v>
      </c>
      <c r="G5053" t="s">
        <v>88</v>
      </c>
      <c r="H5053" t="s">
        <v>92</v>
      </c>
    </row>
    <row r="5054" spans="1:8" x14ac:dyDescent="0.25">
      <c r="A5054" t="s">
        <v>236</v>
      </c>
      <c r="B5054" t="s">
        <v>4748</v>
      </c>
      <c r="C5054" t="s">
        <v>88</v>
      </c>
      <c r="D5054" t="s">
        <v>88</v>
      </c>
      <c r="E5054" t="s">
        <v>655</v>
      </c>
      <c r="F5054" t="s">
        <v>88</v>
      </c>
      <c r="G5054" t="s">
        <v>88</v>
      </c>
      <c r="H5054" t="s">
        <v>92</v>
      </c>
    </row>
    <row r="5055" spans="1:8" x14ac:dyDescent="0.25">
      <c r="A5055" t="s">
        <v>236</v>
      </c>
      <c r="B5055" t="s">
        <v>4749</v>
      </c>
      <c r="C5055" t="s">
        <v>88</v>
      </c>
      <c r="D5055" t="s">
        <v>88</v>
      </c>
      <c r="E5055" t="s">
        <v>655</v>
      </c>
      <c r="F5055" t="s">
        <v>88</v>
      </c>
      <c r="G5055" t="s">
        <v>88</v>
      </c>
      <c r="H5055" t="s">
        <v>92</v>
      </c>
    </row>
    <row r="5056" spans="1:8" x14ac:dyDescent="0.25">
      <c r="A5056" t="s">
        <v>236</v>
      </c>
      <c r="B5056" t="s">
        <v>4750</v>
      </c>
      <c r="C5056" t="s">
        <v>88</v>
      </c>
      <c r="D5056" t="s">
        <v>88</v>
      </c>
      <c r="E5056" t="s">
        <v>655</v>
      </c>
      <c r="F5056" t="s">
        <v>88</v>
      </c>
      <c r="G5056" t="s">
        <v>88</v>
      </c>
      <c r="H5056" t="s">
        <v>92</v>
      </c>
    </row>
    <row r="5057" spans="1:8" x14ac:dyDescent="0.25">
      <c r="A5057" t="s">
        <v>236</v>
      </c>
      <c r="B5057" t="s">
        <v>4751</v>
      </c>
      <c r="C5057" t="s">
        <v>88</v>
      </c>
      <c r="D5057" t="s">
        <v>88</v>
      </c>
      <c r="E5057" t="s">
        <v>1153</v>
      </c>
      <c r="F5057" t="s">
        <v>88</v>
      </c>
      <c r="G5057" t="s">
        <v>88</v>
      </c>
      <c r="H5057" t="s">
        <v>92</v>
      </c>
    </row>
    <row r="5058" spans="1:8" x14ac:dyDescent="0.25">
      <c r="A5058" t="s">
        <v>236</v>
      </c>
      <c r="B5058" t="s">
        <v>4752</v>
      </c>
      <c r="C5058" t="s">
        <v>88</v>
      </c>
      <c r="D5058" t="s">
        <v>88</v>
      </c>
      <c r="E5058" t="s">
        <v>676</v>
      </c>
      <c r="F5058" t="s">
        <v>88</v>
      </c>
      <c r="G5058" t="s">
        <v>88</v>
      </c>
      <c r="H5058" t="s">
        <v>92</v>
      </c>
    </row>
    <row r="5059" spans="1:8" x14ac:dyDescent="0.25">
      <c r="A5059" t="s">
        <v>236</v>
      </c>
      <c r="B5059" t="s">
        <v>4753</v>
      </c>
      <c r="C5059" t="s">
        <v>88</v>
      </c>
      <c r="D5059" t="s">
        <v>4754</v>
      </c>
      <c r="E5059" t="s">
        <v>676</v>
      </c>
      <c r="F5059" t="s">
        <v>88</v>
      </c>
      <c r="G5059" t="s">
        <v>88</v>
      </c>
      <c r="H5059" t="s">
        <v>92</v>
      </c>
    </row>
    <row r="5060" spans="1:8" x14ac:dyDescent="0.25">
      <c r="A5060" t="s">
        <v>236</v>
      </c>
      <c r="B5060" t="s">
        <v>4755</v>
      </c>
      <c r="C5060" t="s">
        <v>88</v>
      </c>
      <c r="D5060" t="s">
        <v>88</v>
      </c>
      <c r="E5060" t="s">
        <v>676</v>
      </c>
      <c r="F5060" t="s">
        <v>88</v>
      </c>
      <c r="G5060" t="s">
        <v>88</v>
      </c>
      <c r="H5060" t="s">
        <v>92</v>
      </c>
    </row>
    <row r="5061" spans="1:8" x14ac:dyDescent="0.25">
      <c r="A5061" t="s">
        <v>236</v>
      </c>
      <c r="B5061" t="s">
        <v>3502</v>
      </c>
      <c r="C5061" t="s">
        <v>88</v>
      </c>
      <c r="D5061" t="s">
        <v>88</v>
      </c>
      <c r="E5061" t="s">
        <v>655</v>
      </c>
      <c r="F5061" t="s">
        <v>88</v>
      </c>
      <c r="G5061" t="s">
        <v>88</v>
      </c>
      <c r="H5061" t="s">
        <v>92</v>
      </c>
    </row>
    <row r="5062" spans="1:8" x14ac:dyDescent="0.25">
      <c r="A5062" t="s">
        <v>236</v>
      </c>
      <c r="B5062" t="s">
        <v>3485</v>
      </c>
      <c r="C5062" t="s">
        <v>88</v>
      </c>
      <c r="D5062" t="s">
        <v>88</v>
      </c>
      <c r="E5062" t="s">
        <v>964</v>
      </c>
      <c r="F5062" t="s">
        <v>88</v>
      </c>
      <c r="G5062" t="s">
        <v>88</v>
      </c>
      <c r="H5062" t="s">
        <v>92</v>
      </c>
    </row>
    <row r="5063" spans="1:8" x14ac:dyDescent="0.25">
      <c r="A5063" t="s">
        <v>236</v>
      </c>
      <c r="B5063" t="s">
        <v>4756</v>
      </c>
      <c r="C5063" t="s">
        <v>88</v>
      </c>
      <c r="D5063" t="s">
        <v>4757</v>
      </c>
      <c r="E5063" t="s">
        <v>676</v>
      </c>
      <c r="F5063" t="s">
        <v>88</v>
      </c>
      <c r="G5063" t="s">
        <v>88</v>
      </c>
      <c r="H5063" t="s">
        <v>92</v>
      </c>
    </row>
    <row r="5064" spans="1:8" x14ac:dyDescent="0.25">
      <c r="A5064" t="s">
        <v>236</v>
      </c>
      <c r="B5064" t="s">
        <v>4758</v>
      </c>
      <c r="C5064" t="s">
        <v>88</v>
      </c>
      <c r="D5064" t="s">
        <v>88</v>
      </c>
      <c r="E5064" t="s">
        <v>655</v>
      </c>
      <c r="F5064" t="s">
        <v>88</v>
      </c>
      <c r="G5064" t="s">
        <v>88</v>
      </c>
      <c r="H5064" t="s">
        <v>92</v>
      </c>
    </row>
    <row r="5065" spans="1:8" x14ac:dyDescent="0.25">
      <c r="A5065" t="s">
        <v>236</v>
      </c>
      <c r="B5065" t="s">
        <v>625</v>
      </c>
      <c r="C5065" t="s">
        <v>88</v>
      </c>
      <c r="D5065" t="s">
        <v>88</v>
      </c>
      <c r="E5065" t="s">
        <v>626</v>
      </c>
      <c r="F5065" t="s">
        <v>88</v>
      </c>
      <c r="G5065" t="s">
        <v>88</v>
      </c>
      <c r="H5065" t="s">
        <v>92</v>
      </c>
    </row>
    <row r="5066" spans="1:8" x14ac:dyDescent="0.25">
      <c r="A5066" t="s">
        <v>237</v>
      </c>
      <c r="B5066" t="s">
        <v>4759</v>
      </c>
      <c r="C5066" t="s">
        <v>88</v>
      </c>
      <c r="D5066" t="s">
        <v>88</v>
      </c>
      <c r="E5066" t="s">
        <v>964</v>
      </c>
      <c r="F5066" t="s">
        <v>88</v>
      </c>
      <c r="G5066" t="s">
        <v>88</v>
      </c>
      <c r="H5066" t="s">
        <v>92</v>
      </c>
    </row>
    <row r="5067" spans="1:8" x14ac:dyDescent="0.25">
      <c r="A5067" t="s">
        <v>237</v>
      </c>
      <c r="B5067" t="s">
        <v>3313</v>
      </c>
      <c r="C5067" t="s">
        <v>88</v>
      </c>
      <c r="D5067" t="s">
        <v>88</v>
      </c>
      <c r="E5067" t="s">
        <v>676</v>
      </c>
      <c r="F5067" t="s">
        <v>88</v>
      </c>
      <c r="G5067" t="s">
        <v>88</v>
      </c>
      <c r="H5067" t="s">
        <v>92</v>
      </c>
    </row>
    <row r="5068" spans="1:8" x14ac:dyDescent="0.25">
      <c r="A5068" t="s">
        <v>237</v>
      </c>
      <c r="B5068" t="s">
        <v>4760</v>
      </c>
      <c r="C5068" t="s">
        <v>88</v>
      </c>
      <c r="D5068" t="s">
        <v>4761</v>
      </c>
      <c r="E5068" t="s">
        <v>964</v>
      </c>
      <c r="F5068" t="s">
        <v>88</v>
      </c>
      <c r="G5068" t="s">
        <v>88</v>
      </c>
      <c r="H5068" t="s">
        <v>92</v>
      </c>
    </row>
    <row r="5069" spans="1:8" x14ac:dyDescent="0.25">
      <c r="A5069" t="s">
        <v>237</v>
      </c>
      <c r="B5069" t="s">
        <v>4762</v>
      </c>
      <c r="C5069" t="s">
        <v>88</v>
      </c>
      <c r="D5069" t="s">
        <v>88</v>
      </c>
      <c r="E5069" t="s">
        <v>964</v>
      </c>
      <c r="F5069" t="s">
        <v>88</v>
      </c>
      <c r="G5069" t="s">
        <v>88</v>
      </c>
      <c r="H5069" t="s">
        <v>92</v>
      </c>
    </row>
    <row r="5070" spans="1:8" x14ac:dyDescent="0.25">
      <c r="A5070" t="s">
        <v>237</v>
      </c>
      <c r="B5070" t="s">
        <v>1182</v>
      </c>
      <c r="C5070" t="s">
        <v>88</v>
      </c>
      <c r="D5070" t="s">
        <v>88</v>
      </c>
      <c r="E5070" t="s">
        <v>709</v>
      </c>
      <c r="F5070" t="s">
        <v>88</v>
      </c>
      <c r="G5070" t="s">
        <v>88</v>
      </c>
      <c r="H5070" t="s">
        <v>92</v>
      </c>
    </row>
    <row r="5071" spans="1:8" x14ac:dyDescent="0.25">
      <c r="A5071" t="s">
        <v>237</v>
      </c>
      <c r="B5071" t="s">
        <v>4760</v>
      </c>
      <c r="C5071" t="s">
        <v>88</v>
      </c>
      <c r="D5071" t="s">
        <v>4761</v>
      </c>
      <c r="E5071" t="s">
        <v>964</v>
      </c>
      <c r="F5071" t="s">
        <v>88</v>
      </c>
      <c r="G5071" t="s">
        <v>88</v>
      </c>
      <c r="H5071" t="s">
        <v>92</v>
      </c>
    </row>
    <row r="5072" spans="1:8" x14ac:dyDescent="0.25">
      <c r="A5072" t="s">
        <v>237</v>
      </c>
      <c r="B5072" t="s">
        <v>4763</v>
      </c>
      <c r="C5072" t="s">
        <v>88</v>
      </c>
      <c r="D5072" t="s">
        <v>4764</v>
      </c>
      <c r="E5072" t="s">
        <v>4765</v>
      </c>
      <c r="F5072" t="s">
        <v>88</v>
      </c>
      <c r="G5072" t="s">
        <v>88</v>
      </c>
      <c r="H5072" t="s">
        <v>92</v>
      </c>
    </row>
    <row r="5073" spans="1:8" x14ac:dyDescent="0.25">
      <c r="A5073" t="s">
        <v>237</v>
      </c>
      <c r="B5073" t="s">
        <v>4766</v>
      </c>
      <c r="C5073" t="s">
        <v>88</v>
      </c>
      <c r="D5073" t="s">
        <v>4767</v>
      </c>
      <c r="E5073" t="s">
        <v>1255</v>
      </c>
      <c r="F5073" t="s">
        <v>88</v>
      </c>
      <c r="G5073" t="s">
        <v>88</v>
      </c>
      <c r="H5073" t="s">
        <v>92</v>
      </c>
    </row>
    <row r="5074" spans="1:8" x14ac:dyDescent="0.25">
      <c r="A5074" t="s">
        <v>237</v>
      </c>
      <c r="B5074" t="s">
        <v>1776</v>
      </c>
      <c r="C5074" t="s">
        <v>88</v>
      </c>
      <c r="D5074" t="s">
        <v>4768</v>
      </c>
      <c r="E5074" t="s">
        <v>663</v>
      </c>
      <c r="F5074" t="s">
        <v>88</v>
      </c>
      <c r="G5074" t="s">
        <v>88</v>
      </c>
      <c r="H5074" t="s">
        <v>92</v>
      </c>
    </row>
    <row r="5075" spans="1:8" x14ac:dyDescent="0.25">
      <c r="A5075" t="s">
        <v>237</v>
      </c>
      <c r="B5075" t="s">
        <v>4769</v>
      </c>
      <c r="C5075" t="s">
        <v>88</v>
      </c>
      <c r="D5075" t="s">
        <v>4770</v>
      </c>
      <c r="E5075" t="s">
        <v>825</v>
      </c>
      <c r="F5075" t="s">
        <v>88</v>
      </c>
      <c r="G5075" t="s">
        <v>88</v>
      </c>
      <c r="H5075" t="s">
        <v>92</v>
      </c>
    </row>
    <row r="5076" spans="1:8" x14ac:dyDescent="0.25">
      <c r="A5076" t="s">
        <v>237</v>
      </c>
      <c r="B5076" t="s">
        <v>4771</v>
      </c>
      <c r="C5076" t="s">
        <v>88</v>
      </c>
      <c r="D5076" t="s">
        <v>4772</v>
      </c>
      <c r="E5076" t="s">
        <v>825</v>
      </c>
      <c r="F5076" t="s">
        <v>88</v>
      </c>
      <c r="G5076" t="s">
        <v>88</v>
      </c>
      <c r="H5076" t="s">
        <v>92</v>
      </c>
    </row>
    <row r="5077" spans="1:8" x14ac:dyDescent="0.25">
      <c r="A5077" t="s">
        <v>237</v>
      </c>
      <c r="B5077" t="s">
        <v>4773</v>
      </c>
      <c r="C5077" t="s">
        <v>88</v>
      </c>
      <c r="D5077" t="s">
        <v>4774</v>
      </c>
      <c r="E5077" t="s">
        <v>841</v>
      </c>
      <c r="F5077" t="s">
        <v>88</v>
      </c>
      <c r="G5077" t="s">
        <v>88</v>
      </c>
      <c r="H5077" t="s">
        <v>92</v>
      </c>
    </row>
    <row r="5078" spans="1:8" x14ac:dyDescent="0.25">
      <c r="A5078" t="s">
        <v>237</v>
      </c>
      <c r="B5078" t="s">
        <v>4775</v>
      </c>
      <c r="C5078" t="s">
        <v>88</v>
      </c>
      <c r="D5078" t="s">
        <v>4776</v>
      </c>
      <c r="E5078" t="s">
        <v>641</v>
      </c>
      <c r="F5078" t="s">
        <v>88</v>
      </c>
      <c r="G5078" t="s">
        <v>88</v>
      </c>
      <c r="H5078" t="s">
        <v>92</v>
      </c>
    </row>
    <row r="5079" spans="1:8" x14ac:dyDescent="0.25">
      <c r="A5079" t="s">
        <v>237</v>
      </c>
      <c r="B5079" t="s">
        <v>4777</v>
      </c>
      <c r="C5079" t="s">
        <v>88</v>
      </c>
      <c r="D5079" t="s">
        <v>4778</v>
      </c>
      <c r="E5079" t="s">
        <v>1714</v>
      </c>
      <c r="F5079" t="s">
        <v>88</v>
      </c>
      <c r="G5079" t="s">
        <v>88</v>
      </c>
      <c r="H5079" t="s">
        <v>92</v>
      </c>
    </row>
    <row r="5080" spans="1:8" x14ac:dyDescent="0.25">
      <c r="A5080" t="s">
        <v>237</v>
      </c>
      <c r="B5080" t="s">
        <v>3449</v>
      </c>
      <c r="C5080" t="s">
        <v>88</v>
      </c>
      <c r="D5080" t="s">
        <v>88</v>
      </c>
      <c r="E5080" t="s">
        <v>676</v>
      </c>
      <c r="F5080" t="s">
        <v>88</v>
      </c>
      <c r="G5080" t="s">
        <v>88</v>
      </c>
      <c r="H5080" t="s">
        <v>92</v>
      </c>
    </row>
    <row r="5081" spans="1:8" x14ac:dyDescent="0.25">
      <c r="A5081" t="s">
        <v>237</v>
      </c>
      <c r="B5081" t="s">
        <v>3453</v>
      </c>
      <c r="C5081" t="s">
        <v>88</v>
      </c>
      <c r="D5081" t="s">
        <v>88</v>
      </c>
      <c r="E5081" t="s">
        <v>676</v>
      </c>
      <c r="F5081" t="s">
        <v>88</v>
      </c>
      <c r="G5081" t="s">
        <v>88</v>
      </c>
      <c r="H5081" t="s">
        <v>92</v>
      </c>
    </row>
    <row r="5082" spans="1:8" x14ac:dyDescent="0.25">
      <c r="A5082" t="s">
        <v>237</v>
      </c>
      <c r="B5082" t="s">
        <v>4779</v>
      </c>
      <c r="C5082" t="s">
        <v>88</v>
      </c>
      <c r="D5082" t="s">
        <v>88</v>
      </c>
      <c r="E5082" t="s">
        <v>676</v>
      </c>
      <c r="F5082" t="s">
        <v>88</v>
      </c>
      <c r="G5082" t="s">
        <v>88</v>
      </c>
      <c r="H5082" t="s">
        <v>92</v>
      </c>
    </row>
    <row r="5083" spans="1:8" x14ac:dyDescent="0.25">
      <c r="A5083" t="s">
        <v>237</v>
      </c>
      <c r="B5083" t="s">
        <v>4762</v>
      </c>
      <c r="C5083" t="s">
        <v>88</v>
      </c>
      <c r="D5083" t="s">
        <v>88</v>
      </c>
      <c r="E5083" t="s">
        <v>964</v>
      </c>
      <c r="F5083" t="s">
        <v>88</v>
      </c>
      <c r="G5083" t="s">
        <v>88</v>
      </c>
      <c r="H5083" t="s">
        <v>92</v>
      </c>
    </row>
    <row r="5084" spans="1:8" x14ac:dyDescent="0.25">
      <c r="A5084" t="s">
        <v>237</v>
      </c>
      <c r="B5084" t="s">
        <v>4780</v>
      </c>
      <c r="C5084" t="s">
        <v>88</v>
      </c>
      <c r="D5084" t="s">
        <v>88</v>
      </c>
      <c r="E5084" t="s">
        <v>663</v>
      </c>
      <c r="F5084" t="s">
        <v>88</v>
      </c>
      <c r="G5084" t="s">
        <v>88</v>
      </c>
      <c r="H5084" t="s">
        <v>92</v>
      </c>
    </row>
    <row r="5085" spans="1:8" x14ac:dyDescent="0.25">
      <c r="A5085" t="s">
        <v>237</v>
      </c>
      <c r="B5085" t="s">
        <v>3313</v>
      </c>
      <c r="C5085" t="s">
        <v>88</v>
      </c>
      <c r="D5085" t="s">
        <v>88</v>
      </c>
      <c r="E5085" t="s">
        <v>676</v>
      </c>
      <c r="F5085" t="s">
        <v>88</v>
      </c>
      <c r="G5085" t="s">
        <v>88</v>
      </c>
      <c r="H5085" t="s">
        <v>92</v>
      </c>
    </row>
    <row r="5086" spans="1:8" x14ac:dyDescent="0.25">
      <c r="A5086" t="s">
        <v>237</v>
      </c>
      <c r="B5086" t="s">
        <v>2160</v>
      </c>
      <c r="C5086" t="s">
        <v>88</v>
      </c>
      <c r="D5086" t="s">
        <v>88</v>
      </c>
      <c r="E5086" t="s">
        <v>676</v>
      </c>
      <c r="F5086" t="s">
        <v>88</v>
      </c>
      <c r="G5086" t="s">
        <v>88</v>
      </c>
      <c r="H5086" t="s">
        <v>92</v>
      </c>
    </row>
    <row r="5087" spans="1:8" x14ac:dyDescent="0.25">
      <c r="A5087" t="s">
        <v>237</v>
      </c>
      <c r="B5087" t="s">
        <v>1182</v>
      </c>
      <c r="C5087" t="s">
        <v>88</v>
      </c>
      <c r="D5087" t="s">
        <v>88</v>
      </c>
      <c r="E5087" t="s">
        <v>709</v>
      </c>
      <c r="F5087" t="s">
        <v>88</v>
      </c>
      <c r="G5087" t="s">
        <v>88</v>
      </c>
      <c r="H5087" t="s">
        <v>92</v>
      </c>
    </row>
    <row r="5088" spans="1:8" x14ac:dyDescent="0.25">
      <c r="A5088" t="s">
        <v>237</v>
      </c>
      <c r="B5088" t="s">
        <v>4781</v>
      </c>
      <c r="C5088" t="s">
        <v>88</v>
      </c>
      <c r="D5088" t="s">
        <v>88</v>
      </c>
      <c r="E5088" t="s">
        <v>791</v>
      </c>
      <c r="F5088" t="s">
        <v>88</v>
      </c>
      <c r="G5088" t="s">
        <v>88</v>
      </c>
      <c r="H5088" t="s">
        <v>92</v>
      </c>
    </row>
    <row r="5089" spans="1:8" x14ac:dyDescent="0.25">
      <c r="A5089" t="s">
        <v>237</v>
      </c>
      <c r="B5089" t="s">
        <v>4782</v>
      </c>
      <c r="C5089" t="s">
        <v>88</v>
      </c>
      <c r="D5089" t="s">
        <v>88</v>
      </c>
      <c r="E5089" t="s">
        <v>780</v>
      </c>
      <c r="F5089" t="s">
        <v>88</v>
      </c>
      <c r="G5089" t="s">
        <v>88</v>
      </c>
      <c r="H5089" t="s">
        <v>92</v>
      </c>
    </row>
    <row r="5090" spans="1:8" x14ac:dyDescent="0.25">
      <c r="A5090" t="s">
        <v>237</v>
      </c>
      <c r="B5090" t="s">
        <v>4783</v>
      </c>
      <c r="C5090" t="s">
        <v>88</v>
      </c>
      <c r="D5090" t="s">
        <v>88</v>
      </c>
      <c r="E5090" t="s">
        <v>663</v>
      </c>
      <c r="F5090" t="s">
        <v>88</v>
      </c>
      <c r="G5090" t="s">
        <v>88</v>
      </c>
      <c r="H5090" t="s">
        <v>92</v>
      </c>
    </row>
    <row r="5091" spans="1:8" x14ac:dyDescent="0.25">
      <c r="A5091" t="s">
        <v>237</v>
      </c>
      <c r="B5091" t="s">
        <v>2188</v>
      </c>
      <c r="C5091" t="s">
        <v>88</v>
      </c>
      <c r="D5091" t="s">
        <v>88</v>
      </c>
      <c r="E5091" t="s">
        <v>676</v>
      </c>
      <c r="F5091" t="s">
        <v>88</v>
      </c>
      <c r="G5091" t="s">
        <v>88</v>
      </c>
      <c r="H5091" t="s">
        <v>92</v>
      </c>
    </row>
    <row r="5092" spans="1:8" x14ac:dyDescent="0.25">
      <c r="A5092" t="s">
        <v>237</v>
      </c>
      <c r="B5092" t="s">
        <v>4784</v>
      </c>
      <c r="C5092" t="s">
        <v>88</v>
      </c>
      <c r="D5092" t="s">
        <v>88</v>
      </c>
      <c r="E5092" t="s">
        <v>964</v>
      </c>
      <c r="F5092" t="s">
        <v>88</v>
      </c>
      <c r="G5092" t="s">
        <v>88</v>
      </c>
      <c r="H5092" t="s">
        <v>92</v>
      </c>
    </row>
    <row r="5093" spans="1:8" x14ac:dyDescent="0.25">
      <c r="A5093" t="s">
        <v>237</v>
      </c>
      <c r="B5093" t="s">
        <v>3462</v>
      </c>
      <c r="C5093" t="s">
        <v>88</v>
      </c>
      <c r="D5093" t="s">
        <v>88</v>
      </c>
      <c r="E5093" t="s">
        <v>663</v>
      </c>
      <c r="F5093" t="s">
        <v>88</v>
      </c>
      <c r="G5093" t="s">
        <v>88</v>
      </c>
      <c r="H5093" t="s">
        <v>92</v>
      </c>
    </row>
    <row r="5094" spans="1:8" x14ac:dyDescent="0.25">
      <c r="A5094" t="s">
        <v>237</v>
      </c>
      <c r="B5094" t="s">
        <v>4785</v>
      </c>
      <c r="C5094" t="s">
        <v>88</v>
      </c>
      <c r="D5094" t="s">
        <v>88</v>
      </c>
      <c r="E5094" t="s">
        <v>655</v>
      </c>
      <c r="F5094" t="s">
        <v>88</v>
      </c>
      <c r="G5094" t="s">
        <v>88</v>
      </c>
      <c r="H5094" t="s">
        <v>92</v>
      </c>
    </row>
    <row r="5095" spans="1:8" x14ac:dyDescent="0.25">
      <c r="A5095" t="s">
        <v>237</v>
      </c>
      <c r="B5095" t="s">
        <v>4786</v>
      </c>
      <c r="C5095" t="s">
        <v>88</v>
      </c>
      <c r="D5095" t="s">
        <v>88</v>
      </c>
      <c r="E5095" t="s">
        <v>700</v>
      </c>
      <c r="F5095" t="s">
        <v>88</v>
      </c>
      <c r="G5095" t="s">
        <v>88</v>
      </c>
      <c r="H5095" t="s">
        <v>92</v>
      </c>
    </row>
    <row r="5096" spans="1:8" x14ac:dyDescent="0.25">
      <c r="A5096" t="s">
        <v>237</v>
      </c>
      <c r="B5096" t="s">
        <v>4787</v>
      </c>
      <c r="C5096" t="s">
        <v>88</v>
      </c>
      <c r="D5096" t="s">
        <v>88</v>
      </c>
      <c r="E5096" t="s">
        <v>700</v>
      </c>
      <c r="F5096" t="s">
        <v>88</v>
      </c>
      <c r="G5096" t="s">
        <v>88</v>
      </c>
      <c r="H5096" t="s">
        <v>92</v>
      </c>
    </row>
    <row r="5097" spans="1:8" x14ac:dyDescent="0.25">
      <c r="A5097" t="s">
        <v>237</v>
      </c>
      <c r="B5097" t="s">
        <v>3467</v>
      </c>
      <c r="C5097" t="s">
        <v>88</v>
      </c>
      <c r="D5097" t="s">
        <v>88</v>
      </c>
      <c r="E5097" t="s">
        <v>732</v>
      </c>
      <c r="F5097" t="s">
        <v>88</v>
      </c>
      <c r="G5097" t="s">
        <v>88</v>
      </c>
      <c r="H5097" t="s">
        <v>92</v>
      </c>
    </row>
    <row r="5098" spans="1:8" x14ac:dyDescent="0.25">
      <c r="A5098" t="s">
        <v>237</v>
      </c>
      <c r="B5098" t="s">
        <v>4788</v>
      </c>
      <c r="C5098" t="s">
        <v>88</v>
      </c>
      <c r="D5098" t="s">
        <v>88</v>
      </c>
      <c r="E5098" t="s">
        <v>732</v>
      </c>
      <c r="F5098" t="s">
        <v>88</v>
      </c>
      <c r="G5098" t="s">
        <v>88</v>
      </c>
      <c r="H5098" t="s">
        <v>92</v>
      </c>
    </row>
    <row r="5099" spans="1:8" x14ac:dyDescent="0.25">
      <c r="A5099" t="s">
        <v>237</v>
      </c>
      <c r="B5099" t="s">
        <v>4789</v>
      </c>
      <c r="C5099" t="s">
        <v>88</v>
      </c>
      <c r="D5099" t="s">
        <v>88</v>
      </c>
      <c r="E5099" t="s">
        <v>732</v>
      </c>
      <c r="F5099" t="s">
        <v>88</v>
      </c>
      <c r="G5099" t="s">
        <v>88</v>
      </c>
      <c r="H5099" t="s">
        <v>92</v>
      </c>
    </row>
    <row r="5100" spans="1:8" x14ac:dyDescent="0.25">
      <c r="A5100" t="s">
        <v>237</v>
      </c>
      <c r="B5100" t="s">
        <v>4790</v>
      </c>
      <c r="C5100" t="s">
        <v>88</v>
      </c>
      <c r="D5100" t="s">
        <v>88</v>
      </c>
      <c r="E5100" t="s">
        <v>663</v>
      </c>
      <c r="F5100" t="s">
        <v>88</v>
      </c>
      <c r="G5100" t="s">
        <v>88</v>
      </c>
      <c r="H5100" t="s">
        <v>92</v>
      </c>
    </row>
    <row r="5101" spans="1:8" x14ac:dyDescent="0.25">
      <c r="A5101" t="s">
        <v>237</v>
      </c>
      <c r="B5101" t="s">
        <v>1875</v>
      </c>
      <c r="C5101" t="s">
        <v>88</v>
      </c>
      <c r="D5101" t="s">
        <v>4791</v>
      </c>
      <c r="E5101" t="s">
        <v>663</v>
      </c>
      <c r="F5101" t="s">
        <v>88</v>
      </c>
      <c r="G5101" t="s">
        <v>88</v>
      </c>
      <c r="H5101" t="s">
        <v>92</v>
      </c>
    </row>
    <row r="5102" spans="1:8" x14ac:dyDescent="0.25">
      <c r="A5102" t="s">
        <v>237</v>
      </c>
      <c r="B5102" t="s">
        <v>701</v>
      </c>
      <c r="C5102" t="s">
        <v>88</v>
      </c>
      <c r="D5102" t="s">
        <v>88</v>
      </c>
      <c r="E5102" t="s">
        <v>734</v>
      </c>
      <c r="F5102" t="s">
        <v>88</v>
      </c>
      <c r="G5102" t="s">
        <v>88</v>
      </c>
      <c r="H5102" t="s">
        <v>92</v>
      </c>
    </row>
    <row r="5103" spans="1:8" x14ac:dyDescent="0.25">
      <c r="A5103" t="s">
        <v>237</v>
      </c>
      <c r="B5103" t="s">
        <v>703</v>
      </c>
      <c r="C5103" t="s">
        <v>88</v>
      </c>
      <c r="D5103" t="s">
        <v>88</v>
      </c>
      <c r="E5103" t="s">
        <v>734</v>
      </c>
      <c r="F5103" t="s">
        <v>88</v>
      </c>
      <c r="G5103" t="s">
        <v>88</v>
      </c>
      <c r="H5103" t="s">
        <v>92</v>
      </c>
    </row>
    <row r="5104" spans="1:8" x14ac:dyDescent="0.25">
      <c r="A5104" t="s">
        <v>237</v>
      </c>
      <c r="B5104" t="s">
        <v>704</v>
      </c>
      <c r="C5104" t="s">
        <v>88</v>
      </c>
      <c r="D5104" t="s">
        <v>88</v>
      </c>
      <c r="E5104" t="s">
        <v>734</v>
      </c>
      <c r="F5104" t="s">
        <v>88</v>
      </c>
      <c r="G5104" t="s">
        <v>88</v>
      </c>
      <c r="H5104" t="s">
        <v>92</v>
      </c>
    </row>
    <row r="5105" spans="1:8" x14ac:dyDescent="0.25">
      <c r="A5105" t="s">
        <v>237</v>
      </c>
      <c r="B5105" t="s">
        <v>705</v>
      </c>
      <c r="C5105" t="s">
        <v>88</v>
      </c>
      <c r="D5105" t="s">
        <v>88</v>
      </c>
      <c r="E5105" t="s">
        <v>734</v>
      </c>
      <c r="F5105" t="s">
        <v>88</v>
      </c>
      <c r="G5105" t="s">
        <v>88</v>
      </c>
      <c r="H5105" t="s">
        <v>92</v>
      </c>
    </row>
    <row r="5106" spans="1:8" x14ac:dyDescent="0.25">
      <c r="A5106" t="s">
        <v>237</v>
      </c>
      <c r="B5106" t="s">
        <v>618</v>
      </c>
      <c r="C5106" t="s">
        <v>88</v>
      </c>
      <c r="D5106" t="s">
        <v>88</v>
      </c>
      <c r="E5106" t="s">
        <v>711</v>
      </c>
      <c r="F5106" t="s">
        <v>88</v>
      </c>
      <c r="G5106" t="s">
        <v>88</v>
      </c>
      <c r="H5106" t="s">
        <v>92</v>
      </c>
    </row>
    <row r="5107" spans="1:8" x14ac:dyDescent="0.25">
      <c r="A5107" t="s">
        <v>237</v>
      </c>
      <c r="B5107" t="s">
        <v>622</v>
      </c>
      <c r="C5107" t="s">
        <v>88</v>
      </c>
      <c r="D5107" t="s">
        <v>88</v>
      </c>
      <c r="E5107" t="s">
        <v>713</v>
      </c>
      <c r="F5107" t="s">
        <v>88</v>
      </c>
      <c r="G5107" t="s">
        <v>88</v>
      </c>
      <c r="H5107" t="s">
        <v>92</v>
      </c>
    </row>
    <row r="5108" spans="1:8" x14ac:dyDescent="0.25">
      <c r="A5108" t="s">
        <v>237</v>
      </c>
      <c r="B5108" t="s">
        <v>623</v>
      </c>
      <c r="C5108" t="s">
        <v>88</v>
      </c>
      <c r="D5108" t="s">
        <v>88</v>
      </c>
      <c r="E5108" t="s">
        <v>735</v>
      </c>
      <c r="F5108" t="s">
        <v>88</v>
      </c>
      <c r="G5108" t="s">
        <v>88</v>
      </c>
      <c r="H5108" t="s">
        <v>92</v>
      </c>
    </row>
    <row r="5109" spans="1:8" x14ac:dyDescent="0.25">
      <c r="A5109" t="s">
        <v>237</v>
      </c>
      <c r="B5109" t="s">
        <v>714</v>
      </c>
      <c r="C5109" t="s">
        <v>88</v>
      </c>
      <c r="D5109" t="s">
        <v>88</v>
      </c>
      <c r="E5109" t="s">
        <v>702</v>
      </c>
      <c r="F5109" t="s">
        <v>88</v>
      </c>
      <c r="G5109" t="s">
        <v>88</v>
      </c>
      <c r="H5109" t="s">
        <v>92</v>
      </c>
    </row>
    <row r="5110" spans="1:8" x14ac:dyDescent="0.25">
      <c r="A5110" t="s">
        <v>237</v>
      </c>
      <c r="B5110" t="s">
        <v>1671</v>
      </c>
      <c r="C5110" t="s">
        <v>88</v>
      </c>
      <c r="D5110" t="s">
        <v>88</v>
      </c>
      <c r="E5110" t="s">
        <v>702</v>
      </c>
      <c r="F5110" t="s">
        <v>88</v>
      </c>
      <c r="G5110" t="s">
        <v>88</v>
      </c>
      <c r="H5110" t="s">
        <v>92</v>
      </c>
    </row>
    <row r="5111" spans="1:8" x14ac:dyDescent="0.25">
      <c r="A5111" t="s">
        <v>237</v>
      </c>
      <c r="B5111" t="s">
        <v>998</v>
      </c>
      <c r="C5111" t="s">
        <v>88</v>
      </c>
      <c r="D5111" t="s">
        <v>88</v>
      </c>
      <c r="E5111" t="s">
        <v>702</v>
      </c>
      <c r="F5111" t="s">
        <v>88</v>
      </c>
      <c r="G5111" t="s">
        <v>88</v>
      </c>
      <c r="H5111" t="s">
        <v>92</v>
      </c>
    </row>
    <row r="5112" spans="1:8" x14ac:dyDescent="0.25">
      <c r="A5112" t="s">
        <v>237</v>
      </c>
      <c r="B5112" t="s">
        <v>4792</v>
      </c>
      <c r="C5112" t="s">
        <v>88</v>
      </c>
      <c r="D5112" t="s">
        <v>88</v>
      </c>
      <c r="E5112" t="s">
        <v>676</v>
      </c>
      <c r="F5112" t="s">
        <v>88</v>
      </c>
      <c r="G5112" t="s">
        <v>88</v>
      </c>
      <c r="H5112" t="s">
        <v>92</v>
      </c>
    </row>
    <row r="5113" spans="1:8" x14ac:dyDescent="0.25">
      <c r="A5113" t="s">
        <v>237</v>
      </c>
      <c r="B5113" t="s">
        <v>4793</v>
      </c>
      <c r="C5113" t="s">
        <v>88</v>
      </c>
      <c r="D5113" t="s">
        <v>88</v>
      </c>
      <c r="E5113" t="s">
        <v>676</v>
      </c>
      <c r="F5113" t="s">
        <v>88</v>
      </c>
      <c r="G5113" t="s">
        <v>88</v>
      </c>
      <c r="H5113" t="s">
        <v>92</v>
      </c>
    </row>
    <row r="5114" spans="1:8" x14ac:dyDescent="0.25">
      <c r="A5114" t="s">
        <v>237</v>
      </c>
      <c r="B5114" t="s">
        <v>4751</v>
      </c>
      <c r="C5114" t="s">
        <v>88</v>
      </c>
      <c r="D5114" t="s">
        <v>88</v>
      </c>
      <c r="E5114" t="s">
        <v>1171</v>
      </c>
      <c r="F5114" t="s">
        <v>88</v>
      </c>
      <c r="G5114" t="s">
        <v>88</v>
      </c>
      <c r="H5114" t="s">
        <v>92</v>
      </c>
    </row>
    <row r="5115" spans="1:8" x14ac:dyDescent="0.25">
      <c r="A5115" t="s">
        <v>237</v>
      </c>
      <c r="B5115" t="s">
        <v>3497</v>
      </c>
      <c r="C5115" t="s">
        <v>88</v>
      </c>
      <c r="D5115" t="s">
        <v>88</v>
      </c>
      <c r="E5115" t="s">
        <v>1171</v>
      </c>
      <c r="F5115" t="s">
        <v>88</v>
      </c>
      <c r="G5115" t="s">
        <v>88</v>
      </c>
      <c r="H5115" t="s">
        <v>92</v>
      </c>
    </row>
    <row r="5116" spans="1:8" x14ac:dyDescent="0.25">
      <c r="A5116" t="s">
        <v>237</v>
      </c>
      <c r="B5116" t="s">
        <v>4794</v>
      </c>
      <c r="C5116" t="s">
        <v>88</v>
      </c>
      <c r="D5116" t="s">
        <v>88</v>
      </c>
      <c r="E5116" t="s">
        <v>825</v>
      </c>
      <c r="F5116" t="s">
        <v>88</v>
      </c>
      <c r="G5116" t="s">
        <v>88</v>
      </c>
      <c r="H5116" t="s">
        <v>92</v>
      </c>
    </row>
    <row r="5117" spans="1:8" x14ac:dyDescent="0.25">
      <c r="A5117" t="s">
        <v>237</v>
      </c>
      <c r="B5117" t="s">
        <v>4727</v>
      </c>
      <c r="C5117" t="s">
        <v>88</v>
      </c>
      <c r="D5117" t="s">
        <v>88</v>
      </c>
      <c r="E5117" t="s">
        <v>841</v>
      </c>
      <c r="F5117" t="s">
        <v>88</v>
      </c>
      <c r="G5117" t="s">
        <v>88</v>
      </c>
      <c r="H5117" t="s">
        <v>92</v>
      </c>
    </row>
    <row r="5118" spans="1:8" x14ac:dyDescent="0.25">
      <c r="A5118" t="s">
        <v>237</v>
      </c>
      <c r="B5118" t="s">
        <v>4759</v>
      </c>
      <c r="C5118" t="s">
        <v>88</v>
      </c>
      <c r="D5118" t="s">
        <v>88</v>
      </c>
      <c r="E5118" t="s">
        <v>964</v>
      </c>
      <c r="F5118" t="s">
        <v>88</v>
      </c>
      <c r="G5118" t="s">
        <v>88</v>
      </c>
      <c r="H5118" t="s">
        <v>92</v>
      </c>
    </row>
    <row r="5119" spans="1:8" x14ac:dyDescent="0.25">
      <c r="A5119" t="s">
        <v>237</v>
      </c>
      <c r="B5119" t="s">
        <v>4795</v>
      </c>
      <c r="C5119" t="s">
        <v>88</v>
      </c>
      <c r="D5119" t="s">
        <v>88</v>
      </c>
      <c r="E5119" t="s">
        <v>4796</v>
      </c>
      <c r="F5119" t="s">
        <v>88</v>
      </c>
      <c r="G5119" t="s">
        <v>88</v>
      </c>
      <c r="H5119" t="s">
        <v>92</v>
      </c>
    </row>
    <row r="5120" spans="1:8" x14ac:dyDescent="0.25">
      <c r="A5120" t="s">
        <v>237</v>
      </c>
      <c r="B5120" t="s">
        <v>3485</v>
      </c>
      <c r="C5120" t="s">
        <v>88</v>
      </c>
      <c r="D5120" t="s">
        <v>88</v>
      </c>
      <c r="E5120" t="s">
        <v>825</v>
      </c>
      <c r="F5120" t="s">
        <v>88</v>
      </c>
      <c r="G5120" t="s">
        <v>88</v>
      </c>
      <c r="H5120" t="s">
        <v>92</v>
      </c>
    </row>
    <row r="5121" spans="1:8" x14ac:dyDescent="0.25">
      <c r="A5121" t="s">
        <v>237</v>
      </c>
      <c r="B5121" t="s">
        <v>4797</v>
      </c>
      <c r="C5121" t="s">
        <v>88</v>
      </c>
      <c r="D5121" t="s">
        <v>88</v>
      </c>
      <c r="E5121" t="s">
        <v>841</v>
      </c>
      <c r="F5121" t="s">
        <v>88</v>
      </c>
      <c r="G5121" t="s">
        <v>88</v>
      </c>
      <c r="H5121" t="s">
        <v>92</v>
      </c>
    </row>
    <row r="5122" spans="1:8" x14ac:dyDescent="0.25">
      <c r="A5122" t="s">
        <v>237</v>
      </c>
      <c r="B5122" t="s">
        <v>3488</v>
      </c>
      <c r="C5122" t="s">
        <v>88</v>
      </c>
      <c r="D5122" t="s">
        <v>88</v>
      </c>
      <c r="E5122" t="s">
        <v>964</v>
      </c>
      <c r="F5122" t="s">
        <v>88</v>
      </c>
      <c r="G5122" t="s">
        <v>88</v>
      </c>
      <c r="H5122" t="s">
        <v>92</v>
      </c>
    </row>
    <row r="5123" spans="1:8" x14ac:dyDescent="0.25">
      <c r="A5123" t="s">
        <v>237</v>
      </c>
      <c r="B5123" t="s">
        <v>4798</v>
      </c>
      <c r="C5123" t="s">
        <v>88</v>
      </c>
      <c r="D5123" t="s">
        <v>88</v>
      </c>
      <c r="E5123" t="s">
        <v>964</v>
      </c>
      <c r="F5123" t="s">
        <v>88</v>
      </c>
      <c r="G5123" t="s">
        <v>88</v>
      </c>
      <c r="H5123" t="s">
        <v>92</v>
      </c>
    </row>
    <row r="5124" spans="1:8" x14ac:dyDescent="0.25">
      <c r="A5124" t="s">
        <v>237</v>
      </c>
      <c r="B5124" t="s">
        <v>4799</v>
      </c>
      <c r="C5124" t="s">
        <v>88</v>
      </c>
      <c r="D5124" t="s">
        <v>88</v>
      </c>
      <c r="E5124" t="s">
        <v>676</v>
      </c>
      <c r="F5124" t="s">
        <v>88</v>
      </c>
      <c r="G5124" t="s">
        <v>88</v>
      </c>
      <c r="H5124" t="s">
        <v>92</v>
      </c>
    </row>
    <row r="5125" spans="1:8" x14ac:dyDescent="0.25">
      <c r="A5125" t="s">
        <v>237</v>
      </c>
      <c r="B5125" t="s">
        <v>4800</v>
      </c>
      <c r="C5125" t="s">
        <v>88</v>
      </c>
      <c r="D5125" t="s">
        <v>88</v>
      </c>
      <c r="E5125" t="s">
        <v>825</v>
      </c>
      <c r="F5125" t="s">
        <v>88</v>
      </c>
      <c r="G5125" t="s">
        <v>88</v>
      </c>
      <c r="H5125" t="s">
        <v>92</v>
      </c>
    </row>
    <row r="5126" spans="1:8" x14ac:dyDescent="0.25">
      <c r="A5126" t="s">
        <v>237</v>
      </c>
      <c r="B5126" t="s">
        <v>4801</v>
      </c>
      <c r="C5126" t="s">
        <v>88</v>
      </c>
      <c r="D5126" t="s">
        <v>88</v>
      </c>
      <c r="E5126" t="s">
        <v>964</v>
      </c>
      <c r="F5126" t="s">
        <v>88</v>
      </c>
      <c r="G5126" t="s">
        <v>88</v>
      </c>
      <c r="H5126" t="s">
        <v>92</v>
      </c>
    </row>
    <row r="5127" spans="1:8" x14ac:dyDescent="0.25">
      <c r="A5127" t="s">
        <v>237</v>
      </c>
      <c r="B5127" t="s">
        <v>4802</v>
      </c>
      <c r="C5127" t="s">
        <v>88</v>
      </c>
      <c r="D5127" t="s">
        <v>88</v>
      </c>
      <c r="E5127" t="s">
        <v>964</v>
      </c>
      <c r="F5127" t="s">
        <v>88</v>
      </c>
      <c r="G5127" t="s">
        <v>88</v>
      </c>
      <c r="H5127" t="s">
        <v>92</v>
      </c>
    </row>
    <row r="5128" spans="1:8" x14ac:dyDescent="0.25">
      <c r="A5128" t="s">
        <v>237</v>
      </c>
      <c r="B5128" t="s">
        <v>4746</v>
      </c>
      <c r="C5128" t="s">
        <v>88</v>
      </c>
      <c r="D5128" t="s">
        <v>88</v>
      </c>
      <c r="E5128" t="s">
        <v>844</v>
      </c>
      <c r="F5128" t="s">
        <v>88</v>
      </c>
      <c r="G5128" t="s">
        <v>88</v>
      </c>
      <c r="H5128" t="s">
        <v>92</v>
      </c>
    </row>
    <row r="5129" spans="1:8" x14ac:dyDescent="0.25">
      <c r="A5129" t="s">
        <v>237</v>
      </c>
      <c r="B5129" t="s">
        <v>4803</v>
      </c>
      <c r="C5129" t="s">
        <v>88</v>
      </c>
      <c r="D5129" t="s">
        <v>88</v>
      </c>
      <c r="E5129" t="s">
        <v>844</v>
      </c>
      <c r="F5129" t="s">
        <v>88</v>
      </c>
      <c r="G5129" t="s">
        <v>88</v>
      </c>
      <c r="H5129" t="s">
        <v>92</v>
      </c>
    </row>
    <row r="5130" spans="1:8" x14ac:dyDescent="0.25">
      <c r="A5130" t="s">
        <v>237</v>
      </c>
      <c r="B5130" t="s">
        <v>4804</v>
      </c>
      <c r="C5130" t="s">
        <v>88</v>
      </c>
      <c r="D5130" t="s">
        <v>88</v>
      </c>
      <c r="E5130" t="s">
        <v>676</v>
      </c>
      <c r="F5130" t="s">
        <v>88</v>
      </c>
      <c r="G5130" t="s">
        <v>88</v>
      </c>
      <c r="H5130" t="s">
        <v>92</v>
      </c>
    </row>
    <row r="5131" spans="1:8" x14ac:dyDescent="0.25">
      <c r="A5131" t="s">
        <v>237</v>
      </c>
      <c r="B5131" t="s">
        <v>625</v>
      </c>
      <c r="C5131" t="s">
        <v>88</v>
      </c>
      <c r="D5131" t="s">
        <v>88</v>
      </c>
      <c r="E5131" t="s">
        <v>626</v>
      </c>
      <c r="F5131" t="s">
        <v>88</v>
      </c>
      <c r="G5131" t="s">
        <v>88</v>
      </c>
      <c r="H5131" t="s">
        <v>92</v>
      </c>
    </row>
    <row r="5132" spans="1:8" x14ac:dyDescent="0.25">
      <c r="A5132" t="s">
        <v>238</v>
      </c>
      <c r="B5132" t="s">
        <v>693</v>
      </c>
      <c r="C5132" t="s">
        <v>88</v>
      </c>
      <c r="D5132" t="s">
        <v>88</v>
      </c>
      <c r="E5132" t="s">
        <v>2864</v>
      </c>
      <c r="F5132" t="s">
        <v>88</v>
      </c>
      <c r="G5132" t="s">
        <v>88</v>
      </c>
      <c r="H5132" t="s">
        <v>92</v>
      </c>
    </row>
    <row r="5133" spans="1:8" x14ac:dyDescent="0.25">
      <c r="A5133" t="s">
        <v>238</v>
      </c>
      <c r="B5133" t="s">
        <v>695</v>
      </c>
      <c r="C5133" t="s">
        <v>88</v>
      </c>
      <c r="D5133" t="s">
        <v>88</v>
      </c>
      <c r="E5133" t="s">
        <v>2864</v>
      </c>
      <c r="F5133" t="s">
        <v>88</v>
      </c>
      <c r="G5133" t="s">
        <v>88</v>
      </c>
      <c r="H5133" t="s">
        <v>92</v>
      </c>
    </row>
    <row r="5134" spans="1:8" x14ac:dyDescent="0.25">
      <c r="A5134" t="s">
        <v>238</v>
      </c>
      <c r="B5134" t="s">
        <v>696</v>
      </c>
      <c r="C5134" t="s">
        <v>88</v>
      </c>
      <c r="D5134" t="s">
        <v>4805</v>
      </c>
      <c r="E5134" t="s">
        <v>2119</v>
      </c>
      <c r="F5134" t="s">
        <v>88</v>
      </c>
      <c r="G5134" t="s">
        <v>88</v>
      </c>
      <c r="H5134" t="s">
        <v>92</v>
      </c>
    </row>
    <row r="5135" spans="1:8" x14ac:dyDescent="0.25">
      <c r="A5135" t="s">
        <v>238</v>
      </c>
      <c r="B5135" t="s">
        <v>3343</v>
      </c>
      <c r="C5135" t="s">
        <v>88</v>
      </c>
      <c r="D5135" t="s">
        <v>88</v>
      </c>
      <c r="E5135" t="s">
        <v>649</v>
      </c>
      <c r="F5135" t="s">
        <v>88</v>
      </c>
      <c r="G5135" t="s">
        <v>88</v>
      </c>
      <c r="H5135" t="s">
        <v>92</v>
      </c>
    </row>
    <row r="5136" spans="1:8" x14ac:dyDescent="0.25">
      <c r="A5136" t="s">
        <v>238</v>
      </c>
      <c r="B5136" t="s">
        <v>1276</v>
      </c>
      <c r="C5136" t="s">
        <v>88</v>
      </c>
      <c r="D5136" t="s">
        <v>4806</v>
      </c>
      <c r="E5136" t="s">
        <v>2130</v>
      </c>
      <c r="F5136" t="s">
        <v>88</v>
      </c>
      <c r="G5136" t="s">
        <v>88</v>
      </c>
      <c r="H5136" t="s">
        <v>92</v>
      </c>
    </row>
    <row r="5137" spans="1:8" x14ac:dyDescent="0.25">
      <c r="A5137" t="s">
        <v>238</v>
      </c>
      <c r="B5137" t="s">
        <v>4807</v>
      </c>
      <c r="C5137" t="s">
        <v>88</v>
      </c>
      <c r="D5137" t="s">
        <v>699</v>
      </c>
      <c r="E5137" t="s">
        <v>607</v>
      </c>
      <c r="F5137" t="s">
        <v>88</v>
      </c>
      <c r="G5137" t="s">
        <v>88</v>
      </c>
      <c r="H5137" t="s">
        <v>92</v>
      </c>
    </row>
    <row r="5138" spans="1:8" x14ac:dyDescent="0.25">
      <c r="A5138" t="s">
        <v>238</v>
      </c>
      <c r="B5138" t="s">
        <v>1840</v>
      </c>
      <c r="C5138" t="s">
        <v>88</v>
      </c>
      <c r="D5138" t="s">
        <v>4808</v>
      </c>
      <c r="E5138" t="s">
        <v>649</v>
      </c>
      <c r="F5138" t="s">
        <v>88</v>
      </c>
      <c r="G5138" t="s">
        <v>88</v>
      </c>
      <c r="H5138" t="s">
        <v>92</v>
      </c>
    </row>
    <row r="5139" spans="1:8" x14ac:dyDescent="0.25">
      <c r="A5139" t="s">
        <v>238</v>
      </c>
      <c r="B5139" t="s">
        <v>594</v>
      </c>
      <c r="C5139" t="s">
        <v>88</v>
      </c>
      <c r="D5139" t="s">
        <v>4809</v>
      </c>
      <c r="E5139" t="s">
        <v>2087</v>
      </c>
      <c r="F5139" t="s">
        <v>88</v>
      </c>
      <c r="G5139" t="s">
        <v>88</v>
      </c>
      <c r="H5139" t="s">
        <v>92</v>
      </c>
    </row>
    <row r="5140" spans="1:8" x14ac:dyDescent="0.25">
      <c r="A5140" t="s">
        <v>238</v>
      </c>
      <c r="B5140" t="s">
        <v>603</v>
      </c>
      <c r="C5140" t="s">
        <v>88</v>
      </c>
      <c r="D5140" t="s">
        <v>4810</v>
      </c>
      <c r="E5140" t="s">
        <v>2082</v>
      </c>
      <c r="F5140" t="s">
        <v>88</v>
      </c>
      <c r="G5140" t="s">
        <v>88</v>
      </c>
      <c r="H5140" t="s">
        <v>92</v>
      </c>
    </row>
    <row r="5141" spans="1:8" x14ac:dyDescent="0.25">
      <c r="A5141" t="s">
        <v>238</v>
      </c>
      <c r="B5141" t="s">
        <v>4811</v>
      </c>
      <c r="C5141" t="s">
        <v>88</v>
      </c>
      <c r="D5141" t="s">
        <v>4812</v>
      </c>
      <c r="E5141" t="s">
        <v>2108</v>
      </c>
      <c r="F5141" t="s">
        <v>88</v>
      </c>
      <c r="G5141" t="s">
        <v>88</v>
      </c>
      <c r="H5141" t="s">
        <v>92</v>
      </c>
    </row>
    <row r="5142" spans="1:8" x14ac:dyDescent="0.25">
      <c r="A5142" t="s">
        <v>238</v>
      </c>
      <c r="B5142" t="s">
        <v>4813</v>
      </c>
      <c r="C5142" t="s">
        <v>88</v>
      </c>
      <c r="D5142" t="s">
        <v>4814</v>
      </c>
      <c r="E5142" t="s">
        <v>2649</v>
      </c>
      <c r="F5142" t="s">
        <v>88</v>
      </c>
      <c r="G5142" t="s">
        <v>88</v>
      </c>
      <c r="H5142" t="s">
        <v>92</v>
      </c>
    </row>
    <row r="5143" spans="1:8" x14ac:dyDescent="0.25">
      <c r="A5143" t="s">
        <v>238</v>
      </c>
      <c r="B5143" t="s">
        <v>2083</v>
      </c>
      <c r="C5143" t="s">
        <v>88</v>
      </c>
      <c r="D5143" t="s">
        <v>4815</v>
      </c>
      <c r="E5143" t="s">
        <v>2564</v>
      </c>
      <c r="F5143" t="s">
        <v>88</v>
      </c>
      <c r="G5143" t="s">
        <v>88</v>
      </c>
      <c r="H5143" t="s">
        <v>92</v>
      </c>
    </row>
    <row r="5144" spans="1:8" x14ac:dyDescent="0.25">
      <c r="A5144" t="s">
        <v>238</v>
      </c>
      <c r="B5144" t="s">
        <v>583</v>
      </c>
      <c r="C5144" t="s">
        <v>88</v>
      </c>
      <c r="D5144" t="s">
        <v>4816</v>
      </c>
      <c r="E5144" t="s">
        <v>647</v>
      </c>
      <c r="F5144" t="s">
        <v>88</v>
      </c>
      <c r="G5144" t="s">
        <v>88</v>
      </c>
      <c r="H5144" t="s">
        <v>92</v>
      </c>
    </row>
    <row r="5145" spans="1:8" x14ac:dyDescent="0.25">
      <c r="A5145" t="s">
        <v>238</v>
      </c>
      <c r="B5145" t="s">
        <v>789</v>
      </c>
      <c r="C5145" t="s">
        <v>88</v>
      </c>
      <c r="D5145" t="s">
        <v>4817</v>
      </c>
      <c r="E5145" t="s">
        <v>650</v>
      </c>
      <c r="F5145" t="s">
        <v>88</v>
      </c>
      <c r="G5145" t="s">
        <v>88</v>
      </c>
      <c r="H5145" t="s">
        <v>92</v>
      </c>
    </row>
    <row r="5146" spans="1:8" x14ac:dyDescent="0.25">
      <c r="A5146" t="s">
        <v>238</v>
      </c>
      <c r="B5146" t="s">
        <v>4818</v>
      </c>
      <c r="C5146" t="s">
        <v>88</v>
      </c>
      <c r="D5146" t="s">
        <v>4817</v>
      </c>
      <c r="E5146" t="s">
        <v>613</v>
      </c>
      <c r="F5146" t="s">
        <v>88</v>
      </c>
      <c r="G5146" t="s">
        <v>88</v>
      </c>
      <c r="H5146" t="s">
        <v>92</v>
      </c>
    </row>
    <row r="5147" spans="1:8" x14ac:dyDescent="0.25">
      <c r="A5147" t="s">
        <v>238</v>
      </c>
      <c r="B5147" t="s">
        <v>1019</v>
      </c>
      <c r="C5147" t="s">
        <v>88</v>
      </c>
      <c r="D5147" t="s">
        <v>4819</v>
      </c>
      <c r="E5147" t="s">
        <v>611</v>
      </c>
      <c r="F5147" t="s">
        <v>88</v>
      </c>
      <c r="G5147" t="s">
        <v>88</v>
      </c>
      <c r="H5147" t="s">
        <v>92</v>
      </c>
    </row>
    <row r="5148" spans="1:8" x14ac:dyDescent="0.25">
      <c r="A5148" t="s">
        <v>238</v>
      </c>
      <c r="B5148" t="s">
        <v>816</v>
      </c>
      <c r="C5148" t="s">
        <v>88</v>
      </c>
      <c r="D5148" t="s">
        <v>4819</v>
      </c>
      <c r="E5148" t="s">
        <v>609</v>
      </c>
      <c r="F5148" t="s">
        <v>88</v>
      </c>
      <c r="G5148" t="s">
        <v>88</v>
      </c>
      <c r="H5148" t="s">
        <v>92</v>
      </c>
    </row>
    <row r="5149" spans="1:8" x14ac:dyDescent="0.25">
      <c r="A5149" t="s">
        <v>238</v>
      </c>
      <c r="B5149" t="s">
        <v>823</v>
      </c>
      <c r="C5149" t="s">
        <v>88</v>
      </c>
      <c r="D5149" t="s">
        <v>4819</v>
      </c>
      <c r="E5149" t="s">
        <v>638</v>
      </c>
      <c r="F5149" t="s">
        <v>88</v>
      </c>
      <c r="G5149" t="s">
        <v>88</v>
      </c>
      <c r="H5149" t="s">
        <v>92</v>
      </c>
    </row>
    <row r="5150" spans="1:8" x14ac:dyDescent="0.25">
      <c r="A5150" t="s">
        <v>238</v>
      </c>
      <c r="B5150" t="s">
        <v>4820</v>
      </c>
      <c r="C5150" t="s">
        <v>88</v>
      </c>
      <c r="D5150" t="s">
        <v>4821</v>
      </c>
      <c r="E5150" t="s">
        <v>2649</v>
      </c>
      <c r="F5150" t="s">
        <v>88</v>
      </c>
      <c r="G5150" t="s">
        <v>88</v>
      </c>
      <c r="H5150" t="s">
        <v>92</v>
      </c>
    </row>
    <row r="5151" spans="1:8" x14ac:dyDescent="0.25">
      <c r="A5151" t="s">
        <v>238</v>
      </c>
      <c r="B5151" t="s">
        <v>2121</v>
      </c>
      <c r="C5151" t="s">
        <v>88</v>
      </c>
      <c r="D5151" t="s">
        <v>88</v>
      </c>
      <c r="E5151" t="s">
        <v>607</v>
      </c>
      <c r="F5151" t="s">
        <v>88</v>
      </c>
      <c r="G5151" t="s">
        <v>88</v>
      </c>
      <c r="H5151" t="s">
        <v>92</v>
      </c>
    </row>
    <row r="5152" spans="1:8" x14ac:dyDescent="0.25">
      <c r="A5152" t="s">
        <v>238</v>
      </c>
      <c r="B5152" t="s">
        <v>1322</v>
      </c>
      <c r="C5152" t="s">
        <v>88</v>
      </c>
      <c r="D5152" t="s">
        <v>88</v>
      </c>
      <c r="E5152" t="s">
        <v>648</v>
      </c>
      <c r="F5152" t="s">
        <v>88</v>
      </c>
      <c r="G5152" t="s">
        <v>88</v>
      </c>
      <c r="H5152" t="s">
        <v>92</v>
      </c>
    </row>
    <row r="5153" spans="1:8" x14ac:dyDescent="0.25">
      <c r="A5153" t="s">
        <v>238</v>
      </c>
      <c r="B5153" t="s">
        <v>2120</v>
      </c>
      <c r="C5153" t="s">
        <v>88</v>
      </c>
      <c r="D5153" t="s">
        <v>88</v>
      </c>
      <c r="E5153" t="s">
        <v>613</v>
      </c>
      <c r="F5153" t="s">
        <v>88</v>
      </c>
      <c r="G5153" t="s">
        <v>88</v>
      </c>
      <c r="H5153" t="s">
        <v>92</v>
      </c>
    </row>
    <row r="5154" spans="1:8" x14ac:dyDescent="0.25">
      <c r="A5154" t="s">
        <v>238</v>
      </c>
      <c r="B5154" t="s">
        <v>612</v>
      </c>
      <c r="C5154" t="s">
        <v>88</v>
      </c>
      <c r="D5154" t="s">
        <v>88</v>
      </c>
      <c r="E5154" t="s">
        <v>734</v>
      </c>
      <c r="F5154" t="s">
        <v>88</v>
      </c>
      <c r="G5154" t="s">
        <v>88</v>
      </c>
      <c r="H5154" t="s">
        <v>92</v>
      </c>
    </row>
    <row r="5155" spans="1:8" x14ac:dyDescent="0.25">
      <c r="A5155" t="s">
        <v>238</v>
      </c>
      <c r="B5155" t="s">
        <v>614</v>
      </c>
      <c r="C5155" t="s">
        <v>88</v>
      </c>
      <c r="D5155" t="s">
        <v>88</v>
      </c>
      <c r="E5155" t="s">
        <v>957</v>
      </c>
      <c r="F5155" t="s">
        <v>88</v>
      </c>
      <c r="G5155" t="s">
        <v>88</v>
      </c>
      <c r="H5155" t="s">
        <v>92</v>
      </c>
    </row>
    <row r="5156" spans="1:8" x14ac:dyDescent="0.25">
      <c r="A5156" t="s">
        <v>238</v>
      </c>
      <c r="B5156" t="s">
        <v>615</v>
      </c>
      <c r="C5156" t="s">
        <v>88</v>
      </c>
      <c r="D5156" t="s">
        <v>88</v>
      </c>
      <c r="E5156" t="s">
        <v>957</v>
      </c>
      <c r="F5156" t="s">
        <v>88</v>
      </c>
      <c r="G5156" t="s">
        <v>88</v>
      </c>
      <c r="H5156" t="s">
        <v>92</v>
      </c>
    </row>
    <row r="5157" spans="1:8" x14ac:dyDescent="0.25">
      <c r="A5157" t="s">
        <v>238</v>
      </c>
      <c r="B5157" t="s">
        <v>617</v>
      </c>
      <c r="C5157" t="s">
        <v>88</v>
      </c>
      <c r="D5157" t="s">
        <v>88</v>
      </c>
      <c r="E5157" t="s">
        <v>957</v>
      </c>
      <c r="F5157" t="s">
        <v>88</v>
      </c>
      <c r="G5157" t="s">
        <v>88</v>
      </c>
      <c r="H5157" t="s">
        <v>92</v>
      </c>
    </row>
    <row r="5158" spans="1:8" x14ac:dyDescent="0.25">
      <c r="A5158" t="s">
        <v>238</v>
      </c>
      <c r="B5158" t="s">
        <v>733</v>
      </c>
      <c r="C5158" t="s">
        <v>88</v>
      </c>
      <c r="D5158" t="s">
        <v>88</v>
      </c>
      <c r="E5158" t="s">
        <v>957</v>
      </c>
      <c r="F5158" t="s">
        <v>88</v>
      </c>
      <c r="G5158" t="s">
        <v>88</v>
      </c>
      <c r="H5158" t="s">
        <v>92</v>
      </c>
    </row>
    <row r="5159" spans="1:8" x14ac:dyDescent="0.25">
      <c r="A5159" t="s">
        <v>238</v>
      </c>
      <c r="B5159" t="s">
        <v>618</v>
      </c>
      <c r="C5159" t="s">
        <v>88</v>
      </c>
      <c r="D5159" t="s">
        <v>88</v>
      </c>
      <c r="E5159" t="s">
        <v>710</v>
      </c>
      <c r="F5159" t="s">
        <v>88</v>
      </c>
      <c r="G5159" t="s">
        <v>88</v>
      </c>
      <c r="H5159" t="s">
        <v>92</v>
      </c>
    </row>
    <row r="5160" spans="1:8" x14ac:dyDescent="0.25">
      <c r="A5160" t="s">
        <v>238</v>
      </c>
      <c r="B5160" t="s">
        <v>795</v>
      </c>
      <c r="C5160" t="s">
        <v>88</v>
      </c>
      <c r="D5160" t="s">
        <v>88</v>
      </c>
      <c r="E5160" t="s">
        <v>711</v>
      </c>
      <c r="F5160" t="s">
        <v>88</v>
      </c>
      <c r="G5160" t="s">
        <v>88</v>
      </c>
      <c r="H5160" t="s">
        <v>92</v>
      </c>
    </row>
    <row r="5161" spans="1:8" x14ac:dyDescent="0.25">
      <c r="A5161" t="s">
        <v>238</v>
      </c>
      <c r="B5161" t="s">
        <v>623</v>
      </c>
      <c r="C5161" t="s">
        <v>88</v>
      </c>
      <c r="D5161" t="s">
        <v>88</v>
      </c>
      <c r="E5161" t="s">
        <v>735</v>
      </c>
      <c r="F5161" t="s">
        <v>88</v>
      </c>
      <c r="G5161" t="s">
        <v>88</v>
      </c>
      <c r="H5161" t="s">
        <v>92</v>
      </c>
    </row>
    <row r="5162" spans="1:8" x14ac:dyDescent="0.25">
      <c r="A5162" t="s">
        <v>238</v>
      </c>
      <c r="B5162" t="s">
        <v>625</v>
      </c>
      <c r="C5162" t="s">
        <v>88</v>
      </c>
      <c r="D5162" t="s">
        <v>88</v>
      </c>
      <c r="E5162" t="s">
        <v>626</v>
      </c>
      <c r="F5162" t="s">
        <v>88</v>
      </c>
      <c r="G5162" t="s">
        <v>88</v>
      </c>
      <c r="H5162" t="s">
        <v>92</v>
      </c>
    </row>
    <row r="5163" spans="1:8" x14ac:dyDescent="0.25">
      <c r="A5163" t="s">
        <v>239</v>
      </c>
      <c r="B5163" t="s">
        <v>4822</v>
      </c>
      <c r="C5163" t="s">
        <v>88</v>
      </c>
      <c r="D5163" t="s">
        <v>88</v>
      </c>
      <c r="E5163" t="s">
        <v>713</v>
      </c>
      <c r="F5163" t="s">
        <v>88</v>
      </c>
      <c r="G5163" t="s">
        <v>88</v>
      </c>
      <c r="H5163" t="s">
        <v>92</v>
      </c>
    </row>
    <row r="5164" spans="1:8" x14ac:dyDescent="0.25">
      <c r="A5164" t="s">
        <v>239</v>
      </c>
      <c r="B5164" t="s">
        <v>4823</v>
      </c>
      <c r="C5164" t="s">
        <v>88</v>
      </c>
      <c r="D5164" t="s">
        <v>4824</v>
      </c>
      <c r="E5164" t="s">
        <v>723</v>
      </c>
      <c r="F5164" t="s">
        <v>88</v>
      </c>
      <c r="G5164" t="s">
        <v>88</v>
      </c>
      <c r="H5164" t="s">
        <v>92</v>
      </c>
    </row>
    <row r="5165" spans="1:8" x14ac:dyDescent="0.25">
      <c r="A5165" t="s">
        <v>239</v>
      </c>
      <c r="B5165" t="s">
        <v>4400</v>
      </c>
      <c r="C5165" t="s">
        <v>88</v>
      </c>
      <c r="D5165" t="s">
        <v>88</v>
      </c>
      <c r="E5165" t="s">
        <v>711</v>
      </c>
      <c r="F5165" t="s">
        <v>88</v>
      </c>
      <c r="G5165" t="s">
        <v>88</v>
      </c>
      <c r="H5165" t="s">
        <v>92</v>
      </c>
    </row>
    <row r="5166" spans="1:8" x14ac:dyDescent="0.25">
      <c r="A5166" t="s">
        <v>239</v>
      </c>
      <c r="B5166" t="s">
        <v>4825</v>
      </c>
      <c r="C5166" t="s">
        <v>88</v>
      </c>
      <c r="D5166" t="s">
        <v>4826</v>
      </c>
      <c r="E5166" t="s">
        <v>723</v>
      </c>
      <c r="F5166" t="s">
        <v>88</v>
      </c>
      <c r="G5166" t="s">
        <v>88</v>
      </c>
      <c r="H5166" t="s">
        <v>92</v>
      </c>
    </row>
    <row r="5167" spans="1:8" x14ac:dyDescent="0.25">
      <c r="A5167" t="s">
        <v>239</v>
      </c>
      <c r="B5167" t="s">
        <v>2177</v>
      </c>
      <c r="C5167" t="s">
        <v>88</v>
      </c>
      <c r="D5167" t="s">
        <v>4824</v>
      </c>
      <c r="E5167" t="s">
        <v>738</v>
      </c>
      <c r="F5167" t="s">
        <v>88</v>
      </c>
      <c r="G5167" t="s">
        <v>88</v>
      </c>
      <c r="H5167" t="s">
        <v>92</v>
      </c>
    </row>
    <row r="5168" spans="1:8" x14ac:dyDescent="0.25">
      <c r="A5168" t="s">
        <v>239</v>
      </c>
      <c r="B5168" t="s">
        <v>4827</v>
      </c>
      <c r="C5168" t="s">
        <v>88</v>
      </c>
      <c r="D5168" t="s">
        <v>4828</v>
      </c>
      <c r="E5168" t="s">
        <v>886</v>
      </c>
      <c r="F5168" t="s">
        <v>88</v>
      </c>
      <c r="G5168" t="s">
        <v>88</v>
      </c>
      <c r="H5168" t="s">
        <v>92</v>
      </c>
    </row>
    <row r="5169" spans="1:8" x14ac:dyDescent="0.25">
      <c r="A5169" t="s">
        <v>239</v>
      </c>
      <c r="B5169" t="s">
        <v>4825</v>
      </c>
      <c r="C5169" t="s">
        <v>88</v>
      </c>
      <c r="D5169" t="s">
        <v>4826</v>
      </c>
      <c r="E5169" t="s">
        <v>723</v>
      </c>
      <c r="F5169" t="s">
        <v>88</v>
      </c>
      <c r="G5169" t="s">
        <v>88</v>
      </c>
      <c r="H5169" t="s">
        <v>92</v>
      </c>
    </row>
    <row r="5170" spans="1:8" x14ac:dyDescent="0.25">
      <c r="A5170" t="s">
        <v>239</v>
      </c>
      <c r="B5170" t="s">
        <v>4829</v>
      </c>
      <c r="C5170" t="s">
        <v>88</v>
      </c>
      <c r="D5170" t="s">
        <v>4830</v>
      </c>
      <c r="E5170" t="s">
        <v>959</v>
      </c>
      <c r="F5170" t="s">
        <v>88</v>
      </c>
      <c r="G5170" t="s">
        <v>88</v>
      </c>
      <c r="H5170" t="s">
        <v>92</v>
      </c>
    </row>
    <row r="5171" spans="1:8" x14ac:dyDescent="0.25">
      <c r="A5171" t="s">
        <v>239</v>
      </c>
      <c r="B5171" t="s">
        <v>4831</v>
      </c>
      <c r="C5171" t="s">
        <v>88</v>
      </c>
      <c r="D5171" t="s">
        <v>4832</v>
      </c>
      <c r="E5171" t="s">
        <v>655</v>
      </c>
      <c r="F5171" t="s">
        <v>88</v>
      </c>
      <c r="G5171" t="s">
        <v>88</v>
      </c>
      <c r="H5171" t="s">
        <v>92</v>
      </c>
    </row>
    <row r="5172" spans="1:8" x14ac:dyDescent="0.25">
      <c r="A5172" t="s">
        <v>239</v>
      </c>
      <c r="B5172" t="s">
        <v>4833</v>
      </c>
      <c r="C5172" t="s">
        <v>88</v>
      </c>
      <c r="D5172" t="s">
        <v>4834</v>
      </c>
      <c r="E5172" t="s">
        <v>655</v>
      </c>
      <c r="F5172" t="s">
        <v>88</v>
      </c>
      <c r="G5172" t="s">
        <v>88</v>
      </c>
      <c r="H5172" t="s">
        <v>92</v>
      </c>
    </row>
    <row r="5173" spans="1:8" x14ac:dyDescent="0.25">
      <c r="A5173" t="s">
        <v>239</v>
      </c>
      <c r="B5173" t="s">
        <v>4835</v>
      </c>
      <c r="C5173" t="s">
        <v>88</v>
      </c>
      <c r="D5173" t="s">
        <v>4836</v>
      </c>
      <c r="E5173" t="s">
        <v>812</v>
      </c>
      <c r="F5173" t="s">
        <v>88</v>
      </c>
      <c r="G5173" t="s">
        <v>88</v>
      </c>
      <c r="H5173" t="s">
        <v>92</v>
      </c>
    </row>
    <row r="5174" spans="1:8" x14ac:dyDescent="0.25">
      <c r="A5174" t="s">
        <v>239</v>
      </c>
      <c r="B5174" t="s">
        <v>4837</v>
      </c>
      <c r="C5174" t="s">
        <v>88</v>
      </c>
      <c r="D5174" t="s">
        <v>4838</v>
      </c>
      <c r="E5174" t="s">
        <v>655</v>
      </c>
      <c r="F5174" t="s">
        <v>88</v>
      </c>
      <c r="G5174" t="s">
        <v>88</v>
      </c>
      <c r="H5174" t="s">
        <v>92</v>
      </c>
    </row>
    <row r="5175" spans="1:8" x14ac:dyDescent="0.25">
      <c r="A5175" t="s">
        <v>239</v>
      </c>
      <c r="B5175" t="s">
        <v>4839</v>
      </c>
      <c r="C5175" t="s">
        <v>88</v>
      </c>
      <c r="D5175" t="s">
        <v>4840</v>
      </c>
      <c r="E5175" t="s">
        <v>844</v>
      </c>
      <c r="F5175" t="s">
        <v>88</v>
      </c>
      <c r="G5175" t="s">
        <v>88</v>
      </c>
      <c r="H5175" t="s">
        <v>92</v>
      </c>
    </row>
    <row r="5176" spans="1:8" x14ac:dyDescent="0.25">
      <c r="A5176" t="s">
        <v>239</v>
      </c>
      <c r="B5176" t="s">
        <v>4841</v>
      </c>
      <c r="C5176" t="s">
        <v>88</v>
      </c>
      <c r="D5176" t="s">
        <v>4842</v>
      </c>
      <c r="E5176" t="s">
        <v>676</v>
      </c>
      <c r="F5176" t="s">
        <v>88</v>
      </c>
      <c r="G5176" t="s">
        <v>88</v>
      </c>
      <c r="H5176" t="s">
        <v>92</v>
      </c>
    </row>
    <row r="5177" spans="1:8" x14ac:dyDescent="0.25">
      <c r="A5177" t="s">
        <v>239</v>
      </c>
      <c r="B5177" t="s">
        <v>4843</v>
      </c>
      <c r="C5177" t="s">
        <v>88</v>
      </c>
      <c r="D5177" t="s">
        <v>4844</v>
      </c>
      <c r="E5177" t="s">
        <v>844</v>
      </c>
      <c r="F5177" t="s">
        <v>88</v>
      </c>
      <c r="G5177" t="s">
        <v>88</v>
      </c>
      <c r="H5177" t="s">
        <v>92</v>
      </c>
    </row>
    <row r="5178" spans="1:8" x14ac:dyDescent="0.25">
      <c r="A5178" t="s">
        <v>239</v>
      </c>
      <c r="B5178" t="s">
        <v>4845</v>
      </c>
      <c r="C5178" t="s">
        <v>88</v>
      </c>
      <c r="D5178" t="s">
        <v>4846</v>
      </c>
      <c r="E5178" t="s">
        <v>692</v>
      </c>
      <c r="F5178" t="s">
        <v>88</v>
      </c>
      <c r="G5178" t="s">
        <v>88</v>
      </c>
      <c r="H5178" t="s">
        <v>92</v>
      </c>
    </row>
    <row r="5179" spans="1:8" x14ac:dyDescent="0.25">
      <c r="A5179" t="s">
        <v>239</v>
      </c>
      <c r="B5179" t="s">
        <v>4696</v>
      </c>
      <c r="C5179" t="s">
        <v>88</v>
      </c>
      <c r="D5179" t="s">
        <v>4847</v>
      </c>
      <c r="E5179" t="s">
        <v>676</v>
      </c>
      <c r="F5179" t="s">
        <v>88</v>
      </c>
      <c r="G5179" t="s">
        <v>88</v>
      </c>
      <c r="H5179" t="s">
        <v>92</v>
      </c>
    </row>
    <row r="5180" spans="1:8" x14ac:dyDescent="0.25">
      <c r="A5180" t="s">
        <v>239</v>
      </c>
      <c r="B5180" t="s">
        <v>4720</v>
      </c>
      <c r="C5180" t="s">
        <v>88</v>
      </c>
      <c r="D5180" t="s">
        <v>4848</v>
      </c>
      <c r="E5180" t="s">
        <v>700</v>
      </c>
      <c r="F5180" t="s">
        <v>88</v>
      </c>
      <c r="G5180" t="s">
        <v>88</v>
      </c>
      <c r="H5180" t="s">
        <v>92</v>
      </c>
    </row>
    <row r="5181" spans="1:8" x14ac:dyDescent="0.25">
      <c r="A5181" t="s">
        <v>239</v>
      </c>
      <c r="B5181" t="s">
        <v>4769</v>
      </c>
      <c r="C5181" t="s">
        <v>88</v>
      </c>
      <c r="D5181" t="s">
        <v>4849</v>
      </c>
      <c r="E5181" t="s">
        <v>655</v>
      </c>
      <c r="F5181" t="s">
        <v>88</v>
      </c>
      <c r="G5181" t="s">
        <v>88</v>
      </c>
      <c r="H5181" t="s">
        <v>92</v>
      </c>
    </row>
    <row r="5182" spans="1:8" x14ac:dyDescent="0.25">
      <c r="A5182" t="s">
        <v>239</v>
      </c>
      <c r="B5182" t="s">
        <v>4850</v>
      </c>
      <c r="C5182" t="s">
        <v>88</v>
      </c>
      <c r="D5182" t="s">
        <v>4851</v>
      </c>
      <c r="E5182" t="s">
        <v>844</v>
      </c>
      <c r="F5182" t="s">
        <v>88</v>
      </c>
      <c r="G5182" t="s">
        <v>88</v>
      </c>
      <c r="H5182" t="s">
        <v>92</v>
      </c>
    </row>
    <row r="5183" spans="1:8" x14ac:dyDescent="0.25">
      <c r="A5183" t="s">
        <v>239</v>
      </c>
      <c r="B5183" t="s">
        <v>4852</v>
      </c>
      <c r="C5183" t="s">
        <v>88</v>
      </c>
      <c r="D5183" t="s">
        <v>4853</v>
      </c>
      <c r="E5183" t="s">
        <v>676</v>
      </c>
      <c r="F5183" t="s">
        <v>88</v>
      </c>
      <c r="G5183" t="s">
        <v>88</v>
      </c>
      <c r="H5183" t="s">
        <v>92</v>
      </c>
    </row>
    <row r="5184" spans="1:8" x14ac:dyDescent="0.25">
      <c r="A5184" t="s">
        <v>239</v>
      </c>
      <c r="B5184" t="s">
        <v>4854</v>
      </c>
      <c r="C5184" t="s">
        <v>88</v>
      </c>
      <c r="D5184" t="s">
        <v>4855</v>
      </c>
      <c r="E5184" t="s">
        <v>679</v>
      </c>
      <c r="F5184" t="s">
        <v>88</v>
      </c>
      <c r="G5184" t="s">
        <v>88</v>
      </c>
      <c r="H5184" t="s">
        <v>92</v>
      </c>
    </row>
    <row r="5185" spans="1:8" x14ac:dyDescent="0.25">
      <c r="A5185" t="s">
        <v>239</v>
      </c>
      <c r="B5185" t="s">
        <v>4856</v>
      </c>
      <c r="C5185" t="s">
        <v>88</v>
      </c>
      <c r="D5185" t="s">
        <v>4857</v>
      </c>
      <c r="E5185" t="s">
        <v>655</v>
      </c>
      <c r="F5185" t="s">
        <v>88</v>
      </c>
      <c r="G5185" t="s">
        <v>88</v>
      </c>
      <c r="H5185" t="s">
        <v>92</v>
      </c>
    </row>
    <row r="5186" spans="1:8" x14ac:dyDescent="0.25">
      <c r="A5186" t="s">
        <v>239</v>
      </c>
      <c r="B5186" t="s">
        <v>4858</v>
      </c>
      <c r="C5186" t="s">
        <v>88</v>
      </c>
      <c r="D5186" t="s">
        <v>4859</v>
      </c>
      <c r="E5186" t="s">
        <v>692</v>
      </c>
      <c r="F5186" t="s">
        <v>88</v>
      </c>
      <c r="G5186" t="s">
        <v>88</v>
      </c>
      <c r="H5186" t="s">
        <v>92</v>
      </c>
    </row>
    <row r="5187" spans="1:8" x14ac:dyDescent="0.25">
      <c r="A5187" t="s">
        <v>239</v>
      </c>
      <c r="B5187" t="s">
        <v>4860</v>
      </c>
      <c r="C5187" t="s">
        <v>88</v>
      </c>
      <c r="D5187" t="s">
        <v>4861</v>
      </c>
      <c r="E5187" t="s">
        <v>723</v>
      </c>
      <c r="F5187" t="s">
        <v>88</v>
      </c>
      <c r="G5187" t="s">
        <v>88</v>
      </c>
      <c r="H5187" t="s">
        <v>92</v>
      </c>
    </row>
    <row r="5188" spans="1:8" x14ac:dyDescent="0.25">
      <c r="A5188" t="s">
        <v>239</v>
      </c>
      <c r="B5188" t="s">
        <v>4862</v>
      </c>
      <c r="C5188" t="s">
        <v>88</v>
      </c>
      <c r="D5188" t="s">
        <v>4863</v>
      </c>
      <c r="E5188" t="s">
        <v>673</v>
      </c>
      <c r="F5188" t="s">
        <v>88</v>
      </c>
      <c r="G5188" t="s">
        <v>88</v>
      </c>
      <c r="H5188" t="s">
        <v>92</v>
      </c>
    </row>
    <row r="5189" spans="1:8" x14ac:dyDescent="0.25">
      <c r="A5189" t="s">
        <v>239</v>
      </c>
      <c r="B5189" t="s">
        <v>4864</v>
      </c>
      <c r="C5189" t="s">
        <v>88</v>
      </c>
      <c r="D5189" t="s">
        <v>4865</v>
      </c>
      <c r="E5189" t="s">
        <v>663</v>
      </c>
      <c r="F5189" t="s">
        <v>88</v>
      </c>
      <c r="G5189" t="s">
        <v>88</v>
      </c>
      <c r="H5189" t="s">
        <v>92</v>
      </c>
    </row>
    <row r="5190" spans="1:8" x14ac:dyDescent="0.25">
      <c r="A5190" t="s">
        <v>239</v>
      </c>
      <c r="B5190" t="s">
        <v>4866</v>
      </c>
      <c r="C5190" t="s">
        <v>88</v>
      </c>
      <c r="D5190" t="s">
        <v>4867</v>
      </c>
      <c r="E5190" t="s">
        <v>655</v>
      </c>
      <c r="F5190" t="s">
        <v>88</v>
      </c>
      <c r="G5190" t="s">
        <v>88</v>
      </c>
      <c r="H5190" t="s">
        <v>92</v>
      </c>
    </row>
    <row r="5191" spans="1:8" x14ac:dyDescent="0.25">
      <c r="A5191" t="s">
        <v>239</v>
      </c>
      <c r="B5191" t="s">
        <v>2381</v>
      </c>
      <c r="C5191" t="s">
        <v>88</v>
      </c>
      <c r="D5191" t="s">
        <v>4868</v>
      </c>
      <c r="E5191" t="s">
        <v>673</v>
      </c>
      <c r="F5191" t="s">
        <v>88</v>
      </c>
      <c r="G5191" t="s">
        <v>88</v>
      </c>
      <c r="H5191" t="s">
        <v>92</v>
      </c>
    </row>
    <row r="5192" spans="1:8" x14ac:dyDescent="0.25">
      <c r="A5192" t="s">
        <v>239</v>
      </c>
      <c r="B5192" t="s">
        <v>4869</v>
      </c>
      <c r="C5192" t="s">
        <v>88</v>
      </c>
      <c r="D5192" t="s">
        <v>88</v>
      </c>
      <c r="E5192" t="s">
        <v>937</v>
      </c>
      <c r="F5192" t="s">
        <v>88</v>
      </c>
      <c r="G5192" t="s">
        <v>88</v>
      </c>
      <c r="H5192" t="s">
        <v>92</v>
      </c>
    </row>
    <row r="5193" spans="1:8" x14ac:dyDescent="0.25">
      <c r="A5193" t="s">
        <v>239</v>
      </c>
      <c r="B5193" t="s">
        <v>3341</v>
      </c>
      <c r="C5193" t="s">
        <v>88</v>
      </c>
      <c r="D5193" t="s">
        <v>4870</v>
      </c>
      <c r="E5193" t="s">
        <v>937</v>
      </c>
      <c r="F5193" t="s">
        <v>88</v>
      </c>
      <c r="G5193" t="s">
        <v>88</v>
      </c>
      <c r="H5193" t="s">
        <v>92</v>
      </c>
    </row>
    <row r="5194" spans="1:8" x14ac:dyDescent="0.25">
      <c r="A5194" t="s">
        <v>239</v>
      </c>
      <c r="B5194" t="s">
        <v>4400</v>
      </c>
      <c r="C5194" t="s">
        <v>88</v>
      </c>
      <c r="D5194" t="s">
        <v>88</v>
      </c>
      <c r="E5194" t="s">
        <v>711</v>
      </c>
      <c r="F5194" t="s">
        <v>88</v>
      </c>
      <c r="G5194" t="s">
        <v>88</v>
      </c>
      <c r="H5194" t="s">
        <v>92</v>
      </c>
    </row>
    <row r="5195" spans="1:8" x14ac:dyDescent="0.25">
      <c r="A5195" t="s">
        <v>239</v>
      </c>
      <c r="B5195" t="s">
        <v>4871</v>
      </c>
      <c r="C5195" t="s">
        <v>88</v>
      </c>
      <c r="D5195" t="s">
        <v>4872</v>
      </c>
      <c r="E5195" t="s">
        <v>673</v>
      </c>
      <c r="F5195" t="s">
        <v>88</v>
      </c>
      <c r="G5195" t="s">
        <v>88</v>
      </c>
      <c r="H5195" t="s">
        <v>92</v>
      </c>
    </row>
    <row r="5196" spans="1:8" x14ac:dyDescent="0.25">
      <c r="A5196" t="s">
        <v>239</v>
      </c>
      <c r="B5196" t="s">
        <v>4873</v>
      </c>
      <c r="C5196" t="s">
        <v>88</v>
      </c>
      <c r="D5196" t="s">
        <v>4872</v>
      </c>
      <c r="E5196" t="s">
        <v>663</v>
      </c>
      <c r="F5196" t="s">
        <v>88</v>
      </c>
      <c r="G5196" t="s">
        <v>88</v>
      </c>
      <c r="H5196" t="s">
        <v>92</v>
      </c>
    </row>
    <row r="5197" spans="1:8" x14ac:dyDescent="0.25">
      <c r="A5197" t="s">
        <v>239</v>
      </c>
      <c r="B5197" t="s">
        <v>4874</v>
      </c>
      <c r="C5197" t="s">
        <v>88</v>
      </c>
      <c r="D5197" t="s">
        <v>2213</v>
      </c>
      <c r="E5197" t="s">
        <v>780</v>
      </c>
      <c r="F5197" t="s">
        <v>88</v>
      </c>
      <c r="G5197" t="s">
        <v>88</v>
      </c>
      <c r="H5197" t="s">
        <v>92</v>
      </c>
    </row>
    <row r="5198" spans="1:8" x14ac:dyDescent="0.25">
      <c r="A5198" t="s">
        <v>239</v>
      </c>
      <c r="B5198" t="s">
        <v>4875</v>
      </c>
      <c r="C5198" t="s">
        <v>88</v>
      </c>
      <c r="D5198" t="s">
        <v>2213</v>
      </c>
      <c r="E5198" t="s">
        <v>937</v>
      </c>
      <c r="F5198" t="s">
        <v>88</v>
      </c>
      <c r="G5198" t="s">
        <v>88</v>
      </c>
      <c r="H5198" t="s">
        <v>92</v>
      </c>
    </row>
    <row r="5199" spans="1:8" x14ac:dyDescent="0.25">
      <c r="A5199" t="s">
        <v>239</v>
      </c>
      <c r="B5199" t="s">
        <v>2179</v>
      </c>
      <c r="C5199" t="s">
        <v>88</v>
      </c>
      <c r="D5199" t="s">
        <v>4824</v>
      </c>
      <c r="E5199" t="s">
        <v>780</v>
      </c>
      <c r="F5199" t="s">
        <v>88</v>
      </c>
      <c r="G5199" t="s">
        <v>88</v>
      </c>
      <c r="H5199" t="s">
        <v>92</v>
      </c>
    </row>
    <row r="5200" spans="1:8" x14ac:dyDescent="0.25">
      <c r="A5200" t="s">
        <v>239</v>
      </c>
      <c r="B5200" t="s">
        <v>4876</v>
      </c>
      <c r="C5200" t="s">
        <v>88</v>
      </c>
      <c r="D5200" t="s">
        <v>4824</v>
      </c>
      <c r="E5200" t="s">
        <v>723</v>
      </c>
      <c r="F5200" t="s">
        <v>88</v>
      </c>
      <c r="G5200" t="s">
        <v>88</v>
      </c>
      <c r="H5200" t="s">
        <v>92</v>
      </c>
    </row>
    <row r="5201" spans="1:8" x14ac:dyDescent="0.25">
      <c r="A5201" t="s">
        <v>239</v>
      </c>
      <c r="B5201" t="s">
        <v>2180</v>
      </c>
      <c r="C5201" t="s">
        <v>88</v>
      </c>
      <c r="D5201" t="s">
        <v>4824</v>
      </c>
      <c r="E5201" t="s">
        <v>738</v>
      </c>
      <c r="F5201" t="s">
        <v>88</v>
      </c>
      <c r="G5201" t="s">
        <v>88</v>
      </c>
      <c r="H5201" t="s">
        <v>92</v>
      </c>
    </row>
    <row r="5202" spans="1:8" x14ac:dyDescent="0.25">
      <c r="A5202" t="s">
        <v>239</v>
      </c>
      <c r="B5202" t="s">
        <v>2177</v>
      </c>
      <c r="C5202" t="s">
        <v>88</v>
      </c>
      <c r="D5202" t="s">
        <v>4824</v>
      </c>
      <c r="E5202" t="s">
        <v>738</v>
      </c>
      <c r="F5202" t="s">
        <v>88</v>
      </c>
      <c r="G5202" t="s">
        <v>88</v>
      </c>
      <c r="H5202" t="s">
        <v>92</v>
      </c>
    </row>
    <row r="5203" spans="1:8" x14ac:dyDescent="0.25">
      <c r="A5203" t="s">
        <v>239</v>
      </c>
      <c r="B5203" t="s">
        <v>4823</v>
      </c>
      <c r="C5203" t="s">
        <v>88</v>
      </c>
      <c r="D5203" t="s">
        <v>4824</v>
      </c>
      <c r="E5203" t="s">
        <v>723</v>
      </c>
      <c r="F5203" t="s">
        <v>88</v>
      </c>
      <c r="G5203" t="s">
        <v>88</v>
      </c>
      <c r="H5203" t="s">
        <v>92</v>
      </c>
    </row>
    <row r="5204" spans="1:8" x14ac:dyDescent="0.25">
      <c r="A5204" t="s">
        <v>239</v>
      </c>
      <c r="B5204" t="s">
        <v>4877</v>
      </c>
      <c r="C5204" t="s">
        <v>88</v>
      </c>
      <c r="D5204" t="s">
        <v>4824</v>
      </c>
      <c r="E5204" t="s">
        <v>937</v>
      </c>
      <c r="F5204" t="s">
        <v>88</v>
      </c>
      <c r="G5204" t="s">
        <v>88</v>
      </c>
      <c r="H5204" t="s">
        <v>92</v>
      </c>
    </row>
    <row r="5205" spans="1:8" x14ac:dyDescent="0.25">
      <c r="A5205" t="s">
        <v>239</v>
      </c>
      <c r="B5205" t="s">
        <v>4878</v>
      </c>
      <c r="C5205" t="s">
        <v>88</v>
      </c>
      <c r="D5205" t="s">
        <v>4824</v>
      </c>
      <c r="E5205" t="s">
        <v>723</v>
      </c>
      <c r="F5205" t="s">
        <v>88</v>
      </c>
      <c r="G5205" t="s">
        <v>88</v>
      </c>
      <c r="H5205" t="s">
        <v>92</v>
      </c>
    </row>
    <row r="5206" spans="1:8" x14ac:dyDescent="0.25">
      <c r="A5206" t="s">
        <v>239</v>
      </c>
      <c r="B5206" t="s">
        <v>4879</v>
      </c>
      <c r="C5206" t="s">
        <v>88</v>
      </c>
      <c r="D5206" t="s">
        <v>1085</v>
      </c>
      <c r="E5206" t="s">
        <v>723</v>
      </c>
      <c r="F5206" t="s">
        <v>88</v>
      </c>
      <c r="G5206" t="s">
        <v>88</v>
      </c>
      <c r="H5206" t="s">
        <v>92</v>
      </c>
    </row>
    <row r="5207" spans="1:8" x14ac:dyDescent="0.25">
      <c r="A5207" t="s">
        <v>239</v>
      </c>
      <c r="B5207" t="s">
        <v>2178</v>
      </c>
      <c r="C5207" t="s">
        <v>88</v>
      </c>
      <c r="D5207" t="s">
        <v>4880</v>
      </c>
      <c r="E5207" t="s">
        <v>738</v>
      </c>
      <c r="F5207" t="s">
        <v>88</v>
      </c>
      <c r="G5207" t="s">
        <v>88</v>
      </c>
      <c r="H5207" t="s">
        <v>92</v>
      </c>
    </row>
    <row r="5208" spans="1:8" x14ac:dyDescent="0.25">
      <c r="A5208" t="s">
        <v>239</v>
      </c>
      <c r="B5208" t="s">
        <v>4881</v>
      </c>
      <c r="C5208" t="s">
        <v>88</v>
      </c>
      <c r="D5208" t="s">
        <v>4880</v>
      </c>
      <c r="E5208" t="s">
        <v>723</v>
      </c>
      <c r="F5208" t="s">
        <v>88</v>
      </c>
      <c r="G5208" t="s">
        <v>88</v>
      </c>
      <c r="H5208" t="s">
        <v>92</v>
      </c>
    </row>
    <row r="5209" spans="1:8" x14ac:dyDescent="0.25">
      <c r="A5209" t="s">
        <v>239</v>
      </c>
      <c r="B5209" t="s">
        <v>4882</v>
      </c>
      <c r="C5209" t="s">
        <v>88</v>
      </c>
      <c r="D5209" t="s">
        <v>88</v>
      </c>
      <c r="E5209" t="s">
        <v>791</v>
      </c>
      <c r="F5209" t="s">
        <v>88</v>
      </c>
      <c r="G5209" t="s">
        <v>88</v>
      </c>
      <c r="H5209" t="s">
        <v>92</v>
      </c>
    </row>
    <row r="5210" spans="1:8" x14ac:dyDescent="0.25">
      <c r="A5210" t="s">
        <v>239</v>
      </c>
      <c r="B5210" t="s">
        <v>4883</v>
      </c>
      <c r="C5210" t="s">
        <v>88</v>
      </c>
      <c r="D5210" t="s">
        <v>88</v>
      </c>
      <c r="E5210" t="s">
        <v>2513</v>
      </c>
      <c r="F5210" t="s">
        <v>88</v>
      </c>
      <c r="G5210" t="s">
        <v>88</v>
      </c>
      <c r="H5210" t="s">
        <v>92</v>
      </c>
    </row>
    <row r="5211" spans="1:8" x14ac:dyDescent="0.25">
      <c r="A5211" t="s">
        <v>239</v>
      </c>
      <c r="B5211" t="s">
        <v>3347</v>
      </c>
      <c r="C5211" t="s">
        <v>88</v>
      </c>
      <c r="D5211" t="s">
        <v>4884</v>
      </c>
      <c r="E5211" t="s">
        <v>663</v>
      </c>
      <c r="F5211" t="s">
        <v>88</v>
      </c>
      <c r="G5211" t="s">
        <v>88</v>
      </c>
      <c r="H5211" t="s">
        <v>92</v>
      </c>
    </row>
    <row r="5212" spans="1:8" x14ac:dyDescent="0.25">
      <c r="A5212" t="s">
        <v>239</v>
      </c>
      <c r="B5212" t="s">
        <v>4885</v>
      </c>
      <c r="C5212" t="s">
        <v>88</v>
      </c>
      <c r="D5212" t="s">
        <v>4886</v>
      </c>
      <c r="E5212" t="s">
        <v>700</v>
      </c>
      <c r="F5212" t="s">
        <v>88</v>
      </c>
      <c r="G5212" t="s">
        <v>88</v>
      </c>
      <c r="H5212" t="s">
        <v>92</v>
      </c>
    </row>
    <row r="5213" spans="1:8" x14ac:dyDescent="0.25">
      <c r="A5213" t="s">
        <v>239</v>
      </c>
      <c r="B5213" t="s">
        <v>1780</v>
      </c>
      <c r="C5213" t="s">
        <v>88</v>
      </c>
      <c r="D5213" t="s">
        <v>4887</v>
      </c>
      <c r="E5213" t="s">
        <v>780</v>
      </c>
      <c r="F5213" t="s">
        <v>88</v>
      </c>
      <c r="G5213" t="s">
        <v>88</v>
      </c>
      <c r="H5213" t="s">
        <v>92</v>
      </c>
    </row>
    <row r="5214" spans="1:8" x14ac:dyDescent="0.25">
      <c r="A5214" t="s">
        <v>239</v>
      </c>
      <c r="B5214" t="s">
        <v>4888</v>
      </c>
      <c r="C5214" t="s">
        <v>88</v>
      </c>
      <c r="D5214" t="s">
        <v>4889</v>
      </c>
      <c r="E5214" t="s">
        <v>780</v>
      </c>
      <c r="F5214" t="s">
        <v>88</v>
      </c>
      <c r="G5214" t="s">
        <v>88</v>
      </c>
      <c r="H5214" t="s">
        <v>92</v>
      </c>
    </row>
    <row r="5215" spans="1:8" x14ac:dyDescent="0.25">
      <c r="A5215" t="s">
        <v>239</v>
      </c>
      <c r="B5215" t="s">
        <v>4890</v>
      </c>
      <c r="C5215" t="s">
        <v>88</v>
      </c>
      <c r="D5215" t="s">
        <v>4891</v>
      </c>
      <c r="E5215" t="s">
        <v>700</v>
      </c>
      <c r="F5215" t="s">
        <v>88</v>
      </c>
      <c r="G5215" t="s">
        <v>88</v>
      </c>
      <c r="H5215" t="s">
        <v>92</v>
      </c>
    </row>
    <row r="5216" spans="1:8" x14ac:dyDescent="0.25">
      <c r="A5216" t="s">
        <v>239</v>
      </c>
      <c r="B5216" t="s">
        <v>2185</v>
      </c>
      <c r="C5216" t="s">
        <v>88</v>
      </c>
      <c r="D5216" t="s">
        <v>4889</v>
      </c>
      <c r="E5216" t="s">
        <v>780</v>
      </c>
      <c r="F5216" t="s">
        <v>88</v>
      </c>
      <c r="G5216" t="s">
        <v>88</v>
      </c>
      <c r="H5216" t="s">
        <v>92</v>
      </c>
    </row>
    <row r="5217" spans="1:8" x14ac:dyDescent="0.25">
      <c r="A5217" t="s">
        <v>239</v>
      </c>
      <c r="B5217" t="s">
        <v>4892</v>
      </c>
      <c r="C5217" t="s">
        <v>88</v>
      </c>
      <c r="D5217" t="s">
        <v>4893</v>
      </c>
      <c r="E5217" t="s">
        <v>937</v>
      </c>
      <c r="F5217" t="s">
        <v>88</v>
      </c>
      <c r="G5217" t="s">
        <v>88</v>
      </c>
      <c r="H5217" t="s">
        <v>92</v>
      </c>
    </row>
    <row r="5218" spans="1:8" x14ac:dyDescent="0.25">
      <c r="A5218" t="s">
        <v>239</v>
      </c>
      <c r="B5218" t="s">
        <v>4894</v>
      </c>
      <c r="C5218" t="s">
        <v>88</v>
      </c>
      <c r="D5218" t="s">
        <v>4895</v>
      </c>
      <c r="E5218" t="s">
        <v>692</v>
      </c>
      <c r="F5218" t="s">
        <v>88</v>
      </c>
      <c r="G5218" t="s">
        <v>88</v>
      </c>
      <c r="H5218" t="s">
        <v>92</v>
      </c>
    </row>
    <row r="5219" spans="1:8" x14ac:dyDescent="0.25">
      <c r="A5219" t="s">
        <v>239</v>
      </c>
      <c r="B5219" t="s">
        <v>4896</v>
      </c>
      <c r="C5219" t="s">
        <v>88</v>
      </c>
      <c r="D5219" t="s">
        <v>4897</v>
      </c>
      <c r="E5219" t="s">
        <v>692</v>
      </c>
      <c r="F5219" t="s">
        <v>88</v>
      </c>
      <c r="G5219" t="s">
        <v>88</v>
      </c>
      <c r="H5219" t="s">
        <v>92</v>
      </c>
    </row>
    <row r="5220" spans="1:8" x14ac:dyDescent="0.25">
      <c r="A5220" t="s">
        <v>239</v>
      </c>
      <c r="B5220" t="s">
        <v>2202</v>
      </c>
      <c r="C5220" t="s">
        <v>88</v>
      </c>
      <c r="D5220" t="s">
        <v>88</v>
      </c>
      <c r="E5220" t="s">
        <v>679</v>
      </c>
      <c r="F5220" t="s">
        <v>88</v>
      </c>
      <c r="G5220" t="s">
        <v>88</v>
      </c>
      <c r="H5220" t="s">
        <v>92</v>
      </c>
    </row>
    <row r="5221" spans="1:8" x14ac:dyDescent="0.25">
      <c r="A5221" t="s">
        <v>239</v>
      </c>
      <c r="B5221" t="s">
        <v>2205</v>
      </c>
      <c r="C5221" t="s">
        <v>88</v>
      </c>
      <c r="D5221" t="s">
        <v>88</v>
      </c>
      <c r="E5221" t="s">
        <v>679</v>
      </c>
      <c r="F5221" t="s">
        <v>88</v>
      </c>
      <c r="G5221" t="s">
        <v>88</v>
      </c>
      <c r="H5221" t="s">
        <v>92</v>
      </c>
    </row>
    <row r="5222" spans="1:8" x14ac:dyDescent="0.25">
      <c r="A5222" t="s">
        <v>239</v>
      </c>
      <c r="B5222" t="s">
        <v>2204</v>
      </c>
      <c r="C5222" t="s">
        <v>88</v>
      </c>
      <c r="D5222" t="s">
        <v>88</v>
      </c>
      <c r="E5222" t="s">
        <v>679</v>
      </c>
      <c r="F5222" t="s">
        <v>88</v>
      </c>
      <c r="G5222" t="s">
        <v>88</v>
      </c>
      <c r="H5222" t="s">
        <v>92</v>
      </c>
    </row>
    <row r="5223" spans="1:8" x14ac:dyDescent="0.25">
      <c r="A5223" t="s">
        <v>239</v>
      </c>
      <c r="B5223" t="s">
        <v>2203</v>
      </c>
      <c r="C5223" t="s">
        <v>88</v>
      </c>
      <c r="D5223" t="s">
        <v>88</v>
      </c>
      <c r="E5223" t="s">
        <v>679</v>
      </c>
      <c r="F5223" t="s">
        <v>88</v>
      </c>
      <c r="G5223" t="s">
        <v>88</v>
      </c>
      <c r="H5223" t="s">
        <v>92</v>
      </c>
    </row>
    <row r="5224" spans="1:8" x14ac:dyDescent="0.25">
      <c r="A5224" t="s">
        <v>239</v>
      </c>
      <c r="B5224" t="s">
        <v>2199</v>
      </c>
      <c r="C5224" t="s">
        <v>88</v>
      </c>
      <c r="D5224" t="s">
        <v>88</v>
      </c>
      <c r="E5224" t="s">
        <v>658</v>
      </c>
      <c r="F5224" t="s">
        <v>88</v>
      </c>
      <c r="G5224" t="s">
        <v>88</v>
      </c>
      <c r="H5224" t="s">
        <v>92</v>
      </c>
    </row>
    <row r="5225" spans="1:8" x14ac:dyDescent="0.25">
      <c r="A5225" t="s">
        <v>239</v>
      </c>
      <c r="B5225" t="s">
        <v>4898</v>
      </c>
      <c r="C5225" t="s">
        <v>88</v>
      </c>
      <c r="D5225" t="s">
        <v>88</v>
      </c>
      <c r="E5225" t="s">
        <v>658</v>
      </c>
      <c r="F5225" t="s">
        <v>88</v>
      </c>
      <c r="G5225" t="s">
        <v>88</v>
      </c>
      <c r="H5225" t="s">
        <v>92</v>
      </c>
    </row>
    <row r="5226" spans="1:8" x14ac:dyDescent="0.25">
      <c r="A5226" t="s">
        <v>239</v>
      </c>
      <c r="B5226" t="s">
        <v>2201</v>
      </c>
      <c r="C5226" t="s">
        <v>88</v>
      </c>
      <c r="D5226" t="s">
        <v>88</v>
      </c>
      <c r="E5226" t="s">
        <v>663</v>
      </c>
      <c r="F5226" t="s">
        <v>88</v>
      </c>
      <c r="G5226" t="s">
        <v>88</v>
      </c>
      <c r="H5226" t="s">
        <v>92</v>
      </c>
    </row>
    <row r="5227" spans="1:8" x14ac:dyDescent="0.25">
      <c r="A5227" t="s">
        <v>239</v>
      </c>
      <c r="B5227" t="s">
        <v>4899</v>
      </c>
      <c r="C5227" t="s">
        <v>88</v>
      </c>
      <c r="D5227" t="s">
        <v>88</v>
      </c>
      <c r="E5227" t="s">
        <v>791</v>
      </c>
      <c r="F5227" t="s">
        <v>88</v>
      </c>
      <c r="G5227" t="s">
        <v>88</v>
      </c>
      <c r="H5227" t="s">
        <v>92</v>
      </c>
    </row>
    <row r="5228" spans="1:8" x14ac:dyDescent="0.25">
      <c r="A5228" t="s">
        <v>239</v>
      </c>
      <c r="B5228" t="s">
        <v>4900</v>
      </c>
      <c r="C5228" t="s">
        <v>88</v>
      </c>
      <c r="D5228" t="s">
        <v>88</v>
      </c>
      <c r="E5228" t="s">
        <v>937</v>
      </c>
      <c r="F5228" t="s">
        <v>88</v>
      </c>
      <c r="G5228" t="s">
        <v>88</v>
      </c>
      <c r="H5228" t="s">
        <v>92</v>
      </c>
    </row>
    <row r="5229" spans="1:8" x14ac:dyDescent="0.25">
      <c r="A5229" t="s">
        <v>239</v>
      </c>
      <c r="B5229" t="s">
        <v>4901</v>
      </c>
      <c r="C5229" t="s">
        <v>88</v>
      </c>
      <c r="D5229" t="s">
        <v>88</v>
      </c>
      <c r="E5229" t="s">
        <v>715</v>
      </c>
      <c r="F5229" t="s">
        <v>88</v>
      </c>
      <c r="G5229" t="s">
        <v>88</v>
      </c>
      <c r="H5229" t="s">
        <v>92</v>
      </c>
    </row>
    <row r="5230" spans="1:8" x14ac:dyDescent="0.25">
      <c r="A5230" t="s">
        <v>239</v>
      </c>
      <c r="B5230" t="s">
        <v>4902</v>
      </c>
      <c r="C5230" t="s">
        <v>88</v>
      </c>
      <c r="D5230" t="s">
        <v>88</v>
      </c>
      <c r="E5230" t="s">
        <v>715</v>
      </c>
      <c r="F5230" t="s">
        <v>88</v>
      </c>
      <c r="G5230" t="s">
        <v>88</v>
      </c>
      <c r="H5230" t="s">
        <v>92</v>
      </c>
    </row>
    <row r="5231" spans="1:8" x14ac:dyDescent="0.25">
      <c r="A5231" t="s">
        <v>239</v>
      </c>
      <c r="B5231" t="s">
        <v>4903</v>
      </c>
      <c r="C5231" t="s">
        <v>88</v>
      </c>
      <c r="D5231" t="s">
        <v>88</v>
      </c>
      <c r="E5231" t="s">
        <v>791</v>
      </c>
      <c r="F5231" t="s">
        <v>88</v>
      </c>
      <c r="G5231" t="s">
        <v>88</v>
      </c>
      <c r="H5231" t="s">
        <v>92</v>
      </c>
    </row>
    <row r="5232" spans="1:8" x14ac:dyDescent="0.25">
      <c r="A5232" t="s">
        <v>239</v>
      </c>
      <c r="B5232" t="s">
        <v>4904</v>
      </c>
      <c r="C5232" t="s">
        <v>88</v>
      </c>
      <c r="D5232" t="s">
        <v>88</v>
      </c>
      <c r="E5232" t="s">
        <v>780</v>
      </c>
      <c r="F5232" t="s">
        <v>88</v>
      </c>
      <c r="G5232" t="s">
        <v>88</v>
      </c>
      <c r="H5232" t="s">
        <v>92</v>
      </c>
    </row>
    <row r="5233" spans="1:8" x14ac:dyDescent="0.25">
      <c r="A5233" t="s">
        <v>239</v>
      </c>
      <c r="B5233" t="s">
        <v>4905</v>
      </c>
      <c r="C5233" t="s">
        <v>88</v>
      </c>
      <c r="D5233" t="s">
        <v>88</v>
      </c>
      <c r="E5233" t="s">
        <v>937</v>
      </c>
      <c r="F5233" t="s">
        <v>88</v>
      </c>
      <c r="G5233" t="s">
        <v>88</v>
      </c>
      <c r="H5233" t="s">
        <v>92</v>
      </c>
    </row>
    <row r="5234" spans="1:8" x14ac:dyDescent="0.25">
      <c r="A5234" t="s">
        <v>239</v>
      </c>
      <c r="B5234" t="s">
        <v>4906</v>
      </c>
      <c r="C5234" t="s">
        <v>88</v>
      </c>
      <c r="D5234" t="s">
        <v>88</v>
      </c>
      <c r="E5234" t="s">
        <v>715</v>
      </c>
      <c r="F5234" t="s">
        <v>88</v>
      </c>
      <c r="G5234" t="s">
        <v>88</v>
      </c>
      <c r="H5234" t="s">
        <v>92</v>
      </c>
    </row>
    <row r="5235" spans="1:8" x14ac:dyDescent="0.25">
      <c r="A5235" t="s">
        <v>239</v>
      </c>
      <c r="B5235" t="s">
        <v>4907</v>
      </c>
      <c r="C5235" t="s">
        <v>88</v>
      </c>
      <c r="D5235" t="s">
        <v>88</v>
      </c>
      <c r="E5235" t="s">
        <v>780</v>
      </c>
      <c r="F5235" t="s">
        <v>88</v>
      </c>
      <c r="G5235" t="s">
        <v>88</v>
      </c>
      <c r="H5235" t="s">
        <v>92</v>
      </c>
    </row>
    <row r="5236" spans="1:8" x14ac:dyDescent="0.25">
      <c r="A5236" t="s">
        <v>239</v>
      </c>
      <c r="B5236" t="s">
        <v>4908</v>
      </c>
      <c r="C5236" t="s">
        <v>88</v>
      </c>
      <c r="D5236" t="s">
        <v>88</v>
      </c>
      <c r="E5236" t="s">
        <v>780</v>
      </c>
      <c r="F5236" t="s">
        <v>88</v>
      </c>
      <c r="G5236" t="s">
        <v>88</v>
      </c>
      <c r="H5236" t="s">
        <v>92</v>
      </c>
    </row>
    <row r="5237" spans="1:8" x14ac:dyDescent="0.25">
      <c r="A5237" t="s">
        <v>239</v>
      </c>
      <c r="B5237" t="s">
        <v>4909</v>
      </c>
      <c r="C5237" t="s">
        <v>88</v>
      </c>
      <c r="D5237" t="s">
        <v>88</v>
      </c>
      <c r="E5237" t="s">
        <v>780</v>
      </c>
      <c r="F5237" t="s">
        <v>88</v>
      </c>
      <c r="G5237" t="s">
        <v>88</v>
      </c>
      <c r="H5237" t="s">
        <v>92</v>
      </c>
    </row>
    <row r="5238" spans="1:8" x14ac:dyDescent="0.25">
      <c r="A5238" t="s">
        <v>239</v>
      </c>
      <c r="B5238" t="s">
        <v>4910</v>
      </c>
      <c r="C5238" t="s">
        <v>88</v>
      </c>
      <c r="D5238" t="s">
        <v>88</v>
      </c>
      <c r="E5238" t="s">
        <v>715</v>
      </c>
      <c r="F5238" t="s">
        <v>88</v>
      </c>
      <c r="G5238" t="s">
        <v>88</v>
      </c>
      <c r="H5238" t="s">
        <v>92</v>
      </c>
    </row>
    <row r="5239" spans="1:8" x14ac:dyDescent="0.25">
      <c r="A5239" t="s">
        <v>239</v>
      </c>
      <c r="B5239" t="s">
        <v>4911</v>
      </c>
      <c r="C5239" t="s">
        <v>88</v>
      </c>
      <c r="D5239" t="s">
        <v>88</v>
      </c>
      <c r="E5239" t="s">
        <v>780</v>
      </c>
      <c r="F5239" t="s">
        <v>88</v>
      </c>
      <c r="G5239" t="s">
        <v>88</v>
      </c>
      <c r="H5239" t="s">
        <v>92</v>
      </c>
    </row>
    <row r="5240" spans="1:8" x14ac:dyDescent="0.25">
      <c r="A5240" t="s">
        <v>239</v>
      </c>
      <c r="B5240" t="s">
        <v>4912</v>
      </c>
      <c r="C5240" t="s">
        <v>88</v>
      </c>
      <c r="D5240" t="s">
        <v>4913</v>
      </c>
      <c r="E5240" t="s">
        <v>780</v>
      </c>
      <c r="F5240" t="s">
        <v>88</v>
      </c>
      <c r="G5240" t="s">
        <v>88</v>
      </c>
      <c r="H5240" t="s">
        <v>92</v>
      </c>
    </row>
    <row r="5241" spans="1:8" x14ac:dyDescent="0.25">
      <c r="A5241" t="s">
        <v>239</v>
      </c>
      <c r="B5241" t="s">
        <v>4914</v>
      </c>
      <c r="C5241" t="s">
        <v>88</v>
      </c>
      <c r="D5241" t="s">
        <v>88</v>
      </c>
      <c r="E5241" t="s">
        <v>780</v>
      </c>
      <c r="F5241" t="s">
        <v>88</v>
      </c>
      <c r="G5241" t="s">
        <v>88</v>
      </c>
      <c r="H5241" t="s">
        <v>92</v>
      </c>
    </row>
    <row r="5242" spans="1:8" x14ac:dyDescent="0.25">
      <c r="A5242" t="s">
        <v>239</v>
      </c>
      <c r="B5242" t="s">
        <v>3455</v>
      </c>
      <c r="C5242" t="s">
        <v>88</v>
      </c>
      <c r="D5242" t="s">
        <v>4915</v>
      </c>
      <c r="E5242" t="s">
        <v>844</v>
      </c>
      <c r="F5242" t="s">
        <v>88</v>
      </c>
      <c r="G5242" t="s">
        <v>88</v>
      </c>
      <c r="H5242" t="s">
        <v>92</v>
      </c>
    </row>
    <row r="5243" spans="1:8" x14ac:dyDescent="0.25">
      <c r="A5243" t="s">
        <v>239</v>
      </c>
      <c r="B5243" t="s">
        <v>4916</v>
      </c>
      <c r="C5243" t="s">
        <v>88</v>
      </c>
      <c r="D5243" t="s">
        <v>88</v>
      </c>
      <c r="E5243" t="s">
        <v>663</v>
      </c>
      <c r="F5243" t="s">
        <v>88</v>
      </c>
      <c r="G5243" t="s">
        <v>88</v>
      </c>
      <c r="H5243" t="s">
        <v>92</v>
      </c>
    </row>
    <row r="5244" spans="1:8" x14ac:dyDescent="0.25">
      <c r="A5244" t="s">
        <v>239</v>
      </c>
      <c r="B5244" t="s">
        <v>4917</v>
      </c>
      <c r="C5244" t="s">
        <v>88</v>
      </c>
      <c r="D5244" t="s">
        <v>3302</v>
      </c>
      <c r="E5244" t="s">
        <v>679</v>
      </c>
      <c r="F5244" t="s">
        <v>88</v>
      </c>
      <c r="G5244" t="s">
        <v>88</v>
      </c>
      <c r="H5244" t="s">
        <v>92</v>
      </c>
    </row>
    <row r="5245" spans="1:8" x14ac:dyDescent="0.25">
      <c r="A5245" t="s">
        <v>239</v>
      </c>
      <c r="B5245" t="s">
        <v>1975</v>
      </c>
      <c r="C5245" t="s">
        <v>88</v>
      </c>
      <c r="D5245" t="s">
        <v>88</v>
      </c>
      <c r="E5245" t="s">
        <v>735</v>
      </c>
      <c r="F5245" t="s">
        <v>88</v>
      </c>
      <c r="G5245" t="s">
        <v>88</v>
      </c>
      <c r="H5245" t="s">
        <v>92</v>
      </c>
    </row>
    <row r="5246" spans="1:8" x14ac:dyDescent="0.25">
      <c r="A5246" t="s">
        <v>239</v>
      </c>
      <c r="B5246" t="s">
        <v>3122</v>
      </c>
      <c r="C5246" t="s">
        <v>88</v>
      </c>
      <c r="D5246" t="s">
        <v>88</v>
      </c>
      <c r="E5246" t="s">
        <v>715</v>
      </c>
      <c r="F5246" t="s">
        <v>88</v>
      </c>
      <c r="G5246" t="s">
        <v>88</v>
      </c>
      <c r="H5246" t="s">
        <v>92</v>
      </c>
    </row>
    <row r="5247" spans="1:8" x14ac:dyDescent="0.25">
      <c r="A5247" t="s">
        <v>239</v>
      </c>
      <c r="B5247" t="s">
        <v>3123</v>
      </c>
      <c r="C5247" t="s">
        <v>88</v>
      </c>
      <c r="D5247" t="s">
        <v>88</v>
      </c>
      <c r="E5247" t="s">
        <v>723</v>
      </c>
      <c r="F5247" t="s">
        <v>88</v>
      </c>
      <c r="G5247" t="s">
        <v>88</v>
      </c>
      <c r="H5247" t="s">
        <v>92</v>
      </c>
    </row>
    <row r="5248" spans="1:8" x14ac:dyDescent="0.25">
      <c r="A5248" t="s">
        <v>239</v>
      </c>
      <c r="B5248" t="s">
        <v>3124</v>
      </c>
      <c r="C5248" t="s">
        <v>88</v>
      </c>
      <c r="D5248" t="s">
        <v>88</v>
      </c>
      <c r="E5248" t="s">
        <v>679</v>
      </c>
      <c r="F5248" t="s">
        <v>88</v>
      </c>
      <c r="G5248" t="s">
        <v>88</v>
      </c>
      <c r="H5248" t="s">
        <v>92</v>
      </c>
    </row>
    <row r="5249" spans="1:8" x14ac:dyDescent="0.25">
      <c r="A5249" t="s">
        <v>239</v>
      </c>
      <c r="B5249" t="s">
        <v>4918</v>
      </c>
      <c r="C5249" t="s">
        <v>88</v>
      </c>
      <c r="D5249" t="s">
        <v>88</v>
      </c>
      <c r="E5249" t="s">
        <v>715</v>
      </c>
      <c r="F5249" t="s">
        <v>88</v>
      </c>
      <c r="G5249" t="s">
        <v>88</v>
      </c>
      <c r="H5249" t="s">
        <v>92</v>
      </c>
    </row>
    <row r="5250" spans="1:8" x14ac:dyDescent="0.25">
      <c r="A5250" t="s">
        <v>239</v>
      </c>
      <c r="B5250" t="s">
        <v>4919</v>
      </c>
      <c r="C5250" t="s">
        <v>88</v>
      </c>
      <c r="D5250" t="s">
        <v>88</v>
      </c>
      <c r="E5250" t="s">
        <v>738</v>
      </c>
      <c r="F5250" t="s">
        <v>88</v>
      </c>
      <c r="G5250" t="s">
        <v>88</v>
      </c>
      <c r="H5250" t="s">
        <v>92</v>
      </c>
    </row>
    <row r="5251" spans="1:8" x14ac:dyDescent="0.25">
      <c r="A5251" t="s">
        <v>239</v>
      </c>
      <c r="B5251" t="s">
        <v>4920</v>
      </c>
      <c r="C5251" t="s">
        <v>88</v>
      </c>
      <c r="D5251" t="s">
        <v>88</v>
      </c>
      <c r="E5251" t="s">
        <v>679</v>
      </c>
      <c r="F5251" t="s">
        <v>88</v>
      </c>
      <c r="G5251" t="s">
        <v>88</v>
      </c>
      <c r="H5251" t="s">
        <v>92</v>
      </c>
    </row>
    <row r="5252" spans="1:8" x14ac:dyDescent="0.25">
      <c r="A5252" t="s">
        <v>239</v>
      </c>
      <c r="B5252" t="s">
        <v>2206</v>
      </c>
      <c r="C5252" t="s">
        <v>88</v>
      </c>
      <c r="D5252" t="s">
        <v>88</v>
      </c>
      <c r="E5252" t="s">
        <v>791</v>
      </c>
      <c r="F5252" t="s">
        <v>88</v>
      </c>
      <c r="G5252" t="s">
        <v>88</v>
      </c>
      <c r="H5252" t="s">
        <v>92</v>
      </c>
    </row>
    <row r="5253" spans="1:8" x14ac:dyDescent="0.25">
      <c r="A5253" t="s">
        <v>239</v>
      </c>
      <c r="B5253" t="s">
        <v>2013</v>
      </c>
      <c r="C5253" t="s">
        <v>88</v>
      </c>
      <c r="D5253" t="s">
        <v>88</v>
      </c>
      <c r="E5253" t="s">
        <v>715</v>
      </c>
      <c r="F5253" t="s">
        <v>88</v>
      </c>
      <c r="G5253" t="s">
        <v>88</v>
      </c>
      <c r="H5253" t="s">
        <v>92</v>
      </c>
    </row>
    <row r="5254" spans="1:8" x14ac:dyDescent="0.25">
      <c r="A5254" t="s">
        <v>239</v>
      </c>
      <c r="B5254" t="s">
        <v>2208</v>
      </c>
      <c r="C5254" t="s">
        <v>88</v>
      </c>
      <c r="D5254" t="s">
        <v>88</v>
      </c>
      <c r="E5254" t="s">
        <v>702</v>
      </c>
      <c r="F5254" t="s">
        <v>88</v>
      </c>
      <c r="G5254" t="s">
        <v>88</v>
      </c>
      <c r="H5254" t="s">
        <v>92</v>
      </c>
    </row>
    <row r="5255" spans="1:8" x14ac:dyDescent="0.25">
      <c r="A5255" t="s">
        <v>239</v>
      </c>
      <c r="B5255" t="s">
        <v>4921</v>
      </c>
      <c r="C5255" t="s">
        <v>88</v>
      </c>
      <c r="D5255" t="s">
        <v>88</v>
      </c>
      <c r="E5255" t="s">
        <v>715</v>
      </c>
      <c r="F5255" t="s">
        <v>88</v>
      </c>
      <c r="G5255" t="s">
        <v>88</v>
      </c>
      <c r="H5255" t="s">
        <v>92</v>
      </c>
    </row>
    <row r="5256" spans="1:8" x14ac:dyDescent="0.25">
      <c r="A5256" t="s">
        <v>239</v>
      </c>
      <c r="B5256" t="s">
        <v>4922</v>
      </c>
      <c r="C5256" t="s">
        <v>88</v>
      </c>
      <c r="D5256" t="s">
        <v>88</v>
      </c>
      <c r="E5256" t="s">
        <v>848</v>
      </c>
      <c r="F5256" t="s">
        <v>88</v>
      </c>
      <c r="G5256" t="s">
        <v>88</v>
      </c>
      <c r="H5256" t="s">
        <v>92</v>
      </c>
    </row>
    <row r="5257" spans="1:8" x14ac:dyDescent="0.25">
      <c r="A5257" t="s">
        <v>239</v>
      </c>
      <c r="B5257" t="s">
        <v>4923</v>
      </c>
      <c r="C5257" t="s">
        <v>88</v>
      </c>
      <c r="D5257" t="s">
        <v>88</v>
      </c>
      <c r="E5257" t="s">
        <v>780</v>
      </c>
      <c r="F5257" t="s">
        <v>88</v>
      </c>
      <c r="G5257" t="s">
        <v>88</v>
      </c>
      <c r="H5257" t="s">
        <v>92</v>
      </c>
    </row>
    <row r="5258" spans="1:8" x14ac:dyDescent="0.25">
      <c r="A5258" t="s">
        <v>239</v>
      </c>
      <c r="B5258" t="s">
        <v>4924</v>
      </c>
      <c r="C5258" t="s">
        <v>88</v>
      </c>
      <c r="D5258" t="s">
        <v>88</v>
      </c>
      <c r="E5258" t="s">
        <v>1594</v>
      </c>
      <c r="F5258" t="s">
        <v>88</v>
      </c>
      <c r="G5258" t="s">
        <v>88</v>
      </c>
      <c r="H5258" t="s">
        <v>92</v>
      </c>
    </row>
    <row r="5259" spans="1:8" x14ac:dyDescent="0.25">
      <c r="A5259" t="s">
        <v>239</v>
      </c>
      <c r="B5259" t="s">
        <v>4925</v>
      </c>
      <c r="C5259" t="s">
        <v>88</v>
      </c>
      <c r="D5259" t="s">
        <v>88</v>
      </c>
      <c r="E5259" t="s">
        <v>1594</v>
      </c>
      <c r="F5259" t="s">
        <v>88</v>
      </c>
      <c r="G5259" t="s">
        <v>88</v>
      </c>
      <c r="H5259" t="s">
        <v>92</v>
      </c>
    </row>
    <row r="5260" spans="1:8" x14ac:dyDescent="0.25">
      <c r="A5260" t="s">
        <v>239</v>
      </c>
      <c r="B5260" t="s">
        <v>4926</v>
      </c>
      <c r="C5260" t="s">
        <v>88</v>
      </c>
      <c r="D5260" t="s">
        <v>88</v>
      </c>
      <c r="E5260" t="s">
        <v>1594</v>
      </c>
      <c r="F5260" t="s">
        <v>88</v>
      </c>
      <c r="G5260" t="s">
        <v>88</v>
      </c>
      <c r="H5260" t="s">
        <v>92</v>
      </c>
    </row>
    <row r="5261" spans="1:8" x14ac:dyDescent="0.25">
      <c r="A5261" t="s">
        <v>239</v>
      </c>
      <c r="B5261" t="s">
        <v>4822</v>
      </c>
      <c r="C5261" t="s">
        <v>88</v>
      </c>
      <c r="D5261" t="s">
        <v>88</v>
      </c>
      <c r="E5261" t="s">
        <v>713</v>
      </c>
      <c r="F5261" t="s">
        <v>88</v>
      </c>
      <c r="G5261" t="s">
        <v>88</v>
      </c>
      <c r="H5261" t="s">
        <v>92</v>
      </c>
    </row>
    <row r="5262" spans="1:8" x14ac:dyDescent="0.25">
      <c r="A5262" t="s">
        <v>239</v>
      </c>
      <c r="B5262" t="s">
        <v>4927</v>
      </c>
      <c r="C5262" t="s">
        <v>88</v>
      </c>
      <c r="D5262" t="s">
        <v>88</v>
      </c>
      <c r="E5262" t="s">
        <v>799</v>
      </c>
      <c r="F5262" t="s">
        <v>88</v>
      </c>
      <c r="G5262" t="s">
        <v>88</v>
      </c>
      <c r="H5262" t="s">
        <v>92</v>
      </c>
    </row>
    <row r="5263" spans="1:8" x14ac:dyDescent="0.25">
      <c r="A5263" t="s">
        <v>239</v>
      </c>
      <c r="B5263" t="s">
        <v>4928</v>
      </c>
      <c r="C5263" t="s">
        <v>88</v>
      </c>
      <c r="D5263" t="s">
        <v>88</v>
      </c>
      <c r="E5263" t="s">
        <v>715</v>
      </c>
      <c r="F5263" t="s">
        <v>88</v>
      </c>
      <c r="G5263" t="s">
        <v>88</v>
      </c>
      <c r="H5263" t="s">
        <v>92</v>
      </c>
    </row>
    <row r="5264" spans="1:8" x14ac:dyDescent="0.25">
      <c r="A5264" t="s">
        <v>239</v>
      </c>
      <c r="B5264" t="s">
        <v>4929</v>
      </c>
      <c r="C5264" t="s">
        <v>88</v>
      </c>
      <c r="D5264" t="s">
        <v>88</v>
      </c>
      <c r="E5264" t="s">
        <v>799</v>
      </c>
      <c r="F5264" t="s">
        <v>88</v>
      </c>
      <c r="G5264" t="s">
        <v>88</v>
      </c>
      <c r="H5264" t="s">
        <v>92</v>
      </c>
    </row>
    <row r="5265" spans="1:8" x14ac:dyDescent="0.25">
      <c r="A5265" t="s">
        <v>239</v>
      </c>
      <c r="B5265" t="s">
        <v>701</v>
      </c>
      <c r="C5265" t="s">
        <v>88</v>
      </c>
      <c r="D5265" t="s">
        <v>88</v>
      </c>
      <c r="E5265" t="s">
        <v>709</v>
      </c>
      <c r="F5265" t="s">
        <v>88</v>
      </c>
      <c r="G5265" t="s">
        <v>88</v>
      </c>
      <c r="H5265" t="s">
        <v>92</v>
      </c>
    </row>
    <row r="5266" spans="1:8" x14ac:dyDescent="0.25">
      <c r="A5266" t="s">
        <v>239</v>
      </c>
      <c r="B5266" t="s">
        <v>952</v>
      </c>
      <c r="C5266" t="s">
        <v>88</v>
      </c>
      <c r="D5266" t="s">
        <v>1370</v>
      </c>
      <c r="E5266" t="s">
        <v>710</v>
      </c>
      <c r="F5266" t="s">
        <v>88</v>
      </c>
      <c r="G5266" t="s">
        <v>88</v>
      </c>
      <c r="H5266" t="s">
        <v>92</v>
      </c>
    </row>
    <row r="5267" spans="1:8" x14ac:dyDescent="0.25">
      <c r="A5267" t="s">
        <v>239</v>
      </c>
      <c r="B5267" t="s">
        <v>705</v>
      </c>
      <c r="C5267" t="s">
        <v>88</v>
      </c>
      <c r="D5267" t="s">
        <v>88</v>
      </c>
      <c r="E5267" t="s">
        <v>709</v>
      </c>
      <c r="F5267" t="s">
        <v>88</v>
      </c>
      <c r="G5267" t="s">
        <v>88</v>
      </c>
      <c r="H5267" t="s">
        <v>92</v>
      </c>
    </row>
    <row r="5268" spans="1:8" x14ac:dyDescent="0.25">
      <c r="A5268" t="s">
        <v>239</v>
      </c>
      <c r="B5268" t="s">
        <v>707</v>
      </c>
      <c r="C5268" t="s">
        <v>88</v>
      </c>
      <c r="D5268" t="s">
        <v>88</v>
      </c>
      <c r="E5268" t="s">
        <v>709</v>
      </c>
      <c r="F5268" t="s">
        <v>88</v>
      </c>
      <c r="G5268" t="s">
        <v>88</v>
      </c>
      <c r="H5268" t="s">
        <v>92</v>
      </c>
    </row>
    <row r="5269" spans="1:8" x14ac:dyDescent="0.25">
      <c r="A5269" t="s">
        <v>239</v>
      </c>
      <c r="B5269" t="s">
        <v>708</v>
      </c>
      <c r="C5269" t="s">
        <v>88</v>
      </c>
      <c r="D5269" t="s">
        <v>88</v>
      </c>
      <c r="E5269" t="s">
        <v>709</v>
      </c>
      <c r="F5269" t="s">
        <v>88</v>
      </c>
      <c r="G5269" t="s">
        <v>88</v>
      </c>
      <c r="H5269" t="s">
        <v>92</v>
      </c>
    </row>
    <row r="5270" spans="1:8" x14ac:dyDescent="0.25">
      <c r="A5270" t="s">
        <v>239</v>
      </c>
      <c r="B5270" t="s">
        <v>954</v>
      </c>
      <c r="C5270" t="s">
        <v>88</v>
      </c>
      <c r="D5270" t="s">
        <v>1370</v>
      </c>
      <c r="E5270" t="s">
        <v>710</v>
      </c>
      <c r="F5270" t="s">
        <v>88</v>
      </c>
      <c r="G5270" t="s">
        <v>88</v>
      </c>
      <c r="H5270" t="s">
        <v>92</v>
      </c>
    </row>
    <row r="5271" spans="1:8" x14ac:dyDescent="0.25">
      <c r="A5271" t="s">
        <v>239</v>
      </c>
      <c r="B5271" t="s">
        <v>1399</v>
      </c>
      <c r="C5271" t="s">
        <v>88</v>
      </c>
      <c r="D5271" t="s">
        <v>88</v>
      </c>
      <c r="E5271" t="s">
        <v>848</v>
      </c>
      <c r="F5271" t="s">
        <v>88</v>
      </c>
      <c r="G5271" t="s">
        <v>88</v>
      </c>
      <c r="H5271" t="s">
        <v>92</v>
      </c>
    </row>
    <row r="5272" spans="1:8" x14ac:dyDescent="0.25">
      <c r="A5272" t="s">
        <v>239</v>
      </c>
      <c r="B5272" t="s">
        <v>797</v>
      </c>
      <c r="C5272" t="s">
        <v>88</v>
      </c>
      <c r="D5272" t="s">
        <v>88</v>
      </c>
      <c r="E5272" t="s">
        <v>711</v>
      </c>
      <c r="F5272" t="s">
        <v>88</v>
      </c>
      <c r="G5272" t="s">
        <v>88</v>
      </c>
      <c r="H5272" t="s">
        <v>92</v>
      </c>
    </row>
    <row r="5273" spans="1:8" x14ac:dyDescent="0.25">
      <c r="A5273" t="s">
        <v>239</v>
      </c>
      <c r="B5273" t="s">
        <v>622</v>
      </c>
      <c r="C5273" t="s">
        <v>88</v>
      </c>
      <c r="D5273" t="s">
        <v>88</v>
      </c>
      <c r="E5273" t="s">
        <v>711</v>
      </c>
      <c r="F5273" t="s">
        <v>88</v>
      </c>
      <c r="G5273" t="s">
        <v>88</v>
      </c>
      <c r="H5273" t="s">
        <v>92</v>
      </c>
    </row>
    <row r="5274" spans="1:8" x14ac:dyDescent="0.25">
      <c r="A5274" t="s">
        <v>239</v>
      </c>
      <c r="B5274" t="s">
        <v>623</v>
      </c>
      <c r="C5274" t="s">
        <v>88</v>
      </c>
      <c r="D5274" t="s">
        <v>88</v>
      </c>
      <c r="E5274" t="s">
        <v>849</v>
      </c>
      <c r="F5274" t="s">
        <v>88</v>
      </c>
      <c r="G5274" t="s">
        <v>88</v>
      </c>
      <c r="H5274" t="s">
        <v>92</v>
      </c>
    </row>
    <row r="5275" spans="1:8" x14ac:dyDescent="0.25">
      <c r="A5275" t="s">
        <v>239</v>
      </c>
      <c r="B5275" t="s">
        <v>714</v>
      </c>
      <c r="C5275" t="s">
        <v>88</v>
      </c>
      <c r="D5275" t="s">
        <v>88</v>
      </c>
      <c r="E5275" t="s">
        <v>702</v>
      </c>
      <c r="F5275" t="s">
        <v>88</v>
      </c>
      <c r="G5275" t="s">
        <v>88</v>
      </c>
      <c r="H5275" t="s">
        <v>92</v>
      </c>
    </row>
    <row r="5276" spans="1:8" x14ac:dyDescent="0.25">
      <c r="A5276" t="s">
        <v>239</v>
      </c>
      <c r="B5276" t="s">
        <v>998</v>
      </c>
      <c r="C5276" t="s">
        <v>88</v>
      </c>
      <c r="D5276" t="s">
        <v>88</v>
      </c>
      <c r="E5276" t="s">
        <v>702</v>
      </c>
      <c r="F5276" t="s">
        <v>88</v>
      </c>
      <c r="G5276" t="s">
        <v>88</v>
      </c>
      <c r="H5276" t="s">
        <v>92</v>
      </c>
    </row>
    <row r="5277" spans="1:8" x14ac:dyDescent="0.25">
      <c r="A5277" t="s">
        <v>239</v>
      </c>
      <c r="B5277" t="s">
        <v>4930</v>
      </c>
      <c r="C5277" t="s">
        <v>88</v>
      </c>
      <c r="D5277" t="s">
        <v>88</v>
      </c>
      <c r="E5277" t="s">
        <v>702</v>
      </c>
      <c r="F5277" t="s">
        <v>88</v>
      </c>
      <c r="G5277" t="s">
        <v>88</v>
      </c>
      <c r="H5277" t="s">
        <v>92</v>
      </c>
    </row>
    <row r="5278" spans="1:8" x14ac:dyDescent="0.25">
      <c r="A5278" t="s">
        <v>239</v>
      </c>
      <c r="B5278" t="s">
        <v>1989</v>
      </c>
      <c r="C5278" t="s">
        <v>88</v>
      </c>
      <c r="D5278" t="s">
        <v>88</v>
      </c>
      <c r="E5278" t="s">
        <v>1323</v>
      </c>
      <c r="F5278" t="s">
        <v>88</v>
      </c>
      <c r="G5278" t="s">
        <v>88</v>
      </c>
      <c r="H5278" t="s">
        <v>92</v>
      </c>
    </row>
    <row r="5279" spans="1:8" x14ac:dyDescent="0.25">
      <c r="A5279" t="s">
        <v>239</v>
      </c>
      <c r="B5279" t="s">
        <v>1990</v>
      </c>
      <c r="C5279" t="s">
        <v>88</v>
      </c>
      <c r="D5279" t="s">
        <v>88</v>
      </c>
      <c r="E5279" t="s">
        <v>1323</v>
      </c>
      <c r="F5279" t="s">
        <v>88</v>
      </c>
      <c r="G5279" t="s">
        <v>88</v>
      </c>
      <c r="H5279" t="s">
        <v>92</v>
      </c>
    </row>
    <row r="5280" spans="1:8" x14ac:dyDescent="0.25">
      <c r="A5280" t="s">
        <v>239</v>
      </c>
      <c r="B5280" t="s">
        <v>4931</v>
      </c>
      <c r="C5280" t="s">
        <v>88</v>
      </c>
      <c r="D5280" t="s">
        <v>88</v>
      </c>
      <c r="E5280" t="s">
        <v>1153</v>
      </c>
      <c r="F5280" t="s">
        <v>88</v>
      </c>
      <c r="G5280" t="s">
        <v>88</v>
      </c>
      <c r="H5280" t="s">
        <v>92</v>
      </c>
    </row>
    <row r="5281" spans="1:8" x14ac:dyDescent="0.25">
      <c r="A5281" t="s">
        <v>239</v>
      </c>
      <c r="B5281" t="s">
        <v>4932</v>
      </c>
      <c r="C5281" t="s">
        <v>88</v>
      </c>
      <c r="D5281" t="s">
        <v>88</v>
      </c>
      <c r="E5281" t="s">
        <v>676</v>
      </c>
      <c r="F5281" t="s">
        <v>88</v>
      </c>
      <c r="G5281" t="s">
        <v>88</v>
      </c>
      <c r="H5281" t="s">
        <v>92</v>
      </c>
    </row>
    <row r="5282" spans="1:8" x14ac:dyDescent="0.25">
      <c r="A5282" t="s">
        <v>239</v>
      </c>
      <c r="B5282" t="s">
        <v>2221</v>
      </c>
      <c r="C5282" t="s">
        <v>88</v>
      </c>
      <c r="D5282" t="s">
        <v>88</v>
      </c>
      <c r="E5282" t="s">
        <v>676</v>
      </c>
      <c r="F5282" t="s">
        <v>88</v>
      </c>
      <c r="G5282" t="s">
        <v>88</v>
      </c>
      <c r="H5282" t="s">
        <v>92</v>
      </c>
    </row>
    <row r="5283" spans="1:8" x14ac:dyDescent="0.25">
      <c r="A5283" t="s">
        <v>239</v>
      </c>
      <c r="B5283" t="s">
        <v>4933</v>
      </c>
      <c r="C5283" t="s">
        <v>88</v>
      </c>
      <c r="D5283" t="s">
        <v>4934</v>
      </c>
      <c r="E5283" t="s">
        <v>964</v>
      </c>
      <c r="F5283" t="s">
        <v>88</v>
      </c>
      <c r="G5283" t="s">
        <v>88</v>
      </c>
      <c r="H5283" t="s">
        <v>92</v>
      </c>
    </row>
    <row r="5284" spans="1:8" x14ac:dyDescent="0.25">
      <c r="A5284" t="s">
        <v>239</v>
      </c>
      <c r="B5284" t="s">
        <v>4935</v>
      </c>
      <c r="C5284" t="s">
        <v>88</v>
      </c>
      <c r="D5284" t="s">
        <v>4936</v>
      </c>
      <c r="E5284" t="s">
        <v>655</v>
      </c>
      <c r="F5284" t="s">
        <v>88</v>
      </c>
      <c r="G5284" t="s">
        <v>88</v>
      </c>
      <c r="H5284" t="s">
        <v>92</v>
      </c>
    </row>
    <row r="5285" spans="1:8" x14ac:dyDescent="0.25">
      <c r="A5285" t="s">
        <v>239</v>
      </c>
      <c r="B5285" t="s">
        <v>4937</v>
      </c>
      <c r="C5285" t="s">
        <v>88</v>
      </c>
      <c r="D5285" t="s">
        <v>4938</v>
      </c>
      <c r="E5285" t="s">
        <v>1153</v>
      </c>
      <c r="F5285" t="s">
        <v>88</v>
      </c>
      <c r="G5285" t="s">
        <v>88</v>
      </c>
      <c r="H5285" t="s">
        <v>92</v>
      </c>
    </row>
    <row r="5286" spans="1:8" x14ac:dyDescent="0.25">
      <c r="A5286" t="s">
        <v>239</v>
      </c>
      <c r="B5286" t="s">
        <v>4939</v>
      </c>
      <c r="C5286" t="s">
        <v>88</v>
      </c>
      <c r="D5286" t="s">
        <v>88</v>
      </c>
      <c r="E5286" t="s">
        <v>807</v>
      </c>
      <c r="F5286" t="s">
        <v>88</v>
      </c>
      <c r="G5286" t="s">
        <v>88</v>
      </c>
      <c r="H5286" t="s">
        <v>92</v>
      </c>
    </row>
    <row r="5287" spans="1:8" x14ac:dyDescent="0.25">
      <c r="A5287" t="s">
        <v>239</v>
      </c>
      <c r="B5287" t="s">
        <v>4940</v>
      </c>
      <c r="C5287" t="s">
        <v>88</v>
      </c>
      <c r="D5287" t="s">
        <v>88</v>
      </c>
      <c r="E5287" t="s">
        <v>1139</v>
      </c>
      <c r="F5287" t="s">
        <v>88</v>
      </c>
      <c r="G5287" t="s">
        <v>88</v>
      </c>
      <c r="H5287" t="s">
        <v>92</v>
      </c>
    </row>
    <row r="5288" spans="1:8" x14ac:dyDescent="0.25">
      <c r="A5288" t="s">
        <v>239</v>
      </c>
      <c r="B5288" t="s">
        <v>4941</v>
      </c>
      <c r="C5288" t="s">
        <v>88</v>
      </c>
      <c r="D5288" t="s">
        <v>88</v>
      </c>
      <c r="E5288" t="s">
        <v>841</v>
      </c>
      <c r="F5288" t="s">
        <v>88</v>
      </c>
      <c r="G5288" t="s">
        <v>88</v>
      </c>
      <c r="H5288" t="s">
        <v>92</v>
      </c>
    </row>
    <row r="5289" spans="1:8" x14ac:dyDescent="0.25">
      <c r="A5289" t="s">
        <v>239</v>
      </c>
      <c r="B5289" t="s">
        <v>4942</v>
      </c>
      <c r="C5289" t="s">
        <v>88</v>
      </c>
      <c r="D5289" t="s">
        <v>88</v>
      </c>
      <c r="E5289" t="s">
        <v>844</v>
      </c>
      <c r="F5289" t="s">
        <v>88</v>
      </c>
      <c r="G5289" t="s">
        <v>88</v>
      </c>
      <c r="H5289" t="s">
        <v>92</v>
      </c>
    </row>
    <row r="5290" spans="1:8" x14ac:dyDescent="0.25">
      <c r="A5290" t="s">
        <v>239</v>
      </c>
      <c r="B5290" t="s">
        <v>4943</v>
      </c>
      <c r="C5290" t="s">
        <v>88</v>
      </c>
      <c r="D5290" t="s">
        <v>88</v>
      </c>
      <c r="E5290" t="s">
        <v>844</v>
      </c>
      <c r="F5290" t="s">
        <v>88</v>
      </c>
      <c r="G5290" t="s">
        <v>88</v>
      </c>
      <c r="H5290" t="s">
        <v>92</v>
      </c>
    </row>
    <row r="5291" spans="1:8" x14ac:dyDescent="0.25">
      <c r="A5291" t="s">
        <v>239</v>
      </c>
      <c r="B5291" t="s">
        <v>4944</v>
      </c>
      <c r="C5291" t="s">
        <v>88</v>
      </c>
      <c r="D5291" t="s">
        <v>88</v>
      </c>
      <c r="E5291" t="s">
        <v>1139</v>
      </c>
      <c r="F5291" t="s">
        <v>88</v>
      </c>
      <c r="G5291" t="s">
        <v>88</v>
      </c>
      <c r="H5291" t="s">
        <v>92</v>
      </c>
    </row>
    <row r="5292" spans="1:8" x14ac:dyDescent="0.25">
      <c r="A5292" t="s">
        <v>239</v>
      </c>
      <c r="B5292" t="s">
        <v>4945</v>
      </c>
      <c r="C5292" t="s">
        <v>88</v>
      </c>
      <c r="D5292" t="s">
        <v>88</v>
      </c>
      <c r="E5292" t="s">
        <v>844</v>
      </c>
      <c r="F5292" t="s">
        <v>88</v>
      </c>
      <c r="G5292" t="s">
        <v>88</v>
      </c>
      <c r="H5292" t="s">
        <v>92</v>
      </c>
    </row>
    <row r="5293" spans="1:8" x14ac:dyDescent="0.25">
      <c r="A5293" t="s">
        <v>239</v>
      </c>
      <c r="B5293" t="s">
        <v>4946</v>
      </c>
      <c r="C5293" t="s">
        <v>88</v>
      </c>
      <c r="D5293" t="s">
        <v>88</v>
      </c>
      <c r="E5293" t="s">
        <v>844</v>
      </c>
      <c r="F5293" t="s">
        <v>88</v>
      </c>
      <c r="G5293" t="s">
        <v>88</v>
      </c>
      <c r="H5293" t="s">
        <v>92</v>
      </c>
    </row>
    <row r="5294" spans="1:8" x14ac:dyDescent="0.25">
      <c r="A5294" t="s">
        <v>239</v>
      </c>
      <c r="B5294" t="s">
        <v>4947</v>
      </c>
      <c r="C5294" t="s">
        <v>88</v>
      </c>
      <c r="D5294" t="s">
        <v>88</v>
      </c>
      <c r="E5294" t="s">
        <v>964</v>
      </c>
      <c r="F5294" t="s">
        <v>88</v>
      </c>
      <c r="G5294" t="s">
        <v>88</v>
      </c>
      <c r="H5294" t="s">
        <v>92</v>
      </c>
    </row>
    <row r="5295" spans="1:8" x14ac:dyDescent="0.25">
      <c r="A5295" t="s">
        <v>239</v>
      </c>
      <c r="B5295" t="s">
        <v>4948</v>
      </c>
      <c r="C5295" t="s">
        <v>88</v>
      </c>
      <c r="D5295" t="s">
        <v>88</v>
      </c>
      <c r="E5295" t="s">
        <v>700</v>
      </c>
      <c r="F5295" t="s">
        <v>88</v>
      </c>
      <c r="G5295" t="s">
        <v>88</v>
      </c>
      <c r="H5295" t="s">
        <v>92</v>
      </c>
    </row>
    <row r="5296" spans="1:8" x14ac:dyDescent="0.25">
      <c r="A5296" t="s">
        <v>239</v>
      </c>
      <c r="B5296" t="s">
        <v>4949</v>
      </c>
      <c r="C5296" t="s">
        <v>88</v>
      </c>
      <c r="D5296" t="s">
        <v>88</v>
      </c>
      <c r="E5296" t="s">
        <v>1139</v>
      </c>
      <c r="F5296" t="s">
        <v>88</v>
      </c>
      <c r="G5296" t="s">
        <v>88</v>
      </c>
      <c r="H5296" t="s">
        <v>92</v>
      </c>
    </row>
    <row r="5297" spans="1:8" x14ac:dyDescent="0.25">
      <c r="A5297" t="s">
        <v>239</v>
      </c>
      <c r="B5297" t="s">
        <v>4755</v>
      </c>
      <c r="C5297" t="s">
        <v>88</v>
      </c>
      <c r="D5297" t="s">
        <v>4950</v>
      </c>
      <c r="E5297" t="s">
        <v>676</v>
      </c>
      <c r="F5297" t="s">
        <v>88</v>
      </c>
      <c r="G5297" t="s">
        <v>88</v>
      </c>
      <c r="H5297" t="s">
        <v>92</v>
      </c>
    </row>
    <row r="5298" spans="1:8" x14ac:dyDescent="0.25">
      <c r="A5298" t="s">
        <v>239</v>
      </c>
      <c r="B5298" t="s">
        <v>4951</v>
      </c>
      <c r="C5298" t="s">
        <v>88</v>
      </c>
      <c r="D5298" t="s">
        <v>88</v>
      </c>
      <c r="E5298" t="s">
        <v>964</v>
      </c>
      <c r="F5298" t="s">
        <v>88</v>
      </c>
      <c r="G5298" t="s">
        <v>88</v>
      </c>
      <c r="H5298" t="s">
        <v>92</v>
      </c>
    </row>
    <row r="5299" spans="1:8" x14ac:dyDescent="0.25">
      <c r="A5299" t="s">
        <v>239</v>
      </c>
      <c r="B5299" t="s">
        <v>1046</v>
      </c>
      <c r="C5299" t="s">
        <v>88</v>
      </c>
      <c r="D5299" t="s">
        <v>88</v>
      </c>
      <c r="E5299" t="s">
        <v>676</v>
      </c>
      <c r="F5299" t="s">
        <v>88</v>
      </c>
      <c r="G5299" t="s">
        <v>88</v>
      </c>
      <c r="H5299" t="s">
        <v>92</v>
      </c>
    </row>
    <row r="5300" spans="1:8" x14ac:dyDescent="0.25">
      <c r="A5300" t="s">
        <v>239</v>
      </c>
      <c r="B5300" t="s">
        <v>4952</v>
      </c>
      <c r="C5300" t="s">
        <v>88</v>
      </c>
      <c r="D5300" t="s">
        <v>88</v>
      </c>
      <c r="E5300" t="s">
        <v>1153</v>
      </c>
      <c r="F5300" t="s">
        <v>88</v>
      </c>
      <c r="G5300" t="s">
        <v>88</v>
      </c>
      <c r="H5300" t="s">
        <v>92</v>
      </c>
    </row>
    <row r="5301" spans="1:8" x14ac:dyDescent="0.25">
      <c r="A5301" t="s">
        <v>239</v>
      </c>
      <c r="B5301" t="s">
        <v>1078</v>
      </c>
      <c r="C5301" t="s">
        <v>88</v>
      </c>
      <c r="D5301" t="s">
        <v>88</v>
      </c>
      <c r="E5301" t="s">
        <v>844</v>
      </c>
      <c r="F5301" t="s">
        <v>88</v>
      </c>
      <c r="G5301" t="s">
        <v>88</v>
      </c>
      <c r="H5301" t="s">
        <v>92</v>
      </c>
    </row>
    <row r="5302" spans="1:8" x14ac:dyDescent="0.25">
      <c r="A5302" t="s">
        <v>239</v>
      </c>
      <c r="B5302" t="s">
        <v>1141</v>
      </c>
      <c r="C5302" t="s">
        <v>88</v>
      </c>
      <c r="D5302" t="s">
        <v>88</v>
      </c>
      <c r="E5302" t="s">
        <v>692</v>
      </c>
      <c r="F5302" t="s">
        <v>88</v>
      </c>
      <c r="G5302" t="s">
        <v>88</v>
      </c>
      <c r="H5302" t="s">
        <v>92</v>
      </c>
    </row>
    <row r="5303" spans="1:8" x14ac:dyDescent="0.25">
      <c r="A5303" t="s">
        <v>239</v>
      </c>
      <c r="B5303" t="s">
        <v>1142</v>
      </c>
      <c r="C5303" t="s">
        <v>88</v>
      </c>
      <c r="D5303" t="s">
        <v>88</v>
      </c>
      <c r="E5303" t="s">
        <v>692</v>
      </c>
      <c r="F5303" t="s">
        <v>88</v>
      </c>
      <c r="G5303" t="s">
        <v>88</v>
      </c>
      <c r="H5303" t="s">
        <v>92</v>
      </c>
    </row>
    <row r="5304" spans="1:8" x14ac:dyDescent="0.25">
      <c r="A5304" t="s">
        <v>239</v>
      </c>
      <c r="B5304" t="s">
        <v>1138</v>
      </c>
      <c r="C5304" t="s">
        <v>88</v>
      </c>
      <c r="D5304" t="s">
        <v>88</v>
      </c>
      <c r="E5304" t="s">
        <v>679</v>
      </c>
      <c r="F5304" t="s">
        <v>88</v>
      </c>
      <c r="G5304" t="s">
        <v>88</v>
      </c>
      <c r="H5304" t="s">
        <v>92</v>
      </c>
    </row>
    <row r="5305" spans="1:8" x14ac:dyDescent="0.25">
      <c r="A5305" t="s">
        <v>239</v>
      </c>
      <c r="B5305" t="s">
        <v>1140</v>
      </c>
      <c r="C5305" t="s">
        <v>88</v>
      </c>
      <c r="D5305" t="s">
        <v>88</v>
      </c>
      <c r="E5305" t="s">
        <v>679</v>
      </c>
      <c r="F5305" t="s">
        <v>88</v>
      </c>
      <c r="G5305" t="s">
        <v>88</v>
      </c>
      <c r="H5305" t="s">
        <v>92</v>
      </c>
    </row>
    <row r="5306" spans="1:8" x14ac:dyDescent="0.25">
      <c r="A5306" t="s">
        <v>239</v>
      </c>
      <c r="B5306" t="s">
        <v>625</v>
      </c>
      <c r="C5306" t="s">
        <v>88</v>
      </c>
      <c r="D5306" t="s">
        <v>88</v>
      </c>
      <c r="E5306" t="s">
        <v>626</v>
      </c>
      <c r="F5306" t="s">
        <v>88</v>
      </c>
      <c r="G5306" t="s">
        <v>88</v>
      </c>
      <c r="H5306" t="s">
        <v>92</v>
      </c>
    </row>
    <row r="5307" spans="1:8" x14ac:dyDescent="0.25">
      <c r="A5307" t="s">
        <v>240</v>
      </c>
      <c r="B5307" t="s">
        <v>4952</v>
      </c>
      <c r="C5307" t="s">
        <v>88</v>
      </c>
      <c r="D5307" t="s">
        <v>88</v>
      </c>
      <c r="E5307" t="s">
        <v>1171</v>
      </c>
      <c r="F5307" t="s">
        <v>88</v>
      </c>
      <c r="G5307" t="s">
        <v>88</v>
      </c>
      <c r="H5307" t="s">
        <v>92</v>
      </c>
    </row>
    <row r="5308" spans="1:8" x14ac:dyDescent="0.25">
      <c r="A5308" t="s">
        <v>240</v>
      </c>
      <c r="B5308" t="s">
        <v>4953</v>
      </c>
      <c r="C5308" t="s">
        <v>88</v>
      </c>
      <c r="D5308" t="s">
        <v>88</v>
      </c>
      <c r="E5308" t="s">
        <v>676</v>
      </c>
      <c r="F5308" t="s">
        <v>88</v>
      </c>
      <c r="G5308" t="s">
        <v>88</v>
      </c>
      <c r="H5308" t="s">
        <v>92</v>
      </c>
    </row>
    <row r="5309" spans="1:8" x14ac:dyDescent="0.25">
      <c r="A5309" t="s">
        <v>240</v>
      </c>
      <c r="B5309" t="s">
        <v>1157</v>
      </c>
      <c r="C5309" t="s">
        <v>88</v>
      </c>
      <c r="D5309" t="s">
        <v>88</v>
      </c>
      <c r="E5309" t="s">
        <v>676</v>
      </c>
      <c r="F5309" t="s">
        <v>88</v>
      </c>
      <c r="G5309" t="s">
        <v>88</v>
      </c>
      <c r="H5309" t="s">
        <v>92</v>
      </c>
    </row>
    <row r="5310" spans="1:8" x14ac:dyDescent="0.25">
      <c r="A5310" t="s">
        <v>240</v>
      </c>
      <c r="B5310" t="s">
        <v>3170</v>
      </c>
      <c r="C5310" t="s">
        <v>88</v>
      </c>
      <c r="D5310" t="s">
        <v>88</v>
      </c>
      <c r="E5310" t="s">
        <v>964</v>
      </c>
      <c r="F5310" t="s">
        <v>88</v>
      </c>
      <c r="G5310" t="s">
        <v>88</v>
      </c>
      <c r="H5310" t="s">
        <v>92</v>
      </c>
    </row>
    <row r="5311" spans="1:8" x14ac:dyDescent="0.25">
      <c r="A5311" t="s">
        <v>240</v>
      </c>
      <c r="B5311" t="s">
        <v>4954</v>
      </c>
      <c r="C5311" t="s">
        <v>88</v>
      </c>
      <c r="D5311" t="s">
        <v>88</v>
      </c>
      <c r="E5311" t="s">
        <v>964</v>
      </c>
      <c r="F5311" t="s">
        <v>88</v>
      </c>
      <c r="G5311" t="s">
        <v>88</v>
      </c>
      <c r="H5311" t="s">
        <v>92</v>
      </c>
    </row>
    <row r="5312" spans="1:8" x14ac:dyDescent="0.25">
      <c r="A5312" t="s">
        <v>240</v>
      </c>
      <c r="B5312" t="s">
        <v>3170</v>
      </c>
      <c r="C5312" t="s">
        <v>88</v>
      </c>
      <c r="D5312" t="s">
        <v>88</v>
      </c>
      <c r="E5312" t="s">
        <v>964</v>
      </c>
      <c r="F5312" t="s">
        <v>88</v>
      </c>
      <c r="G5312" t="s">
        <v>88</v>
      </c>
      <c r="H5312" t="s">
        <v>92</v>
      </c>
    </row>
    <row r="5313" spans="1:8" x14ac:dyDescent="0.25">
      <c r="A5313" t="s">
        <v>240</v>
      </c>
      <c r="B5313" t="s">
        <v>3171</v>
      </c>
      <c r="C5313" t="s">
        <v>88</v>
      </c>
      <c r="D5313" t="s">
        <v>88</v>
      </c>
      <c r="E5313" t="s">
        <v>700</v>
      </c>
      <c r="F5313" t="s">
        <v>88</v>
      </c>
      <c r="G5313" t="s">
        <v>88</v>
      </c>
      <c r="H5313" t="s">
        <v>92</v>
      </c>
    </row>
    <row r="5314" spans="1:8" x14ac:dyDescent="0.25">
      <c r="A5314" t="s">
        <v>240</v>
      </c>
      <c r="B5314" t="s">
        <v>1722</v>
      </c>
      <c r="C5314" t="s">
        <v>88</v>
      </c>
      <c r="D5314" t="s">
        <v>88</v>
      </c>
      <c r="E5314" t="s">
        <v>1171</v>
      </c>
      <c r="F5314" t="s">
        <v>88</v>
      </c>
      <c r="G5314" t="s">
        <v>88</v>
      </c>
      <c r="H5314" t="s">
        <v>92</v>
      </c>
    </row>
    <row r="5315" spans="1:8" x14ac:dyDescent="0.25">
      <c r="A5315" t="s">
        <v>240</v>
      </c>
      <c r="B5315" t="s">
        <v>4955</v>
      </c>
      <c r="C5315" t="s">
        <v>88</v>
      </c>
      <c r="D5315" t="s">
        <v>88</v>
      </c>
      <c r="E5315" t="s">
        <v>812</v>
      </c>
      <c r="F5315" t="s">
        <v>88</v>
      </c>
      <c r="G5315" t="s">
        <v>88</v>
      </c>
      <c r="H5315" t="s">
        <v>92</v>
      </c>
    </row>
    <row r="5316" spans="1:8" x14ac:dyDescent="0.25">
      <c r="A5316" t="s">
        <v>240</v>
      </c>
      <c r="B5316" t="s">
        <v>1168</v>
      </c>
      <c r="C5316" t="s">
        <v>88</v>
      </c>
      <c r="D5316" t="s">
        <v>88</v>
      </c>
      <c r="E5316" t="s">
        <v>1068</v>
      </c>
      <c r="F5316" t="s">
        <v>88</v>
      </c>
      <c r="G5316" t="s">
        <v>88</v>
      </c>
      <c r="H5316" t="s">
        <v>92</v>
      </c>
    </row>
    <row r="5317" spans="1:8" x14ac:dyDescent="0.25">
      <c r="A5317" t="s">
        <v>240</v>
      </c>
      <c r="B5317" t="s">
        <v>1160</v>
      </c>
      <c r="C5317" t="s">
        <v>88</v>
      </c>
      <c r="D5317" t="s">
        <v>88</v>
      </c>
      <c r="E5317" t="s">
        <v>964</v>
      </c>
      <c r="F5317" t="s">
        <v>88</v>
      </c>
      <c r="G5317" t="s">
        <v>88</v>
      </c>
      <c r="H5317" t="s">
        <v>92</v>
      </c>
    </row>
    <row r="5318" spans="1:8" x14ac:dyDescent="0.25">
      <c r="A5318" t="s">
        <v>240</v>
      </c>
      <c r="B5318" t="s">
        <v>4956</v>
      </c>
      <c r="C5318" t="s">
        <v>88</v>
      </c>
      <c r="D5318" t="s">
        <v>88</v>
      </c>
      <c r="E5318" t="s">
        <v>1068</v>
      </c>
      <c r="F5318" t="s">
        <v>88</v>
      </c>
      <c r="G5318" t="s">
        <v>88</v>
      </c>
      <c r="H5318" t="s">
        <v>92</v>
      </c>
    </row>
    <row r="5319" spans="1:8" x14ac:dyDescent="0.25">
      <c r="A5319" t="s">
        <v>240</v>
      </c>
      <c r="B5319" t="s">
        <v>4957</v>
      </c>
      <c r="C5319" t="s">
        <v>88</v>
      </c>
      <c r="D5319" t="s">
        <v>88</v>
      </c>
      <c r="E5319" t="s">
        <v>964</v>
      </c>
      <c r="F5319" t="s">
        <v>88</v>
      </c>
      <c r="G5319" t="s">
        <v>88</v>
      </c>
      <c r="H5319" t="s">
        <v>92</v>
      </c>
    </row>
    <row r="5320" spans="1:8" x14ac:dyDescent="0.25">
      <c r="A5320" t="s">
        <v>240</v>
      </c>
      <c r="B5320" t="s">
        <v>4958</v>
      </c>
      <c r="C5320" t="s">
        <v>88</v>
      </c>
      <c r="D5320" t="s">
        <v>88</v>
      </c>
      <c r="E5320" t="s">
        <v>1068</v>
      </c>
      <c r="F5320" t="s">
        <v>88</v>
      </c>
      <c r="G5320" t="s">
        <v>88</v>
      </c>
      <c r="H5320" t="s">
        <v>92</v>
      </c>
    </row>
    <row r="5321" spans="1:8" x14ac:dyDescent="0.25">
      <c r="A5321" t="s">
        <v>240</v>
      </c>
      <c r="B5321" t="s">
        <v>4959</v>
      </c>
      <c r="C5321" t="s">
        <v>88</v>
      </c>
      <c r="D5321" t="s">
        <v>88</v>
      </c>
      <c r="E5321" t="s">
        <v>964</v>
      </c>
      <c r="F5321" t="s">
        <v>88</v>
      </c>
      <c r="G5321" t="s">
        <v>88</v>
      </c>
      <c r="H5321" t="s">
        <v>92</v>
      </c>
    </row>
    <row r="5322" spans="1:8" x14ac:dyDescent="0.25">
      <c r="A5322" t="s">
        <v>240</v>
      </c>
      <c r="B5322" t="s">
        <v>4960</v>
      </c>
      <c r="C5322" t="s">
        <v>88</v>
      </c>
      <c r="D5322" t="s">
        <v>88</v>
      </c>
      <c r="E5322" t="s">
        <v>805</v>
      </c>
      <c r="F5322" t="s">
        <v>88</v>
      </c>
      <c r="G5322" t="s">
        <v>88</v>
      </c>
      <c r="H5322" t="s">
        <v>92</v>
      </c>
    </row>
    <row r="5323" spans="1:8" x14ac:dyDescent="0.25">
      <c r="A5323" t="s">
        <v>240</v>
      </c>
      <c r="B5323" t="s">
        <v>4961</v>
      </c>
      <c r="C5323" t="s">
        <v>88</v>
      </c>
      <c r="D5323" t="s">
        <v>88</v>
      </c>
      <c r="E5323" t="s">
        <v>812</v>
      </c>
      <c r="F5323" t="s">
        <v>88</v>
      </c>
      <c r="G5323" t="s">
        <v>88</v>
      </c>
      <c r="H5323" t="s">
        <v>92</v>
      </c>
    </row>
    <row r="5324" spans="1:8" x14ac:dyDescent="0.25">
      <c r="A5324" t="s">
        <v>240</v>
      </c>
      <c r="B5324" t="s">
        <v>4962</v>
      </c>
      <c r="C5324" t="s">
        <v>88</v>
      </c>
      <c r="D5324" t="s">
        <v>88</v>
      </c>
      <c r="E5324" t="s">
        <v>1068</v>
      </c>
      <c r="F5324" t="s">
        <v>88</v>
      </c>
      <c r="G5324" t="s">
        <v>88</v>
      </c>
      <c r="H5324" t="s">
        <v>92</v>
      </c>
    </row>
    <row r="5325" spans="1:8" x14ac:dyDescent="0.25">
      <c r="A5325" t="s">
        <v>240</v>
      </c>
      <c r="B5325" t="s">
        <v>4954</v>
      </c>
      <c r="C5325" t="s">
        <v>88</v>
      </c>
      <c r="D5325" t="s">
        <v>88</v>
      </c>
      <c r="E5325" t="s">
        <v>964</v>
      </c>
      <c r="F5325" t="s">
        <v>88</v>
      </c>
      <c r="G5325" t="s">
        <v>88</v>
      </c>
      <c r="H5325" t="s">
        <v>92</v>
      </c>
    </row>
    <row r="5326" spans="1:8" x14ac:dyDescent="0.25">
      <c r="A5326" t="s">
        <v>240</v>
      </c>
      <c r="B5326" t="s">
        <v>4963</v>
      </c>
      <c r="C5326" t="s">
        <v>88</v>
      </c>
      <c r="D5326" t="s">
        <v>88</v>
      </c>
      <c r="E5326" t="s">
        <v>1171</v>
      </c>
      <c r="F5326" t="s">
        <v>88</v>
      </c>
      <c r="G5326" t="s">
        <v>88</v>
      </c>
      <c r="H5326" t="s">
        <v>92</v>
      </c>
    </row>
    <row r="5327" spans="1:8" x14ac:dyDescent="0.25">
      <c r="A5327" t="s">
        <v>240</v>
      </c>
      <c r="B5327" t="s">
        <v>4964</v>
      </c>
      <c r="C5327" t="s">
        <v>88</v>
      </c>
      <c r="D5327" t="s">
        <v>88</v>
      </c>
      <c r="E5327" t="s">
        <v>676</v>
      </c>
      <c r="F5327" t="s">
        <v>88</v>
      </c>
      <c r="G5327" t="s">
        <v>88</v>
      </c>
      <c r="H5327" t="s">
        <v>92</v>
      </c>
    </row>
    <row r="5328" spans="1:8" x14ac:dyDescent="0.25">
      <c r="A5328" t="s">
        <v>240</v>
      </c>
      <c r="B5328" t="s">
        <v>4965</v>
      </c>
      <c r="C5328" t="s">
        <v>88</v>
      </c>
      <c r="D5328" t="s">
        <v>88</v>
      </c>
      <c r="E5328" t="s">
        <v>1171</v>
      </c>
      <c r="F5328" t="s">
        <v>88</v>
      </c>
      <c r="G5328" t="s">
        <v>88</v>
      </c>
      <c r="H5328" t="s">
        <v>92</v>
      </c>
    </row>
    <row r="5329" spans="1:8" x14ac:dyDescent="0.25">
      <c r="A5329" t="s">
        <v>240</v>
      </c>
      <c r="B5329" t="s">
        <v>4966</v>
      </c>
      <c r="C5329" t="s">
        <v>88</v>
      </c>
      <c r="D5329" t="s">
        <v>88</v>
      </c>
      <c r="E5329" t="s">
        <v>676</v>
      </c>
      <c r="F5329" t="s">
        <v>88</v>
      </c>
      <c r="G5329" t="s">
        <v>88</v>
      </c>
      <c r="H5329" t="s">
        <v>92</v>
      </c>
    </row>
    <row r="5330" spans="1:8" x14ac:dyDescent="0.25">
      <c r="A5330" t="s">
        <v>240</v>
      </c>
      <c r="B5330" t="s">
        <v>4967</v>
      </c>
      <c r="C5330" t="s">
        <v>88</v>
      </c>
      <c r="D5330" t="s">
        <v>88</v>
      </c>
      <c r="E5330" t="s">
        <v>1171</v>
      </c>
      <c r="F5330" t="s">
        <v>88</v>
      </c>
      <c r="G5330" t="s">
        <v>88</v>
      </c>
      <c r="H5330" t="s">
        <v>92</v>
      </c>
    </row>
    <row r="5331" spans="1:8" x14ac:dyDescent="0.25">
      <c r="A5331" t="s">
        <v>240</v>
      </c>
      <c r="B5331" t="s">
        <v>4968</v>
      </c>
      <c r="C5331" t="s">
        <v>88</v>
      </c>
      <c r="D5331" t="s">
        <v>88</v>
      </c>
      <c r="E5331" t="s">
        <v>964</v>
      </c>
      <c r="F5331" t="s">
        <v>88</v>
      </c>
      <c r="G5331" t="s">
        <v>88</v>
      </c>
      <c r="H5331" t="s">
        <v>92</v>
      </c>
    </row>
    <row r="5332" spans="1:8" x14ac:dyDescent="0.25">
      <c r="A5332" t="s">
        <v>240</v>
      </c>
      <c r="B5332" t="s">
        <v>4952</v>
      </c>
      <c r="C5332" t="s">
        <v>88</v>
      </c>
      <c r="D5332" t="s">
        <v>88</v>
      </c>
      <c r="E5332" t="s">
        <v>1171</v>
      </c>
      <c r="F5332" t="s">
        <v>88</v>
      </c>
      <c r="G5332" t="s">
        <v>88</v>
      </c>
      <c r="H5332" t="s">
        <v>92</v>
      </c>
    </row>
    <row r="5333" spans="1:8" x14ac:dyDescent="0.25">
      <c r="A5333" t="s">
        <v>240</v>
      </c>
      <c r="B5333" t="s">
        <v>4953</v>
      </c>
      <c r="C5333" t="s">
        <v>88</v>
      </c>
      <c r="D5333" t="s">
        <v>88</v>
      </c>
      <c r="E5333" t="s">
        <v>676</v>
      </c>
      <c r="F5333" t="s">
        <v>88</v>
      </c>
      <c r="G5333" t="s">
        <v>88</v>
      </c>
      <c r="H5333" t="s">
        <v>92</v>
      </c>
    </row>
    <row r="5334" spans="1:8" x14ac:dyDescent="0.25">
      <c r="A5334" t="s">
        <v>240</v>
      </c>
      <c r="B5334" t="s">
        <v>1053</v>
      </c>
      <c r="C5334" t="s">
        <v>88</v>
      </c>
      <c r="D5334" t="s">
        <v>88</v>
      </c>
      <c r="E5334" t="s">
        <v>1171</v>
      </c>
      <c r="F5334" t="s">
        <v>88</v>
      </c>
      <c r="G5334" t="s">
        <v>88</v>
      </c>
      <c r="H5334" t="s">
        <v>92</v>
      </c>
    </row>
    <row r="5335" spans="1:8" x14ac:dyDescent="0.25">
      <c r="A5335" t="s">
        <v>240</v>
      </c>
      <c r="B5335" t="s">
        <v>1157</v>
      </c>
      <c r="C5335" t="s">
        <v>88</v>
      </c>
      <c r="D5335" t="s">
        <v>88</v>
      </c>
      <c r="E5335" t="s">
        <v>676</v>
      </c>
      <c r="F5335" t="s">
        <v>88</v>
      </c>
      <c r="G5335" t="s">
        <v>88</v>
      </c>
      <c r="H5335" t="s">
        <v>92</v>
      </c>
    </row>
    <row r="5336" spans="1:8" x14ac:dyDescent="0.25">
      <c r="A5336" t="s">
        <v>240</v>
      </c>
      <c r="B5336" t="s">
        <v>4629</v>
      </c>
      <c r="C5336" t="s">
        <v>88</v>
      </c>
      <c r="D5336" t="s">
        <v>88</v>
      </c>
      <c r="E5336" t="s">
        <v>1068</v>
      </c>
      <c r="F5336" t="s">
        <v>88</v>
      </c>
      <c r="G5336" t="s">
        <v>88</v>
      </c>
      <c r="H5336" t="s">
        <v>92</v>
      </c>
    </row>
    <row r="5337" spans="1:8" x14ac:dyDescent="0.25">
      <c r="A5337" t="s">
        <v>240</v>
      </c>
      <c r="B5337" t="s">
        <v>4592</v>
      </c>
      <c r="C5337" t="s">
        <v>88</v>
      </c>
      <c r="D5337" t="s">
        <v>88</v>
      </c>
      <c r="E5337" t="s">
        <v>964</v>
      </c>
      <c r="F5337" t="s">
        <v>88</v>
      </c>
      <c r="G5337" t="s">
        <v>88</v>
      </c>
      <c r="H5337" t="s">
        <v>92</v>
      </c>
    </row>
    <row r="5338" spans="1:8" x14ac:dyDescent="0.25">
      <c r="A5338" t="s">
        <v>240</v>
      </c>
      <c r="B5338" t="s">
        <v>4969</v>
      </c>
      <c r="C5338" t="s">
        <v>88</v>
      </c>
      <c r="D5338" t="s">
        <v>88</v>
      </c>
      <c r="E5338" t="s">
        <v>812</v>
      </c>
      <c r="F5338" t="s">
        <v>88</v>
      </c>
      <c r="G5338" t="s">
        <v>88</v>
      </c>
      <c r="H5338" t="s">
        <v>92</v>
      </c>
    </row>
    <row r="5339" spans="1:8" x14ac:dyDescent="0.25">
      <c r="A5339" t="s">
        <v>240</v>
      </c>
      <c r="B5339" t="s">
        <v>4970</v>
      </c>
      <c r="C5339" t="s">
        <v>88</v>
      </c>
      <c r="D5339" t="s">
        <v>88</v>
      </c>
      <c r="E5339" t="s">
        <v>692</v>
      </c>
      <c r="F5339" t="s">
        <v>88</v>
      </c>
      <c r="G5339" t="s">
        <v>88</v>
      </c>
      <c r="H5339" t="s">
        <v>92</v>
      </c>
    </row>
    <row r="5340" spans="1:8" x14ac:dyDescent="0.25">
      <c r="A5340" t="s">
        <v>240</v>
      </c>
      <c r="B5340" t="s">
        <v>4971</v>
      </c>
      <c r="C5340" t="s">
        <v>88</v>
      </c>
      <c r="D5340" t="s">
        <v>88</v>
      </c>
      <c r="E5340" t="s">
        <v>805</v>
      </c>
      <c r="F5340" t="s">
        <v>88</v>
      </c>
      <c r="G5340" t="s">
        <v>88</v>
      </c>
      <c r="H5340" t="s">
        <v>92</v>
      </c>
    </row>
    <row r="5341" spans="1:8" x14ac:dyDescent="0.25">
      <c r="A5341" t="s">
        <v>240</v>
      </c>
      <c r="B5341" t="s">
        <v>4972</v>
      </c>
      <c r="C5341" t="s">
        <v>88</v>
      </c>
      <c r="D5341" t="s">
        <v>88</v>
      </c>
      <c r="E5341" t="s">
        <v>812</v>
      </c>
      <c r="F5341" t="s">
        <v>88</v>
      </c>
      <c r="G5341" t="s">
        <v>88</v>
      </c>
      <c r="H5341" t="s">
        <v>92</v>
      </c>
    </row>
    <row r="5342" spans="1:8" x14ac:dyDescent="0.25">
      <c r="A5342" t="s">
        <v>240</v>
      </c>
      <c r="B5342" t="s">
        <v>1046</v>
      </c>
      <c r="C5342" t="s">
        <v>88</v>
      </c>
      <c r="D5342" t="s">
        <v>88</v>
      </c>
      <c r="E5342" t="s">
        <v>825</v>
      </c>
      <c r="F5342" t="s">
        <v>88</v>
      </c>
      <c r="G5342" t="s">
        <v>88</v>
      </c>
      <c r="H5342" t="s">
        <v>92</v>
      </c>
    </row>
    <row r="5343" spans="1:8" x14ac:dyDescent="0.25">
      <c r="A5343" t="s">
        <v>240</v>
      </c>
      <c r="B5343" t="s">
        <v>3182</v>
      </c>
      <c r="C5343" t="s">
        <v>88</v>
      </c>
      <c r="D5343" t="s">
        <v>88</v>
      </c>
      <c r="E5343" t="s">
        <v>655</v>
      </c>
      <c r="F5343" t="s">
        <v>88</v>
      </c>
      <c r="G5343" t="s">
        <v>88</v>
      </c>
      <c r="H5343" t="s">
        <v>92</v>
      </c>
    </row>
    <row r="5344" spans="1:8" x14ac:dyDescent="0.25">
      <c r="A5344" t="s">
        <v>240</v>
      </c>
      <c r="B5344" t="s">
        <v>4973</v>
      </c>
      <c r="C5344" t="s">
        <v>88</v>
      </c>
      <c r="D5344" t="s">
        <v>88</v>
      </c>
      <c r="E5344" t="s">
        <v>812</v>
      </c>
      <c r="F5344" t="s">
        <v>88</v>
      </c>
      <c r="G5344" t="s">
        <v>88</v>
      </c>
      <c r="H5344" t="s">
        <v>92</v>
      </c>
    </row>
    <row r="5345" spans="1:8" x14ac:dyDescent="0.25">
      <c r="A5345" t="s">
        <v>240</v>
      </c>
      <c r="B5345" t="s">
        <v>4974</v>
      </c>
      <c r="C5345" t="s">
        <v>88</v>
      </c>
      <c r="D5345" t="s">
        <v>88</v>
      </c>
      <c r="E5345" t="s">
        <v>692</v>
      </c>
      <c r="F5345" t="s">
        <v>88</v>
      </c>
      <c r="G5345" t="s">
        <v>88</v>
      </c>
      <c r="H5345" t="s">
        <v>92</v>
      </c>
    </row>
    <row r="5346" spans="1:8" x14ac:dyDescent="0.25">
      <c r="A5346" t="s">
        <v>240</v>
      </c>
      <c r="B5346" t="s">
        <v>4975</v>
      </c>
      <c r="C5346" t="s">
        <v>88</v>
      </c>
      <c r="D5346" t="s">
        <v>88</v>
      </c>
      <c r="E5346" t="s">
        <v>812</v>
      </c>
      <c r="F5346" t="s">
        <v>88</v>
      </c>
      <c r="G5346" t="s">
        <v>88</v>
      </c>
      <c r="H5346" t="s">
        <v>92</v>
      </c>
    </row>
    <row r="5347" spans="1:8" x14ac:dyDescent="0.25">
      <c r="A5347" t="s">
        <v>240</v>
      </c>
      <c r="B5347" t="s">
        <v>4976</v>
      </c>
      <c r="C5347" t="s">
        <v>88</v>
      </c>
      <c r="D5347" t="s">
        <v>88</v>
      </c>
      <c r="E5347" t="s">
        <v>692</v>
      </c>
      <c r="F5347" t="s">
        <v>88</v>
      </c>
      <c r="G5347" t="s">
        <v>88</v>
      </c>
      <c r="H5347" t="s">
        <v>92</v>
      </c>
    </row>
    <row r="5348" spans="1:8" x14ac:dyDescent="0.25">
      <c r="A5348" t="s">
        <v>240</v>
      </c>
      <c r="B5348" t="s">
        <v>4977</v>
      </c>
      <c r="C5348" t="s">
        <v>88</v>
      </c>
      <c r="D5348" t="s">
        <v>88</v>
      </c>
      <c r="E5348" t="s">
        <v>812</v>
      </c>
      <c r="F5348" t="s">
        <v>88</v>
      </c>
      <c r="G5348" t="s">
        <v>88</v>
      </c>
      <c r="H5348" t="s">
        <v>92</v>
      </c>
    </row>
    <row r="5349" spans="1:8" x14ac:dyDescent="0.25">
      <c r="A5349" t="s">
        <v>240</v>
      </c>
      <c r="B5349" t="s">
        <v>4978</v>
      </c>
      <c r="C5349" t="s">
        <v>88</v>
      </c>
      <c r="D5349" t="s">
        <v>88</v>
      </c>
      <c r="E5349" t="s">
        <v>692</v>
      </c>
      <c r="F5349" t="s">
        <v>88</v>
      </c>
      <c r="G5349" t="s">
        <v>88</v>
      </c>
      <c r="H5349" t="s">
        <v>92</v>
      </c>
    </row>
    <row r="5350" spans="1:8" x14ac:dyDescent="0.25">
      <c r="A5350" t="s">
        <v>240</v>
      </c>
      <c r="B5350" t="s">
        <v>1170</v>
      </c>
      <c r="C5350" t="s">
        <v>88</v>
      </c>
      <c r="D5350" t="s">
        <v>88</v>
      </c>
      <c r="E5350" t="s">
        <v>812</v>
      </c>
      <c r="F5350" t="s">
        <v>88</v>
      </c>
      <c r="G5350" t="s">
        <v>88</v>
      </c>
      <c r="H5350" t="s">
        <v>92</v>
      </c>
    </row>
    <row r="5351" spans="1:8" x14ac:dyDescent="0.25">
      <c r="A5351" t="s">
        <v>240</v>
      </c>
      <c r="B5351" t="s">
        <v>3183</v>
      </c>
      <c r="C5351" t="s">
        <v>88</v>
      </c>
      <c r="D5351" t="s">
        <v>88</v>
      </c>
      <c r="E5351" t="s">
        <v>692</v>
      </c>
      <c r="F5351" t="s">
        <v>88</v>
      </c>
      <c r="G5351" t="s">
        <v>88</v>
      </c>
      <c r="H5351" t="s">
        <v>92</v>
      </c>
    </row>
    <row r="5352" spans="1:8" x14ac:dyDescent="0.25">
      <c r="A5352" t="s">
        <v>240</v>
      </c>
      <c r="B5352" t="s">
        <v>4979</v>
      </c>
      <c r="C5352" t="s">
        <v>88</v>
      </c>
      <c r="D5352" t="s">
        <v>88</v>
      </c>
      <c r="E5352" t="s">
        <v>825</v>
      </c>
      <c r="F5352" t="s">
        <v>88</v>
      </c>
      <c r="G5352" t="s">
        <v>88</v>
      </c>
      <c r="H5352" t="s">
        <v>92</v>
      </c>
    </row>
    <row r="5353" spans="1:8" x14ac:dyDescent="0.25">
      <c r="A5353" t="s">
        <v>240</v>
      </c>
      <c r="B5353" t="s">
        <v>4980</v>
      </c>
      <c r="C5353" t="s">
        <v>88</v>
      </c>
      <c r="D5353" t="s">
        <v>88</v>
      </c>
      <c r="E5353" t="s">
        <v>641</v>
      </c>
      <c r="F5353" t="s">
        <v>88</v>
      </c>
      <c r="G5353" t="s">
        <v>88</v>
      </c>
      <c r="H5353" t="s">
        <v>92</v>
      </c>
    </row>
    <row r="5354" spans="1:8" x14ac:dyDescent="0.25">
      <c r="A5354" t="s">
        <v>240</v>
      </c>
      <c r="B5354" t="s">
        <v>625</v>
      </c>
      <c r="C5354" t="s">
        <v>88</v>
      </c>
      <c r="D5354" t="s">
        <v>88</v>
      </c>
      <c r="E5354" t="s">
        <v>626</v>
      </c>
      <c r="F5354" t="s">
        <v>88</v>
      </c>
      <c r="G5354" t="s">
        <v>88</v>
      </c>
      <c r="H5354" t="s">
        <v>92</v>
      </c>
    </row>
    <row r="5355" spans="1:8" x14ac:dyDescent="0.25">
      <c r="A5355" t="s">
        <v>241</v>
      </c>
      <c r="B5355" t="s">
        <v>876</v>
      </c>
      <c r="C5355" t="s">
        <v>88</v>
      </c>
      <c r="D5355" t="s">
        <v>4981</v>
      </c>
      <c r="E5355" t="s">
        <v>700</v>
      </c>
      <c r="F5355" t="s">
        <v>88</v>
      </c>
      <c r="G5355" t="s">
        <v>88</v>
      </c>
      <c r="H5355" t="s">
        <v>92</v>
      </c>
    </row>
    <row r="5356" spans="1:8" x14ac:dyDescent="0.25">
      <c r="A5356" t="s">
        <v>241</v>
      </c>
      <c r="B5356" t="s">
        <v>1677</v>
      </c>
      <c r="C5356" t="s">
        <v>88</v>
      </c>
      <c r="D5356" t="s">
        <v>4981</v>
      </c>
      <c r="E5356" t="s">
        <v>700</v>
      </c>
      <c r="F5356" t="s">
        <v>88</v>
      </c>
      <c r="G5356" t="s">
        <v>88</v>
      </c>
      <c r="H5356" t="s">
        <v>92</v>
      </c>
    </row>
    <row r="5357" spans="1:8" x14ac:dyDescent="0.25">
      <c r="A5357" t="s">
        <v>241</v>
      </c>
      <c r="B5357" t="s">
        <v>740</v>
      </c>
      <c r="C5357" t="s">
        <v>88</v>
      </c>
      <c r="D5357" t="s">
        <v>4981</v>
      </c>
      <c r="E5357" t="s">
        <v>658</v>
      </c>
      <c r="F5357" t="s">
        <v>88</v>
      </c>
      <c r="G5357" t="s">
        <v>88</v>
      </c>
      <c r="H5357" t="s">
        <v>92</v>
      </c>
    </row>
    <row r="5358" spans="1:8" x14ac:dyDescent="0.25">
      <c r="A5358" t="s">
        <v>241</v>
      </c>
      <c r="B5358" t="s">
        <v>1673</v>
      </c>
      <c r="C5358" t="s">
        <v>88</v>
      </c>
      <c r="D5358" t="s">
        <v>4981</v>
      </c>
      <c r="E5358" t="s">
        <v>658</v>
      </c>
      <c r="F5358" t="s">
        <v>88</v>
      </c>
      <c r="G5358" t="s">
        <v>88</v>
      </c>
      <c r="H5358" t="s">
        <v>92</v>
      </c>
    </row>
    <row r="5359" spans="1:8" x14ac:dyDescent="0.25">
      <c r="A5359" t="s">
        <v>241</v>
      </c>
      <c r="B5359" t="s">
        <v>1682</v>
      </c>
      <c r="C5359" t="s">
        <v>88</v>
      </c>
      <c r="D5359" t="s">
        <v>4981</v>
      </c>
      <c r="E5359" t="s">
        <v>658</v>
      </c>
      <c r="F5359" t="s">
        <v>88</v>
      </c>
      <c r="G5359" t="s">
        <v>88</v>
      </c>
      <c r="H5359" t="s">
        <v>92</v>
      </c>
    </row>
    <row r="5360" spans="1:8" x14ac:dyDescent="0.25">
      <c r="A5360" t="s">
        <v>241</v>
      </c>
      <c r="B5360" t="s">
        <v>4982</v>
      </c>
      <c r="C5360" t="s">
        <v>88</v>
      </c>
      <c r="D5360" t="s">
        <v>4981</v>
      </c>
      <c r="E5360" t="s">
        <v>658</v>
      </c>
      <c r="F5360" t="s">
        <v>88</v>
      </c>
      <c r="G5360" t="s">
        <v>88</v>
      </c>
      <c r="H5360" t="s">
        <v>92</v>
      </c>
    </row>
    <row r="5361" spans="1:8" x14ac:dyDescent="0.25">
      <c r="A5361" t="s">
        <v>241</v>
      </c>
      <c r="B5361" t="s">
        <v>739</v>
      </c>
      <c r="C5361" t="s">
        <v>88</v>
      </c>
      <c r="D5361" t="s">
        <v>4983</v>
      </c>
      <c r="E5361" t="s">
        <v>715</v>
      </c>
      <c r="F5361" t="s">
        <v>88</v>
      </c>
      <c r="G5361" t="s">
        <v>88</v>
      </c>
      <c r="H5361" t="s">
        <v>92</v>
      </c>
    </row>
    <row r="5362" spans="1:8" x14ac:dyDescent="0.25">
      <c r="A5362" t="s">
        <v>241</v>
      </c>
      <c r="B5362" t="s">
        <v>736</v>
      </c>
      <c r="C5362" t="s">
        <v>88</v>
      </c>
      <c r="D5362" t="s">
        <v>4983</v>
      </c>
      <c r="E5362" t="s">
        <v>959</v>
      </c>
      <c r="F5362" t="s">
        <v>88</v>
      </c>
      <c r="G5362" t="s">
        <v>88</v>
      </c>
      <c r="H5362" t="s">
        <v>92</v>
      </c>
    </row>
    <row r="5363" spans="1:8" x14ac:dyDescent="0.25">
      <c r="A5363" t="s">
        <v>241</v>
      </c>
      <c r="B5363" t="s">
        <v>1395</v>
      </c>
      <c r="C5363" t="s">
        <v>88</v>
      </c>
      <c r="D5363" t="s">
        <v>4983</v>
      </c>
      <c r="E5363" t="s">
        <v>959</v>
      </c>
      <c r="F5363" t="s">
        <v>88</v>
      </c>
      <c r="G5363" t="s">
        <v>88</v>
      </c>
      <c r="H5363" t="s">
        <v>92</v>
      </c>
    </row>
    <row r="5364" spans="1:8" x14ac:dyDescent="0.25">
      <c r="A5364" t="s">
        <v>241</v>
      </c>
      <c r="B5364" t="s">
        <v>4984</v>
      </c>
      <c r="C5364" t="s">
        <v>88</v>
      </c>
      <c r="D5364" t="s">
        <v>88</v>
      </c>
      <c r="E5364" t="s">
        <v>735</v>
      </c>
      <c r="F5364" t="s">
        <v>88</v>
      </c>
      <c r="G5364" t="s">
        <v>88</v>
      </c>
      <c r="H5364" t="s">
        <v>92</v>
      </c>
    </row>
    <row r="5365" spans="1:8" x14ac:dyDescent="0.25">
      <c r="A5365" t="s">
        <v>241</v>
      </c>
      <c r="B5365" t="s">
        <v>701</v>
      </c>
      <c r="C5365" t="s">
        <v>88</v>
      </c>
      <c r="D5365" t="s">
        <v>88</v>
      </c>
      <c r="E5365" t="s">
        <v>710</v>
      </c>
      <c r="F5365" t="s">
        <v>88</v>
      </c>
      <c r="G5365" t="s">
        <v>88</v>
      </c>
      <c r="H5365" t="s">
        <v>92</v>
      </c>
    </row>
    <row r="5366" spans="1:8" x14ac:dyDescent="0.25">
      <c r="A5366" t="s">
        <v>241</v>
      </c>
      <c r="B5366" t="s">
        <v>705</v>
      </c>
      <c r="C5366" t="s">
        <v>88</v>
      </c>
      <c r="D5366" t="s">
        <v>88</v>
      </c>
      <c r="E5366" t="s">
        <v>710</v>
      </c>
      <c r="F5366" t="s">
        <v>88</v>
      </c>
      <c r="G5366" t="s">
        <v>88</v>
      </c>
      <c r="H5366" t="s">
        <v>92</v>
      </c>
    </row>
    <row r="5367" spans="1:8" x14ac:dyDescent="0.25">
      <c r="A5367" t="s">
        <v>241</v>
      </c>
      <c r="B5367" t="s">
        <v>612</v>
      </c>
      <c r="C5367" t="s">
        <v>88</v>
      </c>
      <c r="D5367" t="s">
        <v>88</v>
      </c>
      <c r="E5367" t="s">
        <v>710</v>
      </c>
      <c r="F5367" t="s">
        <v>88</v>
      </c>
      <c r="G5367" t="s">
        <v>88</v>
      </c>
      <c r="H5367" t="s">
        <v>92</v>
      </c>
    </row>
    <row r="5368" spans="1:8" x14ac:dyDescent="0.25">
      <c r="A5368" t="s">
        <v>241</v>
      </c>
      <c r="B5368" t="s">
        <v>795</v>
      </c>
      <c r="C5368" t="s">
        <v>88</v>
      </c>
      <c r="D5368" t="s">
        <v>88</v>
      </c>
      <c r="E5368" t="s">
        <v>735</v>
      </c>
      <c r="F5368" t="s">
        <v>88</v>
      </c>
      <c r="G5368" t="s">
        <v>88</v>
      </c>
      <c r="H5368" t="s">
        <v>92</v>
      </c>
    </row>
    <row r="5369" spans="1:8" x14ac:dyDescent="0.25">
      <c r="A5369" t="s">
        <v>241</v>
      </c>
      <c r="B5369" t="s">
        <v>797</v>
      </c>
      <c r="C5369" t="s">
        <v>88</v>
      </c>
      <c r="D5369" t="s">
        <v>88</v>
      </c>
      <c r="E5369" t="s">
        <v>713</v>
      </c>
      <c r="F5369" t="s">
        <v>88</v>
      </c>
      <c r="G5369" t="s">
        <v>88</v>
      </c>
      <c r="H5369" t="s">
        <v>92</v>
      </c>
    </row>
    <row r="5370" spans="1:8" x14ac:dyDescent="0.25">
      <c r="A5370" t="s">
        <v>241</v>
      </c>
      <c r="B5370" t="s">
        <v>622</v>
      </c>
      <c r="C5370" t="s">
        <v>88</v>
      </c>
      <c r="D5370" t="s">
        <v>88</v>
      </c>
      <c r="E5370" t="s">
        <v>735</v>
      </c>
      <c r="F5370" t="s">
        <v>88</v>
      </c>
      <c r="G5370" t="s">
        <v>88</v>
      </c>
      <c r="H5370" t="s">
        <v>92</v>
      </c>
    </row>
    <row r="5371" spans="1:8" x14ac:dyDescent="0.25">
      <c r="A5371" t="s">
        <v>241</v>
      </c>
      <c r="B5371" t="s">
        <v>623</v>
      </c>
      <c r="C5371" t="s">
        <v>88</v>
      </c>
      <c r="D5371" t="s">
        <v>88</v>
      </c>
      <c r="E5371" t="s">
        <v>850</v>
      </c>
      <c r="F5371" t="s">
        <v>88</v>
      </c>
      <c r="G5371" t="s">
        <v>88</v>
      </c>
      <c r="H5371" t="s">
        <v>92</v>
      </c>
    </row>
    <row r="5372" spans="1:8" x14ac:dyDescent="0.25">
      <c r="A5372" t="s">
        <v>241</v>
      </c>
      <c r="B5372" t="s">
        <v>714</v>
      </c>
      <c r="C5372" t="s">
        <v>88</v>
      </c>
      <c r="D5372" t="s">
        <v>88</v>
      </c>
      <c r="E5372" t="s">
        <v>734</v>
      </c>
      <c r="F5372" t="s">
        <v>88</v>
      </c>
      <c r="G5372" t="s">
        <v>88</v>
      </c>
      <c r="H5372" t="s">
        <v>92</v>
      </c>
    </row>
    <row r="5373" spans="1:8" x14ac:dyDescent="0.25">
      <c r="A5373" t="s">
        <v>241</v>
      </c>
      <c r="B5373" t="s">
        <v>998</v>
      </c>
      <c r="C5373" t="s">
        <v>88</v>
      </c>
      <c r="D5373" t="s">
        <v>88</v>
      </c>
      <c r="E5373" t="s">
        <v>734</v>
      </c>
      <c r="F5373" t="s">
        <v>88</v>
      </c>
      <c r="G5373" t="s">
        <v>88</v>
      </c>
      <c r="H5373" t="s">
        <v>92</v>
      </c>
    </row>
    <row r="5374" spans="1:8" x14ac:dyDescent="0.25">
      <c r="A5374" t="s">
        <v>241</v>
      </c>
      <c r="B5374" t="s">
        <v>798</v>
      </c>
      <c r="C5374" t="s">
        <v>88</v>
      </c>
      <c r="D5374" t="s">
        <v>88</v>
      </c>
      <c r="E5374" t="s">
        <v>734</v>
      </c>
      <c r="F5374" t="s">
        <v>88</v>
      </c>
      <c r="G5374" t="s">
        <v>88</v>
      </c>
      <c r="H5374" t="s">
        <v>92</v>
      </c>
    </row>
    <row r="5375" spans="1:8" x14ac:dyDescent="0.25">
      <c r="A5375" t="s">
        <v>241</v>
      </c>
      <c r="B5375" t="s">
        <v>982</v>
      </c>
      <c r="C5375" t="s">
        <v>88</v>
      </c>
      <c r="D5375" t="s">
        <v>88</v>
      </c>
      <c r="E5375" t="s">
        <v>734</v>
      </c>
      <c r="F5375" t="s">
        <v>88</v>
      </c>
      <c r="G5375" t="s">
        <v>88</v>
      </c>
      <c r="H5375" t="s">
        <v>92</v>
      </c>
    </row>
    <row r="5376" spans="1:8" x14ac:dyDescent="0.25">
      <c r="A5376" t="s">
        <v>241</v>
      </c>
      <c r="B5376" t="s">
        <v>1400</v>
      </c>
      <c r="C5376" t="s">
        <v>88</v>
      </c>
      <c r="D5376" t="s">
        <v>4985</v>
      </c>
      <c r="E5376" t="s">
        <v>844</v>
      </c>
      <c r="F5376" t="s">
        <v>88</v>
      </c>
      <c r="G5376" t="s">
        <v>88</v>
      </c>
      <c r="H5376" t="s">
        <v>92</v>
      </c>
    </row>
    <row r="5377" spans="1:8" x14ac:dyDescent="0.25">
      <c r="A5377" t="s">
        <v>241</v>
      </c>
      <c r="B5377" t="s">
        <v>1237</v>
      </c>
      <c r="C5377" t="s">
        <v>88</v>
      </c>
      <c r="D5377" t="s">
        <v>4985</v>
      </c>
      <c r="E5377" t="s">
        <v>844</v>
      </c>
      <c r="F5377" t="s">
        <v>88</v>
      </c>
      <c r="G5377" t="s">
        <v>88</v>
      </c>
      <c r="H5377" t="s">
        <v>92</v>
      </c>
    </row>
    <row r="5378" spans="1:8" x14ac:dyDescent="0.25">
      <c r="A5378" t="s">
        <v>241</v>
      </c>
      <c r="B5378" t="s">
        <v>1234</v>
      </c>
      <c r="C5378" t="s">
        <v>88</v>
      </c>
      <c r="D5378" t="s">
        <v>4985</v>
      </c>
      <c r="E5378" t="s">
        <v>844</v>
      </c>
      <c r="F5378" t="s">
        <v>88</v>
      </c>
      <c r="G5378" t="s">
        <v>88</v>
      </c>
      <c r="H5378" t="s">
        <v>92</v>
      </c>
    </row>
    <row r="5379" spans="1:8" x14ac:dyDescent="0.25">
      <c r="A5379" t="s">
        <v>241</v>
      </c>
      <c r="B5379" t="s">
        <v>1238</v>
      </c>
      <c r="C5379" t="s">
        <v>88</v>
      </c>
      <c r="D5379" t="s">
        <v>4985</v>
      </c>
      <c r="E5379" t="s">
        <v>844</v>
      </c>
      <c r="F5379" t="s">
        <v>88</v>
      </c>
      <c r="G5379" t="s">
        <v>88</v>
      </c>
      <c r="H5379" t="s">
        <v>92</v>
      </c>
    </row>
    <row r="5380" spans="1:8" x14ac:dyDescent="0.25">
      <c r="A5380" t="s">
        <v>241</v>
      </c>
      <c r="B5380" t="s">
        <v>625</v>
      </c>
      <c r="C5380" t="s">
        <v>88</v>
      </c>
      <c r="D5380" t="s">
        <v>88</v>
      </c>
      <c r="E5380" t="s">
        <v>626</v>
      </c>
      <c r="F5380" t="s">
        <v>88</v>
      </c>
      <c r="G5380" t="s">
        <v>88</v>
      </c>
      <c r="H5380" t="s">
        <v>92</v>
      </c>
    </row>
    <row r="5381" spans="1:8" x14ac:dyDescent="0.25">
      <c r="A5381" t="s">
        <v>243</v>
      </c>
      <c r="B5381" t="s">
        <v>4986</v>
      </c>
      <c r="C5381" t="s">
        <v>88</v>
      </c>
      <c r="D5381" t="s">
        <v>4987</v>
      </c>
      <c r="E5381" t="s">
        <v>738</v>
      </c>
      <c r="F5381" t="s">
        <v>88</v>
      </c>
      <c r="G5381" t="s">
        <v>88</v>
      </c>
      <c r="H5381" t="s">
        <v>92</v>
      </c>
    </row>
    <row r="5382" spans="1:8" x14ac:dyDescent="0.25">
      <c r="A5382" t="s">
        <v>243</v>
      </c>
      <c r="B5382" t="s">
        <v>2435</v>
      </c>
      <c r="C5382" t="s">
        <v>88</v>
      </c>
      <c r="D5382" t="s">
        <v>4987</v>
      </c>
      <c r="E5382" t="s">
        <v>937</v>
      </c>
      <c r="F5382" t="s">
        <v>88</v>
      </c>
      <c r="G5382" t="s">
        <v>88</v>
      </c>
      <c r="H5382" t="s">
        <v>92</v>
      </c>
    </row>
    <row r="5383" spans="1:8" x14ac:dyDescent="0.25">
      <c r="A5383" t="s">
        <v>243</v>
      </c>
      <c r="B5383" t="s">
        <v>4988</v>
      </c>
      <c r="C5383" t="s">
        <v>88</v>
      </c>
      <c r="D5383" t="s">
        <v>4989</v>
      </c>
      <c r="E5383" t="s">
        <v>791</v>
      </c>
      <c r="F5383" t="s">
        <v>88</v>
      </c>
      <c r="G5383" t="s">
        <v>88</v>
      </c>
      <c r="H5383" t="s">
        <v>92</v>
      </c>
    </row>
    <row r="5384" spans="1:8" x14ac:dyDescent="0.25">
      <c r="A5384" t="s">
        <v>243</v>
      </c>
      <c r="B5384" t="s">
        <v>771</v>
      </c>
      <c r="C5384" t="s">
        <v>88</v>
      </c>
      <c r="D5384" t="s">
        <v>4987</v>
      </c>
      <c r="E5384" t="s">
        <v>738</v>
      </c>
      <c r="F5384" t="s">
        <v>88</v>
      </c>
      <c r="G5384" t="s">
        <v>88</v>
      </c>
      <c r="H5384" t="s">
        <v>92</v>
      </c>
    </row>
    <row r="5385" spans="1:8" x14ac:dyDescent="0.25">
      <c r="A5385" t="s">
        <v>243</v>
      </c>
      <c r="B5385" t="s">
        <v>696</v>
      </c>
      <c r="C5385" t="s">
        <v>88</v>
      </c>
      <c r="D5385" t="s">
        <v>4990</v>
      </c>
      <c r="E5385" t="s">
        <v>679</v>
      </c>
      <c r="F5385" t="s">
        <v>88</v>
      </c>
      <c r="G5385" t="s">
        <v>88</v>
      </c>
      <c r="H5385" t="s">
        <v>92</v>
      </c>
    </row>
    <row r="5386" spans="1:8" x14ac:dyDescent="0.25">
      <c r="A5386" t="s">
        <v>243</v>
      </c>
      <c r="B5386" t="s">
        <v>4991</v>
      </c>
      <c r="C5386" t="s">
        <v>88</v>
      </c>
      <c r="D5386" t="s">
        <v>4992</v>
      </c>
      <c r="E5386" t="s">
        <v>780</v>
      </c>
      <c r="F5386" t="s">
        <v>88</v>
      </c>
      <c r="G5386" t="s">
        <v>88</v>
      </c>
      <c r="H5386" t="s">
        <v>92</v>
      </c>
    </row>
    <row r="5387" spans="1:8" x14ac:dyDescent="0.25">
      <c r="A5387" t="s">
        <v>243</v>
      </c>
      <c r="B5387" t="s">
        <v>4993</v>
      </c>
      <c r="C5387" t="s">
        <v>88</v>
      </c>
      <c r="D5387" t="s">
        <v>4987</v>
      </c>
      <c r="E5387" t="s">
        <v>721</v>
      </c>
      <c r="F5387" t="s">
        <v>88</v>
      </c>
      <c r="G5387" t="s">
        <v>88</v>
      </c>
      <c r="H5387" t="s">
        <v>92</v>
      </c>
    </row>
    <row r="5388" spans="1:8" x14ac:dyDescent="0.25">
      <c r="A5388" t="s">
        <v>243</v>
      </c>
      <c r="B5388" t="s">
        <v>1785</v>
      </c>
      <c r="C5388" t="s">
        <v>88</v>
      </c>
      <c r="D5388" t="s">
        <v>4987</v>
      </c>
      <c r="E5388" t="s">
        <v>937</v>
      </c>
      <c r="F5388" t="s">
        <v>88</v>
      </c>
      <c r="G5388" t="s">
        <v>88</v>
      </c>
      <c r="H5388" t="s">
        <v>92</v>
      </c>
    </row>
    <row r="5389" spans="1:8" x14ac:dyDescent="0.25">
      <c r="A5389" t="s">
        <v>243</v>
      </c>
      <c r="B5389" t="s">
        <v>2435</v>
      </c>
      <c r="C5389" t="s">
        <v>88</v>
      </c>
      <c r="D5389" t="s">
        <v>4987</v>
      </c>
      <c r="E5389" t="s">
        <v>937</v>
      </c>
      <c r="F5389" t="s">
        <v>88</v>
      </c>
      <c r="G5389" t="s">
        <v>88</v>
      </c>
      <c r="H5389" t="s">
        <v>92</v>
      </c>
    </row>
    <row r="5390" spans="1:8" x14ac:dyDescent="0.25">
      <c r="A5390" t="s">
        <v>243</v>
      </c>
      <c r="B5390" t="s">
        <v>1790</v>
      </c>
      <c r="C5390" t="s">
        <v>88</v>
      </c>
      <c r="D5390" t="s">
        <v>4987</v>
      </c>
      <c r="E5390" t="s">
        <v>663</v>
      </c>
      <c r="F5390" t="s">
        <v>88</v>
      </c>
      <c r="G5390" t="s">
        <v>88</v>
      </c>
      <c r="H5390" t="s">
        <v>92</v>
      </c>
    </row>
    <row r="5391" spans="1:8" x14ac:dyDescent="0.25">
      <c r="A5391" t="s">
        <v>243</v>
      </c>
      <c r="B5391" t="s">
        <v>4994</v>
      </c>
      <c r="C5391" t="s">
        <v>88</v>
      </c>
      <c r="D5391" t="s">
        <v>4987</v>
      </c>
      <c r="E5391" t="s">
        <v>937</v>
      </c>
      <c r="F5391" t="s">
        <v>88</v>
      </c>
      <c r="G5391" t="s">
        <v>88</v>
      </c>
      <c r="H5391" t="s">
        <v>92</v>
      </c>
    </row>
    <row r="5392" spans="1:8" x14ac:dyDescent="0.25">
      <c r="A5392" t="s">
        <v>243</v>
      </c>
      <c r="B5392" t="s">
        <v>771</v>
      </c>
      <c r="C5392" t="s">
        <v>88</v>
      </c>
      <c r="D5392" t="s">
        <v>4987</v>
      </c>
      <c r="E5392" t="s">
        <v>738</v>
      </c>
      <c r="F5392" t="s">
        <v>88</v>
      </c>
      <c r="G5392" t="s">
        <v>88</v>
      </c>
      <c r="H5392" t="s">
        <v>92</v>
      </c>
    </row>
    <row r="5393" spans="1:8" x14ac:dyDescent="0.25">
      <c r="A5393" t="s">
        <v>243</v>
      </c>
      <c r="B5393" t="s">
        <v>4986</v>
      </c>
      <c r="C5393" t="s">
        <v>88</v>
      </c>
      <c r="D5393" t="s">
        <v>4987</v>
      </c>
      <c r="E5393" t="s">
        <v>738</v>
      </c>
      <c r="F5393" t="s">
        <v>88</v>
      </c>
      <c r="G5393" t="s">
        <v>88</v>
      </c>
      <c r="H5393" t="s">
        <v>92</v>
      </c>
    </row>
    <row r="5394" spans="1:8" x14ac:dyDescent="0.25">
      <c r="A5394" t="s">
        <v>243</v>
      </c>
      <c r="B5394" t="s">
        <v>693</v>
      </c>
      <c r="C5394" t="s">
        <v>88</v>
      </c>
      <c r="D5394" t="s">
        <v>4995</v>
      </c>
      <c r="E5394" t="s">
        <v>723</v>
      </c>
      <c r="F5394" t="s">
        <v>88</v>
      </c>
      <c r="G5394" t="s">
        <v>88</v>
      </c>
      <c r="H5394" t="s">
        <v>92</v>
      </c>
    </row>
    <row r="5395" spans="1:8" x14ac:dyDescent="0.25">
      <c r="A5395" t="s">
        <v>243</v>
      </c>
      <c r="B5395" t="s">
        <v>696</v>
      </c>
      <c r="C5395" t="s">
        <v>88</v>
      </c>
      <c r="D5395" t="s">
        <v>4990</v>
      </c>
      <c r="E5395" t="s">
        <v>679</v>
      </c>
      <c r="F5395" t="s">
        <v>88</v>
      </c>
      <c r="G5395" t="s">
        <v>88</v>
      </c>
      <c r="H5395" t="s">
        <v>92</v>
      </c>
    </row>
    <row r="5396" spans="1:8" x14ac:dyDescent="0.25">
      <c r="A5396" t="s">
        <v>243</v>
      </c>
      <c r="B5396" t="s">
        <v>4996</v>
      </c>
      <c r="C5396" t="s">
        <v>88</v>
      </c>
      <c r="D5396" t="s">
        <v>4997</v>
      </c>
      <c r="E5396" t="s">
        <v>799</v>
      </c>
      <c r="F5396" t="s">
        <v>88</v>
      </c>
      <c r="G5396" t="s">
        <v>88</v>
      </c>
      <c r="H5396" t="s">
        <v>92</v>
      </c>
    </row>
    <row r="5397" spans="1:8" x14ac:dyDescent="0.25">
      <c r="A5397" t="s">
        <v>243</v>
      </c>
      <c r="B5397" t="s">
        <v>4988</v>
      </c>
      <c r="C5397" t="s">
        <v>88</v>
      </c>
      <c r="D5397" t="s">
        <v>4989</v>
      </c>
      <c r="E5397" t="s">
        <v>791</v>
      </c>
      <c r="F5397" t="s">
        <v>88</v>
      </c>
      <c r="G5397" t="s">
        <v>88</v>
      </c>
      <c r="H5397" t="s">
        <v>92</v>
      </c>
    </row>
    <row r="5398" spans="1:8" x14ac:dyDescent="0.25">
      <c r="A5398" t="s">
        <v>243</v>
      </c>
      <c r="B5398" t="s">
        <v>4998</v>
      </c>
      <c r="C5398" t="s">
        <v>88</v>
      </c>
      <c r="D5398" t="s">
        <v>4999</v>
      </c>
      <c r="E5398" t="s">
        <v>663</v>
      </c>
      <c r="F5398" t="s">
        <v>88</v>
      </c>
      <c r="G5398" t="s">
        <v>88</v>
      </c>
      <c r="H5398" t="s">
        <v>92</v>
      </c>
    </row>
    <row r="5399" spans="1:8" x14ac:dyDescent="0.25">
      <c r="A5399" t="s">
        <v>243</v>
      </c>
      <c r="B5399" t="s">
        <v>5000</v>
      </c>
      <c r="C5399" t="s">
        <v>88</v>
      </c>
      <c r="D5399" t="s">
        <v>5001</v>
      </c>
      <c r="E5399" t="s">
        <v>748</v>
      </c>
      <c r="F5399" t="s">
        <v>88</v>
      </c>
      <c r="G5399" t="s">
        <v>88</v>
      </c>
      <c r="H5399" t="s">
        <v>92</v>
      </c>
    </row>
    <row r="5400" spans="1:8" x14ac:dyDescent="0.25">
      <c r="A5400" t="s">
        <v>243</v>
      </c>
      <c r="B5400" t="s">
        <v>2194</v>
      </c>
      <c r="C5400" t="s">
        <v>88</v>
      </c>
      <c r="D5400" t="s">
        <v>5002</v>
      </c>
      <c r="E5400" t="s">
        <v>663</v>
      </c>
      <c r="F5400" t="s">
        <v>88</v>
      </c>
      <c r="G5400" t="s">
        <v>88</v>
      </c>
      <c r="H5400" t="s">
        <v>92</v>
      </c>
    </row>
    <row r="5401" spans="1:8" x14ac:dyDescent="0.25">
      <c r="A5401" t="s">
        <v>243</v>
      </c>
      <c r="B5401" t="s">
        <v>4916</v>
      </c>
      <c r="C5401" t="s">
        <v>88</v>
      </c>
      <c r="D5401" t="s">
        <v>88</v>
      </c>
      <c r="E5401" t="s">
        <v>663</v>
      </c>
      <c r="F5401" t="s">
        <v>88</v>
      </c>
      <c r="G5401" t="s">
        <v>88</v>
      </c>
      <c r="H5401" t="s">
        <v>92</v>
      </c>
    </row>
    <row r="5402" spans="1:8" x14ac:dyDescent="0.25">
      <c r="A5402" t="s">
        <v>243</v>
      </c>
      <c r="B5402" t="s">
        <v>701</v>
      </c>
      <c r="C5402" t="s">
        <v>88</v>
      </c>
      <c r="D5402" t="s">
        <v>88</v>
      </c>
      <c r="E5402" t="s">
        <v>734</v>
      </c>
      <c r="F5402" t="s">
        <v>88</v>
      </c>
      <c r="G5402" t="s">
        <v>88</v>
      </c>
      <c r="H5402" t="s">
        <v>92</v>
      </c>
    </row>
    <row r="5403" spans="1:8" x14ac:dyDescent="0.25">
      <c r="A5403" t="s">
        <v>243</v>
      </c>
      <c r="B5403" t="s">
        <v>705</v>
      </c>
      <c r="C5403" t="s">
        <v>88</v>
      </c>
      <c r="D5403" t="s">
        <v>88</v>
      </c>
      <c r="E5403" t="s">
        <v>734</v>
      </c>
      <c r="F5403" t="s">
        <v>88</v>
      </c>
      <c r="G5403" t="s">
        <v>88</v>
      </c>
      <c r="H5403" t="s">
        <v>92</v>
      </c>
    </row>
    <row r="5404" spans="1:8" x14ac:dyDescent="0.25">
      <c r="A5404" t="s">
        <v>243</v>
      </c>
      <c r="B5404" t="s">
        <v>706</v>
      </c>
      <c r="C5404" t="s">
        <v>88</v>
      </c>
      <c r="D5404" t="s">
        <v>88</v>
      </c>
      <c r="E5404" t="s">
        <v>734</v>
      </c>
      <c r="F5404" t="s">
        <v>88</v>
      </c>
      <c r="G5404" t="s">
        <v>88</v>
      </c>
      <c r="H5404" t="s">
        <v>92</v>
      </c>
    </row>
    <row r="5405" spans="1:8" x14ac:dyDescent="0.25">
      <c r="A5405" t="s">
        <v>243</v>
      </c>
      <c r="B5405" t="s">
        <v>795</v>
      </c>
      <c r="C5405" t="s">
        <v>88</v>
      </c>
      <c r="D5405" t="s">
        <v>88</v>
      </c>
      <c r="E5405" t="s">
        <v>713</v>
      </c>
      <c r="F5405" t="s">
        <v>88</v>
      </c>
      <c r="G5405" t="s">
        <v>88</v>
      </c>
      <c r="H5405" t="s">
        <v>92</v>
      </c>
    </row>
    <row r="5406" spans="1:8" x14ac:dyDescent="0.25">
      <c r="A5406" t="s">
        <v>243</v>
      </c>
      <c r="B5406" t="s">
        <v>620</v>
      </c>
      <c r="C5406" t="s">
        <v>88</v>
      </c>
      <c r="D5406" t="s">
        <v>88</v>
      </c>
      <c r="E5406" t="s">
        <v>711</v>
      </c>
      <c r="F5406" t="s">
        <v>88</v>
      </c>
      <c r="G5406" t="s">
        <v>88</v>
      </c>
      <c r="H5406" t="s">
        <v>92</v>
      </c>
    </row>
    <row r="5407" spans="1:8" x14ac:dyDescent="0.25">
      <c r="A5407" t="s">
        <v>243</v>
      </c>
      <c r="B5407" t="s">
        <v>622</v>
      </c>
      <c r="C5407" t="s">
        <v>88</v>
      </c>
      <c r="D5407" t="s">
        <v>88</v>
      </c>
      <c r="E5407" t="s">
        <v>735</v>
      </c>
      <c r="F5407" t="s">
        <v>88</v>
      </c>
      <c r="G5407" t="s">
        <v>88</v>
      </c>
      <c r="H5407" t="s">
        <v>92</v>
      </c>
    </row>
    <row r="5408" spans="1:8" x14ac:dyDescent="0.25">
      <c r="A5408" t="s">
        <v>243</v>
      </c>
      <c r="B5408" t="s">
        <v>623</v>
      </c>
      <c r="C5408" t="s">
        <v>88</v>
      </c>
      <c r="D5408" t="s">
        <v>88</v>
      </c>
      <c r="E5408" t="s">
        <v>735</v>
      </c>
      <c r="F5408" t="s">
        <v>88</v>
      </c>
      <c r="G5408" t="s">
        <v>88</v>
      </c>
      <c r="H5408" t="s">
        <v>92</v>
      </c>
    </row>
    <row r="5409" spans="1:8" x14ac:dyDescent="0.25">
      <c r="A5409" t="s">
        <v>243</v>
      </c>
      <c r="B5409" t="s">
        <v>714</v>
      </c>
      <c r="C5409" t="s">
        <v>88</v>
      </c>
      <c r="D5409" t="s">
        <v>88</v>
      </c>
      <c r="E5409" t="s">
        <v>732</v>
      </c>
      <c r="F5409" t="s">
        <v>88</v>
      </c>
      <c r="G5409" t="s">
        <v>88</v>
      </c>
      <c r="H5409" t="s">
        <v>92</v>
      </c>
    </row>
    <row r="5410" spans="1:8" x14ac:dyDescent="0.25">
      <c r="A5410" t="s">
        <v>243</v>
      </c>
      <c r="B5410" t="s">
        <v>1074</v>
      </c>
      <c r="C5410" t="s">
        <v>88</v>
      </c>
      <c r="D5410" t="s">
        <v>88</v>
      </c>
      <c r="E5410" t="s">
        <v>732</v>
      </c>
      <c r="F5410" t="s">
        <v>88</v>
      </c>
      <c r="G5410" t="s">
        <v>88</v>
      </c>
      <c r="H5410" t="s">
        <v>92</v>
      </c>
    </row>
    <row r="5411" spans="1:8" x14ac:dyDescent="0.25">
      <c r="A5411" t="s">
        <v>243</v>
      </c>
      <c r="B5411" t="s">
        <v>1671</v>
      </c>
      <c r="C5411" t="s">
        <v>88</v>
      </c>
      <c r="D5411" t="s">
        <v>88</v>
      </c>
      <c r="E5411" t="s">
        <v>732</v>
      </c>
      <c r="F5411" t="s">
        <v>88</v>
      </c>
      <c r="G5411" t="s">
        <v>88</v>
      </c>
      <c r="H5411" t="s">
        <v>92</v>
      </c>
    </row>
    <row r="5412" spans="1:8" x14ac:dyDescent="0.25">
      <c r="A5412" t="s">
        <v>243</v>
      </c>
      <c r="B5412" t="s">
        <v>998</v>
      </c>
      <c r="C5412" t="s">
        <v>88</v>
      </c>
      <c r="D5412" t="s">
        <v>88</v>
      </c>
      <c r="E5412" t="s">
        <v>732</v>
      </c>
      <c r="F5412" t="s">
        <v>88</v>
      </c>
      <c r="G5412" t="s">
        <v>88</v>
      </c>
      <c r="H5412" t="s">
        <v>92</v>
      </c>
    </row>
    <row r="5413" spans="1:8" x14ac:dyDescent="0.25">
      <c r="A5413" t="s">
        <v>243</v>
      </c>
      <c r="B5413" t="s">
        <v>1073</v>
      </c>
      <c r="C5413" t="s">
        <v>88</v>
      </c>
      <c r="D5413" t="s">
        <v>88</v>
      </c>
      <c r="E5413" t="s">
        <v>732</v>
      </c>
      <c r="F5413" t="s">
        <v>88</v>
      </c>
      <c r="G5413" t="s">
        <v>88</v>
      </c>
      <c r="H5413" t="s">
        <v>92</v>
      </c>
    </row>
    <row r="5414" spans="1:8" x14ac:dyDescent="0.25">
      <c r="A5414" t="s">
        <v>243</v>
      </c>
      <c r="B5414" t="s">
        <v>5003</v>
      </c>
      <c r="C5414" t="s">
        <v>88</v>
      </c>
      <c r="D5414" t="s">
        <v>5004</v>
      </c>
      <c r="E5414" t="s">
        <v>692</v>
      </c>
      <c r="F5414" t="s">
        <v>88</v>
      </c>
      <c r="G5414" t="s">
        <v>88</v>
      </c>
      <c r="H5414" t="s">
        <v>92</v>
      </c>
    </row>
    <row r="5415" spans="1:8" x14ac:dyDescent="0.25">
      <c r="A5415" t="s">
        <v>243</v>
      </c>
      <c r="B5415" t="s">
        <v>625</v>
      </c>
      <c r="C5415" t="s">
        <v>88</v>
      </c>
      <c r="D5415" t="s">
        <v>88</v>
      </c>
      <c r="E5415" t="s">
        <v>626</v>
      </c>
      <c r="F5415" t="s">
        <v>88</v>
      </c>
      <c r="G5415" t="s">
        <v>88</v>
      </c>
      <c r="H5415" t="s">
        <v>92</v>
      </c>
    </row>
    <row r="5416" spans="1:8" x14ac:dyDescent="0.25">
      <c r="A5416" t="s">
        <v>245</v>
      </c>
      <c r="B5416" t="s">
        <v>935</v>
      </c>
      <c r="C5416" t="s">
        <v>88</v>
      </c>
      <c r="D5416" t="s">
        <v>5005</v>
      </c>
      <c r="E5416" t="s">
        <v>738</v>
      </c>
      <c r="F5416" t="s">
        <v>88</v>
      </c>
      <c r="G5416" t="s">
        <v>88</v>
      </c>
      <c r="H5416" t="s">
        <v>92</v>
      </c>
    </row>
    <row r="5417" spans="1:8" x14ac:dyDescent="0.25">
      <c r="A5417" t="s">
        <v>245</v>
      </c>
      <c r="B5417" t="s">
        <v>976</v>
      </c>
      <c r="C5417" t="s">
        <v>88</v>
      </c>
      <c r="D5417" t="s">
        <v>5005</v>
      </c>
      <c r="E5417" t="s">
        <v>655</v>
      </c>
      <c r="F5417" t="s">
        <v>88</v>
      </c>
      <c r="G5417" t="s">
        <v>88</v>
      </c>
      <c r="H5417" t="s">
        <v>92</v>
      </c>
    </row>
    <row r="5418" spans="1:8" x14ac:dyDescent="0.25">
      <c r="A5418" t="s">
        <v>245</v>
      </c>
      <c r="B5418" t="s">
        <v>789</v>
      </c>
      <c r="C5418" t="s">
        <v>88</v>
      </c>
      <c r="D5418" t="s">
        <v>5006</v>
      </c>
      <c r="E5418" t="s">
        <v>702</v>
      </c>
      <c r="F5418" t="s">
        <v>88</v>
      </c>
      <c r="G5418" t="s">
        <v>88</v>
      </c>
      <c r="H5418" t="s">
        <v>92</v>
      </c>
    </row>
    <row r="5419" spans="1:8" x14ac:dyDescent="0.25">
      <c r="A5419" t="s">
        <v>245</v>
      </c>
      <c r="B5419" t="s">
        <v>823</v>
      </c>
      <c r="C5419" t="s">
        <v>88</v>
      </c>
      <c r="D5419" t="s">
        <v>5005</v>
      </c>
      <c r="E5419" t="s">
        <v>844</v>
      </c>
      <c r="F5419" t="s">
        <v>88</v>
      </c>
      <c r="G5419" t="s">
        <v>88</v>
      </c>
      <c r="H5419" t="s">
        <v>92</v>
      </c>
    </row>
    <row r="5420" spans="1:8" x14ac:dyDescent="0.25">
      <c r="A5420" t="s">
        <v>245</v>
      </c>
      <c r="B5420" t="s">
        <v>816</v>
      </c>
      <c r="C5420" t="s">
        <v>88</v>
      </c>
      <c r="D5420" t="s">
        <v>5007</v>
      </c>
      <c r="E5420" t="s">
        <v>663</v>
      </c>
      <c r="F5420" t="s">
        <v>88</v>
      </c>
      <c r="G5420" t="s">
        <v>88</v>
      </c>
      <c r="H5420" t="s">
        <v>92</v>
      </c>
    </row>
    <row r="5421" spans="1:8" x14ac:dyDescent="0.25">
      <c r="A5421" t="s">
        <v>245</v>
      </c>
      <c r="B5421" t="s">
        <v>4818</v>
      </c>
      <c r="C5421" t="s">
        <v>88</v>
      </c>
      <c r="D5421" t="s">
        <v>5008</v>
      </c>
      <c r="E5421" t="s">
        <v>791</v>
      </c>
      <c r="F5421" t="s">
        <v>88</v>
      </c>
      <c r="G5421" t="s">
        <v>88</v>
      </c>
      <c r="H5421" t="s">
        <v>92</v>
      </c>
    </row>
    <row r="5422" spans="1:8" x14ac:dyDescent="0.25">
      <c r="A5422" t="s">
        <v>245</v>
      </c>
      <c r="B5422" t="s">
        <v>701</v>
      </c>
      <c r="C5422" t="s">
        <v>88</v>
      </c>
      <c r="D5422" t="s">
        <v>88</v>
      </c>
      <c r="E5422" t="s">
        <v>848</v>
      </c>
      <c r="F5422" t="s">
        <v>88</v>
      </c>
      <c r="G5422" t="s">
        <v>88</v>
      </c>
      <c r="H5422" t="s">
        <v>92</v>
      </c>
    </row>
    <row r="5423" spans="1:8" x14ac:dyDescent="0.25">
      <c r="A5423" t="s">
        <v>245</v>
      </c>
      <c r="B5423" t="s">
        <v>705</v>
      </c>
      <c r="C5423" t="s">
        <v>88</v>
      </c>
      <c r="D5423" t="s">
        <v>88</v>
      </c>
      <c r="E5423" t="s">
        <v>848</v>
      </c>
      <c r="F5423" t="s">
        <v>88</v>
      </c>
      <c r="G5423" t="s">
        <v>88</v>
      </c>
      <c r="H5423" t="s">
        <v>92</v>
      </c>
    </row>
    <row r="5424" spans="1:8" x14ac:dyDescent="0.25">
      <c r="A5424" t="s">
        <v>245</v>
      </c>
      <c r="B5424" t="s">
        <v>612</v>
      </c>
      <c r="C5424" t="s">
        <v>88</v>
      </c>
      <c r="D5424" t="s">
        <v>88</v>
      </c>
      <c r="E5424" t="s">
        <v>848</v>
      </c>
      <c r="F5424" t="s">
        <v>88</v>
      </c>
      <c r="G5424" t="s">
        <v>88</v>
      </c>
      <c r="H5424" t="s">
        <v>92</v>
      </c>
    </row>
    <row r="5425" spans="1:8" x14ac:dyDescent="0.25">
      <c r="A5425" t="s">
        <v>245</v>
      </c>
      <c r="B5425" t="s">
        <v>615</v>
      </c>
      <c r="C5425" t="s">
        <v>88</v>
      </c>
      <c r="D5425" t="s">
        <v>88</v>
      </c>
      <c r="E5425" t="s">
        <v>848</v>
      </c>
      <c r="F5425" t="s">
        <v>88</v>
      </c>
      <c r="G5425" t="s">
        <v>88</v>
      </c>
      <c r="H5425" t="s">
        <v>92</v>
      </c>
    </row>
    <row r="5426" spans="1:8" x14ac:dyDescent="0.25">
      <c r="A5426" t="s">
        <v>245</v>
      </c>
      <c r="B5426" t="s">
        <v>794</v>
      </c>
      <c r="C5426" t="s">
        <v>88</v>
      </c>
      <c r="D5426" t="s">
        <v>88</v>
      </c>
      <c r="E5426" t="s">
        <v>713</v>
      </c>
      <c r="F5426" t="s">
        <v>88</v>
      </c>
      <c r="G5426" t="s">
        <v>88</v>
      </c>
      <c r="H5426" t="s">
        <v>92</v>
      </c>
    </row>
    <row r="5427" spans="1:8" x14ac:dyDescent="0.25">
      <c r="A5427" t="s">
        <v>245</v>
      </c>
      <c r="B5427" t="s">
        <v>618</v>
      </c>
      <c r="C5427" t="s">
        <v>88</v>
      </c>
      <c r="D5427" t="s">
        <v>88</v>
      </c>
      <c r="E5427" t="s">
        <v>713</v>
      </c>
      <c r="F5427" t="s">
        <v>88</v>
      </c>
      <c r="G5427" t="s">
        <v>88</v>
      </c>
      <c r="H5427" t="s">
        <v>92</v>
      </c>
    </row>
    <row r="5428" spans="1:8" x14ac:dyDescent="0.25">
      <c r="A5428" t="s">
        <v>245</v>
      </c>
      <c r="B5428" t="s">
        <v>797</v>
      </c>
      <c r="C5428" t="s">
        <v>88</v>
      </c>
      <c r="D5428" t="s">
        <v>88</v>
      </c>
      <c r="E5428" t="s">
        <v>713</v>
      </c>
      <c r="F5428" t="s">
        <v>88</v>
      </c>
      <c r="G5428" t="s">
        <v>88</v>
      </c>
      <c r="H5428" t="s">
        <v>92</v>
      </c>
    </row>
    <row r="5429" spans="1:8" x14ac:dyDescent="0.25">
      <c r="A5429" t="s">
        <v>245</v>
      </c>
      <c r="B5429" t="s">
        <v>622</v>
      </c>
      <c r="C5429" t="s">
        <v>88</v>
      </c>
      <c r="D5429" t="s">
        <v>88</v>
      </c>
      <c r="E5429" t="s">
        <v>735</v>
      </c>
      <c r="F5429" t="s">
        <v>88</v>
      </c>
      <c r="G5429" t="s">
        <v>88</v>
      </c>
      <c r="H5429" t="s">
        <v>92</v>
      </c>
    </row>
    <row r="5430" spans="1:8" x14ac:dyDescent="0.25">
      <c r="A5430" t="s">
        <v>245</v>
      </c>
      <c r="B5430" t="s">
        <v>623</v>
      </c>
      <c r="C5430" t="s">
        <v>88</v>
      </c>
      <c r="D5430" t="s">
        <v>88</v>
      </c>
      <c r="E5430" t="s">
        <v>850</v>
      </c>
      <c r="F5430" t="s">
        <v>88</v>
      </c>
      <c r="G5430" t="s">
        <v>88</v>
      </c>
      <c r="H5430" t="s">
        <v>92</v>
      </c>
    </row>
    <row r="5431" spans="1:8" x14ac:dyDescent="0.25">
      <c r="A5431" t="s">
        <v>245</v>
      </c>
      <c r="B5431" t="s">
        <v>851</v>
      </c>
      <c r="C5431" t="s">
        <v>88</v>
      </c>
      <c r="D5431" t="s">
        <v>88</v>
      </c>
      <c r="E5431" t="s">
        <v>702</v>
      </c>
      <c r="F5431" t="s">
        <v>88</v>
      </c>
      <c r="G5431" t="s">
        <v>88</v>
      </c>
      <c r="H5431" t="s">
        <v>92</v>
      </c>
    </row>
    <row r="5432" spans="1:8" x14ac:dyDescent="0.25">
      <c r="A5432" t="s">
        <v>245</v>
      </c>
      <c r="B5432" t="s">
        <v>625</v>
      </c>
      <c r="C5432" t="s">
        <v>88</v>
      </c>
      <c r="D5432" t="s">
        <v>88</v>
      </c>
      <c r="E5432" t="s">
        <v>626</v>
      </c>
      <c r="F5432" t="s">
        <v>88</v>
      </c>
      <c r="G5432" t="s">
        <v>88</v>
      </c>
      <c r="H5432" t="s">
        <v>92</v>
      </c>
    </row>
    <row r="5433" spans="1:8" x14ac:dyDescent="0.25">
      <c r="A5433" t="s">
        <v>247</v>
      </c>
      <c r="B5433" t="s">
        <v>789</v>
      </c>
      <c r="C5433" t="s">
        <v>88</v>
      </c>
      <c r="D5433" t="s">
        <v>5009</v>
      </c>
      <c r="E5433" t="s">
        <v>702</v>
      </c>
      <c r="F5433" t="s">
        <v>88</v>
      </c>
      <c r="G5433" t="s">
        <v>88</v>
      </c>
      <c r="H5433" t="s">
        <v>92</v>
      </c>
    </row>
    <row r="5434" spans="1:8" x14ac:dyDescent="0.25">
      <c r="A5434" t="s">
        <v>247</v>
      </c>
      <c r="B5434" t="s">
        <v>816</v>
      </c>
      <c r="C5434" t="s">
        <v>88</v>
      </c>
      <c r="D5434" t="s">
        <v>5010</v>
      </c>
      <c r="E5434" t="s">
        <v>700</v>
      </c>
      <c r="F5434" t="s">
        <v>88</v>
      </c>
      <c r="G5434" t="s">
        <v>88</v>
      </c>
      <c r="H5434" t="s">
        <v>92</v>
      </c>
    </row>
    <row r="5435" spans="1:8" x14ac:dyDescent="0.25">
      <c r="A5435" t="s">
        <v>247</v>
      </c>
      <c r="B5435" t="s">
        <v>935</v>
      </c>
      <c r="C5435" t="s">
        <v>88</v>
      </c>
      <c r="D5435" t="s">
        <v>5011</v>
      </c>
      <c r="E5435" t="s">
        <v>723</v>
      </c>
      <c r="F5435" t="s">
        <v>88</v>
      </c>
      <c r="G5435" t="s">
        <v>88</v>
      </c>
      <c r="H5435" t="s">
        <v>92</v>
      </c>
    </row>
    <row r="5436" spans="1:8" x14ac:dyDescent="0.25">
      <c r="A5436" t="s">
        <v>247</v>
      </c>
      <c r="B5436" t="s">
        <v>823</v>
      </c>
      <c r="C5436" t="s">
        <v>88</v>
      </c>
      <c r="D5436" t="s">
        <v>5012</v>
      </c>
      <c r="E5436" t="s">
        <v>964</v>
      </c>
      <c r="F5436" t="s">
        <v>88</v>
      </c>
      <c r="G5436" t="s">
        <v>88</v>
      </c>
      <c r="H5436" t="s">
        <v>92</v>
      </c>
    </row>
    <row r="5437" spans="1:8" x14ac:dyDescent="0.25">
      <c r="A5437" t="s">
        <v>247</v>
      </c>
      <c r="B5437" t="s">
        <v>5013</v>
      </c>
      <c r="C5437" t="s">
        <v>88</v>
      </c>
      <c r="D5437" t="s">
        <v>5014</v>
      </c>
      <c r="E5437" t="s">
        <v>723</v>
      </c>
      <c r="F5437" t="s">
        <v>88</v>
      </c>
      <c r="G5437" t="s">
        <v>88</v>
      </c>
      <c r="H5437" t="s">
        <v>92</v>
      </c>
    </row>
    <row r="5438" spans="1:8" x14ac:dyDescent="0.25">
      <c r="A5438" t="s">
        <v>247</v>
      </c>
      <c r="B5438" t="s">
        <v>5013</v>
      </c>
      <c r="C5438" t="s">
        <v>88</v>
      </c>
      <c r="D5438" t="s">
        <v>5014</v>
      </c>
      <c r="E5438" t="s">
        <v>723</v>
      </c>
      <c r="F5438" t="s">
        <v>88</v>
      </c>
      <c r="G5438" t="s">
        <v>88</v>
      </c>
      <c r="H5438" t="s">
        <v>92</v>
      </c>
    </row>
    <row r="5439" spans="1:8" x14ac:dyDescent="0.25">
      <c r="A5439" t="s">
        <v>247</v>
      </c>
      <c r="B5439" t="s">
        <v>789</v>
      </c>
      <c r="C5439" t="s">
        <v>88</v>
      </c>
      <c r="D5439" t="s">
        <v>5009</v>
      </c>
      <c r="E5439" t="s">
        <v>702</v>
      </c>
      <c r="F5439" t="s">
        <v>88</v>
      </c>
      <c r="G5439" t="s">
        <v>88</v>
      </c>
      <c r="H5439" t="s">
        <v>92</v>
      </c>
    </row>
    <row r="5440" spans="1:8" x14ac:dyDescent="0.25">
      <c r="A5440" t="s">
        <v>247</v>
      </c>
      <c r="B5440" t="s">
        <v>944</v>
      </c>
      <c r="C5440" t="s">
        <v>88</v>
      </c>
      <c r="D5440" t="s">
        <v>88</v>
      </c>
      <c r="E5440" t="s">
        <v>655</v>
      </c>
      <c r="F5440" t="s">
        <v>88</v>
      </c>
      <c r="G5440" t="s">
        <v>88</v>
      </c>
      <c r="H5440" t="s">
        <v>92</v>
      </c>
    </row>
    <row r="5441" spans="1:8" x14ac:dyDescent="0.25">
      <c r="A5441" t="s">
        <v>247</v>
      </c>
      <c r="B5441" t="s">
        <v>935</v>
      </c>
      <c r="C5441" t="s">
        <v>88</v>
      </c>
      <c r="D5441" t="s">
        <v>5011</v>
      </c>
      <c r="E5441" t="s">
        <v>723</v>
      </c>
      <c r="F5441" t="s">
        <v>88</v>
      </c>
      <c r="G5441" t="s">
        <v>88</v>
      </c>
      <c r="H5441" t="s">
        <v>92</v>
      </c>
    </row>
    <row r="5442" spans="1:8" x14ac:dyDescent="0.25">
      <c r="A5442" t="s">
        <v>247</v>
      </c>
      <c r="B5442" t="s">
        <v>816</v>
      </c>
      <c r="C5442" t="s">
        <v>88</v>
      </c>
      <c r="D5442" t="s">
        <v>5010</v>
      </c>
      <c r="E5442" t="s">
        <v>700</v>
      </c>
      <c r="F5442" t="s">
        <v>88</v>
      </c>
      <c r="G5442" t="s">
        <v>88</v>
      </c>
      <c r="H5442" t="s">
        <v>92</v>
      </c>
    </row>
    <row r="5443" spans="1:8" x14ac:dyDescent="0.25">
      <c r="A5443" t="s">
        <v>247</v>
      </c>
      <c r="B5443" t="s">
        <v>976</v>
      </c>
      <c r="C5443" t="s">
        <v>88</v>
      </c>
      <c r="D5443" t="s">
        <v>5015</v>
      </c>
      <c r="E5443" t="s">
        <v>844</v>
      </c>
      <c r="F5443" t="s">
        <v>88</v>
      </c>
      <c r="G5443" t="s">
        <v>88</v>
      </c>
      <c r="H5443" t="s">
        <v>92</v>
      </c>
    </row>
    <row r="5444" spans="1:8" x14ac:dyDescent="0.25">
      <c r="A5444" t="s">
        <v>247</v>
      </c>
      <c r="B5444" t="s">
        <v>823</v>
      </c>
      <c r="C5444" t="s">
        <v>88</v>
      </c>
      <c r="D5444" t="s">
        <v>5012</v>
      </c>
      <c r="E5444" t="s">
        <v>964</v>
      </c>
      <c r="F5444" t="s">
        <v>88</v>
      </c>
      <c r="G5444" t="s">
        <v>88</v>
      </c>
      <c r="H5444" t="s">
        <v>92</v>
      </c>
    </row>
    <row r="5445" spans="1:8" x14ac:dyDescent="0.25">
      <c r="A5445" t="s">
        <v>247</v>
      </c>
      <c r="B5445" t="s">
        <v>5016</v>
      </c>
      <c r="C5445" t="s">
        <v>88</v>
      </c>
      <c r="D5445" t="s">
        <v>88</v>
      </c>
      <c r="E5445" t="s">
        <v>709</v>
      </c>
      <c r="F5445" t="s">
        <v>88</v>
      </c>
      <c r="G5445" t="s">
        <v>88</v>
      </c>
      <c r="H5445" t="s">
        <v>92</v>
      </c>
    </row>
    <row r="5446" spans="1:8" x14ac:dyDescent="0.25">
      <c r="A5446" t="s">
        <v>247</v>
      </c>
      <c r="B5446" t="s">
        <v>5017</v>
      </c>
      <c r="C5446" t="s">
        <v>88</v>
      </c>
      <c r="D5446" t="s">
        <v>88</v>
      </c>
      <c r="E5446" t="s">
        <v>711</v>
      </c>
      <c r="F5446" t="s">
        <v>88</v>
      </c>
      <c r="G5446" t="s">
        <v>88</v>
      </c>
      <c r="H5446" t="s">
        <v>92</v>
      </c>
    </row>
    <row r="5447" spans="1:8" x14ac:dyDescent="0.25">
      <c r="A5447" t="s">
        <v>247</v>
      </c>
      <c r="B5447" t="s">
        <v>705</v>
      </c>
      <c r="C5447" t="s">
        <v>88</v>
      </c>
      <c r="D5447" t="s">
        <v>88</v>
      </c>
      <c r="E5447" t="s">
        <v>709</v>
      </c>
      <c r="F5447" t="s">
        <v>88</v>
      </c>
      <c r="G5447" t="s">
        <v>88</v>
      </c>
      <c r="H5447" t="s">
        <v>92</v>
      </c>
    </row>
    <row r="5448" spans="1:8" x14ac:dyDescent="0.25">
      <c r="A5448" t="s">
        <v>247</v>
      </c>
      <c r="B5448" t="s">
        <v>4150</v>
      </c>
      <c r="C5448" t="s">
        <v>88</v>
      </c>
      <c r="D5448" t="s">
        <v>88</v>
      </c>
      <c r="E5448" t="s">
        <v>711</v>
      </c>
      <c r="F5448" t="s">
        <v>88</v>
      </c>
      <c r="G5448" t="s">
        <v>88</v>
      </c>
      <c r="H5448" t="s">
        <v>92</v>
      </c>
    </row>
    <row r="5449" spans="1:8" x14ac:dyDescent="0.25">
      <c r="A5449" t="s">
        <v>247</v>
      </c>
      <c r="B5449" t="s">
        <v>795</v>
      </c>
      <c r="C5449" t="s">
        <v>88</v>
      </c>
      <c r="D5449" t="s">
        <v>88</v>
      </c>
      <c r="E5449" t="s">
        <v>711</v>
      </c>
      <c r="F5449" t="s">
        <v>88</v>
      </c>
      <c r="G5449" t="s">
        <v>88</v>
      </c>
      <c r="H5449" t="s">
        <v>92</v>
      </c>
    </row>
    <row r="5450" spans="1:8" x14ac:dyDescent="0.25">
      <c r="A5450" t="s">
        <v>247</v>
      </c>
      <c r="B5450" t="s">
        <v>622</v>
      </c>
      <c r="C5450" t="s">
        <v>88</v>
      </c>
      <c r="D5450" t="s">
        <v>88</v>
      </c>
      <c r="E5450" t="s">
        <v>735</v>
      </c>
      <c r="F5450" t="s">
        <v>88</v>
      </c>
      <c r="G5450" t="s">
        <v>88</v>
      </c>
      <c r="H5450" t="s">
        <v>92</v>
      </c>
    </row>
    <row r="5451" spans="1:8" x14ac:dyDescent="0.25">
      <c r="A5451" t="s">
        <v>247</v>
      </c>
      <c r="B5451" t="s">
        <v>623</v>
      </c>
      <c r="C5451" t="s">
        <v>88</v>
      </c>
      <c r="D5451" t="s">
        <v>88</v>
      </c>
      <c r="E5451" t="s">
        <v>849</v>
      </c>
      <c r="F5451" t="s">
        <v>88</v>
      </c>
      <c r="G5451" t="s">
        <v>88</v>
      </c>
      <c r="H5451" t="s">
        <v>92</v>
      </c>
    </row>
    <row r="5452" spans="1:8" x14ac:dyDescent="0.25">
      <c r="A5452" t="s">
        <v>247</v>
      </c>
      <c r="B5452" t="s">
        <v>714</v>
      </c>
      <c r="C5452" t="s">
        <v>88</v>
      </c>
      <c r="D5452" t="s">
        <v>88</v>
      </c>
      <c r="E5452" t="s">
        <v>732</v>
      </c>
      <c r="F5452" t="s">
        <v>88</v>
      </c>
      <c r="G5452" t="s">
        <v>88</v>
      </c>
      <c r="H5452" t="s">
        <v>92</v>
      </c>
    </row>
    <row r="5453" spans="1:8" x14ac:dyDescent="0.25">
      <c r="A5453" t="s">
        <v>247</v>
      </c>
      <c r="B5453" t="s">
        <v>625</v>
      </c>
      <c r="C5453" t="s">
        <v>88</v>
      </c>
      <c r="D5453" t="s">
        <v>88</v>
      </c>
      <c r="E5453" t="s">
        <v>626</v>
      </c>
      <c r="F5453" t="s">
        <v>88</v>
      </c>
      <c r="G5453" t="s">
        <v>88</v>
      </c>
      <c r="H5453" t="s">
        <v>92</v>
      </c>
    </row>
    <row r="5454" spans="1:8" x14ac:dyDescent="0.25">
      <c r="A5454" t="s">
        <v>248</v>
      </c>
      <c r="B5454" t="s">
        <v>789</v>
      </c>
      <c r="C5454" t="s">
        <v>88</v>
      </c>
      <c r="D5454" t="s">
        <v>5018</v>
      </c>
      <c r="E5454" t="s">
        <v>702</v>
      </c>
      <c r="F5454" t="s">
        <v>88</v>
      </c>
      <c r="G5454" t="s">
        <v>88</v>
      </c>
      <c r="H5454" t="s">
        <v>92</v>
      </c>
    </row>
    <row r="5455" spans="1:8" x14ac:dyDescent="0.25">
      <c r="A5455" t="s">
        <v>248</v>
      </c>
      <c r="B5455" t="s">
        <v>5019</v>
      </c>
      <c r="C5455" t="s">
        <v>88</v>
      </c>
      <c r="D5455" t="s">
        <v>5020</v>
      </c>
      <c r="E5455" t="s">
        <v>1323</v>
      </c>
      <c r="F5455" t="s">
        <v>88</v>
      </c>
      <c r="G5455" t="s">
        <v>88</v>
      </c>
      <c r="H5455" t="s">
        <v>92</v>
      </c>
    </row>
    <row r="5456" spans="1:8" x14ac:dyDescent="0.25">
      <c r="A5456" t="s">
        <v>248</v>
      </c>
      <c r="B5456" t="s">
        <v>816</v>
      </c>
      <c r="C5456" t="s">
        <v>88</v>
      </c>
      <c r="D5456" t="s">
        <v>5021</v>
      </c>
      <c r="E5456" t="s">
        <v>700</v>
      </c>
      <c r="F5456" t="s">
        <v>88</v>
      </c>
      <c r="G5456" t="s">
        <v>88</v>
      </c>
      <c r="H5456" t="s">
        <v>92</v>
      </c>
    </row>
    <row r="5457" spans="1:8" x14ac:dyDescent="0.25">
      <c r="A5457" t="s">
        <v>248</v>
      </c>
      <c r="B5457" t="s">
        <v>935</v>
      </c>
      <c r="C5457" t="s">
        <v>88</v>
      </c>
      <c r="D5457" t="s">
        <v>5022</v>
      </c>
      <c r="E5457" t="s">
        <v>780</v>
      </c>
      <c r="F5457" t="s">
        <v>88</v>
      </c>
      <c r="G5457" t="s">
        <v>88</v>
      </c>
      <c r="H5457" t="s">
        <v>92</v>
      </c>
    </row>
    <row r="5458" spans="1:8" x14ac:dyDescent="0.25">
      <c r="A5458" t="s">
        <v>248</v>
      </c>
      <c r="B5458" t="s">
        <v>5023</v>
      </c>
      <c r="C5458" t="s">
        <v>88</v>
      </c>
      <c r="D5458" t="s">
        <v>5024</v>
      </c>
      <c r="E5458" t="s">
        <v>1221</v>
      </c>
      <c r="F5458" t="s">
        <v>88</v>
      </c>
      <c r="G5458" t="s">
        <v>88</v>
      </c>
      <c r="H5458" t="s">
        <v>92</v>
      </c>
    </row>
    <row r="5459" spans="1:8" x14ac:dyDescent="0.25">
      <c r="A5459" t="s">
        <v>248</v>
      </c>
      <c r="B5459" t="s">
        <v>5025</v>
      </c>
      <c r="C5459" t="s">
        <v>88</v>
      </c>
      <c r="D5459" t="s">
        <v>5026</v>
      </c>
      <c r="E5459" t="s">
        <v>1377</v>
      </c>
      <c r="F5459" t="s">
        <v>88</v>
      </c>
      <c r="G5459" t="s">
        <v>88</v>
      </c>
      <c r="H5459" t="s">
        <v>92</v>
      </c>
    </row>
    <row r="5460" spans="1:8" x14ac:dyDescent="0.25">
      <c r="A5460" t="s">
        <v>248</v>
      </c>
      <c r="B5460" t="s">
        <v>5023</v>
      </c>
      <c r="C5460" t="s">
        <v>88</v>
      </c>
      <c r="D5460" t="s">
        <v>5024</v>
      </c>
      <c r="E5460" t="s">
        <v>658</v>
      </c>
      <c r="F5460" t="s">
        <v>88</v>
      </c>
      <c r="G5460" t="s">
        <v>88</v>
      </c>
      <c r="H5460" t="s">
        <v>92</v>
      </c>
    </row>
    <row r="5461" spans="1:8" x14ac:dyDescent="0.25">
      <c r="A5461" t="s">
        <v>248</v>
      </c>
      <c r="B5461" t="s">
        <v>789</v>
      </c>
      <c r="C5461" t="s">
        <v>88</v>
      </c>
      <c r="D5461" t="s">
        <v>5018</v>
      </c>
      <c r="E5461" t="s">
        <v>702</v>
      </c>
      <c r="F5461" t="s">
        <v>88</v>
      </c>
      <c r="G5461" t="s">
        <v>88</v>
      </c>
      <c r="H5461" t="s">
        <v>92</v>
      </c>
    </row>
    <row r="5462" spans="1:8" x14ac:dyDescent="0.25">
      <c r="A5462" t="s">
        <v>248</v>
      </c>
      <c r="B5462" t="s">
        <v>944</v>
      </c>
      <c r="C5462" t="s">
        <v>88</v>
      </c>
      <c r="D5462" t="s">
        <v>88</v>
      </c>
      <c r="E5462" t="s">
        <v>655</v>
      </c>
      <c r="F5462" t="s">
        <v>88</v>
      </c>
      <c r="G5462" t="s">
        <v>88</v>
      </c>
      <c r="H5462" t="s">
        <v>92</v>
      </c>
    </row>
    <row r="5463" spans="1:8" x14ac:dyDescent="0.25">
      <c r="A5463" t="s">
        <v>248</v>
      </c>
      <c r="B5463" t="s">
        <v>5027</v>
      </c>
      <c r="C5463" t="s">
        <v>88</v>
      </c>
      <c r="D5463" t="s">
        <v>5021</v>
      </c>
      <c r="E5463" t="s">
        <v>658</v>
      </c>
      <c r="F5463" t="s">
        <v>88</v>
      </c>
      <c r="G5463" t="s">
        <v>88</v>
      </c>
      <c r="H5463" t="s">
        <v>92</v>
      </c>
    </row>
    <row r="5464" spans="1:8" x14ac:dyDescent="0.25">
      <c r="A5464" t="s">
        <v>248</v>
      </c>
      <c r="B5464" t="s">
        <v>816</v>
      </c>
      <c r="C5464" t="s">
        <v>88</v>
      </c>
      <c r="D5464" t="s">
        <v>5021</v>
      </c>
      <c r="E5464" t="s">
        <v>700</v>
      </c>
      <c r="F5464" t="s">
        <v>88</v>
      </c>
      <c r="G5464" t="s">
        <v>88</v>
      </c>
      <c r="H5464" t="s">
        <v>92</v>
      </c>
    </row>
    <row r="5465" spans="1:8" x14ac:dyDescent="0.25">
      <c r="A5465" t="s">
        <v>248</v>
      </c>
      <c r="B5465" t="s">
        <v>5019</v>
      </c>
      <c r="C5465" t="s">
        <v>88</v>
      </c>
      <c r="D5465" t="s">
        <v>5020</v>
      </c>
      <c r="E5465" t="s">
        <v>1323</v>
      </c>
      <c r="F5465" t="s">
        <v>88</v>
      </c>
      <c r="G5465" t="s">
        <v>88</v>
      </c>
      <c r="H5465" t="s">
        <v>92</v>
      </c>
    </row>
    <row r="5466" spans="1:8" x14ac:dyDescent="0.25">
      <c r="A5466" t="s">
        <v>248</v>
      </c>
      <c r="B5466" t="s">
        <v>935</v>
      </c>
      <c r="C5466" t="s">
        <v>88</v>
      </c>
      <c r="D5466" t="s">
        <v>5022</v>
      </c>
      <c r="E5466" t="s">
        <v>780</v>
      </c>
      <c r="F5466" t="s">
        <v>88</v>
      </c>
      <c r="G5466" t="s">
        <v>88</v>
      </c>
      <c r="H5466" t="s">
        <v>92</v>
      </c>
    </row>
    <row r="5467" spans="1:8" x14ac:dyDescent="0.25">
      <c r="A5467" t="s">
        <v>248</v>
      </c>
      <c r="B5467" t="s">
        <v>834</v>
      </c>
      <c r="C5467" t="s">
        <v>88</v>
      </c>
      <c r="D5467" t="s">
        <v>5022</v>
      </c>
      <c r="E5467" t="s">
        <v>844</v>
      </c>
      <c r="F5467" t="s">
        <v>88</v>
      </c>
      <c r="G5467" t="s">
        <v>88</v>
      </c>
      <c r="H5467" t="s">
        <v>92</v>
      </c>
    </row>
    <row r="5468" spans="1:8" x14ac:dyDescent="0.25">
      <c r="A5468" t="s">
        <v>248</v>
      </c>
      <c r="B5468" t="s">
        <v>823</v>
      </c>
      <c r="C5468" t="s">
        <v>88</v>
      </c>
      <c r="D5468" t="s">
        <v>5022</v>
      </c>
      <c r="E5468" t="s">
        <v>964</v>
      </c>
      <c r="F5468" t="s">
        <v>88</v>
      </c>
      <c r="G5468" t="s">
        <v>88</v>
      </c>
      <c r="H5468" t="s">
        <v>92</v>
      </c>
    </row>
    <row r="5469" spans="1:8" x14ac:dyDescent="0.25">
      <c r="A5469" t="s">
        <v>248</v>
      </c>
      <c r="B5469" t="s">
        <v>701</v>
      </c>
      <c r="C5469" t="s">
        <v>88</v>
      </c>
      <c r="D5469" t="s">
        <v>88</v>
      </c>
      <c r="E5469" t="s">
        <v>734</v>
      </c>
      <c r="F5469" t="s">
        <v>88</v>
      </c>
      <c r="G5469" t="s">
        <v>88</v>
      </c>
      <c r="H5469" t="s">
        <v>92</v>
      </c>
    </row>
    <row r="5470" spans="1:8" x14ac:dyDescent="0.25">
      <c r="A5470" t="s">
        <v>248</v>
      </c>
      <c r="B5470" t="s">
        <v>714</v>
      </c>
      <c r="C5470" t="s">
        <v>88</v>
      </c>
      <c r="D5470" t="s">
        <v>88</v>
      </c>
      <c r="E5470" t="s">
        <v>702</v>
      </c>
      <c r="F5470" t="s">
        <v>88</v>
      </c>
      <c r="G5470" t="s">
        <v>88</v>
      </c>
      <c r="H5470" t="s">
        <v>92</v>
      </c>
    </row>
    <row r="5471" spans="1:8" x14ac:dyDescent="0.25">
      <c r="A5471" t="s">
        <v>248</v>
      </c>
      <c r="B5471" t="s">
        <v>794</v>
      </c>
      <c r="C5471" t="s">
        <v>88</v>
      </c>
      <c r="D5471" t="s">
        <v>88</v>
      </c>
      <c r="E5471" t="s">
        <v>709</v>
      </c>
      <c r="F5471" t="s">
        <v>88</v>
      </c>
      <c r="G5471" t="s">
        <v>88</v>
      </c>
      <c r="H5471" t="s">
        <v>92</v>
      </c>
    </row>
    <row r="5472" spans="1:8" x14ac:dyDescent="0.25">
      <c r="A5472" t="s">
        <v>248</v>
      </c>
      <c r="B5472" t="s">
        <v>618</v>
      </c>
      <c r="C5472" t="s">
        <v>88</v>
      </c>
      <c r="D5472" t="s">
        <v>88</v>
      </c>
      <c r="E5472" t="s">
        <v>711</v>
      </c>
      <c r="F5472" t="s">
        <v>88</v>
      </c>
      <c r="G5472" t="s">
        <v>88</v>
      </c>
      <c r="H5472" t="s">
        <v>92</v>
      </c>
    </row>
    <row r="5473" spans="1:8" x14ac:dyDescent="0.25">
      <c r="A5473" t="s">
        <v>248</v>
      </c>
      <c r="B5473" t="s">
        <v>795</v>
      </c>
      <c r="C5473" t="s">
        <v>88</v>
      </c>
      <c r="D5473" t="s">
        <v>88</v>
      </c>
      <c r="E5473" t="s">
        <v>735</v>
      </c>
      <c r="F5473" t="s">
        <v>88</v>
      </c>
      <c r="G5473" t="s">
        <v>88</v>
      </c>
      <c r="H5473" t="s">
        <v>92</v>
      </c>
    </row>
    <row r="5474" spans="1:8" x14ac:dyDescent="0.25">
      <c r="A5474" t="s">
        <v>248</v>
      </c>
      <c r="B5474" t="s">
        <v>926</v>
      </c>
      <c r="C5474" t="s">
        <v>88</v>
      </c>
      <c r="D5474" t="s">
        <v>88</v>
      </c>
      <c r="E5474" t="s">
        <v>711</v>
      </c>
      <c r="F5474" t="s">
        <v>88</v>
      </c>
      <c r="G5474" t="s">
        <v>88</v>
      </c>
      <c r="H5474" t="s">
        <v>92</v>
      </c>
    </row>
    <row r="5475" spans="1:8" x14ac:dyDescent="0.25">
      <c r="A5475" t="s">
        <v>248</v>
      </c>
      <c r="B5475" t="s">
        <v>797</v>
      </c>
      <c r="C5475" t="s">
        <v>88</v>
      </c>
      <c r="D5475" t="s">
        <v>88</v>
      </c>
      <c r="E5475" t="s">
        <v>711</v>
      </c>
      <c r="F5475" t="s">
        <v>88</v>
      </c>
      <c r="G5475" t="s">
        <v>88</v>
      </c>
      <c r="H5475" t="s">
        <v>92</v>
      </c>
    </row>
    <row r="5476" spans="1:8" x14ac:dyDescent="0.25">
      <c r="A5476" t="s">
        <v>248</v>
      </c>
      <c r="B5476" t="s">
        <v>623</v>
      </c>
      <c r="C5476" t="s">
        <v>88</v>
      </c>
      <c r="D5476" t="s">
        <v>88</v>
      </c>
      <c r="E5476" t="s">
        <v>849</v>
      </c>
      <c r="F5476" t="s">
        <v>88</v>
      </c>
      <c r="G5476" t="s">
        <v>88</v>
      </c>
      <c r="H5476" t="s">
        <v>92</v>
      </c>
    </row>
    <row r="5477" spans="1:8" x14ac:dyDescent="0.25">
      <c r="A5477" t="s">
        <v>248</v>
      </c>
      <c r="B5477" t="s">
        <v>851</v>
      </c>
      <c r="C5477" t="s">
        <v>88</v>
      </c>
      <c r="D5477" t="s">
        <v>88</v>
      </c>
      <c r="E5477" t="s">
        <v>1323</v>
      </c>
      <c r="F5477" t="s">
        <v>88</v>
      </c>
      <c r="G5477" t="s">
        <v>88</v>
      </c>
      <c r="H5477" t="s">
        <v>92</v>
      </c>
    </row>
    <row r="5478" spans="1:8" x14ac:dyDescent="0.25">
      <c r="A5478" t="s">
        <v>248</v>
      </c>
      <c r="B5478" t="s">
        <v>5028</v>
      </c>
      <c r="C5478" t="s">
        <v>88</v>
      </c>
      <c r="D5478" t="s">
        <v>88</v>
      </c>
      <c r="E5478" t="s">
        <v>738</v>
      </c>
      <c r="F5478" t="s">
        <v>88</v>
      </c>
      <c r="G5478" t="s">
        <v>88</v>
      </c>
      <c r="H5478" t="s">
        <v>92</v>
      </c>
    </row>
    <row r="5479" spans="1:8" x14ac:dyDescent="0.25">
      <c r="A5479" t="s">
        <v>248</v>
      </c>
      <c r="B5479" t="s">
        <v>5029</v>
      </c>
      <c r="C5479" t="s">
        <v>88</v>
      </c>
      <c r="D5479" t="s">
        <v>88</v>
      </c>
      <c r="E5479" t="s">
        <v>717</v>
      </c>
      <c r="F5479" t="s">
        <v>88</v>
      </c>
      <c r="G5479" t="s">
        <v>88</v>
      </c>
      <c r="H5479" t="s">
        <v>92</v>
      </c>
    </row>
    <row r="5480" spans="1:8" x14ac:dyDescent="0.25">
      <c r="A5480" t="s">
        <v>248</v>
      </c>
      <c r="B5480" t="s">
        <v>625</v>
      </c>
      <c r="C5480" t="s">
        <v>88</v>
      </c>
      <c r="D5480" t="s">
        <v>88</v>
      </c>
      <c r="E5480" t="s">
        <v>626</v>
      </c>
      <c r="F5480" t="s">
        <v>88</v>
      </c>
      <c r="G5480" t="s">
        <v>88</v>
      </c>
      <c r="H5480" t="s">
        <v>92</v>
      </c>
    </row>
    <row r="5481" spans="1:8" x14ac:dyDescent="0.25">
      <c r="A5481" t="s">
        <v>249</v>
      </c>
      <c r="B5481" t="s">
        <v>5030</v>
      </c>
      <c r="C5481" t="s">
        <v>88</v>
      </c>
      <c r="D5481" t="s">
        <v>5031</v>
      </c>
      <c r="E5481" t="s">
        <v>700</v>
      </c>
      <c r="F5481" t="s">
        <v>88</v>
      </c>
      <c r="G5481" t="s">
        <v>88</v>
      </c>
      <c r="H5481" t="s">
        <v>92</v>
      </c>
    </row>
    <row r="5482" spans="1:8" x14ac:dyDescent="0.25">
      <c r="A5482" t="s">
        <v>249</v>
      </c>
      <c r="B5482" t="s">
        <v>4860</v>
      </c>
      <c r="C5482" t="s">
        <v>88</v>
      </c>
      <c r="D5482" t="s">
        <v>5032</v>
      </c>
      <c r="E5482" t="s">
        <v>883</v>
      </c>
      <c r="F5482" t="s">
        <v>88</v>
      </c>
      <c r="G5482" t="s">
        <v>88</v>
      </c>
      <c r="H5482" t="s">
        <v>92</v>
      </c>
    </row>
    <row r="5483" spans="1:8" x14ac:dyDescent="0.25">
      <c r="A5483" t="s">
        <v>249</v>
      </c>
      <c r="B5483" t="s">
        <v>1667</v>
      </c>
      <c r="C5483" t="s">
        <v>88</v>
      </c>
      <c r="D5483" t="s">
        <v>5033</v>
      </c>
      <c r="E5483" t="s">
        <v>893</v>
      </c>
      <c r="F5483" t="s">
        <v>88</v>
      </c>
      <c r="G5483" t="s">
        <v>88</v>
      </c>
      <c r="H5483" t="s">
        <v>92</v>
      </c>
    </row>
    <row r="5484" spans="1:8" x14ac:dyDescent="0.25">
      <c r="A5484" t="s">
        <v>249</v>
      </c>
      <c r="B5484" t="s">
        <v>1659</v>
      </c>
      <c r="C5484" t="s">
        <v>88</v>
      </c>
      <c r="D5484" t="s">
        <v>5034</v>
      </c>
      <c r="E5484" t="s">
        <v>899</v>
      </c>
      <c r="F5484" t="s">
        <v>88</v>
      </c>
      <c r="G5484" t="s">
        <v>88</v>
      </c>
      <c r="H5484" t="s">
        <v>92</v>
      </c>
    </row>
    <row r="5485" spans="1:8" x14ac:dyDescent="0.25">
      <c r="A5485" t="s">
        <v>249</v>
      </c>
      <c r="B5485" t="s">
        <v>5035</v>
      </c>
      <c r="C5485" t="s">
        <v>88</v>
      </c>
      <c r="D5485" t="s">
        <v>5036</v>
      </c>
      <c r="E5485" t="s">
        <v>679</v>
      </c>
      <c r="F5485" t="s">
        <v>88</v>
      </c>
      <c r="G5485" t="s">
        <v>88</v>
      </c>
      <c r="H5485" t="s">
        <v>92</v>
      </c>
    </row>
    <row r="5486" spans="1:8" x14ac:dyDescent="0.25">
      <c r="A5486" t="s">
        <v>249</v>
      </c>
      <c r="B5486" t="s">
        <v>5037</v>
      </c>
      <c r="C5486" t="s">
        <v>88</v>
      </c>
      <c r="D5486" t="s">
        <v>5036</v>
      </c>
      <c r="E5486" t="s">
        <v>700</v>
      </c>
      <c r="F5486" t="s">
        <v>88</v>
      </c>
      <c r="G5486" t="s">
        <v>88</v>
      </c>
      <c r="H5486" t="s">
        <v>92</v>
      </c>
    </row>
    <row r="5487" spans="1:8" x14ac:dyDescent="0.25">
      <c r="A5487" t="s">
        <v>249</v>
      </c>
      <c r="B5487" t="s">
        <v>5038</v>
      </c>
      <c r="C5487" t="s">
        <v>88</v>
      </c>
      <c r="D5487" t="s">
        <v>5036</v>
      </c>
      <c r="E5487" t="s">
        <v>663</v>
      </c>
      <c r="F5487" t="s">
        <v>88</v>
      </c>
      <c r="G5487" t="s">
        <v>88</v>
      </c>
      <c r="H5487" t="s">
        <v>92</v>
      </c>
    </row>
    <row r="5488" spans="1:8" x14ac:dyDescent="0.25">
      <c r="A5488" t="s">
        <v>249</v>
      </c>
      <c r="B5488" t="s">
        <v>5039</v>
      </c>
      <c r="C5488" t="s">
        <v>88</v>
      </c>
      <c r="D5488" t="s">
        <v>5036</v>
      </c>
      <c r="E5488" t="s">
        <v>717</v>
      </c>
      <c r="F5488" t="s">
        <v>88</v>
      </c>
      <c r="G5488" t="s">
        <v>88</v>
      </c>
      <c r="H5488" t="s">
        <v>92</v>
      </c>
    </row>
    <row r="5489" spans="1:8" x14ac:dyDescent="0.25">
      <c r="A5489" t="s">
        <v>249</v>
      </c>
      <c r="B5489" t="s">
        <v>1668</v>
      </c>
      <c r="C5489" t="s">
        <v>88</v>
      </c>
      <c r="D5489" t="s">
        <v>5040</v>
      </c>
      <c r="E5489" t="s">
        <v>883</v>
      </c>
      <c r="F5489" t="s">
        <v>88</v>
      </c>
      <c r="G5489" t="s">
        <v>88</v>
      </c>
      <c r="H5489" t="s">
        <v>92</v>
      </c>
    </row>
    <row r="5490" spans="1:8" x14ac:dyDescent="0.25">
      <c r="A5490" t="s">
        <v>249</v>
      </c>
      <c r="B5490" t="s">
        <v>2002</v>
      </c>
      <c r="C5490" t="s">
        <v>88</v>
      </c>
      <c r="D5490" t="s">
        <v>5041</v>
      </c>
      <c r="E5490" t="s">
        <v>893</v>
      </c>
      <c r="F5490" t="s">
        <v>88</v>
      </c>
      <c r="G5490" t="s">
        <v>88</v>
      </c>
      <c r="H5490" t="s">
        <v>92</v>
      </c>
    </row>
    <row r="5491" spans="1:8" x14ac:dyDescent="0.25">
      <c r="A5491" t="s">
        <v>249</v>
      </c>
      <c r="B5491" t="s">
        <v>5042</v>
      </c>
      <c r="C5491" t="s">
        <v>88</v>
      </c>
      <c r="D5491" t="s">
        <v>5036</v>
      </c>
      <c r="E5491" t="s">
        <v>738</v>
      </c>
      <c r="F5491" t="s">
        <v>88</v>
      </c>
      <c r="G5491" t="s">
        <v>88</v>
      </c>
      <c r="H5491" t="s">
        <v>92</v>
      </c>
    </row>
    <row r="5492" spans="1:8" x14ac:dyDescent="0.25">
      <c r="A5492" t="s">
        <v>249</v>
      </c>
      <c r="B5492" t="s">
        <v>5043</v>
      </c>
      <c r="C5492" t="s">
        <v>88</v>
      </c>
      <c r="D5492" t="s">
        <v>5036</v>
      </c>
      <c r="E5492" t="s">
        <v>780</v>
      </c>
      <c r="F5492" t="s">
        <v>88</v>
      </c>
      <c r="G5492" t="s">
        <v>88</v>
      </c>
      <c r="H5492" t="s">
        <v>92</v>
      </c>
    </row>
    <row r="5493" spans="1:8" x14ac:dyDescent="0.25">
      <c r="A5493" t="s">
        <v>249</v>
      </c>
      <c r="B5493" t="s">
        <v>5044</v>
      </c>
      <c r="C5493" t="s">
        <v>88</v>
      </c>
      <c r="D5493" t="s">
        <v>5036</v>
      </c>
      <c r="E5493" t="s">
        <v>679</v>
      </c>
      <c r="F5493" t="s">
        <v>88</v>
      </c>
      <c r="G5493" t="s">
        <v>88</v>
      </c>
      <c r="H5493" t="s">
        <v>92</v>
      </c>
    </row>
    <row r="5494" spans="1:8" x14ac:dyDescent="0.25">
      <c r="A5494" t="s">
        <v>249</v>
      </c>
      <c r="B5494" t="s">
        <v>5045</v>
      </c>
      <c r="C5494" t="s">
        <v>88</v>
      </c>
      <c r="D5494" t="s">
        <v>5036</v>
      </c>
      <c r="E5494" t="s">
        <v>721</v>
      </c>
      <c r="F5494" t="s">
        <v>88</v>
      </c>
      <c r="G5494" t="s">
        <v>88</v>
      </c>
      <c r="H5494" t="s">
        <v>92</v>
      </c>
    </row>
    <row r="5495" spans="1:8" x14ac:dyDescent="0.25">
      <c r="A5495" t="s">
        <v>249</v>
      </c>
      <c r="B5495" t="s">
        <v>1322</v>
      </c>
      <c r="C5495" t="s">
        <v>88</v>
      </c>
      <c r="D5495" t="s">
        <v>88</v>
      </c>
      <c r="E5495" t="s">
        <v>702</v>
      </c>
      <c r="F5495" t="s">
        <v>88</v>
      </c>
      <c r="G5495" t="s">
        <v>88</v>
      </c>
      <c r="H5495" t="s">
        <v>92</v>
      </c>
    </row>
    <row r="5496" spans="1:8" x14ac:dyDescent="0.25">
      <c r="A5496" t="s">
        <v>249</v>
      </c>
      <c r="B5496" t="s">
        <v>5046</v>
      </c>
      <c r="C5496" t="s">
        <v>88</v>
      </c>
      <c r="D5496" t="s">
        <v>5047</v>
      </c>
      <c r="E5496" t="s">
        <v>1323</v>
      </c>
      <c r="F5496" t="s">
        <v>88</v>
      </c>
      <c r="G5496" t="s">
        <v>88</v>
      </c>
      <c r="H5496" t="s">
        <v>92</v>
      </c>
    </row>
    <row r="5497" spans="1:8" x14ac:dyDescent="0.25">
      <c r="A5497" t="s">
        <v>249</v>
      </c>
      <c r="B5497" t="s">
        <v>1072</v>
      </c>
      <c r="C5497" t="s">
        <v>88</v>
      </c>
      <c r="D5497" t="s">
        <v>88</v>
      </c>
      <c r="E5497" t="s">
        <v>732</v>
      </c>
      <c r="F5497" t="s">
        <v>88</v>
      </c>
      <c r="G5497" t="s">
        <v>88</v>
      </c>
      <c r="H5497" t="s">
        <v>92</v>
      </c>
    </row>
    <row r="5498" spans="1:8" x14ac:dyDescent="0.25">
      <c r="A5498" t="s">
        <v>249</v>
      </c>
      <c r="B5498" t="s">
        <v>701</v>
      </c>
      <c r="C5498" t="s">
        <v>88</v>
      </c>
      <c r="D5498" t="s">
        <v>88</v>
      </c>
      <c r="E5498" t="s">
        <v>732</v>
      </c>
      <c r="F5498" t="s">
        <v>88</v>
      </c>
      <c r="G5498" t="s">
        <v>88</v>
      </c>
      <c r="H5498" t="s">
        <v>92</v>
      </c>
    </row>
    <row r="5499" spans="1:8" x14ac:dyDescent="0.25">
      <c r="A5499" t="s">
        <v>249</v>
      </c>
      <c r="B5499" t="s">
        <v>705</v>
      </c>
      <c r="C5499" t="s">
        <v>88</v>
      </c>
      <c r="D5499" t="s">
        <v>88</v>
      </c>
      <c r="E5499" t="s">
        <v>732</v>
      </c>
      <c r="F5499" t="s">
        <v>88</v>
      </c>
      <c r="G5499" t="s">
        <v>88</v>
      </c>
      <c r="H5499" t="s">
        <v>92</v>
      </c>
    </row>
    <row r="5500" spans="1:8" x14ac:dyDescent="0.25">
      <c r="A5500" t="s">
        <v>249</v>
      </c>
      <c r="B5500" t="s">
        <v>706</v>
      </c>
      <c r="C5500" t="s">
        <v>88</v>
      </c>
      <c r="D5500" t="s">
        <v>88</v>
      </c>
      <c r="E5500" t="s">
        <v>732</v>
      </c>
      <c r="F5500" t="s">
        <v>88</v>
      </c>
      <c r="G5500" t="s">
        <v>88</v>
      </c>
      <c r="H5500" t="s">
        <v>92</v>
      </c>
    </row>
    <row r="5501" spans="1:8" x14ac:dyDescent="0.25">
      <c r="A5501" t="s">
        <v>249</v>
      </c>
      <c r="B5501" t="s">
        <v>707</v>
      </c>
      <c r="C5501" t="s">
        <v>88</v>
      </c>
      <c r="D5501" t="s">
        <v>88</v>
      </c>
      <c r="E5501" t="s">
        <v>732</v>
      </c>
      <c r="F5501" t="s">
        <v>88</v>
      </c>
      <c r="G5501" t="s">
        <v>88</v>
      </c>
      <c r="H5501" t="s">
        <v>92</v>
      </c>
    </row>
    <row r="5502" spans="1:8" x14ac:dyDescent="0.25">
      <c r="A5502" t="s">
        <v>249</v>
      </c>
      <c r="B5502" t="s">
        <v>708</v>
      </c>
      <c r="C5502" t="s">
        <v>88</v>
      </c>
      <c r="D5502" t="s">
        <v>88</v>
      </c>
      <c r="E5502" t="s">
        <v>732</v>
      </c>
      <c r="F5502" t="s">
        <v>88</v>
      </c>
      <c r="G5502" t="s">
        <v>88</v>
      </c>
      <c r="H5502" t="s">
        <v>92</v>
      </c>
    </row>
    <row r="5503" spans="1:8" x14ac:dyDescent="0.25">
      <c r="A5503" t="s">
        <v>249</v>
      </c>
      <c r="B5503" t="s">
        <v>794</v>
      </c>
      <c r="C5503" t="s">
        <v>88</v>
      </c>
      <c r="D5503" t="s">
        <v>88</v>
      </c>
      <c r="E5503" t="s">
        <v>710</v>
      </c>
      <c r="F5503" t="s">
        <v>88</v>
      </c>
      <c r="G5503" t="s">
        <v>88</v>
      </c>
      <c r="H5503" t="s">
        <v>92</v>
      </c>
    </row>
    <row r="5504" spans="1:8" x14ac:dyDescent="0.25">
      <c r="A5504" t="s">
        <v>249</v>
      </c>
      <c r="B5504" t="s">
        <v>1670</v>
      </c>
      <c r="C5504" t="s">
        <v>88</v>
      </c>
      <c r="D5504" t="s">
        <v>88</v>
      </c>
      <c r="E5504" t="s">
        <v>710</v>
      </c>
      <c r="F5504" t="s">
        <v>88</v>
      </c>
      <c r="G5504" t="s">
        <v>88</v>
      </c>
      <c r="H5504" t="s">
        <v>92</v>
      </c>
    </row>
    <row r="5505" spans="1:8" x14ac:dyDescent="0.25">
      <c r="A5505" t="s">
        <v>249</v>
      </c>
      <c r="B5505" t="s">
        <v>2752</v>
      </c>
      <c r="C5505" t="s">
        <v>88</v>
      </c>
      <c r="D5505" t="s">
        <v>88</v>
      </c>
      <c r="E5505" t="s">
        <v>735</v>
      </c>
      <c r="F5505" t="s">
        <v>88</v>
      </c>
      <c r="G5505" t="s">
        <v>88</v>
      </c>
      <c r="H5505" t="s">
        <v>92</v>
      </c>
    </row>
    <row r="5506" spans="1:8" x14ac:dyDescent="0.25">
      <c r="A5506" t="s">
        <v>249</v>
      </c>
      <c r="B5506" t="s">
        <v>797</v>
      </c>
      <c r="C5506" t="s">
        <v>88</v>
      </c>
      <c r="D5506" t="s">
        <v>88</v>
      </c>
      <c r="E5506" t="s">
        <v>711</v>
      </c>
      <c r="F5506" t="s">
        <v>88</v>
      </c>
      <c r="G5506" t="s">
        <v>88</v>
      </c>
      <c r="H5506" t="s">
        <v>92</v>
      </c>
    </row>
    <row r="5507" spans="1:8" x14ac:dyDescent="0.25">
      <c r="A5507" t="s">
        <v>249</v>
      </c>
      <c r="B5507" t="s">
        <v>622</v>
      </c>
      <c r="C5507" t="s">
        <v>88</v>
      </c>
      <c r="D5507" t="s">
        <v>88</v>
      </c>
      <c r="E5507" t="s">
        <v>711</v>
      </c>
      <c r="F5507" t="s">
        <v>88</v>
      </c>
      <c r="G5507" t="s">
        <v>88</v>
      </c>
      <c r="H5507" t="s">
        <v>92</v>
      </c>
    </row>
    <row r="5508" spans="1:8" x14ac:dyDescent="0.25">
      <c r="A5508" t="s">
        <v>249</v>
      </c>
      <c r="B5508" t="s">
        <v>623</v>
      </c>
      <c r="C5508" t="s">
        <v>88</v>
      </c>
      <c r="D5508" t="s">
        <v>88</v>
      </c>
      <c r="E5508" t="s">
        <v>849</v>
      </c>
      <c r="F5508" t="s">
        <v>88</v>
      </c>
      <c r="G5508" t="s">
        <v>88</v>
      </c>
      <c r="H5508" t="s">
        <v>92</v>
      </c>
    </row>
    <row r="5509" spans="1:8" x14ac:dyDescent="0.25">
      <c r="A5509" t="s">
        <v>249</v>
      </c>
      <c r="B5509" t="s">
        <v>625</v>
      </c>
      <c r="C5509" t="s">
        <v>88</v>
      </c>
      <c r="D5509" t="s">
        <v>88</v>
      </c>
      <c r="E5509" t="s">
        <v>626</v>
      </c>
      <c r="F5509" t="s">
        <v>88</v>
      </c>
      <c r="G5509" t="s">
        <v>88</v>
      </c>
      <c r="H5509" t="s">
        <v>92</v>
      </c>
    </row>
    <row r="5510" spans="1:8" x14ac:dyDescent="0.25">
      <c r="A5510" t="s">
        <v>250</v>
      </c>
      <c r="B5510" t="s">
        <v>5048</v>
      </c>
      <c r="C5510" t="s">
        <v>88</v>
      </c>
      <c r="D5510" t="s">
        <v>5049</v>
      </c>
      <c r="E5510" t="s">
        <v>679</v>
      </c>
      <c r="F5510" t="s">
        <v>88</v>
      </c>
      <c r="G5510" t="s">
        <v>88</v>
      </c>
      <c r="H5510" t="s">
        <v>92</v>
      </c>
    </row>
    <row r="5511" spans="1:8" x14ac:dyDescent="0.25">
      <c r="A5511" t="s">
        <v>250</v>
      </c>
      <c r="B5511" t="s">
        <v>2728</v>
      </c>
      <c r="C5511" t="s">
        <v>88</v>
      </c>
      <c r="D5511" t="s">
        <v>5050</v>
      </c>
      <c r="E5511" t="s">
        <v>663</v>
      </c>
      <c r="F5511" t="s">
        <v>88</v>
      </c>
      <c r="G5511" t="s">
        <v>88</v>
      </c>
      <c r="H5511" t="s">
        <v>92</v>
      </c>
    </row>
    <row r="5512" spans="1:8" x14ac:dyDescent="0.25">
      <c r="A5512" t="s">
        <v>250</v>
      </c>
      <c r="B5512" t="s">
        <v>5051</v>
      </c>
      <c r="C5512" t="s">
        <v>88</v>
      </c>
      <c r="D5512" t="s">
        <v>5052</v>
      </c>
      <c r="E5512" t="s">
        <v>937</v>
      </c>
      <c r="F5512" t="s">
        <v>88</v>
      </c>
      <c r="G5512" t="s">
        <v>88</v>
      </c>
      <c r="H5512" t="s">
        <v>92</v>
      </c>
    </row>
    <row r="5513" spans="1:8" x14ac:dyDescent="0.25">
      <c r="A5513" t="s">
        <v>250</v>
      </c>
      <c r="B5513" t="s">
        <v>5053</v>
      </c>
      <c r="C5513" t="s">
        <v>88</v>
      </c>
      <c r="D5513" t="s">
        <v>88</v>
      </c>
      <c r="E5513" t="s">
        <v>1323</v>
      </c>
      <c r="F5513" t="s">
        <v>88</v>
      </c>
      <c r="G5513" t="s">
        <v>88</v>
      </c>
      <c r="H5513" t="s">
        <v>92</v>
      </c>
    </row>
    <row r="5514" spans="1:8" x14ac:dyDescent="0.25">
      <c r="A5514" t="s">
        <v>250</v>
      </c>
      <c r="B5514" t="s">
        <v>5054</v>
      </c>
      <c r="C5514" t="s">
        <v>88</v>
      </c>
      <c r="D5514" t="s">
        <v>5055</v>
      </c>
      <c r="E5514" t="s">
        <v>658</v>
      </c>
      <c r="F5514" t="s">
        <v>88</v>
      </c>
      <c r="G5514" t="s">
        <v>88</v>
      </c>
      <c r="H5514" t="s">
        <v>92</v>
      </c>
    </row>
    <row r="5515" spans="1:8" x14ac:dyDescent="0.25">
      <c r="A5515" t="s">
        <v>250</v>
      </c>
      <c r="B5515" t="s">
        <v>5056</v>
      </c>
      <c r="C5515" t="s">
        <v>88</v>
      </c>
      <c r="D5515" t="s">
        <v>5057</v>
      </c>
      <c r="E5515" t="s">
        <v>723</v>
      </c>
      <c r="F5515" t="s">
        <v>88</v>
      </c>
      <c r="G5515" t="s">
        <v>88</v>
      </c>
      <c r="H5515" t="s">
        <v>92</v>
      </c>
    </row>
    <row r="5516" spans="1:8" x14ac:dyDescent="0.25">
      <c r="A5516" t="s">
        <v>250</v>
      </c>
      <c r="B5516" t="s">
        <v>5058</v>
      </c>
      <c r="C5516" t="s">
        <v>88</v>
      </c>
      <c r="D5516" t="s">
        <v>5059</v>
      </c>
      <c r="E5516" t="s">
        <v>2166</v>
      </c>
      <c r="F5516" t="s">
        <v>88</v>
      </c>
      <c r="G5516" t="s">
        <v>88</v>
      </c>
      <c r="H5516" t="s">
        <v>92</v>
      </c>
    </row>
    <row r="5517" spans="1:8" x14ac:dyDescent="0.25">
      <c r="A5517" t="s">
        <v>250</v>
      </c>
      <c r="B5517" t="s">
        <v>5060</v>
      </c>
      <c r="C5517" t="s">
        <v>88</v>
      </c>
      <c r="D5517" t="s">
        <v>5061</v>
      </c>
      <c r="E5517" t="s">
        <v>780</v>
      </c>
      <c r="F5517" t="s">
        <v>88</v>
      </c>
      <c r="G5517" t="s">
        <v>88</v>
      </c>
      <c r="H5517" t="s">
        <v>92</v>
      </c>
    </row>
    <row r="5518" spans="1:8" x14ac:dyDescent="0.25">
      <c r="A5518" t="s">
        <v>250</v>
      </c>
      <c r="B5518" t="s">
        <v>5054</v>
      </c>
      <c r="C5518" t="s">
        <v>88</v>
      </c>
      <c r="D5518" t="s">
        <v>5055</v>
      </c>
      <c r="E5518" t="s">
        <v>658</v>
      </c>
      <c r="F5518" t="s">
        <v>88</v>
      </c>
      <c r="G5518" t="s">
        <v>88</v>
      </c>
      <c r="H5518" t="s">
        <v>92</v>
      </c>
    </row>
    <row r="5519" spans="1:8" x14ac:dyDescent="0.25">
      <c r="A5519" t="s">
        <v>250</v>
      </c>
      <c r="B5519" t="s">
        <v>5062</v>
      </c>
      <c r="C5519" t="s">
        <v>88</v>
      </c>
      <c r="D5519" t="s">
        <v>5063</v>
      </c>
      <c r="E5519" t="s">
        <v>663</v>
      </c>
      <c r="F5519" t="s">
        <v>88</v>
      </c>
      <c r="G5519" t="s">
        <v>88</v>
      </c>
      <c r="H5519" t="s">
        <v>92</v>
      </c>
    </row>
    <row r="5520" spans="1:8" x14ac:dyDescent="0.25">
      <c r="A5520" t="s">
        <v>250</v>
      </c>
      <c r="B5520" t="s">
        <v>5064</v>
      </c>
      <c r="C5520" t="s">
        <v>88</v>
      </c>
      <c r="D5520" t="s">
        <v>5065</v>
      </c>
      <c r="E5520" t="s">
        <v>717</v>
      </c>
      <c r="F5520" t="s">
        <v>88</v>
      </c>
      <c r="G5520" t="s">
        <v>88</v>
      </c>
      <c r="H5520" t="s">
        <v>92</v>
      </c>
    </row>
    <row r="5521" spans="1:8" x14ac:dyDescent="0.25">
      <c r="A5521" t="s">
        <v>250</v>
      </c>
      <c r="B5521" t="s">
        <v>5048</v>
      </c>
      <c r="C5521" t="s">
        <v>88</v>
      </c>
      <c r="D5521" t="s">
        <v>5049</v>
      </c>
      <c r="E5521" t="s">
        <v>679</v>
      </c>
      <c r="F5521" t="s">
        <v>88</v>
      </c>
      <c r="G5521" t="s">
        <v>88</v>
      </c>
      <c r="H5521" t="s">
        <v>92</v>
      </c>
    </row>
    <row r="5522" spans="1:8" x14ac:dyDescent="0.25">
      <c r="A5522" t="s">
        <v>250</v>
      </c>
      <c r="B5522" t="s">
        <v>5066</v>
      </c>
      <c r="C5522" t="s">
        <v>88</v>
      </c>
      <c r="D5522" t="s">
        <v>88</v>
      </c>
      <c r="E5522" t="s">
        <v>723</v>
      </c>
      <c r="F5522" t="s">
        <v>88</v>
      </c>
      <c r="G5522" t="s">
        <v>88</v>
      </c>
      <c r="H5522" t="s">
        <v>92</v>
      </c>
    </row>
    <row r="5523" spans="1:8" x14ac:dyDescent="0.25">
      <c r="A5523" t="s">
        <v>250</v>
      </c>
      <c r="B5523" t="s">
        <v>5067</v>
      </c>
      <c r="C5523" t="s">
        <v>88</v>
      </c>
      <c r="D5523" t="s">
        <v>88</v>
      </c>
      <c r="E5523" t="s">
        <v>959</v>
      </c>
      <c r="F5523" t="s">
        <v>88</v>
      </c>
      <c r="G5523" t="s">
        <v>88</v>
      </c>
      <c r="H5523" t="s">
        <v>92</v>
      </c>
    </row>
    <row r="5524" spans="1:8" x14ac:dyDescent="0.25">
      <c r="A5524" t="s">
        <v>250</v>
      </c>
      <c r="B5524" t="s">
        <v>1276</v>
      </c>
      <c r="C5524" t="s">
        <v>88</v>
      </c>
      <c r="D5524" t="s">
        <v>88</v>
      </c>
      <c r="E5524" t="s">
        <v>959</v>
      </c>
      <c r="F5524" t="s">
        <v>88</v>
      </c>
      <c r="G5524" t="s">
        <v>88</v>
      </c>
      <c r="H5524" t="s">
        <v>92</v>
      </c>
    </row>
    <row r="5525" spans="1:8" x14ac:dyDescent="0.25">
      <c r="A5525" t="s">
        <v>250</v>
      </c>
      <c r="B5525" t="s">
        <v>1840</v>
      </c>
      <c r="C5525" t="s">
        <v>88</v>
      </c>
      <c r="D5525" t="s">
        <v>88</v>
      </c>
      <c r="E5525" t="s">
        <v>780</v>
      </c>
      <c r="F5525" t="s">
        <v>88</v>
      </c>
      <c r="G5525" t="s">
        <v>88</v>
      </c>
      <c r="H5525" t="s">
        <v>92</v>
      </c>
    </row>
    <row r="5526" spans="1:8" x14ac:dyDescent="0.25">
      <c r="A5526" t="s">
        <v>250</v>
      </c>
      <c r="B5526" t="s">
        <v>5068</v>
      </c>
      <c r="C5526" t="s">
        <v>88</v>
      </c>
      <c r="D5526" t="s">
        <v>88</v>
      </c>
      <c r="E5526" t="s">
        <v>663</v>
      </c>
      <c r="F5526" t="s">
        <v>88</v>
      </c>
      <c r="G5526" t="s">
        <v>88</v>
      </c>
      <c r="H5526" t="s">
        <v>92</v>
      </c>
    </row>
    <row r="5527" spans="1:8" x14ac:dyDescent="0.25">
      <c r="A5527" t="s">
        <v>250</v>
      </c>
      <c r="B5527" t="s">
        <v>5069</v>
      </c>
      <c r="C5527" t="s">
        <v>88</v>
      </c>
      <c r="D5527" t="s">
        <v>88</v>
      </c>
      <c r="E5527" t="s">
        <v>780</v>
      </c>
      <c r="F5527" t="s">
        <v>88</v>
      </c>
      <c r="G5527" t="s">
        <v>88</v>
      </c>
      <c r="H5527" t="s">
        <v>92</v>
      </c>
    </row>
    <row r="5528" spans="1:8" x14ac:dyDescent="0.25">
      <c r="A5528" t="s">
        <v>250</v>
      </c>
      <c r="B5528" t="s">
        <v>5070</v>
      </c>
      <c r="C5528" t="s">
        <v>88</v>
      </c>
      <c r="D5528" t="s">
        <v>88</v>
      </c>
      <c r="E5528" t="s">
        <v>721</v>
      </c>
      <c r="F5528" t="s">
        <v>88</v>
      </c>
      <c r="G5528" t="s">
        <v>88</v>
      </c>
      <c r="H5528" t="s">
        <v>92</v>
      </c>
    </row>
    <row r="5529" spans="1:8" x14ac:dyDescent="0.25">
      <c r="A5529" t="s">
        <v>250</v>
      </c>
      <c r="B5529" t="s">
        <v>5071</v>
      </c>
      <c r="C5529" t="s">
        <v>88</v>
      </c>
      <c r="D5529" t="s">
        <v>88</v>
      </c>
      <c r="E5529" t="s">
        <v>679</v>
      </c>
      <c r="F5529" t="s">
        <v>88</v>
      </c>
      <c r="G5529" t="s">
        <v>88</v>
      </c>
      <c r="H5529" t="s">
        <v>92</v>
      </c>
    </row>
    <row r="5530" spans="1:8" x14ac:dyDescent="0.25">
      <c r="A5530" t="s">
        <v>250</v>
      </c>
      <c r="B5530" t="s">
        <v>5072</v>
      </c>
      <c r="C5530" t="s">
        <v>88</v>
      </c>
      <c r="D5530" t="s">
        <v>88</v>
      </c>
      <c r="E5530" t="s">
        <v>679</v>
      </c>
      <c r="F5530" t="s">
        <v>88</v>
      </c>
      <c r="G5530" t="s">
        <v>88</v>
      </c>
      <c r="H5530" t="s">
        <v>92</v>
      </c>
    </row>
    <row r="5531" spans="1:8" x14ac:dyDescent="0.25">
      <c r="A5531" t="s">
        <v>250</v>
      </c>
      <c r="B5531" t="s">
        <v>5073</v>
      </c>
      <c r="C5531" t="s">
        <v>88</v>
      </c>
      <c r="D5531" t="s">
        <v>5074</v>
      </c>
      <c r="E5531" t="s">
        <v>715</v>
      </c>
      <c r="F5531" t="s">
        <v>88</v>
      </c>
      <c r="G5531" t="s">
        <v>88</v>
      </c>
      <c r="H5531" t="s">
        <v>92</v>
      </c>
    </row>
    <row r="5532" spans="1:8" x14ac:dyDescent="0.25">
      <c r="A5532" t="s">
        <v>250</v>
      </c>
      <c r="B5532" t="s">
        <v>4807</v>
      </c>
      <c r="C5532" t="s">
        <v>88</v>
      </c>
      <c r="D5532" t="s">
        <v>88</v>
      </c>
      <c r="E5532" t="s">
        <v>715</v>
      </c>
      <c r="F5532" t="s">
        <v>88</v>
      </c>
      <c r="G5532" t="s">
        <v>88</v>
      </c>
      <c r="H5532" t="s">
        <v>92</v>
      </c>
    </row>
    <row r="5533" spans="1:8" x14ac:dyDescent="0.25">
      <c r="A5533" t="s">
        <v>250</v>
      </c>
      <c r="B5533" t="s">
        <v>5075</v>
      </c>
      <c r="C5533" t="s">
        <v>88</v>
      </c>
      <c r="D5533" t="s">
        <v>88</v>
      </c>
      <c r="E5533" t="s">
        <v>1323</v>
      </c>
      <c r="F5533" t="s">
        <v>88</v>
      </c>
      <c r="G5533" t="s">
        <v>88</v>
      </c>
      <c r="H5533" t="s">
        <v>92</v>
      </c>
    </row>
    <row r="5534" spans="1:8" x14ac:dyDescent="0.25">
      <c r="A5534" t="s">
        <v>250</v>
      </c>
      <c r="B5534" t="s">
        <v>5076</v>
      </c>
      <c r="C5534" t="s">
        <v>88</v>
      </c>
      <c r="D5534" t="s">
        <v>88</v>
      </c>
      <c r="E5534" t="s">
        <v>1323</v>
      </c>
      <c r="F5534" t="s">
        <v>88</v>
      </c>
      <c r="G5534" t="s">
        <v>88</v>
      </c>
      <c r="H5534" t="s">
        <v>92</v>
      </c>
    </row>
    <row r="5535" spans="1:8" x14ac:dyDescent="0.25">
      <c r="A5535" t="s">
        <v>250</v>
      </c>
      <c r="B5535" t="s">
        <v>4486</v>
      </c>
      <c r="C5535" t="s">
        <v>88</v>
      </c>
      <c r="D5535" t="s">
        <v>88</v>
      </c>
      <c r="E5535" t="s">
        <v>791</v>
      </c>
      <c r="F5535" t="s">
        <v>88</v>
      </c>
      <c r="G5535" t="s">
        <v>88</v>
      </c>
      <c r="H5535" t="s">
        <v>92</v>
      </c>
    </row>
    <row r="5536" spans="1:8" x14ac:dyDescent="0.25">
      <c r="A5536" t="s">
        <v>250</v>
      </c>
      <c r="B5536" t="s">
        <v>5077</v>
      </c>
      <c r="C5536" t="s">
        <v>88</v>
      </c>
      <c r="D5536" t="s">
        <v>5078</v>
      </c>
      <c r="E5536" t="s">
        <v>959</v>
      </c>
      <c r="F5536" t="s">
        <v>88</v>
      </c>
      <c r="G5536" t="s">
        <v>88</v>
      </c>
      <c r="H5536" t="s">
        <v>92</v>
      </c>
    </row>
    <row r="5537" spans="1:8" x14ac:dyDescent="0.25">
      <c r="A5537" t="s">
        <v>250</v>
      </c>
      <c r="B5537" t="s">
        <v>5053</v>
      </c>
      <c r="C5537" t="s">
        <v>88</v>
      </c>
      <c r="D5537" t="s">
        <v>88</v>
      </c>
      <c r="E5537" t="s">
        <v>1323</v>
      </c>
      <c r="F5537" t="s">
        <v>88</v>
      </c>
      <c r="G5537" t="s">
        <v>88</v>
      </c>
      <c r="H5537" t="s">
        <v>92</v>
      </c>
    </row>
    <row r="5538" spans="1:8" x14ac:dyDescent="0.25">
      <c r="A5538" t="s">
        <v>250</v>
      </c>
      <c r="B5538" t="s">
        <v>5079</v>
      </c>
      <c r="C5538" t="s">
        <v>88</v>
      </c>
      <c r="D5538" t="s">
        <v>88</v>
      </c>
      <c r="E5538" t="s">
        <v>791</v>
      </c>
      <c r="F5538" t="s">
        <v>88</v>
      </c>
      <c r="G5538" t="s">
        <v>88</v>
      </c>
      <c r="H5538" t="s">
        <v>92</v>
      </c>
    </row>
    <row r="5539" spans="1:8" x14ac:dyDescent="0.25">
      <c r="A5539" t="s">
        <v>250</v>
      </c>
      <c r="B5539" t="s">
        <v>5080</v>
      </c>
      <c r="C5539" t="s">
        <v>88</v>
      </c>
      <c r="D5539" t="s">
        <v>88</v>
      </c>
      <c r="E5539" t="s">
        <v>791</v>
      </c>
      <c r="F5539" t="s">
        <v>88</v>
      </c>
      <c r="G5539" t="s">
        <v>88</v>
      </c>
      <c r="H5539" t="s">
        <v>92</v>
      </c>
    </row>
    <row r="5540" spans="1:8" x14ac:dyDescent="0.25">
      <c r="A5540" t="s">
        <v>250</v>
      </c>
      <c r="B5540" t="s">
        <v>603</v>
      </c>
      <c r="C5540" t="s">
        <v>88</v>
      </c>
      <c r="D5540" t="s">
        <v>5081</v>
      </c>
      <c r="E5540" t="s">
        <v>663</v>
      </c>
      <c r="F5540" t="s">
        <v>88</v>
      </c>
      <c r="G5540" t="s">
        <v>88</v>
      </c>
      <c r="H5540" t="s">
        <v>92</v>
      </c>
    </row>
    <row r="5541" spans="1:8" x14ac:dyDescent="0.25">
      <c r="A5541" t="s">
        <v>250</v>
      </c>
      <c r="B5541" t="s">
        <v>5082</v>
      </c>
      <c r="C5541" t="s">
        <v>88</v>
      </c>
      <c r="D5541" t="s">
        <v>5083</v>
      </c>
      <c r="E5541" t="s">
        <v>748</v>
      </c>
      <c r="F5541" t="s">
        <v>88</v>
      </c>
      <c r="G5541" t="s">
        <v>88</v>
      </c>
      <c r="H5541" t="s">
        <v>92</v>
      </c>
    </row>
    <row r="5542" spans="1:8" x14ac:dyDescent="0.25">
      <c r="A5542" t="s">
        <v>250</v>
      </c>
      <c r="B5542" t="s">
        <v>695</v>
      </c>
      <c r="C5542" t="s">
        <v>88</v>
      </c>
      <c r="D5542" t="s">
        <v>5084</v>
      </c>
      <c r="E5542" t="s">
        <v>738</v>
      </c>
      <c r="F5542" t="s">
        <v>88</v>
      </c>
      <c r="G5542" t="s">
        <v>88</v>
      </c>
      <c r="H5542" t="s">
        <v>92</v>
      </c>
    </row>
    <row r="5543" spans="1:8" x14ac:dyDescent="0.25">
      <c r="A5543" t="s">
        <v>250</v>
      </c>
      <c r="B5543" t="s">
        <v>2728</v>
      </c>
      <c r="C5543" t="s">
        <v>88</v>
      </c>
      <c r="D5543" t="s">
        <v>5050</v>
      </c>
      <c r="E5543" t="s">
        <v>663</v>
      </c>
      <c r="F5543" t="s">
        <v>88</v>
      </c>
      <c r="G5543" t="s">
        <v>88</v>
      </c>
      <c r="H5543" t="s">
        <v>92</v>
      </c>
    </row>
    <row r="5544" spans="1:8" x14ac:dyDescent="0.25">
      <c r="A5544" t="s">
        <v>250</v>
      </c>
      <c r="B5544" t="s">
        <v>5051</v>
      </c>
      <c r="C5544" t="s">
        <v>88</v>
      </c>
      <c r="D5544" t="s">
        <v>5052</v>
      </c>
      <c r="E5544" t="s">
        <v>937</v>
      </c>
      <c r="F5544" t="s">
        <v>88</v>
      </c>
      <c r="G5544" t="s">
        <v>88</v>
      </c>
      <c r="H5544" t="s">
        <v>92</v>
      </c>
    </row>
    <row r="5545" spans="1:8" x14ac:dyDescent="0.25">
      <c r="A5545" t="s">
        <v>250</v>
      </c>
      <c r="B5545" t="s">
        <v>693</v>
      </c>
      <c r="C5545" t="s">
        <v>88</v>
      </c>
      <c r="D5545" t="s">
        <v>88</v>
      </c>
      <c r="E5545" t="s">
        <v>738</v>
      </c>
      <c r="F5545" t="s">
        <v>88</v>
      </c>
      <c r="G5545" t="s">
        <v>88</v>
      </c>
      <c r="H5545" t="s">
        <v>92</v>
      </c>
    </row>
    <row r="5546" spans="1:8" x14ac:dyDescent="0.25">
      <c r="A5546" t="s">
        <v>250</v>
      </c>
      <c r="B5546" t="s">
        <v>5085</v>
      </c>
      <c r="C5546" t="s">
        <v>88</v>
      </c>
      <c r="D5546" t="s">
        <v>5086</v>
      </c>
      <c r="E5546" t="s">
        <v>738</v>
      </c>
      <c r="F5546" t="s">
        <v>88</v>
      </c>
      <c r="G5546" t="s">
        <v>88</v>
      </c>
      <c r="H5546" t="s">
        <v>92</v>
      </c>
    </row>
    <row r="5547" spans="1:8" x14ac:dyDescent="0.25">
      <c r="A5547" t="s">
        <v>250</v>
      </c>
      <c r="B5547" t="s">
        <v>701</v>
      </c>
      <c r="C5547" t="s">
        <v>88</v>
      </c>
      <c r="D5547" t="s">
        <v>88</v>
      </c>
      <c r="E5547" t="s">
        <v>709</v>
      </c>
      <c r="F5547" t="s">
        <v>88</v>
      </c>
      <c r="G5547" t="s">
        <v>88</v>
      </c>
      <c r="H5547" t="s">
        <v>92</v>
      </c>
    </row>
    <row r="5548" spans="1:8" x14ac:dyDescent="0.25">
      <c r="A5548" t="s">
        <v>250</v>
      </c>
      <c r="B5548" t="s">
        <v>704</v>
      </c>
      <c r="C5548" t="s">
        <v>88</v>
      </c>
      <c r="D5548" t="s">
        <v>88</v>
      </c>
      <c r="E5548" t="s">
        <v>709</v>
      </c>
      <c r="F5548" t="s">
        <v>88</v>
      </c>
      <c r="G5548" t="s">
        <v>88</v>
      </c>
      <c r="H5548" t="s">
        <v>92</v>
      </c>
    </row>
    <row r="5549" spans="1:8" x14ac:dyDescent="0.25">
      <c r="A5549" t="s">
        <v>250</v>
      </c>
      <c r="B5549" t="s">
        <v>705</v>
      </c>
      <c r="C5549" t="s">
        <v>88</v>
      </c>
      <c r="D5549" t="s">
        <v>88</v>
      </c>
      <c r="E5549" t="s">
        <v>709</v>
      </c>
      <c r="F5549" t="s">
        <v>88</v>
      </c>
      <c r="G5549" t="s">
        <v>88</v>
      </c>
      <c r="H5549" t="s">
        <v>92</v>
      </c>
    </row>
    <row r="5550" spans="1:8" x14ac:dyDescent="0.25">
      <c r="A5550" t="s">
        <v>250</v>
      </c>
      <c r="B5550" t="s">
        <v>706</v>
      </c>
      <c r="C5550" t="s">
        <v>88</v>
      </c>
      <c r="D5550" t="s">
        <v>88</v>
      </c>
      <c r="E5550" t="s">
        <v>709</v>
      </c>
      <c r="F5550" t="s">
        <v>88</v>
      </c>
      <c r="G5550" t="s">
        <v>88</v>
      </c>
      <c r="H5550" t="s">
        <v>92</v>
      </c>
    </row>
    <row r="5551" spans="1:8" x14ac:dyDescent="0.25">
      <c r="A5551" t="s">
        <v>250</v>
      </c>
      <c r="B5551" t="s">
        <v>707</v>
      </c>
      <c r="C5551" t="s">
        <v>88</v>
      </c>
      <c r="D5551" t="s">
        <v>88</v>
      </c>
      <c r="E5551" t="s">
        <v>709</v>
      </c>
      <c r="F5551" t="s">
        <v>88</v>
      </c>
      <c r="G5551" t="s">
        <v>88</v>
      </c>
      <c r="H5551" t="s">
        <v>92</v>
      </c>
    </row>
    <row r="5552" spans="1:8" x14ac:dyDescent="0.25">
      <c r="A5552" t="s">
        <v>250</v>
      </c>
      <c r="B5552" t="s">
        <v>708</v>
      </c>
      <c r="C5552" t="s">
        <v>88</v>
      </c>
      <c r="D5552" t="s">
        <v>88</v>
      </c>
      <c r="E5552" t="s">
        <v>709</v>
      </c>
      <c r="F5552" t="s">
        <v>88</v>
      </c>
      <c r="G5552" t="s">
        <v>88</v>
      </c>
      <c r="H5552" t="s">
        <v>92</v>
      </c>
    </row>
    <row r="5553" spans="1:8" x14ac:dyDescent="0.25">
      <c r="A5553" t="s">
        <v>250</v>
      </c>
      <c r="B5553" t="s">
        <v>846</v>
      </c>
      <c r="C5553" t="s">
        <v>88</v>
      </c>
      <c r="D5553" t="s">
        <v>88</v>
      </c>
      <c r="E5553" t="s">
        <v>711</v>
      </c>
      <c r="F5553" t="s">
        <v>88</v>
      </c>
      <c r="G5553" t="s">
        <v>88</v>
      </c>
      <c r="H5553" t="s">
        <v>92</v>
      </c>
    </row>
    <row r="5554" spans="1:8" x14ac:dyDescent="0.25">
      <c r="A5554" t="s">
        <v>250</v>
      </c>
      <c r="B5554" t="s">
        <v>618</v>
      </c>
      <c r="C5554" t="s">
        <v>88</v>
      </c>
      <c r="D5554" t="s">
        <v>88</v>
      </c>
      <c r="E5554" t="s">
        <v>711</v>
      </c>
      <c r="F5554" t="s">
        <v>88</v>
      </c>
      <c r="G5554" t="s">
        <v>88</v>
      </c>
      <c r="H5554" t="s">
        <v>92</v>
      </c>
    </row>
    <row r="5555" spans="1:8" x14ac:dyDescent="0.25">
      <c r="A5555" t="s">
        <v>250</v>
      </c>
      <c r="B5555" t="s">
        <v>926</v>
      </c>
      <c r="C5555" t="s">
        <v>88</v>
      </c>
      <c r="D5555" t="s">
        <v>88</v>
      </c>
      <c r="E5555" t="s">
        <v>711</v>
      </c>
      <c r="F5555" t="s">
        <v>88</v>
      </c>
      <c r="G5555" t="s">
        <v>88</v>
      </c>
      <c r="H5555" t="s">
        <v>92</v>
      </c>
    </row>
    <row r="5556" spans="1:8" x14ac:dyDescent="0.25">
      <c r="A5556" t="s">
        <v>250</v>
      </c>
      <c r="B5556" t="s">
        <v>620</v>
      </c>
      <c r="C5556" t="s">
        <v>88</v>
      </c>
      <c r="D5556" t="s">
        <v>88</v>
      </c>
      <c r="E5556" t="s">
        <v>848</v>
      </c>
      <c r="F5556" t="s">
        <v>88</v>
      </c>
      <c r="G5556" t="s">
        <v>88</v>
      </c>
      <c r="H5556" t="s">
        <v>92</v>
      </c>
    </row>
    <row r="5557" spans="1:8" x14ac:dyDescent="0.25">
      <c r="A5557" t="s">
        <v>250</v>
      </c>
      <c r="B5557" t="s">
        <v>622</v>
      </c>
      <c r="C5557" t="s">
        <v>88</v>
      </c>
      <c r="D5557" t="s">
        <v>88</v>
      </c>
      <c r="E5557" t="s">
        <v>713</v>
      </c>
      <c r="F5557" t="s">
        <v>88</v>
      </c>
      <c r="G5557" t="s">
        <v>88</v>
      </c>
      <c r="H5557" t="s">
        <v>92</v>
      </c>
    </row>
    <row r="5558" spans="1:8" x14ac:dyDescent="0.25">
      <c r="A5558" t="s">
        <v>250</v>
      </c>
      <c r="B5558" t="s">
        <v>623</v>
      </c>
      <c r="C5558" t="s">
        <v>88</v>
      </c>
      <c r="D5558" t="s">
        <v>88</v>
      </c>
      <c r="E5558" t="s">
        <v>849</v>
      </c>
      <c r="F5558" t="s">
        <v>88</v>
      </c>
      <c r="G5558" t="s">
        <v>88</v>
      </c>
      <c r="H5558" t="s">
        <v>92</v>
      </c>
    </row>
    <row r="5559" spans="1:8" x14ac:dyDescent="0.25">
      <c r="A5559" t="s">
        <v>250</v>
      </c>
      <c r="B5559" t="s">
        <v>625</v>
      </c>
      <c r="C5559" t="s">
        <v>88</v>
      </c>
      <c r="D5559" t="s">
        <v>88</v>
      </c>
      <c r="E5559" t="s">
        <v>626</v>
      </c>
      <c r="F5559" t="s">
        <v>88</v>
      </c>
      <c r="G5559" t="s">
        <v>88</v>
      </c>
      <c r="H5559" t="s">
        <v>92</v>
      </c>
    </row>
    <row r="5560" spans="1:8" x14ac:dyDescent="0.25">
      <c r="A5560" t="s">
        <v>251</v>
      </c>
      <c r="B5560" t="s">
        <v>789</v>
      </c>
      <c r="C5560" t="s">
        <v>88</v>
      </c>
      <c r="D5560" t="s">
        <v>5087</v>
      </c>
      <c r="E5560" t="s">
        <v>715</v>
      </c>
      <c r="F5560" t="s">
        <v>88</v>
      </c>
      <c r="G5560" t="s">
        <v>88</v>
      </c>
      <c r="H5560" t="s">
        <v>92</v>
      </c>
    </row>
    <row r="5561" spans="1:8" x14ac:dyDescent="0.25">
      <c r="A5561" t="s">
        <v>251</v>
      </c>
      <c r="B5561" t="s">
        <v>5088</v>
      </c>
      <c r="C5561" t="s">
        <v>88</v>
      </c>
      <c r="D5561" t="s">
        <v>5089</v>
      </c>
      <c r="E5561" t="s">
        <v>814</v>
      </c>
      <c r="F5561" t="s">
        <v>88</v>
      </c>
      <c r="G5561" t="s">
        <v>88</v>
      </c>
      <c r="H5561" t="s">
        <v>92</v>
      </c>
    </row>
    <row r="5562" spans="1:8" x14ac:dyDescent="0.25">
      <c r="A5562" t="s">
        <v>251</v>
      </c>
      <c r="B5562" t="s">
        <v>1019</v>
      </c>
      <c r="C5562" t="s">
        <v>88</v>
      </c>
      <c r="D5562" t="s">
        <v>5090</v>
      </c>
      <c r="E5562" t="s">
        <v>692</v>
      </c>
      <c r="F5562" t="s">
        <v>88</v>
      </c>
      <c r="G5562" t="s">
        <v>88</v>
      </c>
      <c r="H5562" t="s">
        <v>92</v>
      </c>
    </row>
    <row r="5563" spans="1:8" x14ac:dyDescent="0.25">
      <c r="A5563" t="s">
        <v>251</v>
      </c>
      <c r="B5563" t="s">
        <v>5091</v>
      </c>
      <c r="C5563" t="s">
        <v>88</v>
      </c>
      <c r="D5563" t="s">
        <v>5092</v>
      </c>
      <c r="E5563" t="s">
        <v>814</v>
      </c>
      <c r="F5563" t="s">
        <v>88</v>
      </c>
      <c r="G5563" t="s">
        <v>88</v>
      </c>
      <c r="H5563" t="s">
        <v>92</v>
      </c>
    </row>
    <row r="5564" spans="1:8" x14ac:dyDescent="0.25">
      <c r="A5564" t="s">
        <v>251</v>
      </c>
      <c r="B5564" t="s">
        <v>5093</v>
      </c>
      <c r="C5564" t="s">
        <v>88</v>
      </c>
      <c r="D5564" t="s">
        <v>5094</v>
      </c>
      <c r="E5564" t="s">
        <v>841</v>
      </c>
      <c r="F5564" t="s">
        <v>88</v>
      </c>
      <c r="G5564" t="s">
        <v>88</v>
      </c>
      <c r="H5564" t="s">
        <v>92</v>
      </c>
    </row>
    <row r="5565" spans="1:8" x14ac:dyDescent="0.25">
      <c r="A5565" t="s">
        <v>251</v>
      </c>
      <c r="B5565" t="s">
        <v>5088</v>
      </c>
      <c r="C5565" t="s">
        <v>88</v>
      </c>
      <c r="D5565" t="s">
        <v>5089</v>
      </c>
      <c r="E5565" t="s">
        <v>814</v>
      </c>
      <c r="F5565" t="s">
        <v>88</v>
      </c>
      <c r="G5565" t="s">
        <v>88</v>
      </c>
      <c r="H5565" t="s">
        <v>92</v>
      </c>
    </row>
    <row r="5566" spans="1:8" x14ac:dyDescent="0.25">
      <c r="A5566" t="s">
        <v>251</v>
      </c>
      <c r="B5566" t="s">
        <v>5095</v>
      </c>
      <c r="C5566" t="s">
        <v>88</v>
      </c>
      <c r="D5566" t="s">
        <v>5096</v>
      </c>
      <c r="E5566" t="s">
        <v>2378</v>
      </c>
      <c r="F5566" t="s">
        <v>88</v>
      </c>
      <c r="G5566" t="s">
        <v>88</v>
      </c>
      <c r="H5566" t="s">
        <v>92</v>
      </c>
    </row>
    <row r="5567" spans="1:8" x14ac:dyDescent="0.25">
      <c r="A5567" t="s">
        <v>251</v>
      </c>
      <c r="B5567" t="s">
        <v>5097</v>
      </c>
      <c r="C5567" t="s">
        <v>88</v>
      </c>
      <c r="D5567" t="s">
        <v>5098</v>
      </c>
      <c r="E5567" t="s">
        <v>1377</v>
      </c>
      <c r="F5567" t="s">
        <v>88</v>
      </c>
      <c r="G5567" t="s">
        <v>88</v>
      </c>
      <c r="H5567" t="s">
        <v>92</v>
      </c>
    </row>
    <row r="5568" spans="1:8" x14ac:dyDescent="0.25">
      <c r="A5568" t="s">
        <v>251</v>
      </c>
      <c r="B5568" t="s">
        <v>789</v>
      </c>
      <c r="C5568" t="s">
        <v>88</v>
      </c>
      <c r="D5568" t="s">
        <v>5087</v>
      </c>
      <c r="E5568" t="s">
        <v>715</v>
      </c>
      <c r="F5568" t="s">
        <v>88</v>
      </c>
      <c r="G5568" t="s">
        <v>88</v>
      </c>
      <c r="H5568" t="s">
        <v>92</v>
      </c>
    </row>
    <row r="5569" spans="1:8" x14ac:dyDescent="0.25">
      <c r="A5569" t="s">
        <v>251</v>
      </c>
      <c r="B5569" t="s">
        <v>968</v>
      </c>
      <c r="C5569" t="s">
        <v>88</v>
      </c>
      <c r="D5569" t="s">
        <v>5099</v>
      </c>
      <c r="E5569" t="s">
        <v>679</v>
      </c>
      <c r="F5569" t="s">
        <v>88</v>
      </c>
      <c r="G5569" t="s">
        <v>88</v>
      </c>
      <c r="H5569" t="s">
        <v>92</v>
      </c>
    </row>
    <row r="5570" spans="1:8" x14ac:dyDescent="0.25">
      <c r="A5570" t="s">
        <v>251</v>
      </c>
      <c r="B5570" t="s">
        <v>1019</v>
      </c>
      <c r="C5570" t="s">
        <v>88</v>
      </c>
      <c r="D5570" t="s">
        <v>5090</v>
      </c>
      <c r="E5570" t="s">
        <v>692</v>
      </c>
      <c r="F5570" t="s">
        <v>88</v>
      </c>
      <c r="G5570" t="s">
        <v>88</v>
      </c>
      <c r="H5570" t="s">
        <v>92</v>
      </c>
    </row>
    <row r="5571" spans="1:8" x14ac:dyDescent="0.25">
      <c r="A5571" t="s">
        <v>251</v>
      </c>
      <c r="B5571" t="s">
        <v>832</v>
      </c>
      <c r="C5571" t="s">
        <v>88</v>
      </c>
      <c r="D5571" t="s">
        <v>5100</v>
      </c>
      <c r="E5571" t="s">
        <v>676</v>
      </c>
      <c r="F5571" t="s">
        <v>88</v>
      </c>
      <c r="G5571" t="s">
        <v>88</v>
      </c>
      <c r="H5571" t="s">
        <v>92</v>
      </c>
    </row>
    <row r="5572" spans="1:8" x14ac:dyDescent="0.25">
      <c r="A5572" t="s">
        <v>251</v>
      </c>
      <c r="B5572" t="s">
        <v>818</v>
      </c>
      <c r="C5572" t="s">
        <v>88</v>
      </c>
      <c r="D5572" t="s">
        <v>5101</v>
      </c>
      <c r="E5572" t="s">
        <v>841</v>
      </c>
      <c r="F5572" t="s">
        <v>88</v>
      </c>
      <c r="G5572" t="s">
        <v>88</v>
      </c>
      <c r="H5572" t="s">
        <v>92</v>
      </c>
    </row>
    <row r="5573" spans="1:8" x14ac:dyDescent="0.25">
      <c r="A5573" t="s">
        <v>251</v>
      </c>
      <c r="B5573" t="s">
        <v>837</v>
      </c>
      <c r="C5573" t="s">
        <v>88</v>
      </c>
      <c r="D5573" t="s">
        <v>5102</v>
      </c>
      <c r="E5573" t="s">
        <v>1714</v>
      </c>
      <c r="F5573" t="s">
        <v>88</v>
      </c>
      <c r="G5573" t="s">
        <v>88</v>
      </c>
      <c r="H5573" t="s">
        <v>92</v>
      </c>
    </row>
    <row r="5574" spans="1:8" x14ac:dyDescent="0.25">
      <c r="A5574" t="s">
        <v>251</v>
      </c>
      <c r="B5574" t="s">
        <v>5091</v>
      </c>
      <c r="C5574" t="s">
        <v>88</v>
      </c>
      <c r="D5574" t="s">
        <v>5092</v>
      </c>
      <c r="E5574" t="s">
        <v>814</v>
      </c>
      <c r="F5574" t="s">
        <v>88</v>
      </c>
      <c r="G5574" t="s">
        <v>88</v>
      </c>
      <c r="H5574" t="s">
        <v>92</v>
      </c>
    </row>
    <row r="5575" spans="1:8" x14ac:dyDescent="0.25">
      <c r="A5575" t="s">
        <v>251</v>
      </c>
      <c r="B5575" t="s">
        <v>5093</v>
      </c>
      <c r="C5575" t="s">
        <v>88</v>
      </c>
      <c r="D5575" t="s">
        <v>5094</v>
      </c>
      <c r="E5575" t="s">
        <v>841</v>
      </c>
      <c r="F5575" t="s">
        <v>88</v>
      </c>
      <c r="G5575" t="s">
        <v>88</v>
      </c>
      <c r="H5575" t="s">
        <v>92</v>
      </c>
    </row>
    <row r="5576" spans="1:8" x14ac:dyDescent="0.25">
      <c r="A5576" t="s">
        <v>251</v>
      </c>
      <c r="B5576" t="s">
        <v>612</v>
      </c>
      <c r="C5576" t="s">
        <v>88</v>
      </c>
      <c r="D5576" t="s">
        <v>88</v>
      </c>
      <c r="E5576" t="s">
        <v>1596</v>
      </c>
      <c r="F5576" t="s">
        <v>88</v>
      </c>
      <c r="G5576" t="s">
        <v>88</v>
      </c>
      <c r="H5576" t="s">
        <v>92</v>
      </c>
    </row>
    <row r="5577" spans="1:8" x14ac:dyDescent="0.25">
      <c r="A5577" t="s">
        <v>251</v>
      </c>
      <c r="B5577" t="s">
        <v>614</v>
      </c>
      <c r="C5577" t="s">
        <v>88</v>
      </c>
      <c r="D5577" t="s">
        <v>88</v>
      </c>
      <c r="E5577" t="s">
        <v>1596</v>
      </c>
      <c r="F5577" t="s">
        <v>88</v>
      </c>
      <c r="G5577" t="s">
        <v>88</v>
      </c>
      <c r="H5577" t="s">
        <v>92</v>
      </c>
    </row>
    <row r="5578" spans="1:8" x14ac:dyDescent="0.25">
      <c r="A5578" t="s">
        <v>251</v>
      </c>
      <c r="B5578" t="s">
        <v>615</v>
      </c>
      <c r="C5578" t="s">
        <v>88</v>
      </c>
      <c r="D5578" t="s">
        <v>88</v>
      </c>
      <c r="E5578" t="s">
        <v>1596</v>
      </c>
      <c r="F5578" t="s">
        <v>88</v>
      </c>
      <c r="G5578" t="s">
        <v>88</v>
      </c>
      <c r="H5578" t="s">
        <v>92</v>
      </c>
    </row>
    <row r="5579" spans="1:8" x14ac:dyDescent="0.25">
      <c r="A5579" t="s">
        <v>251</v>
      </c>
      <c r="B5579" t="s">
        <v>846</v>
      </c>
      <c r="C5579" t="s">
        <v>88</v>
      </c>
      <c r="D5579" t="s">
        <v>88</v>
      </c>
      <c r="E5579" t="s">
        <v>848</v>
      </c>
      <c r="F5579" t="s">
        <v>88</v>
      </c>
      <c r="G5579" t="s">
        <v>88</v>
      </c>
      <c r="H5579" t="s">
        <v>92</v>
      </c>
    </row>
    <row r="5580" spans="1:8" x14ac:dyDescent="0.25">
      <c r="A5580" t="s">
        <v>251</v>
      </c>
      <c r="B5580" t="s">
        <v>618</v>
      </c>
      <c r="C5580" t="s">
        <v>88</v>
      </c>
      <c r="D5580" t="s">
        <v>88</v>
      </c>
      <c r="E5580" t="s">
        <v>711</v>
      </c>
      <c r="F5580" t="s">
        <v>88</v>
      </c>
      <c r="G5580" t="s">
        <v>88</v>
      </c>
      <c r="H5580" t="s">
        <v>92</v>
      </c>
    </row>
    <row r="5581" spans="1:8" x14ac:dyDescent="0.25">
      <c r="A5581" t="s">
        <v>251</v>
      </c>
      <c r="B5581" t="s">
        <v>620</v>
      </c>
      <c r="C5581" t="s">
        <v>88</v>
      </c>
      <c r="D5581" t="s">
        <v>88</v>
      </c>
      <c r="E5581" t="s">
        <v>710</v>
      </c>
      <c r="F5581" t="s">
        <v>88</v>
      </c>
      <c r="G5581" t="s">
        <v>88</v>
      </c>
      <c r="H5581" t="s">
        <v>92</v>
      </c>
    </row>
    <row r="5582" spans="1:8" x14ac:dyDescent="0.25">
      <c r="A5582" t="s">
        <v>251</v>
      </c>
      <c r="B5582" t="s">
        <v>622</v>
      </c>
      <c r="C5582" t="s">
        <v>88</v>
      </c>
      <c r="D5582" t="s">
        <v>88</v>
      </c>
      <c r="E5582" t="s">
        <v>735</v>
      </c>
      <c r="F5582" t="s">
        <v>88</v>
      </c>
      <c r="G5582" t="s">
        <v>88</v>
      </c>
      <c r="H5582" t="s">
        <v>92</v>
      </c>
    </row>
    <row r="5583" spans="1:8" x14ac:dyDescent="0.25">
      <c r="A5583" t="s">
        <v>251</v>
      </c>
      <c r="B5583" t="s">
        <v>623</v>
      </c>
      <c r="C5583" t="s">
        <v>88</v>
      </c>
      <c r="D5583" t="s">
        <v>88</v>
      </c>
      <c r="E5583" t="s">
        <v>849</v>
      </c>
      <c r="F5583" t="s">
        <v>88</v>
      </c>
      <c r="G5583" t="s">
        <v>88</v>
      </c>
      <c r="H5583" t="s">
        <v>92</v>
      </c>
    </row>
    <row r="5584" spans="1:8" x14ac:dyDescent="0.25">
      <c r="A5584" t="s">
        <v>251</v>
      </c>
      <c r="B5584" t="s">
        <v>798</v>
      </c>
      <c r="C5584" t="s">
        <v>88</v>
      </c>
      <c r="D5584" t="s">
        <v>88</v>
      </c>
      <c r="E5584" t="s">
        <v>1596</v>
      </c>
      <c r="F5584" t="s">
        <v>88</v>
      </c>
      <c r="G5584" t="s">
        <v>88</v>
      </c>
      <c r="H5584" t="s">
        <v>92</v>
      </c>
    </row>
    <row r="5585" spans="1:8" x14ac:dyDescent="0.25">
      <c r="A5585" t="s">
        <v>251</v>
      </c>
      <c r="B5585" t="s">
        <v>982</v>
      </c>
      <c r="C5585" t="s">
        <v>88</v>
      </c>
      <c r="D5585" t="s">
        <v>88</v>
      </c>
      <c r="E5585" t="s">
        <v>1596</v>
      </c>
      <c r="F5585" t="s">
        <v>88</v>
      </c>
      <c r="G5585" t="s">
        <v>88</v>
      </c>
      <c r="H5585" t="s">
        <v>92</v>
      </c>
    </row>
    <row r="5586" spans="1:8" x14ac:dyDescent="0.25">
      <c r="A5586" t="s">
        <v>251</v>
      </c>
      <c r="B5586" t="s">
        <v>851</v>
      </c>
      <c r="C5586" t="s">
        <v>88</v>
      </c>
      <c r="D5586" t="s">
        <v>88</v>
      </c>
      <c r="E5586" t="s">
        <v>1596</v>
      </c>
      <c r="F5586" t="s">
        <v>88</v>
      </c>
      <c r="G5586" t="s">
        <v>88</v>
      </c>
      <c r="H5586" t="s">
        <v>92</v>
      </c>
    </row>
    <row r="5587" spans="1:8" x14ac:dyDescent="0.25">
      <c r="A5587" t="s">
        <v>251</v>
      </c>
      <c r="B5587" t="s">
        <v>852</v>
      </c>
      <c r="C5587" t="s">
        <v>88</v>
      </c>
      <c r="D5587" t="s">
        <v>88</v>
      </c>
      <c r="E5587" t="s">
        <v>715</v>
      </c>
      <c r="F5587" t="s">
        <v>88</v>
      </c>
      <c r="G5587" t="s">
        <v>88</v>
      </c>
      <c r="H5587" t="s">
        <v>92</v>
      </c>
    </row>
    <row r="5588" spans="1:8" x14ac:dyDescent="0.25">
      <c r="A5588" t="s">
        <v>251</v>
      </c>
      <c r="B5588" t="s">
        <v>3213</v>
      </c>
      <c r="C5588" t="s">
        <v>88</v>
      </c>
      <c r="D5588" t="s">
        <v>88</v>
      </c>
      <c r="E5588" t="s">
        <v>715</v>
      </c>
      <c r="F5588" t="s">
        <v>88</v>
      </c>
      <c r="G5588" t="s">
        <v>88</v>
      </c>
      <c r="H5588" t="s">
        <v>92</v>
      </c>
    </row>
    <row r="5589" spans="1:8" x14ac:dyDescent="0.25">
      <c r="A5589" t="s">
        <v>251</v>
      </c>
      <c r="B5589" t="s">
        <v>5103</v>
      </c>
      <c r="C5589" t="s">
        <v>88</v>
      </c>
      <c r="D5589" t="s">
        <v>88</v>
      </c>
      <c r="E5589" t="s">
        <v>655</v>
      </c>
      <c r="F5589" t="s">
        <v>88</v>
      </c>
      <c r="G5589" t="s">
        <v>88</v>
      </c>
      <c r="H5589" t="s">
        <v>92</v>
      </c>
    </row>
    <row r="5590" spans="1:8" x14ac:dyDescent="0.25">
      <c r="A5590" t="s">
        <v>251</v>
      </c>
      <c r="B5590" t="s">
        <v>625</v>
      </c>
      <c r="C5590" t="s">
        <v>88</v>
      </c>
      <c r="D5590" t="s">
        <v>88</v>
      </c>
      <c r="E5590" t="s">
        <v>626</v>
      </c>
      <c r="F5590" t="s">
        <v>88</v>
      </c>
      <c r="G5590" t="s">
        <v>88</v>
      </c>
      <c r="H5590" t="s">
        <v>92</v>
      </c>
    </row>
    <row r="5591" spans="1:8" x14ac:dyDescent="0.25">
      <c r="A5591" t="s">
        <v>252</v>
      </c>
      <c r="B5591" t="s">
        <v>5104</v>
      </c>
      <c r="C5591" t="s">
        <v>88</v>
      </c>
      <c r="D5591" t="s">
        <v>88</v>
      </c>
      <c r="E5591" t="s">
        <v>1323</v>
      </c>
      <c r="F5591" t="s">
        <v>88</v>
      </c>
      <c r="G5591" t="s">
        <v>88</v>
      </c>
      <c r="H5591" t="s">
        <v>92</v>
      </c>
    </row>
    <row r="5592" spans="1:8" x14ac:dyDescent="0.25">
      <c r="A5592" t="s">
        <v>252</v>
      </c>
      <c r="B5592" t="s">
        <v>5105</v>
      </c>
      <c r="C5592" t="s">
        <v>88</v>
      </c>
      <c r="D5592" t="s">
        <v>88</v>
      </c>
      <c r="E5592" t="s">
        <v>748</v>
      </c>
      <c r="F5592" t="s">
        <v>88</v>
      </c>
      <c r="G5592" t="s">
        <v>88</v>
      </c>
      <c r="H5592" t="s">
        <v>92</v>
      </c>
    </row>
    <row r="5593" spans="1:8" x14ac:dyDescent="0.25">
      <c r="A5593" t="s">
        <v>252</v>
      </c>
      <c r="B5593" t="s">
        <v>5106</v>
      </c>
      <c r="C5593" t="s">
        <v>88</v>
      </c>
      <c r="D5593" t="s">
        <v>88</v>
      </c>
      <c r="E5593" t="s">
        <v>780</v>
      </c>
      <c r="F5593" t="s">
        <v>88</v>
      </c>
      <c r="G5593" t="s">
        <v>88</v>
      </c>
      <c r="H5593" t="s">
        <v>92</v>
      </c>
    </row>
    <row r="5594" spans="1:8" x14ac:dyDescent="0.25">
      <c r="A5594" t="s">
        <v>252</v>
      </c>
      <c r="B5594" t="s">
        <v>5107</v>
      </c>
      <c r="C5594" t="s">
        <v>88</v>
      </c>
      <c r="D5594" t="s">
        <v>88</v>
      </c>
      <c r="E5594" t="s">
        <v>937</v>
      </c>
      <c r="F5594" t="s">
        <v>88</v>
      </c>
      <c r="G5594" t="s">
        <v>88</v>
      </c>
      <c r="H5594" t="s">
        <v>92</v>
      </c>
    </row>
    <row r="5595" spans="1:8" x14ac:dyDescent="0.25">
      <c r="A5595" t="s">
        <v>252</v>
      </c>
      <c r="B5595" t="s">
        <v>5108</v>
      </c>
      <c r="C5595" t="s">
        <v>88</v>
      </c>
      <c r="D5595" t="s">
        <v>5109</v>
      </c>
      <c r="E5595" t="s">
        <v>676</v>
      </c>
      <c r="F5595" t="s">
        <v>88</v>
      </c>
      <c r="G5595" t="s">
        <v>88</v>
      </c>
      <c r="H5595" t="s">
        <v>92</v>
      </c>
    </row>
    <row r="5596" spans="1:8" x14ac:dyDescent="0.25">
      <c r="A5596" t="s">
        <v>252</v>
      </c>
      <c r="B5596" t="s">
        <v>5110</v>
      </c>
      <c r="C5596" t="s">
        <v>88</v>
      </c>
      <c r="D5596" t="s">
        <v>88</v>
      </c>
      <c r="E5596" t="s">
        <v>917</v>
      </c>
      <c r="F5596" t="s">
        <v>88</v>
      </c>
      <c r="G5596" t="s">
        <v>88</v>
      </c>
      <c r="H5596" t="s">
        <v>92</v>
      </c>
    </row>
    <row r="5597" spans="1:8" x14ac:dyDescent="0.25">
      <c r="A5597" t="s">
        <v>252</v>
      </c>
      <c r="B5597" t="s">
        <v>5111</v>
      </c>
      <c r="C5597" t="s">
        <v>88</v>
      </c>
      <c r="D5597" t="s">
        <v>88</v>
      </c>
      <c r="E5597" t="s">
        <v>937</v>
      </c>
      <c r="F5597" t="s">
        <v>88</v>
      </c>
      <c r="G5597" t="s">
        <v>88</v>
      </c>
      <c r="H5597" t="s">
        <v>92</v>
      </c>
    </row>
    <row r="5598" spans="1:8" x14ac:dyDescent="0.25">
      <c r="A5598" t="s">
        <v>252</v>
      </c>
      <c r="B5598" t="s">
        <v>5112</v>
      </c>
      <c r="C5598" t="s">
        <v>88</v>
      </c>
      <c r="D5598" t="s">
        <v>88</v>
      </c>
      <c r="E5598" t="s">
        <v>679</v>
      </c>
      <c r="F5598" t="s">
        <v>88</v>
      </c>
      <c r="G5598" t="s">
        <v>88</v>
      </c>
      <c r="H5598" t="s">
        <v>92</v>
      </c>
    </row>
    <row r="5599" spans="1:8" x14ac:dyDescent="0.25">
      <c r="A5599" t="s">
        <v>252</v>
      </c>
      <c r="B5599" t="s">
        <v>5113</v>
      </c>
      <c r="C5599" t="s">
        <v>88</v>
      </c>
      <c r="D5599" t="s">
        <v>88</v>
      </c>
      <c r="E5599" t="s">
        <v>937</v>
      </c>
      <c r="F5599" t="s">
        <v>88</v>
      </c>
      <c r="G5599" t="s">
        <v>88</v>
      </c>
      <c r="H5599" t="s">
        <v>92</v>
      </c>
    </row>
    <row r="5600" spans="1:8" x14ac:dyDescent="0.25">
      <c r="A5600" t="s">
        <v>252</v>
      </c>
      <c r="B5600" t="s">
        <v>5114</v>
      </c>
      <c r="C5600" t="s">
        <v>88</v>
      </c>
      <c r="D5600" t="s">
        <v>88</v>
      </c>
      <c r="E5600" t="s">
        <v>883</v>
      </c>
      <c r="F5600" t="s">
        <v>88</v>
      </c>
      <c r="G5600" t="s">
        <v>88</v>
      </c>
      <c r="H5600" t="s">
        <v>92</v>
      </c>
    </row>
    <row r="5601" spans="1:8" x14ac:dyDescent="0.25">
      <c r="A5601" t="s">
        <v>252</v>
      </c>
      <c r="B5601" t="s">
        <v>5115</v>
      </c>
      <c r="C5601" t="s">
        <v>88</v>
      </c>
      <c r="D5601" t="s">
        <v>88</v>
      </c>
      <c r="E5601" t="s">
        <v>658</v>
      </c>
      <c r="F5601" t="s">
        <v>88</v>
      </c>
      <c r="G5601" t="s">
        <v>88</v>
      </c>
      <c r="H5601" t="s">
        <v>92</v>
      </c>
    </row>
    <row r="5602" spans="1:8" x14ac:dyDescent="0.25">
      <c r="A5602" t="s">
        <v>252</v>
      </c>
      <c r="B5602" t="s">
        <v>5116</v>
      </c>
      <c r="C5602" t="s">
        <v>88</v>
      </c>
      <c r="D5602" t="s">
        <v>88</v>
      </c>
      <c r="E5602" t="s">
        <v>959</v>
      </c>
      <c r="F5602" t="s">
        <v>88</v>
      </c>
      <c r="G5602" t="s">
        <v>88</v>
      </c>
      <c r="H5602" t="s">
        <v>92</v>
      </c>
    </row>
    <row r="5603" spans="1:8" x14ac:dyDescent="0.25">
      <c r="A5603" t="s">
        <v>252</v>
      </c>
      <c r="B5603" t="s">
        <v>5117</v>
      </c>
      <c r="C5603" t="s">
        <v>88</v>
      </c>
      <c r="D5603" t="s">
        <v>88</v>
      </c>
      <c r="E5603" t="s">
        <v>762</v>
      </c>
      <c r="F5603" t="s">
        <v>88</v>
      </c>
      <c r="G5603" t="s">
        <v>88</v>
      </c>
      <c r="H5603" t="s">
        <v>92</v>
      </c>
    </row>
    <row r="5604" spans="1:8" x14ac:dyDescent="0.25">
      <c r="A5604" t="s">
        <v>252</v>
      </c>
      <c r="B5604" t="s">
        <v>5118</v>
      </c>
      <c r="C5604" t="s">
        <v>88</v>
      </c>
      <c r="D5604" t="s">
        <v>88</v>
      </c>
      <c r="E5604" t="s">
        <v>1323</v>
      </c>
      <c r="F5604" t="s">
        <v>88</v>
      </c>
      <c r="G5604" t="s">
        <v>88</v>
      </c>
      <c r="H5604" t="s">
        <v>92</v>
      </c>
    </row>
    <row r="5605" spans="1:8" x14ac:dyDescent="0.25">
      <c r="A5605" t="s">
        <v>252</v>
      </c>
      <c r="B5605" t="s">
        <v>5119</v>
      </c>
      <c r="C5605" t="s">
        <v>88</v>
      </c>
      <c r="D5605" t="s">
        <v>88</v>
      </c>
      <c r="E5605" t="s">
        <v>1153</v>
      </c>
      <c r="F5605" t="s">
        <v>88</v>
      </c>
      <c r="G5605" t="s">
        <v>88</v>
      </c>
      <c r="H5605" t="s">
        <v>92</v>
      </c>
    </row>
    <row r="5606" spans="1:8" x14ac:dyDescent="0.25">
      <c r="A5606" t="s">
        <v>252</v>
      </c>
      <c r="B5606" t="s">
        <v>5120</v>
      </c>
      <c r="C5606" t="s">
        <v>88</v>
      </c>
      <c r="D5606" t="s">
        <v>88</v>
      </c>
      <c r="E5606" t="s">
        <v>676</v>
      </c>
      <c r="F5606" t="s">
        <v>88</v>
      </c>
      <c r="G5606" t="s">
        <v>88</v>
      </c>
      <c r="H5606" t="s">
        <v>92</v>
      </c>
    </row>
    <row r="5607" spans="1:8" x14ac:dyDescent="0.25">
      <c r="A5607" t="s">
        <v>252</v>
      </c>
      <c r="B5607" t="s">
        <v>701</v>
      </c>
      <c r="C5607" t="s">
        <v>88</v>
      </c>
      <c r="D5607" t="s">
        <v>88</v>
      </c>
      <c r="E5607" t="s">
        <v>734</v>
      </c>
      <c r="F5607" t="s">
        <v>88</v>
      </c>
      <c r="G5607" t="s">
        <v>88</v>
      </c>
      <c r="H5607" t="s">
        <v>92</v>
      </c>
    </row>
    <row r="5608" spans="1:8" x14ac:dyDescent="0.25">
      <c r="A5608" t="s">
        <v>252</v>
      </c>
      <c r="B5608" t="s">
        <v>623</v>
      </c>
      <c r="C5608" t="s">
        <v>88</v>
      </c>
      <c r="D5608" t="s">
        <v>88</v>
      </c>
      <c r="E5608" t="s">
        <v>735</v>
      </c>
      <c r="F5608" t="s">
        <v>88</v>
      </c>
      <c r="G5608" t="s">
        <v>88</v>
      </c>
      <c r="H5608" t="s">
        <v>92</v>
      </c>
    </row>
    <row r="5609" spans="1:8" x14ac:dyDescent="0.25">
      <c r="A5609" t="s">
        <v>252</v>
      </c>
      <c r="B5609" t="s">
        <v>714</v>
      </c>
      <c r="C5609" t="s">
        <v>88</v>
      </c>
      <c r="D5609" t="s">
        <v>88</v>
      </c>
      <c r="E5609" t="s">
        <v>1596</v>
      </c>
      <c r="F5609" t="s">
        <v>88</v>
      </c>
      <c r="G5609" t="s">
        <v>88</v>
      </c>
      <c r="H5609" t="s">
        <v>92</v>
      </c>
    </row>
    <row r="5610" spans="1:8" x14ac:dyDescent="0.25">
      <c r="A5610" t="s">
        <v>252</v>
      </c>
      <c r="B5610" t="s">
        <v>798</v>
      </c>
      <c r="C5610" t="s">
        <v>88</v>
      </c>
      <c r="D5610" t="s">
        <v>88</v>
      </c>
      <c r="E5610" t="s">
        <v>1596</v>
      </c>
      <c r="F5610" t="s">
        <v>88</v>
      </c>
      <c r="G5610" t="s">
        <v>88</v>
      </c>
      <c r="H5610" t="s">
        <v>92</v>
      </c>
    </row>
    <row r="5611" spans="1:8" x14ac:dyDescent="0.25">
      <c r="A5611" t="s">
        <v>252</v>
      </c>
      <c r="B5611" t="s">
        <v>625</v>
      </c>
      <c r="C5611" t="s">
        <v>88</v>
      </c>
      <c r="D5611" t="s">
        <v>88</v>
      </c>
      <c r="E5611" t="s">
        <v>626</v>
      </c>
      <c r="F5611" t="s">
        <v>88</v>
      </c>
      <c r="G5611" t="s">
        <v>88</v>
      </c>
      <c r="H5611" t="s">
        <v>92</v>
      </c>
    </row>
    <row r="5612" spans="1:8" x14ac:dyDescent="0.25">
      <c r="A5612" t="s">
        <v>253</v>
      </c>
      <c r="B5612" t="s">
        <v>5121</v>
      </c>
      <c r="C5612" t="s">
        <v>88</v>
      </c>
      <c r="D5612" t="s">
        <v>5122</v>
      </c>
      <c r="E5612" t="s">
        <v>762</v>
      </c>
      <c r="F5612" t="s">
        <v>88</v>
      </c>
      <c r="G5612" t="s">
        <v>88</v>
      </c>
      <c r="H5612" t="s">
        <v>92</v>
      </c>
    </row>
    <row r="5613" spans="1:8" x14ac:dyDescent="0.25">
      <c r="A5613" t="s">
        <v>253</v>
      </c>
      <c r="B5613" t="s">
        <v>5123</v>
      </c>
      <c r="C5613" t="s">
        <v>88</v>
      </c>
      <c r="D5613" t="s">
        <v>5124</v>
      </c>
      <c r="E5613" t="s">
        <v>1194</v>
      </c>
      <c r="F5613" t="s">
        <v>88</v>
      </c>
      <c r="G5613" t="s">
        <v>88</v>
      </c>
      <c r="H5613" t="s">
        <v>92</v>
      </c>
    </row>
    <row r="5614" spans="1:8" x14ac:dyDescent="0.25">
      <c r="A5614" t="s">
        <v>253</v>
      </c>
      <c r="B5614" t="s">
        <v>5125</v>
      </c>
      <c r="C5614" t="s">
        <v>88</v>
      </c>
      <c r="D5614" t="s">
        <v>5126</v>
      </c>
      <c r="E5614" t="s">
        <v>658</v>
      </c>
      <c r="F5614" t="s">
        <v>88</v>
      </c>
      <c r="G5614" t="s">
        <v>88</v>
      </c>
      <c r="H5614" t="s">
        <v>92</v>
      </c>
    </row>
    <row r="5615" spans="1:8" x14ac:dyDescent="0.25">
      <c r="A5615" t="s">
        <v>253</v>
      </c>
      <c r="B5615" t="s">
        <v>5127</v>
      </c>
      <c r="C5615" t="s">
        <v>88</v>
      </c>
      <c r="D5615" t="s">
        <v>5128</v>
      </c>
      <c r="E5615" t="s">
        <v>692</v>
      </c>
      <c r="F5615" t="s">
        <v>88</v>
      </c>
      <c r="G5615" t="s">
        <v>88</v>
      </c>
      <c r="H5615" t="s">
        <v>92</v>
      </c>
    </row>
    <row r="5616" spans="1:8" x14ac:dyDescent="0.25">
      <c r="A5616" t="s">
        <v>253</v>
      </c>
      <c r="B5616" t="s">
        <v>5129</v>
      </c>
      <c r="C5616" t="s">
        <v>88</v>
      </c>
      <c r="D5616" t="s">
        <v>5130</v>
      </c>
      <c r="E5616" t="s">
        <v>883</v>
      </c>
      <c r="F5616" t="s">
        <v>88</v>
      </c>
      <c r="G5616" t="s">
        <v>88</v>
      </c>
      <c r="H5616" t="s">
        <v>92</v>
      </c>
    </row>
    <row r="5617" spans="1:8" x14ac:dyDescent="0.25">
      <c r="A5617" t="s">
        <v>253</v>
      </c>
      <c r="B5617" t="s">
        <v>5131</v>
      </c>
      <c r="C5617" t="s">
        <v>88</v>
      </c>
      <c r="D5617" t="s">
        <v>5132</v>
      </c>
      <c r="E5617" t="s">
        <v>2470</v>
      </c>
      <c r="F5617" t="s">
        <v>88</v>
      </c>
      <c r="G5617" t="s">
        <v>88</v>
      </c>
      <c r="H5617" t="s">
        <v>92</v>
      </c>
    </row>
    <row r="5618" spans="1:8" x14ac:dyDescent="0.25">
      <c r="A5618" t="s">
        <v>253</v>
      </c>
      <c r="B5618" t="s">
        <v>5133</v>
      </c>
      <c r="C5618" t="s">
        <v>88</v>
      </c>
      <c r="D5618" t="s">
        <v>5134</v>
      </c>
      <c r="E5618" t="s">
        <v>2470</v>
      </c>
      <c r="F5618" t="s">
        <v>88</v>
      </c>
      <c r="G5618" t="s">
        <v>88</v>
      </c>
      <c r="H5618" t="s">
        <v>92</v>
      </c>
    </row>
    <row r="5619" spans="1:8" x14ac:dyDescent="0.25">
      <c r="A5619" t="s">
        <v>253</v>
      </c>
      <c r="B5619" t="s">
        <v>5123</v>
      </c>
      <c r="C5619" t="s">
        <v>88</v>
      </c>
      <c r="D5619" t="s">
        <v>5124</v>
      </c>
      <c r="E5619" t="s">
        <v>1194</v>
      </c>
      <c r="F5619" t="s">
        <v>88</v>
      </c>
      <c r="G5619" t="s">
        <v>88</v>
      </c>
      <c r="H5619" t="s">
        <v>92</v>
      </c>
    </row>
    <row r="5620" spans="1:8" x14ac:dyDescent="0.25">
      <c r="A5620" t="s">
        <v>253</v>
      </c>
      <c r="B5620" t="s">
        <v>5135</v>
      </c>
      <c r="C5620" t="s">
        <v>88</v>
      </c>
      <c r="D5620" t="s">
        <v>5136</v>
      </c>
      <c r="E5620" t="s">
        <v>979</v>
      </c>
      <c r="F5620" t="s">
        <v>88</v>
      </c>
      <c r="G5620" t="s">
        <v>88</v>
      </c>
      <c r="H5620" t="s">
        <v>92</v>
      </c>
    </row>
    <row r="5621" spans="1:8" x14ac:dyDescent="0.25">
      <c r="A5621" t="s">
        <v>253</v>
      </c>
      <c r="B5621" t="s">
        <v>5137</v>
      </c>
      <c r="C5621" t="s">
        <v>88</v>
      </c>
      <c r="D5621" t="s">
        <v>5138</v>
      </c>
      <c r="E5621" t="s">
        <v>2289</v>
      </c>
      <c r="F5621" t="s">
        <v>88</v>
      </c>
      <c r="G5621" t="s">
        <v>88</v>
      </c>
      <c r="H5621" t="s">
        <v>92</v>
      </c>
    </row>
    <row r="5622" spans="1:8" x14ac:dyDescent="0.25">
      <c r="A5622" t="s">
        <v>253</v>
      </c>
      <c r="B5622" t="s">
        <v>5139</v>
      </c>
      <c r="C5622" t="s">
        <v>88</v>
      </c>
      <c r="D5622" t="s">
        <v>5140</v>
      </c>
      <c r="E5622" t="s">
        <v>658</v>
      </c>
      <c r="F5622" t="s">
        <v>88</v>
      </c>
      <c r="G5622" t="s">
        <v>88</v>
      </c>
      <c r="H5622" t="s">
        <v>92</v>
      </c>
    </row>
    <row r="5623" spans="1:8" x14ac:dyDescent="0.25">
      <c r="A5623" t="s">
        <v>253</v>
      </c>
      <c r="B5623" t="s">
        <v>5141</v>
      </c>
      <c r="C5623" t="s">
        <v>88</v>
      </c>
      <c r="D5623" t="s">
        <v>5142</v>
      </c>
      <c r="E5623" t="s">
        <v>748</v>
      </c>
      <c r="F5623" t="s">
        <v>88</v>
      </c>
      <c r="G5623" t="s">
        <v>88</v>
      </c>
      <c r="H5623" t="s">
        <v>92</v>
      </c>
    </row>
    <row r="5624" spans="1:8" x14ac:dyDescent="0.25">
      <c r="A5624" t="s">
        <v>253</v>
      </c>
      <c r="B5624" t="s">
        <v>5129</v>
      </c>
      <c r="C5624" t="s">
        <v>88</v>
      </c>
      <c r="D5624" t="s">
        <v>5130</v>
      </c>
      <c r="E5624" t="s">
        <v>883</v>
      </c>
      <c r="F5624" t="s">
        <v>88</v>
      </c>
      <c r="G5624" t="s">
        <v>88</v>
      </c>
      <c r="H5624" t="s">
        <v>92</v>
      </c>
    </row>
    <row r="5625" spans="1:8" x14ac:dyDescent="0.25">
      <c r="A5625" t="s">
        <v>253</v>
      </c>
      <c r="B5625" t="s">
        <v>5143</v>
      </c>
      <c r="C5625" t="s">
        <v>88</v>
      </c>
      <c r="D5625" t="s">
        <v>5144</v>
      </c>
      <c r="E5625" t="s">
        <v>883</v>
      </c>
      <c r="F5625" t="s">
        <v>88</v>
      </c>
      <c r="G5625" t="s">
        <v>88</v>
      </c>
      <c r="H5625" t="s">
        <v>92</v>
      </c>
    </row>
    <row r="5626" spans="1:8" x14ac:dyDescent="0.25">
      <c r="A5626" t="s">
        <v>253</v>
      </c>
      <c r="B5626" t="s">
        <v>5145</v>
      </c>
      <c r="C5626" t="s">
        <v>88</v>
      </c>
      <c r="D5626" t="s">
        <v>5146</v>
      </c>
      <c r="E5626" t="s">
        <v>964</v>
      </c>
      <c r="F5626" t="s">
        <v>88</v>
      </c>
      <c r="G5626" t="s">
        <v>88</v>
      </c>
      <c r="H5626" t="s">
        <v>92</v>
      </c>
    </row>
    <row r="5627" spans="1:8" x14ac:dyDescent="0.25">
      <c r="A5627" t="s">
        <v>253</v>
      </c>
      <c r="B5627" t="s">
        <v>5147</v>
      </c>
      <c r="C5627" t="s">
        <v>88</v>
      </c>
      <c r="D5627" t="s">
        <v>5148</v>
      </c>
      <c r="E5627" t="s">
        <v>883</v>
      </c>
      <c r="F5627" t="s">
        <v>88</v>
      </c>
      <c r="G5627" t="s">
        <v>88</v>
      </c>
      <c r="H5627" t="s">
        <v>92</v>
      </c>
    </row>
    <row r="5628" spans="1:8" x14ac:dyDescent="0.25">
      <c r="A5628" t="s">
        <v>253</v>
      </c>
      <c r="B5628" t="s">
        <v>5149</v>
      </c>
      <c r="C5628" t="s">
        <v>88</v>
      </c>
      <c r="D5628" t="s">
        <v>5150</v>
      </c>
      <c r="E5628" t="s">
        <v>883</v>
      </c>
      <c r="F5628" t="s">
        <v>88</v>
      </c>
      <c r="G5628" t="s">
        <v>88</v>
      </c>
      <c r="H5628" t="s">
        <v>92</v>
      </c>
    </row>
    <row r="5629" spans="1:8" x14ac:dyDescent="0.25">
      <c r="A5629" t="s">
        <v>253</v>
      </c>
      <c r="B5629" t="s">
        <v>5121</v>
      </c>
      <c r="C5629" t="s">
        <v>88</v>
      </c>
      <c r="D5629" t="s">
        <v>5122</v>
      </c>
      <c r="E5629" t="s">
        <v>762</v>
      </c>
      <c r="F5629" t="s">
        <v>88</v>
      </c>
      <c r="G5629" t="s">
        <v>88</v>
      </c>
      <c r="H5629" t="s">
        <v>92</v>
      </c>
    </row>
    <row r="5630" spans="1:8" x14ac:dyDescent="0.25">
      <c r="A5630" t="s">
        <v>253</v>
      </c>
      <c r="B5630" t="s">
        <v>5151</v>
      </c>
      <c r="C5630" t="s">
        <v>88</v>
      </c>
      <c r="D5630" t="s">
        <v>5152</v>
      </c>
      <c r="E5630" t="s">
        <v>883</v>
      </c>
      <c r="F5630" t="s">
        <v>88</v>
      </c>
      <c r="G5630" t="s">
        <v>88</v>
      </c>
      <c r="H5630" t="s">
        <v>92</v>
      </c>
    </row>
    <row r="5631" spans="1:8" x14ac:dyDescent="0.25">
      <c r="A5631" t="s">
        <v>253</v>
      </c>
      <c r="B5631" t="s">
        <v>5125</v>
      </c>
      <c r="C5631" t="s">
        <v>88</v>
      </c>
      <c r="D5631" t="s">
        <v>5126</v>
      </c>
      <c r="E5631" t="s">
        <v>658</v>
      </c>
      <c r="F5631" t="s">
        <v>88</v>
      </c>
      <c r="G5631" t="s">
        <v>88</v>
      </c>
      <c r="H5631" t="s">
        <v>92</v>
      </c>
    </row>
    <row r="5632" spans="1:8" x14ac:dyDescent="0.25">
      <c r="A5632" t="s">
        <v>253</v>
      </c>
      <c r="B5632" t="s">
        <v>5153</v>
      </c>
      <c r="C5632" t="s">
        <v>88</v>
      </c>
      <c r="D5632" t="s">
        <v>5154</v>
      </c>
      <c r="E5632" t="s">
        <v>658</v>
      </c>
      <c r="F5632" t="s">
        <v>88</v>
      </c>
      <c r="G5632" t="s">
        <v>88</v>
      </c>
      <c r="H5632" t="s">
        <v>92</v>
      </c>
    </row>
    <row r="5633" spans="1:8" x14ac:dyDescent="0.25">
      <c r="A5633" t="s">
        <v>253</v>
      </c>
      <c r="B5633" t="s">
        <v>5155</v>
      </c>
      <c r="C5633" t="s">
        <v>88</v>
      </c>
      <c r="D5633" t="s">
        <v>5156</v>
      </c>
      <c r="E5633" t="s">
        <v>658</v>
      </c>
      <c r="F5633" t="s">
        <v>88</v>
      </c>
      <c r="G5633" t="s">
        <v>88</v>
      </c>
      <c r="H5633" t="s">
        <v>92</v>
      </c>
    </row>
    <row r="5634" spans="1:8" x14ac:dyDescent="0.25">
      <c r="A5634" t="s">
        <v>253</v>
      </c>
      <c r="B5634" t="s">
        <v>5157</v>
      </c>
      <c r="C5634" t="s">
        <v>88</v>
      </c>
      <c r="D5634" t="s">
        <v>5158</v>
      </c>
      <c r="E5634" t="s">
        <v>679</v>
      </c>
      <c r="F5634" t="s">
        <v>88</v>
      </c>
      <c r="G5634" t="s">
        <v>88</v>
      </c>
      <c r="H5634" t="s">
        <v>92</v>
      </c>
    </row>
    <row r="5635" spans="1:8" x14ac:dyDescent="0.25">
      <c r="A5635" t="s">
        <v>253</v>
      </c>
      <c r="B5635" t="s">
        <v>5159</v>
      </c>
      <c r="C5635" t="s">
        <v>88</v>
      </c>
      <c r="D5635" t="s">
        <v>5160</v>
      </c>
      <c r="E5635" t="s">
        <v>748</v>
      </c>
      <c r="F5635" t="s">
        <v>88</v>
      </c>
      <c r="G5635" t="s">
        <v>88</v>
      </c>
      <c r="H5635" t="s">
        <v>92</v>
      </c>
    </row>
    <row r="5636" spans="1:8" x14ac:dyDescent="0.25">
      <c r="A5636" t="s">
        <v>253</v>
      </c>
      <c r="B5636" t="s">
        <v>5161</v>
      </c>
      <c r="C5636" t="s">
        <v>88</v>
      </c>
      <c r="D5636" t="s">
        <v>5162</v>
      </c>
      <c r="E5636" t="s">
        <v>658</v>
      </c>
      <c r="F5636" t="s">
        <v>88</v>
      </c>
      <c r="G5636" t="s">
        <v>88</v>
      </c>
      <c r="H5636" t="s">
        <v>92</v>
      </c>
    </row>
    <row r="5637" spans="1:8" x14ac:dyDescent="0.25">
      <c r="A5637" t="s">
        <v>253</v>
      </c>
      <c r="B5637" t="s">
        <v>5163</v>
      </c>
      <c r="C5637" t="s">
        <v>88</v>
      </c>
      <c r="D5637" t="s">
        <v>5164</v>
      </c>
      <c r="E5637" t="s">
        <v>655</v>
      </c>
      <c r="F5637" t="s">
        <v>88</v>
      </c>
      <c r="G5637" t="s">
        <v>88</v>
      </c>
      <c r="H5637" t="s">
        <v>92</v>
      </c>
    </row>
    <row r="5638" spans="1:8" x14ac:dyDescent="0.25">
      <c r="A5638" t="s">
        <v>253</v>
      </c>
      <c r="B5638" t="s">
        <v>5165</v>
      </c>
      <c r="C5638" t="s">
        <v>88</v>
      </c>
      <c r="D5638" t="s">
        <v>5166</v>
      </c>
      <c r="E5638" t="s">
        <v>658</v>
      </c>
      <c r="F5638" t="s">
        <v>88</v>
      </c>
      <c r="G5638" t="s">
        <v>88</v>
      </c>
      <c r="H5638" t="s">
        <v>92</v>
      </c>
    </row>
    <row r="5639" spans="1:8" x14ac:dyDescent="0.25">
      <c r="A5639" t="s">
        <v>253</v>
      </c>
      <c r="B5639" t="s">
        <v>5167</v>
      </c>
      <c r="C5639" t="s">
        <v>88</v>
      </c>
      <c r="D5639" t="s">
        <v>5164</v>
      </c>
      <c r="E5639" t="s">
        <v>658</v>
      </c>
      <c r="F5639" t="s">
        <v>88</v>
      </c>
      <c r="G5639" t="s">
        <v>88</v>
      </c>
      <c r="H5639" t="s">
        <v>92</v>
      </c>
    </row>
    <row r="5640" spans="1:8" x14ac:dyDescent="0.25">
      <c r="A5640" t="s">
        <v>253</v>
      </c>
      <c r="B5640" t="s">
        <v>5168</v>
      </c>
      <c r="C5640" t="s">
        <v>88</v>
      </c>
      <c r="D5640" t="s">
        <v>5169</v>
      </c>
      <c r="E5640" t="s">
        <v>655</v>
      </c>
      <c r="F5640" t="s">
        <v>88</v>
      </c>
      <c r="G5640" t="s">
        <v>88</v>
      </c>
      <c r="H5640" t="s">
        <v>92</v>
      </c>
    </row>
    <row r="5641" spans="1:8" x14ac:dyDescent="0.25">
      <c r="A5641" t="s">
        <v>253</v>
      </c>
      <c r="B5641" t="s">
        <v>5170</v>
      </c>
      <c r="C5641" t="s">
        <v>88</v>
      </c>
      <c r="D5641" t="s">
        <v>5171</v>
      </c>
      <c r="E5641" t="s">
        <v>673</v>
      </c>
      <c r="F5641" t="s">
        <v>88</v>
      </c>
      <c r="G5641" t="s">
        <v>88</v>
      </c>
      <c r="H5641" t="s">
        <v>92</v>
      </c>
    </row>
    <row r="5642" spans="1:8" x14ac:dyDescent="0.25">
      <c r="A5642" t="s">
        <v>253</v>
      </c>
      <c r="B5642" t="s">
        <v>5172</v>
      </c>
      <c r="C5642" t="s">
        <v>88</v>
      </c>
      <c r="D5642" t="s">
        <v>5173</v>
      </c>
      <c r="E5642" t="s">
        <v>658</v>
      </c>
      <c r="F5642" t="s">
        <v>88</v>
      </c>
      <c r="G5642" t="s">
        <v>88</v>
      </c>
      <c r="H5642" t="s">
        <v>92</v>
      </c>
    </row>
    <row r="5643" spans="1:8" x14ac:dyDescent="0.25">
      <c r="A5643" t="s">
        <v>253</v>
      </c>
      <c r="B5643" t="s">
        <v>5174</v>
      </c>
      <c r="C5643" t="s">
        <v>88</v>
      </c>
      <c r="D5643" t="s">
        <v>5175</v>
      </c>
      <c r="E5643" t="s">
        <v>748</v>
      </c>
      <c r="F5643" t="s">
        <v>88</v>
      </c>
      <c r="G5643" t="s">
        <v>88</v>
      </c>
      <c r="H5643" t="s">
        <v>92</v>
      </c>
    </row>
    <row r="5644" spans="1:8" x14ac:dyDescent="0.25">
      <c r="A5644" t="s">
        <v>253</v>
      </c>
      <c r="B5644" t="s">
        <v>5176</v>
      </c>
      <c r="C5644" t="s">
        <v>88</v>
      </c>
      <c r="D5644" t="s">
        <v>5177</v>
      </c>
      <c r="E5644" t="s">
        <v>658</v>
      </c>
      <c r="F5644" t="s">
        <v>88</v>
      </c>
      <c r="G5644" t="s">
        <v>88</v>
      </c>
      <c r="H5644" t="s">
        <v>92</v>
      </c>
    </row>
    <row r="5645" spans="1:8" x14ac:dyDescent="0.25">
      <c r="A5645" t="s">
        <v>253</v>
      </c>
      <c r="B5645" t="s">
        <v>5178</v>
      </c>
      <c r="C5645" t="s">
        <v>88</v>
      </c>
      <c r="D5645" t="s">
        <v>5179</v>
      </c>
      <c r="E5645" t="s">
        <v>717</v>
      </c>
      <c r="F5645" t="s">
        <v>88</v>
      </c>
      <c r="G5645" t="s">
        <v>88</v>
      </c>
      <c r="H5645" t="s">
        <v>92</v>
      </c>
    </row>
    <row r="5646" spans="1:8" x14ac:dyDescent="0.25">
      <c r="A5646" t="s">
        <v>253</v>
      </c>
      <c r="B5646" t="s">
        <v>5180</v>
      </c>
      <c r="C5646" t="s">
        <v>88</v>
      </c>
      <c r="D5646" t="s">
        <v>5181</v>
      </c>
      <c r="E5646" t="s">
        <v>748</v>
      </c>
      <c r="F5646" t="s">
        <v>88</v>
      </c>
      <c r="G5646" t="s">
        <v>88</v>
      </c>
      <c r="H5646" t="s">
        <v>92</v>
      </c>
    </row>
    <row r="5647" spans="1:8" x14ac:dyDescent="0.25">
      <c r="A5647" t="s">
        <v>253</v>
      </c>
      <c r="B5647" t="s">
        <v>5182</v>
      </c>
      <c r="C5647" t="s">
        <v>88</v>
      </c>
      <c r="D5647" t="s">
        <v>5183</v>
      </c>
      <c r="E5647" t="s">
        <v>748</v>
      </c>
      <c r="F5647" t="s">
        <v>88</v>
      </c>
      <c r="G5647" t="s">
        <v>88</v>
      </c>
      <c r="H5647" t="s">
        <v>92</v>
      </c>
    </row>
    <row r="5648" spans="1:8" x14ac:dyDescent="0.25">
      <c r="A5648" t="s">
        <v>253</v>
      </c>
      <c r="B5648" t="s">
        <v>5184</v>
      </c>
      <c r="C5648" t="s">
        <v>88</v>
      </c>
      <c r="D5648" t="s">
        <v>5185</v>
      </c>
      <c r="E5648" t="s">
        <v>658</v>
      </c>
      <c r="F5648" t="s">
        <v>88</v>
      </c>
      <c r="G5648" t="s">
        <v>88</v>
      </c>
      <c r="H5648" t="s">
        <v>92</v>
      </c>
    </row>
    <row r="5649" spans="1:8" x14ac:dyDescent="0.25">
      <c r="A5649" t="s">
        <v>253</v>
      </c>
      <c r="B5649" t="s">
        <v>1868</v>
      </c>
      <c r="C5649" t="s">
        <v>88</v>
      </c>
      <c r="D5649" t="s">
        <v>5128</v>
      </c>
      <c r="E5649" t="s">
        <v>663</v>
      </c>
      <c r="F5649" t="s">
        <v>88</v>
      </c>
      <c r="G5649" t="s">
        <v>88</v>
      </c>
      <c r="H5649" t="s">
        <v>92</v>
      </c>
    </row>
    <row r="5650" spans="1:8" x14ac:dyDescent="0.25">
      <c r="A5650" t="s">
        <v>253</v>
      </c>
      <c r="B5650" t="s">
        <v>5127</v>
      </c>
      <c r="C5650" t="s">
        <v>88</v>
      </c>
      <c r="D5650" t="s">
        <v>5128</v>
      </c>
      <c r="E5650" t="s">
        <v>692</v>
      </c>
      <c r="F5650" t="s">
        <v>88</v>
      </c>
      <c r="G5650" t="s">
        <v>88</v>
      </c>
      <c r="H5650" t="s">
        <v>92</v>
      </c>
    </row>
    <row r="5651" spans="1:8" x14ac:dyDescent="0.25">
      <c r="A5651" t="s">
        <v>253</v>
      </c>
      <c r="B5651" t="s">
        <v>5186</v>
      </c>
      <c r="C5651" t="s">
        <v>88</v>
      </c>
      <c r="D5651" t="s">
        <v>5187</v>
      </c>
      <c r="E5651" t="s">
        <v>679</v>
      </c>
      <c r="F5651" t="s">
        <v>88</v>
      </c>
      <c r="G5651" t="s">
        <v>88</v>
      </c>
      <c r="H5651" t="s">
        <v>92</v>
      </c>
    </row>
    <row r="5652" spans="1:8" x14ac:dyDescent="0.25">
      <c r="A5652" t="s">
        <v>253</v>
      </c>
      <c r="B5652" t="s">
        <v>5188</v>
      </c>
      <c r="C5652" t="s">
        <v>88</v>
      </c>
      <c r="D5652" t="s">
        <v>5189</v>
      </c>
      <c r="E5652" t="s">
        <v>673</v>
      </c>
      <c r="F5652" t="s">
        <v>88</v>
      </c>
      <c r="G5652" t="s">
        <v>88</v>
      </c>
      <c r="H5652" t="s">
        <v>92</v>
      </c>
    </row>
    <row r="5653" spans="1:8" x14ac:dyDescent="0.25">
      <c r="A5653" t="s">
        <v>253</v>
      </c>
      <c r="B5653" t="s">
        <v>5190</v>
      </c>
      <c r="C5653" t="s">
        <v>88</v>
      </c>
      <c r="D5653" t="s">
        <v>5191</v>
      </c>
      <c r="E5653" t="s">
        <v>700</v>
      </c>
      <c r="F5653" t="s">
        <v>88</v>
      </c>
      <c r="G5653" t="s">
        <v>88</v>
      </c>
      <c r="H5653" t="s">
        <v>92</v>
      </c>
    </row>
    <row r="5654" spans="1:8" x14ac:dyDescent="0.25">
      <c r="A5654" t="s">
        <v>253</v>
      </c>
      <c r="B5654" t="s">
        <v>5192</v>
      </c>
      <c r="C5654" t="s">
        <v>88</v>
      </c>
      <c r="D5654" t="s">
        <v>5193</v>
      </c>
      <c r="E5654" t="s">
        <v>700</v>
      </c>
      <c r="F5654" t="s">
        <v>88</v>
      </c>
      <c r="G5654" t="s">
        <v>88</v>
      </c>
      <c r="H5654" t="s">
        <v>92</v>
      </c>
    </row>
    <row r="5655" spans="1:8" x14ac:dyDescent="0.25">
      <c r="A5655" t="s">
        <v>253</v>
      </c>
      <c r="B5655" t="s">
        <v>5194</v>
      </c>
      <c r="C5655" t="s">
        <v>88</v>
      </c>
      <c r="D5655" t="s">
        <v>88</v>
      </c>
      <c r="E5655" t="s">
        <v>663</v>
      </c>
      <c r="F5655" t="s">
        <v>88</v>
      </c>
      <c r="G5655" t="s">
        <v>88</v>
      </c>
      <c r="H5655" t="s">
        <v>92</v>
      </c>
    </row>
    <row r="5656" spans="1:8" x14ac:dyDescent="0.25">
      <c r="A5656" t="s">
        <v>253</v>
      </c>
      <c r="B5656" t="s">
        <v>1794</v>
      </c>
      <c r="C5656" t="s">
        <v>88</v>
      </c>
      <c r="D5656" t="s">
        <v>88</v>
      </c>
      <c r="E5656" t="s">
        <v>663</v>
      </c>
      <c r="F5656" t="s">
        <v>88</v>
      </c>
      <c r="G5656" t="s">
        <v>88</v>
      </c>
      <c r="H5656" t="s">
        <v>92</v>
      </c>
    </row>
    <row r="5657" spans="1:8" x14ac:dyDescent="0.25">
      <c r="A5657" t="s">
        <v>253</v>
      </c>
      <c r="B5657" t="s">
        <v>1792</v>
      </c>
      <c r="C5657" t="s">
        <v>88</v>
      </c>
      <c r="D5657" t="s">
        <v>88</v>
      </c>
      <c r="E5657" t="s">
        <v>663</v>
      </c>
      <c r="F5657" t="s">
        <v>88</v>
      </c>
      <c r="G5657" t="s">
        <v>88</v>
      </c>
      <c r="H5657" t="s">
        <v>92</v>
      </c>
    </row>
    <row r="5658" spans="1:8" x14ac:dyDescent="0.25">
      <c r="A5658" t="s">
        <v>253</v>
      </c>
      <c r="B5658" t="s">
        <v>5195</v>
      </c>
      <c r="C5658" t="s">
        <v>88</v>
      </c>
      <c r="D5658" t="s">
        <v>5196</v>
      </c>
      <c r="E5658" t="s">
        <v>658</v>
      </c>
      <c r="F5658" t="s">
        <v>88</v>
      </c>
      <c r="G5658" t="s">
        <v>88</v>
      </c>
      <c r="H5658" t="s">
        <v>92</v>
      </c>
    </row>
    <row r="5659" spans="1:8" x14ac:dyDescent="0.25">
      <c r="A5659" t="s">
        <v>253</v>
      </c>
      <c r="B5659" t="s">
        <v>2349</v>
      </c>
      <c r="C5659" t="s">
        <v>88</v>
      </c>
      <c r="D5659" t="s">
        <v>5197</v>
      </c>
      <c r="E5659" t="s">
        <v>658</v>
      </c>
      <c r="F5659" t="s">
        <v>88</v>
      </c>
      <c r="G5659" t="s">
        <v>88</v>
      </c>
      <c r="H5659" t="s">
        <v>92</v>
      </c>
    </row>
    <row r="5660" spans="1:8" x14ac:dyDescent="0.25">
      <c r="A5660" t="s">
        <v>253</v>
      </c>
      <c r="B5660" t="s">
        <v>5198</v>
      </c>
      <c r="C5660" t="s">
        <v>88</v>
      </c>
      <c r="D5660" t="s">
        <v>5199</v>
      </c>
      <c r="E5660" t="s">
        <v>663</v>
      </c>
      <c r="F5660" t="s">
        <v>88</v>
      </c>
      <c r="G5660" t="s">
        <v>88</v>
      </c>
      <c r="H5660" t="s">
        <v>92</v>
      </c>
    </row>
    <row r="5661" spans="1:8" x14ac:dyDescent="0.25">
      <c r="A5661" t="s">
        <v>253</v>
      </c>
      <c r="B5661" t="s">
        <v>5200</v>
      </c>
      <c r="C5661" t="s">
        <v>88</v>
      </c>
      <c r="D5661" t="s">
        <v>5201</v>
      </c>
      <c r="E5661" t="s">
        <v>663</v>
      </c>
      <c r="F5661" t="s">
        <v>88</v>
      </c>
      <c r="G5661" t="s">
        <v>88</v>
      </c>
      <c r="H5661" t="s">
        <v>92</v>
      </c>
    </row>
    <row r="5662" spans="1:8" x14ac:dyDescent="0.25">
      <c r="A5662" t="s">
        <v>253</v>
      </c>
      <c r="B5662" t="s">
        <v>1072</v>
      </c>
      <c r="C5662" t="s">
        <v>88</v>
      </c>
      <c r="D5662" t="s">
        <v>88</v>
      </c>
      <c r="E5662" t="s">
        <v>732</v>
      </c>
      <c r="F5662" t="s">
        <v>88</v>
      </c>
      <c r="G5662" t="s">
        <v>88</v>
      </c>
      <c r="H5662" t="s">
        <v>92</v>
      </c>
    </row>
    <row r="5663" spans="1:8" x14ac:dyDescent="0.25">
      <c r="A5663" t="s">
        <v>253</v>
      </c>
      <c r="B5663" t="s">
        <v>701</v>
      </c>
      <c r="C5663" t="s">
        <v>88</v>
      </c>
      <c r="D5663" t="s">
        <v>88</v>
      </c>
      <c r="E5663" t="s">
        <v>732</v>
      </c>
      <c r="F5663" t="s">
        <v>88</v>
      </c>
      <c r="G5663" t="s">
        <v>88</v>
      </c>
      <c r="H5663" t="s">
        <v>92</v>
      </c>
    </row>
    <row r="5664" spans="1:8" x14ac:dyDescent="0.25">
      <c r="A5664" t="s">
        <v>253</v>
      </c>
      <c r="B5664" t="s">
        <v>703</v>
      </c>
      <c r="C5664" t="s">
        <v>88</v>
      </c>
      <c r="D5664" t="s">
        <v>88</v>
      </c>
      <c r="E5664" t="s">
        <v>732</v>
      </c>
      <c r="F5664" t="s">
        <v>88</v>
      </c>
      <c r="G5664" t="s">
        <v>88</v>
      </c>
      <c r="H5664" t="s">
        <v>92</v>
      </c>
    </row>
    <row r="5665" spans="1:8" x14ac:dyDescent="0.25">
      <c r="A5665" t="s">
        <v>253</v>
      </c>
      <c r="B5665" t="s">
        <v>705</v>
      </c>
      <c r="C5665" t="s">
        <v>88</v>
      </c>
      <c r="D5665" t="s">
        <v>88</v>
      </c>
      <c r="E5665" t="s">
        <v>732</v>
      </c>
      <c r="F5665" t="s">
        <v>88</v>
      </c>
      <c r="G5665" t="s">
        <v>88</v>
      </c>
      <c r="H5665" t="s">
        <v>92</v>
      </c>
    </row>
    <row r="5666" spans="1:8" x14ac:dyDescent="0.25">
      <c r="A5666" t="s">
        <v>253</v>
      </c>
      <c r="B5666" t="s">
        <v>706</v>
      </c>
      <c r="C5666" t="s">
        <v>88</v>
      </c>
      <c r="D5666" t="s">
        <v>88</v>
      </c>
      <c r="E5666" t="s">
        <v>732</v>
      </c>
      <c r="F5666" t="s">
        <v>88</v>
      </c>
      <c r="G5666" t="s">
        <v>88</v>
      </c>
      <c r="H5666" t="s">
        <v>92</v>
      </c>
    </row>
    <row r="5667" spans="1:8" x14ac:dyDescent="0.25">
      <c r="A5667" t="s">
        <v>253</v>
      </c>
      <c r="B5667" t="s">
        <v>707</v>
      </c>
      <c r="C5667" t="s">
        <v>88</v>
      </c>
      <c r="D5667" t="s">
        <v>88</v>
      </c>
      <c r="E5667" t="s">
        <v>732</v>
      </c>
      <c r="F5667" t="s">
        <v>88</v>
      </c>
      <c r="G5667" t="s">
        <v>88</v>
      </c>
      <c r="H5667" t="s">
        <v>92</v>
      </c>
    </row>
    <row r="5668" spans="1:8" x14ac:dyDescent="0.25">
      <c r="A5668" t="s">
        <v>253</v>
      </c>
      <c r="B5668" t="s">
        <v>618</v>
      </c>
      <c r="C5668" t="s">
        <v>88</v>
      </c>
      <c r="D5668" t="s">
        <v>88</v>
      </c>
      <c r="E5668" t="s">
        <v>709</v>
      </c>
      <c r="F5668" t="s">
        <v>88</v>
      </c>
      <c r="G5668" t="s">
        <v>88</v>
      </c>
      <c r="H5668" t="s">
        <v>92</v>
      </c>
    </row>
    <row r="5669" spans="1:8" x14ac:dyDescent="0.25">
      <c r="A5669" t="s">
        <v>253</v>
      </c>
      <c r="B5669" t="s">
        <v>927</v>
      </c>
      <c r="C5669" t="s">
        <v>88</v>
      </c>
      <c r="D5669" t="s">
        <v>88</v>
      </c>
      <c r="E5669" t="s">
        <v>734</v>
      </c>
      <c r="F5669" t="s">
        <v>88</v>
      </c>
      <c r="G5669" t="s">
        <v>88</v>
      </c>
      <c r="H5669" t="s">
        <v>92</v>
      </c>
    </row>
    <row r="5670" spans="1:8" x14ac:dyDescent="0.25">
      <c r="A5670" t="s">
        <v>253</v>
      </c>
      <c r="B5670" t="s">
        <v>928</v>
      </c>
      <c r="C5670" t="s">
        <v>88</v>
      </c>
      <c r="D5670" t="s">
        <v>88</v>
      </c>
      <c r="E5670" t="s">
        <v>709</v>
      </c>
      <c r="F5670" t="s">
        <v>88</v>
      </c>
      <c r="G5670" t="s">
        <v>88</v>
      </c>
      <c r="H5670" t="s">
        <v>92</v>
      </c>
    </row>
    <row r="5671" spans="1:8" x14ac:dyDescent="0.25">
      <c r="A5671" t="s">
        <v>253</v>
      </c>
      <c r="B5671" t="s">
        <v>929</v>
      </c>
      <c r="C5671" t="s">
        <v>88</v>
      </c>
      <c r="D5671" t="s">
        <v>88</v>
      </c>
      <c r="E5671" t="s">
        <v>711</v>
      </c>
      <c r="F5671" t="s">
        <v>88</v>
      </c>
      <c r="G5671" t="s">
        <v>88</v>
      </c>
      <c r="H5671" t="s">
        <v>92</v>
      </c>
    </row>
    <row r="5672" spans="1:8" x14ac:dyDescent="0.25">
      <c r="A5672" t="s">
        <v>253</v>
      </c>
      <c r="B5672" t="s">
        <v>1324</v>
      </c>
      <c r="C5672" t="s">
        <v>88</v>
      </c>
      <c r="D5672" t="s">
        <v>88</v>
      </c>
      <c r="E5672" t="s">
        <v>738</v>
      </c>
      <c r="F5672" t="s">
        <v>88</v>
      </c>
      <c r="G5672" t="s">
        <v>88</v>
      </c>
      <c r="H5672" t="s">
        <v>92</v>
      </c>
    </row>
    <row r="5673" spans="1:8" x14ac:dyDescent="0.25">
      <c r="A5673" t="s">
        <v>253</v>
      </c>
      <c r="B5673" t="s">
        <v>1149</v>
      </c>
      <c r="C5673" t="s">
        <v>88</v>
      </c>
      <c r="D5673" t="s">
        <v>88</v>
      </c>
      <c r="E5673" t="s">
        <v>791</v>
      </c>
      <c r="F5673" t="s">
        <v>88</v>
      </c>
      <c r="G5673" t="s">
        <v>88</v>
      </c>
      <c r="H5673" t="s">
        <v>92</v>
      </c>
    </row>
    <row r="5674" spans="1:8" x14ac:dyDescent="0.25">
      <c r="A5674" t="s">
        <v>253</v>
      </c>
      <c r="B5674" t="s">
        <v>5202</v>
      </c>
      <c r="C5674" t="s">
        <v>88</v>
      </c>
      <c r="D5674" t="s">
        <v>5203</v>
      </c>
      <c r="E5674" t="s">
        <v>679</v>
      </c>
      <c r="F5674" t="s">
        <v>88</v>
      </c>
      <c r="G5674" t="s">
        <v>88</v>
      </c>
      <c r="H5674" t="s">
        <v>92</v>
      </c>
    </row>
    <row r="5675" spans="1:8" x14ac:dyDescent="0.25">
      <c r="A5675" t="s">
        <v>253</v>
      </c>
      <c r="B5675" t="s">
        <v>625</v>
      </c>
      <c r="C5675" t="s">
        <v>88</v>
      </c>
      <c r="D5675" t="s">
        <v>88</v>
      </c>
      <c r="E5675" t="s">
        <v>626</v>
      </c>
      <c r="F5675" t="s">
        <v>88</v>
      </c>
      <c r="G5675" t="s">
        <v>88</v>
      </c>
      <c r="H5675" t="s">
        <v>92</v>
      </c>
    </row>
    <row r="5676" spans="1:8" x14ac:dyDescent="0.25">
      <c r="A5676" t="s">
        <v>254</v>
      </c>
      <c r="B5676" t="s">
        <v>2025</v>
      </c>
      <c r="C5676" t="s">
        <v>88</v>
      </c>
      <c r="D5676" t="s">
        <v>2759</v>
      </c>
      <c r="E5676" t="s">
        <v>791</v>
      </c>
      <c r="F5676" t="s">
        <v>88</v>
      </c>
      <c r="G5676" t="s">
        <v>88</v>
      </c>
      <c r="H5676" t="s">
        <v>92</v>
      </c>
    </row>
    <row r="5677" spans="1:8" x14ac:dyDescent="0.25">
      <c r="A5677" t="s">
        <v>254</v>
      </c>
      <c r="B5677" t="s">
        <v>890</v>
      </c>
      <c r="C5677" t="s">
        <v>88</v>
      </c>
      <c r="D5677" t="s">
        <v>2759</v>
      </c>
      <c r="E5677" t="s">
        <v>791</v>
      </c>
      <c r="F5677" t="s">
        <v>88</v>
      </c>
      <c r="G5677" t="s">
        <v>88</v>
      </c>
      <c r="H5677" t="s">
        <v>92</v>
      </c>
    </row>
    <row r="5678" spans="1:8" x14ac:dyDescent="0.25">
      <c r="A5678" t="s">
        <v>254</v>
      </c>
      <c r="B5678" t="s">
        <v>1732</v>
      </c>
      <c r="C5678" t="s">
        <v>88</v>
      </c>
      <c r="D5678" t="s">
        <v>2759</v>
      </c>
      <c r="E5678" t="s">
        <v>799</v>
      </c>
      <c r="F5678" t="s">
        <v>88</v>
      </c>
      <c r="G5678" t="s">
        <v>88</v>
      </c>
      <c r="H5678" t="s">
        <v>92</v>
      </c>
    </row>
    <row r="5679" spans="1:8" x14ac:dyDescent="0.25">
      <c r="A5679" t="s">
        <v>254</v>
      </c>
      <c r="B5679" t="s">
        <v>895</v>
      </c>
      <c r="C5679" t="s">
        <v>88</v>
      </c>
      <c r="D5679" t="s">
        <v>2759</v>
      </c>
      <c r="E5679" t="s">
        <v>663</v>
      </c>
      <c r="F5679" t="s">
        <v>88</v>
      </c>
      <c r="G5679" t="s">
        <v>88</v>
      </c>
      <c r="H5679" t="s">
        <v>92</v>
      </c>
    </row>
    <row r="5680" spans="1:8" x14ac:dyDescent="0.25">
      <c r="A5680" t="s">
        <v>254</v>
      </c>
      <c r="B5680" t="s">
        <v>891</v>
      </c>
      <c r="C5680" t="s">
        <v>88</v>
      </c>
      <c r="D5680" t="s">
        <v>2759</v>
      </c>
      <c r="E5680" t="s">
        <v>715</v>
      </c>
      <c r="F5680" t="s">
        <v>88</v>
      </c>
      <c r="G5680" t="s">
        <v>88</v>
      </c>
      <c r="H5680" t="s">
        <v>92</v>
      </c>
    </row>
    <row r="5681" spans="1:8" x14ac:dyDescent="0.25">
      <c r="A5681" t="s">
        <v>254</v>
      </c>
      <c r="B5681" t="s">
        <v>2024</v>
      </c>
      <c r="C5681" t="s">
        <v>88</v>
      </c>
      <c r="D5681" t="s">
        <v>2759</v>
      </c>
      <c r="E5681" t="s">
        <v>679</v>
      </c>
      <c r="F5681" t="s">
        <v>88</v>
      </c>
      <c r="G5681" t="s">
        <v>88</v>
      </c>
      <c r="H5681" t="s">
        <v>92</v>
      </c>
    </row>
    <row r="5682" spans="1:8" x14ac:dyDescent="0.25">
      <c r="A5682" t="s">
        <v>254</v>
      </c>
      <c r="B5682" t="s">
        <v>2026</v>
      </c>
      <c r="C5682" t="s">
        <v>88</v>
      </c>
      <c r="D5682" t="s">
        <v>2759</v>
      </c>
      <c r="E5682" t="s">
        <v>791</v>
      </c>
      <c r="F5682" t="s">
        <v>88</v>
      </c>
      <c r="G5682" t="s">
        <v>88</v>
      </c>
      <c r="H5682" t="s">
        <v>92</v>
      </c>
    </row>
    <row r="5683" spans="1:8" x14ac:dyDescent="0.25">
      <c r="A5683" t="s">
        <v>254</v>
      </c>
      <c r="B5683" t="s">
        <v>1380</v>
      </c>
      <c r="C5683" t="s">
        <v>88</v>
      </c>
      <c r="D5683" t="s">
        <v>5204</v>
      </c>
      <c r="E5683" t="s">
        <v>715</v>
      </c>
      <c r="F5683" t="s">
        <v>88</v>
      </c>
      <c r="G5683" t="s">
        <v>88</v>
      </c>
      <c r="H5683" t="s">
        <v>92</v>
      </c>
    </row>
    <row r="5684" spans="1:8" x14ac:dyDescent="0.25">
      <c r="A5684" t="s">
        <v>254</v>
      </c>
      <c r="B5684" t="s">
        <v>1728</v>
      </c>
      <c r="C5684" t="s">
        <v>88</v>
      </c>
      <c r="D5684" t="s">
        <v>2759</v>
      </c>
      <c r="E5684" t="s">
        <v>734</v>
      </c>
      <c r="F5684" t="s">
        <v>88</v>
      </c>
      <c r="G5684" t="s">
        <v>88</v>
      </c>
      <c r="H5684" t="s">
        <v>92</v>
      </c>
    </row>
    <row r="5685" spans="1:8" x14ac:dyDescent="0.25">
      <c r="A5685" t="s">
        <v>254</v>
      </c>
      <c r="B5685" t="s">
        <v>2021</v>
      </c>
      <c r="C5685" t="s">
        <v>88</v>
      </c>
      <c r="D5685" t="s">
        <v>2759</v>
      </c>
      <c r="E5685" t="s">
        <v>791</v>
      </c>
      <c r="F5685" t="s">
        <v>88</v>
      </c>
      <c r="G5685" t="s">
        <v>88</v>
      </c>
      <c r="H5685" t="s">
        <v>92</v>
      </c>
    </row>
    <row r="5686" spans="1:8" x14ac:dyDescent="0.25">
      <c r="A5686" t="s">
        <v>254</v>
      </c>
      <c r="B5686" t="s">
        <v>612</v>
      </c>
      <c r="C5686" t="s">
        <v>88</v>
      </c>
      <c r="D5686" t="s">
        <v>88</v>
      </c>
      <c r="E5686" t="s">
        <v>848</v>
      </c>
      <c r="F5686" t="s">
        <v>88</v>
      </c>
      <c r="G5686" t="s">
        <v>88</v>
      </c>
      <c r="H5686" t="s">
        <v>92</v>
      </c>
    </row>
    <row r="5687" spans="1:8" x14ac:dyDescent="0.25">
      <c r="A5687" t="s">
        <v>254</v>
      </c>
      <c r="B5687" t="s">
        <v>614</v>
      </c>
      <c r="C5687" t="s">
        <v>88</v>
      </c>
      <c r="D5687" t="s">
        <v>88</v>
      </c>
      <c r="E5687" t="s">
        <v>848</v>
      </c>
      <c r="F5687" t="s">
        <v>88</v>
      </c>
      <c r="G5687" t="s">
        <v>88</v>
      </c>
      <c r="H5687" t="s">
        <v>92</v>
      </c>
    </row>
    <row r="5688" spans="1:8" x14ac:dyDescent="0.25">
      <c r="A5688" t="s">
        <v>254</v>
      </c>
      <c r="B5688" t="s">
        <v>615</v>
      </c>
      <c r="C5688" t="s">
        <v>88</v>
      </c>
      <c r="D5688" t="s">
        <v>88</v>
      </c>
      <c r="E5688" t="s">
        <v>848</v>
      </c>
      <c r="F5688" t="s">
        <v>88</v>
      </c>
      <c r="G5688" t="s">
        <v>88</v>
      </c>
      <c r="H5688" t="s">
        <v>92</v>
      </c>
    </row>
    <row r="5689" spans="1:8" x14ac:dyDescent="0.25">
      <c r="A5689" t="s">
        <v>254</v>
      </c>
      <c r="B5689" t="s">
        <v>616</v>
      </c>
      <c r="C5689" t="s">
        <v>88</v>
      </c>
      <c r="D5689" t="s">
        <v>88</v>
      </c>
      <c r="E5689" t="s">
        <v>848</v>
      </c>
      <c r="F5689" t="s">
        <v>88</v>
      </c>
      <c r="G5689" t="s">
        <v>88</v>
      </c>
      <c r="H5689" t="s">
        <v>92</v>
      </c>
    </row>
    <row r="5690" spans="1:8" x14ac:dyDescent="0.25">
      <c r="A5690" t="s">
        <v>254</v>
      </c>
      <c r="B5690" t="s">
        <v>617</v>
      </c>
      <c r="C5690" t="s">
        <v>88</v>
      </c>
      <c r="D5690" t="s">
        <v>88</v>
      </c>
      <c r="E5690" t="s">
        <v>848</v>
      </c>
      <c r="F5690" t="s">
        <v>88</v>
      </c>
      <c r="G5690" t="s">
        <v>88</v>
      </c>
      <c r="H5690" t="s">
        <v>92</v>
      </c>
    </row>
    <row r="5691" spans="1:8" x14ac:dyDescent="0.25">
      <c r="A5691" t="s">
        <v>254</v>
      </c>
      <c r="B5691" t="s">
        <v>733</v>
      </c>
      <c r="C5691" t="s">
        <v>88</v>
      </c>
      <c r="D5691" t="s">
        <v>88</v>
      </c>
      <c r="E5691" t="s">
        <v>848</v>
      </c>
      <c r="F5691" t="s">
        <v>88</v>
      </c>
      <c r="G5691" t="s">
        <v>88</v>
      </c>
      <c r="H5691" t="s">
        <v>92</v>
      </c>
    </row>
    <row r="5692" spans="1:8" x14ac:dyDescent="0.25">
      <c r="A5692" t="s">
        <v>254</v>
      </c>
      <c r="B5692" t="s">
        <v>620</v>
      </c>
      <c r="C5692" t="s">
        <v>88</v>
      </c>
      <c r="D5692" t="s">
        <v>88</v>
      </c>
      <c r="E5692" t="s">
        <v>713</v>
      </c>
      <c r="F5692" t="s">
        <v>88</v>
      </c>
      <c r="G5692" t="s">
        <v>88</v>
      </c>
      <c r="H5692" t="s">
        <v>92</v>
      </c>
    </row>
    <row r="5693" spans="1:8" x14ac:dyDescent="0.25">
      <c r="A5693" t="s">
        <v>254</v>
      </c>
      <c r="B5693" t="s">
        <v>622</v>
      </c>
      <c r="C5693" t="s">
        <v>88</v>
      </c>
      <c r="D5693" t="s">
        <v>88</v>
      </c>
      <c r="E5693" t="s">
        <v>735</v>
      </c>
      <c r="F5693" t="s">
        <v>88</v>
      </c>
      <c r="G5693" t="s">
        <v>88</v>
      </c>
      <c r="H5693" t="s">
        <v>92</v>
      </c>
    </row>
    <row r="5694" spans="1:8" x14ac:dyDescent="0.25">
      <c r="A5694" t="s">
        <v>254</v>
      </c>
      <c r="B5694" t="s">
        <v>623</v>
      </c>
      <c r="C5694" t="s">
        <v>88</v>
      </c>
      <c r="D5694" t="s">
        <v>88</v>
      </c>
      <c r="E5694" t="s">
        <v>850</v>
      </c>
      <c r="F5694" t="s">
        <v>88</v>
      </c>
      <c r="G5694" t="s">
        <v>88</v>
      </c>
      <c r="H5694" t="s">
        <v>92</v>
      </c>
    </row>
    <row r="5695" spans="1:8" x14ac:dyDescent="0.25">
      <c r="A5695" t="s">
        <v>254</v>
      </c>
      <c r="B5695" t="s">
        <v>798</v>
      </c>
      <c r="C5695" t="s">
        <v>88</v>
      </c>
      <c r="D5695" t="s">
        <v>88</v>
      </c>
      <c r="E5695" t="s">
        <v>709</v>
      </c>
      <c r="F5695" t="s">
        <v>88</v>
      </c>
      <c r="G5695" t="s">
        <v>88</v>
      </c>
      <c r="H5695" t="s">
        <v>92</v>
      </c>
    </row>
    <row r="5696" spans="1:8" x14ac:dyDescent="0.25">
      <c r="A5696" t="s">
        <v>254</v>
      </c>
      <c r="B5696" t="s">
        <v>982</v>
      </c>
      <c r="C5696" t="s">
        <v>88</v>
      </c>
      <c r="D5696" t="s">
        <v>88</v>
      </c>
      <c r="E5696" t="s">
        <v>709</v>
      </c>
      <c r="F5696" t="s">
        <v>88</v>
      </c>
      <c r="G5696" t="s">
        <v>88</v>
      </c>
      <c r="H5696" t="s">
        <v>92</v>
      </c>
    </row>
    <row r="5697" spans="1:8" x14ac:dyDescent="0.25">
      <c r="A5697" t="s">
        <v>254</v>
      </c>
      <c r="B5697" t="s">
        <v>5205</v>
      </c>
      <c r="C5697" t="s">
        <v>88</v>
      </c>
      <c r="D5697" t="s">
        <v>88</v>
      </c>
      <c r="E5697" t="s">
        <v>702</v>
      </c>
      <c r="F5697" t="s">
        <v>88</v>
      </c>
      <c r="G5697" t="s">
        <v>88</v>
      </c>
      <c r="H5697" t="s">
        <v>92</v>
      </c>
    </row>
    <row r="5698" spans="1:8" x14ac:dyDescent="0.25">
      <c r="A5698" t="s">
        <v>254</v>
      </c>
      <c r="B5698" t="s">
        <v>852</v>
      </c>
      <c r="C5698" t="s">
        <v>88</v>
      </c>
      <c r="D5698" t="s">
        <v>88</v>
      </c>
      <c r="E5698" t="s">
        <v>1596</v>
      </c>
      <c r="F5698" t="s">
        <v>88</v>
      </c>
      <c r="G5698" t="s">
        <v>88</v>
      </c>
      <c r="H5698" t="s">
        <v>92</v>
      </c>
    </row>
    <row r="5699" spans="1:8" x14ac:dyDescent="0.25">
      <c r="A5699" t="s">
        <v>254</v>
      </c>
      <c r="B5699" t="s">
        <v>3213</v>
      </c>
      <c r="C5699" t="s">
        <v>88</v>
      </c>
      <c r="D5699" t="s">
        <v>88</v>
      </c>
      <c r="E5699" t="s">
        <v>1596</v>
      </c>
      <c r="F5699" t="s">
        <v>88</v>
      </c>
      <c r="G5699" t="s">
        <v>88</v>
      </c>
      <c r="H5699" t="s">
        <v>92</v>
      </c>
    </row>
    <row r="5700" spans="1:8" x14ac:dyDescent="0.25">
      <c r="A5700" t="s">
        <v>254</v>
      </c>
      <c r="B5700" t="s">
        <v>625</v>
      </c>
      <c r="C5700" t="s">
        <v>88</v>
      </c>
      <c r="D5700" t="s">
        <v>88</v>
      </c>
      <c r="E5700" t="s">
        <v>626</v>
      </c>
      <c r="F5700" t="s">
        <v>88</v>
      </c>
      <c r="G5700" t="s">
        <v>88</v>
      </c>
      <c r="H5700" t="s">
        <v>92</v>
      </c>
    </row>
    <row r="5701" spans="1:8" x14ac:dyDescent="0.25">
      <c r="A5701" t="s">
        <v>256</v>
      </c>
      <c r="B5701" t="s">
        <v>789</v>
      </c>
      <c r="C5701" t="s">
        <v>88</v>
      </c>
      <c r="D5701" t="s">
        <v>5206</v>
      </c>
      <c r="E5701" t="s">
        <v>799</v>
      </c>
      <c r="F5701" t="s">
        <v>88</v>
      </c>
      <c r="G5701" t="s">
        <v>88</v>
      </c>
      <c r="H5701" t="s">
        <v>92</v>
      </c>
    </row>
    <row r="5702" spans="1:8" x14ac:dyDescent="0.25">
      <c r="A5702" t="s">
        <v>256</v>
      </c>
      <c r="B5702" t="s">
        <v>823</v>
      </c>
      <c r="C5702" t="s">
        <v>88</v>
      </c>
      <c r="D5702" t="s">
        <v>5207</v>
      </c>
      <c r="E5702" t="s">
        <v>964</v>
      </c>
      <c r="F5702" t="s">
        <v>88</v>
      </c>
      <c r="G5702" t="s">
        <v>88</v>
      </c>
      <c r="H5702" t="s">
        <v>92</v>
      </c>
    </row>
    <row r="5703" spans="1:8" x14ac:dyDescent="0.25">
      <c r="A5703" t="s">
        <v>256</v>
      </c>
      <c r="B5703" t="s">
        <v>5208</v>
      </c>
      <c r="C5703" t="s">
        <v>88</v>
      </c>
      <c r="D5703" t="s">
        <v>88</v>
      </c>
      <c r="E5703" t="s">
        <v>3169</v>
      </c>
      <c r="F5703" t="s">
        <v>88</v>
      </c>
      <c r="G5703" t="s">
        <v>88</v>
      </c>
      <c r="H5703" t="s">
        <v>92</v>
      </c>
    </row>
    <row r="5704" spans="1:8" x14ac:dyDescent="0.25">
      <c r="A5704" t="s">
        <v>256</v>
      </c>
      <c r="B5704" t="s">
        <v>3182</v>
      </c>
      <c r="C5704" t="s">
        <v>88</v>
      </c>
      <c r="D5704" t="s">
        <v>88</v>
      </c>
      <c r="E5704" t="s">
        <v>1139</v>
      </c>
      <c r="F5704" t="s">
        <v>88</v>
      </c>
      <c r="G5704" t="s">
        <v>88</v>
      </c>
      <c r="H5704" t="s">
        <v>92</v>
      </c>
    </row>
    <row r="5705" spans="1:8" x14ac:dyDescent="0.25">
      <c r="A5705" t="s">
        <v>256</v>
      </c>
      <c r="B5705" t="s">
        <v>854</v>
      </c>
      <c r="C5705" t="s">
        <v>88</v>
      </c>
      <c r="D5705" t="s">
        <v>5209</v>
      </c>
      <c r="E5705" t="s">
        <v>791</v>
      </c>
      <c r="F5705" t="s">
        <v>88</v>
      </c>
      <c r="G5705" t="s">
        <v>88</v>
      </c>
      <c r="H5705" t="s">
        <v>92</v>
      </c>
    </row>
    <row r="5706" spans="1:8" x14ac:dyDescent="0.25">
      <c r="A5706" t="s">
        <v>256</v>
      </c>
      <c r="B5706" t="s">
        <v>5210</v>
      </c>
      <c r="C5706" t="s">
        <v>88</v>
      </c>
      <c r="D5706" t="s">
        <v>5211</v>
      </c>
      <c r="E5706" t="s">
        <v>937</v>
      </c>
      <c r="F5706" t="s">
        <v>88</v>
      </c>
      <c r="G5706" t="s">
        <v>88</v>
      </c>
      <c r="H5706" t="s">
        <v>92</v>
      </c>
    </row>
    <row r="5707" spans="1:8" x14ac:dyDescent="0.25">
      <c r="A5707" t="s">
        <v>256</v>
      </c>
      <c r="B5707" t="s">
        <v>5212</v>
      </c>
      <c r="C5707" t="s">
        <v>88</v>
      </c>
      <c r="D5707" t="s">
        <v>5213</v>
      </c>
      <c r="E5707" t="s">
        <v>1153</v>
      </c>
      <c r="F5707" t="s">
        <v>88</v>
      </c>
      <c r="G5707" t="s">
        <v>88</v>
      </c>
      <c r="H5707" t="s">
        <v>92</v>
      </c>
    </row>
    <row r="5708" spans="1:8" x14ac:dyDescent="0.25">
      <c r="A5708" t="s">
        <v>256</v>
      </c>
      <c r="B5708" t="s">
        <v>5214</v>
      </c>
      <c r="C5708" t="s">
        <v>88</v>
      </c>
      <c r="D5708" t="s">
        <v>5215</v>
      </c>
      <c r="E5708" t="s">
        <v>762</v>
      </c>
      <c r="F5708" t="s">
        <v>88</v>
      </c>
      <c r="G5708" t="s">
        <v>88</v>
      </c>
      <c r="H5708" t="s">
        <v>92</v>
      </c>
    </row>
    <row r="5709" spans="1:8" x14ac:dyDescent="0.25">
      <c r="A5709" t="s">
        <v>256</v>
      </c>
      <c r="B5709" t="s">
        <v>789</v>
      </c>
      <c r="C5709" t="s">
        <v>88</v>
      </c>
      <c r="D5709" t="s">
        <v>5206</v>
      </c>
      <c r="E5709" t="s">
        <v>799</v>
      </c>
      <c r="F5709" t="s">
        <v>88</v>
      </c>
      <c r="G5709" t="s">
        <v>88</v>
      </c>
      <c r="H5709" t="s">
        <v>92</v>
      </c>
    </row>
    <row r="5710" spans="1:8" x14ac:dyDescent="0.25">
      <c r="A5710" t="s">
        <v>256</v>
      </c>
      <c r="B5710" t="s">
        <v>854</v>
      </c>
      <c r="C5710" t="s">
        <v>88</v>
      </c>
      <c r="D5710" t="s">
        <v>5209</v>
      </c>
      <c r="E5710" t="s">
        <v>791</v>
      </c>
      <c r="F5710" t="s">
        <v>88</v>
      </c>
      <c r="G5710" t="s">
        <v>88</v>
      </c>
      <c r="H5710" t="s">
        <v>92</v>
      </c>
    </row>
    <row r="5711" spans="1:8" x14ac:dyDescent="0.25">
      <c r="A5711" t="s">
        <v>256</v>
      </c>
      <c r="B5711" t="s">
        <v>5216</v>
      </c>
      <c r="C5711" t="s">
        <v>88</v>
      </c>
      <c r="D5711" t="s">
        <v>5217</v>
      </c>
      <c r="E5711" t="s">
        <v>937</v>
      </c>
      <c r="F5711" t="s">
        <v>88</v>
      </c>
      <c r="G5711" t="s">
        <v>88</v>
      </c>
      <c r="H5711" t="s">
        <v>92</v>
      </c>
    </row>
    <row r="5712" spans="1:8" x14ac:dyDescent="0.25">
      <c r="A5712" t="s">
        <v>256</v>
      </c>
      <c r="B5712" t="s">
        <v>816</v>
      </c>
      <c r="C5712" t="s">
        <v>88</v>
      </c>
      <c r="D5712" t="s">
        <v>5218</v>
      </c>
      <c r="E5712" t="s">
        <v>700</v>
      </c>
      <c r="F5712" t="s">
        <v>88</v>
      </c>
      <c r="G5712" t="s">
        <v>88</v>
      </c>
      <c r="H5712" t="s">
        <v>92</v>
      </c>
    </row>
    <row r="5713" spans="1:8" x14ac:dyDescent="0.25">
      <c r="A5713" t="s">
        <v>256</v>
      </c>
      <c r="B5713" t="s">
        <v>944</v>
      </c>
      <c r="C5713" t="s">
        <v>88</v>
      </c>
      <c r="D5713" t="s">
        <v>88</v>
      </c>
      <c r="E5713" t="s">
        <v>760</v>
      </c>
      <c r="F5713" t="s">
        <v>88</v>
      </c>
      <c r="G5713" t="s">
        <v>88</v>
      </c>
      <c r="H5713" t="s">
        <v>92</v>
      </c>
    </row>
    <row r="5714" spans="1:8" x14ac:dyDescent="0.25">
      <c r="A5714" t="s">
        <v>256</v>
      </c>
      <c r="B5714" t="s">
        <v>942</v>
      </c>
      <c r="C5714" t="s">
        <v>88</v>
      </c>
      <c r="D5714" t="s">
        <v>5219</v>
      </c>
      <c r="E5714" t="s">
        <v>2686</v>
      </c>
      <c r="F5714" t="s">
        <v>88</v>
      </c>
      <c r="G5714" t="s">
        <v>88</v>
      </c>
      <c r="H5714" t="s">
        <v>92</v>
      </c>
    </row>
    <row r="5715" spans="1:8" x14ac:dyDescent="0.25">
      <c r="A5715" t="s">
        <v>256</v>
      </c>
      <c r="B5715" t="s">
        <v>823</v>
      </c>
      <c r="C5715" t="s">
        <v>88</v>
      </c>
      <c r="D5715" t="s">
        <v>5207</v>
      </c>
      <c r="E5715" t="s">
        <v>964</v>
      </c>
      <c r="F5715" t="s">
        <v>88</v>
      </c>
      <c r="G5715" t="s">
        <v>88</v>
      </c>
      <c r="H5715" t="s">
        <v>92</v>
      </c>
    </row>
    <row r="5716" spans="1:8" x14ac:dyDescent="0.25">
      <c r="A5716" t="s">
        <v>256</v>
      </c>
      <c r="B5716" t="s">
        <v>5220</v>
      </c>
      <c r="C5716" t="s">
        <v>88</v>
      </c>
      <c r="D5716" t="s">
        <v>88</v>
      </c>
      <c r="E5716" t="s">
        <v>700</v>
      </c>
      <c r="F5716" t="s">
        <v>88</v>
      </c>
      <c r="G5716" t="s">
        <v>88</v>
      </c>
      <c r="H5716" t="s">
        <v>92</v>
      </c>
    </row>
    <row r="5717" spans="1:8" x14ac:dyDescent="0.25">
      <c r="A5717" t="s">
        <v>256</v>
      </c>
      <c r="B5717" t="s">
        <v>1923</v>
      </c>
      <c r="C5717" t="s">
        <v>88</v>
      </c>
      <c r="D5717" t="s">
        <v>88</v>
      </c>
      <c r="E5717" t="s">
        <v>1137</v>
      </c>
      <c r="F5717" t="s">
        <v>88</v>
      </c>
      <c r="G5717" t="s">
        <v>88</v>
      </c>
      <c r="H5717" t="s">
        <v>92</v>
      </c>
    </row>
    <row r="5718" spans="1:8" x14ac:dyDescent="0.25">
      <c r="A5718" t="s">
        <v>256</v>
      </c>
      <c r="B5718" t="s">
        <v>1046</v>
      </c>
      <c r="C5718" t="s">
        <v>88</v>
      </c>
      <c r="D5718" t="s">
        <v>88</v>
      </c>
      <c r="E5718" t="s">
        <v>676</v>
      </c>
      <c r="F5718" t="s">
        <v>88</v>
      </c>
      <c r="G5718" t="s">
        <v>88</v>
      </c>
      <c r="H5718" t="s">
        <v>92</v>
      </c>
    </row>
    <row r="5719" spans="1:8" x14ac:dyDescent="0.25">
      <c r="A5719" t="s">
        <v>256</v>
      </c>
      <c r="B5719" t="s">
        <v>5221</v>
      </c>
      <c r="C5719" t="s">
        <v>88</v>
      </c>
      <c r="D5719" t="s">
        <v>88</v>
      </c>
      <c r="E5719" t="s">
        <v>1135</v>
      </c>
      <c r="F5719" t="s">
        <v>88</v>
      </c>
      <c r="G5719" t="s">
        <v>88</v>
      </c>
      <c r="H5719" t="s">
        <v>92</v>
      </c>
    </row>
    <row r="5720" spans="1:8" x14ac:dyDescent="0.25">
      <c r="A5720" t="s">
        <v>256</v>
      </c>
      <c r="B5720" t="s">
        <v>1053</v>
      </c>
      <c r="C5720" t="s">
        <v>88</v>
      </c>
      <c r="D5720" t="s">
        <v>88</v>
      </c>
      <c r="E5720" t="s">
        <v>814</v>
      </c>
      <c r="F5720" t="s">
        <v>88</v>
      </c>
      <c r="G5720" t="s">
        <v>88</v>
      </c>
      <c r="H5720" t="s">
        <v>92</v>
      </c>
    </row>
    <row r="5721" spans="1:8" x14ac:dyDescent="0.25">
      <c r="A5721" t="s">
        <v>256</v>
      </c>
      <c r="B5721" t="s">
        <v>5208</v>
      </c>
      <c r="C5721" t="s">
        <v>88</v>
      </c>
      <c r="D5721" t="s">
        <v>88</v>
      </c>
      <c r="E5721" t="s">
        <v>3169</v>
      </c>
      <c r="F5721" t="s">
        <v>88</v>
      </c>
      <c r="G5721" t="s">
        <v>88</v>
      </c>
      <c r="H5721" t="s">
        <v>92</v>
      </c>
    </row>
    <row r="5722" spans="1:8" x14ac:dyDescent="0.25">
      <c r="A5722" t="s">
        <v>256</v>
      </c>
      <c r="B5722" t="s">
        <v>3182</v>
      </c>
      <c r="C5722" t="s">
        <v>88</v>
      </c>
      <c r="D5722" t="s">
        <v>88</v>
      </c>
      <c r="E5722" t="s">
        <v>1139</v>
      </c>
      <c r="F5722" t="s">
        <v>88</v>
      </c>
      <c r="G5722" t="s">
        <v>88</v>
      </c>
      <c r="H5722" t="s">
        <v>92</v>
      </c>
    </row>
    <row r="5723" spans="1:8" x14ac:dyDescent="0.25">
      <c r="A5723" t="s">
        <v>256</v>
      </c>
      <c r="B5723" t="s">
        <v>5222</v>
      </c>
      <c r="C5723" t="s">
        <v>88</v>
      </c>
      <c r="D5723" t="s">
        <v>88</v>
      </c>
      <c r="E5723" t="s">
        <v>2814</v>
      </c>
      <c r="F5723" t="s">
        <v>88</v>
      </c>
      <c r="G5723" t="s">
        <v>88</v>
      </c>
      <c r="H5723" t="s">
        <v>92</v>
      </c>
    </row>
    <row r="5724" spans="1:8" x14ac:dyDescent="0.25">
      <c r="A5724" t="s">
        <v>256</v>
      </c>
      <c r="B5724" t="s">
        <v>5223</v>
      </c>
      <c r="C5724" t="s">
        <v>88</v>
      </c>
      <c r="D5724" t="s">
        <v>88</v>
      </c>
      <c r="E5724" t="s">
        <v>748</v>
      </c>
      <c r="F5724" t="s">
        <v>88</v>
      </c>
      <c r="G5724" t="s">
        <v>88</v>
      </c>
      <c r="H5724" t="s">
        <v>92</v>
      </c>
    </row>
    <row r="5725" spans="1:8" x14ac:dyDescent="0.25">
      <c r="A5725" t="s">
        <v>256</v>
      </c>
      <c r="B5725" t="s">
        <v>1157</v>
      </c>
      <c r="C5725" t="s">
        <v>88</v>
      </c>
      <c r="D5725" t="s">
        <v>88</v>
      </c>
      <c r="E5725" t="s">
        <v>2686</v>
      </c>
      <c r="F5725" t="s">
        <v>88</v>
      </c>
      <c r="G5725" t="s">
        <v>88</v>
      </c>
      <c r="H5725" t="s">
        <v>92</v>
      </c>
    </row>
    <row r="5726" spans="1:8" x14ac:dyDescent="0.25">
      <c r="A5726" t="s">
        <v>256</v>
      </c>
      <c r="B5726" t="s">
        <v>5224</v>
      </c>
      <c r="C5726" t="s">
        <v>88</v>
      </c>
      <c r="D5726" t="s">
        <v>88</v>
      </c>
      <c r="E5726" t="s">
        <v>679</v>
      </c>
      <c r="F5726" t="s">
        <v>88</v>
      </c>
      <c r="G5726" t="s">
        <v>88</v>
      </c>
      <c r="H5726" t="s">
        <v>92</v>
      </c>
    </row>
    <row r="5727" spans="1:8" x14ac:dyDescent="0.25">
      <c r="A5727" t="s">
        <v>256</v>
      </c>
      <c r="B5727" t="s">
        <v>5225</v>
      </c>
      <c r="C5727" t="s">
        <v>88</v>
      </c>
      <c r="D5727" t="s">
        <v>88</v>
      </c>
      <c r="E5727" t="s">
        <v>692</v>
      </c>
      <c r="F5727" t="s">
        <v>88</v>
      </c>
      <c r="G5727" t="s">
        <v>88</v>
      </c>
      <c r="H5727" t="s">
        <v>92</v>
      </c>
    </row>
    <row r="5728" spans="1:8" x14ac:dyDescent="0.25">
      <c r="A5728" t="s">
        <v>256</v>
      </c>
      <c r="B5728" t="s">
        <v>5226</v>
      </c>
      <c r="C5728" t="s">
        <v>88</v>
      </c>
      <c r="D5728" t="s">
        <v>88</v>
      </c>
      <c r="E5728" t="s">
        <v>780</v>
      </c>
      <c r="F5728" t="s">
        <v>88</v>
      </c>
      <c r="G5728" t="s">
        <v>88</v>
      </c>
      <c r="H5728" t="s">
        <v>92</v>
      </c>
    </row>
    <row r="5729" spans="1:8" x14ac:dyDescent="0.25">
      <c r="A5729" t="s">
        <v>256</v>
      </c>
      <c r="B5729" t="s">
        <v>5227</v>
      </c>
      <c r="C5729" t="s">
        <v>88</v>
      </c>
      <c r="D5729" t="s">
        <v>88</v>
      </c>
      <c r="E5729" t="s">
        <v>780</v>
      </c>
      <c r="F5729" t="s">
        <v>88</v>
      </c>
      <c r="G5729" t="s">
        <v>88</v>
      </c>
      <c r="H5729" t="s">
        <v>92</v>
      </c>
    </row>
    <row r="5730" spans="1:8" x14ac:dyDescent="0.25">
      <c r="A5730" t="s">
        <v>256</v>
      </c>
      <c r="B5730" t="s">
        <v>5228</v>
      </c>
      <c r="C5730" t="s">
        <v>88</v>
      </c>
      <c r="D5730" t="s">
        <v>88</v>
      </c>
      <c r="E5730" t="s">
        <v>760</v>
      </c>
      <c r="F5730" t="s">
        <v>88</v>
      </c>
      <c r="G5730" t="s">
        <v>88</v>
      </c>
      <c r="H5730" t="s">
        <v>92</v>
      </c>
    </row>
    <row r="5731" spans="1:8" x14ac:dyDescent="0.25">
      <c r="A5731" t="s">
        <v>256</v>
      </c>
      <c r="B5731" t="s">
        <v>5229</v>
      </c>
      <c r="C5731" t="s">
        <v>88</v>
      </c>
      <c r="D5731" t="s">
        <v>88</v>
      </c>
      <c r="E5731" t="s">
        <v>780</v>
      </c>
      <c r="F5731" t="s">
        <v>88</v>
      </c>
      <c r="G5731" t="s">
        <v>88</v>
      </c>
      <c r="H5731" t="s">
        <v>92</v>
      </c>
    </row>
    <row r="5732" spans="1:8" x14ac:dyDescent="0.25">
      <c r="A5732" t="s">
        <v>256</v>
      </c>
      <c r="B5732" t="s">
        <v>4979</v>
      </c>
      <c r="C5732" t="s">
        <v>88</v>
      </c>
      <c r="D5732" t="s">
        <v>88</v>
      </c>
      <c r="E5732" t="s">
        <v>825</v>
      </c>
      <c r="F5732" t="s">
        <v>88</v>
      </c>
      <c r="G5732" t="s">
        <v>88</v>
      </c>
      <c r="H5732" t="s">
        <v>92</v>
      </c>
    </row>
    <row r="5733" spans="1:8" x14ac:dyDescent="0.25">
      <c r="A5733" t="s">
        <v>256</v>
      </c>
      <c r="B5733" t="s">
        <v>5230</v>
      </c>
      <c r="C5733" t="s">
        <v>88</v>
      </c>
      <c r="D5733" t="s">
        <v>88</v>
      </c>
      <c r="E5733" t="s">
        <v>844</v>
      </c>
      <c r="F5733" t="s">
        <v>88</v>
      </c>
      <c r="G5733" t="s">
        <v>88</v>
      </c>
      <c r="H5733" t="s">
        <v>92</v>
      </c>
    </row>
    <row r="5734" spans="1:8" x14ac:dyDescent="0.25">
      <c r="A5734" t="s">
        <v>256</v>
      </c>
      <c r="B5734" t="s">
        <v>5231</v>
      </c>
      <c r="C5734" t="s">
        <v>88</v>
      </c>
      <c r="D5734" t="s">
        <v>88</v>
      </c>
      <c r="E5734" t="s">
        <v>663</v>
      </c>
      <c r="F5734" t="s">
        <v>88</v>
      </c>
      <c r="G5734" t="s">
        <v>88</v>
      </c>
      <c r="H5734" t="s">
        <v>92</v>
      </c>
    </row>
    <row r="5735" spans="1:8" x14ac:dyDescent="0.25">
      <c r="A5735" t="s">
        <v>256</v>
      </c>
      <c r="B5735" t="s">
        <v>5232</v>
      </c>
      <c r="C5735" t="s">
        <v>88</v>
      </c>
      <c r="D5735" t="s">
        <v>88</v>
      </c>
      <c r="E5735" t="s">
        <v>825</v>
      </c>
      <c r="F5735" t="s">
        <v>88</v>
      </c>
      <c r="G5735" t="s">
        <v>88</v>
      </c>
      <c r="H5735" t="s">
        <v>92</v>
      </c>
    </row>
    <row r="5736" spans="1:8" x14ac:dyDescent="0.25">
      <c r="A5736" t="s">
        <v>256</v>
      </c>
      <c r="B5736" t="s">
        <v>5233</v>
      </c>
      <c r="C5736" t="s">
        <v>88</v>
      </c>
      <c r="D5736" t="s">
        <v>88</v>
      </c>
      <c r="E5736" t="s">
        <v>663</v>
      </c>
      <c r="F5736" t="s">
        <v>88</v>
      </c>
      <c r="G5736" t="s">
        <v>88</v>
      </c>
      <c r="H5736" t="s">
        <v>92</v>
      </c>
    </row>
    <row r="5737" spans="1:8" x14ac:dyDescent="0.25">
      <c r="A5737" t="s">
        <v>256</v>
      </c>
      <c r="B5737" t="s">
        <v>5234</v>
      </c>
      <c r="C5737" t="s">
        <v>88</v>
      </c>
      <c r="D5737" t="s">
        <v>88</v>
      </c>
      <c r="E5737" t="s">
        <v>700</v>
      </c>
      <c r="F5737" t="s">
        <v>88</v>
      </c>
      <c r="G5737" t="s">
        <v>88</v>
      </c>
      <c r="H5737" t="s">
        <v>92</v>
      </c>
    </row>
    <row r="5738" spans="1:8" x14ac:dyDescent="0.25">
      <c r="A5738" t="s">
        <v>256</v>
      </c>
      <c r="B5738" t="s">
        <v>5235</v>
      </c>
      <c r="C5738" t="s">
        <v>88</v>
      </c>
      <c r="D5738" t="s">
        <v>88</v>
      </c>
      <c r="E5738" t="s">
        <v>655</v>
      </c>
      <c r="F5738" t="s">
        <v>88</v>
      </c>
      <c r="G5738" t="s">
        <v>88</v>
      </c>
      <c r="H5738" t="s">
        <v>92</v>
      </c>
    </row>
    <row r="5739" spans="1:8" x14ac:dyDescent="0.25">
      <c r="A5739" t="s">
        <v>256</v>
      </c>
      <c r="B5739" t="s">
        <v>5236</v>
      </c>
      <c r="C5739" t="s">
        <v>88</v>
      </c>
      <c r="D5739" t="s">
        <v>88</v>
      </c>
      <c r="E5739" t="s">
        <v>1680</v>
      </c>
      <c r="F5739" t="s">
        <v>88</v>
      </c>
      <c r="G5739" t="s">
        <v>88</v>
      </c>
      <c r="H5739" t="s">
        <v>92</v>
      </c>
    </row>
    <row r="5740" spans="1:8" x14ac:dyDescent="0.25">
      <c r="A5740" t="s">
        <v>256</v>
      </c>
      <c r="B5740" t="s">
        <v>5237</v>
      </c>
      <c r="C5740" t="s">
        <v>88</v>
      </c>
      <c r="D5740" t="s">
        <v>88</v>
      </c>
      <c r="E5740" t="s">
        <v>780</v>
      </c>
      <c r="F5740" t="s">
        <v>88</v>
      </c>
      <c r="G5740" t="s">
        <v>88</v>
      </c>
      <c r="H5740" t="s">
        <v>92</v>
      </c>
    </row>
    <row r="5741" spans="1:8" x14ac:dyDescent="0.25">
      <c r="A5741" t="s">
        <v>256</v>
      </c>
      <c r="B5741" t="s">
        <v>5238</v>
      </c>
      <c r="C5741" t="s">
        <v>88</v>
      </c>
      <c r="D5741" t="s">
        <v>88</v>
      </c>
      <c r="E5741" t="s">
        <v>715</v>
      </c>
      <c r="F5741" t="s">
        <v>88</v>
      </c>
      <c r="G5741" t="s">
        <v>88</v>
      </c>
      <c r="H5741" t="s">
        <v>92</v>
      </c>
    </row>
    <row r="5742" spans="1:8" x14ac:dyDescent="0.25">
      <c r="A5742" t="s">
        <v>256</v>
      </c>
      <c r="B5742" t="s">
        <v>701</v>
      </c>
      <c r="C5742" t="s">
        <v>88</v>
      </c>
      <c r="D5742" t="s">
        <v>88</v>
      </c>
      <c r="E5742" t="s">
        <v>734</v>
      </c>
      <c r="F5742" t="s">
        <v>88</v>
      </c>
      <c r="G5742" t="s">
        <v>88</v>
      </c>
      <c r="H5742" t="s">
        <v>92</v>
      </c>
    </row>
    <row r="5743" spans="1:8" x14ac:dyDescent="0.25">
      <c r="A5743" t="s">
        <v>256</v>
      </c>
      <c r="B5743" t="s">
        <v>705</v>
      </c>
      <c r="C5743" t="s">
        <v>88</v>
      </c>
      <c r="D5743" t="s">
        <v>88</v>
      </c>
      <c r="E5743" t="s">
        <v>734</v>
      </c>
      <c r="F5743" t="s">
        <v>88</v>
      </c>
      <c r="G5743" t="s">
        <v>88</v>
      </c>
      <c r="H5743" t="s">
        <v>92</v>
      </c>
    </row>
    <row r="5744" spans="1:8" x14ac:dyDescent="0.25">
      <c r="A5744" t="s">
        <v>256</v>
      </c>
      <c r="B5744" t="s">
        <v>706</v>
      </c>
      <c r="C5744" t="s">
        <v>88</v>
      </c>
      <c r="D5744" t="s">
        <v>88</v>
      </c>
      <c r="E5744" t="s">
        <v>734</v>
      </c>
      <c r="F5744" t="s">
        <v>88</v>
      </c>
      <c r="G5744" t="s">
        <v>88</v>
      </c>
      <c r="H5744" t="s">
        <v>92</v>
      </c>
    </row>
    <row r="5745" spans="1:8" x14ac:dyDescent="0.25">
      <c r="A5745" t="s">
        <v>256</v>
      </c>
      <c r="B5745" t="s">
        <v>707</v>
      </c>
      <c r="C5745" t="s">
        <v>88</v>
      </c>
      <c r="D5745" t="s">
        <v>88</v>
      </c>
      <c r="E5745" t="s">
        <v>734</v>
      </c>
      <c r="F5745" t="s">
        <v>88</v>
      </c>
      <c r="G5745" t="s">
        <v>88</v>
      </c>
      <c r="H5745" t="s">
        <v>92</v>
      </c>
    </row>
    <row r="5746" spans="1:8" x14ac:dyDescent="0.25">
      <c r="A5746" t="s">
        <v>256</v>
      </c>
      <c r="B5746" t="s">
        <v>708</v>
      </c>
      <c r="C5746" t="s">
        <v>88</v>
      </c>
      <c r="D5746" t="s">
        <v>88</v>
      </c>
      <c r="E5746" t="s">
        <v>734</v>
      </c>
      <c r="F5746" t="s">
        <v>88</v>
      </c>
      <c r="G5746" t="s">
        <v>88</v>
      </c>
      <c r="H5746" t="s">
        <v>92</v>
      </c>
    </row>
    <row r="5747" spans="1:8" x14ac:dyDescent="0.25">
      <c r="A5747" t="s">
        <v>256</v>
      </c>
      <c r="B5747" t="s">
        <v>794</v>
      </c>
      <c r="C5747" t="s">
        <v>88</v>
      </c>
      <c r="D5747" t="s">
        <v>88</v>
      </c>
      <c r="E5747" t="s">
        <v>848</v>
      </c>
      <c r="F5747" t="s">
        <v>88</v>
      </c>
      <c r="G5747" t="s">
        <v>88</v>
      </c>
      <c r="H5747" t="s">
        <v>92</v>
      </c>
    </row>
    <row r="5748" spans="1:8" x14ac:dyDescent="0.25">
      <c r="A5748" t="s">
        <v>256</v>
      </c>
      <c r="B5748" t="s">
        <v>1670</v>
      </c>
      <c r="C5748" t="s">
        <v>88</v>
      </c>
      <c r="D5748" t="s">
        <v>88</v>
      </c>
      <c r="E5748" t="s">
        <v>848</v>
      </c>
      <c r="F5748" t="s">
        <v>88</v>
      </c>
      <c r="G5748" t="s">
        <v>88</v>
      </c>
      <c r="H5748" t="s">
        <v>92</v>
      </c>
    </row>
    <row r="5749" spans="1:8" x14ac:dyDescent="0.25">
      <c r="A5749" t="s">
        <v>256</v>
      </c>
      <c r="B5749" t="s">
        <v>795</v>
      </c>
      <c r="C5749" t="s">
        <v>88</v>
      </c>
      <c r="D5749" t="s">
        <v>88</v>
      </c>
      <c r="E5749" t="s">
        <v>848</v>
      </c>
      <c r="F5749" t="s">
        <v>88</v>
      </c>
      <c r="G5749" t="s">
        <v>88</v>
      </c>
      <c r="H5749" t="s">
        <v>92</v>
      </c>
    </row>
    <row r="5750" spans="1:8" x14ac:dyDescent="0.25">
      <c r="A5750" t="s">
        <v>256</v>
      </c>
      <c r="B5750" t="s">
        <v>620</v>
      </c>
      <c r="C5750" t="s">
        <v>88</v>
      </c>
      <c r="D5750" t="s">
        <v>88</v>
      </c>
      <c r="E5750" t="s">
        <v>710</v>
      </c>
      <c r="F5750" t="s">
        <v>88</v>
      </c>
      <c r="G5750" t="s">
        <v>88</v>
      </c>
      <c r="H5750" t="s">
        <v>92</v>
      </c>
    </row>
    <row r="5751" spans="1:8" x14ac:dyDescent="0.25">
      <c r="A5751" t="s">
        <v>256</v>
      </c>
      <c r="B5751" t="s">
        <v>622</v>
      </c>
      <c r="C5751" t="s">
        <v>88</v>
      </c>
      <c r="D5751" t="s">
        <v>88</v>
      </c>
      <c r="E5751" t="s">
        <v>713</v>
      </c>
      <c r="F5751" t="s">
        <v>88</v>
      </c>
      <c r="G5751" t="s">
        <v>88</v>
      </c>
      <c r="H5751" t="s">
        <v>92</v>
      </c>
    </row>
    <row r="5752" spans="1:8" x14ac:dyDescent="0.25">
      <c r="A5752" t="s">
        <v>256</v>
      </c>
      <c r="B5752" t="s">
        <v>623</v>
      </c>
      <c r="C5752" t="s">
        <v>88</v>
      </c>
      <c r="D5752" t="s">
        <v>88</v>
      </c>
      <c r="E5752" t="s">
        <v>735</v>
      </c>
      <c r="F5752" t="s">
        <v>88</v>
      </c>
      <c r="G5752" t="s">
        <v>88</v>
      </c>
      <c r="H5752" t="s">
        <v>92</v>
      </c>
    </row>
    <row r="5753" spans="1:8" x14ac:dyDescent="0.25">
      <c r="A5753" t="s">
        <v>256</v>
      </c>
      <c r="B5753" t="s">
        <v>714</v>
      </c>
      <c r="C5753" t="s">
        <v>88</v>
      </c>
      <c r="D5753" t="s">
        <v>88</v>
      </c>
      <c r="E5753" t="s">
        <v>702</v>
      </c>
      <c r="F5753" t="s">
        <v>88</v>
      </c>
      <c r="G5753" t="s">
        <v>88</v>
      </c>
      <c r="H5753" t="s">
        <v>92</v>
      </c>
    </row>
    <row r="5754" spans="1:8" x14ac:dyDescent="0.25">
      <c r="A5754" t="s">
        <v>256</v>
      </c>
      <c r="B5754" t="s">
        <v>998</v>
      </c>
      <c r="C5754" t="s">
        <v>88</v>
      </c>
      <c r="D5754" t="s">
        <v>88</v>
      </c>
      <c r="E5754" t="s">
        <v>702</v>
      </c>
      <c r="F5754" t="s">
        <v>88</v>
      </c>
      <c r="G5754" t="s">
        <v>88</v>
      </c>
      <c r="H5754" t="s">
        <v>92</v>
      </c>
    </row>
    <row r="5755" spans="1:8" x14ac:dyDescent="0.25">
      <c r="A5755" t="s">
        <v>256</v>
      </c>
      <c r="B5755" t="s">
        <v>851</v>
      </c>
      <c r="C5755" t="s">
        <v>88</v>
      </c>
      <c r="D5755" t="s">
        <v>88</v>
      </c>
      <c r="E5755" t="s">
        <v>702</v>
      </c>
      <c r="F5755" t="s">
        <v>88</v>
      </c>
      <c r="G5755" t="s">
        <v>88</v>
      </c>
      <c r="H5755" t="s">
        <v>92</v>
      </c>
    </row>
    <row r="5756" spans="1:8" x14ac:dyDescent="0.25">
      <c r="A5756" t="s">
        <v>256</v>
      </c>
      <c r="B5756" t="s">
        <v>5239</v>
      </c>
      <c r="C5756" t="s">
        <v>88</v>
      </c>
      <c r="D5756" t="s">
        <v>88</v>
      </c>
      <c r="E5756" t="s">
        <v>791</v>
      </c>
      <c r="F5756" t="s">
        <v>88</v>
      </c>
      <c r="G5756" t="s">
        <v>88</v>
      </c>
      <c r="H5756" t="s">
        <v>92</v>
      </c>
    </row>
    <row r="5757" spans="1:8" x14ac:dyDescent="0.25">
      <c r="A5757" t="s">
        <v>256</v>
      </c>
      <c r="B5757" t="s">
        <v>5240</v>
      </c>
      <c r="C5757" t="s">
        <v>88</v>
      </c>
      <c r="D5757" t="s">
        <v>88</v>
      </c>
      <c r="E5757" t="s">
        <v>1323</v>
      </c>
      <c r="F5757" t="s">
        <v>88</v>
      </c>
      <c r="G5757" t="s">
        <v>88</v>
      </c>
      <c r="H5757" t="s">
        <v>92</v>
      </c>
    </row>
    <row r="5758" spans="1:8" x14ac:dyDescent="0.25">
      <c r="A5758" t="s">
        <v>256</v>
      </c>
      <c r="B5758" t="s">
        <v>1989</v>
      </c>
      <c r="C5758" t="s">
        <v>88</v>
      </c>
      <c r="D5758" t="s">
        <v>88</v>
      </c>
      <c r="E5758" t="s">
        <v>715</v>
      </c>
      <c r="F5758" t="s">
        <v>88</v>
      </c>
      <c r="G5758" t="s">
        <v>88</v>
      </c>
      <c r="H5758" t="s">
        <v>92</v>
      </c>
    </row>
    <row r="5759" spans="1:8" x14ac:dyDescent="0.25">
      <c r="A5759" t="s">
        <v>256</v>
      </c>
      <c r="B5759" t="s">
        <v>1990</v>
      </c>
      <c r="C5759" t="s">
        <v>88</v>
      </c>
      <c r="D5759" t="s">
        <v>88</v>
      </c>
      <c r="E5759" t="s">
        <v>715</v>
      </c>
      <c r="F5759" t="s">
        <v>88</v>
      </c>
      <c r="G5759" t="s">
        <v>88</v>
      </c>
      <c r="H5759" t="s">
        <v>92</v>
      </c>
    </row>
    <row r="5760" spans="1:8" x14ac:dyDescent="0.25">
      <c r="A5760" t="s">
        <v>256</v>
      </c>
      <c r="B5760" t="s">
        <v>5241</v>
      </c>
      <c r="C5760" t="s">
        <v>88</v>
      </c>
      <c r="D5760" t="s">
        <v>88</v>
      </c>
      <c r="E5760" t="s">
        <v>663</v>
      </c>
      <c r="F5760" t="s">
        <v>88</v>
      </c>
      <c r="G5760" t="s">
        <v>88</v>
      </c>
      <c r="H5760" t="s">
        <v>92</v>
      </c>
    </row>
    <row r="5761" spans="1:8" x14ac:dyDescent="0.25">
      <c r="A5761" t="s">
        <v>256</v>
      </c>
      <c r="B5761" t="s">
        <v>625</v>
      </c>
      <c r="C5761" t="s">
        <v>88</v>
      </c>
      <c r="D5761" t="s">
        <v>88</v>
      </c>
      <c r="E5761" t="s">
        <v>626</v>
      </c>
      <c r="F5761" t="s">
        <v>88</v>
      </c>
      <c r="G5761" t="s">
        <v>88</v>
      </c>
      <c r="H5761" t="s">
        <v>92</v>
      </c>
    </row>
    <row r="5762" spans="1:8" x14ac:dyDescent="0.25">
      <c r="A5762" t="s">
        <v>257</v>
      </c>
      <c r="B5762" t="s">
        <v>696</v>
      </c>
      <c r="C5762" t="s">
        <v>88</v>
      </c>
      <c r="D5762" t="s">
        <v>5242</v>
      </c>
      <c r="E5762" t="s">
        <v>748</v>
      </c>
      <c r="F5762" t="s">
        <v>88</v>
      </c>
      <c r="G5762" t="s">
        <v>88</v>
      </c>
      <c r="H5762" t="s">
        <v>92</v>
      </c>
    </row>
    <row r="5763" spans="1:8" x14ac:dyDescent="0.25">
      <c r="A5763" t="s">
        <v>257</v>
      </c>
      <c r="B5763" t="s">
        <v>5243</v>
      </c>
      <c r="C5763" t="s">
        <v>88</v>
      </c>
      <c r="D5763" t="s">
        <v>5244</v>
      </c>
      <c r="E5763" t="s">
        <v>1282</v>
      </c>
      <c r="F5763" t="s">
        <v>88</v>
      </c>
      <c r="G5763" t="s">
        <v>88</v>
      </c>
      <c r="H5763" t="s">
        <v>92</v>
      </c>
    </row>
    <row r="5764" spans="1:8" x14ac:dyDescent="0.25">
      <c r="A5764" t="s">
        <v>257</v>
      </c>
      <c r="B5764" t="s">
        <v>2179</v>
      </c>
      <c r="C5764" t="s">
        <v>88</v>
      </c>
      <c r="D5764" t="s">
        <v>5245</v>
      </c>
      <c r="E5764" t="s">
        <v>673</v>
      </c>
      <c r="F5764" t="s">
        <v>88</v>
      </c>
      <c r="G5764" t="s">
        <v>88</v>
      </c>
      <c r="H5764" t="s">
        <v>92</v>
      </c>
    </row>
    <row r="5765" spans="1:8" x14ac:dyDescent="0.25">
      <c r="A5765" t="s">
        <v>257</v>
      </c>
      <c r="B5765" t="s">
        <v>2177</v>
      </c>
      <c r="C5765" t="s">
        <v>88</v>
      </c>
      <c r="D5765" t="s">
        <v>5245</v>
      </c>
      <c r="E5765" t="s">
        <v>725</v>
      </c>
      <c r="F5765" t="s">
        <v>88</v>
      </c>
      <c r="G5765" t="s">
        <v>88</v>
      </c>
      <c r="H5765" t="s">
        <v>92</v>
      </c>
    </row>
    <row r="5766" spans="1:8" x14ac:dyDescent="0.25">
      <c r="A5766" t="s">
        <v>257</v>
      </c>
      <c r="B5766" t="s">
        <v>2244</v>
      </c>
      <c r="C5766" t="s">
        <v>88</v>
      </c>
      <c r="D5766" t="s">
        <v>5246</v>
      </c>
      <c r="E5766" t="s">
        <v>883</v>
      </c>
      <c r="F5766" t="s">
        <v>88</v>
      </c>
      <c r="G5766" t="s">
        <v>88</v>
      </c>
      <c r="H5766" t="s">
        <v>92</v>
      </c>
    </row>
    <row r="5767" spans="1:8" x14ac:dyDescent="0.25">
      <c r="A5767" t="s">
        <v>257</v>
      </c>
      <c r="B5767" t="s">
        <v>5247</v>
      </c>
      <c r="C5767" t="s">
        <v>88</v>
      </c>
      <c r="D5767" t="s">
        <v>3340</v>
      </c>
      <c r="E5767" t="s">
        <v>663</v>
      </c>
      <c r="F5767" t="s">
        <v>88</v>
      </c>
      <c r="G5767" t="s">
        <v>88</v>
      </c>
      <c r="H5767" t="s">
        <v>92</v>
      </c>
    </row>
    <row r="5768" spans="1:8" x14ac:dyDescent="0.25">
      <c r="A5768" t="s">
        <v>257</v>
      </c>
      <c r="B5768" t="s">
        <v>5248</v>
      </c>
      <c r="C5768" t="s">
        <v>88</v>
      </c>
      <c r="D5768" t="s">
        <v>5249</v>
      </c>
      <c r="E5768" t="s">
        <v>725</v>
      </c>
      <c r="F5768" t="s">
        <v>88</v>
      </c>
      <c r="G5768" t="s">
        <v>88</v>
      </c>
      <c r="H5768" t="s">
        <v>92</v>
      </c>
    </row>
    <row r="5769" spans="1:8" x14ac:dyDescent="0.25">
      <c r="A5769" t="s">
        <v>257</v>
      </c>
      <c r="B5769" t="s">
        <v>5250</v>
      </c>
      <c r="C5769" t="s">
        <v>88</v>
      </c>
      <c r="D5769" t="s">
        <v>5249</v>
      </c>
      <c r="E5769" t="s">
        <v>673</v>
      </c>
      <c r="F5769" t="s">
        <v>88</v>
      </c>
      <c r="G5769" t="s">
        <v>88</v>
      </c>
      <c r="H5769" t="s">
        <v>92</v>
      </c>
    </row>
    <row r="5770" spans="1:8" x14ac:dyDescent="0.25">
      <c r="A5770" t="s">
        <v>257</v>
      </c>
      <c r="B5770" t="s">
        <v>5251</v>
      </c>
      <c r="C5770" t="s">
        <v>88</v>
      </c>
      <c r="D5770" t="s">
        <v>5249</v>
      </c>
      <c r="E5770" t="s">
        <v>721</v>
      </c>
      <c r="F5770" t="s">
        <v>88</v>
      </c>
      <c r="G5770" t="s">
        <v>88</v>
      </c>
      <c r="H5770" t="s">
        <v>92</v>
      </c>
    </row>
    <row r="5771" spans="1:8" x14ac:dyDescent="0.25">
      <c r="A5771" t="s">
        <v>257</v>
      </c>
      <c r="B5771" t="s">
        <v>5252</v>
      </c>
      <c r="C5771" t="s">
        <v>88</v>
      </c>
      <c r="D5771" t="s">
        <v>5249</v>
      </c>
      <c r="E5771" t="s">
        <v>725</v>
      </c>
      <c r="F5771" t="s">
        <v>88</v>
      </c>
      <c r="G5771" t="s">
        <v>88</v>
      </c>
      <c r="H5771" t="s">
        <v>92</v>
      </c>
    </row>
    <row r="5772" spans="1:8" x14ac:dyDescent="0.25">
      <c r="A5772" t="s">
        <v>257</v>
      </c>
      <c r="B5772" t="s">
        <v>5253</v>
      </c>
      <c r="C5772" t="s">
        <v>88</v>
      </c>
      <c r="D5772" t="s">
        <v>5249</v>
      </c>
      <c r="E5772" t="s">
        <v>883</v>
      </c>
      <c r="F5772" t="s">
        <v>88</v>
      </c>
      <c r="G5772" t="s">
        <v>88</v>
      </c>
      <c r="H5772" t="s">
        <v>92</v>
      </c>
    </row>
    <row r="5773" spans="1:8" x14ac:dyDescent="0.25">
      <c r="A5773" t="s">
        <v>257</v>
      </c>
      <c r="B5773" t="s">
        <v>5254</v>
      </c>
      <c r="C5773" t="s">
        <v>88</v>
      </c>
      <c r="D5773" t="s">
        <v>5245</v>
      </c>
      <c r="E5773" t="s">
        <v>658</v>
      </c>
      <c r="F5773" t="s">
        <v>88</v>
      </c>
      <c r="G5773" t="s">
        <v>88</v>
      </c>
      <c r="H5773" t="s">
        <v>92</v>
      </c>
    </row>
    <row r="5774" spans="1:8" x14ac:dyDescent="0.25">
      <c r="A5774" t="s">
        <v>257</v>
      </c>
      <c r="B5774" t="s">
        <v>5255</v>
      </c>
      <c r="C5774" t="s">
        <v>88</v>
      </c>
      <c r="D5774" t="s">
        <v>5245</v>
      </c>
      <c r="E5774" t="s">
        <v>663</v>
      </c>
      <c r="F5774" t="s">
        <v>88</v>
      </c>
      <c r="G5774" t="s">
        <v>88</v>
      </c>
      <c r="H5774" t="s">
        <v>92</v>
      </c>
    </row>
    <row r="5775" spans="1:8" x14ac:dyDescent="0.25">
      <c r="A5775" t="s">
        <v>257</v>
      </c>
      <c r="B5775" t="s">
        <v>2176</v>
      </c>
      <c r="C5775" t="s">
        <v>88</v>
      </c>
      <c r="D5775" t="s">
        <v>5245</v>
      </c>
      <c r="E5775" t="s">
        <v>5256</v>
      </c>
      <c r="F5775" t="s">
        <v>88</v>
      </c>
      <c r="G5775" t="s">
        <v>88</v>
      </c>
      <c r="H5775" t="s">
        <v>92</v>
      </c>
    </row>
    <row r="5776" spans="1:8" x14ac:dyDescent="0.25">
      <c r="A5776" t="s">
        <v>257</v>
      </c>
      <c r="B5776" t="s">
        <v>2179</v>
      </c>
      <c r="C5776" t="s">
        <v>88</v>
      </c>
      <c r="D5776" t="s">
        <v>5245</v>
      </c>
      <c r="E5776" t="s">
        <v>673</v>
      </c>
      <c r="F5776" t="s">
        <v>88</v>
      </c>
      <c r="G5776" t="s">
        <v>88</v>
      </c>
      <c r="H5776" t="s">
        <v>92</v>
      </c>
    </row>
    <row r="5777" spans="1:8" x14ac:dyDescent="0.25">
      <c r="A5777" t="s">
        <v>257</v>
      </c>
      <c r="B5777" t="s">
        <v>2177</v>
      </c>
      <c r="C5777" t="s">
        <v>88</v>
      </c>
      <c r="D5777" t="s">
        <v>5245</v>
      </c>
      <c r="E5777" t="s">
        <v>725</v>
      </c>
      <c r="F5777" t="s">
        <v>88</v>
      </c>
      <c r="G5777" t="s">
        <v>88</v>
      </c>
      <c r="H5777" t="s">
        <v>92</v>
      </c>
    </row>
    <row r="5778" spans="1:8" x14ac:dyDescent="0.25">
      <c r="A5778" t="s">
        <v>257</v>
      </c>
      <c r="B5778" t="s">
        <v>5257</v>
      </c>
      <c r="C5778" t="s">
        <v>88</v>
      </c>
      <c r="D5778" t="s">
        <v>5246</v>
      </c>
      <c r="E5778" t="s">
        <v>663</v>
      </c>
      <c r="F5778" t="s">
        <v>88</v>
      </c>
      <c r="G5778" t="s">
        <v>88</v>
      </c>
      <c r="H5778" t="s">
        <v>92</v>
      </c>
    </row>
    <row r="5779" spans="1:8" x14ac:dyDescent="0.25">
      <c r="A5779" t="s">
        <v>257</v>
      </c>
      <c r="B5779" t="s">
        <v>2244</v>
      </c>
      <c r="C5779" t="s">
        <v>88</v>
      </c>
      <c r="D5779" t="s">
        <v>5246</v>
      </c>
      <c r="E5779" t="s">
        <v>883</v>
      </c>
      <c r="F5779" t="s">
        <v>88</v>
      </c>
      <c r="G5779" t="s">
        <v>88</v>
      </c>
      <c r="H5779" t="s">
        <v>92</v>
      </c>
    </row>
    <row r="5780" spans="1:8" x14ac:dyDescent="0.25">
      <c r="A5780" t="s">
        <v>257</v>
      </c>
      <c r="B5780" t="s">
        <v>5258</v>
      </c>
      <c r="C5780" t="s">
        <v>88</v>
      </c>
      <c r="D5780" t="s">
        <v>5259</v>
      </c>
      <c r="E5780" t="s">
        <v>5256</v>
      </c>
      <c r="F5780" t="s">
        <v>88</v>
      </c>
      <c r="G5780" t="s">
        <v>88</v>
      </c>
      <c r="H5780" t="s">
        <v>92</v>
      </c>
    </row>
    <row r="5781" spans="1:8" x14ac:dyDescent="0.25">
      <c r="A5781" t="s">
        <v>257</v>
      </c>
      <c r="B5781" t="s">
        <v>5260</v>
      </c>
      <c r="C5781" t="s">
        <v>88</v>
      </c>
      <c r="D5781" t="s">
        <v>5261</v>
      </c>
      <c r="E5781" t="s">
        <v>762</v>
      </c>
      <c r="F5781" t="s">
        <v>88</v>
      </c>
      <c r="G5781" t="s">
        <v>88</v>
      </c>
      <c r="H5781" t="s">
        <v>92</v>
      </c>
    </row>
    <row r="5782" spans="1:8" x14ac:dyDescent="0.25">
      <c r="A5782" t="s">
        <v>257</v>
      </c>
      <c r="B5782" t="s">
        <v>696</v>
      </c>
      <c r="C5782" t="s">
        <v>88</v>
      </c>
      <c r="D5782" t="s">
        <v>5242</v>
      </c>
      <c r="E5782" t="s">
        <v>748</v>
      </c>
      <c r="F5782" t="s">
        <v>88</v>
      </c>
      <c r="G5782" t="s">
        <v>88</v>
      </c>
      <c r="H5782" t="s">
        <v>92</v>
      </c>
    </row>
    <row r="5783" spans="1:8" x14ac:dyDescent="0.25">
      <c r="A5783" t="s">
        <v>257</v>
      </c>
      <c r="B5783" t="s">
        <v>693</v>
      </c>
      <c r="C5783" t="s">
        <v>88</v>
      </c>
      <c r="D5783" t="s">
        <v>5246</v>
      </c>
      <c r="E5783" t="s">
        <v>721</v>
      </c>
      <c r="F5783" t="s">
        <v>88</v>
      </c>
      <c r="G5783" t="s">
        <v>88</v>
      </c>
      <c r="H5783" t="s">
        <v>92</v>
      </c>
    </row>
    <row r="5784" spans="1:8" x14ac:dyDescent="0.25">
      <c r="A5784" t="s">
        <v>257</v>
      </c>
      <c r="B5784" t="s">
        <v>5262</v>
      </c>
      <c r="C5784" t="s">
        <v>88</v>
      </c>
      <c r="D5784" t="s">
        <v>5263</v>
      </c>
      <c r="E5784" t="s">
        <v>673</v>
      </c>
      <c r="F5784" t="s">
        <v>88</v>
      </c>
      <c r="G5784" t="s">
        <v>88</v>
      </c>
      <c r="H5784" t="s">
        <v>92</v>
      </c>
    </row>
    <row r="5785" spans="1:8" x14ac:dyDescent="0.25">
      <c r="A5785" t="s">
        <v>257</v>
      </c>
      <c r="B5785" t="s">
        <v>1272</v>
      </c>
      <c r="C5785" t="s">
        <v>88</v>
      </c>
      <c r="D5785" t="s">
        <v>5246</v>
      </c>
      <c r="E5785" t="s">
        <v>673</v>
      </c>
      <c r="F5785" t="s">
        <v>88</v>
      </c>
      <c r="G5785" t="s">
        <v>88</v>
      </c>
      <c r="H5785" t="s">
        <v>92</v>
      </c>
    </row>
    <row r="5786" spans="1:8" x14ac:dyDescent="0.25">
      <c r="A5786" t="s">
        <v>257</v>
      </c>
      <c r="B5786" t="s">
        <v>695</v>
      </c>
      <c r="C5786" t="s">
        <v>88</v>
      </c>
      <c r="D5786" t="s">
        <v>5264</v>
      </c>
      <c r="E5786" t="s">
        <v>673</v>
      </c>
      <c r="F5786" t="s">
        <v>88</v>
      </c>
      <c r="G5786" t="s">
        <v>88</v>
      </c>
      <c r="H5786" t="s">
        <v>92</v>
      </c>
    </row>
    <row r="5787" spans="1:8" x14ac:dyDescent="0.25">
      <c r="A5787" t="s">
        <v>257</v>
      </c>
      <c r="B5787" t="s">
        <v>4486</v>
      </c>
      <c r="C5787" t="s">
        <v>88</v>
      </c>
      <c r="D5787" t="s">
        <v>5265</v>
      </c>
      <c r="E5787" t="s">
        <v>663</v>
      </c>
      <c r="F5787" t="s">
        <v>88</v>
      </c>
      <c r="G5787" t="s">
        <v>88</v>
      </c>
      <c r="H5787" t="s">
        <v>92</v>
      </c>
    </row>
    <row r="5788" spans="1:8" x14ac:dyDescent="0.25">
      <c r="A5788" t="s">
        <v>257</v>
      </c>
      <c r="B5788" t="s">
        <v>5266</v>
      </c>
      <c r="C5788" t="s">
        <v>88</v>
      </c>
      <c r="D5788" t="s">
        <v>5267</v>
      </c>
      <c r="E5788" t="s">
        <v>673</v>
      </c>
      <c r="F5788" t="s">
        <v>88</v>
      </c>
      <c r="G5788" t="s">
        <v>88</v>
      </c>
      <c r="H5788" t="s">
        <v>92</v>
      </c>
    </row>
    <row r="5789" spans="1:8" x14ac:dyDescent="0.25">
      <c r="A5789" t="s">
        <v>257</v>
      </c>
      <c r="B5789" t="s">
        <v>5268</v>
      </c>
      <c r="C5789" t="s">
        <v>88</v>
      </c>
      <c r="D5789" t="s">
        <v>5269</v>
      </c>
      <c r="E5789" t="s">
        <v>748</v>
      </c>
      <c r="F5789" t="s">
        <v>88</v>
      </c>
      <c r="G5789" t="s">
        <v>88</v>
      </c>
      <c r="H5789" t="s">
        <v>92</v>
      </c>
    </row>
    <row r="5790" spans="1:8" x14ac:dyDescent="0.25">
      <c r="A5790" t="s">
        <v>257</v>
      </c>
      <c r="B5790" t="s">
        <v>5270</v>
      </c>
      <c r="C5790" t="s">
        <v>88</v>
      </c>
      <c r="D5790" t="s">
        <v>5271</v>
      </c>
      <c r="E5790" t="s">
        <v>717</v>
      </c>
      <c r="F5790" t="s">
        <v>88</v>
      </c>
      <c r="G5790" t="s">
        <v>88</v>
      </c>
      <c r="H5790" t="s">
        <v>92</v>
      </c>
    </row>
    <row r="5791" spans="1:8" x14ac:dyDescent="0.25">
      <c r="A5791" t="s">
        <v>257</v>
      </c>
      <c r="B5791" t="s">
        <v>5272</v>
      </c>
      <c r="C5791" t="s">
        <v>88</v>
      </c>
      <c r="D5791" t="s">
        <v>5273</v>
      </c>
      <c r="E5791" t="s">
        <v>2464</v>
      </c>
      <c r="F5791" t="s">
        <v>88</v>
      </c>
      <c r="G5791" t="s">
        <v>88</v>
      </c>
      <c r="H5791" t="s">
        <v>92</v>
      </c>
    </row>
    <row r="5792" spans="1:8" x14ac:dyDescent="0.25">
      <c r="A5792" t="s">
        <v>257</v>
      </c>
      <c r="B5792" t="s">
        <v>5274</v>
      </c>
      <c r="C5792" t="s">
        <v>88</v>
      </c>
      <c r="D5792" t="s">
        <v>5275</v>
      </c>
      <c r="E5792" t="s">
        <v>1006</v>
      </c>
      <c r="F5792" t="s">
        <v>88</v>
      </c>
      <c r="G5792" t="s">
        <v>88</v>
      </c>
      <c r="H5792" t="s">
        <v>92</v>
      </c>
    </row>
    <row r="5793" spans="1:8" x14ac:dyDescent="0.25">
      <c r="A5793" t="s">
        <v>257</v>
      </c>
      <c r="B5793" t="s">
        <v>5276</v>
      </c>
      <c r="C5793" t="s">
        <v>88</v>
      </c>
      <c r="D5793" t="s">
        <v>5277</v>
      </c>
      <c r="E5793" t="s">
        <v>760</v>
      </c>
      <c r="F5793" t="s">
        <v>88</v>
      </c>
      <c r="G5793" t="s">
        <v>88</v>
      </c>
      <c r="H5793" t="s">
        <v>92</v>
      </c>
    </row>
    <row r="5794" spans="1:8" x14ac:dyDescent="0.25">
      <c r="A5794" t="s">
        <v>257</v>
      </c>
      <c r="B5794" t="s">
        <v>5278</v>
      </c>
      <c r="C5794" t="s">
        <v>88</v>
      </c>
      <c r="D5794" t="s">
        <v>5279</v>
      </c>
      <c r="E5794" t="s">
        <v>762</v>
      </c>
      <c r="F5794" t="s">
        <v>88</v>
      </c>
      <c r="G5794" t="s">
        <v>88</v>
      </c>
      <c r="H5794" t="s">
        <v>92</v>
      </c>
    </row>
    <row r="5795" spans="1:8" x14ac:dyDescent="0.25">
      <c r="A5795" t="s">
        <v>257</v>
      </c>
      <c r="B5795" t="s">
        <v>2301</v>
      </c>
      <c r="C5795" t="s">
        <v>88</v>
      </c>
      <c r="D5795" t="s">
        <v>5280</v>
      </c>
      <c r="E5795" t="s">
        <v>692</v>
      </c>
      <c r="F5795" t="s">
        <v>88</v>
      </c>
      <c r="G5795" t="s">
        <v>88</v>
      </c>
      <c r="H5795" t="s">
        <v>92</v>
      </c>
    </row>
    <row r="5796" spans="1:8" x14ac:dyDescent="0.25">
      <c r="A5796" t="s">
        <v>257</v>
      </c>
      <c r="B5796" t="s">
        <v>594</v>
      </c>
      <c r="C5796" t="s">
        <v>88</v>
      </c>
      <c r="D5796" t="s">
        <v>5281</v>
      </c>
      <c r="E5796" t="s">
        <v>1194</v>
      </c>
      <c r="F5796" t="s">
        <v>88</v>
      </c>
      <c r="G5796" t="s">
        <v>88</v>
      </c>
      <c r="H5796" t="s">
        <v>92</v>
      </c>
    </row>
    <row r="5797" spans="1:8" x14ac:dyDescent="0.25">
      <c r="A5797" t="s">
        <v>257</v>
      </c>
      <c r="B5797" t="s">
        <v>5282</v>
      </c>
      <c r="C5797" t="s">
        <v>88</v>
      </c>
      <c r="D5797" t="s">
        <v>5283</v>
      </c>
      <c r="E5797" t="s">
        <v>2856</v>
      </c>
      <c r="F5797" t="s">
        <v>88</v>
      </c>
      <c r="G5797" t="s">
        <v>88</v>
      </c>
      <c r="H5797" t="s">
        <v>92</v>
      </c>
    </row>
    <row r="5798" spans="1:8" x14ac:dyDescent="0.25">
      <c r="A5798" t="s">
        <v>257</v>
      </c>
      <c r="B5798" t="s">
        <v>5284</v>
      </c>
      <c r="C5798" t="s">
        <v>88</v>
      </c>
      <c r="D5798" t="s">
        <v>5285</v>
      </c>
      <c r="E5798" t="s">
        <v>844</v>
      </c>
      <c r="F5798" t="s">
        <v>88</v>
      </c>
      <c r="G5798" t="s">
        <v>88</v>
      </c>
      <c r="H5798" t="s">
        <v>92</v>
      </c>
    </row>
    <row r="5799" spans="1:8" x14ac:dyDescent="0.25">
      <c r="A5799" t="s">
        <v>257</v>
      </c>
      <c r="B5799" t="s">
        <v>446</v>
      </c>
      <c r="C5799" t="s">
        <v>88</v>
      </c>
      <c r="D5799" t="s">
        <v>5286</v>
      </c>
      <c r="E5799" t="s">
        <v>820</v>
      </c>
      <c r="F5799" t="s">
        <v>88</v>
      </c>
      <c r="G5799" t="s">
        <v>88</v>
      </c>
      <c r="H5799" t="s">
        <v>92</v>
      </c>
    </row>
    <row r="5800" spans="1:8" x14ac:dyDescent="0.25">
      <c r="A5800" t="s">
        <v>257</v>
      </c>
      <c r="B5800" t="s">
        <v>583</v>
      </c>
      <c r="C5800" t="s">
        <v>88</v>
      </c>
      <c r="D5800" t="s">
        <v>5287</v>
      </c>
      <c r="E5800" t="s">
        <v>893</v>
      </c>
      <c r="F5800" t="s">
        <v>88</v>
      </c>
      <c r="G5800" t="s">
        <v>88</v>
      </c>
      <c r="H5800" t="s">
        <v>92</v>
      </c>
    </row>
    <row r="5801" spans="1:8" x14ac:dyDescent="0.25">
      <c r="A5801" t="s">
        <v>257</v>
      </c>
      <c r="B5801" t="s">
        <v>2295</v>
      </c>
      <c r="C5801" t="s">
        <v>88</v>
      </c>
      <c r="D5801" t="s">
        <v>5288</v>
      </c>
      <c r="E5801" t="s">
        <v>655</v>
      </c>
      <c r="F5801" t="s">
        <v>88</v>
      </c>
      <c r="G5801" t="s">
        <v>88</v>
      </c>
      <c r="H5801" t="s">
        <v>92</v>
      </c>
    </row>
    <row r="5802" spans="1:8" x14ac:dyDescent="0.25">
      <c r="A5802" t="s">
        <v>257</v>
      </c>
      <c r="B5802" t="s">
        <v>5289</v>
      </c>
      <c r="C5802" t="s">
        <v>88</v>
      </c>
      <c r="D5802" t="s">
        <v>5290</v>
      </c>
      <c r="E5802" t="s">
        <v>1006</v>
      </c>
      <c r="F5802" t="s">
        <v>88</v>
      </c>
      <c r="G5802" t="s">
        <v>88</v>
      </c>
      <c r="H5802" t="s">
        <v>92</v>
      </c>
    </row>
    <row r="5803" spans="1:8" x14ac:dyDescent="0.25">
      <c r="A5803" t="s">
        <v>257</v>
      </c>
      <c r="B5803" t="s">
        <v>5291</v>
      </c>
      <c r="C5803" t="s">
        <v>88</v>
      </c>
      <c r="D5803" t="s">
        <v>5292</v>
      </c>
      <c r="E5803" t="s">
        <v>3015</v>
      </c>
      <c r="F5803" t="s">
        <v>88</v>
      </c>
      <c r="G5803" t="s">
        <v>88</v>
      </c>
      <c r="H5803" t="s">
        <v>92</v>
      </c>
    </row>
    <row r="5804" spans="1:8" x14ac:dyDescent="0.25">
      <c r="A5804" t="s">
        <v>257</v>
      </c>
      <c r="B5804" t="s">
        <v>5293</v>
      </c>
      <c r="C5804" t="s">
        <v>88</v>
      </c>
      <c r="D5804" t="s">
        <v>5294</v>
      </c>
      <c r="E5804" t="s">
        <v>762</v>
      </c>
      <c r="F5804" t="s">
        <v>88</v>
      </c>
      <c r="G5804" t="s">
        <v>88</v>
      </c>
      <c r="H5804" t="s">
        <v>92</v>
      </c>
    </row>
    <row r="5805" spans="1:8" x14ac:dyDescent="0.25">
      <c r="A5805" t="s">
        <v>257</v>
      </c>
      <c r="B5805" t="s">
        <v>5295</v>
      </c>
      <c r="C5805" t="s">
        <v>88</v>
      </c>
      <c r="D5805" t="s">
        <v>5296</v>
      </c>
      <c r="E5805" t="s">
        <v>979</v>
      </c>
      <c r="F5805" t="s">
        <v>88</v>
      </c>
      <c r="G5805" t="s">
        <v>88</v>
      </c>
      <c r="H5805" t="s">
        <v>92</v>
      </c>
    </row>
    <row r="5806" spans="1:8" x14ac:dyDescent="0.25">
      <c r="A5806" t="s">
        <v>257</v>
      </c>
      <c r="B5806" t="s">
        <v>5297</v>
      </c>
      <c r="C5806" t="s">
        <v>88</v>
      </c>
      <c r="D5806" t="s">
        <v>5298</v>
      </c>
      <c r="E5806" t="s">
        <v>655</v>
      </c>
      <c r="F5806" t="s">
        <v>88</v>
      </c>
      <c r="G5806" t="s">
        <v>88</v>
      </c>
      <c r="H5806" t="s">
        <v>92</v>
      </c>
    </row>
    <row r="5807" spans="1:8" x14ac:dyDescent="0.25">
      <c r="A5807" t="s">
        <v>257</v>
      </c>
      <c r="B5807" t="s">
        <v>5299</v>
      </c>
      <c r="C5807" t="s">
        <v>88</v>
      </c>
      <c r="D5807" t="s">
        <v>5300</v>
      </c>
      <c r="E5807" t="s">
        <v>1006</v>
      </c>
      <c r="F5807" t="s">
        <v>88</v>
      </c>
      <c r="G5807" t="s">
        <v>88</v>
      </c>
      <c r="H5807" t="s">
        <v>92</v>
      </c>
    </row>
    <row r="5808" spans="1:8" x14ac:dyDescent="0.25">
      <c r="A5808" t="s">
        <v>257</v>
      </c>
      <c r="B5808" t="s">
        <v>5243</v>
      </c>
      <c r="C5808" t="s">
        <v>88</v>
      </c>
      <c r="D5808" t="s">
        <v>5244</v>
      </c>
      <c r="E5808" t="s">
        <v>1282</v>
      </c>
      <c r="F5808" t="s">
        <v>88</v>
      </c>
      <c r="G5808" t="s">
        <v>88</v>
      </c>
      <c r="H5808" t="s">
        <v>92</v>
      </c>
    </row>
    <row r="5809" spans="1:8" x14ac:dyDescent="0.25">
      <c r="A5809" t="s">
        <v>257</v>
      </c>
      <c r="B5809" t="s">
        <v>2282</v>
      </c>
      <c r="C5809" t="s">
        <v>88</v>
      </c>
      <c r="D5809" t="s">
        <v>5301</v>
      </c>
      <c r="E5809" t="s">
        <v>893</v>
      </c>
      <c r="F5809" t="s">
        <v>88</v>
      </c>
      <c r="G5809" t="s">
        <v>88</v>
      </c>
      <c r="H5809" t="s">
        <v>92</v>
      </c>
    </row>
    <row r="5810" spans="1:8" x14ac:dyDescent="0.25">
      <c r="A5810" t="s">
        <v>257</v>
      </c>
      <c r="B5810" t="s">
        <v>5302</v>
      </c>
      <c r="C5810" t="s">
        <v>88</v>
      </c>
      <c r="D5810" t="s">
        <v>5303</v>
      </c>
      <c r="E5810" t="s">
        <v>1241</v>
      </c>
      <c r="F5810" t="s">
        <v>88</v>
      </c>
      <c r="G5810" t="s">
        <v>88</v>
      </c>
      <c r="H5810" t="s">
        <v>92</v>
      </c>
    </row>
    <row r="5811" spans="1:8" x14ac:dyDescent="0.25">
      <c r="A5811" t="s">
        <v>257</v>
      </c>
      <c r="B5811" t="s">
        <v>5304</v>
      </c>
      <c r="C5811" t="s">
        <v>88</v>
      </c>
      <c r="D5811" t="s">
        <v>5305</v>
      </c>
      <c r="E5811" t="s">
        <v>717</v>
      </c>
      <c r="F5811" t="s">
        <v>88</v>
      </c>
      <c r="G5811" t="s">
        <v>88</v>
      </c>
      <c r="H5811" t="s">
        <v>92</v>
      </c>
    </row>
    <row r="5812" spans="1:8" x14ac:dyDescent="0.25">
      <c r="A5812" t="s">
        <v>257</v>
      </c>
      <c r="B5812" t="s">
        <v>2012</v>
      </c>
      <c r="C5812" t="s">
        <v>88</v>
      </c>
      <c r="D5812" t="s">
        <v>5306</v>
      </c>
      <c r="E5812" t="s">
        <v>2470</v>
      </c>
      <c r="F5812" t="s">
        <v>88</v>
      </c>
      <c r="G5812" t="s">
        <v>88</v>
      </c>
      <c r="H5812" t="s">
        <v>92</v>
      </c>
    </row>
    <row r="5813" spans="1:8" x14ac:dyDescent="0.25">
      <c r="A5813" t="s">
        <v>257</v>
      </c>
      <c r="B5813" t="s">
        <v>5307</v>
      </c>
      <c r="C5813" t="s">
        <v>88</v>
      </c>
      <c r="D5813" t="s">
        <v>5308</v>
      </c>
      <c r="E5813" t="s">
        <v>844</v>
      </c>
      <c r="F5813" t="s">
        <v>88</v>
      </c>
      <c r="G5813" t="s">
        <v>88</v>
      </c>
      <c r="H5813" t="s">
        <v>92</v>
      </c>
    </row>
    <row r="5814" spans="1:8" x14ac:dyDescent="0.25">
      <c r="A5814" t="s">
        <v>257</v>
      </c>
      <c r="B5814" t="s">
        <v>5309</v>
      </c>
      <c r="C5814" t="s">
        <v>88</v>
      </c>
      <c r="D5814" t="s">
        <v>5310</v>
      </c>
      <c r="E5814" t="s">
        <v>1006</v>
      </c>
      <c r="F5814" t="s">
        <v>88</v>
      </c>
      <c r="G5814" t="s">
        <v>88</v>
      </c>
      <c r="H5814" t="s">
        <v>92</v>
      </c>
    </row>
    <row r="5815" spans="1:8" x14ac:dyDescent="0.25">
      <c r="A5815" t="s">
        <v>257</v>
      </c>
      <c r="B5815" t="s">
        <v>5311</v>
      </c>
      <c r="C5815" t="s">
        <v>88</v>
      </c>
      <c r="D5815" t="s">
        <v>5312</v>
      </c>
      <c r="E5815" t="s">
        <v>979</v>
      </c>
      <c r="F5815" t="s">
        <v>88</v>
      </c>
      <c r="G5815" t="s">
        <v>88</v>
      </c>
      <c r="H5815" t="s">
        <v>92</v>
      </c>
    </row>
    <row r="5816" spans="1:8" x14ac:dyDescent="0.25">
      <c r="A5816" t="s">
        <v>257</v>
      </c>
      <c r="B5816" t="s">
        <v>2317</v>
      </c>
      <c r="C5816" t="s">
        <v>88</v>
      </c>
      <c r="D5816" t="s">
        <v>5313</v>
      </c>
      <c r="E5816" t="s">
        <v>893</v>
      </c>
      <c r="F5816" t="s">
        <v>88</v>
      </c>
      <c r="G5816" t="s">
        <v>88</v>
      </c>
      <c r="H5816" t="s">
        <v>92</v>
      </c>
    </row>
    <row r="5817" spans="1:8" x14ac:dyDescent="0.25">
      <c r="A5817" t="s">
        <v>257</v>
      </c>
      <c r="B5817" t="s">
        <v>5314</v>
      </c>
      <c r="C5817" t="s">
        <v>88</v>
      </c>
      <c r="D5817" t="s">
        <v>5315</v>
      </c>
      <c r="E5817" t="s">
        <v>979</v>
      </c>
      <c r="F5817" t="s">
        <v>88</v>
      </c>
      <c r="G5817" t="s">
        <v>88</v>
      </c>
      <c r="H5817" t="s">
        <v>92</v>
      </c>
    </row>
    <row r="5818" spans="1:8" x14ac:dyDescent="0.25">
      <c r="A5818" t="s">
        <v>257</v>
      </c>
      <c r="B5818" t="s">
        <v>5316</v>
      </c>
      <c r="C5818" t="s">
        <v>88</v>
      </c>
      <c r="D5818" t="s">
        <v>5317</v>
      </c>
      <c r="E5818" t="s">
        <v>1241</v>
      </c>
      <c r="F5818" t="s">
        <v>88</v>
      </c>
      <c r="G5818" t="s">
        <v>88</v>
      </c>
      <c r="H5818" t="s">
        <v>92</v>
      </c>
    </row>
    <row r="5819" spans="1:8" x14ac:dyDescent="0.25">
      <c r="A5819" t="s">
        <v>257</v>
      </c>
      <c r="B5819" t="s">
        <v>5318</v>
      </c>
      <c r="C5819" t="s">
        <v>88</v>
      </c>
      <c r="D5819" t="s">
        <v>5319</v>
      </c>
      <c r="E5819" t="s">
        <v>655</v>
      </c>
      <c r="F5819" t="s">
        <v>88</v>
      </c>
      <c r="G5819" t="s">
        <v>88</v>
      </c>
      <c r="H5819" t="s">
        <v>92</v>
      </c>
    </row>
    <row r="5820" spans="1:8" x14ac:dyDescent="0.25">
      <c r="A5820" t="s">
        <v>257</v>
      </c>
      <c r="B5820" t="s">
        <v>5320</v>
      </c>
      <c r="C5820" t="s">
        <v>88</v>
      </c>
      <c r="D5820" t="s">
        <v>5321</v>
      </c>
      <c r="E5820" t="s">
        <v>760</v>
      </c>
      <c r="F5820" t="s">
        <v>88</v>
      </c>
      <c r="G5820" t="s">
        <v>88</v>
      </c>
      <c r="H5820" t="s">
        <v>92</v>
      </c>
    </row>
    <row r="5821" spans="1:8" x14ac:dyDescent="0.25">
      <c r="A5821" t="s">
        <v>257</v>
      </c>
      <c r="B5821" t="s">
        <v>2277</v>
      </c>
      <c r="C5821" t="s">
        <v>88</v>
      </c>
      <c r="D5821" t="s">
        <v>5322</v>
      </c>
      <c r="E5821" t="s">
        <v>893</v>
      </c>
      <c r="F5821" t="s">
        <v>88</v>
      </c>
      <c r="G5821" t="s">
        <v>88</v>
      </c>
      <c r="H5821" t="s">
        <v>92</v>
      </c>
    </row>
    <row r="5822" spans="1:8" x14ac:dyDescent="0.25">
      <c r="A5822" t="s">
        <v>257</v>
      </c>
      <c r="B5822" t="s">
        <v>5323</v>
      </c>
      <c r="C5822" t="s">
        <v>88</v>
      </c>
      <c r="D5822" t="s">
        <v>5322</v>
      </c>
      <c r="E5822" t="s">
        <v>820</v>
      </c>
      <c r="F5822" t="s">
        <v>88</v>
      </c>
      <c r="G5822" t="s">
        <v>88</v>
      </c>
      <c r="H5822" t="s">
        <v>92</v>
      </c>
    </row>
    <row r="5823" spans="1:8" x14ac:dyDescent="0.25">
      <c r="A5823" t="s">
        <v>257</v>
      </c>
      <c r="B5823" t="s">
        <v>5324</v>
      </c>
      <c r="C5823" t="s">
        <v>88</v>
      </c>
      <c r="D5823" t="s">
        <v>5322</v>
      </c>
      <c r="E5823" t="s">
        <v>979</v>
      </c>
      <c r="F5823" t="s">
        <v>88</v>
      </c>
      <c r="G5823" t="s">
        <v>88</v>
      </c>
      <c r="H5823" t="s">
        <v>92</v>
      </c>
    </row>
    <row r="5824" spans="1:8" x14ac:dyDescent="0.25">
      <c r="A5824" t="s">
        <v>257</v>
      </c>
      <c r="B5824" t="s">
        <v>5325</v>
      </c>
      <c r="C5824" t="s">
        <v>88</v>
      </c>
      <c r="D5824" t="s">
        <v>5322</v>
      </c>
      <c r="E5824" t="s">
        <v>893</v>
      </c>
      <c r="F5824" t="s">
        <v>88</v>
      </c>
      <c r="G5824" t="s">
        <v>88</v>
      </c>
      <c r="H5824" t="s">
        <v>92</v>
      </c>
    </row>
    <row r="5825" spans="1:8" x14ac:dyDescent="0.25">
      <c r="A5825" t="s">
        <v>257</v>
      </c>
      <c r="B5825" t="s">
        <v>5326</v>
      </c>
      <c r="C5825" t="s">
        <v>88</v>
      </c>
      <c r="D5825" t="s">
        <v>5327</v>
      </c>
      <c r="E5825" t="s">
        <v>893</v>
      </c>
      <c r="F5825" t="s">
        <v>88</v>
      </c>
      <c r="G5825" t="s">
        <v>88</v>
      </c>
      <c r="H5825" t="s">
        <v>92</v>
      </c>
    </row>
    <row r="5826" spans="1:8" x14ac:dyDescent="0.25">
      <c r="A5826" t="s">
        <v>257</v>
      </c>
      <c r="B5826" t="s">
        <v>2311</v>
      </c>
      <c r="C5826" t="s">
        <v>88</v>
      </c>
      <c r="D5826" t="s">
        <v>5322</v>
      </c>
      <c r="E5826" t="s">
        <v>899</v>
      </c>
      <c r="F5826" t="s">
        <v>88</v>
      </c>
      <c r="G5826" t="s">
        <v>88</v>
      </c>
      <c r="H5826" t="s">
        <v>92</v>
      </c>
    </row>
    <row r="5827" spans="1:8" x14ac:dyDescent="0.25">
      <c r="A5827" t="s">
        <v>257</v>
      </c>
      <c r="B5827" t="s">
        <v>5328</v>
      </c>
      <c r="C5827" t="s">
        <v>88</v>
      </c>
      <c r="D5827" t="s">
        <v>5322</v>
      </c>
      <c r="E5827" t="s">
        <v>1282</v>
      </c>
      <c r="F5827" t="s">
        <v>88</v>
      </c>
      <c r="G5827" t="s">
        <v>88</v>
      </c>
      <c r="H5827" t="s">
        <v>92</v>
      </c>
    </row>
    <row r="5828" spans="1:8" x14ac:dyDescent="0.25">
      <c r="A5828" t="s">
        <v>257</v>
      </c>
      <c r="B5828" t="s">
        <v>5329</v>
      </c>
      <c r="C5828" t="s">
        <v>88</v>
      </c>
      <c r="D5828" t="s">
        <v>5322</v>
      </c>
      <c r="E5828" t="s">
        <v>760</v>
      </c>
      <c r="F5828" t="s">
        <v>88</v>
      </c>
      <c r="G5828" t="s">
        <v>88</v>
      </c>
      <c r="H5828" t="s">
        <v>92</v>
      </c>
    </row>
    <row r="5829" spans="1:8" x14ac:dyDescent="0.25">
      <c r="A5829" t="s">
        <v>257</v>
      </c>
      <c r="B5829" t="s">
        <v>5330</v>
      </c>
      <c r="C5829" t="s">
        <v>88</v>
      </c>
      <c r="D5829" t="s">
        <v>5322</v>
      </c>
      <c r="E5829" t="s">
        <v>676</v>
      </c>
      <c r="F5829" t="s">
        <v>88</v>
      </c>
      <c r="G5829" t="s">
        <v>88</v>
      </c>
      <c r="H5829" t="s">
        <v>92</v>
      </c>
    </row>
    <row r="5830" spans="1:8" x14ac:dyDescent="0.25">
      <c r="A5830" t="s">
        <v>257</v>
      </c>
      <c r="B5830" t="s">
        <v>5331</v>
      </c>
      <c r="C5830" t="s">
        <v>88</v>
      </c>
      <c r="D5830" t="s">
        <v>5322</v>
      </c>
      <c r="E5830" t="s">
        <v>760</v>
      </c>
      <c r="F5830" t="s">
        <v>88</v>
      </c>
      <c r="G5830" t="s">
        <v>88</v>
      </c>
      <c r="H5830" t="s">
        <v>92</v>
      </c>
    </row>
    <row r="5831" spans="1:8" x14ac:dyDescent="0.25">
      <c r="A5831" t="s">
        <v>257</v>
      </c>
      <c r="B5831" t="s">
        <v>5332</v>
      </c>
      <c r="C5831" t="s">
        <v>88</v>
      </c>
      <c r="D5831" t="s">
        <v>5322</v>
      </c>
      <c r="E5831" t="s">
        <v>1353</v>
      </c>
      <c r="F5831" t="s">
        <v>88</v>
      </c>
      <c r="G5831" t="s">
        <v>88</v>
      </c>
      <c r="H5831" t="s">
        <v>92</v>
      </c>
    </row>
    <row r="5832" spans="1:8" x14ac:dyDescent="0.25">
      <c r="A5832" t="s">
        <v>257</v>
      </c>
      <c r="B5832" t="s">
        <v>5333</v>
      </c>
      <c r="C5832" t="s">
        <v>88</v>
      </c>
      <c r="D5832" t="s">
        <v>5322</v>
      </c>
      <c r="E5832" t="s">
        <v>760</v>
      </c>
      <c r="F5832" t="s">
        <v>88</v>
      </c>
      <c r="G5832" t="s">
        <v>88</v>
      </c>
      <c r="H5832" t="s">
        <v>92</v>
      </c>
    </row>
    <row r="5833" spans="1:8" x14ac:dyDescent="0.25">
      <c r="A5833" t="s">
        <v>257</v>
      </c>
      <c r="B5833" t="s">
        <v>5334</v>
      </c>
      <c r="C5833" t="s">
        <v>88</v>
      </c>
      <c r="D5833" t="s">
        <v>5322</v>
      </c>
      <c r="E5833" t="s">
        <v>979</v>
      </c>
      <c r="F5833" t="s">
        <v>88</v>
      </c>
      <c r="G5833" t="s">
        <v>88</v>
      </c>
      <c r="H5833" t="s">
        <v>92</v>
      </c>
    </row>
    <row r="5834" spans="1:8" x14ac:dyDescent="0.25">
      <c r="A5834" t="s">
        <v>257</v>
      </c>
      <c r="B5834" t="s">
        <v>2267</v>
      </c>
      <c r="C5834" t="s">
        <v>88</v>
      </c>
      <c r="D5834" t="s">
        <v>5322</v>
      </c>
      <c r="E5834" t="s">
        <v>655</v>
      </c>
      <c r="F5834" t="s">
        <v>88</v>
      </c>
      <c r="G5834" t="s">
        <v>88</v>
      </c>
      <c r="H5834" t="s">
        <v>92</v>
      </c>
    </row>
    <row r="5835" spans="1:8" x14ac:dyDescent="0.25">
      <c r="A5835" t="s">
        <v>257</v>
      </c>
      <c r="B5835" t="s">
        <v>4113</v>
      </c>
      <c r="C5835" t="s">
        <v>88</v>
      </c>
      <c r="D5835" t="s">
        <v>5322</v>
      </c>
      <c r="E5835" t="s">
        <v>760</v>
      </c>
      <c r="F5835" t="s">
        <v>88</v>
      </c>
      <c r="G5835" t="s">
        <v>88</v>
      </c>
      <c r="H5835" t="s">
        <v>92</v>
      </c>
    </row>
    <row r="5836" spans="1:8" x14ac:dyDescent="0.25">
      <c r="A5836" t="s">
        <v>257</v>
      </c>
      <c r="B5836" t="s">
        <v>2313</v>
      </c>
      <c r="C5836" t="s">
        <v>88</v>
      </c>
      <c r="D5836" t="s">
        <v>5335</v>
      </c>
      <c r="E5836" t="s">
        <v>841</v>
      </c>
      <c r="F5836" t="s">
        <v>88</v>
      </c>
      <c r="G5836" t="s">
        <v>88</v>
      </c>
      <c r="H5836" t="s">
        <v>92</v>
      </c>
    </row>
    <row r="5837" spans="1:8" x14ac:dyDescent="0.25">
      <c r="A5837" t="s">
        <v>257</v>
      </c>
      <c r="B5837" t="s">
        <v>5336</v>
      </c>
      <c r="C5837" t="s">
        <v>88</v>
      </c>
      <c r="D5837" t="s">
        <v>5335</v>
      </c>
      <c r="E5837" t="s">
        <v>1756</v>
      </c>
      <c r="F5837" t="s">
        <v>88</v>
      </c>
      <c r="G5837" t="s">
        <v>88</v>
      </c>
      <c r="H5837" t="s">
        <v>92</v>
      </c>
    </row>
    <row r="5838" spans="1:8" x14ac:dyDescent="0.25">
      <c r="A5838" t="s">
        <v>257</v>
      </c>
      <c r="B5838" t="s">
        <v>3323</v>
      </c>
      <c r="C5838" t="s">
        <v>88</v>
      </c>
      <c r="D5838" t="s">
        <v>5335</v>
      </c>
      <c r="E5838" t="s">
        <v>1255</v>
      </c>
      <c r="F5838" t="s">
        <v>88</v>
      </c>
      <c r="G5838" t="s">
        <v>88</v>
      </c>
      <c r="H5838" t="s">
        <v>92</v>
      </c>
    </row>
    <row r="5839" spans="1:8" x14ac:dyDescent="0.25">
      <c r="A5839" t="s">
        <v>257</v>
      </c>
      <c r="B5839" t="s">
        <v>5337</v>
      </c>
      <c r="C5839" t="s">
        <v>88</v>
      </c>
      <c r="D5839" t="s">
        <v>5335</v>
      </c>
      <c r="E5839" t="s">
        <v>2833</v>
      </c>
      <c r="F5839" t="s">
        <v>88</v>
      </c>
      <c r="G5839" t="s">
        <v>88</v>
      </c>
      <c r="H5839" t="s">
        <v>92</v>
      </c>
    </row>
    <row r="5840" spans="1:8" x14ac:dyDescent="0.25">
      <c r="A5840" t="s">
        <v>257</v>
      </c>
      <c r="B5840" t="s">
        <v>5338</v>
      </c>
      <c r="C5840" t="s">
        <v>88</v>
      </c>
      <c r="D5840" t="s">
        <v>5335</v>
      </c>
      <c r="E5840" t="s">
        <v>676</v>
      </c>
      <c r="F5840" t="s">
        <v>88</v>
      </c>
      <c r="G5840" t="s">
        <v>88</v>
      </c>
      <c r="H5840" t="s">
        <v>92</v>
      </c>
    </row>
    <row r="5841" spans="1:8" x14ac:dyDescent="0.25">
      <c r="A5841" t="s">
        <v>257</v>
      </c>
      <c r="B5841" t="s">
        <v>4105</v>
      </c>
      <c r="C5841" t="s">
        <v>88</v>
      </c>
      <c r="D5841" t="s">
        <v>5335</v>
      </c>
      <c r="E5841" t="s">
        <v>964</v>
      </c>
      <c r="F5841" t="s">
        <v>88</v>
      </c>
      <c r="G5841" t="s">
        <v>88</v>
      </c>
      <c r="H5841" t="s">
        <v>92</v>
      </c>
    </row>
    <row r="5842" spans="1:8" x14ac:dyDescent="0.25">
      <c r="A5842" t="s">
        <v>257</v>
      </c>
      <c r="B5842" t="s">
        <v>5339</v>
      </c>
      <c r="C5842" t="s">
        <v>88</v>
      </c>
      <c r="D5842" t="s">
        <v>5335</v>
      </c>
      <c r="E5842" t="s">
        <v>964</v>
      </c>
      <c r="F5842" t="s">
        <v>88</v>
      </c>
      <c r="G5842" t="s">
        <v>88</v>
      </c>
      <c r="H5842" t="s">
        <v>92</v>
      </c>
    </row>
    <row r="5843" spans="1:8" x14ac:dyDescent="0.25">
      <c r="A5843" t="s">
        <v>257</v>
      </c>
      <c r="B5843" t="s">
        <v>5340</v>
      </c>
      <c r="C5843" t="s">
        <v>88</v>
      </c>
      <c r="D5843" t="s">
        <v>5335</v>
      </c>
      <c r="E5843" t="s">
        <v>964</v>
      </c>
      <c r="F5843" t="s">
        <v>88</v>
      </c>
      <c r="G5843" t="s">
        <v>88</v>
      </c>
      <c r="H5843" t="s">
        <v>92</v>
      </c>
    </row>
    <row r="5844" spans="1:8" x14ac:dyDescent="0.25">
      <c r="A5844" t="s">
        <v>257</v>
      </c>
      <c r="B5844" t="s">
        <v>768</v>
      </c>
      <c r="C5844" t="s">
        <v>88</v>
      </c>
      <c r="D5844" t="s">
        <v>5335</v>
      </c>
      <c r="E5844" t="s">
        <v>844</v>
      </c>
      <c r="F5844" t="s">
        <v>88</v>
      </c>
      <c r="G5844" t="s">
        <v>88</v>
      </c>
      <c r="H5844" t="s">
        <v>92</v>
      </c>
    </row>
    <row r="5845" spans="1:8" x14ac:dyDescent="0.25">
      <c r="A5845" t="s">
        <v>257</v>
      </c>
      <c r="B5845" t="s">
        <v>5341</v>
      </c>
      <c r="C5845" t="s">
        <v>88</v>
      </c>
      <c r="D5845" t="s">
        <v>5335</v>
      </c>
      <c r="E5845" t="s">
        <v>1680</v>
      </c>
      <c r="F5845" t="s">
        <v>88</v>
      </c>
      <c r="G5845" t="s">
        <v>88</v>
      </c>
      <c r="H5845" t="s">
        <v>92</v>
      </c>
    </row>
    <row r="5846" spans="1:8" x14ac:dyDescent="0.25">
      <c r="A5846" t="s">
        <v>257</v>
      </c>
      <c r="B5846" t="s">
        <v>5342</v>
      </c>
      <c r="C5846" t="s">
        <v>88</v>
      </c>
      <c r="D5846" t="s">
        <v>5335</v>
      </c>
      <c r="E5846" t="s">
        <v>2833</v>
      </c>
      <c r="F5846" t="s">
        <v>88</v>
      </c>
      <c r="G5846" t="s">
        <v>88</v>
      </c>
      <c r="H5846" t="s">
        <v>92</v>
      </c>
    </row>
    <row r="5847" spans="1:8" x14ac:dyDescent="0.25">
      <c r="A5847" t="s">
        <v>257</v>
      </c>
      <c r="B5847" t="s">
        <v>5343</v>
      </c>
      <c r="C5847" t="s">
        <v>88</v>
      </c>
      <c r="D5847" t="s">
        <v>5335</v>
      </c>
      <c r="E5847" t="s">
        <v>2833</v>
      </c>
      <c r="F5847" t="s">
        <v>88</v>
      </c>
      <c r="G5847" t="s">
        <v>88</v>
      </c>
      <c r="H5847" t="s">
        <v>92</v>
      </c>
    </row>
    <row r="5848" spans="1:8" x14ac:dyDescent="0.25">
      <c r="A5848" t="s">
        <v>257</v>
      </c>
      <c r="B5848" t="s">
        <v>5344</v>
      </c>
      <c r="C5848" t="s">
        <v>88</v>
      </c>
      <c r="D5848" t="s">
        <v>5335</v>
      </c>
      <c r="E5848" t="s">
        <v>2833</v>
      </c>
      <c r="F5848" t="s">
        <v>88</v>
      </c>
      <c r="G5848" t="s">
        <v>88</v>
      </c>
      <c r="H5848" t="s">
        <v>92</v>
      </c>
    </row>
    <row r="5849" spans="1:8" x14ac:dyDescent="0.25">
      <c r="A5849" t="s">
        <v>257</v>
      </c>
      <c r="B5849" t="s">
        <v>5345</v>
      </c>
      <c r="C5849" t="s">
        <v>88</v>
      </c>
      <c r="D5849" t="s">
        <v>5335</v>
      </c>
      <c r="E5849" t="s">
        <v>1680</v>
      </c>
      <c r="F5849" t="s">
        <v>88</v>
      </c>
      <c r="G5849" t="s">
        <v>88</v>
      </c>
      <c r="H5849" t="s">
        <v>92</v>
      </c>
    </row>
    <row r="5850" spans="1:8" x14ac:dyDescent="0.25">
      <c r="A5850" t="s">
        <v>257</v>
      </c>
      <c r="B5850" t="s">
        <v>5346</v>
      </c>
      <c r="C5850" t="s">
        <v>88</v>
      </c>
      <c r="D5850" t="s">
        <v>5347</v>
      </c>
      <c r="E5850" t="s">
        <v>762</v>
      </c>
      <c r="F5850" t="s">
        <v>88</v>
      </c>
      <c r="G5850" t="s">
        <v>88</v>
      </c>
      <c r="H5850" t="s">
        <v>92</v>
      </c>
    </row>
    <row r="5851" spans="1:8" x14ac:dyDescent="0.25">
      <c r="A5851" t="s">
        <v>257</v>
      </c>
      <c r="B5851" t="s">
        <v>3273</v>
      </c>
      <c r="C5851" t="s">
        <v>88</v>
      </c>
      <c r="D5851" t="s">
        <v>5348</v>
      </c>
      <c r="E5851" t="s">
        <v>717</v>
      </c>
      <c r="F5851" t="s">
        <v>88</v>
      </c>
      <c r="G5851" t="s">
        <v>88</v>
      </c>
      <c r="H5851" t="s">
        <v>92</v>
      </c>
    </row>
    <row r="5852" spans="1:8" x14ac:dyDescent="0.25">
      <c r="A5852" t="s">
        <v>257</v>
      </c>
      <c r="B5852" t="s">
        <v>5188</v>
      </c>
      <c r="C5852" t="s">
        <v>88</v>
      </c>
      <c r="D5852" t="s">
        <v>5349</v>
      </c>
      <c r="E5852" t="s">
        <v>748</v>
      </c>
      <c r="F5852" t="s">
        <v>88</v>
      </c>
      <c r="G5852" t="s">
        <v>88</v>
      </c>
      <c r="H5852" t="s">
        <v>92</v>
      </c>
    </row>
    <row r="5853" spans="1:8" x14ac:dyDescent="0.25">
      <c r="A5853" t="s">
        <v>257</v>
      </c>
      <c r="B5853" t="s">
        <v>5350</v>
      </c>
      <c r="C5853" t="s">
        <v>88</v>
      </c>
      <c r="D5853" t="s">
        <v>5351</v>
      </c>
      <c r="E5853" t="s">
        <v>1756</v>
      </c>
      <c r="F5853" t="s">
        <v>88</v>
      </c>
      <c r="G5853" t="s">
        <v>88</v>
      </c>
      <c r="H5853" t="s">
        <v>92</v>
      </c>
    </row>
    <row r="5854" spans="1:8" x14ac:dyDescent="0.25">
      <c r="A5854" t="s">
        <v>257</v>
      </c>
      <c r="B5854" t="s">
        <v>2349</v>
      </c>
      <c r="C5854" t="s">
        <v>88</v>
      </c>
      <c r="D5854" t="s">
        <v>5352</v>
      </c>
      <c r="E5854" t="s">
        <v>760</v>
      </c>
      <c r="F5854" t="s">
        <v>88</v>
      </c>
      <c r="G5854" t="s">
        <v>88</v>
      </c>
      <c r="H5854" t="s">
        <v>92</v>
      </c>
    </row>
    <row r="5855" spans="1:8" x14ac:dyDescent="0.25">
      <c r="A5855" t="s">
        <v>257</v>
      </c>
      <c r="B5855" t="s">
        <v>5353</v>
      </c>
      <c r="C5855" t="s">
        <v>88</v>
      </c>
      <c r="D5855" t="s">
        <v>5354</v>
      </c>
      <c r="E5855" t="s">
        <v>1282</v>
      </c>
      <c r="F5855" t="s">
        <v>88</v>
      </c>
      <c r="G5855" t="s">
        <v>88</v>
      </c>
      <c r="H5855" t="s">
        <v>92</v>
      </c>
    </row>
    <row r="5856" spans="1:8" x14ac:dyDescent="0.25">
      <c r="A5856" t="s">
        <v>257</v>
      </c>
      <c r="B5856" t="s">
        <v>1608</v>
      </c>
      <c r="C5856" t="s">
        <v>88</v>
      </c>
      <c r="D5856" t="s">
        <v>5355</v>
      </c>
      <c r="E5856" t="s">
        <v>883</v>
      </c>
      <c r="F5856" t="s">
        <v>88</v>
      </c>
      <c r="G5856" t="s">
        <v>88</v>
      </c>
      <c r="H5856" t="s">
        <v>92</v>
      </c>
    </row>
    <row r="5857" spans="1:8" x14ac:dyDescent="0.25">
      <c r="A5857" t="s">
        <v>257</v>
      </c>
      <c r="B5857" t="s">
        <v>1792</v>
      </c>
      <c r="C5857" t="s">
        <v>88</v>
      </c>
      <c r="D5857" t="s">
        <v>5356</v>
      </c>
      <c r="E5857" t="s">
        <v>673</v>
      </c>
      <c r="F5857" t="s">
        <v>88</v>
      </c>
      <c r="G5857" t="s">
        <v>88</v>
      </c>
      <c r="H5857" t="s">
        <v>92</v>
      </c>
    </row>
    <row r="5858" spans="1:8" x14ac:dyDescent="0.25">
      <c r="A5858" t="s">
        <v>257</v>
      </c>
      <c r="B5858" t="s">
        <v>2356</v>
      </c>
      <c r="C5858" t="s">
        <v>88</v>
      </c>
      <c r="D5858" t="s">
        <v>5357</v>
      </c>
      <c r="E5858" t="s">
        <v>3015</v>
      </c>
      <c r="F5858" t="s">
        <v>88</v>
      </c>
      <c r="G5858" t="s">
        <v>88</v>
      </c>
      <c r="H5858" t="s">
        <v>92</v>
      </c>
    </row>
    <row r="5859" spans="1:8" x14ac:dyDescent="0.25">
      <c r="A5859" t="s">
        <v>257</v>
      </c>
      <c r="B5859" t="s">
        <v>2345</v>
      </c>
      <c r="C5859" t="s">
        <v>88</v>
      </c>
      <c r="D5859" t="s">
        <v>5358</v>
      </c>
      <c r="E5859" t="s">
        <v>2470</v>
      </c>
      <c r="F5859" t="s">
        <v>88</v>
      </c>
      <c r="G5859" t="s">
        <v>88</v>
      </c>
      <c r="H5859" t="s">
        <v>92</v>
      </c>
    </row>
    <row r="5860" spans="1:8" x14ac:dyDescent="0.25">
      <c r="A5860" t="s">
        <v>257</v>
      </c>
      <c r="B5860" t="s">
        <v>5359</v>
      </c>
      <c r="C5860" t="s">
        <v>88</v>
      </c>
      <c r="D5860" t="s">
        <v>5360</v>
      </c>
      <c r="E5860" t="s">
        <v>1241</v>
      </c>
      <c r="F5860" t="s">
        <v>88</v>
      </c>
      <c r="G5860" t="s">
        <v>88</v>
      </c>
      <c r="H5860" t="s">
        <v>92</v>
      </c>
    </row>
    <row r="5861" spans="1:8" x14ac:dyDescent="0.25">
      <c r="A5861" t="s">
        <v>257</v>
      </c>
      <c r="B5861" t="s">
        <v>5361</v>
      </c>
      <c r="C5861" t="s">
        <v>88</v>
      </c>
      <c r="D5861" t="s">
        <v>5362</v>
      </c>
      <c r="E5861" t="s">
        <v>725</v>
      </c>
      <c r="F5861" t="s">
        <v>88</v>
      </c>
      <c r="G5861" t="s">
        <v>88</v>
      </c>
      <c r="H5861" t="s">
        <v>92</v>
      </c>
    </row>
    <row r="5862" spans="1:8" x14ac:dyDescent="0.25">
      <c r="A5862" t="s">
        <v>257</v>
      </c>
      <c r="B5862" t="s">
        <v>5363</v>
      </c>
      <c r="C5862" t="s">
        <v>88</v>
      </c>
      <c r="D5862" t="s">
        <v>5364</v>
      </c>
      <c r="E5862" t="s">
        <v>658</v>
      </c>
      <c r="F5862" t="s">
        <v>88</v>
      </c>
      <c r="G5862" t="s">
        <v>88</v>
      </c>
      <c r="H5862" t="s">
        <v>92</v>
      </c>
    </row>
    <row r="5863" spans="1:8" x14ac:dyDescent="0.25">
      <c r="A5863" t="s">
        <v>257</v>
      </c>
      <c r="B5863" t="s">
        <v>5365</v>
      </c>
      <c r="C5863" t="s">
        <v>88</v>
      </c>
      <c r="D5863" t="s">
        <v>5366</v>
      </c>
      <c r="E5863" t="s">
        <v>658</v>
      </c>
      <c r="F5863" t="s">
        <v>88</v>
      </c>
      <c r="G5863" t="s">
        <v>88</v>
      </c>
      <c r="H5863" t="s">
        <v>92</v>
      </c>
    </row>
    <row r="5864" spans="1:8" x14ac:dyDescent="0.25">
      <c r="A5864" t="s">
        <v>257</v>
      </c>
      <c r="B5864" t="s">
        <v>5367</v>
      </c>
      <c r="C5864" t="s">
        <v>88</v>
      </c>
      <c r="D5864" t="s">
        <v>5368</v>
      </c>
      <c r="E5864" t="s">
        <v>889</v>
      </c>
      <c r="F5864" t="s">
        <v>88</v>
      </c>
      <c r="G5864" t="s">
        <v>88</v>
      </c>
      <c r="H5864" t="s">
        <v>92</v>
      </c>
    </row>
    <row r="5865" spans="1:8" x14ac:dyDescent="0.25">
      <c r="A5865" t="s">
        <v>257</v>
      </c>
      <c r="B5865" t="s">
        <v>5369</v>
      </c>
      <c r="C5865" t="s">
        <v>88</v>
      </c>
      <c r="D5865" t="s">
        <v>5370</v>
      </c>
      <c r="E5865" t="s">
        <v>748</v>
      </c>
      <c r="F5865" t="s">
        <v>88</v>
      </c>
      <c r="G5865" t="s">
        <v>88</v>
      </c>
      <c r="H5865" t="s">
        <v>92</v>
      </c>
    </row>
    <row r="5866" spans="1:8" x14ac:dyDescent="0.25">
      <c r="A5866" t="s">
        <v>257</v>
      </c>
      <c r="B5866" t="s">
        <v>5371</v>
      </c>
      <c r="C5866" t="s">
        <v>88</v>
      </c>
      <c r="D5866" t="s">
        <v>5372</v>
      </c>
      <c r="E5866" t="s">
        <v>1241</v>
      </c>
      <c r="F5866" t="s">
        <v>88</v>
      </c>
      <c r="G5866" t="s">
        <v>88</v>
      </c>
      <c r="H5866" t="s">
        <v>92</v>
      </c>
    </row>
    <row r="5867" spans="1:8" x14ac:dyDescent="0.25">
      <c r="A5867" t="s">
        <v>257</v>
      </c>
      <c r="B5867" t="s">
        <v>3681</v>
      </c>
      <c r="C5867" t="s">
        <v>88</v>
      </c>
      <c r="D5867" t="s">
        <v>5362</v>
      </c>
      <c r="E5867" t="s">
        <v>725</v>
      </c>
      <c r="F5867" t="s">
        <v>88</v>
      </c>
      <c r="G5867" t="s">
        <v>88</v>
      </c>
      <c r="H5867" t="s">
        <v>92</v>
      </c>
    </row>
    <row r="5868" spans="1:8" x14ac:dyDescent="0.25">
      <c r="A5868" t="s">
        <v>257</v>
      </c>
      <c r="B5868" t="s">
        <v>5373</v>
      </c>
      <c r="C5868" t="s">
        <v>88</v>
      </c>
      <c r="D5868" t="s">
        <v>5374</v>
      </c>
      <c r="E5868" t="s">
        <v>893</v>
      </c>
      <c r="F5868" t="s">
        <v>88</v>
      </c>
      <c r="G5868" t="s">
        <v>88</v>
      </c>
      <c r="H5868" t="s">
        <v>92</v>
      </c>
    </row>
    <row r="5869" spans="1:8" x14ac:dyDescent="0.25">
      <c r="A5869" t="s">
        <v>257</v>
      </c>
      <c r="B5869" t="s">
        <v>1080</v>
      </c>
      <c r="C5869" t="s">
        <v>88</v>
      </c>
      <c r="D5869" t="s">
        <v>88</v>
      </c>
      <c r="E5869" t="s">
        <v>748</v>
      </c>
      <c r="F5869" t="s">
        <v>88</v>
      </c>
      <c r="G5869" t="s">
        <v>88</v>
      </c>
      <c r="H5869" t="s">
        <v>92</v>
      </c>
    </row>
    <row r="5870" spans="1:8" x14ac:dyDescent="0.25">
      <c r="A5870" t="s">
        <v>257</v>
      </c>
      <c r="B5870" t="s">
        <v>5375</v>
      </c>
      <c r="C5870" t="s">
        <v>88</v>
      </c>
      <c r="D5870" t="s">
        <v>88</v>
      </c>
      <c r="E5870" t="s">
        <v>673</v>
      </c>
      <c r="F5870" t="s">
        <v>88</v>
      </c>
      <c r="G5870" t="s">
        <v>88</v>
      </c>
      <c r="H5870" t="s">
        <v>92</v>
      </c>
    </row>
    <row r="5871" spans="1:8" x14ac:dyDescent="0.25">
      <c r="A5871" t="s">
        <v>257</v>
      </c>
      <c r="B5871" t="s">
        <v>1147</v>
      </c>
      <c r="C5871" t="s">
        <v>88</v>
      </c>
      <c r="D5871" t="s">
        <v>88</v>
      </c>
      <c r="E5871" t="s">
        <v>748</v>
      </c>
      <c r="F5871" t="s">
        <v>88</v>
      </c>
      <c r="G5871" t="s">
        <v>88</v>
      </c>
      <c r="H5871" t="s">
        <v>92</v>
      </c>
    </row>
    <row r="5872" spans="1:8" x14ac:dyDescent="0.25">
      <c r="A5872" t="s">
        <v>257</v>
      </c>
      <c r="B5872" t="s">
        <v>1127</v>
      </c>
      <c r="C5872" t="s">
        <v>88</v>
      </c>
      <c r="D5872" t="s">
        <v>88</v>
      </c>
      <c r="E5872" t="s">
        <v>700</v>
      </c>
      <c r="F5872" t="s">
        <v>88</v>
      </c>
      <c r="G5872" t="s">
        <v>88</v>
      </c>
      <c r="H5872" t="s">
        <v>92</v>
      </c>
    </row>
    <row r="5873" spans="1:8" x14ac:dyDescent="0.25">
      <c r="A5873" t="s">
        <v>257</v>
      </c>
      <c r="B5873" t="s">
        <v>5376</v>
      </c>
      <c r="C5873" t="s">
        <v>88</v>
      </c>
      <c r="D5873" t="s">
        <v>88</v>
      </c>
      <c r="E5873" t="s">
        <v>717</v>
      </c>
      <c r="F5873" t="s">
        <v>88</v>
      </c>
      <c r="G5873" t="s">
        <v>88</v>
      </c>
      <c r="H5873" t="s">
        <v>92</v>
      </c>
    </row>
    <row r="5874" spans="1:8" x14ac:dyDescent="0.25">
      <c r="A5874" t="s">
        <v>257</v>
      </c>
      <c r="B5874" t="s">
        <v>2241</v>
      </c>
      <c r="C5874" t="s">
        <v>88</v>
      </c>
      <c r="D5874" t="s">
        <v>88</v>
      </c>
      <c r="E5874" t="s">
        <v>700</v>
      </c>
      <c r="F5874" t="s">
        <v>88</v>
      </c>
      <c r="G5874" t="s">
        <v>88</v>
      </c>
      <c r="H5874" t="s">
        <v>92</v>
      </c>
    </row>
    <row r="5875" spans="1:8" x14ac:dyDescent="0.25">
      <c r="A5875" t="s">
        <v>257</v>
      </c>
      <c r="B5875" t="s">
        <v>2242</v>
      </c>
      <c r="C5875" t="s">
        <v>88</v>
      </c>
      <c r="D5875" t="s">
        <v>88</v>
      </c>
      <c r="E5875" t="s">
        <v>673</v>
      </c>
      <c r="F5875" t="s">
        <v>88</v>
      </c>
      <c r="G5875" t="s">
        <v>88</v>
      </c>
      <c r="H5875" t="s">
        <v>92</v>
      </c>
    </row>
    <row r="5876" spans="1:8" x14ac:dyDescent="0.25">
      <c r="A5876" t="s">
        <v>257</v>
      </c>
      <c r="B5876" t="s">
        <v>5377</v>
      </c>
      <c r="C5876" t="s">
        <v>88</v>
      </c>
      <c r="D5876" t="s">
        <v>88</v>
      </c>
      <c r="E5876" t="s">
        <v>748</v>
      </c>
      <c r="F5876" t="s">
        <v>88</v>
      </c>
      <c r="G5876" t="s">
        <v>88</v>
      </c>
      <c r="H5876" t="s">
        <v>92</v>
      </c>
    </row>
    <row r="5877" spans="1:8" x14ac:dyDescent="0.25">
      <c r="A5877" t="s">
        <v>257</v>
      </c>
      <c r="B5877" t="s">
        <v>5378</v>
      </c>
      <c r="C5877" t="s">
        <v>88</v>
      </c>
      <c r="D5877" t="s">
        <v>88</v>
      </c>
      <c r="E5877" t="s">
        <v>762</v>
      </c>
      <c r="F5877" t="s">
        <v>88</v>
      </c>
      <c r="G5877" t="s">
        <v>88</v>
      </c>
      <c r="H5877" t="s">
        <v>92</v>
      </c>
    </row>
    <row r="5878" spans="1:8" x14ac:dyDescent="0.25">
      <c r="A5878" t="s">
        <v>257</v>
      </c>
      <c r="B5878" t="s">
        <v>5379</v>
      </c>
      <c r="C5878" t="s">
        <v>88</v>
      </c>
      <c r="D5878" t="s">
        <v>88</v>
      </c>
      <c r="E5878" t="s">
        <v>673</v>
      </c>
      <c r="F5878" t="s">
        <v>88</v>
      </c>
      <c r="G5878" t="s">
        <v>88</v>
      </c>
      <c r="H5878" t="s">
        <v>92</v>
      </c>
    </row>
    <row r="5879" spans="1:8" x14ac:dyDescent="0.25">
      <c r="A5879" t="s">
        <v>257</v>
      </c>
      <c r="B5879" t="s">
        <v>5380</v>
      </c>
      <c r="C5879" t="s">
        <v>88</v>
      </c>
      <c r="D5879" t="s">
        <v>88</v>
      </c>
      <c r="E5879" t="s">
        <v>883</v>
      </c>
      <c r="F5879" t="s">
        <v>88</v>
      </c>
      <c r="G5879" t="s">
        <v>88</v>
      </c>
      <c r="H5879" t="s">
        <v>92</v>
      </c>
    </row>
    <row r="5880" spans="1:8" x14ac:dyDescent="0.25">
      <c r="A5880" t="s">
        <v>257</v>
      </c>
      <c r="B5880" t="s">
        <v>701</v>
      </c>
      <c r="C5880" t="s">
        <v>88</v>
      </c>
      <c r="D5880" t="s">
        <v>88</v>
      </c>
      <c r="E5880" t="s">
        <v>791</v>
      </c>
      <c r="F5880" t="s">
        <v>88</v>
      </c>
      <c r="G5880" t="s">
        <v>88</v>
      </c>
      <c r="H5880" t="s">
        <v>92</v>
      </c>
    </row>
    <row r="5881" spans="1:8" x14ac:dyDescent="0.25">
      <c r="A5881" t="s">
        <v>257</v>
      </c>
      <c r="B5881" t="s">
        <v>704</v>
      </c>
      <c r="C5881" t="s">
        <v>88</v>
      </c>
      <c r="D5881" t="s">
        <v>88</v>
      </c>
      <c r="E5881" t="s">
        <v>791</v>
      </c>
      <c r="F5881" t="s">
        <v>88</v>
      </c>
      <c r="G5881" t="s">
        <v>88</v>
      </c>
      <c r="H5881" t="s">
        <v>92</v>
      </c>
    </row>
    <row r="5882" spans="1:8" x14ac:dyDescent="0.25">
      <c r="A5882" t="s">
        <v>257</v>
      </c>
      <c r="B5882" t="s">
        <v>705</v>
      </c>
      <c r="C5882" t="s">
        <v>88</v>
      </c>
      <c r="D5882" t="s">
        <v>88</v>
      </c>
      <c r="E5882" t="s">
        <v>791</v>
      </c>
      <c r="F5882" t="s">
        <v>88</v>
      </c>
      <c r="G5882" t="s">
        <v>88</v>
      </c>
      <c r="H5882" t="s">
        <v>92</v>
      </c>
    </row>
    <row r="5883" spans="1:8" x14ac:dyDescent="0.25">
      <c r="A5883" t="s">
        <v>257</v>
      </c>
      <c r="B5883" t="s">
        <v>706</v>
      </c>
      <c r="C5883" t="s">
        <v>88</v>
      </c>
      <c r="D5883" t="s">
        <v>88</v>
      </c>
      <c r="E5883" t="s">
        <v>791</v>
      </c>
      <c r="F5883" t="s">
        <v>88</v>
      </c>
      <c r="G5883" t="s">
        <v>88</v>
      </c>
      <c r="H5883" t="s">
        <v>92</v>
      </c>
    </row>
    <row r="5884" spans="1:8" x14ac:dyDescent="0.25">
      <c r="A5884" t="s">
        <v>257</v>
      </c>
      <c r="B5884" t="s">
        <v>707</v>
      </c>
      <c r="C5884" t="s">
        <v>88</v>
      </c>
      <c r="D5884" t="s">
        <v>88</v>
      </c>
      <c r="E5884" t="s">
        <v>791</v>
      </c>
      <c r="F5884" t="s">
        <v>88</v>
      </c>
      <c r="G5884" t="s">
        <v>88</v>
      </c>
      <c r="H5884" t="s">
        <v>92</v>
      </c>
    </row>
    <row r="5885" spans="1:8" x14ac:dyDescent="0.25">
      <c r="A5885" t="s">
        <v>257</v>
      </c>
      <c r="B5885" t="s">
        <v>708</v>
      </c>
      <c r="C5885" t="s">
        <v>88</v>
      </c>
      <c r="D5885" t="s">
        <v>88</v>
      </c>
      <c r="E5885" t="s">
        <v>791</v>
      </c>
      <c r="F5885" t="s">
        <v>88</v>
      </c>
      <c r="G5885" t="s">
        <v>88</v>
      </c>
      <c r="H5885" t="s">
        <v>92</v>
      </c>
    </row>
    <row r="5886" spans="1:8" x14ac:dyDescent="0.25">
      <c r="A5886" t="s">
        <v>257</v>
      </c>
      <c r="B5886" t="s">
        <v>620</v>
      </c>
      <c r="C5886" t="s">
        <v>88</v>
      </c>
      <c r="D5886" t="s">
        <v>88</v>
      </c>
      <c r="E5886" t="s">
        <v>799</v>
      </c>
      <c r="F5886" t="s">
        <v>88</v>
      </c>
      <c r="G5886" t="s">
        <v>88</v>
      </c>
      <c r="H5886" t="s">
        <v>92</v>
      </c>
    </row>
    <row r="5887" spans="1:8" x14ac:dyDescent="0.25">
      <c r="A5887" t="s">
        <v>257</v>
      </c>
      <c r="B5887" t="s">
        <v>622</v>
      </c>
      <c r="C5887" t="s">
        <v>88</v>
      </c>
      <c r="D5887" t="s">
        <v>88</v>
      </c>
      <c r="E5887" t="s">
        <v>702</v>
      </c>
      <c r="F5887" t="s">
        <v>88</v>
      </c>
      <c r="G5887" t="s">
        <v>88</v>
      </c>
      <c r="H5887" t="s">
        <v>92</v>
      </c>
    </row>
    <row r="5888" spans="1:8" x14ac:dyDescent="0.25">
      <c r="A5888" t="s">
        <v>257</v>
      </c>
      <c r="B5888" t="s">
        <v>623</v>
      </c>
      <c r="C5888" t="s">
        <v>88</v>
      </c>
      <c r="D5888" t="s">
        <v>88</v>
      </c>
      <c r="E5888" t="s">
        <v>710</v>
      </c>
      <c r="F5888" t="s">
        <v>88</v>
      </c>
      <c r="G5888" t="s">
        <v>88</v>
      </c>
      <c r="H5888" t="s">
        <v>92</v>
      </c>
    </row>
    <row r="5889" spans="1:8" x14ac:dyDescent="0.25">
      <c r="A5889" t="s">
        <v>257</v>
      </c>
      <c r="B5889" t="s">
        <v>5381</v>
      </c>
      <c r="C5889" t="s">
        <v>88</v>
      </c>
      <c r="D5889" t="s">
        <v>88</v>
      </c>
      <c r="E5889" t="s">
        <v>2360</v>
      </c>
      <c r="F5889" t="s">
        <v>88</v>
      </c>
      <c r="G5889" t="s">
        <v>88</v>
      </c>
      <c r="H5889" t="s">
        <v>92</v>
      </c>
    </row>
    <row r="5890" spans="1:8" x14ac:dyDescent="0.25">
      <c r="A5890" t="s">
        <v>257</v>
      </c>
      <c r="B5890" t="s">
        <v>625</v>
      </c>
      <c r="C5890" t="s">
        <v>88</v>
      </c>
      <c r="D5890" t="s">
        <v>88</v>
      </c>
      <c r="E5890" t="s">
        <v>626</v>
      </c>
      <c r="F5890" t="s">
        <v>88</v>
      </c>
      <c r="G5890" t="s">
        <v>88</v>
      </c>
      <c r="H5890" t="s">
        <v>92</v>
      </c>
    </row>
    <row r="5891" spans="1:8" x14ac:dyDescent="0.25">
      <c r="A5891" t="s">
        <v>258</v>
      </c>
      <c r="B5891" t="s">
        <v>5382</v>
      </c>
      <c r="C5891" t="s">
        <v>88</v>
      </c>
      <c r="D5891" t="s">
        <v>5383</v>
      </c>
      <c r="E5891" t="s">
        <v>780</v>
      </c>
      <c r="F5891" t="s">
        <v>88</v>
      </c>
      <c r="G5891" t="s">
        <v>88</v>
      </c>
      <c r="H5891" t="s">
        <v>92</v>
      </c>
    </row>
    <row r="5892" spans="1:8" x14ac:dyDescent="0.25">
      <c r="A5892" t="s">
        <v>258</v>
      </c>
      <c r="B5892" t="s">
        <v>5384</v>
      </c>
      <c r="C5892" t="s">
        <v>88</v>
      </c>
      <c r="D5892" t="s">
        <v>5383</v>
      </c>
      <c r="E5892" t="s">
        <v>723</v>
      </c>
      <c r="F5892" t="s">
        <v>88</v>
      </c>
      <c r="G5892" t="s">
        <v>88</v>
      </c>
      <c r="H5892" t="s">
        <v>92</v>
      </c>
    </row>
    <row r="5893" spans="1:8" x14ac:dyDescent="0.25">
      <c r="A5893" t="s">
        <v>258</v>
      </c>
      <c r="B5893" t="s">
        <v>5385</v>
      </c>
      <c r="C5893" t="s">
        <v>88</v>
      </c>
      <c r="D5893" t="s">
        <v>5383</v>
      </c>
      <c r="E5893" t="s">
        <v>937</v>
      </c>
      <c r="F5893" t="s">
        <v>88</v>
      </c>
      <c r="G5893" t="s">
        <v>88</v>
      </c>
      <c r="H5893" t="s">
        <v>92</v>
      </c>
    </row>
    <row r="5894" spans="1:8" x14ac:dyDescent="0.25">
      <c r="A5894" t="s">
        <v>258</v>
      </c>
      <c r="B5894" t="s">
        <v>5386</v>
      </c>
      <c r="C5894" t="s">
        <v>88</v>
      </c>
      <c r="D5894" t="s">
        <v>5387</v>
      </c>
      <c r="E5894" t="s">
        <v>723</v>
      </c>
      <c r="F5894" t="s">
        <v>88</v>
      </c>
      <c r="G5894" t="s">
        <v>88</v>
      </c>
      <c r="H5894" t="s">
        <v>92</v>
      </c>
    </row>
    <row r="5895" spans="1:8" x14ac:dyDescent="0.25">
      <c r="A5895" t="s">
        <v>258</v>
      </c>
      <c r="B5895" t="s">
        <v>5388</v>
      </c>
      <c r="C5895" t="s">
        <v>88</v>
      </c>
      <c r="D5895" t="s">
        <v>5387</v>
      </c>
      <c r="E5895" t="s">
        <v>937</v>
      </c>
      <c r="F5895" t="s">
        <v>88</v>
      </c>
      <c r="G5895" t="s">
        <v>88</v>
      </c>
      <c r="H5895" t="s">
        <v>92</v>
      </c>
    </row>
    <row r="5896" spans="1:8" x14ac:dyDescent="0.25">
      <c r="A5896" t="s">
        <v>258</v>
      </c>
      <c r="B5896" t="s">
        <v>5389</v>
      </c>
      <c r="C5896" t="s">
        <v>88</v>
      </c>
      <c r="D5896" t="s">
        <v>5387</v>
      </c>
      <c r="E5896" t="s">
        <v>679</v>
      </c>
      <c r="F5896" t="s">
        <v>88</v>
      </c>
      <c r="G5896" t="s">
        <v>88</v>
      </c>
      <c r="H5896" t="s">
        <v>92</v>
      </c>
    </row>
    <row r="5897" spans="1:8" x14ac:dyDescent="0.25">
      <c r="A5897" t="s">
        <v>258</v>
      </c>
      <c r="B5897" t="s">
        <v>5390</v>
      </c>
      <c r="C5897" t="s">
        <v>88</v>
      </c>
      <c r="D5897" t="s">
        <v>5391</v>
      </c>
      <c r="E5897" t="s">
        <v>723</v>
      </c>
      <c r="F5897" t="s">
        <v>88</v>
      </c>
      <c r="G5897" t="s">
        <v>88</v>
      </c>
      <c r="H5897" t="s">
        <v>92</v>
      </c>
    </row>
    <row r="5898" spans="1:8" x14ac:dyDescent="0.25">
      <c r="A5898" t="s">
        <v>258</v>
      </c>
      <c r="B5898" t="s">
        <v>5392</v>
      </c>
      <c r="C5898" t="s">
        <v>88</v>
      </c>
      <c r="D5898" t="s">
        <v>5391</v>
      </c>
      <c r="E5898" t="s">
        <v>937</v>
      </c>
      <c r="F5898" t="s">
        <v>88</v>
      </c>
      <c r="G5898" t="s">
        <v>88</v>
      </c>
      <c r="H5898" t="s">
        <v>92</v>
      </c>
    </row>
    <row r="5899" spans="1:8" x14ac:dyDescent="0.25">
      <c r="A5899" t="s">
        <v>258</v>
      </c>
      <c r="B5899" t="s">
        <v>5393</v>
      </c>
      <c r="C5899" t="s">
        <v>88</v>
      </c>
      <c r="D5899" t="s">
        <v>5391</v>
      </c>
      <c r="E5899" t="s">
        <v>679</v>
      </c>
      <c r="F5899" t="s">
        <v>88</v>
      </c>
      <c r="G5899" t="s">
        <v>88</v>
      </c>
      <c r="H5899" t="s">
        <v>92</v>
      </c>
    </row>
    <row r="5900" spans="1:8" x14ac:dyDescent="0.25">
      <c r="A5900" t="s">
        <v>258</v>
      </c>
      <c r="B5900" t="s">
        <v>5394</v>
      </c>
      <c r="C5900" t="s">
        <v>88</v>
      </c>
      <c r="D5900" t="s">
        <v>5395</v>
      </c>
      <c r="E5900" t="s">
        <v>721</v>
      </c>
      <c r="F5900" t="s">
        <v>88</v>
      </c>
      <c r="G5900" t="s">
        <v>88</v>
      </c>
      <c r="H5900" t="s">
        <v>92</v>
      </c>
    </row>
    <row r="5901" spans="1:8" x14ac:dyDescent="0.25">
      <c r="A5901" t="s">
        <v>258</v>
      </c>
      <c r="B5901" t="s">
        <v>5396</v>
      </c>
      <c r="C5901" t="s">
        <v>88</v>
      </c>
      <c r="D5901" t="s">
        <v>5395</v>
      </c>
      <c r="E5901" t="s">
        <v>663</v>
      </c>
      <c r="F5901" t="s">
        <v>88</v>
      </c>
      <c r="G5901" t="s">
        <v>88</v>
      </c>
      <c r="H5901" t="s">
        <v>92</v>
      </c>
    </row>
    <row r="5902" spans="1:8" x14ac:dyDescent="0.25">
      <c r="A5902" t="s">
        <v>258</v>
      </c>
      <c r="B5902" t="s">
        <v>5397</v>
      </c>
      <c r="C5902" t="s">
        <v>88</v>
      </c>
      <c r="D5902" t="s">
        <v>5395</v>
      </c>
      <c r="E5902" t="s">
        <v>725</v>
      </c>
      <c r="F5902" t="s">
        <v>88</v>
      </c>
      <c r="G5902" t="s">
        <v>88</v>
      </c>
      <c r="H5902" t="s">
        <v>92</v>
      </c>
    </row>
    <row r="5903" spans="1:8" x14ac:dyDescent="0.25">
      <c r="A5903" t="s">
        <v>258</v>
      </c>
      <c r="B5903" t="s">
        <v>5398</v>
      </c>
      <c r="C5903" t="s">
        <v>88</v>
      </c>
      <c r="D5903" t="s">
        <v>5399</v>
      </c>
      <c r="E5903" t="s">
        <v>679</v>
      </c>
      <c r="F5903" t="s">
        <v>88</v>
      </c>
      <c r="G5903" t="s">
        <v>88</v>
      </c>
      <c r="H5903" t="s">
        <v>92</v>
      </c>
    </row>
    <row r="5904" spans="1:8" x14ac:dyDescent="0.25">
      <c r="A5904" t="s">
        <v>258</v>
      </c>
      <c r="B5904" t="s">
        <v>5400</v>
      </c>
      <c r="C5904" t="s">
        <v>88</v>
      </c>
      <c r="D5904" t="s">
        <v>5399</v>
      </c>
      <c r="E5904" t="s">
        <v>721</v>
      </c>
      <c r="F5904" t="s">
        <v>88</v>
      </c>
      <c r="G5904" t="s">
        <v>88</v>
      </c>
      <c r="H5904" t="s">
        <v>92</v>
      </c>
    </row>
    <row r="5905" spans="1:8" x14ac:dyDescent="0.25">
      <c r="A5905" t="s">
        <v>258</v>
      </c>
      <c r="B5905" t="s">
        <v>5401</v>
      </c>
      <c r="C5905" t="s">
        <v>88</v>
      </c>
      <c r="D5905" t="s">
        <v>5399</v>
      </c>
      <c r="E5905" t="s">
        <v>663</v>
      </c>
      <c r="F5905" t="s">
        <v>88</v>
      </c>
      <c r="G5905" t="s">
        <v>88</v>
      </c>
      <c r="H5905" t="s">
        <v>92</v>
      </c>
    </row>
    <row r="5906" spans="1:8" x14ac:dyDescent="0.25">
      <c r="A5906" t="s">
        <v>258</v>
      </c>
      <c r="B5906" t="s">
        <v>5402</v>
      </c>
      <c r="C5906" t="s">
        <v>88</v>
      </c>
      <c r="D5906" t="s">
        <v>5403</v>
      </c>
      <c r="E5906" t="s">
        <v>679</v>
      </c>
      <c r="F5906" t="s">
        <v>88</v>
      </c>
      <c r="G5906" t="s">
        <v>88</v>
      </c>
      <c r="H5906" t="s">
        <v>92</v>
      </c>
    </row>
    <row r="5907" spans="1:8" x14ac:dyDescent="0.25">
      <c r="A5907" t="s">
        <v>258</v>
      </c>
      <c r="B5907" t="s">
        <v>5404</v>
      </c>
      <c r="C5907" t="s">
        <v>88</v>
      </c>
      <c r="D5907" t="s">
        <v>5403</v>
      </c>
      <c r="E5907" t="s">
        <v>721</v>
      </c>
      <c r="F5907" t="s">
        <v>88</v>
      </c>
      <c r="G5907" t="s">
        <v>88</v>
      </c>
      <c r="H5907" t="s">
        <v>92</v>
      </c>
    </row>
    <row r="5908" spans="1:8" x14ac:dyDescent="0.25">
      <c r="A5908" t="s">
        <v>258</v>
      </c>
      <c r="B5908" t="s">
        <v>5405</v>
      </c>
      <c r="C5908" t="s">
        <v>88</v>
      </c>
      <c r="D5908" t="s">
        <v>5403</v>
      </c>
      <c r="E5908" t="s">
        <v>663</v>
      </c>
      <c r="F5908" t="s">
        <v>88</v>
      </c>
      <c r="G5908" t="s">
        <v>88</v>
      </c>
      <c r="H5908" t="s">
        <v>92</v>
      </c>
    </row>
    <row r="5909" spans="1:8" x14ac:dyDescent="0.25">
      <c r="A5909" t="s">
        <v>258</v>
      </c>
      <c r="B5909" t="s">
        <v>5406</v>
      </c>
      <c r="C5909" t="s">
        <v>88</v>
      </c>
      <c r="D5909" t="s">
        <v>5407</v>
      </c>
      <c r="E5909" t="s">
        <v>721</v>
      </c>
      <c r="F5909" t="s">
        <v>88</v>
      </c>
      <c r="G5909" t="s">
        <v>88</v>
      </c>
      <c r="H5909" t="s">
        <v>92</v>
      </c>
    </row>
    <row r="5910" spans="1:8" x14ac:dyDescent="0.25">
      <c r="A5910" t="s">
        <v>258</v>
      </c>
      <c r="B5910" t="s">
        <v>5408</v>
      </c>
      <c r="C5910" t="s">
        <v>88</v>
      </c>
      <c r="D5910" t="s">
        <v>5407</v>
      </c>
      <c r="E5910" t="s">
        <v>663</v>
      </c>
      <c r="F5910" t="s">
        <v>88</v>
      </c>
      <c r="G5910" t="s">
        <v>88</v>
      </c>
      <c r="H5910" t="s">
        <v>92</v>
      </c>
    </row>
    <row r="5911" spans="1:8" x14ac:dyDescent="0.25">
      <c r="A5911" t="s">
        <v>258</v>
      </c>
      <c r="B5911" t="s">
        <v>5409</v>
      </c>
      <c r="C5911" t="s">
        <v>88</v>
      </c>
      <c r="D5911" t="s">
        <v>5407</v>
      </c>
      <c r="E5911" t="s">
        <v>725</v>
      </c>
      <c r="F5911" t="s">
        <v>88</v>
      </c>
      <c r="G5911" t="s">
        <v>88</v>
      </c>
      <c r="H5911" t="s">
        <v>92</v>
      </c>
    </row>
    <row r="5912" spans="1:8" x14ac:dyDescent="0.25">
      <c r="A5912" t="s">
        <v>258</v>
      </c>
      <c r="B5912" t="s">
        <v>5410</v>
      </c>
      <c r="C5912" t="s">
        <v>88</v>
      </c>
      <c r="D5912" t="s">
        <v>5411</v>
      </c>
      <c r="E5912" t="s">
        <v>715</v>
      </c>
      <c r="F5912" t="s">
        <v>88</v>
      </c>
      <c r="G5912" t="s">
        <v>88</v>
      </c>
      <c r="H5912" t="s">
        <v>92</v>
      </c>
    </row>
    <row r="5913" spans="1:8" x14ac:dyDescent="0.25">
      <c r="A5913" t="s">
        <v>258</v>
      </c>
      <c r="B5913" t="s">
        <v>5412</v>
      </c>
      <c r="C5913" t="s">
        <v>88</v>
      </c>
      <c r="D5913" t="s">
        <v>5411</v>
      </c>
      <c r="E5913" t="s">
        <v>959</v>
      </c>
      <c r="F5913" t="s">
        <v>88</v>
      </c>
      <c r="G5913" t="s">
        <v>88</v>
      </c>
      <c r="H5913" t="s">
        <v>92</v>
      </c>
    </row>
    <row r="5914" spans="1:8" x14ac:dyDescent="0.25">
      <c r="A5914" t="s">
        <v>258</v>
      </c>
      <c r="B5914" t="s">
        <v>5413</v>
      </c>
      <c r="C5914" t="s">
        <v>88</v>
      </c>
      <c r="D5914" t="s">
        <v>5414</v>
      </c>
      <c r="E5914" t="s">
        <v>738</v>
      </c>
      <c r="F5914" t="s">
        <v>88</v>
      </c>
      <c r="G5914" t="s">
        <v>88</v>
      </c>
      <c r="H5914" t="s">
        <v>92</v>
      </c>
    </row>
    <row r="5915" spans="1:8" x14ac:dyDescent="0.25">
      <c r="A5915" t="s">
        <v>258</v>
      </c>
      <c r="B5915" t="s">
        <v>5415</v>
      </c>
      <c r="C5915" t="s">
        <v>88</v>
      </c>
      <c r="D5915" t="s">
        <v>5414</v>
      </c>
      <c r="E5915" t="s">
        <v>780</v>
      </c>
      <c r="F5915" t="s">
        <v>88</v>
      </c>
      <c r="G5915" t="s">
        <v>88</v>
      </c>
      <c r="H5915" t="s">
        <v>92</v>
      </c>
    </row>
    <row r="5916" spans="1:8" x14ac:dyDescent="0.25">
      <c r="A5916" t="s">
        <v>258</v>
      </c>
      <c r="B5916" t="s">
        <v>5416</v>
      </c>
      <c r="C5916" t="s">
        <v>88</v>
      </c>
      <c r="D5916" t="s">
        <v>5411</v>
      </c>
      <c r="E5916" t="s">
        <v>780</v>
      </c>
      <c r="F5916" t="s">
        <v>88</v>
      </c>
      <c r="G5916" t="s">
        <v>88</v>
      </c>
      <c r="H5916" t="s">
        <v>92</v>
      </c>
    </row>
    <row r="5917" spans="1:8" x14ac:dyDescent="0.25">
      <c r="A5917" t="s">
        <v>258</v>
      </c>
      <c r="B5917" t="s">
        <v>5417</v>
      </c>
      <c r="C5917" t="s">
        <v>88</v>
      </c>
      <c r="D5917" t="s">
        <v>5411</v>
      </c>
      <c r="E5917" t="s">
        <v>723</v>
      </c>
      <c r="F5917" t="s">
        <v>88</v>
      </c>
      <c r="G5917" t="s">
        <v>88</v>
      </c>
      <c r="H5917" t="s">
        <v>92</v>
      </c>
    </row>
    <row r="5918" spans="1:8" x14ac:dyDescent="0.25">
      <c r="A5918" t="s">
        <v>258</v>
      </c>
      <c r="B5918" t="s">
        <v>5418</v>
      </c>
      <c r="C5918" t="s">
        <v>88</v>
      </c>
      <c r="D5918" t="s">
        <v>5411</v>
      </c>
      <c r="E5918" t="s">
        <v>937</v>
      </c>
      <c r="F5918" t="s">
        <v>88</v>
      </c>
      <c r="G5918" t="s">
        <v>88</v>
      </c>
      <c r="H5918" t="s">
        <v>92</v>
      </c>
    </row>
    <row r="5919" spans="1:8" x14ac:dyDescent="0.25">
      <c r="A5919" t="s">
        <v>258</v>
      </c>
      <c r="B5919" t="s">
        <v>5419</v>
      </c>
      <c r="C5919" t="s">
        <v>88</v>
      </c>
      <c r="D5919" t="s">
        <v>5420</v>
      </c>
      <c r="E5919" t="s">
        <v>1377</v>
      </c>
      <c r="F5919" t="s">
        <v>88</v>
      </c>
      <c r="G5919" t="s">
        <v>88</v>
      </c>
      <c r="H5919" t="s">
        <v>92</v>
      </c>
    </row>
    <row r="5920" spans="1:8" x14ac:dyDescent="0.25">
      <c r="A5920" t="s">
        <v>258</v>
      </c>
      <c r="B5920" t="s">
        <v>5421</v>
      </c>
      <c r="C5920" t="s">
        <v>88</v>
      </c>
      <c r="D5920" t="s">
        <v>5420</v>
      </c>
      <c r="E5920" t="s">
        <v>2360</v>
      </c>
      <c r="F5920" t="s">
        <v>88</v>
      </c>
      <c r="G5920" t="s">
        <v>88</v>
      </c>
      <c r="H5920" t="s">
        <v>92</v>
      </c>
    </row>
    <row r="5921" spans="1:8" x14ac:dyDescent="0.25">
      <c r="A5921" t="s">
        <v>258</v>
      </c>
      <c r="B5921" t="s">
        <v>5422</v>
      </c>
      <c r="C5921" t="s">
        <v>88</v>
      </c>
      <c r="D5921" t="s">
        <v>5423</v>
      </c>
      <c r="E5921" t="s">
        <v>721</v>
      </c>
      <c r="F5921" t="s">
        <v>88</v>
      </c>
      <c r="G5921" t="s">
        <v>88</v>
      </c>
      <c r="H5921" t="s">
        <v>92</v>
      </c>
    </row>
    <row r="5922" spans="1:8" x14ac:dyDescent="0.25">
      <c r="A5922" t="s">
        <v>258</v>
      </c>
      <c r="B5922" t="s">
        <v>5424</v>
      </c>
      <c r="C5922" t="s">
        <v>88</v>
      </c>
      <c r="D5922" t="s">
        <v>5423</v>
      </c>
      <c r="E5922" t="s">
        <v>663</v>
      </c>
      <c r="F5922" t="s">
        <v>88</v>
      </c>
      <c r="G5922" t="s">
        <v>88</v>
      </c>
      <c r="H5922" t="s">
        <v>92</v>
      </c>
    </row>
    <row r="5923" spans="1:8" x14ac:dyDescent="0.25">
      <c r="A5923" t="s">
        <v>258</v>
      </c>
      <c r="B5923" t="s">
        <v>5425</v>
      </c>
      <c r="C5923" t="s">
        <v>88</v>
      </c>
      <c r="D5923" t="s">
        <v>5423</v>
      </c>
      <c r="E5923" t="s">
        <v>725</v>
      </c>
      <c r="F5923" t="s">
        <v>88</v>
      </c>
      <c r="G5923" t="s">
        <v>88</v>
      </c>
      <c r="H5923" t="s">
        <v>92</v>
      </c>
    </row>
    <row r="5924" spans="1:8" x14ac:dyDescent="0.25">
      <c r="A5924" t="s">
        <v>258</v>
      </c>
      <c r="B5924" t="s">
        <v>5426</v>
      </c>
      <c r="C5924" t="s">
        <v>88</v>
      </c>
      <c r="D5924" t="s">
        <v>5427</v>
      </c>
      <c r="E5924" t="s">
        <v>937</v>
      </c>
      <c r="F5924" t="s">
        <v>88</v>
      </c>
      <c r="G5924" t="s">
        <v>88</v>
      </c>
      <c r="H5924" t="s">
        <v>92</v>
      </c>
    </row>
    <row r="5925" spans="1:8" x14ac:dyDescent="0.25">
      <c r="A5925" t="s">
        <v>258</v>
      </c>
      <c r="B5925" t="s">
        <v>5428</v>
      </c>
      <c r="C5925" t="s">
        <v>88</v>
      </c>
      <c r="D5925" t="s">
        <v>5427</v>
      </c>
      <c r="E5925" t="s">
        <v>679</v>
      </c>
      <c r="F5925" t="s">
        <v>88</v>
      </c>
      <c r="G5925" t="s">
        <v>88</v>
      </c>
      <c r="H5925" t="s">
        <v>92</v>
      </c>
    </row>
    <row r="5926" spans="1:8" x14ac:dyDescent="0.25">
      <c r="A5926" t="s">
        <v>258</v>
      </c>
      <c r="B5926" t="s">
        <v>5429</v>
      </c>
      <c r="C5926" t="s">
        <v>88</v>
      </c>
      <c r="D5926" t="s">
        <v>5427</v>
      </c>
      <c r="E5926" t="s">
        <v>721</v>
      </c>
      <c r="F5926" t="s">
        <v>88</v>
      </c>
      <c r="G5926" t="s">
        <v>88</v>
      </c>
      <c r="H5926" t="s">
        <v>92</v>
      </c>
    </row>
    <row r="5927" spans="1:8" x14ac:dyDescent="0.25">
      <c r="A5927" t="s">
        <v>258</v>
      </c>
      <c r="B5927" t="s">
        <v>5430</v>
      </c>
      <c r="C5927" t="s">
        <v>88</v>
      </c>
      <c r="D5927" t="s">
        <v>5431</v>
      </c>
      <c r="E5927" t="s">
        <v>738</v>
      </c>
      <c r="F5927" t="s">
        <v>88</v>
      </c>
      <c r="G5927" t="s">
        <v>88</v>
      </c>
      <c r="H5927" t="s">
        <v>92</v>
      </c>
    </row>
    <row r="5928" spans="1:8" x14ac:dyDescent="0.25">
      <c r="A5928" t="s">
        <v>258</v>
      </c>
      <c r="B5928" t="s">
        <v>5432</v>
      </c>
      <c r="C5928" t="s">
        <v>88</v>
      </c>
      <c r="D5928" t="s">
        <v>5433</v>
      </c>
      <c r="E5928" t="s">
        <v>1323</v>
      </c>
      <c r="F5928" t="s">
        <v>88</v>
      </c>
      <c r="G5928" t="s">
        <v>88</v>
      </c>
      <c r="H5928" t="s">
        <v>92</v>
      </c>
    </row>
    <row r="5929" spans="1:8" x14ac:dyDescent="0.25">
      <c r="A5929" t="s">
        <v>258</v>
      </c>
      <c r="B5929" t="s">
        <v>5434</v>
      </c>
      <c r="C5929" t="s">
        <v>88</v>
      </c>
      <c r="D5929" t="s">
        <v>5433</v>
      </c>
      <c r="E5929" t="s">
        <v>715</v>
      </c>
      <c r="F5929" t="s">
        <v>88</v>
      </c>
      <c r="G5929" t="s">
        <v>88</v>
      </c>
      <c r="H5929" t="s">
        <v>92</v>
      </c>
    </row>
    <row r="5930" spans="1:8" x14ac:dyDescent="0.25">
      <c r="A5930" t="s">
        <v>258</v>
      </c>
      <c r="B5930" t="s">
        <v>5435</v>
      </c>
      <c r="C5930" t="s">
        <v>88</v>
      </c>
      <c r="D5930" t="s">
        <v>5433</v>
      </c>
      <c r="E5930" t="s">
        <v>959</v>
      </c>
      <c r="F5930" t="s">
        <v>88</v>
      </c>
      <c r="G5930" t="s">
        <v>88</v>
      </c>
      <c r="H5930" t="s">
        <v>92</v>
      </c>
    </row>
    <row r="5931" spans="1:8" x14ac:dyDescent="0.25">
      <c r="A5931" t="s">
        <v>258</v>
      </c>
      <c r="B5931" t="s">
        <v>5436</v>
      </c>
      <c r="C5931" t="s">
        <v>88</v>
      </c>
      <c r="D5931" t="s">
        <v>5437</v>
      </c>
      <c r="E5931" t="s">
        <v>1323</v>
      </c>
      <c r="F5931" t="s">
        <v>88</v>
      </c>
      <c r="G5931" t="s">
        <v>88</v>
      </c>
      <c r="H5931" t="s">
        <v>92</v>
      </c>
    </row>
    <row r="5932" spans="1:8" x14ac:dyDescent="0.25">
      <c r="A5932" t="s">
        <v>258</v>
      </c>
      <c r="B5932" t="s">
        <v>5438</v>
      </c>
      <c r="C5932" t="s">
        <v>88</v>
      </c>
      <c r="D5932" t="s">
        <v>5437</v>
      </c>
      <c r="E5932" t="s">
        <v>715</v>
      </c>
      <c r="F5932" t="s">
        <v>88</v>
      </c>
      <c r="G5932" t="s">
        <v>88</v>
      </c>
      <c r="H5932" t="s">
        <v>92</v>
      </c>
    </row>
    <row r="5933" spans="1:8" x14ac:dyDescent="0.25">
      <c r="A5933" t="s">
        <v>258</v>
      </c>
      <c r="B5933" t="s">
        <v>5439</v>
      </c>
      <c r="C5933" t="s">
        <v>88</v>
      </c>
      <c r="D5933" t="s">
        <v>5437</v>
      </c>
      <c r="E5933" t="s">
        <v>959</v>
      </c>
      <c r="F5933" t="s">
        <v>88</v>
      </c>
      <c r="G5933" t="s">
        <v>88</v>
      </c>
      <c r="H5933" t="s">
        <v>92</v>
      </c>
    </row>
    <row r="5934" spans="1:8" x14ac:dyDescent="0.25">
      <c r="A5934" t="s">
        <v>258</v>
      </c>
      <c r="B5934" t="s">
        <v>5440</v>
      </c>
      <c r="C5934" t="s">
        <v>88</v>
      </c>
      <c r="D5934" t="s">
        <v>5441</v>
      </c>
      <c r="E5934" t="s">
        <v>1377</v>
      </c>
      <c r="F5934" t="s">
        <v>88</v>
      </c>
      <c r="G5934" t="s">
        <v>88</v>
      </c>
      <c r="H5934" t="s">
        <v>92</v>
      </c>
    </row>
    <row r="5935" spans="1:8" x14ac:dyDescent="0.25">
      <c r="A5935" t="s">
        <v>258</v>
      </c>
      <c r="B5935" t="s">
        <v>5442</v>
      </c>
      <c r="C5935" t="s">
        <v>88</v>
      </c>
      <c r="D5935" t="s">
        <v>5441</v>
      </c>
      <c r="E5935" t="s">
        <v>2360</v>
      </c>
      <c r="F5935" t="s">
        <v>88</v>
      </c>
      <c r="G5935" t="s">
        <v>88</v>
      </c>
      <c r="H5935" t="s">
        <v>92</v>
      </c>
    </row>
    <row r="5936" spans="1:8" x14ac:dyDescent="0.25">
      <c r="A5936" t="s">
        <v>258</v>
      </c>
      <c r="B5936" t="s">
        <v>5443</v>
      </c>
      <c r="C5936" t="s">
        <v>88</v>
      </c>
      <c r="D5936" t="s">
        <v>5444</v>
      </c>
      <c r="E5936" t="s">
        <v>1377</v>
      </c>
      <c r="F5936" t="s">
        <v>88</v>
      </c>
      <c r="G5936" t="s">
        <v>88</v>
      </c>
      <c r="H5936" t="s">
        <v>92</v>
      </c>
    </row>
    <row r="5937" spans="1:8" x14ac:dyDescent="0.25">
      <c r="A5937" t="s">
        <v>258</v>
      </c>
      <c r="B5937" t="s">
        <v>5445</v>
      </c>
      <c r="C5937" t="s">
        <v>88</v>
      </c>
      <c r="D5937" t="s">
        <v>5444</v>
      </c>
      <c r="E5937" t="s">
        <v>2360</v>
      </c>
      <c r="F5937" t="s">
        <v>88</v>
      </c>
      <c r="G5937" t="s">
        <v>88</v>
      </c>
      <c r="H5937" t="s">
        <v>92</v>
      </c>
    </row>
    <row r="5938" spans="1:8" x14ac:dyDescent="0.25">
      <c r="A5938" t="s">
        <v>258</v>
      </c>
      <c r="B5938" t="s">
        <v>5446</v>
      </c>
      <c r="C5938" t="s">
        <v>88</v>
      </c>
      <c r="D5938" t="s">
        <v>5447</v>
      </c>
      <c r="E5938" t="s">
        <v>1377</v>
      </c>
      <c r="F5938" t="s">
        <v>88</v>
      </c>
      <c r="G5938" t="s">
        <v>88</v>
      </c>
      <c r="H5938" t="s">
        <v>92</v>
      </c>
    </row>
    <row r="5939" spans="1:8" x14ac:dyDescent="0.25">
      <c r="A5939" t="s">
        <v>258</v>
      </c>
      <c r="B5939" t="s">
        <v>5448</v>
      </c>
      <c r="C5939" t="s">
        <v>88</v>
      </c>
      <c r="D5939" t="s">
        <v>5447</v>
      </c>
      <c r="E5939" t="s">
        <v>2360</v>
      </c>
      <c r="F5939" t="s">
        <v>88</v>
      </c>
      <c r="G5939" t="s">
        <v>88</v>
      </c>
      <c r="H5939" t="s">
        <v>92</v>
      </c>
    </row>
    <row r="5940" spans="1:8" x14ac:dyDescent="0.25">
      <c r="A5940" t="s">
        <v>258</v>
      </c>
      <c r="B5940" t="s">
        <v>5449</v>
      </c>
      <c r="C5940" t="s">
        <v>88</v>
      </c>
      <c r="D5940" t="s">
        <v>5450</v>
      </c>
      <c r="E5940" t="s">
        <v>841</v>
      </c>
      <c r="F5940" t="s">
        <v>88</v>
      </c>
      <c r="G5940" t="s">
        <v>88</v>
      </c>
      <c r="H5940" t="s">
        <v>92</v>
      </c>
    </row>
    <row r="5941" spans="1:8" x14ac:dyDescent="0.25">
      <c r="A5941" t="s">
        <v>258</v>
      </c>
      <c r="B5941" t="s">
        <v>5451</v>
      </c>
      <c r="C5941" t="s">
        <v>88</v>
      </c>
      <c r="D5941" t="s">
        <v>5452</v>
      </c>
      <c r="E5941" t="s">
        <v>2513</v>
      </c>
      <c r="F5941" t="s">
        <v>88</v>
      </c>
      <c r="G5941" t="s">
        <v>88</v>
      </c>
      <c r="H5941" t="s">
        <v>92</v>
      </c>
    </row>
    <row r="5942" spans="1:8" x14ac:dyDescent="0.25">
      <c r="A5942" t="s">
        <v>258</v>
      </c>
      <c r="B5942" t="s">
        <v>5453</v>
      </c>
      <c r="C5942" t="s">
        <v>88</v>
      </c>
      <c r="D5942" t="s">
        <v>5454</v>
      </c>
      <c r="E5942" t="s">
        <v>1377</v>
      </c>
      <c r="F5942" t="s">
        <v>88</v>
      </c>
      <c r="G5942" t="s">
        <v>88</v>
      </c>
      <c r="H5942" t="s">
        <v>92</v>
      </c>
    </row>
    <row r="5943" spans="1:8" x14ac:dyDescent="0.25">
      <c r="A5943" t="s">
        <v>258</v>
      </c>
      <c r="B5943" t="s">
        <v>5455</v>
      </c>
      <c r="C5943" t="s">
        <v>88</v>
      </c>
      <c r="D5943" t="s">
        <v>5456</v>
      </c>
      <c r="E5943" t="s">
        <v>959</v>
      </c>
      <c r="F5943" t="s">
        <v>88</v>
      </c>
      <c r="G5943" t="s">
        <v>88</v>
      </c>
      <c r="H5943" t="s">
        <v>92</v>
      </c>
    </row>
    <row r="5944" spans="1:8" x14ac:dyDescent="0.25">
      <c r="A5944" t="s">
        <v>258</v>
      </c>
      <c r="B5944" t="s">
        <v>5457</v>
      </c>
      <c r="C5944" t="s">
        <v>88</v>
      </c>
      <c r="D5944" t="s">
        <v>5458</v>
      </c>
      <c r="E5944" t="s">
        <v>780</v>
      </c>
      <c r="F5944" t="s">
        <v>88</v>
      </c>
      <c r="G5944" t="s">
        <v>88</v>
      </c>
      <c r="H5944" t="s">
        <v>92</v>
      </c>
    </row>
    <row r="5945" spans="1:8" x14ac:dyDescent="0.25">
      <c r="A5945" t="s">
        <v>258</v>
      </c>
      <c r="B5945" t="s">
        <v>5459</v>
      </c>
      <c r="C5945" t="s">
        <v>88</v>
      </c>
      <c r="D5945" t="s">
        <v>5460</v>
      </c>
      <c r="E5945" t="s">
        <v>959</v>
      </c>
      <c r="F5945" t="s">
        <v>88</v>
      </c>
      <c r="G5945" t="s">
        <v>88</v>
      </c>
      <c r="H5945" t="s">
        <v>92</v>
      </c>
    </row>
    <row r="5946" spans="1:8" x14ac:dyDescent="0.25">
      <c r="A5946" t="s">
        <v>258</v>
      </c>
      <c r="B5946" t="s">
        <v>5461</v>
      </c>
      <c r="C5946" t="s">
        <v>88</v>
      </c>
      <c r="D5946" t="s">
        <v>5462</v>
      </c>
      <c r="E5946" t="s">
        <v>780</v>
      </c>
      <c r="F5946" t="s">
        <v>88</v>
      </c>
      <c r="G5946" t="s">
        <v>88</v>
      </c>
      <c r="H5946" t="s">
        <v>92</v>
      </c>
    </row>
    <row r="5947" spans="1:8" x14ac:dyDescent="0.25">
      <c r="A5947" t="s">
        <v>258</v>
      </c>
      <c r="B5947" t="s">
        <v>5463</v>
      </c>
      <c r="C5947" t="s">
        <v>88</v>
      </c>
      <c r="D5947" t="s">
        <v>5464</v>
      </c>
      <c r="E5947" t="s">
        <v>663</v>
      </c>
      <c r="F5947" t="s">
        <v>88</v>
      </c>
      <c r="G5947" t="s">
        <v>88</v>
      </c>
      <c r="H5947" t="s">
        <v>92</v>
      </c>
    </row>
    <row r="5948" spans="1:8" x14ac:dyDescent="0.25">
      <c r="A5948" t="s">
        <v>258</v>
      </c>
      <c r="B5948" t="s">
        <v>5465</v>
      </c>
      <c r="C5948" t="s">
        <v>88</v>
      </c>
      <c r="D5948" t="s">
        <v>5466</v>
      </c>
      <c r="E5948" t="s">
        <v>679</v>
      </c>
      <c r="F5948" t="s">
        <v>88</v>
      </c>
      <c r="G5948" t="s">
        <v>88</v>
      </c>
      <c r="H5948" t="s">
        <v>92</v>
      </c>
    </row>
    <row r="5949" spans="1:8" x14ac:dyDescent="0.25">
      <c r="A5949" t="s">
        <v>258</v>
      </c>
      <c r="B5949" t="s">
        <v>5467</v>
      </c>
      <c r="C5949" t="s">
        <v>88</v>
      </c>
      <c r="D5949" t="s">
        <v>5466</v>
      </c>
      <c r="E5949" t="s">
        <v>1221</v>
      </c>
      <c r="F5949" t="s">
        <v>88</v>
      </c>
      <c r="G5949" t="s">
        <v>88</v>
      </c>
      <c r="H5949" t="s">
        <v>92</v>
      </c>
    </row>
    <row r="5950" spans="1:8" x14ac:dyDescent="0.25">
      <c r="A5950" t="s">
        <v>258</v>
      </c>
      <c r="B5950" t="s">
        <v>5468</v>
      </c>
      <c r="C5950" t="s">
        <v>88</v>
      </c>
      <c r="D5950" t="s">
        <v>5469</v>
      </c>
      <c r="E5950" t="s">
        <v>679</v>
      </c>
      <c r="F5950" t="s">
        <v>88</v>
      </c>
      <c r="G5950" t="s">
        <v>88</v>
      </c>
      <c r="H5950" t="s">
        <v>92</v>
      </c>
    </row>
    <row r="5951" spans="1:8" x14ac:dyDescent="0.25">
      <c r="A5951" t="s">
        <v>258</v>
      </c>
      <c r="B5951" t="s">
        <v>5470</v>
      </c>
      <c r="C5951" t="s">
        <v>88</v>
      </c>
      <c r="D5951" t="s">
        <v>5469</v>
      </c>
      <c r="E5951" t="s">
        <v>1221</v>
      </c>
      <c r="F5951" t="s">
        <v>88</v>
      </c>
      <c r="G5951" t="s">
        <v>88</v>
      </c>
      <c r="H5951" t="s">
        <v>92</v>
      </c>
    </row>
    <row r="5952" spans="1:8" x14ac:dyDescent="0.25">
      <c r="A5952" t="s">
        <v>258</v>
      </c>
      <c r="B5952" t="s">
        <v>5471</v>
      </c>
      <c r="C5952" t="s">
        <v>88</v>
      </c>
      <c r="D5952" t="s">
        <v>5472</v>
      </c>
      <c r="E5952" t="s">
        <v>679</v>
      </c>
      <c r="F5952" t="s">
        <v>88</v>
      </c>
      <c r="G5952" t="s">
        <v>88</v>
      </c>
      <c r="H5952" t="s">
        <v>92</v>
      </c>
    </row>
    <row r="5953" spans="1:8" x14ac:dyDescent="0.25">
      <c r="A5953" t="s">
        <v>258</v>
      </c>
      <c r="B5953" t="s">
        <v>5473</v>
      </c>
      <c r="C5953" t="s">
        <v>88</v>
      </c>
      <c r="D5953" t="s">
        <v>5472</v>
      </c>
      <c r="E5953" t="s">
        <v>1221</v>
      </c>
      <c r="F5953" t="s">
        <v>88</v>
      </c>
      <c r="G5953" t="s">
        <v>88</v>
      </c>
      <c r="H5953" t="s">
        <v>92</v>
      </c>
    </row>
    <row r="5954" spans="1:8" x14ac:dyDescent="0.25">
      <c r="A5954" t="s">
        <v>258</v>
      </c>
      <c r="B5954" t="s">
        <v>5474</v>
      </c>
      <c r="C5954" t="s">
        <v>88</v>
      </c>
      <c r="D5954" t="s">
        <v>5475</v>
      </c>
      <c r="E5954" t="s">
        <v>679</v>
      </c>
      <c r="F5954" t="s">
        <v>88</v>
      </c>
      <c r="G5954" t="s">
        <v>88</v>
      </c>
      <c r="H5954" t="s">
        <v>92</v>
      </c>
    </row>
    <row r="5955" spans="1:8" x14ac:dyDescent="0.25">
      <c r="A5955" t="s">
        <v>258</v>
      </c>
      <c r="B5955" t="s">
        <v>5476</v>
      </c>
      <c r="C5955" t="s">
        <v>88</v>
      </c>
      <c r="D5955" t="s">
        <v>5475</v>
      </c>
      <c r="E5955" t="s">
        <v>1221</v>
      </c>
      <c r="F5955" t="s">
        <v>88</v>
      </c>
      <c r="G5955" t="s">
        <v>88</v>
      </c>
      <c r="H5955" t="s">
        <v>92</v>
      </c>
    </row>
    <row r="5956" spans="1:8" x14ac:dyDescent="0.25">
      <c r="A5956" t="s">
        <v>258</v>
      </c>
      <c r="B5956" t="s">
        <v>5477</v>
      </c>
      <c r="C5956" t="s">
        <v>88</v>
      </c>
      <c r="D5956" t="s">
        <v>5478</v>
      </c>
      <c r="E5956" t="s">
        <v>679</v>
      </c>
      <c r="F5956" t="s">
        <v>88</v>
      </c>
      <c r="G5956" t="s">
        <v>88</v>
      </c>
      <c r="H5956" t="s">
        <v>92</v>
      </c>
    </row>
    <row r="5957" spans="1:8" x14ac:dyDescent="0.25">
      <c r="A5957" t="s">
        <v>258</v>
      </c>
      <c r="B5957" t="s">
        <v>5479</v>
      </c>
      <c r="C5957" t="s">
        <v>88</v>
      </c>
      <c r="D5957" t="s">
        <v>5478</v>
      </c>
      <c r="E5957" t="s">
        <v>1221</v>
      </c>
      <c r="F5957" t="s">
        <v>88</v>
      </c>
      <c r="G5957" t="s">
        <v>88</v>
      </c>
      <c r="H5957" t="s">
        <v>92</v>
      </c>
    </row>
    <row r="5958" spans="1:8" x14ac:dyDescent="0.25">
      <c r="A5958" t="s">
        <v>258</v>
      </c>
      <c r="B5958" t="s">
        <v>5480</v>
      </c>
      <c r="C5958" t="s">
        <v>88</v>
      </c>
      <c r="D5958" t="s">
        <v>5481</v>
      </c>
      <c r="E5958" t="s">
        <v>679</v>
      </c>
      <c r="F5958" t="s">
        <v>88</v>
      </c>
      <c r="G5958" t="s">
        <v>88</v>
      </c>
      <c r="H5958" t="s">
        <v>92</v>
      </c>
    </row>
    <row r="5959" spans="1:8" x14ac:dyDescent="0.25">
      <c r="A5959" t="s">
        <v>258</v>
      </c>
      <c r="B5959" t="s">
        <v>5482</v>
      </c>
      <c r="C5959" t="s">
        <v>88</v>
      </c>
      <c r="D5959" t="s">
        <v>5481</v>
      </c>
      <c r="E5959" t="s">
        <v>721</v>
      </c>
      <c r="F5959" t="s">
        <v>88</v>
      </c>
      <c r="G5959" t="s">
        <v>88</v>
      </c>
      <c r="H5959" t="s">
        <v>92</v>
      </c>
    </row>
    <row r="5960" spans="1:8" x14ac:dyDescent="0.25">
      <c r="A5960" t="s">
        <v>258</v>
      </c>
      <c r="B5960" t="s">
        <v>5483</v>
      </c>
      <c r="C5960" t="s">
        <v>88</v>
      </c>
      <c r="D5960" t="s">
        <v>5481</v>
      </c>
      <c r="E5960" t="s">
        <v>663</v>
      </c>
      <c r="F5960" t="s">
        <v>88</v>
      </c>
      <c r="G5960" t="s">
        <v>88</v>
      </c>
      <c r="H5960" t="s">
        <v>92</v>
      </c>
    </row>
    <row r="5961" spans="1:8" x14ac:dyDescent="0.25">
      <c r="A5961" t="s">
        <v>258</v>
      </c>
      <c r="B5961" t="s">
        <v>5484</v>
      </c>
      <c r="C5961" t="s">
        <v>88</v>
      </c>
      <c r="D5961" t="s">
        <v>5485</v>
      </c>
      <c r="E5961" t="s">
        <v>679</v>
      </c>
      <c r="F5961" t="s">
        <v>88</v>
      </c>
      <c r="G5961" t="s">
        <v>88</v>
      </c>
      <c r="H5961" t="s">
        <v>92</v>
      </c>
    </row>
    <row r="5962" spans="1:8" x14ac:dyDescent="0.25">
      <c r="A5962" t="s">
        <v>258</v>
      </c>
      <c r="B5962" t="s">
        <v>5486</v>
      </c>
      <c r="C5962" t="s">
        <v>88</v>
      </c>
      <c r="D5962" t="s">
        <v>5485</v>
      </c>
      <c r="E5962" t="s">
        <v>721</v>
      </c>
      <c r="F5962" t="s">
        <v>88</v>
      </c>
      <c r="G5962" t="s">
        <v>88</v>
      </c>
      <c r="H5962" t="s">
        <v>92</v>
      </c>
    </row>
    <row r="5963" spans="1:8" x14ac:dyDescent="0.25">
      <c r="A5963" t="s">
        <v>258</v>
      </c>
      <c r="B5963" t="s">
        <v>5487</v>
      </c>
      <c r="C5963" t="s">
        <v>88</v>
      </c>
      <c r="D5963" t="s">
        <v>5485</v>
      </c>
      <c r="E5963" t="s">
        <v>663</v>
      </c>
      <c r="F5963" t="s">
        <v>88</v>
      </c>
      <c r="G5963" t="s">
        <v>88</v>
      </c>
      <c r="H5963" t="s">
        <v>92</v>
      </c>
    </row>
    <row r="5964" spans="1:8" x14ac:dyDescent="0.25">
      <c r="A5964" t="s">
        <v>258</v>
      </c>
      <c r="B5964" t="s">
        <v>5488</v>
      </c>
      <c r="C5964" t="s">
        <v>88</v>
      </c>
      <c r="D5964" t="s">
        <v>5489</v>
      </c>
      <c r="E5964" t="s">
        <v>679</v>
      </c>
      <c r="F5964" t="s">
        <v>88</v>
      </c>
      <c r="G5964" t="s">
        <v>88</v>
      </c>
      <c r="H5964" t="s">
        <v>92</v>
      </c>
    </row>
    <row r="5965" spans="1:8" x14ac:dyDescent="0.25">
      <c r="A5965" t="s">
        <v>258</v>
      </c>
      <c r="B5965" t="s">
        <v>5490</v>
      </c>
      <c r="C5965" t="s">
        <v>88</v>
      </c>
      <c r="D5965" t="s">
        <v>5489</v>
      </c>
      <c r="E5965" t="s">
        <v>721</v>
      </c>
      <c r="F5965" t="s">
        <v>88</v>
      </c>
      <c r="G5965" t="s">
        <v>88</v>
      </c>
      <c r="H5965" t="s">
        <v>92</v>
      </c>
    </row>
    <row r="5966" spans="1:8" x14ac:dyDescent="0.25">
      <c r="A5966" t="s">
        <v>258</v>
      </c>
      <c r="B5966" t="s">
        <v>5491</v>
      </c>
      <c r="C5966" t="s">
        <v>88</v>
      </c>
      <c r="D5966" t="s">
        <v>5489</v>
      </c>
      <c r="E5966" t="s">
        <v>663</v>
      </c>
      <c r="F5966" t="s">
        <v>88</v>
      </c>
      <c r="G5966" t="s">
        <v>88</v>
      </c>
      <c r="H5966" t="s">
        <v>92</v>
      </c>
    </row>
    <row r="5967" spans="1:8" x14ac:dyDescent="0.25">
      <c r="A5967" t="s">
        <v>258</v>
      </c>
      <c r="B5967" t="s">
        <v>5492</v>
      </c>
      <c r="C5967" t="s">
        <v>88</v>
      </c>
      <c r="D5967" t="s">
        <v>5493</v>
      </c>
      <c r="E5967" t="s">
        <v>1971</v>
      </c>
      <c r="F5967" t="s">
        <v>88</v>
      </c>
      <c r="G5967" t="s">
        <v>88</v>
      </c>
      <c r="H5967" t="s">
        <v>92</v>
      </c>
    </row>
    <row r="5968" spans="1:8" x14ac:dyDescent="0.25">
      <c r="A5968" t="s">
        <v>258</v>
      </c>
      <c r="B5968" t="s">
        <v>5494</v>
      </c>
      <c r="C5968" t="s">
        <v>88</v>
      </c>
      <c r="D5968" t="s">
        <v>5493</v>
      </c>
      <c r="E5968" t="s">
        <v>2478</v>
      </c>
      <c r="F5968" t="s">
        <v>88</v>
      </c>
      <c r="G5968" t="s">
        <v>88</v>
      </c>
      <c r="H5968" t="s">
        <v>92</v>
      </c>
    </row>
    <row r="5969" spans="1:8" x14ac:dyDescent="0.25">
      <c r="A5969" t="s">
        <v>258</v>
      </c>
      <c r="B5969" t="s">
        <v>5495</v>
      </c>
      <c r="C5969" t="s">
        <v>88</v>
      </c>
      <c r="D5969" t="s">
        <v>5496</v>
      </c>
      <c r="E5969" t="s">
        <v>663</v>
      </c>
      <c r="F5969" t="s">
        <v>88</v>
      </c>
      <c r="G5969" t="s">
        <v>88</v>
      </c>
      <c r="H5969" t="s">
        <v>92</v>
      </c>
    </row>
    <row r="5970" spans="1:8" x14ac:dyDescent="0.25">
      <c r="A5970" t="s">
        <v>258</v>
      </c>
      <c r="B5970" t="s">
        <v>5497</v>
      </c>
      <c r="C5970" t="s">
        <v>88</v>
      </c>
      <c r="D5970" t="s">
        <v>5496</v>
      </c>
      <c r="E5970" t="s">
        <v>725</v>
      </c>
      <c r="F5970" t="s">
        <v>88</v>
      </c>
      <c r="G5970" t="s">
        <v>88</v>
      </c>
      <c r="H5970" t="s">
        <v>92</v>
      </c>
    </row>
    <row r="5971" spans="1:8" x14ac:dyDescent="0.25">
      <c r="A5971" t="s">
        <v>258</v>
      </c>
      <c r="B5971" t="s">
        <v>5498</v>
      </c>
      <c r="C5971" t="s">
        <v>88</v>
      </c>
      <c r="D5971" t="s">
        <v>5499</v>
      </c>
      <c r="E5971" t="s">
        <v>723</v>
      </c>
      <c r="F5971" t="s">
        <v>88</v>
      </c>
      <c r="G5971" t="s">
        <v>88</v>
      </c>
      <c r="H5971" t="s">
        <v>92</v>
      </c>
    </row>
    <row r="5972" spans="1:8" x14ac:dyDescent="0.25">
      <c r="A5972" t="s">
        <v>258</v>
      </c>
      <c r="B5972" t="s">
        <v>5500</v>
      </c>
      <c r="C5972" t="s">
        <v>88</v>
      </c>
      <c r="D5972" t="s">
        <v>5499</v>
      </c>
      <c r="E5972" t="s">
        <v>937</v>
      </c>
      <c r="F5972" t="s">
        <v>88</v>
      </c>
      <c r="G5972" t="s">
        <v>88</v>
      </c>
      <c r="H5972" t="s">
        <v>92</v>
      </c>
    </row>
    <row r="5973" spans="1:8" x14ac:dyDescent="0.25">
      <c r="A5973" t="s">
        <v>258</v>
      </c>
      <c r="B5973" t="s">
        <v>5501</v>
      </c>
      <c r="C5973" t="s">
        <v>88</v>
      </c>
      <c r="D5973" t="s">
        <v>5502</v>
      </c>
      <c r="E5973" t="s">
        <v>1971</v>
      </c>
      <c r="F5973" t="s">
        <v>88</v>
      </c>
      <c r="G5973" t="s">
        <v>88</v>
      </c>
      <c r="H5973" t="s">
        <v>92</v>
      </c>
    </row>
    <row r="5974" spans="1:8" x14ac:dyDescent="0.25">
      <c r="A5974" t="s">
        <v>258</v>
      </c>
      <c r="B5974" t="s">
        <v>5503</v>
      </c>
      <c r="C5974" t="s">
        <v>88</v>
      </c>
      <c r="D5974" t="s">
        <v>5502</v>
      </c>
      <c r="E5974" t="s">
        <v>2478</v>
      </c>
      <c r="F5974" t="s">
        <v>88</v>
      </c>
      <c r="G5974" t="s">
        <v>88</v>
      </c>
      <c r="H5974" t="s">
        <v>92</v>
      </c>
    </row>
    <row r="5975" spans="1:8" x14ac:dyDescent="0.25">
      <c r="A5975" t="s">
        <v>258</v>
      </c>
      <c r="B5975" t="s">
        <v>5504</v>
      </c>
      <c r="C5975" t="s">
        <v>88</v>
      </c>
      <c r="D5975" t="s">
        <v>5502</v>
      </c>
      <c r="E5975" t="s">
        <v>2481</v>
      </c>
      <c r="F5975" t="s">
        <v>88</v>
      </c>
      <c r="G5975" t="s">
        <v>88</v>
      </c>
      <c r="H5975" t="s">
        <v>92</v>
      </c>
    </row>
    <row r="5976" spans="1:8" x14ac:dyDescent="0.25">
      <c r="A5976" t="s">
        <v>258</v>
      </c>
      <c r="B5976" t="s">
        <v>5505</v>
      </c>
      <c r="C5976" t="s">
        <v>88</v>
      </c>
      <c r="D5976" t="s">
        <v>5506</v>
      </c>
      <c r="E5976" t="s">
        <v>2478</v>
      </c>
      <c r="F5976" t="s">
        <v>88</v>
      </c>
      <c r="G5976" t="s">
        <v>88</v>
      </c>
      <c r="H5976" t="s">
        <v>92</v>
      </c>
    </row>
    <row r="5977" spans="1:8" x14ac:dyDescent="0.25">
      <c r="A5977" t="s">
        <v>258</v>
      </c>
      <c r="B5977" t="s">
        <v>5507</v>
      </c>
      <c r="C5977" t="s">
        <v>88</v>
      </c>
      <c r="D5977" t="s">
        <v>5506</v>
      </c>
      <c r="E5977" t="s">
        <v>2481</v>
      </c>
      <c r="F5977" t="s">
        <v>88</v>
      </c>
      <c r="G5977" t="s">
        <v>88</v>
      </c>
      <c r="H5977" t="s">
        <v>92</v>
      </c>
    </row>
    <row r="5978" spans="1:8" x14ac:dyDescent="0.25">
      <c r="A5978" t="s">
        <v>258</v>
      </c>
      <c r="B5978" t="s">
        <v>5508</v>
      </c>
      <c r="C5978" t="s">
        <v>88</v>
      </c>
      <c r="D5978" t="s">
        <v>5509</v>
      </c>
      <c r="E5978" t="s">
        <v>725</v>
      </c>
      <c r="F5978" t="s">
        <v>88</v>
      </c>
      <c r="G5978" t="s">
        <v>88</v>
      </c>
      <c r="H5978" t="s">
        <v>92</v>
      </c>
    </row>
    <row r="5979" spans="1:8" x14ac:dyDescent="0.25">
      <c r="A5979" t="s">
        <v>258</v>
      </c>
      <c r="B5979" t="s">
        <v>5510</v>
      </c>
      <c r="C5979" t="s">
        <v>88</v>
      </c>
      <c r="D5979" t="s">
        <v>5509</v>
      </c>
      <c r="E5979" t="s">
        <v>658</v>
      </c>
      <c r="F5979" t="s">
        <v>88</v>
      </c>
      <c r="G5979" t="s">
        <v>88</v>
      </c>
      <c r="H5979" t="s">
        <v>92</v>
      </c>
    </row>
    <row r="5980" spans="1:8" x14ac:dyDescent="0.25">
      <c r="A5980" t="s">
        <v>258</v>
      </c>
      <c r="B5980" t="s">
        <v>5511</v>
      </c>
      <c r="C5980" t="s">
        <v>88</v>
      </c>
      <c r="D5980" t="s">
        <v>5512</v>
      </c>
      <c r="E5980" t="s">
        <v>2481</v>
      </c>
      <c r="F5980" t="s">
        <v>88</v>
      </c>
      <c r="G5980" t="s">
        <v>88</v>
      </c>
      <c r="H5980" t="s">
        <v>92</v>
      </c>
    </row>
    <row r="5981" spans="1:8" x14ac:dyDescent="0.25">
      <c r="A5981" t="s">
        <v>258</v>
      </c>
      <c r="B5981" t="s">
        <v>5513</v>
      </c>
      <c r="C5981" t="s">
        <v>88</v>
      </c>
      <c r="D5981" t="s">
        <v>5514</v>
      </c>
      <c r="E5981" t="s">
        <v>1139</v>
      </c>
      <c r="F5981" t="s">
        <v>88</v>
      </c>
      <c r="G5981" t="s">
        <v>88</v>
      </c>
      <c r="H5981" t="s">
        <v>92</v>
      </c>
    </row>
    <row r="5982" spans="1:8" x14ac:dyDescent="0.25">
      <c r="A5982" t="s">
        <v>258</v>
      </c>
      <c r="B5982" t="s">
        <v>5515</v>
      </c>
      <c r="C5982" t="s">
        <v>88</v>
      </c>
      <c r="D5982" t="s">
        <v>5516</v>
      </c>
      <c r="E5982" t="s">
        <v>1139</v>
      </c>
      <c r="F5982" t="s">
        <v>88</v>
      </c>
      <c r="G5982" t="s">
        <v>88</v>
      </c>
      <c r="H5982" t="s">
        <v>92</v>
      </c>
    </row>
    <row r="5983" spans="1:8" x14ac:dyDescent="0.25">
      <c r="A5983" t="s">
        <v>258</v>
      </c>
      <c r="B5983" t="s">
        <v>5517</v>
      </c>
      <c r="C5983" t="s">
        <v>88</v>
      </c>
      <c r="D5983" t="s">
        <v>5518</v>
      </c>
      <c r="E5983" t="s">
        <v>1139</v>
      </c>
      <c r="F5983" t="s">
        <v>88</v>
      </c>
      <c r="G5983" t="s">
        <v>88</v>
      </c>
      <c r="H5983" t="s">
        <v>92</v>
      </c>
    </row>
    <row r="5984" spans="1:8" x14ac:dyDescent="0.25">
      <c r="A5984" t="s">
        <v>258</v>
      </c>
      <c r="B5984" t="s">
        <v>5519</v>
      </c>
      <c r="C5984" t="s">
        <v>88</v>
      </c>
      <c r="D5984" t="s">
        <v>5520</v>
      </c>
      <c r="E5984" t="s">
        <v>679</v>
      </c>
      <c r="F5984" t="s">
        <v>88</v>
      </c>
      <c r="G5984" t="s">
        <v>88</v>
      </c>
      <c r="H5984" t="s">
        <v>92</v>
      </c>
    </row>
    <row r="5985" spans="1:8" x14ac:dyDescent="0.25">
      <c r="A5985" t="s">
        <v>258</v>
      </c>
      <c r="B5985" t="s">
        <v>5521</v>
      </c>
      <c r="C5985" t="s">
        <v>88</v>
      </c>
      <c r="D5985" t="s">
        <v>5520</v>
      </c>
      <c r="E5985" t="s">
        <v>721</v>
      </c>
      <c r="F5985" t="s">
        <v>88</v>
      </c>
      <c r="G5985" t="s">
        <v>88</v>
      </c>
      <c r="H5985" t="s">
        <v>92</v>
      </c>
    </row>
    <row r="5986" spans="1:8" x14ac:dyDescent="0.25">
      <c r="A5986" t="s">
        <v>258</v>
      </c>
      <c r="B5986" t="s">
        <v>5522</v>
      </c>
      <c r="C5986" t="s">
        <v>88</v>
      </c>
      <c r="D5986" t="s">
        <v>5523</v>
      </c>
      <c r="E5986" t="s">
        <v>5524</v>
      </c>
      <c r="F5986" t="s">
        <v>88</v>
      </c>
      <c r="G5986" t="s">
        <v>88</v>
      </c>
      <c r="H5986" t="s">
        <v>92</v>
      </c>
    </row>
    <row r="5987" spans="1:8" x14ac:dyDescent="0.25">
      <c r="A5987" t="s">
        <v>258</v>
      </c>
      <c r="B5987" t="s">
        <v>5525</v>
      </c>
      <c r="C5987" t="s">
        <v>88</v>
      </c>
      <c r="D5987" t="s">
        <v>5526</v>
      </c>
      <c r="E5987" t="s">
        <v>658</v>
      </c>
      <c r="F5987" t="s">
        <v>88</v>
      </c>
      <c r="G5987" t="s">
        <v>88</v>
      </c>
      <c r="H5987" t="s">
        <v>92</v>
      </c>
    </row>
    <row r="5988" spans="1:8" x14ac:dyDescent="0.25">
      <c r="A5988" t="s">
        <v>258</v>
      </c>
      <c r="B5988" t="s">
        <v>5527</v>
      </c>
      <c r="C5988" t="s">
        <v>88</v>
      </c>
      <c r="D5988" t="s">
        <v>5528</v>
      </c>
      <c r="E5988" t="s">
        <v>658</v>
      </c>
      <c r="F5988" t="s">
        <v>88</v>
      </c>
      <c r="G5988" t="s">
        <v>88</v>
      </c>
      <c r="H5988" t="s">
        <v>92</v>
      </c>
    </row>
    <row r="5989" spans="1:8" x14ac:dyDescent="0.25">
      <c r="A5989" t="s">
        <v>258</v>
      </c>
      <c r="B5989" t="s">
        <v>5529</v>
      </c>
      <c r="C5989" t="s">
        <v>88</v>
      </c>
      <c r="D5989" t="s">
        <v>5530</v>
      </c>
      <c r="E5989" t="s">
        <v>658</v>
      </c>
      <c r="F5989" t="s">
        <v>88</v>
      </c>
      <c r="G5989" t="s">
        <v>88</v>
      </c>
      <c r="H5989" t="s">
        <v>92</v>
      </c>
    </row>
    <row r="5990" spans="1:8" x14ac:dyDescent="0.25">
      <c r="A5990" t="s">
        <v>258</v>
      </c>
      <c r="B5990" t="s">
        <v>5531</v>
      </c>
      <c r="C5990" t="s">
        <v>88</v>
      </c>
      <c r="D5990" t="s">
        <v>5532</v>
      </c>
      <c r="E5990" t="s">
        <v>937</v>
      </c>
      <c r="F5990" t="s">
        <v>88</v>
      </c>
      <c r="G5990" t="s">
        <v>88</v>
      </c>
      <c r="H5990" t="s">
        <v>92</v>
      </c>
    </row>
    <row r="5991" spans="1:8" x14ac:dyDescent="0.25">
      <c r="A5991" t="s">
        <v>258</v>
      </c>
      <c r="B5991" t="s">
        <v>5533</v>
      </c>
      <c r="C5991" t="s">
        <v>88</v>
      </c>
      <c r="D5991" t="s">
        <v>5532</v>
      </c>
      <c r="E5991" t="s">
        <v>679</v>
      </c>
      <c r="F5991" t="s">
        <v>88</v>
      </c>
      <c r="G5991" t="s">
        <v>88</v>
      </c>
      <c r="H5991" t="s">
        <v>92</v>
      </c>
    </row>
    <row r="5992" spans="1:8" x14ac:dyDescent="0.25">
      <c r="A5992" t="s">
        <v>258</v>
      </c>
      <c r="B5992" t="s">
        <v>5534</v>
      </c>
      <c r="C5992" t="s">
        <v>88</v>
      </c>
      <c r="D5992" t="s">
        <v>5535</v>
      </c>
      <c r="E5992" t="s">
        <v>721</v>
      </c>
      <c r="F5992" t="s">
        <v>88</v>
      </c>
      <c r="G5992" t="s">
        <v>88</v>
      </c>
      <c r="H5992" t="s">
        <v>92</v>
      </c>
    </row>
    <row r="5993" spans="1:8" x14ac:dyDescent="0.25">
      <c r="A5993" t="s">
        <v>258</v>
      </c>
      <c r="B5993" t="s">
        <v>5536</v>
      </c>
      <c r="C5993" t="s">
        <v>88</v>
      </c>
      <c r="D5993" t="s">
        <v>5537</v>
      </c>
      <c r="E5993" t="s">
        <v>663</v>
      </c>
      <c r="F5993" t="s">
        <v>88</v>
      </c>
      <c r="G5993" t="s">
        <v>88</v>
      </c>
      <c r="H5993" t="s">
        <v>92</v>
      </c>
    </row>
    <row r="5994" spans="1:8" x14ac:dyDescent="0.25">
      <c r="A5994" t="s">
        <v>258</v>
      </c>
      <c r="B5994" t="s">
        <v>5538</v>
      </c>
      <c r="C5994" t="s">
        <v>88</v>
      </c>
      <c r="D5994" t="s">
        <v>5539</v>
      </c>
      <c r="E5994" t="s">
        <v>663</v>
      </c>
      <c r="F5994" t="s">
        <v>88</v>
      </c>
      <c r="G5994" t="s">
        <v>88</v>
      </c>
      <c r="H5994" t="s">
        <v>92</v>
      </c>
    </row>
    <row r="5995" spans="1:8" x14ac:dyDescent="0.25">
      <c r="A5995" t="s">
        <v>258</v>
      </c>
      <c r="B5995" t="s">
        <v>5540</v>
      </c>
      <c r="C5995" t="s">
        <v>88</v>
      </c>
      <c r="D5995" t="s">
        <v>5499</v>
      </c>
      <c r="E5995" t="s">
        <v>937</v>
      </c>
      <c r="F5995" t="s">
        <v>88</v>
      </c>
      <c r="G5995" t="s">
        <v>88</v>
      </c>
      <c r="H5995" t="s">
        <v>92</v>
      </c>
    </row>
    <row r="5996" spans="1:8" x14ac:dyDescent="0.25">
      <c r="A5996" t="s">
        <v>258</v>
      </c>
      <c r="B5996" t="s">
        <v>5541</v>
      </c>
      <c r="C5996" t="s">
        <v>88</v>
      </c>
      <c r="D5996" t="s">
        <v>5542</v>
      </c>
      <c r="E5996" t="s">
        <v>673</v>
      </c>
      <c r="F5996" t="s">
        <v>88</v>
      </c>
      <c r="G5996" t="s">
        <v>88</v>
      </c>
      <c r="H5996" t="s">
        <v>92</v>
      </c>
    </row>
    <row r="5997" spans="1:8" x14ac:dyDescent="0.25">
      <c r="A5997" t="s">
        <v>258</v>
      </c>
      <c r="B5997" t="s">
        <v>5543</v>
      </c>
      <c r="C5997" t="s">
        <v>88</v>
      </c>
      <c r="D5997" t="s">
        <v>5544</v>
      </c>
      <c r="E5997" t="s">
        <v>673</v>
      </c>
      <c r="F5997" t="s">
        <v>88</v>
      </c>
      <c r="G5997" t="s">
        <v>88</v>
      </c>
      <c r="H5997" t="s">
        <v>92</v>
      </c>
    </row>
    <row r="5998" spans="1:8" x14ac:dyDescent="0.25">
      <c r="A5998" t="s">
        <v>258</v>
      </c>
      <c r="B5998" t="s">
        <v>5545</v>
      </c>
      <c r="C5998" t="s">
        <v>88</v>
      </c>
      <c r="D5998" t="s">
        <v>5546</v>
      </c>
      <c r="E5998" t="s">
        <v>673</v>
      </c>
      <c r="F5998" t="s">
        <v>88</v>
      </c>
      <c r="G5998" t="s">
        <v>88</v>
      </c>
      <c r="H5998" t="s">
        <v>92</v>
      </c>
    </row>
    <row r="5999" spans="1:8" x14ac:dyDescent="0.25">
      <c r="A5999" t="s">
        <v>258</v>
      </c>
      <c r="B5999" t="s">
        <v>5547</v>
      </c>
      <c r="C5999" t="s">
        <v>88</v>
      </c>
      <c r="D5999" t="s">
        <v>5548</v>
      </c>
      <c r="E5999" t="s">
        <v>663</v>
      </c>
      <c r="F5999" t="s">
        <v>88</v>
      </c>
      <c r="G5999" t="s">
        <v>88</v>
      </c>
      <c r="H5999" t="s">
        <v>92</v>
      </c>
    </row>
    <row r="6000" spans="1:8" x14ac:dyDescent="0.25">
      <c r="A6000" t="s">
        <v>258</v>
      </c>
      <c r="B6000" t="s">
        <v>5549</v>
      </c>
      <c r="C6000" t="s">
        <v>88</v>
      </c>
      <c r="D6000" t="s">
        <v>5550</v>
      </c>
      <c r="E6000" t="s">
        <v>1139</v>
      </c>
      <c r="F6000" t="s">
        <v>88</v>
      </c>
      <c r="G6000" t="s">
        <v>88</v>
      </c>
      <c r="H6000" t="s">
        <v>92</v>
      </c>
    </row>
    <row r="6001" spans="1:8" x14ac:dyDescent="0.25">
      <c r="A6001" t="s">
        <v>258</v>
      </c>
      <c r="B6001" t="s">
        <v>4529</v>
      </c>
      <c r="C6001" t="s">
        <v>88</v>
      </c>
      <c r="D6001" t="s">
        <v>5551</v>
      </c>
      <c r="E6001" t="s">
        <v>679</v>
      </c>
      <c r="F6001" t="s">
        <v>88</v>
      </c>
      <c r="G6001" t="s">
        <v>88</v>
      </c>
      <c r="H6001" t="s">
        <v>92</v>
      </c>
    </row>
    <row r="6002" spans="1:8" x14ac:dyDescent="0.25">
      <c r="A6002" t="s">
        <v>258</v>
      </c>
      <c r="B6002" t="s">
        <v>1324</v>
      </c>
      <c r="C6002" t="s">
        <v>88</v>
      </c>
      <c r="D6002" t="s">
        <v>88</v>
      </c>
      <c r="E6002" t="s">
        <v>663</v>
      </c>
      <c r="F6002" t="s">
        <v>88</v>
      </c>
      <c r="G6002" t="s">
        <v>88</v>
      </c>
      <c r="H6002" t="s">
        <v>92</v>
      </c>
    </row>
    <row r="6003" spans="1:8" x14ac:dyDescent="0.25">
      <c r="A6003" t="s">
        <v>258</v>
      </c>
      <c r="B6003" t="s">
        <v>5552</v>
      </c>
      <c r="C6003" t="s">
        <v>88</v>
      </c>
      <c r="D6003" t="s">
        <v>88</v>
      </c>
      <c r="E6003" t="s">
        <v>1596</v>
      </c>
      <c r="F6003" t="s">
        <v>88</v>
      </c>
      <c r="G6003" t="s">
        <v>88</v>
      </c>
      <c r="H6003" t="s">
        <v>92</v>
      </c>
    </row>
    <row r="6004" spans="1:8" x14ac:dyDescent="0.25">
      <c r="A6004" t="s">
        <v>258</v>
      </c>
      <c r="B6004" t="s">
        <v>712</v>
      </c>
      <c r="C6004" t="s">
        <v>88</v>
      </c>
      <c r="D6004" t="s">
        <v>88</v>
      </c>
      <c r="E6004" t="s">
        <v>848</v>
      </c>
      <c r="F6004" t="s">
        <v>88</v>
      </c>
      <c r="G6004" t="s">
        <v>88</v>
      </c>
      <c r="H6004" t="s">
        <v>92</v>
      </c>
    </row>
    <row r="6005" spans="1:8" x14ac:dyDescent="0.25">
      <c r="A6005" t="s">
        <v>258</v>
      </c>
      <c r="B6005" t="s">
        <v>4486</v>
      </c>
      <c r="C6005" t="s">
        <v>88</v>
      </c>
      <c r="D6005" t="s">
        <v>5553</v>
      </c>
      <c r="E6005" t="s">
        <v>721</v>
      </c>
      <c r="F6005" t="s">
        <v>88</v>
      </c>
      <c r="G6005" t="s">
        <v>88</v>
      </c>
      <c r="H6005" t="s">
        <v>92</v>
      </c>
    </row>
    <row r="6006" spans="1:8" x14ac:dyDescent="0.25">
      <c r="A6006" t="s">
        <v>258</v>
      </c>
      <c r="B6006" t="s">
        <v>5554</v>
      </c>
      <c r="C6006" t="s">
        <v>88</v>
      </c>
      <c r="D6006" t="s">
        <v>5555</v>
      </c>
      <c r="E6006" t="s">
        <v>725</v>
      </c>
      <c r="F6006" t="s">
        <v>88</v>
      </c>
      <c r="G6006" t="s">
        <v>88</v>
      </c>
      <c r="H6006" t="s">
        <v>92</v>
      </c>
    </row>
    <row r="6007" spans="1:8" x14ac:dyDescent="0.25">
      <c r="A6007" t="s">
        <v>258</v>
      </c>
      <c r="B6007" t="s">
        <v>5556</v>
      </c>
      <c r="C6007" t="s">
        <v>88</v>
      </c>
      <c r="D6007" t="s">
        <v>5557</v>
      </c>
      <c r="E6007" t="s">
        <v>663</v>
      </c>
      <c r="F6007" t="s">
        <v>88</v>
      </c>
      <c r="G6007" t="s">
        <v>88</v>
      </c>
      <c r="H6007" t="s">
        <v>92</v>
      </c>
    </row>
    <row r="6008" spans="1:8" x14ac:dyDescent="0.25">
      <c r="A6008" t="s">
        <v>258</v>
      </c>
      <c r="B6008" t="s">
        <v>5558</v>
      </c>
      <c r="C6008" t="s">
        <v>88</v>
      </c>
      <c r="D6008" t="s">
        <v>5559</v>
      </c>
      <c r="E6008" t="s">
        <v>1971</v>
      </c>
      <c r="F6008" t="s">
        <v>88</v>
      </c>
      <c r="G6008" t="s">
        <v>88</v>
      </c>
      <c r="H6008" t="s">
        <v>92</v>
      </c>
    </row>
    <row r="6009" spans="1:8" x14ac:dyDescent="0.25">
      <c r="A6009" t="s">
        <v>258</v>
      </c>
      <c r="B6009" t="s">
        <v>5268</v>
      </c>
      <c r="C6009" t="s">
        <v>88</v>
      </c>
      <c r="D6009" t="s">
        <v>5560</v>
      </c>
      <c r="E6009" t="s">
        <v>1971</v>
      </c>
      <c r="F6009" t="s">
        <v>88</v>
      </c>
      <c r="G6009" t="s">
        <v>88</v>
      </c>
      <c r="H6009" t="s">
        <v>92</v>
      </c>
    </row>
    <row r="6010" spans="1:8" x14ac:dyDescent="0.25">
      <c r="A6010" t="s">
        <v>258</v>
      </c>
      <c r="B6010" t="s">
        <v>5561</v>
      </c>
      <c r="C6010" t="s">
        <v>88</v>
      </c>
      <c r="D6010" t="s">
        <v>5562</v>
      </c>
      <c r="E6010" t="s">
        <v>1971</v>
      </c>
      <c r="F6010" t="s">
        <v>88</v>
      </c>
      <c r="G6010" t="s">
        <v>88</v>
      </c>
      <c r="H6010" t="s">
        <v>92</v>
      </c>
    </row>
    <row r="6011" spans="1:8" x14ac:dyDescent="0.25">
      <c r="A6011" t="s">
        <v>258</v>
      </c>
      <c r="B6011" t="s">
        <v>5563</v>
      </c>
      <c r="C6011" t="s">
        <v>88</v>
      </c>
      <c r="D6011" t="s">
        <v>5564</v>
      </c>
      <c r="E6011" t="s">
        <v>715</v>
      </c>
      <c r="F6011" t="s">
        <v>88</v>
      </c>
      <c r="G6011" t="s">
        <v>88</v>
      </c>
      <c r="H6011" t="s">
        <v>92</v>
      </c>
    </row>
    <row r="6012" spans="1:8" x14ac:dyDescent="0.25">
      <c r="A6012" t="s">
        <v>258</v>
      </c>
      <c r="B6012" t="s">
        <v>5565</v>
      </c>
      <c r="C6012" t="s">
        <v>88</v>
      </c>
      <c r="D6012" t="s">
        <v>5566</v>
      </c>
      <c r="E6012" t="s">
        <v>959</v>
      </c>
      <c r="F6012" t="s">
        <v>88</v>
      </c>
      <c r="G6012" t="s">
        <v>88</v>
      </c>
      <c r="H6012" t="s">
        <v>92</v>
      </c>
    </row>
    <row r="6013" spans="1:8" x14ac:dyDescent="0.25">
      <c r="A6013" t="s">
        <v>258</v>
      </c>
      <c r="B6013" t="s">
        <v>5567</v>
      </c>
      <c r="C6013" t="s">
        <v>88</v>
      </c>
      <c r="D6013" t="s">
        <v>5568</v>
      </c>
      <c r="E6013" t="s">
        <v>959</v>
      </c>
      <c r="F6013" t="s">
        <v>88</v>
      </c>
      <c r="G6013" t="s">
        <v>88</v>
      </c>
      <c r="H6013" t="s">
        <v>92</v>
      </c>
    </row>
    <row r="6014" spans="1:8" x14ac:dyDescent="0.25">
      <c r="A6014" t="s">
        <v>258</v>
      </c>
      <c r="B6014" t="s">
        <v>5569</v>
      </c>
      <c r="C6014" t="s">
        <v>88</v>
      </c>
      <c r="D6014" t="s">
        <v>5570</v>
      </c>
      <c r="E6014" t="s">
        <v>886</v>
      </c>
      <c r="F6014" t="s">
        <v>88</v>
      </c>
      <c r="G6014" t="s">
        <v>88</v>
      </c>
      <c r="H6014" t="s">
        <v>92</v>
      </c>
    </row>
    <row r="6015" spans="1:8" x14ac:dyDescent="0.25">
      <c r="A6015" t="s">
        <v>258</v>
      </c>
      <c r="B6015" t="s">
        <v>4400</v>
      </c>
      <c r="C6015" t="s">
        <v>88</v>
      </c>
      <c r="D6015" t="s">
        <v>5571</v>
      </c>
      <c r="E6015" t="s">
        <v>732</v>
      </c>
      <c r="F6015" t="s">
        <v>88</v>
      </c>
      <c r="G6015" t="s">
        <v>88</v>
      </c>
      <c r="H6015" t="s">
        <v>92</v>
      </c>
    </row>
    <row r="6016" spans="1:8" x14ac:dyDescent="0.25">
      <c r="A6016" t="s">
        <v>258</v>
      </c>
      <c r="B6016" t="s">
        <v>5572</v>
      </c>
      <c r="C6016" t="s">
        <v>88</v>
      </c>
      <c r="D6016" t="s">
        <v>5573</v>
      </c>
      <c r="E6016" t="s">
        <v>886</v>
      </c>
      <c r="F6016" t="s">
        <v>88</v>
      </c>
      <c r="G6016" t="s">
        <v>88</v>
      </c>
      <c r="H6016" t="s">
        <v>92</v>
      </c>
    </row>
    <row r="6017" spans="1:8" x14ac:dyDescent="0.25">
      <c r="A6017" t="s">
        <v>258</v>
      </c>
      <c r="B6017" t="s">
        <v>5574</v>
      </c>
      <c r="C6017" t="s">
        <v>88</v>
      </c>
      <c r="D6017" t="s">
        <v>5575</v>
      </c>
      <c r="E6017" t="s">
        <v>2360</v>
      </c>
      <c r="F6017" t="s">
        <v>88</v>
      </c>
      <c r="G6017" t="s">
        <v>88</v>
      </c>
      <c r="H6017" t="s">
        <v>92</v>
      </c>
    </row>
    <row r="6018" spans="1:8" x14ac:dyDescent="0.25">
      <c r="A6018" t="s">
        <v>258</v>
      </c>
      <c r="B6018" t="s">
        <v>5576</v>
      </c>
      <c r="C6018" t="s">
        <v>88</v>
      </c>
      <c r="D6018" t="s">
        <v>5577</v>
      </c>
      <c r="E6018" t="s">
        <v>702</v>
      </c>
      <c r="F6018" t="s">
        <v>88</v>
      </c>
      <c r="G6018" t="s">
        <v>88</v>
      </c>
      <c r="H6018" t="s">
        <v>92</v>
      </c>
    </row>
    <row r="6019" spans="1:8" x14ac:dyDescent="0.25">
      <c r="A6019" t="s">
        <v>258</v>
      </c>
      <c r="B6019" t="s">
        <v>5578</v>
      </c>
      <c r="C6019" t="s">
        <v>88</v>
      </c>
      <c r="D6019" t="s">
        <v>5579</v>
      </c>
      <c r="E6019" t="s">
        <v>702</v>
      </c>
      <c r="F6019" t="s">
        <v>88</v>
      </c>
      <c r="G6019" t="s">
        <v>88</v>
      </c>
      <c r="H6019" t="s">
        <v>92</v>
      </c>
    </row>
    <row r="6020" spans="1:8" x14ac:dyDescent="0.25">
      <c r="A6020" t="s">
        <v>258</v>
      </c>
      <c r="B6020" t="s">
        <v>5580</v>
      </c>
      <c r="C6020" t="s">
        <v>88</v>
      </c>
      <c r="D6020" t="s">
        <v>5581</v>
      </c>
      <c r="E6020" t="s">
        <v>702</v>
      </c>
      <c r="F6020" t="s">
        <v>88</v>
      </c>
      <c r="G6020" t="s">
        <v>88</v>
      </c>
      <c r="H6020" t="s">
        <v>92</v>
      </c>
    </row>
    <row r="6021" spans="1:8" x14ac:dyDescent="0.25">
      <c r="A6021" t="s">
        <v>258</v>
      </c>
      <c r="B6021" t="s">
        <v>5582</v>
      </c>
      <c r="C6021" t="s">
        <v>88</v>
      </c>
      <c r="D6021" t="s">
        <v>5583</v>
      </c>
      <c r="E6021" t="s">
        <v>2360</v>
      </c>
      <c r="F6021" t="s">
        <v>88</v>
      </c>
      <c r="G6021" t="s">
        <v>88</v>
      </c>
      <c r="H6021" t="s">
        <v>92</v>
      </c>
    </row>
    <row r="6022" spans="1:8" x14ac:dyDescent="0.25">
      <c r="A6022" t="s">
        <v>258</v>
      </c>
      <c r="B6022" t="s">
        <v>5584</v>
      </c>
      <c r="C6022" t="s">
        <v>88</v>
      </c>
      <c r="D6022" t="s">
        <v>5585</v>
      </c>
      <c r="E6022" t="s">
        <v>2360</v>
      </c>
      <c r="F6022" t="s">
        <v>88</v>
      </c>
      <c r="G6022" t="s">
        <v>88</v>
      </c>
      <c r="H6022" t="s">
        <v>92</v>
      </c>
    </row>
    <row r="6023" spans="1:8" x14ac:dyDescent="0.25">
      <c r="A6023" t="s">
        <v>258</v>
      </c>
      <c r="B6023" t="s">
        <v>5586</v>
      </c>
      <c r="C6023" t="s">
        <v>88</v>
      </c>
      <c r="D6023" t="s">
        <v>5587</v>
      </c>
      <c r="E6023" t="s">
        <v>679</v>
      </c>
      <c r="F6023" t="s">
        <v>88</v>
      </c>
      <c r="G6023" t="s">
        <v>88</v>
      </c>
      <c r="H6023" t="s">
        <v>92</v>
      </c>
    </row>
    <row r="6024" spans="1:8" x14ac:dyDescent="0.25">
      <c r="A6024" t="s">
        <v>258</v>
      </c>
      <c r="B6024" t="s">
        <v>5588</v>
      </c>
      <c r="C6024" t="s">
        <v>88</v>
      </c>
      <c r="D6024" t="s">
        <v>5589</v>
      </c>
      <c r="E6024" t="s">
        <v>679</v>
      </c>
      <c r="F6024" t="s">
        <v>88</v>
      </c>
      <c r="G6024" t="s">
        <v>88</v>
      </c>
      <c r="H6024" t="s">
        <v>92</v>
      </c>
    </row>
    <row r="6025" spans="1:8" x14ac:dyDescent="0.25">
      <c r="A6025" t="s">
        <v>258</v>
      </c>
      <c r="B6025" t="s">
        <v>5590</v>
      </c>
      <c r="C6025" t="s">
        <v>88</v>
      </c>
      <c r="D6025" t="s">
        <v>5591</v>
      </c>
      <c r="E6025" t="s">
        <v>715</v>
      </c>
      <c r="F6025" t="s">
        <v>88</v>
      </c>
      <c r="G6025" t="s">
        <v>88</v>
      </c>
      <c r="H6025" t="s">
        <v>92</v>
      </c>
    </row>
    <row r="6026" spans="1:8" x14ac:dyDescent="0.25">
      <c r="A6026" t="s">
        <v>258</v>
      </c>
      <c r="B6026" t="s">
        <v>5592</v>
      </c>
      <c r="C6026" t="s">
        <v>88</v>
      </c>
      <c r="D6026" t="s">
        <v>5593</v>
      </c>
      <c r="E6026" t="s">
        <v>715</v>
      </c>
      <c r="F6026" t="s">
        <v>88</v>
      </c>
      <c r="G6026" t="s">
        <v>88</v>
      </c>
      <c r="H6026" t="s">
        <v>92</v>
      </c>
    </row>
    <row r="6027" spans="1:8" x14ac:dyDescent="0.25">
      <c r="A6027" t="s">
        <v>258</v>
      </c>
      <c r="B6027" t="s">
        <v>2241</v>
      </c>
      <c r="C6027" t="s">
        <v>88</v>
      </c>
      <c r="D6027" t="s">
        <v>5594</v>
      </c>
      <c r="E6027" t="s">
        <v>679</v>
      </c>
      <c r="F6027" t="s">
        <v>88</v>
      </c>
      <c r="G6027" t="s">
        <v>88</v>
      </c>
      <c r="H6027" t="s">
        <v>92</v>
      </c>
    </row>
    <row r="6028" spans="1:8" x14ac:dyDescent="0.25">
      <c r="A6028" t="s">
        <v>258</v>
      </c>
      <c r="B6028" t="s">
        <v>5595</v>
      </c>
      <c r="C6028" t="s">
        <v>88</v>
      </c>
      <c r="D6028" t="s">
        <v>5596</v>
      </c>
      <c r="E6028" t="s">
        <v>1839</v>
      </c>
      <c r="F6028" t="s">
        <v>88</v>
      </c>
      <c r="G6028" t="s">
        <v>88</v>
      </c>
      <c r="H6028" t="s">
        <v>92</v>
      </c>
    </row>
    <row r="6029" spans="1:8" x14ac:dyDescent="0.25">
      <c r="A6029" t="s">
        <v>258</v>
      </c>
      <c r="B6029" t="s">
        <v>1632</v>
      </c>
      <c r="C6029" t="s">
        <v>88</v>
      </c>
      <c r="D6029" t="s">
        <v>5597</v>
      </c>
      <c r="E6029" t="s">
        <v>658</v>
      </c>
      <c r="F6029" t="s">
        <v>88</v>
      </c>
      <c r="G6029" t="s">
        <v>88</v>
      </c>
      <c r="H6029" t="s">
        <v>92</v>
      </c>
    </row>
    <row r="6030" spans="1:8" x14ac:dyDescent="0.25">
      <c r="A6030" t="s">
        <v>258</v>
      </c>
      <c r="B6030" t="s">
        <v>5598</v>
      </c>
      <c r="C6030" t="s">
        <v>88</v>
      </c>
      <c r="D6030" t="s">
        <v>5599</v>
      </c>
      <c r="E6030" t="s">
        <v>679</v>
      </c>
      <c r="F6030" t="s">
        <v>88</v>
      </c>
      <c r="G6030" t="s">
        <v>88</v>
      </c>
      <c r="H6030" t="s">
        <v>92</v>
      </c>
    </row>
    <row r="6031" spans="1:8" x14ac:dyDescent="0.25">
      <c r="A6031" t="s">
        <v>258</v>
      </c>
      <c r="B6031" t="s">
        <v>5600</v>
      </c>
      <c r="C6031" t="s">
        <v>88</v>
      </c>
      <c r="D6031" t="s">
        <v>5601</v>
      </c>
      <c r="E6031" t="s">
        <v>886</v>
      </c>
      <c r="F6031" t="s">
        <v>88</v>
      </c>
      <c r="G6031" t="s">
        <v>88</v>
      </c>
      <c r="H6031" t="s">
        <v>92</v>
      </c>
    </row>
    <row r="6032" spans="1:8" x14ac:dyDescent="0.25">
      <c r="A6032" t="s">
        <v>258</v>
      </c>
      <c r="B6032" t="s">
        <v>5602</v>
      </c>
      <c r="C6032" t="s">
        <v>88</v>
      </c>
      <c r="D6032" t="s">
        <v>5603</v>
      </c>
      <c r="E6032" t="s">
        <v>1971</v>
      </c>
      <c r="F6032" t="s">
        <v>88</v>
      </c>
      <c r="G6032" t="s">
        <v>88</v>
      </c>
      <c r="H6032" t="s">
        <v>92</v>
      </c>
    </row>
    <row r="6033" spans="1:8" x14ac:dyDescent="0.25">
      <c r="A6033" t="s">
        <v>258</v>
      </c>
      <c r="B6033" t="s">
        <v>5604</v>
      </c>
      <c r="C6033" t="s">
        <v>88</v>
      </c>
      <c r="D6033" t="s">
        <v>5605</v>
      </c>
      <c r="E6033" t="s">
        <v>1971</v>
      </c>
      <c r="F6033" t="s">
        <v>88</v>
      </c>
      <c r="G6033" t="s">
        <v>88</v>
      </c>
      <c r="H6033" t="s">
        <v>92</v>
      </c>
    </row>
    <row r="6034" spans="1:8" x14ac:dyDescent="0.25">
      <c r="A6034" t="s">
        <v>258</v>
      </c>
      <c r="B6034" t="s">
        <v>5606</v>
      </c>
      <c r="C6034" t="s">
        <v>88</v>
      </c>
      <c r="D6034" t="s">
        <v>5607</v>
      </c>
      <c r="E6034" t="s">
        <v>1971</v>
      </c>
      <c r="F6034" t="s">
        <v>88</v>
      </c>
      <c r="G6034" t="s">
        <v>88</v>
      </c>
      <c r="H6034" t="s">
        <v>92</v>
      </c>
    </row>
    <row r="6035" spans="1:8" x14ac:dyDescent="0.25">
      <c r="A6035" t="s">
        <v>258</v>
      </c>
      <c r="B6035" t="s">
        <v>5608</v>
      </c>
      <c r="C6035" t="s">
        <v>88</v>
      </c>
      <c r="D6035" t="s">
        <v>5609</v>
      </c>
      <c r="E6035" t="s">
        <v>723</v>
      </c>
      <c r="F6035" t="s">
        <v>88</v>
      </c>
      <c r="G6035" t="s">
        <v>88</v>
      </c>
      <c r="H6035" t="s">
        <v>92</v>
      </c>
    </row>
    <row r="6036" spans="1:8" x14ac:dyDescent="0.25">
      <c r="A6036" t="s">
        <v>258</v>
      </c>
      <c r="B6036" t="s">
        <v>5610</v>
      </c>
      <c r="C6036" t="s">
        <v>88</v>
      </c>
      <c r="D6036" t="s">
        <v>5611</v>
      </c>
      <c r="E6036" t="s">
        <v>663</v>
      </c>
      <c r="F6036" t="s">
        <v>88</v>
      </c>
      <c r="G6036" t="s">
        <v>88</v>
      </c>
      <c r="H6036" t="s">
        <v>92</v>
      </c>
    </row>
    <row r="6037" spans="1:8" x14ac:dyDescent="0.25">
      <c r="A6037" t="s">
        <v>258</v>
      </c>
      <c r="B6037" t="s">
        <v>5612</v>
      </c>
      <c r="C6037" t="s">
        <v>88</v>
      </c>
      <c r="D6037" t="s">
        <v>5613</v>
      </c>
      <c r="E6037" t="s">
        <v>725</v>
      </c>
      <c r="F6037" t="s">
        <v>88</v>
      </c>
      <c r="G6037" t="s">
        <v>88</v>
      </c>
      <c r="H6037" t="s">
        <v>92</v>
      </c>
    </row>
    <row r="6038" spans="1:8" x14ac:dyDescent="0.25">
      <c r="A6038" t="s">
        <v>258</v>
      </c>
      <c r="B6038" t="s">
        <v>5614</v>
      </c>
      <c r="C6038" t="s">
        <v>88</v>
      </c>
      <c r="D6038" t="s">
        <v>5615</v>
      </c>
      <c r="E6038" t="s">
        <v>1839</v>
      </c>
      <c r="F6038" t="s">
        <v>88</v>
      </c>
      <c r="G6038" t="s">
        <v>88</v>
      </c>
      <c r="H6038" t="s">
        <v>92</v>
      </c>
    </row>
    <row r="6039" spans="1:8" x14ac:dyDescent="0.25">
      <c r="A6039" t="s">
        <v>258</v>
      </c>
      <c r="B6039" t="s">
        <v>5616</v>
      </c>
      <c r="C6039" t="s">
        <v>88</v>
      </c>
      <c r="D6039" t="s">
        <v>5617</v>
      </c>
      <c r="E6039" t="s">
        <v>709</v>
      </c>
      <c r="F6039" t="s">
        <v>88</v>
      </c>
      <c r="G6039" t="s">
        <v>88</v>
      </c>
      <c r="H6039" t="s">
        <v>92</v>
      </c>
    </row>
    <row r="6040" spans="1:8" x14ac:dyDescent="0.25">
      <c r="A6040" t="s">
        <v>258</v>
      </c>
      <c r="B6040" t="s">
        <v>5618</v>
      </c>
      <c r="C6040" t="s">
        <v>88</v>
      </c>
      <c r="D6040" t="s">
        <v>5619</v>
      </c>
      <c r="E6040" t="s">
        <v>799</v>
      </c>
      <c r="F6040" t="s">
        <v>88</v>
      </c>
      <c r="G6040" t="s">
        <v>88</v>
      </c>
      <c r="H6040" t="s">
        <v>92</v>
      </c>
    </row>
    <row r="6041" spans="1:8" x14ac:dyDescent="0.25">
      <c r="A6041" t="s">
        <v>258</v>
      </c>
      <c r="B6041" t="s">
        <v>5620</v>
      </c>
      <c r="C6041" t="s">
        <v>88</v>
      </c>
      <c r="D6041" t="s">
        <v>5621</v>
      </c>
      <c r="E6041" t="s">
        <v>780</v>
      </c>
      <c r="F6041" t="s">
        <v>88</v>
      </c>
      <c r="G6041" t="s">
        <v>88</v>
      </c>
      <c r="H6041" t="s">
        <v>92</v>
      </c>
    </row>
    <row r="6042" spans="1:8" x14ac:dyDescent="0.25">
      <c r="A6042" t="s">
        <v>258</v>
      </c>
      <c r="B6042" t="s">
        <v>5622</v>
      </c>
      <c r="C6042" t="s">
        <v>88</v>
      </c>
      <c r="D6042" t="s">
        <v>5623</v>
      </c>
      <c r="E6042" t="s">
        <v>780</v>
      </c>
      <c r="F6042" t="s">
        <v>88</v>
      </c>
      <c r="G6042" t="s">
        <v>88</v>
      </c>
      <c r="H6042" t="s">
        <v>92</v>
      </c>
    </row>
    <row r="6043" spans="1:8" x14ac:dyDescent="0.25">
      <c r="A6043" t="s">
        <v>258</v>
      </c>
      <c r="B6043" t="s">
        <v>5624</v>
      </c>
      <c r="C6043" t="s">
        <v>88</v>
      </c>
      <c r="D6043" t="s">
        <v>5625</v>
      </c>
      <c r="E6043" t="s">
        <v>780</v>
      </c>
      <c r="F6043" t="s">
        <v>88</v>
      </c>
      <c r="G6043" t="s">
        <v>88</v>
      </c>
      <c r="H6043" t="s">
        <v>92</v>
      </c>
    </row>
    <row r="6044" spans="1:8" x14ac:dyDescent="0.25">
      <c r="A6044" t="s">
        <v>258</v>
      </c>
      <c r="B6044" t="s">
        <v>5626</v>
      </c>
      <c r="C6044" t="s">
        <v>88</v>
      </c>
      <c r="D6044" t="s">
        <v>5627</v>
      </c>
      <c r="E6044" t="s">
        <v>1377</v>
      </c>
      <c r="F6044" t="s">
        <v>88</v>
      </c>
      <c r="G6044" t="s">
        <v>88</v>
      </c>
      <c r="H6044" t="s">
        <v>92</v>
      </c>
    </row>
    <row r="6045" spans="1:8" x14ac:dyDescent="0.25">
      <c r="A6045" t="s">
        <v>258</v>
      </c>
      <c r="B6045" t="s">
        <v>5628</v>
      </c>
      <c r="C6045" t="s">
        <v>88</v>
      </c>
      <c r="D6045" t="s">
        <v>5629</v>
      </c>
      <c r="E6045" t="s">
        <v>1377</v>
      </c>
      <c r="F6045" t="s">
        <v>88</v>
      </c>
      <c r="G6045" t="s">
        <v>88</v>
      </c>
      <c r="H6045" t="s">
        <v>92</v>
      </c>
    </row>
    <row r="6046" spans="1:8" x14ac:dyDescent="0.25">
      <c r="A6046" t="s">
        <v>258</v>
      </c>
      <c r="B6046" t="s">
        <v>5630</v>
      </c>
      <c r="C6046" t="s">
        <v>88</v>
      </c>
      <c r="D6046" t="s">
        <v>5631</v>
      </c>
      <c r="E6046" t="s">
        <v>655</v>
      </c>
      <c r="F6046" t="s">
        <v>88</v>
      </c>
      <c r="G6046" t="s">
        <v>88</v>
      </c>
      <c r="H6046" t="s">
        <v>92</v>
      </c>
    </row>
    <row r="6047" spans="1:8" x14ac:dyDescent="0.25">
      <c r="A6047" t="s">
        <v>258</v>
      </c>
      <c r="B6047" t="s">
        <v>5632</v>
      </c>
      <c r="C6047" t="s">
        <v>88</v>
      </c>
      <c r="D6047" t="s">
        <v>5633</v>
      </c>
      <c r="E6047" t="s">
        <v>655</v>
      </c>
      <c r="F6047" t="s">
        <v>88</v>
      </c>
      <c r="G6047" t="s">
        <v>88</v>
      </c>
      <c r="H6047" t="s">
        <v>92</v>
      </c>
    </row>
    <row r="6048" spans="1:8" x14ac:dyDescent="0.25">
      <c r="A6048" t="s">
        <v>258</v>
      </c>
      <c r="B6048" t="s">
        <v>5634</v>
      </c>
      <c r="C6048" t="s">
        <v>88</v>
      </c>
      <c r="D6048" t="s">
        <v>5635</v>
      </c>
      <c r="E6048" t="s">
        <v>1377</v>
      </c>
      <c r="F6048" t="s">
        <v>88</v>
      </c>
      <c r="G6048" t="s">
        <v>88</v>
      </c>
      <c r="H6048" t="s">
        <v>92</v>
      </c>
    </row>
    <row r="6049" spans="1:8" x14ac:dyDescent="0.25">
      <c r="A6049" t="s">
        <v>258</v>
      </c>
      <c r="B6049" t="s">
        <v>5636</v>
      </c>
      <c r="C6049" t="s">
        <v>88</v>
      </c>
      <c r="D6049" t="s">
        <v>5637</v>
      </c>
      <c r="E6049" t="s">
        <v>1717</v>
      </c>
      <c r="F6049" t="s">
        <v>88</v>
      </c>
      <c r="G6049" t="s">
        <v>88</v>
      </c>
      <c r="H6049" t="s">
        <v>92</v>
      </c>
    </row>
    <row r="6050" spans="1:8" x14ac:dyDescent="0.25">
      <c r="A6050" t="s">
        <v>258</v>
      </c>
      <c r="B6050" t="s">
        <v>5638</v>
      </c>
      <c r="C6050" t="s">
        <v>88</v>
      </c>
      <c r="D6050" t="s">
        <v>5639</v>
      </c>
      <c r="E6050" t="s">
        <v>807</v>
      </c>
      <c r="F6050" t="s">
        <v>88</v>
      </c>
      <c r="G6050" t="s">
        <v>88</v>
      </c>
      <c r="H6050" t="s">
        <v>92</v>
      </c>
    </row>
    <row r="6051" spans="1:8" x14ac:dyDescent="0.25">
      <c r="A6051" t="s">
        <v>258</v>
      </c>
      <c r="B6051" t="s">
        <v>5640</v>
      </c>
      <c r="C6051" t="s">
        <v>88</v>
      </c>
      <c r="D6051" t="s">
        <v>5641</v>
      </c>
      <c r="E6051" t="s">
        <v>1068</v>
      </c>
      <c r="F6051" t="s">
        <v>88</v>
      </c>
      <c r="G6051" t="s">
        <v>88</v>
      </c>
      <c r="H6051" t="s">
        <v>92</v>
      </c>
    </row>
    <row r="6052" spans="1:8" x14ac:dyDescent="0.25">
      <c r="A6052" t="s">
        <v>258</v>
      </c>
      <c r="B6052" t="s">
        <v>5642</v>
      </c>
      <c r="C6052" t="s">
        <v>88</v>
      </c>
      <c r="D6052" t="s">
        <v>5643</v>
      </c>
      <c r="E6052" t="s">
        <v>1137</v>
      </c>
      <c r="F6052" t="s">
        <v>88</v>
      </c>
      <c r="G6052" t="s">
        <v>88</v>
      </c>
      <c r="H6052" t="s">
        <v>92</v>
      </c>
    </row>
    <row r="6053" spans="1:8" x14ac:dyDescent="0.25">
      <c r="A6053" t="s">
        <v>258</v>
      </c>
      <c r="B6053" t="s">
        <v>5644</v>
      </c>
      <c r="C6053" t="s">
        <v>88</v>
      </c>
      <c r="D6053" t="s">
        <v>5645</v>
      </c>
      <c r="E6053" t="s">
        <v>1137</v>
      </c>
      <c r="F6053" t="s">
        <v>88</v>
      </c>
      <c r="G6053" t="s">
        <v>88</v>
      </c>
      <c r="H6053" t="s">
        <v>92</v>
      </c>
    </row>
    <row r="6054" spans="1:8" x14ac:dyDescent="0.25">
      <c r="A6054" t="s">
        <v>258</v>
      </c>
      <c r="B6054" t="s">
        <v>5646</v>
      </c>
      <c r="C6054" t="s">
        <v>88</v>
      </c>
      <c r="D6054" t="s">
        <v>5647</v>
      </c>
      <c r="E6054" t="s">
        <v>1068</v>
      </c>
      <c r="F6054" t="s">
        <v>88</v>
      </c>
      <c r="G6054" t="s">
        <v>88</v>
      </c>
      <c r="H6054" t="s">
        <v>92</v>
      </c>
    </row>
    <row r="6055" spans="1:8" x14ac:dyDescent="0.25">
      <c r="A6055" t="s">
        <v>258</v>
      </c>
      <c r="B6055" t="s">
        <v>5648</v>
      </c>
      <c r="C6055" t="s">
        <v>88</v>
      </c>
      <c r="D6055" t="s">
        <v>5649</v>
      </c>
      <c r="E6055" t="s">
        <v>4153</v>
      </c>
      <c r="F6055" t="s">
        <v>88</v>
      </c>
      <c r="G6055" t="s">
        <v>88</v>
      </c>
      <c r="H6055" t="s">
        <v>92</v>
      </c>
    </row>
    <row r="6056" spans="1:8" x14ac:dyDescent="0.25">
      <c r="A6056" t="s">
        <v>258</v>
      </c>
      <c r="B6056" t="s">
        <v>5650</v>
      </c>
      <c r="C6056" t="s">
        <v>88</v>
      </c>
      <c r="D6056" t="s">
        <v>5651</v>
      </c>
      <c r="E6056" t="s">
        <v>1920</v>
      </c>
      <c r="F6056" t="s">
        <v>88</v>
      </c>
      <c r="G6056" t="s">
        <v>88</v>
      </c>
      <c r="H6056" t="s">
        <v>92</v>
      </c>
    </row>
    <row r="6057" spans="1:8" x14ac:dyDescent="0.25">
      <c r="A6057" t="s">
        <v>258</v>
      </c>
      <c r="B6057" t="s">
        <v>5652</v>
      </c>
      <c r="C6057" t="s">
        <v>88</v>
      </c>
      <c r="D6057" t="s">
        <v>5653</v>
      </c>
      <c r="E6057" t="s">
        <v>5654</v>
      </c>
      <c r="F6057" t="s">
        <v>88</v>
      </c>
      <c r="G6057" t="s">
        <v>88</v>
      </c>
      <c r="H6057" t="s">
        <v>92</v>
      </c>
    </row>
    <row r="6058" spans="1:8" x14ac:dyDescent="0.25">
      <c r="A6058" t="s">
        <v>258</v>
      </c>
      <c r="B6058" t="s">
        <v>5655</v>
      </c>
      <c r="C6058" t="s">
        <v>88</v>
      </c>
      <c r="D6058" t="s">
        <v>5656</v>
      </c>
      <c r="E6058" t="s">
        <v>5654</v>
      </c>
      <c r="F6058" t="s">
        <v>88</v>
      </c>
      <c r="G6058" t="s">
        <v>88</v>
      </c>
      <c r="H6058" t="s">
        <v>92</v>
      </c>
    </row>
    <row r="6059" spans="1:8" x14ac:dyDescent="0.25">
      <c r="A6059" t="s">
        <v>258</v>
      </c>
      <c r="B6059" t="s">
        <v>5657</v>
      </c>
      <c r="C6059" t="s">
        <v>88</v>
      </c>
      <c r="D6059" t="s">
        <v>5658</v>
      </c>
      <c r="E6059" t="s">
        <v>5654</v>
      </c>
      <c r="F6059" t="s">
        <v>88</v>
      </c>
      <c r="G6059" t="s">
        <v>88</v>
      </c>
      <c r="H6059" t="s">
        <v>92</v>
      </c>
    </row>
    <row r="6060" spans="1:8" x14ac:dyDescent="0.25">
      <c r="A6060" t="s">
        <v>258</v>
      </c>
      <c r="B6060" t="s">
        <v>5659</v>
      </c>
      <c r="C6060" t="s">
        <v>88</v>
      </c>
      <c r="D6060" t="s">
        <v>5660</v>
      </c>
      <c r="E6060" t="s">
        <v>5661</v>
      </c>
      <c r="F6060" t="s">
        <v>88</v>
      </c>
      <c r="G6060" t="s">
        <v>88</v>
      </c>
      <c r="H6060" t="s">
        <v>92</v>
      </c>
    </row>
    <row r="6061" spans="1:8" x14ac:dyDescent="0.25">
      <c r="A6061" t="s">
        <v>258</v>
      </c>
      <c r="B6061" t="s">
        <v>5662</v>
      </c>
      <c r="C6061" t="s">
        <v>88</v>
      </c>
      <c r="D6061" t="s">
        <v>5663</v>
      </c>
      <c r="E6061" t="s">
        <v>723</v>
      </c>
      <c r="F6061" t="s">
        <v>88</v>
      </c>
      <c r="G6061" t="s">
        <v>88</v>
      </c>
      <c r="H6061" t="s">
        <v>92</v>
      </c>
    </row>
    <row r="6062" spans="1:8" x14ac:dyDescent="0.25">
      <c r="A6062" t="s">
        <v>258</v>
      </c>
      <c r="B6062" t="s">
        <v>5664</v>
      </c>
      <c r="C6062" t="s">
        <v>88</v>
      </c>
      <c r="D6062" t="s">
        <v>5665</v>
      </c>
      <c r="E6062" t="s">
        <v>723</v>
      </c>
      <c r="F6062" t="s">
        <v>88</v>
      </c>
      <c r="G6062" t="s">
        <v>88</v>
      </c>
      <c r="H6062" t="s">
        <v>92</v>
      </c>
    </row>
    <row r="6063" spans="1:8" x14ac:dyDescent="0.25">
      <c r="A6063" t="s">
        <v>258</v>
      </c>
      <c r="B6063" t="s">
        <v>5666</v>
      </c>
      <c r="C6063" t="s">
        <v>88</v>
      </c>
      <c r="D6063" t="s">
        <v>5667</v>
      </c>
      <c r="E6063" t="s">
        <v>723</v>
      </c>
      <c r="F6063" t="s">
        <v>88</v>
      </c>
      <c r="G6063" t="s">
        <v>88</v>
      </c>
      <c r="H6063" t="s">
        <v>92</v>
      </c>
    </row>
    <row r="6064" spans="1:8" x14ac:dyDescent="0.25">
      <c r="A6064" t="s">
        <v>258</v>
      </c>
      <c r="B6064" t="s">
        <v>5668</v>
      </c>
      <c r="C6064" t="s">
        <v>88</v>
      </c>
      <c r="D6064" t="s">
        <v>5669</v>
      </c>
      <c r="E6064" t="s">
        <v>838</v>
      </c>
      <c r="F6064" t="s">
        <v>88</v>
      </c>
      <c r="G6064" t="s">
        <v>88</v>
      </c>
      <c r="H6064" t="s">
        <v>92</v>
      </c>
    </row>
    <row r="6065" spans="1:8" x14ac:dyDescent="0.25">
      <c r="A6065" t="s">
        <v>258</v>
      </c>
      <c r="B6065" t="s">
        <v>5670</v>
      </c>
      <c r="C6065" t="s">
        <v>88</v>
      </c>
      <c r="D6065" t="s">
        <v>5566</v>
      </c>
      <c r="E6065" t="s">
        <v>3593</v>
      </c>
      <c r="F6065" t="s">
        <v>88</v>
      </c>
      <c r="G6065" t="s">
        <v>88</v>
      </c>
      <c r="H6065" t="s">
        <v>92</v>
      </c>
    </row>
    <row r="6066" spans="1:8" x14ac:dyDescent="0.25">
      <c r="A6066" t="s">
        <v>258</v>
      </c>
      <c r="B6066" t="s">
        <v>5671</v>
      </c>
      <c r="C6066" t="s">
        <v>88</v>
      </c>
      <c r="D6066" t="s">
        <v>5571</v>
      </c>
      <c r="E6066" t="s">
        <v>762</v>
      </c>
      <c r="F6066" t="s">
        <v>88</v>
      </c>
      <c r="G6066" t="s">
        <v>88</v>
      </c>
      <c r="H6066" t="s">
        <v>92</v>
      </c>
    </row>
    <row r="6067" spans="1:8" x14ac:dyDescent="0.25">
      <c r="A6067" t="s">
        <v>258</v>
      </c>
      <c r="B6067" t="s">
        <v>5672</v>
      </c>
      <c r="C6067" t="s">
        <v>88</v>
      </c>
      <c r="D6067" t="s">
        <v>5673</v>
      </c>
      <c r="E6067" t="s">
        <v>2686</v>
      </c>
      <c r="F6067" t="s">
        <v>88</v>
      </c>
      <c r="G6067" t="s">
        <v>88</v>
      </c>
      <c r="H6067" t="s">
        <v>92</v>
      </c>
    </row>
    <row r="6068" spans="1:8" x14ac:dyDescent="0.25">
      <c r="A6068" t="s">
        <v>258</v>
      </c>
      <c r="B6068" t="s">
        <v>1090</v>
      </c>
      <c r="C6068" t="s">
        <v>88</v>
      </c>
      <c r="D6068" t="s">
        <v>5674</v>
      </c>
      <c r="E6068" t="s">
        <v>2686</v>
      </c>
      <c r="F6068" t="s">
        <v>88</v>
      </c>
      <c r="G6068" t="s">
        <v>88</v>
      </c>
      <c r="H6068" t="s">
        <v>92</v>
      </c>
    </row>
    <row r="6069" spans="1:8" x14ac:dyDescent="0.25">
      <c r="A6069" t="s">
        <v>258</v>
      </c>
      <c r="B6069" t="s">
        <v>1106</v>
      </c>
      <c r="C6069" t="s">
        <v>88</v>
      </c>
      <c r="D6069" t="s">
        <v>5675</v>
      </c>
      <c r="E6069" t="s">
        <v>2686</v>
      </c>
      <c r="F6069" t="s">
        <v>88</v>
      </c>
      <c r="G6069" t="s">
        <v>88</v>
      </c>
      <c r="H6069" t="s">
        <v>92</v>
      </c>
    </row>
    <row r="6070" spans="1:8" x14ac:dyDescent="0.25">
      <c r="A6070" t="s">
        <v>258</v>
      </c>
      <c r="B6070" t="s">
        <v>5676</v>
      </c>
      <c r="C6070" t="s">
        <v>88</v>
      </c>
      <c r="D6070" t="s">
        <v>5677</v>
      </c>
      <c r="E6070" t="s">
        <v>2686</v>
      </c>
      <c r="F6070" t="s">
        <v>88</v>
      </c>
      <c r="G6070" t="s">
        <v>88</v>
      </c>
      <c r="H6070" t="s">
        <v>92</v>
      </c>
    </row>
    <row r="6071" spans="1:8" x14ac:dyDescent="0.25">
      <c r="A6071" t="s">
        <v>258</v>
      </c>
      <c r="B6071" t="s">
        <v>1097</v>
      </c>
      <c r="C6071" t="s">
        <v>88</v>
      </c>
      <c r="D6071" t="s">
        <v>5678</v>
      </c>
      <c r="E6071" t="s">
        <v>2686</v>
      </c>
      <c r="F6071" t="s">
        <v>88</v>
      </c>
      <c r="G6071" t="s">
        <v>88</v>
      </c>
      <c r="H6071" t="s">
        <v>92</v>
      </c>
    </row>
    <row r="6072" spans="1:8" x14ac:dyDescent="0.25">
      <c r="A6072" t="s">
        <v>258</v>
      </c>
      <c r="B6072" t="s">
        <v>1103</v>
      </c>
      <c r="C6072" t="s">
        <v>88</v>
      </c>
      <c r="D6072" t="s">
        <v>5679</v>
      </c>
      <c r="E6072" t="s">
        <v>2686</v>
      </c>
      <c r="F6072" t="s">
        <v>88</v>
      </c>
      <c r="G6072" t="s">
        <v>88</v>
      </c>
      <c r="H6072" t="s">
        <v>92</v>
      </c>
    </row>
    <row r="6073" spans="1:8" x14ac:dyDescent="0.25">
      <c r="A6073" t="s">
        <v>258</v>
      </c>
      <c r="B6073" t="s">
        <v>5680</v>
      </c>
      <c r="C6073" t="s">
        <v>88</v>
      </c>
      <c r="D6073" t="s">
        <v>5681</v>
      </c>
      <c r="E6073" t="s">
        <v>2686</v>
      </c>
      <c r="F6073" t="s">
        <v>88</v>
      </c>
      <c r="G6073" t="s">
        <v>88</v>
      </c>
      <c r="H6073" t="s">
        <v>92</v>
      </c>
    </row>
    <row r="6074" spans="1:8" x14ac:dyDescent="0.25">
      <c r="A6074" t="s">
        <v>258</v>
      </c>
      <c r="B6074" t="s">
        <v>5682</v>
      </c>
      <c r="C6074" t="s">
        <v>88</v>
      </c>
      <c r="D6074" t="s">
        <v>5683</v>
      </c>
      <c r="E6074" t="s">
        <v>2686</v>
      </c>
      <c r="F6074" t="s">
        <v>88</v>
      </c>
      <c r="G6074" t="s">
        <v>88</v>
      </c>
      <c r="H6074" t="s">
        <v>92</v>
      </c>
    </row>
    <row r="6075" spans="1:8" x14ac:dyDescent="0.25">
      <c r="A6075" t="s">
        <v>258</v>
      </c>
      <c r="B6075" t="s">
        <v>5684</v>
      </c>
      <c r="C6075" t="s">
        <v>88</v>
      </c>
      <c r="D6075" t="s">
        <v>5685</v>
      </c>
      <c r="E6075" t="s">
        <v>2686</v>
      </c>
      <c r="F6075" t="s">
        <v>88</v>
      </c>
      <c r="G6075" t="s">
        <v>88</v>
      </c>
      <c r="H6075" t="s">
        <v>92</v>
      </c>
    </row>
    <row r="6076" spans="1:8" x14ac:dyDescent="0.25">
      <c r="A6076" t="s">
        <v>258</v>
      </c>
      <c r="B6076" t="s">
        <v>5686</v>
      </c>
      <c r="C6076" t="s">
        <v>88</v>
      </c>
      <c r="D6076" t="s">
        <v>5687</v>
      </c>
      <c r="E6076" t="s">
        <v>2686</v>
      </c>
      <c r="F6076" t="s">
        <v>88</v>
      </c>
      <c r="G6076" t="s">
        <v>88</v>
      </c>
      <c r="H6076" t="s">
        <v>92</v>
      </c>
    </row>
    <row r="6077" spans="1:8" x14ac:dyDescent="0.25">
      <c r="A6077" t="s">
        <v>258</v>
      </c>
      <c r="B6077" t="s">
        <v>1096</v>
      </c>
      <c r="C6077" t="s">
        <v>88</v>
      </c>
      <c r="D6077" t="s">
        <v>5688</v>
      </c>
      <c r="E6077" t="s">
        <v>2686</v>
      </c>
      <c r="F6077" t="s">
        <v>88</v>
      </c>
      <c r="G6077" t="s">
        <v>88</v>
      </c>
      <c r="H6077" t="s">
        <v>92</v>
      </c>
    </row>
    <row r="6078" spans="1:8" x14ac:dyDescent="0.25">
      <c r="A6078" t="s">
        <v>258</v>
      </c>
      <c r="B6078" t="s">
        <v>5689</v>
      </c>
      <c r="C6078" t="s">
        <v>88</v>
      </c>
      <c r="D6078" t="s">
        <v>5690</v>
      </c>
      <c r="E6078" t="s">
        <v>2686</v>
      </c>
      <c r="F6078" t="s">
        <v>88</v>
      </c>
      <c r="G6078" t="s">
        <v>88</v>
      </c>
      <c r="H6078" t="s">
        <v>92</v>
      </c>
    </row>
    <row r="6079" spans="1:8" x14ac:dyDescent="0.25">
      <c r="A6079" t="s">
        <v>258</v>
      </c>
      <c r="B6079" t="s">
        <v>5691</v>
      </c>
      <c r="C6079" t="s">
        <v>88</v>
      </c>
      <c r="D6079" t="s">
        <v>5690</v>
      </c>
      <c r="E6079" t="s">
        <v>814</v>
      </c>
      <c r="F6079" t="s">
        <v>88</v>
      </c>
      <c r="G6079" t="s">
        <v>88</v>
      </c>
      <c r="H6079" t="s">
        <v>92</v>
      </c>
    </row>
    <row r="6080" spans="1:8" x14ac:dyDescent="0.25">
      <c r="A6080" t="s">
        <v>258</v>
      </c>
      <c r="B6080" t="s">
        <v>1902</v>
      </c>
      <c r="C6080" t="s">
        <v>88</v>
      </c>
      <c r="D6080" t="s">
        <v>5692</v>
      </c>
      <c r="E6080" t="s">
        <v>814</v>
      </c>
      <c r="F6080" t="s">
        <v>88</v>
      </c>
      <c r="G6080" t="s">
        <v>88</v>
      </c>
      <c r="H6080" t="s">
        <v>92</v>
      </c>
    </row>
    <row r="6081" spans="1:8" x14ac:dyDescent="0.25">
      <c r="A6081" t="s">
        <v>258</v>
      </c>
      <c r="B6081" t="s">
        <v>5693</v>
      </c>
      <c r="C6081" t="s">
        <v>88</v>
      </c>
      <c r="D6081" t="s">
        <v>5694</v>
      </c>
      <c r="E6081" t="s">
        <v>676</v>
      </c>
      <c r="F6081" t="s">
        <v>88</v>
      </c>
      <c r="G6081" t="s">
        <v>88</v>
      </c>
      <c r="H6081" t="s">
        <v>92</v>
      </c>
    </row>
    <row r="6082" spans="1:8" x14ac:dyDescent="0.25">
      <c r="A6082" t="s">
        <v>258</v>
      </c>
      <c r="B6082" t="s">
        <v>5695</v>
      </c>
      <c r="C6082" t="s">
        <v>88</v>
      </c>
      <c r="D6082" t="s">
        <v>5696</v>
      </c>
      <c r="E6082" t="s">
        <v>676</v>
      </c>
      <c r="F6082" t="s">
        <v>88</v>
      </c>
      <c r="G6082" t="s">
        <v>88</v>
      </c>
      <c r="H6082" t="s">
        <v>92</v>
      </c>
    </row>
    <row r="6083" spans="1:8" x14ac:dyDescent="0.25">
      <c r="A6083" t="s">
        <v>258</v>
      </c>
      <c r="B6083" t="s">
        <v>5697</v>
      </c>
      <c r="C6083" t="s">
        <v>88</v>
      </c>
      <c r="D6083" t="s">
        <v>5698</v>
      </c>
      <c r="E6083" t="s">
        <v>676</v>
      </c>
      <c r="F6083" t="s">
        <v>88</v>
      </c>
      <c r="G6083" t="s">
        <v>88</v>
      </c>
      <c r="H6083" t="s">
        <v>92</v>
      </c>
    </row>
    <row r="6084" spans="1:8" x14ac:dyDescent="0.25">
      <c r="A6084" t="s">
        <v>258</v>
      </c>
      <c r="B6084" t="s">
        <v>5699</v>
      </c>
      <c r="C6084" t="s">
        <v>88</v>
      </c>
      <c r="D6084" t="s">
        <v>5700</v>
      </c>
      <c r="E6084" t="s">
        <v>964</v>
      </c>
      <c r="F6084" t="s">
        <v>88</v>
      </c>
      <c r="G6084" t="s">
        <v>88</v>
      </c>
      <c r="H6084" t="s">
        <v>92</v>
      </c>
    </row>
    <row r="6085" spans="1:8" x14ac:dyDescent="0.25">
      <c r="A6085" t="s">
        <v>258</v>
      </c>
      <c r="B6085" t="s">
        <v>5701</v>
      </c>
      <c r="C6085" t="s">
        <v>88</v>
      </c>
      <c r="D6085" t="s">
        <v>5702</v>
      </c>
      <c r="E6085" t="s">
        <v>1006</v>
      </c>
      <c r="F6085" t="s">
        <v>88</v>
      </c>
      <c r="G6085" t="s">
        <v>88</v>
      </c>
      <c r="H6085" t="s">
        <v>92</v>
      </c>
    </row>
    <row r="6086" spans="1:8" x14ac:dyDescent="0.25">
      <c r="A6086" t="s">
        <v>258</v>
      </c>
      <c r="B6086" t="s">
        <v>5703</v>
      </c>
      <c r="C6086" t="s">
        <v>88</v>
      </c>
      <c r="D6086" t="s">
        <v>5704</v>
      </c>
      <c r="E6086" t="s">
        <v>805</v>
      </c>
      <c r="F6086" t="s">
        <v>88</v>
      </c>
      <c r="G6086" t="s">
        <v>88</v>
      </c>
      <c r="H6086" t="s">
        <v>92</v>
      </c>
    </row>
    <row r="6087" spans="1:8" x14ac:dyDescent="0.25">
      <c r="A6087" t="s">
        <v>258</v>
      </c>
      <c r="B6087" t="s">
        <v>5705</v>
      </c>
      <c r="C6087" t="s">
        <v>88</v>
      </c>
      <c r="D6087" t="s">
        <v>5706</v>
      </c>
      <c r="E6087" t="s">
        <v>1282</v>
      </c>
      <c r="F6087" t="s">
        <v>88</v>
      </c>
      <c r="G6087" t="s">
        <v>88</v>
      </c>
      <c r="H6087" t="s">
        <v>92</v>
      </c>
    </row>
    <row r="6088" spans="1:8" x14ac:dyDescent="0.25">
      <c r="A6088" t="s">
        <v>258</v>
      </c>
      <c r="B6088" t="s">
        <v>5707</v>
      </c>
      <c r="C6088" t="s">
        <v>88</v>
      </c>
      <c r="D6088" t="s">
        <v>5708</v>
      </c>
      <c r="E6088" t="s">
        <v>1282</v>
      </c>
      <c r="F6088" t="s">
        <v>88</v>
      </c>
      <c r="G6088" t="s">
        <v>88</v>
      </c>
      <c r="H6088" t="s">
        <v>92</v>
      </c>
    </row>
    <row r="6089" spans="1:8" x14ac:dyDescent="0.25">
      <c r="A6089" t="s">
        <v>258</v>
      </c>
      <c r="B6089" t="s">
        <v>5709</v>
      </c>
      <c r="C6089" t="s">
        <v>88</v>
      </c>
      <c r="D6089" t="s">
        <v>5710</v>
      </c>
      <c r="E6089" t="s">
        <v>1282</v>
      </c>
      <c r="F6089" t="s">
        <v>88</v>
      </c>
      <c r="G6089" t="s">
        <v>88</v>
      </c>
      <c r="H6089" t="s">
        <v>92</v>
      </c>
    </row>
    <row r="6090" spans="1:8" x14ac:dyDescent="0.25">
      <c r="A6090" t="s">
        <v>258</v>
      </c>
      <c r="B6090" t="s">
        <v>5711</v>
      </c>
      <c r="C6090" t="s">
        <v>88</v>
      </c>
      <c r="D6090" t="s">
        <v>5712</v>
      </c>
      <c r="E6090" t="s">
        <v>1596</v>
      </c>
      <c r="F6090" t="s">
        <v>88</v>
      </c>
      <c r="G6090" t="s">
        <v>88</v>
      </c>
      <c r="H6090" t="s">
        <v>92</v>
      </c>
    </row>
    <row r="6091" spans="1:8" x14ac:dyDescent="0.25">
      <c r="A6091" t="s">
        <v>258</v>
      </c>
      <c r="B6091" t="s">
        <v>5713</v>
      </c>
      <c r="C6091" t="s">
        <v>88</v>
      </c>
      <c r="D6091" t="s">
        <v>5714</v>
      </c>
      <c r="E6091" t="s">
        <v>1596</v>
      </c>
      <c r="F6091" t="s">
        <v>88</v>
      </c>
      <c r="G6091" t="s">
        <v>88</v>
      </c>
      <c r="H6091" t="s">
        <v>92</v>
      </c>
    </row>
    <row r="6092" spans="1:8" x14ac:dyDescent="0.25">
      <c r="A6092" t="s">
        <v>258</v>
      </c>
      <c r="B6092" t="s">
        <v>5715</v>
      </c>
      <c r="C6092" t="s">
        <v>88</v>
      </c>
      <c r="D6092" t="s">
        <v>5712</v>
      </c>
      <c r="E6092" t="s">
        <v>937</v>
      </c>
      <c r="F6092" t="s">
        <v>88</v>
      </c>
      <c r="G6092" t="s">
        <v>88</v>
      </c>
      <c r="H6092" t="s">
        <v>92</v>
      </c>
    </row>
    <row r="6093" spans="1:8" x14ac:dyDescent="0.25">
      <c r="A6093" t="s">
        <v>258</v>
      </c>
      <c r="B6093" t="s">
        <v>5716</v>
      </c>
      <c r="C6093" t="s">
        <v>88</v>
      </c>
      <c r="D6093" t="s">
        <v>5714</v>
      </c>
      <c r="E6093" t="s">
        <v>937</v>
      </c>
      <c r="F6093" t="s">
        <v>88</v>
      </c>
      <c r="G6093" t="s">
        <v>88</v>
      </c>
      <c r="H6093" t="s">
        <v>92</v>
      </c>
    </row>
    <row r="6094" spans="1:8" x14ac:dyDescent="0.25">
      <c r="A6094" t="s">
        <v>258</v>
      </c>
      <c r="B6094" t="s">
        <v>5717</v>
      </c>
      <c r="C6094" t="s">
        <v>88</v>
      </c>
      <c r="D6094" t="s">
        <v>5714</v>
      </c>
      <c r="E6094" t="s">
        <v>1596</v>
      </c>
      <c r="F6094" t="s">
        <v>88</v>
      </c>
      <c r="G6094" t="s">
        <v>88</v>
      </c>
      <c r="H6094" t="s">
        <v>92</v>
      </c>
    </row>
    <row r="6095" spans="1:8" x14ac:dyDescent="0.25">
      <c r="A6095" t="s">
        <v>258</v>
      </c>
      <c r="B6095" t="s">
        <v>5718</v>
      </c>
      <c r="C6095" t="s">
        <v>88</v>
      </c>
      <c r="D6095" t="s">
        <v>5714</v>
      </c>
      <c r="E6095" t="s">
        <v>673</v>
      </c>
      <c r="F6095" t="s">
        <v>88</v>
      </c>
      <c r="G6095" t="s">
        <v>88</v>
      </c>
      <c r="H6095" t="s">
        <v>92</v>
      </c>
    </row>
    <row r="6096" spans="1:8" x14ac:dyDescent="0.25">
      <c r="A6096" t="s">
        <v>258</v>
      </c>
      <c r="B6096" t="s">
        <v>5719</v>
      </c>
      <c r="C6096" t="s">
        <v>88</v>
      </c>
      <c r="D6096" t="s">
        <v>5720</v>
      </c>
      <c r="E6096" t="s">
        <v>1596</v>
      </c>
      <c r="F6096" t="s">
        <v>88</v>
      </c>
      <c r="G6096" t="s">
        <v>88</v>
      </c>
      <c r="H6096" t="s">
        <v>92</v>
      </c>
    </row>
    <row r="6097" spans="1:8" x14ac:dyDescent="0.25">
      <c r="A6097" t="s">
        <v>258</v>
      </c>
      <c r="B6097" t="s">
        <v>5721</v>
      </c>
      <c r="C6097" t="s">
        <v>88</v>
      </c>
      <c r="D6097" t="s">
        <v>5720</v>
      </c>
      <c r="E6097" t="s">
        <v>673</v>
      </c>
      <c r="F6097" t="s">
        <v>88</v>
      </c>
      <c r="G6097" t="s">
        <v>88</v>
      </c>
      <c r="H6097" t="s">
        <v>92</v>
      </c>
    </row>
    <row r="6098" spans="1:8" x14ac:dyDescent="0.25">
      <c r="A6098" t="s">
        <v>258</v>
      </c>
      <c r="B6098" t="s">
        <v>5722</v>
      </c>
      <c r="C6098" t="s">
        <v>88</v>
      </c>
      <c r="D6098" t="s">
        <v>5723</v>
      </c>
      <c r="E6098" t="s">
        <v>715</v>
      </c>
      <c r="F6098" t="s">
        <v>88</v>
      </c>
      <c r="G6098" t="s">
        <v>88</v>
      </c>
      <c r="H6098" t="s">
        <v>92</v>
      </c>
    </row>
    <row r="6099" spans="1:8" x14ac:dyDescent="0.25">
      <c r="A6099" t="s">
        <v>258</v>
      </c>
      <c r="B6099" t="s">
        <v>5724</v>
      </c>
      <c r="C6099" t="s">
        <v>88</v>
      </c>
      <c r="D6099" t="s">
        <v>5723</v>
      </c>
      <c r="E6099" t="s">
        <v>748</v>
      </c>
      <c r="F6099" t="s">
        <v>88</v>
      </c>
      <c r="G6099" t="s">
        <v>88</v>
      </c>
      <c r="H6099" t="s">
        <v>92</v>
      </c>
    </row>
    <row r="6100" spans="1:8" x14ac:dyDescent="0.25">
      <c r="A6100" t="s">
        <v>258</v>
      </c>
      <c r="B6100" t="s">
        <v>5725</v>
      </c>
      <c r="C6100" t="s">
        <v>88</v>
      </c>
      <c r="D6100" t="s">
        <v>5723</v>
      </c>
      <c r="E6100" t="s">
        <v>979</v>
      </c>
      <c r="F6100" t="s">
        <v>88</v>
      </c>
      <c r="G6100" t="s">
        <v>88</v>
      </c>
      <c r="H6100" t="s">
        <v>92</v>
      </c>
    </row>
    <row r="6101" spans="1:8" x14ac:dyDescent="0.25">
      <c r="A6101" t="s">
        <v>258</v>
      </c>
      <c r="B6101" t="s">
        <v>5726</v>
      </c>
      <c r="C6101" t="s">
        <v>88</v>
      </c>
      <c r="D6101" t="s">
        <v>5727</v>
      </c>
      <c r="E6101" t="s">
        <v>3593</v>
      </c>
      <c r="F6101" t="s">
        <v>88</v>
      </c>
      <c r="G6101" t="s">
        <v>88</v>
      </c>
      <c r="H6101" t="s">
        <v>92</v>
      </c>
    </row>
    <row r="6102" spans="1:8" x14ac:dyDescent="0.25">
      <c r="A6102" t="s">
        <v>258</v>
      </c>
      <c r="B6102" t="s">
        <v>5728</v>
      </c>
      <c r="C6102" t="s">
        <v>88</v>
      </c>
      <c r="D6102" t="s">
        <v>5729</v>
      </c>
      <c r="E6102" t="s">
        <v>820</v>
      </c>
      <c r="F6102" t="s">
        <v>88</v>
      </c>
      <c r="G6102" t="s">
        <v>88</v>
      </c>
      <c r="H6102" t="s">
        <v>92</v>
      </c>
    </row>
    <row r="6103" spans="1:8" x14ac:dyDescent="0.25">
      <c r="A6103" t="s">
        <v>258</v>
      </c>
      <c r="B6103" t="s">
        <v>5730</v>
      </c>
      <c r="C6103" t="s">
        <v>88</v>
      </c>
      <c r="D6103" t="s">
        <v>5731</v>
      </c>
      <c r="E6103" t="s">
        <v>3593</v>
      </c>
      <c r="F6103" t="s">
        <v>88</v>
      </c>
      <c r="G6103" t="s">
        <v>88</v>
      </c>
      <c r="H6103" t="s">
        <v>92</v>
      </c>
    </row>
    <row r="6104" spans="1:8" x14ac:dyDescent="0.25">
      <c r="A6104" t="s">
        <v>258</v>
      </c>
      <c r="B6104" t="s">
        <v>5732</v>
      </c>
      <c r="C6104" t="s">
        <v>88</v>
      </c>
      <c r="D6104" t="s">
        <v>5733</v>
      </c>
      <c r="E6104" t="s">
        <v>836</v>
      </c>
      <c r="F6104" t="s">
        <v>88</v>
      </c>
      <c r="G6104" t="s">
        <v>88</v>
      </c>
      <c r="H6104" t="s">
        <v>92</v>
      </c>
    </row>
    <row r="6105" spans="1:8" x14ac:dyDescent="0.25">
      <c r="A6105" t="s">
        <v>258</v>
      </c>
      <c r="B6105" t="s">
        <v>5734</v>
      </c>
      <c r="C6105" t="s">
        <v>88</v>
      </c>
      <c r="D6105" t="s">
        <v>5735</v>
      </c>
      <c r="E6105" t="s">
        <v>1680</v>
      </c>
      <c r="F6105" t="s">
        <v>88</v>
      </c>
      <c r="G6105" t="s">
        <v>88</v>
      </c>
      <c r="H6105" t="s">
        <v>92</v>
      </c>
    </row>
    <row r="6106" spans="1:8" x14ac:dyDescent="0.25">
      <c r="A6106" t="s">
        <v>258</v>
      </c>
      <c r="B6106" t="s">
        <v>5736</v>
      </c>
      <c r="C6106" t="s">
        <v>88</v>
      </c>
      <c r="D6106" t="s">
        <v>5737</v>
      </c>
      <c r="E6106" t="s">
        <v>1680</v>
      </c>
      <c r="F6106" t="s">
        <v>88</v>
      </c>
      <c r="G6106" t="s">
        <v>88</v>
      </c>
      <c r="H6106" t="s">
        <v>92</v>
      </c>
    </row>
    <row r="6107" spans="1:8" x14ac:dyDescent="0.25">
      <c r="A6107" t="s">
        <v>258</v>
      </c>
      <c r="B6107" t="s">
        <v>5738</v>
      </c>
      <c r="C6107" t="s">
        <v>88</v>
      </c>
      <c r="D6107" t="s">
        <v>5739</v>
      </c>
      <c r="E6107" t="s">
        <v>2833</v>
      </c>
      <c r="F6107" t="s">
        <v>88</v>
      </c>
      <c r="G6107" t="s">
        <v>88</v>
      </c>
      <c r="H6107" t="s">
        <v>92</v>
      </c>
    </row>
    <row r="6108" spans="1:8" x14ac:dyDescent="0.25">
      <c r="A6108" t="s">
        <v>258</v>
      </c>
      <c r="B6108" t="s">
        <v>5740</v>
      </c>
      <c r="C6108" t="s">
        <v>88</v>
      </c>
      <c r="D6108" t="s">
        <v>5741</v>
      </c>
      <c r="E6108" t="s">
        <v>2833</v>
      </c>
      <c r="F6108" t="s">
        <v>88</v>
      </c>
      <c r="G6108" t="s">
        <v>88</v>
      </c>
      <c r="H6108" t="s">
        <v>92</v>
      </c>
    </row>
    <row r="6109" spans="1:8" x14ac:dyDescent="0.25">
      <c r="A6109" t="s">
        <v>258</v>
      </c>
      <c r="B6109" t="s">
        <v>5742</v>
      </c>
      <c r="C6109" t="s">
        <v>88</v>
      </c>
      <c r="D6109" t="s">
        <v>5743</v>
      </c>
      <c r="E6109" t="s">
        <v>849</v>
      </c>
      <c r="F6109" t="s">
        <v>88</v>
      </c>
      <c r="G6109" t="s">
        <v>88</v>
      </c>
      <c r="H6109" t="s">
        <v>92</v>
      </c>
    </row>
    <row r="6110" spans="1:8" x14ac:dyDescent="0.25">
      <c r="A6110" t="s">
        <v>258</v>
      </c>
      <c r="B6110" t="s">
        <v>5744</v>
      </c>
      <c r="C6110" t="s">
        <v>88</v>
      </c>
      <c r="D6110" t="s">
        <v>5745</v>
      </c>
      <c r="E6110" t="s">
        <v>849</v>
      </c>
      <c r="F6110" t="s">
        <v>88</v>
      </c>
      <c r="G6110" t="s">
        <v>88</v>
      </c>
      <c r="H6110" t="s">
        <v>92</v>
      </c>
    </row>
    <row r="6111" spans="1:8" x14ac:dyDescent="0.25">
      <c r="A6111" t="s">
        <v>258</v>
      </c>
      <c r="B6111" t="s">
        <v>5746</v>
      </c>
      <c r="C6111" t="s">
        <v>88</v>
      </c>
      <c r="D6111" t="s">
        <v>5747</v>
      </c>
      <c r="E6111" t="s">
        <v>849</v>
      </c>
      <c r="F6111" t="s">
        <v>88</v>
      </c>
      <c r="G6111" t="s">
        <v>88</v>
      </c>
      <c r="H6111" t="s">
        <v>92</v>
      </c>
    </row>
    <row r="6112" spans="1:8" x14ac:dyDescent="0.25">
      <c r="A6112" t="s">
        <v>258</v>
      </c>
      <c r="B6112" t="s">
        <v>5748</v>
      </c>
      <c r="C6112" t="s">
        <v>88</v>
      </c>
      <c r="D6112" t="s">
        <v>5749</v>
      </c>
      <c r="E6112" t="s">
        <v>841</v>
      </c>
      <c r="F6112" t="s">
        <v>88</v>
      </c>
      <c r="G6112" t="s">
        <v>88</v>
      </c>
      <c r="H6112" t="s">
        <v>92</v>
      </c>
    </row>
    <row r="6113" spans="1:8" x14ac:dyDescent="0.25">
      <c r="A6113" t="s">
        <v>258</v>
      </c>
      <c r="B6113" t="s">
        <v>5750</v>
      </c>
      <c r="C6113" t="s">
        <v>88</v>
      </c>
      <c r="D6113" t="s">
        <v>5751</v>
      </c>
      <c r="E6113" t="s">
        <v>841</v>
      </c>
      <c r="F6113" t="s">
        <v>88</v>
      </c>
      <c r="G6113" t="s">
        <v>88</v>
      </c>
      <c r="H6113" t="s">
        <v>92</v>
      </c>
    </row>
    <row r="6114" spans="1:8" x14ac:dyDescent="0.25">
      <c r="A6114" t="s">
        <v>258</v>
      </c>
      <c r="B6114" t="s">
        <v>5752</v>
      </c>
      <c r="C6114" t="s">
        <v>88</v>
      </c>
      <c r="D6114" t="s">
        <v>5753</v>
      </c>
      <c r="E6114" t="s">
        <v>841</v>
      </c>
      <c r="F6114" t="s">
        <v>88</v>
      </c>
      <c r="G6114" t="s">
        <v>88</v>
      </c>
      <c r="H6114" t="s">
        <v>92</v>
      </c>
    </row>
    <row r="6115" spans="1:8" x14ac:dyDescent="0.25">
      <c r="A6115" t="s">
        <v>258</v>
      </c>
      <c r="B6115" t="s">
        <v>5754</v>
      </c>
      <c r="C6115" t="s">
        <v>88</v>
      </c>
      <c r="D6115" t="s">
        <v>5755</v>
      </c>
      <c r="E6115" t="s">
        <v>849</v>
      </c>
      <c r="F6115" t="s">
        <v>88</v>
      </c>
      <c r="G6115" t="s">
        <v>88</v>
      </c>
      <c r="H6115" t="s">
        <v>92</v>
      </c>
    </row>
    <row r="6116" spans="1:8" x14ac:dyDescent="0.25">
      <c r="A6116" t="s">
        <v>258</v>
      </c>
      <c r="B6116" t="s">
        <v>5756</v>
      </c>
      <c r="C6116" t="s">
        <v>88</v>
      </c>
      <c r="D6116" t="s">
        <v>5757</v>
      </c>
      <c r="E6116" t="s">
        <v>849</v>
      </c>
      <c r="F6116" t="s">
        <v>88</v>
      </c>
      <c r="G6116" t="s">
        <v>88</v>
      </c>
      <c r="H6116" t="s">
        <v>92</v>
      </c>
    </row>
    <row r="6117" spans="1:8" x14ac:dyDescent="0.25">
      <c r="A6117" t="s">
        <v>258</v>
      </c>
      <c r="B6117" t="s">
        <v>5758</v>
      </c>
      <c r="C6117" t="s">
        <v>88</v>
      </c>
      <c r="D6117" t="s">
        <v>5759</v>
      </c>
      <c r="E6117" t="s">
        <v>849</v>
      </c>
      <c r="F6117" t="s">
        <v>88</v>
      </c>
      <c r="G6117" t="s">
        <v>88</v>
      </c>
      <c r="H6117" t="s">
        <v>92</v>
      </c>
    </row>
    <row r="6118" spans="1:8" x14ac:dyDescent="0.25">
      <c r="A6118" t="s">
        <v>258</v>
      </c>
      <c r="B6118" t="s">
        <v>5760</v>
      </c>
      <c r="C6118" t="s">
        <v>88</v>
      </c>
      <c r="D6118" t="s">
        <v>5761</v>
      </c>
      <c r="E6118" t="s">
        <v>841</v>
      </c>
      <c r="F6118" t="s">
        <v>88</v>
      </c>
      <c r="G6118" t="s">
        <v>88</v>
      </c>
      <c r="H6118" t="s">
        <v>92</v>
      </c>
    </row>
    <row r="6119" spans="1:8" x14ac:dyDescent="0.25">
      <c r="A6119" t="s">
        <v>258</v>
      </c>
      <c r="B6119" t="s">
        <v>5762</v>
      </c>
      <c r="C6119" t="s">
        <v>88</v>
      </c>
      <c r="D6119" t="s">
        <v>5763</v>
      </c>
      <c r="E6119" t="s">
        <v>841</v>
      </c>
      <c r="F6119" t="s">
        <v>88</v>
      </c>
      <c r="G6119" t="s">
        <v>88</v>
      </c>
      <c r="H6119" t="s">
        <v>92</v>
      </c>
    </row>
    <row r="6120" spans="1:8" x14ac:dyDescent="0.25">
      <c r="A6120" t="s">
        <v>258</v>
      </c>
      <c r="B6120" t="s">
        <v>5764</v>
      </c>
      <c r="C6120" t="s">
        <v>88</v>
      </c>
      <c r="D6120" t="s">
        <v>5765</v>
      </c>
      <c r="E6120" t="s">
        <v>841</v>
      </c>
      <c r="F6120" t="s">
        <v>88</v>
      </c>
      <c r="G6120" t="s">
        <v>88</v>
      </c>
      <c r="H6120" t="s">
        <v>92</v>
      </c>
    </row>
    <row r="6121" spans="1:8" x14ac:dyDescent="0.25">
      <c r="A6121" t="s">
        <v>258</v>
      </c>
      <c r="B6121" t="s">
        <v>5766</v>
      </c>
      <c r="C6121" t="s">
        <v>88</v>
      </c>
      <c r="D6121" t="s">
        <v>5767</v>
      </c>
      <c r="E6121" t="s">
        <v>848</v>
      </c>
      <c r="F6121" t="s">
        <v>88</v>
      </c>
      <c r="G6121" t="s">
        <v>88</v>
      </c>
      <c r="H6121" t="s">
        <v>92</v>
      </c>
    </row>
    <row r="6122" spans="1:8" x14ac:dyDescent="0.25">
      <c r="A6122" t="s">
        <v>258</v>
      </c>
      <c r="B6122" t="s">
        <v>5768</v>
      </c>
      <c r="C6122" t="s">
        <v>88</v>
      </c>
      <c r="D6122" t="s">
        <v>5767</v>
      </c>
      <c r="E6122" t="s">
        <v>848</v>
      </c>
      <c r="F6122" t="s">
        <v>88</v>
      </c>
      <c r="G6122" t="s">
        <v>88</v>
      </c>
      <c r="H6122" t="s">
        <v>92</v>
      </c>
    </row>
    <row r="6123" spans="1:8" x14ac:dyDescent="0.25">
      <c r="A6123" t="s">
        <v>258</v>
      </c>
      <c r="B6123" t="s">
        <v>5769</v>
      </c>
      <c r="C6123" t="s">
        <v>88</v>
      </c>
      <c r="D6123" t="s">
        <v>5770</v>
      </c>
      <c r="E6123" t="s">
        <v>1594</v>
      </c>
      <c r="F6123" t="s">
        <v>88</v>
      </c>
      <c r="G6123" t="s">
        <v>88</v>
      </c>
      <c r="H6123" t="s">
        <v>92</v>
      </c>
    </row>
    <row r="6124" spans="1:8" x14ac:dyDescent="0.25">
      <c r="A6124" t="s">
        <v>258</v>
      </c>
      <c r="B6124" t="s">
        <v>5771</v>
      </c>
      <c r="C6124" t="s">
        <v>88</v>
      </c>
      <c r="D6124" t="s">
        <v>88</v>
      </c>
      <c r="E6124" t="s">
        <v>3397</v>
      </c>
      <c r="F6124" t="s">
        <v>88</v>
      </c>
      <c r="G6124" t="s">
        <v>88</v>
      </c>
      <c r="H6124" t="s">
        <v>92</v>
      </c>
    </row>
    <row r="6125" spans="1:8" x14ac:dyDescent="0.25">
      <c r="A6125" t="s">
        <v>258</v>
      </c>
      <c r="B6125" t="s">
        <v>5772</v>
      </c>
      <c r="C6125" t="s">
        <v>88</v>
      </c>
      <c r="D6125" t="s">
        <v>5773</v>
      </c>
      <c r="E6125" t="s">
        <v>709</v>
      </c>
      <c r="F6125" t="s">
        <v>88</v>
      </c>
      <c r="G6125" t="s">
        <v>88</v>
      </c>
      <c r="H6125" t="s">
        <v>92</v>
      </c>
    </row>
    <row r="6126" spans="1:8" x14ac:dyDescent="0.25">
      <c r="A6126" t="s">
        <v>258</v>
      </c>
      <c r="B6126" t="s">
        <v>5774</v>
      </c>
      <c r="C6126" t="s">
        <v>88</v>
      </c>
      <c r="D6126" t="s">
        <v>5775</v>
      </c>
      <c r="E6126" t="s">
        <v>709</v>
      </c>
      <c r="F6126" t="s">
        <v>88</v>
      </c>
      <c r="G6126" t="s">
        <v>88</v>
      </c>
      <c r="H6126" t="s">
        <v>92</v>
      </c>
    </row>
    <row r="6127" spans="1:8" x14ac:dyDescent="0.25">
      <c r="A6127" t="s">
        <v>258</v>
      </c>
      <c r="B6127" t="s">
        <v>5776</v>
      </c>
      <c r="C6127" t="s">
        <v>88</v>
      </c>
      <c r="D6127" t="s">
        <v>5777</v>
      </c>
      <c r="E6127" t="s">
        <v>1139</v>
      </c>
      <c r="F6127" t="s">
        <v>88</v>
      </c>
      <c r="G6127" t="s">
        <v>88</v>
      </c>
      <c r="H6127" t="s">
        <v>92</v>
      </c>
    </row>
    <row r="6128" spans="1:8" x14ac:dyDescent="0.25">
      <c r="A6128" t="s">
        <v>258</v>
      </c>
      <c r="B6128" t="s">
        <v>5778</v>
      </c>
      <c r="C6128" t="s">
        <v>88</v>
      </c>
      <c r="D6128" t="s">
        <v>5779</v>
      </c>
      <c r="E6128" t="s">
        <v>2481</v>
      </c>
      <c r="F6128" t="s">
        <v>88</v>
      </c>
      <c r="G6128" t="s">
        <v>88</v>
      </c>
      <c r="H6128" t="s">
        <v>92</v>
      </c>
    </row>
    <row r="6129" spans="1:8" x14ac:dyDescent="0.25">
      <c r="A6129" t="s">
        <v>258</v>
      </c>
      <c r="B6129" t="s">
        <v>5780</v>
      </c>
      <c r="C6129" t="s">
        <v>88</v>
      </c>
      <c r="D6129" t="s">
        <v>5781</v>
      </c>
      <c r="E6129" t="s">
        <v>748</v>
      </c>
      <c r="F6129" t="s">
        <v>88</v>
      </c>
      <c r="G6129" t="s">
        <v>88</v>
      </c>
      <c r="H6129" t="s">
        <v>92</v>
      </c>
    </row>
    <row r="6130" spans="1:8" x14ac:dyDescent="0.25">
      <c r="A6130" t="s">
        <v>258</v>
      </c>
      <c r="B6130" t="s">
        <v>5782</v>
      </c>
      <c r="C6130" t="s">
        <v>88</v>
      </c>
      <c r="D6130" t="s">
        <v>5783</v>
      </c>
      <c r="E6130" t="s">
        <v>748</v>
      </c>
      <c r="F6130" t="s">
        <v>88</v>
      </c>
      <c r="G6130" t="s">
        <v>88</v>
      </c>
      <c r="H6130" t="s">
        <v>92</v>
      </c>
    </row>
    <row r="6131" spans="1:8" x14ac:dyDescent="0.25">
      <c r="A6131" t="s">
        <v>258</v>
      </c>
      <c r="B6131" t="s">
        <v>5784</v>
      </c>
      <c r="C6131" t="s">
        <v>88</v>
      </c>
      <c r="D6131" t="s">
        <v>5785</v>
      </c>
      <c r="E6131" t="s">
        <v>748</v>
      </c>
      <c r="F6131" t="s">
        <v>88</v>
      </c>
      <c r="G6131" t="s">
        <v>88</v>
      </c>
      <c r="H6131" t="s">
        <v>92</v>
      </c>
    </row>
    <row r="6132" spans="1:8" x14ac:dyDescent="0.25">
      <c r="A6132" t="s">
        <v>258</v>
      </c>
      <c r="B6132" t="s">
        <v>5786</v>
      </c>
      <c r="C6132" t="s">
        <v>88</v>
      </c>
      <c r="D6132" t="s">
        <v>5787</v>
      </c>
      <c r="E6132" t="s">
        <v>748</v>
      </c>
      <c r="F6132" t="s">
        <v>88</v>
      </c>
      <c r="G6132" t="s">
        <v>88</v>
      </c>
      <c r="H6132" t="s">
        <v>92</v>
      </c>
    </row>
    <row r="6133" spans="1:8" x14ac:dyDescent="0.25">
      <c r="A6133" t="s">
        <v>258</v>
      </c>
      <c r="B6133" t="s">
        <v>5788</v>
      </c>
      <c r="C6133" t="s">
        <v>88</v>
      </c>
      <c r="D6133" t="s">
        <v>5789</v>
      </c>
      <c r="E6133" t="s">
        <v>748</v>
      </c>
      <c r="F6133" t="s">
        <v>88</v>
      </c>
      <c r="G6133" t="s">
        <v>88</v>
      </c>
      <c r="H6133" t="s">
        <v>92</v>
      </c>
    </row>
    <row r="6134" spans="1:8" x14ac:dyDescent="0.25">
      <c r="A6134" t="s">
        <v>258</v>
      </c>
      <c r="B6134" t="s">
        <v>5790</v>
      </c>
      <c r="C6134" t="s">
        <v>88</v>
      </c>
      <c r="D6134" t="s">
        <v>5791</v>
      </c>
      <c r="E6134" t="s">
        <v>658</v>
      </c>
      <c r="F6134" t="s">
        <v>88</v>
      </c>
      <c r="G6134" t="s">
        <v>88</v>
      </c>
      <c r="H6134" t="s">
        <v>92</v>
      </c>
    </row>
    <row r="6135" spans="1:8" x14ac:dyDescent="0.25">
      <c r="A6135" t="s">
        <v>258</v>
      </c>
      <c r="B6135" t="s">
        <v>5792</v>
      </c>
      <c r="C6135" t="s">
        <v>88</v>
      </c>
      <c r="D6135" t="s">
        <v>5791</v>
      </c>
      <c r="E6135" t="s">
        <v>658</v>
      </c>
      <c r="F6135" t="s">
        <v>88</v>
      </c>
      <c r="G6135" t="s">
        <v>88</v>
      </c>
      <c r="H6135" t="s">
        <v>92</v>
      </c>
    </row>
    <row r="6136" spans="1:8" x14ac:dyDescent="0.25">
      <c r="A6136" t="s">
        <v>258</v>
      </c>
      <c r="B6136" t="s">
        <v>5793</v>
      </c>
      <c r="C6136" t="s">
        <v>88</v>
      </c>
      <c r="D6136" t="s">
        <v>5791</v>
      </c>
      <c r="E6136" t="s">
        <v>658</v>
      </c>
      <c r="F6136" t="s">
        <v>88</v>
      </c>
      <c r="G6136" t="s">
        <v>88</v>
      </c>
      <c r="H6136" t="s">
        <v>92</v>
      </c>
    </row>
    <row r="6137" spans="1:8" x14ac:dyDescent="0.25">
      <c r="A6137" t="s">
        <v>258</v>
      </c>
      <c r="B6137" t="s">
        <v>5794</v>
      </c>
      <c r="C6137" t="s">
        <v>88</v>
      </c>
      <c r="D6137" t="s">
        <v>5795</v>
      </c>
      <c r="E6137" t="s">
        <v>658</v>
      </c>
      <c r="F6137" t="s">
        <v>88</v>
      </c>
      <c r="G6137" t="s">
        <v>88</v>
      </c>
      <c r="H6137" t="s">
        <v>92</v>
      </c>
    </row>
    <row r="6138" spans="1:8" x14ac:dyDescent="0.25">
      <c r="A6138" t="s">
        <v>258</v>
      </c>
      <c r="B6138" t="s">
        <v>5796</v>
      </c>
      <c r="C6138" t="s">
        <v>88</v>
      </c>
      <c r="D6138" t="s">
        <v>5795</v>
      </c>
      <c r="E6138" t="s">
        <v>658</v>
      </c>
      <c r="F6138" t="s">
        <v>88</v>
      </c>
      <c r="G6138" t="s">
        <v>88</v>
      </c>
      <c r="H6138" t="s">
        <v>92</v>
      </c>
    </row>
    <row r="6139" spans="1:8" x14ac:dyDescent="0.25">
      <c r="A6139" t="s">
        <v>258</v>
      </c>
      <c r="B6139" t="s">
        <v>5797</v>
      </c>
      <c r="C6139" t="s">
        <v>88</v>
      </c>
      <c r="D6139" t="s">
        <v>5795</v>
      </c>
      <c r="E6139" t="s">
        <v>658</v>
      </c>
      <c r="F6139" t="s">
        <v>88</v>
      </c>
      <c r="G6139" t="s">
        <v>88</v>
      </c>
      <c r="H6139" t="s">
        <v>92</v>
      </c>
    </row>
    <row r="6140" spans="1:8" x14ac:dyDescent="0.25">
      <c r="A6140" t="s">
        <v>258</v>
      </c>
      <c r="B6140" t="s">
        <v>5798</v>
      </c>
      <c r="C6140" t="s">
        <v>88</v>
      </c>
      <c r="D6140" t="s">
        <v>5795</v>
      </c>
      <c r="E6140" t="s">
        <v>658</v>
      </c>
      <c r="F6140" t="s">
        <v>88</v>
      </c>
      <c r="G6140" t="s">
        <v>88</v>
      </c>
      <c r="H6140" t="s">
        <v>92</v>
      </c>
    </row>
    <row r="6141" spans="1:8" x14ac:dyDescent="0.25">
      <c r="A6141" t="s">
        <v>258</v>
      </c>
      <c r="B6141" t="s">
        <v>5799</v>
      </c>
      <c r="C6141" t="s">
        <v>88</v>
      </c>
      <c r="D6141" t="s">
        <v>5795</v>
      </c>
      <c r="E6141" t="s">
        <v>658</v>
      </c>
      <c r="F6141" t="s">
        <v>88</v>
      </c>
      <c r="G6141" t="s">
        <v>88</v>
      </c>
      <c r="H6141" t="s">
        <v>92</v>
      </c>
    </row>
    <row r="6142" spans="1:8" x14ac:dyDescent="0.25">
      <c r="A6142" t="s">
        <v>258</v>
      </c>
      <c r="B6142" t="s">
        <v>5800</v>
      </c>
      <c r="C6142" t="s">
        <v>88</v>
      </c>
      <c r="D6142" t="s">
        <v>5767</v>
      </c>
      <c r="E6142" t="s">
        <v>814</v>
      </c>
      <c r="F6142" t="s">
        <v>88</v>
      </c>
      <c r="G6142" t="s">
        <v>88</v>
      </c>
      <c r="H6142" t="s">
        <v>92</v>
      </c>
    </row>
    <row r="6143" spans="1:8" x14ac:dyDescent="0.25">
      <c r="A6143" t="s">
        <v>258</v>
      </c>
      <c r="B6143" t="s">
        <v>5801</v>
      </c>
      <c r="C6143" t="s">
        <v>88</v>
      </c>
      <c r="D6143" t="s">
        <v>5767</v>
      </c>
      <c r="E6143" t="s">
        <v>814</v>
      </c>
      <c r="F6143" t="s">
        <v>88</v>
      </c>
      <c r="G6143" t="s">
        <v>88</v>
      </c>
      <c r="H6143" t="s">
        <v>92</v>
      </c>
    </row>
    <row r="6144" spans="1:8" x14ac:dyDescent="0.25">
      <c r="A6144" t="s">
        <v>258</v>
      </c>
      <c r="B6144" t="s">
        <v>5802</v>
      </c>
      <c r="C6144" t="s">
        <v>88</v>
      </c>
      <c r="D6144" t="s">
        <v>5803</v>
      </c>
      <c r="E6144" t="s">
        <v>692</v>
      </c>
      <c r="F6144" t="s">
        <v>88</v>
      </c>
      <c r="G6144" t="s">
        <v>88</v>
      </c>
      <c r="H6144" t="s">
        <v>92</v>
      </c>
    </row>
    <row r="6145" spans="1:8" x14ac:dyDescent="0.25">
      <c r="A6145" t="s">
        <v>258</v>
      </c>
      <c r="B6145" t="s">
        <v>5804</v>
      </c>
      <c r="C6145" t="s">
        <v>88</v>
      </c>
      <c r="D6145" t="s">
        <v>5805</v>
      </c>
      <c r="E6145" t="s">
        <v>692</v>
      </c>
      <c r="F6145" t="s">
        <v>88</v>
      </c>
      <c r="G6145" t="s">
        <v>88</v>
      </c>
      <c r="H6145" t="s">
        <v>92</v>
      </c>
    </row>
    <row r="6146" spans="1:8" x14ac:dyDescent="0.25">
      <c r="A6146" t="s">
        <v>258</v>
      </c>
      <c r="B6146" t="s">
        <v>5806</v>
      </c>
      <c r="C6146" t="s">
        <v>88</v>
      </c>
      <c r="D6146" t="s">
        <v>5807</v>
      </c>
      <c r="E6146" t="s">
        <v>692</v>
      </c>
      <c r="F6146" t="s">
        <v>88</v>
      </c>
      <c r="G6146" t="s">
        <v>88</v>
      </c>
      <c r="H6146" t="s">
        <v>92</v>
      </c>
    </row>
    <row r="6147" spans="1:8" x14ac:dyDescent="0.25">
      <c r="A6147" t="s">
        <v>258</v>
      </c>
      <c r="B6147" t="s">
        <v>5808</v>
      </c>
      <c r="C6147" t="s">
        <v>88</v>
      </c>
      <c r="D6147" t="s">
        <v>5809</v>
      </c>
      <c r="E6147" t="s">
        <v>1006</v>
      </c>
      <c r="F6147" t="s">
        <v>88</v>
      </c>
      <c r="G6147" t="s">
        <v>88</v>
      </c>
      <c r="H6147" t="s">
        <v>92</v>
      </c>
    </row>
    <row r="6148" spans="1:8" x14ac:dyDescent="0.25">
      <c r="A6148" t="s">
        <v>258</v>
      </c>
      <c r="B6148" t="s">
        <v>5810</v>
      </c>
      <c r="C6148" t="s">
        <v>88</v>
      </c>
      <c r="D6148" t="s">
        <v>5811</v>
      </c>
      <c r="E6148" t="s">
        <v>692</v>
      </c>
      <c r="F6148" t="s">
        <v>88</v>
      </c>
      <c r="G6148" t="s">
        <v>88</v>
      </c>
      <c r="H6148" t="s">
        <v>92</v>
      </c>
    </row>
    <row r="6149" spans="1:8" x14ac:dyDescent="0.25">
      <c r="A6149" t="s">
        <v>258</v>
      </c>
      <c r="B6149" t="s">
        <v>5812</v>
      </c>
      <c r="C6149" t="s">
        <v>88</v>
      </c>
      <c r="D6149" t="s">
        <v>5813</v>
      </c>
      <c r="E6149" t="s">
        <v>692</v>
      </c>
      <c r="F6149" t="s">
        <v>88</v>
      </c>
      <c r="G6149" t="s">
        <v>88</v>
      </c>
      <c r="H6149" t="s">
        <v>92</v>
      </c>
    </row>
    <row r="6150" spans="1:8" x14ac:dyDescent="0.25">
      <c r="A6150" t="s">
        <v>258</v>
      </c>
      <c r="B6150" t="s">
        <v>5814</v>
      </c>
      <c r="C6150" t="s">
        <v>88</v>
      </c>
      <c r="D6150" t="s">
        <v>5815</v>
      </c>
      <c r="E6150" t="s">
        <v>1006</v>
      </c>
      <c r="F6150" t="s">
        <v>88</v>
      </c>
      <c r="G6150" t="s">
        <v>88</v>
      </c>
      <c r="H6150" t="s">
        <v>92</v>
      </c>
    </row>
    <row r="6151" spans="1:8" x14ac:dyDescent="0.25">
      <c r="A6151" t="s">
        <v>258</v>
      </c>
      <c r="B6151" t="s">
        <v>5816</v>
      </c>
      <c r="C6151" t="s">
        <v>88</v>
      </c>
      <c r="D6151" t="s">
        <v>5803</v>
      </c>
      <c r="E6151" t="s">
        <v>760</v>
      </c>
      <c r="F6151" t="s">
        <v>88</v>
      </c>
      <c r="G6151" t="s">
        <v>88</v>
      </c>
      <c r="H6151" t="s">
        <v>92</v>
      </c>
    </row>
    <row r="6152" spans="1:8" x14ac:dyDescent="0.25">
      <c r="A6152" t="s">
        <v>258</v>
      </c>
      <c r="B6152" t="s">
        <v>5817</v>
      </c>
      <c r="C6152" t="s">
        <v>88</v>
      </c>
      <c r="D6152" t="s">
        <v>5818</v>
      </c>
      <c r="E6152" t="s">
        <v>760</v>
      </c>
      <c r="F6152" t="s">
        <v>88</v>
      </c>
      <c r="G6152" t="s">
        <v>88</v>
      </c>
      <c r="H6152" t="s">
        <v>92</v>
      </c>
    </row>
    <row r="6153" spans="1:8" x14ac:dyDescent="0.25">
      <c r="A6153" t="s">
        <v>258</v>
      </c>
      <c r="B6153" t="s">
        <v>5819</v>
      </c>
      <c r="C6153" t="s">
        <v>88</v>
      </c>
      <c r="D6153" t="s">
        <v>5820</v>
      </c>
      <c r="E6153" t="s">
        <v>692</v>
      </c>
      <c r="F6153" t="s">
        <v>88</v>
      </c>
      <c r="G6153" t="s">
        <v>88</v>
      </c>
      <c r="H6153" t="s">
        <v>92</v>
      </c>
    </row>
    <row r="6154" spans="1:8" x14ac:dyDescent="0.25">
      <c r="A6154" t="s">
        <v>258</v>
      </c>
      <c r="B6154" t="s">
        <v>5821</v>
      </c>
      <c r="C6154" t="s">
        <v>88</v>
      </c>
      <c r="D6154" t="s">
        <v>5822</v>
      </c>
      <c r="E6154" t="s">
        <v>658</v>
      </c>
      <c r="F6154" t="s">
        <v>88</v>
      </c>
      <c r="G6154" t="s">
        <v>88</v>
      </c>
      <c r="H6154" t="s">
        <v>92</v>
      </c>
    </row>
    <row r="6155" spans="1:8" x14ac:dyDescent="0.25">
      <c r="A6155" t="s">
        <v>258</v>
      </c>
      <c r="B6155" t="s">
        <v>5823</v>
      </c>
      <c r="C6155" t="s">
        <v>88</v>
      </c>
      <c r="D6155" t="s">
        <v>5822</v>
      </c>
      <c r="E6155" t="s">
        <v>979</v>
      </c>
      <c r="F6155" t="s">
        <v>88</v>
      </c>
      <c r="G6155" t="s">
        <v>88</v>
      </c>
      <c r="H6155" t="s">
        <v>92</v>
      </c>
    </row>
    <row r="6156" spans="1:8" x14ac:dyDescent="0.25">
      <c r="A6156" t="s">
        <v>258</v>
      </c>
      <c r="B6156" t="s">
        <v>5824</v>
      </c>
      <c r="C6156" t="s">
        <v>88</v>
      </c>
      <c r="D6156" t="s">
        <v>5822</v>
      </c>
      <c r="E6156" t="s">
        <v>658</v>
      </c>
      <c r="F6156" t="s">
        <v>88</v>
      </c>
      <c r="G6156" t="s">
        <v>88</v>
      </c>
      <c r="H6156" t="s">
        <v>92</v>
      </c>
    </row>
    <row r="6157" spans="1:8" x14ac:dyDescent="0.25">
      <c r="A6157" t="s">
        <v>258</v>
      </c>
      <c r="B6157" t="s">
        <v>5825</v>
      </c>
      <c r="C6157" t="s">
        <v>88</v>
      </c>
      <c r="D6157" t="s">
        <v>5822</v>
      </c>
      <c r="E6157" t="s">
        <v>979</v>
      </c>
      <c r="F6157" t="s">
        <v>88</v>
      </c>
      <c r="G6157" t="s">
        <v>88</v>
      </c>
      <c r="H6157" t="s">
        <v>92</v>
      </c>
    </row>
    <row r="6158" spans="1:8" x14ac:dyDescent="0.25">
      <c r="A6158" t="s">
        <v>258</v>
      </c>
      <c r="B6158" t="s">
        <v>5826</v>
      </c>
      <c r="C6158" t="s">
        <v>88</v>
      </c>
      <c r="D6158" t="s">
        <v>5822</v>
      </c>
      <c r="E6158" t="s">
        <v>658</v>
      </c>
      <c r="F6158" t="s">
        <v>88</v>
      </c>
      <c r="G6158" t="s">
        <v>88</v>
      </c>
      <c r="H6158" t="s">
        <v>92</v>
      </c>
    </row>
    <row r="6159" spans="1:8" x14ac:dyDescent="0.25">
      <c r="A6159" t="s">
        <v>258</v>
      </c>
      <c r="B6159" t="s">
        <v>5827</v>
      </c>
      <c r="C6159" t="s">
        <v>88</v>
      </c>
      <c r="D6159" t="s">
        <v>5822</v>
      </c>
      <c r="E6159" t="s">
        <v>979</v>
      </c>
      <c r="F6159" t="s">
        <v>88</v>
      </c>
      <c r="G6159" t="s">
        <v>88</v>
      </c>
      <c r="H6159" t="s">
        <v>92</v>
      </c>
    </row>
    <row r="6160" spans="1:8" x14ac:dyDescent="0.25">
      <c r="A6160" t="s">
        <v>258</v>
      </c>
      <c r="B6160" t="s">
        <v>5828</v>
      </c>
      <c r="C6160" t="s">
        <v>88</v>
      </c>
      <c r="D6160" t="s">
        <v>5829</v>
      </c>
      <c r="E6160" t="s">
        <v>841</v>
      </c>
      <c r="F6160" t="s">
        <v>88</v>
      </c>
      <c r="G6160" t="s">
        <v>88</v>
      </c>
      <c r="H6160" t="s">
        <v>92</v>
      </c>
    </row>
    <row r="6161" spans="1:8" x14ac:dyDescent="0.25">
      <c r="A6161" t="s">
        <v>258</v>
      </c>
      <c r="B6161" t="s">
        <v>5830</v>
      </c>
      <c r="C6161" t="s">
        <v>88</v>
      </c>
      <c r="D6161" t="s">
        <v>5829</v>
      </c>
      <c r="E6161" t="s">
        <v>5831</v>
      </c>
      <c r="F6161" t="s">
        <v>88</v>
      </c>
      <c r="G6161" t="s">
        <v>88</v>
      </c>
      <c r="H6161" t="s">
        <v>92</v>
      </c>
    </row>
    <row r="6162" spans="1:8" x14ac:dyDescent="0.25">
      <c r="A6162" t="s">
        <v>258</v>
      </c>
      <c r="B6162" t="s">
        <v>5832</v>
      </c>
      <c r="C6162" t="s">
        <v>88</v>
      </c>
      <c r="D6162" t="s">
        <v>5833</v>
      </c>
      <c r="E6162" t="s">
        <v>841</v>
      </c>
      <c r="F6162" t="s">
        <v>88</v>
      </c>
      <c r="G6162" t="s">
        <v>88</v>
      </c>
      <c r="H6162" t="s">
        <v>92</v>
      </c>
    </row>
    <row r="6163" spans="1:8" x14ac:dyDescent="0.25">
      <c r="A6163" t="s">
        <v>258</v>
      </c>
      <c r="B6163" t="s">
        <v>5834</v>
      </c>
      <c r="C6163" t="s">
        <v>88</v>
      </c>
      <c r="D6163" t="s">
        <v>5833</v>
      </c>
      <c r="E6163" t="s">
        <v>5831</v>
      </c>
      <c r="F6163" t="s">
        <v>88</v>
      </c>
      <c r="G6163" t="s">
        <v>88</v>
      </c>
      <c r="H6163" t="s">
        <v>92</v>
      </c>
    </row>
    <row r="6164" spans="1:8" x14ac:dyDescent="0.25">
      <c r="A6164" t="s">
        <v>258</v>
      </c>
      <c r="B6164" t="s">
        <v>5835</v>
      </c>
      <c r="C6164" t="s">
        <v>88</v>
      </c>
      <c r="D6164" t="s">
        <v>5836</v>
      </c>
      <c r="E6164" t="s">
        <v>780</v>
      </c>
      <c r="F6164" t="s">
        <v>88</v>
      </c>
      <c r="G6164" t="s">
        <v>88</v>
      </c>
      <c r="H6164" t="s">
        <v>92</v>
      </c>
    </row>
    <row r="6165" spans="1:8" x14ac:dyDescent="0.25">
      <c r="A6165" t="s">
        <v>258</v>
      </c>
      <c r="B6165" t="s">
        <v>5837</v>
      </c>
      <c r="C6165" t="s">
        <v>88</v>
      </c>
      <c r="D6165" t="s">
        <v>5836</v>
      </c>
      <c r="E6165" t="s">
        <v>2289</v>
      </c>
      <c r="F6165" t="s">
        <v>88</v>
      </c>
      <c r="G6165" t="s">
        <v>88</v>
      </c>
      <c r="H6165" t="s">
        <v>92</v>
      </c>
    </row>
    <row r="6166" spans="1:8" x14ac:dyDescent="0.25">
      <c r="A6166" t="s">
        <v>258</v>
      </c>
      <c r="B6166" t="s">
        <v>5838</v>
      </c>
      <c r="C6166" t="s">
        <v>88</v>
      </c>
      <c r="D6166" t="s">
        <v>5836</v>
      </c>
      <c r="E6166" t="s">
        <v>836</v>
      </c>
      <c r="F6166" t="s">
        <v>88</v>
      </c>
      <c r="G6166" t="s">
        <v>88</v>
      </c>
      <c r="H6166" t="s">
        <v>92</v>
      </c>
    </row>
    <row r="6167" spans="1:8" x14ac:dyDescent="0.25">
      <c r="A6167" t="s">
        <v>258</v>
      </c>
      <c r="B6167" t="s">
        <v>5839</v>
      </c>
      <c r="C6167" t="s">
        <v>88</v>
      </c>
      <c r="D6167" t="s">
        <v>5836</v>
      </c>
      <c r="E6167" t="s">
        <v>2833</v>
      </c>
      <c r="F6167" t="s">
        <v>88</v>
      </c>
      <c r="G6167" t="s">
        <v>88</v>
      </c>
      <c r="H6167" t="s">
        <v>92</v>
      </c>
    </row>
    <row r="6168" spans="1:8" x14ac:dyDescent="0.25">
      <c r="A6168" t="s">
        <v>258</v>
      </c>
      <c r="B6168" t="s">
        <v>5840</v>
      </c>
      <c r="C6168" t="s">
        <v>88</v>
      </c>
      <c r="D6168" t="s">
        <v>5841</v>
      </c>
      <c r="E6168" t="s">
        <v>838</v>
      </c>
      <c r="F6168" t="s">
        <v>88</v>
      </c>
      <c r="G6168" t="s">
        <v>88</v>
      </c>
      <c r="H6168" t="s">
        <v>92</v>
      </c>
    </row>
    <row r="6169" spans="1:8" x14ac:dyDescent="0.25">
      <c r="A6169" t="s">
        <v>258</v>
      </c>
      <c r="B6169" t="s">
        <v>5842</v>
      </c>
      <c r="C6169" t="s">
        <v>88</v>
      </c>
      <c r="D6169" t="s">
        <v>5841</v>
      </c>
      <c r="E6169" t="s">
        <v>5843</v>
      </c>
      <c r="F6169" t="s">
        <v>88</v>
      </c>
      <c r="G6169" t="s">
        <v>88</v>
      </c>
      <c r="H6169" t="s">
        <v>92</v>
      </c>
    </row>
    <row r="6170" spans="1:8" x14ac:dyDescent="0.25">
      <c r="A6170" t="s">
        <v>258</v>
      </c>
      <c r="B6170" t="s">
        <v>5844</v>
      </c>
      <c r="C6170" t="s">
        <v>88</v>
      </c>
      <c r="D6170" t="s">
        <v>5841</v>
      </c>
      <c r="E6170" t="s">
        <v>1920</v>
      </c>
      <c r="F6170" t="s">
        <v>88</v>
      </c>
      <c r="G6170" t="s">
        <v>88</v>
      </c>
      <c r="H6170" t="s">
        <v>92</v>
      </c>
    </row>
    <row r="6171" spans="1:8" x14ac:dyDescent="0.25">
      <c r="A6171" t="s">
        <v>258</v>
      </c>
      <c r="B6171" t="s">
        <v>5845</v>
      </c>
      <c r="C6171" t="s">
        <v>88</v>
      </c>
      <c r="D6171" t="s">
        <v>5846</v>
      </c>
      <c r="E6171" t="s">
        <v>812</v>
      </c>
      <c r="F6171" t="s">
        <v>88</v>
      </c>
      <c r="G6171" t="s">
        <v>88</v>
      </c>
      <c r="H6171" t="s">
        <v>92</v>
      </c>
    </row>
    <row r="6172" spans="1:8" x14ac:dyDescent="0.25">
      <c r="A6172" t="s">
        <v>258</v>
      </c>
      <c r="B6172" t="s">
        <v>5847</v>
      </c>
      <c r="C6172" t="s">
        <v>88</v>
      </c>
      <c r="D6172" t="s">
        <v>5846</v>
      </c>
      <c r="E6172" t="s">
        <v>1135</v>
      </c>
      <c r="F6172" t="s">
        <v>88</v>
      </c>
      <c r="G6172" t="s">
        <v>88</v>
      </c>
      <c r="H6172" t="s">
        <v>92</v>
      </c>
    </row>
    <row r="6173" spans="1:8" x14ac:dyDescent="0.25">
      <c r="A6173" t="s">
        <v>258</v>
      </c>
      <c r="B6173" t="s">
        <v>5848</v>
      </c>
      <c r="C6173" t="s">
        <v>88</v>
      </c>
      <c r="D6173" t="s">
        <v>5846</v>
      </c>
      <c r="E6173" t="s">
        <v>1137</v>
      </c>
      <c r="F6173" t="s">
        <v>88</v>
      </c>
      <c r="G6173" t="s">
        <v>88</v>
      </c>
      <c r="H6173" t="s">
        <v>92</v>
      </c>
    </row>
    <row r="6174" spans="1:8" x14ac:dyDescent="0.25">
      <c r="A6174" t="s">
        <v>258</v>
      </c>
      <c r="B6174" t="s">
        <v>5849</v>
      </c>
      <c r="C6174" t="s">
        <v>88</v>
      </c>
      <c r="D6174" t="s">
        <v>5850</v>
      </c>
      <c r="E6174" t="s">
        <v>825</v>
      </c>
      <c r="F6174" t="s">
        <v>88</v>
      </c>
      <c r="G6174" t="s">
        <v>88</v>
      </c>
      <c r="H6174" t="s">
        <v>92</v>
      </c>
    </row>
    <row r="6175" spans="1:8" x14ac:dyDescent="0.25">
      <c r="A6175" t="s">
        <v>258</v>
      </c>
      <c r="B6175" t="s">
        <v>5851</v>
      </c>
      <c r="C6175" t="s">
        <v>88</v>
      </c>
      <c r="D6175" t="s">
        <v>5850</v>
      </c>
      <c r="E6175" t="s">
        <v>812</v>
      </c>
      <c r="F6175" t="s">
        <v>88</v>
      </c>
      <c r="G6175" t="s">
        <v>88</v>
      </c>
      <c r="H6175" t="s">
        <v>92</v>
      </c>
    </row>
    <row r="6176" spans="1:8" x14ac:dyDescent="0.25">
      <c r="A6176" t="s">
        <v>258</v>
      </c>
      <c r="B6176" t="s">
        <v>5852</v>
      </c>
      <c r="C6176" t="s">
        <v>88</v>
      </c>
      <c r="D6176" t="s">
        <v>5850</v>
      </c>
      <c r="E6176" t="s">
        <v>1068</v>
      </c>
      <c r="F6176" t="s">
        <v>88</v>
      </c>
      <c r="G6176" t="s">
        <v>88</v>
      </c>
      <c r="H6176" t="s">
        <v>92</v>
      </c>
    </row>
    <row r="6177" spans="1:8" x14ac:dyDescent="0.25">
      <c r="A6177" t="s">
        <v>258</v>
      </c>
      <c r="B6177" t="s">
        <v>5853</v>
      </c>
      <c r="C6177" t="s">
        <v>88</v>
      </c>
      <c r="D6177" t="s">
        <v>5850</v>
      </c>
      <c r="E6177" t="s">
        <v>5854</v>
      </c>
      <c r="F6177" t="s">
        <v>88</v>
      </c>
      <c r="G6177" t="s">
        <v>88</v>
      </c>
      <c r="H6177" t="s">
        <v>92</v>
      </c>
    </row>
    <row r="6178" spans="1:8" x14ac:dyDescent="0.25">
      <c r="A6178" t="s">
        <v>258</v>
      </c>
      <c r="B6178" t="s">
        <v>5855</v>
      </c>
      <c r="C6178" t="s">
        <v>88</v>
      </c>
      <c r="D6178" t="s">
        <v>5856</v>
      </c>
      <c r="E6178" t="s">
        <v>825</v>
      </c>
      <c r="F6178" t="s">
        <v>88</v>
      </c>
      <c r="G6178" t="s">
        <v>88</v>
      </c>
      <c r="H6178" t="s">
        <v>92</v>
      </c>
    </row>
    <row r="6179" spans="1:8" x14ac:dyDescent="0.25">
      <c r="A6179" t="s">
        <v>258</v>
      </c>
      <c r="B6179" t="s">
        <v>5857</v>
      </c>
      <c r="C6179" t="s">
        <v>88</v>
      </c>
      <c r="D6179" t="s">
        <v>5858</v>
      </c>
      <c r="E6179" t="s">
        <v>812</v>
      </c>
      <c r="F6179" t="s">
        <v>88</v>
      </c>
      <c r="G6179" t="s">
        <v>88</v>
      </c>
      <c r="H6179" t="s">
        <v>92</v>
      </c>
    </row>
    <row r="6180" spans="1:8" x14ac:dyDescent="0.25">
      <c r="A6180" t="s">
        <v>258</v>
      </c>
      <c r="B6180" t="s">
        <v>5859</v>
      </c>
      <c r="C6180" t="s">
        <v>88</v>
      </c>
      <c r="D6180" t="s">
        <v>5860</v>
      </c>
      <c r="E6180" t="s">
        <v>1068</v>
      </c>
      <c r="F6180" t="s">
        <v>88</v>
      </c>
      <c r="G6180" t="s">
        <v>88</v>
      </c>
      <c r="H6180" t="s">
        <v>92</v>
      </c>
    </row>
    <row r="6181" spans="1:8" x14ac:dyDescent="0.25">
      <c r="A6181" t="s">
        <v>258</v>
      </c>
      <c r="B6181" t="s">
        <v>5861</v>
      </c>
      <c r="C6181" t="s">
        <v>88</v>
      </c>
      <c r="D6181" t="s">
        <v>5862</v>
      </c>
      <c r="E6181" t="s">
        <v>5854</v>
      </c>
      <c r="F6181" t="s">
        <v>88</v>
      </c>
      <c r="G6181" t="s">
        <v>88</v>
      </c>
      <c r="H6181" t="s">
        <v>92</v>
      </c>
    </row>
    <row r="6182" spans="1:8" x14ac:dyDescent="0.25">
      <c r="A6182" t="s">
        <v>258</v>
      </c>
      <c r="B6182" t="s">
        <v>5863</v>
      </c>
      <c r="C6182" t="s">
        <v>88</v>
      </c>
      <c r="D6182" t="s">
        <v>5864</v>
      </c>
      <c r="E6182" t="s">
        <v>812</v>
      </c>
      <c r="F6182" t="s">
        <v>88</v>
      </c>
      <c r="G6182" t="s">
        <v>88</v>
      </c>
      <c r="H6182" t="s">
        <v>92</v>
      </c>
    </row>
    <row r="6183" spans="1:8" x14ac:dyDescent="0.25">
      <c r="A6183" t="s">
        <v>258</v>
      </c>
      <c r="B6183" t="s">
        <v>5865</v>
      </c>
      <c r="C6183" t="s">
        <v>88</v>
      </c>
      <c r="D6183" t="s">
        <v>5866</v>
      </c>
      <c r="E6183" t="s">
        <v>812</v>
      </c>
      <c r="F6183" t="s">
        <v>88</v>
      </c>
      <c r="G6183" t="s">
        <v>88</v>
      </c>
      <c r="H6183" t="s">
        <v>92</v>
      </c>
    </row>
    <row r="6184" spans="1:8" x14ac:dyDescent="0.25">
      <c r="A6184" t="s">
        <v>258</v>
      </c>
      <c r="B6184" t="s">
        <v>5867</v>
      </c>
      <c r="C6184" t="s">
        <v>88</v>
      </c>
      <c r="D6184" t="s">
        <v>88</v>
      </c>
      <c r="E6184" t="s">
        <v>1756</v>
      </c>
      <c r="F6184" t="s">
        <v>88</v>
      </c>
      <c r="G6184" t="s">
        <v>88</v>
      </c>
      <c r="H6184" t="s">
        <v>92</v>
      </c>
    </row>
    <row r="6185" spans="1:8" x14ac:dyDescent="0.25">
      <c r="A6185" t="s">
        <v>258</v>
      </c>
      <c r="B6185" t="s">
        <v>5868</v>
      </c>
      <c r="C6185" t="s">
        <v>88</v>
      </c>
      <c r="D6185" t="s">
        <v>88</v>
      </c>
      <c r="E6185" t="s">
        <v>1756</v>
      </c>
      <c r="F6185" t="s">
        <v>88</v>
      </c>
      <c r="G6185" t="s">
        <v>88</v>
      </c>
      <c r="H6185" t="s">
        <v>92</v>
      </c>
    </row>
    <row r="6186" spans="1:8" x14ac:dyDescent="0.25">
      <c r="A6186" t="s">
        <v>258</v>
      </c>
      <c r="B6186" t="s">
        <v>5869</v>
      </c>
      <c r="C6186" t="s">
        <v>88</v>
      </c>
      <c r="D6186" t="s">
        <v>88</v>
      </c>
      <c r="E6186" t="s">
        <v>1756</v>
      </c>
      <c r="F6186" t="s">
        <v>88</v>
      </c>
      <c r="G6186" t="s">
        <v>88</v>
      </c>
      <c r="H6186" t="s">
        <v>92</v>
      </c>
    </row>
    <row r="6187" spans="1:8" x14ac:dyDescent="0.25">
      <c r="A6187" t="s">
        <v>258</v>
      </c>
      <c r="B6187" t="s">
        <v>5870</v>
      </c>
      <c r="C6187" t="s">
        <v>88</v>
      </c>
      <c r="D6187" t="s">
        <v>88</v>
      </c>
      <c r="E6187" t="s">
        <v>738</v>
      </c>
      <c r="F6187" t="s">
        <v>88</v>
      </c>
      <c r="G6187" t="s">
        <v>88</v>
      </c>
      <c r="H6187" t="s">
        <v>92</v>
      </c>
    </row>
    <row r="6188" spans="1:8" x14ac:dyDescent="0.25">
      <c r="A6188" t="s">
        <v>258</v>
      </c>
      <c r="B6188" t="s">
        <v>5871</v>
      </c>
      <c r="C6188" t="s">
        <v>88</v>
      </c>
      <c r="D6188" t="s">
        <v>88</v>
      </c>
      <c r="E6188" t="s">
        <v>738</v>
      </c>
      <c r="F6188" t="s">
        <v>88</v>
      </c>
      <c r="G6188" t="s">
        <v>88</v>
      </c>
      <c r="H6188" t="s">
        <v>92</v>
      </c>
    </row>
    <row r="6189" spans="1:8" x14ac:dyDescent="0.25">
      <c r="A6189" t="s">
        <v>258</v>
      </c>
      <c r="B6189" t="s">
        <v>5872</v>
      </c>
      <c r="C6189" t="s">
        <v>88</v>
      </c>
      <c r="D6189" t="s">
        <v>88</v>
      </c>
      <c r="E6189" t="s">
        <v>1714</v>
      </c>
      <c r="F6189" t="s">
        <v>88</v>
      </c>
      <c r="G6189" t="s">
        <v>88</v>
      </c>
      <c r="H6189" t="s">
        <v>92</v>
      </c>
    </row>
    <row r="6190" spans="1:8" x14ac:dyDescent="0.25">
      <c r="A6190" t="s">
        <v>258</v>
      </c>
      <c r="B6190" t="s">
        <v>5873</v>
      </c>
      <c r="C6190" t="s">
        <v>88</v>
      </c>
      <c r="D6190" t="s">
        <v>88</v>
      </c>
      <c r="E6190" t="s">
        <v>1714</v>
      </c>
      <c r="F6190" t="s">
        <v>88</v>
      </c>
      <c r="G6190" t="s">
        <v>88</v>
      </c>
      <c r="H6190" t="s">
        <v>92</v>
      </c>
    </row>
    <row r="6191" spans="1:8" x14ac:dyDescent="0.25">
      <c r="A6191" t="s">
        <v>258</v>
      </c>
      <c r="B6191" t="s">
        <v>5874</v>
      </c>
      <c r="C6191" t="s">
        <v>88</v>
      </c>
      <c r="D6191" t="s">
        <v>88</v>
      </c>
      <c r="E6191" t="s">
        <v>1714</v>
      </c>
      <c r="F6191" t="s">
        <v>88</v>
      </c>
      <c r="G6191" t="s">
        <v>88</v>
      </c>
      <c r="H6191" t="s">
        <v>92</v>
      </c>
    </row>
    <row r="6192" spans="1:8" x14ac:dyDescent="0.25">
      <c r="A6192" t="s">
        <v>258</v>
      </c>
      <c r="B6192" t="s">
        <v>5875</v>
      </c>
      <c r="C6192" t="s">
        <v>88</v>
      </c>
      <c r="D6192" t="s">
        <v>5876</v>
      </c>
      <c r="E6192" t="s">
        <v>841</v>
      </c>
      <c r="F6192" t="s">
        <v>88</v>
      </c>
      <c r="G6192" t="s">
        <v>88</v>
      </c>
      <c r="H6192" t="s">
        <v>92</v>
      </c>
    </row>
    <row r="6193" spans="1:8" x14ac:dyDescent="0.25">
      <c r="A6193" t="s">
        <v>258</v>
      </c>
      <c r="B6193" t="s">
        <v>5877</v>
      </c>
      <c r="C6193" t="s">
        <v>88</v>
      </c>
      <c r="D6193" t="s">
        <v>5878</v>
      </c>
      <c r="E6193" t="s">
        <v>760</v>
      </c>
      <c r="F6193" t="s">
        <v>88</v>
      </c>
      <c r="G6193" t="s">
        <v>88</v>
      </c>
      <c r="H6193" t="s">
        <v>92</v>
      </c>
    </row>
    <row r="6194" spans="1:8" x14ac:dyDescent="0.25">
      <c r="A6194" t="s">
        <v>258</v>
      </c>
      <c r="B6194" t="s">
        <v>5879</v>
      </c>
      <c r="C6194" t="s">
        <v>88</v>
      </c>
      <c r="D6194" t="s">
        <v>88</v>
      </c>
      <c r="E6194" t="s">
        <v>715</v>
      </c>
      <c r="F6194" t="s">
        <v>88</v>
      </c>
      <c r="G6194" t="s">
        <v>88</v>
      </c>
      <c r="H6194" t="s">
        <v>92</v>
      </c>
    </row>
    <row r="6195" spans="1:8" x14ac:dyDescent="0.25">
      <c r="A6195" t="s">
        <v>258</v>
      </c>
      <c r="B6195" t="s">
        <v>5880</v>
      </c>
      <c r="C6195" t="s">
        <v>88</v>
      </c>
      <c r="D6195" t="s">
        <v>5881</v>
      </c>
      <c r="E6195" t="s">
        <v>655</v>
      </c>
      <c r="F6195" t="s">
        <v>88</v>
      </c>
      <c r="G6195" t="s">
        <v>88</v>
      </c>
      <c r="H6195" t="s">
        <v>92</v>
      </c>
    </row>
    <row r="6196" spans="1:8" x14ac:dyDescent="0.25">
      <c r="A6196" t="s">
        <v>258</v>
      </c>
      <c r="B6196" t="s">
        <v>5882</v>
      </c>
      <c r="C6196" t="s">
        <v>88</v>
      </c>
      <c r="D6196" t="s">
        <v>5883</v>
      </c>
      <c r="E6196" t="s">
        <v>735</v>
      </c>
      <c r="F6196" t="s">
        <v>88</v>
      </c>
      <c r="G6196" t="s">
        <v>88</v>
      </c>
      <c r="H6196" t="s">
        <v>92</v>
      </c>
    </row>
    <row r="6197" spans="1:8" x14ac:dyDescent="0.25">
      <c r="A6197" t="s">
        <v>258</v>
      </c>
      <c r="B6197" t="s">
        <v>5884</v>
      </c>
      <c r="C6197" t="s">
        <v>88</v>
      </c>
      <c r="D6197" t="s">
        <v>5883</v>
      </c>
      <c r="E6197" t="s">
        <v>715</v>
      </c>
      <c r="F6197" t="s">
        <v>88</v>
      </c>
      <c r="G6197" t="s">
        <v>88</v>
      </c>
      <c r="H6197" t="s">
        <v>92</v>
      </c>
    </row>
    <row r="6198" spans="1:8" x14ac:dyDescent="0.25">
      <c r="A6198" t="s">
        <v>258</v>
      </c>
      <c r="B6198" t="s">
        <v>5885</v>
      </c>
      <c r="C6198" t="s">
        <v>88</v>
      </c>
      <c r="D6198" t="s">
        <v>5883</v>
      </c>
      <c r="E6198" t="s">
        <v>959</v>
      </c>
      <c r="F6198" t="s">
        <v>88</v>
      </c>
      <c r="G6198" t="s">
        <v>88</v>
      </c>
      <c r="H6198" t="s">
        <v>92</v>
      </c>
    </row>
    <row r="6199" spans="1:8" x14ac:dyDescent="0.25">
      <c r="A6199" t="s">
        <v>258</v>
      </c>
      <c r="B6199" t="s">
        <v>5886</v>
      </c>
      <c r="C6199" t="s">
        <v>88</v>
      </c>
      <c r="D6199" t="s">
        <v>88</v>
      </c>
      <c r="E6199" t="s">
        <v>655</v>
      </c>
      <c r="F6199" t="s">
        <v>88</v>
      </c>
      <c r="G6199" t="s">
        <v>88</v>
      </c>
      <c r="H6199" t="s">
        <v>92</v>
      </c>
    </row>
    <row r="6200" spans="1:8" x14ac:dyDescent="0.25">
      <c r="A6200" t="s">
        <v>258</v>
      </c>
      <c r="B6200" t="s">
        <v>5887</v>
      </c>
      <c r="C6200" t="s">
        <v>88</v>
      </c>
      <c r="D6200" t="s">
        <v>88</v>
      </c>
      <c r="E6200" t="s">
        <v>711</v>
      </c>
      <c r="F6200" t="s">
        <v>88</v>
      </c>
      <c r="G6200" t="s">
        <v>88</v>
      </c>
      <c r="H6200" t="s">
        <v>92</v>
      </c>
    </row>
    <row r="6201" spans="1:8" x14ac:dyDescent="0.25">
      <c r="A6201" t="s">
        <v>258</v>
      </c>
      <c r="B6201" t="s">
        <v>5888</v>
      </c>
      <c r="C6201" t="s">
        <v>88</v>
      </c>
      <c r="D6201" t="s">
        <v>88</v>
      </c>
      <c r="E6201" t="s">
        <v>807</v>
      </c>
      <c r="F6201" t="s">
        <v>88</v>
      </c>
      <c r="G6201" t="s">
        <v>88</v>
      </c>
      <c r="H6201" t="s">
        <v>92</v>
      </c>
    </row>
    <row r="6202" spans="1:8" x14ac:dyDescent="0.25">
      <c r="A6202" t="s">
        <v>258</v>
      </c>
      <c r="B6202" t="s">
        <v>5889</v>
      </c>
      <c r="C6202" t="s">
        <v>88</v>
      </c>
      <c r="D6202" t="s">
        <v>88</v>
      </c>
      <c r="E6202" t="s">
        <v>841</v>
      </c>
      <c r="F6202" t="s">
        <v>88</v>
      </c>
      <c r="G6202" t="s">
        <v>88</v>
      </c>
      <c r="H6202" t="s">
        <v>92</v>
      </c>
    </row>
    <row r="6203" spans="1:8" x14ac:dyDescent="0.25">
      <c r="A6203" t="s">
        <v>258</v>
      </c>
      <c r="B6203" t="s">
        <v>5890</v>
      </c>
      <c r="C6203" t="s">
        <v>88</v>
      </c>
      <c r="D6203" t="s">
        <v>88</v>
      </c>
      <c r="E6203" t="s">
        <v>641</v>
      </c>
      <c r="F6203" t="s">
        <v>88</v>
      </c>
      <c r="G6203" t="s">
        <v>88</v>
      </c>
      <c r="H6203" t="s">
        <v>92</v>
      </c>
    </row>
    <row r="6204" spans="1:8" x14ac:dyDescent="0.25">
      <c r="A6204" t="s">
        <v>258</v>
      </c>
      <c r="B6204" t="s">
        <v>5891</v>
      </c>
      <c r="C6204" t="s">
        <v>88</v>
      </c>
      <c r="D6204" t="s">
        <v>88</v>
      </c>
      <c r="E6204" t="s">
        <v>2753</v>
      </c>
      <c r="F6204" t="s">
        <v>88</v>
      </c>
      <c r="G6204" t="s">
        <v>88</v>
      </c>
      <c r="H6204" t="s">
        <v>92</v>
      </c>
    </row>
    <row r="6205" spans="1:8" x14ac:dyDescent="0.25">
      <c r="A6205" t="s">
        <v>258</v>
      </c>
      <c r="B6205" t="s">
        <v>5892</v>
      </c>
      <c r="C6205" t="s">
        <v>88</v>
      </c>
      <c r="D6205" t="s">
        <v>88</v>
      </c>
      <c r="E6205" t="s">
        <v>814</v>
      </c>
      <c r="F6205" t="s">
        <v>88</v>
      </c>
      <c r="G6205" t="s">
        <v>88</v>
      </c>
      <c r="H6205" t="s">
        <v>92</v>
      </c>
    </row>
    <row r="6206" spans="1:8" x14ac:dyDescent="0.25">
      <c r="A6206" t="s">
        <v>258</v>
      </c>
      <c r="B6206" t="s">
        <v>5893</v>
      </c>
      <c r="C6206" t="s">
        <v>88</v>
      </c>
      <c r="D6206" t="s">
        <v>88</v>
      </c>
      <c r="E6206" t="s">
        <v>676</v>
      </c>
      <c r="F6206" t="s">
        <v>88</v>
      </c>
      <c r="G6206" t="s">
        <v>88</v>
      </c>
      <c r="H6206" t="s">
        <v>92</v>
      </c>
    </row>
    <row r="6207" spans="1:8" x14ac:dyDescent="0.25">
      <c r="A6207" t="s">
        <v>258</v>
      </c>
      <c r="B6207" t="s">
        <v>5894</v>
      </c>
      <c r="C6207" t="s">
        <v>88</v>
      </c>
      <c r="D6207" t="s">
        <v>88</v>
      </c>
      <c r="E6207" t="s">
        <v>1135</v>
      </c>
      <c r="F6207" t="s">
        <v>88</v>
      </c>
      <c r="G6207" t="s">
        <v>88</v>
      </c>
      <c r="H6207" t="s">
        <v>92</v>
      </c>
    </row>
    <row r="6208" spans="1:8" x14ac:dyDescent="0.25">
      <c r="A6208" t="s">
        <v>259</v>
      </c>
      <c r="B6208" t="s">
        <v>5895</v>
      </c>
      <c r="C6208" t="s">
        <v>88</v>
      </c>
      <c r="D6208" t="s">
        <v>5896</v>
      </c>
      <c r="E6208" t="s">
        <v>5256</v>
      </c>
      <c r="F6208" t="s">
        <v>88</v>
      </c>
      <c r="G6208" t="s">
        <v>88</v>
      </c>
      <c r="H6208" t="s">
        <v>92</v>
      </c>
    </row>
    <row r="6209" spans="1:8" x14ac:dyDescent="0.25">
      <c r="A6209" t="s">
        <v>259</v>
      </c>
      <c r="B6209" t="s">
        <v>5897</v>
      </c>
      <c r="C6209" t="s">
        <v>88</v>
      </c>
      <c r="D6209" t="s">
        <v>5898</v>
      </c>
      <c r="E6209" t="s">
        <v>1241</v>
      </c>
      <c r="F6209" t="s">
        <v>88</v>
      </c>
      <c r="G6209" t="s">
        <v>88</v>
      </c>
      <c r="H6209" t="s">
        <v>92</v>
      </c>
    </row>
    <row r="6210" spans="1:8" x14ac:dyDescent="0.25">
      <c r="A6210" t="s">
        <v>259</v>
      </c>
      <c r="B6210" t="s">
        <v>5899</v>
      </c>
      <c r="C6210" t="s">
        <v>88</v>
      </c>
      <c r="D6210" t="s">
        <v>5900</v>
      </c>
      <c r="E6210" t="s">
        <v>5901</v>
      </c>
      <c r="F6210" t="s">
        <v>88</v>
      </c>
      <c r="G6210" t="s">
        <v>88</v>
      </c>
      <c r="H6210" t="s">
        <v>92</v>
      </c>
    </row>
    <row r="6211" spans="1:8" x14ac:dyDescent="0.25">
      <c r="A6211" t="s">
        <v>259</v>
      </c>
      <c r="B6211" t="s">
        <v>5902</v>
      </c>
      <c r="C6211" t="s">
        <v>88</v>
      </c>
      <c r="D6211" t="s">
        <v>5903</v>
      </c>
      <c r="E6211" t="s">
        <v>5904</v>
      </c>
      <c r="F6211" t="s">
        <v>88</v>
      </c>
      <c r="G6211" t="s">
        <v>88</v>
      </c>
      <c r="H6211" t="s">
        <v>92</v>
      </c>
    </row>
    <row r="6212" spans="1:8" x14ac:dyDescent="0.25">
      <c r="A6212" t="s">
        <v>259</v>
      </c>
      <c r="B6212" t="s">
        <v>671</v>
      </c>
      <c r="C6212" t="s">
        <v>88</v>
      </c>
      <c r="D6212" t="s">
        <v>5905</v>
      </c>
      <c r="E6212" t="s">
        <v>5906</v>
      </c>
      <c r="F6212" t="s">
        <v>88</v>
      </c>
      <c r="G6212" t="s">
        <v>88</v>
      </c>
      <c r="H6212" t="s">
        <v>92</v>
      </c>
    </row>
    <row r="6213" spans="1:8" x14ac:dyDescent="0.25">
      <c r="A6213" t="s">
        <v>259</v>
      </c>
      <c r="B6213" t="s">
        <v>696</v>
      </c>
      <c r="C6213" t="s">
        <v>88</v>
      </c>
      <c r="D6213" t="s">
        <v>5907</v>
      </c>
      <c r="E6213" t="s">
        <v>1219</v>
      </c>
      <c r="F6213" t="s">
        <v>88</v>
      </c>
      <c r="G6213" t="s">
        <v>88</v>
      </c>
      <c r="H6213" t="s">
        <v>92</v>
      </c>
    </row>
    <row r="6214" spans="1:8" x14ac:dyDescent="0.25">
      <c r="A6214" t="s">
        <v>259</v>
      </c>
      <c r="B6214" t="s">
        <v>5908</v>
      </c>
      <c r="C6214" t="s">
        <v>88</v>
      </c>
      <c r="D6214" t="s">
        <v>5909</v>
      </c>
      <c r="E6214" t="s">
        <v>5910</v>
      </c>
      <c r="F6214" t="s">
        <v>88</v>
      </c>
      <c r="G6214" t="s">
        <v>88</v>
      </c>
      <c r="H6214" t="s">
        <v>92</v>
      </c>
    </row>
    <row r="6215" spans="1:8" x14ac:dyDescent="0.25">
      <c r="A6215" t="s">
        <v>259</v>
      </c>
      <c r="B6215" t="s">
        <v>693</v>
      </c>
      <c r="C6215" t="s">
        <v>88</v>
      </c>
      <c r="D6215" t="s">
        <v>694</v>
      </c>
      <c r="E6215" t="s">
        <v>5911</v>
      </c>
      <c r="F6215" t="s">
        <v>88</v>
      </c>
      <c r="G6215" t="s">
        <v>88</v>
      </c>
      <c r="H6215" t="s">
        <v>92</v>
      </c>
    </row>
    <row r="6216" spans="1:8" x14ac:dyDescent="0.25">
      <c r="A6216" t="s">
        <v>259</v>
      </c>
      <c r="B6216" t="s">
        <v>3343</v>
      </c>
      <c r="C6216" t="s">
        <v>88</v>
      </c>
      <c r="D6216" t="s">
        <v>694</v>
      </c>
      <c r="E6216" t="s">
        <v>2464</v>
      </c>
      <c r="F6216" t="s">
        <v>88</v>
      </c>
      <c r="G6216" t="s">
        <v>88</v>
      </c>
      <c r="H6216" t="s">
        <v>92</v>
      </c>
    </row>
    <row r="6217" spans="1:8" x14ac:dyDescent="0.25">
      <c r="A6217" t="s">
        <v>259</v>
      </c>
      <c r="B6217" t="s">
        <v>5912</v>
      </c>
      <c r="C6217" t="s">
        <v>88</v>
      </c>
      <c r="D6217" t="s">
        <v>5913</v>
      </c>
      <c r="E6217" t="s">
        <v>700</v>
      </c>
      <c r="F6217" t="s">
        <v>88</v>
      </c>
      <c r="G6217" t="s">
        <v>88</v>
      </c>
      <c r="H6217" t="s">
        <v>92</v>
      </c>
    </row>
    <row r="6218" spans="1:8" x14ac:dyDescent="0.25">
      <c r="A6218" t="s">
        <v>259</v>
      </c>
      <c r="B6218" t="s">
        <v>2725</v>
      </c>
      <c r="C6218" t="s">
        <v>88</v>
      </c>
      <c r="D6218" t="s">
        <v>5914</v>
      </c>
      <c r="E6218" t="s">
        <v>725</v>
      </c>
      <c r="F6218" t="s">
        <v>88</v>
      </c>
      <c r="G6218" t="s">
        <v>88</v>
      </c>
      <c r="H6218" t="s">
        <v>92</v>
      </c>
    </row>
    <row r="6219" spans="1:8" x14ac:dyDescent="0.25">
      <c r="A6219" t="s">
        <v>259</v>
      </c>
      <c r="B6219" t="s">
        <v>5915</v>
      </c>
      <c r="C6219" t="s">
        <v>88</v>
      </c>
      <c r="D6219" t="s">
        <v>5916</v>
      </c>
      <c r="E6219" t="s">
        <v>5901</v>
      </c>
      <c r="F6219" t="s">
        <v>88</v>
      </c>
      <c r="G6219" t="s">
        <v>88</v>
      </c>
      <c r="H6219" t="s">
        <v>92</v>
      </c>
    </row>
    <row r="6220" spans="1:8" x14ac:dyDescent="0.25">
      <c r="A6220" t="s">
        <v>259</v>
      </c>
      <c r="B6220" t="s">
        <v>5917</v>
      </c>
      <c r="C6220" t="s">
        <v>88</v>
      </c>
      <c r="D6220" t="s">
        <v>5918</v>
      </c>
      <c r="E6220" t="s">
        <v>655</v>
      </c>
      <c r="F6220" t="s">
        <v>88</v>
      </c>
      <c r="G6220" t="s">
        <v>88</v>
      </c>
      <c r="H6220" t="s">
        <v>92</v>
      </c>
    </row>
    <row r="6221" spans="1:8" x14ac:dyDescent="0.25">
      <c r="A6221" t="s">
        <v>259</v>
      </c>
      <c r="B6221" t="s">
        <v>5919</v>
      </c>
      <c r="C6221" t="s">
        <v>88</v>
      </c>
      <c r="D6221" t="s">
        <v>5920</v>
      </c>
      <c r="E6221" t="s">
        <v>5921</v>
      </c>
      <c r="F6221" t="s">
        <v>88</v>
      </c>
      <c r="G6221" t="s">
        <v>88</v>
      </c>
      <c r="H6221" t="s">
        <v>92</v>
      </c>
    </row>
    <row r="6222" spans="1:8" x14ac:dyDescent="0.25">
      <c r="A6222" t="s">
        <v>259</v>
      </c>
      <c r="B6222" t="s">
        <v>5268</v>
      </c>
      <c r="C6222" t="s">
        <v>88</v>
      </c>
      <c r="D6222" t="s">
        <v>5922</v>
      </c>
      <c r="E6222" t="s">
        <v>658</v>
      </c>
      <c r="F6222" t="s">
        <v>88</v>
      </c>
      <c r="G6222" t="s">
        <v>88</v>
      </c>
      <c r="H6222" t="s">
        <v>92</v>
      </c>
    </row>
    <row r="6223" spans="1:8" x14ac:dyDescent="0.25">
      <c r="A6223" t="s">
        <v>259</v>
      </c>
      <c r="B6223" t="s">
        <v>5923</v>
      </c>
      <c r="C6223" t="s">
        <v>88</v>
      </c>
      <c r="D6223" t="s">
        <v>5924</v>
      </c>
      <c r="E6223" t="s">
        <v>883</v>
      </c>
      <c r="F6223" t="s">
        <v>88</v>
      </c>
      <c r="G6223" t="s">
        <v>88</v>
      </c>
      <c r="H6223" t="s">
        <v>92</v>
      </c>
    </row>
    <row r="6224" spans="1:8" x14ac:dyDescent="0.25">
      <c r="A6224" t="s">
        <v>259</v>
      </c>
      <c r="B6224" t="s">
        <v>5925</v>
      </c>
      <c r="C6224" t="s">
        <v>88</v>
      </c>
      <c r="D6224" t="s">
        <v>5926</v>
      </c>
      <c r="E6224" t="s">
        <v>5927</v>
      </c>
      <c r="F6224" t="s">
        <v>88</v>
      </c>
      <c r="G6224" t="s">
        <v>88</v>
      </c>
      <c r="H6224" t="s">
        <v>92</v>
      </c>
    </row>
    <row r="6225" spans="1:8" x14ac:dyDescent="0.25">
      <c r="A6225" t="s">
        <v>259</v>
      </c>
      <c r="B6225" t="s">
        <v>5928</v>
      </c>
      <c r="C6225" t="s">
        <v>88</v>
      </c>
      <c r="D6225" t="s">
        <v>5929</v>
      </c>
      <c r="E6225" t="s">
        <v>5930</v>
      </c>
      <c r="F6225" t="s">
        <v>88</v>
      </c>
      <c r="G6225" t="s">
        <v>88</v>
      </c>
      <c r="H6225" t="s">
        <v>92</v>
      </c>
    </row>
    <row r="6226" spans="1:8" x14ac:dyDescent="0.25">
      <c r="A6226" t="s">
        <v>259</v>
      </c>
      <c r="B6226" t="s">
        <v>5931</v>
      </c>
      <c r="C6226" t="s">
        <v>88</v>
      </c>
      <c r="D6226" t="s">
        <v>5932</v>
      </c>
      <c r="E6226" t="s">
        <v>760</v>
      </c>
      <c r="F6226" t="s">
        <v>88</v>
      </c>
      <c r="G6226" t="s">
        <v>88</v>
      </c>
      <c r="H6226" t="s">
        <v>92</v>
      </c>
    </row>
    <row r="6227" spans="1:8" x14ac:dyDescent="0.25">
      <c r="A6227" t="s">
        <v>259</v>
      </c>
      <c r="B6227" t="s">
        <v>3536</v>
      </c>
      <c r="C6227" t="s">
        <v>88</v>
      </c>
      <c r="D6227" t="s">
        <v>5932</v>
      </c>
      <c r="E6227" t="s">
        <v>4537</v>
      </c>
      <c r="F6227" t="s">
        <v>88</v>
      </c>
      <c r="G6227" t="s">
        <v>88</v>
      </c>
      <c r="H6227" t="s">
        <v>92</v>
      </c>
    </row>
    <row r="6228" spans="1:8" x14ac:dyDescent="0.25">
      <c r="A6228" t="s">
        <v>259</v>
      </c>
      <c r="B6228" t="s">
        <v>2390</v>
      </c>
      <c r="C6228" t="s">
        <v>88</v>
      </c>
      <c r="D6228" t="s">
        <v>5933</v>
      </c>
      <c r="E6228" t="s">
        <v>5934</v>
      </c>
      <c r="F6228" t="s">
        <v>88</v>
      </c>
      <c r="G6228" t="s">
        <v>88</v>
      </c>
      <c r="H6228" t="s">
        <v>92</v>
      </c>
    </row>
    <row r="6229" spans="1:8" x14ac:dyDescent="0.25">
      <c r="A6229" t="s">
        <v>259</v>
      </c>
      <c r="B6229" t="s">
        <v>2313</v>
      </c>
      <c r="C6229" t="s">
        <v>88</v>
      </c>
      <c r="D6229" t="s">
        <v>5935</v>
      </c>
      <c r="E6229" t="s">
        <v>5936</v>
      </c>
      <c r="F6229" t="s">
        <v>88</v>
      </c>
      <c r="G6229" t="s">
        <v>88</v>
      </c>
      <c r="H6229" t="s">
        <v>92</v>
      </c>
    </row>
    <row r="6230" spans="1:8" x14ac:dyDescent="0.25">
      <c r="A6230" t="s">
        <v>259</v>
      </c>
      <c r="B6230" t="s">
        <v>2391</v>
      </c>
      <c r="C6230" t="s">
        <v>88</v>
      </c>
      <c r="D6230" t="s">
        <v>88</v>
      </c>
      <c r="E6230" t="s">
        <v>5937</v>
      </c>
      <c r="F6230" t="s">
        <v>88</v>
      </c>
      <c r="G6230" t="s">
        <v>88</v>
      </c>
      <c r="H6230" t="s">
        <v>92</v>
      </c>
    </row>
    <row r="6231" spans="1:8" x14ac:dyDescent="0.25">
      <c r="A6231" t="s">
        <v>259</v>
      </c>
      <c r="B6231" t="s">
        <v>5328</v>
      </c>
      <c r="C6231" t="s">
        <v>88</v>
      </c>
      <c r="D6231" t="s">
        <v>5938</v>
      </c>
      <c r="E6231" t="s">
        <v>4537</v>
      </c>
      <c r="F6231" t="s">
        <v>88</v>
      </c>
      <c r="G6231" t="s">
        <v>88</v>
      </c>
      <c r="H6231" t="s">
        <v>92</v>
      </c>
    </row>
    <row r="6232" spans="1:8" x14ac:dyDescent="0.25">
      <c r="A6232" t="s">
        <v>259</v>
      </c>
      <c r="B6232" t="s">
        <v>2311</v>
      </c>
      <c r="C6232" t="s">
        <v>88</v>
      </c>
      <c r="D6232" t="s">
        <v>5939</v>
      </c>
      <c r="E6232" t="s">
        <v>5940</v>
      </c>
      <c r="F6232" t="s">
        <v>88</v>
      </c>
      <c r="G6232" t="s">
        <v>88</v>
      </c>
      <c r="H6232" t="s">
        <v>92</v>
      </c>
    </row>
    <row r="6233" spans="1:8" x14ac:dyDescent="0.25">
      <c r="A6233" t="s">
        <v>259</v>
      </c>
      <c r="B6233" t="s">
        <v>2277</v>
      </c>
      <c r="C6233" t="s">
        <v>88</v>
      </c>
      <c r="D6233" t="s">
        <v>5941</v>
      </c>
      <c r="E6233" t="s">
        <v>2445</v>
      </c>
      <c r="F6233" t="s">
        <v>88</v>
      </c>
      <c r="G6233" t="s">
        <v>88</v>
      </c>
      <c r="H6233" t="s">
        <v>92</v>
      </c>
    </row>
    <row r="6234" spans="1:8" x14ac:dyDescent="0.25">
      <c r="A6234" t="s">
        <v>259</v>
      </c>
      <c r="B6234" t="s">
        <v>2630</v>
      </c>
      <c r="C6234" t="s">
        <v>88</v>
      </c>
      <c r="D6234" t="s">
        <v>5942</v>
      </c>
      <c r="E6234" t="s">
        <v>5943</v>
      </c>
      <c r="F6234" t="s">
        <v>88</v>
      </c>
      <c r="G6234" t="s">
        <v>88</v>
      </c>
      <c r="H6234" t="s">
        <v>92</v>
      </c>
    </row>
    <row r="6235" spans="1:8" x14ac:dyDescent="0.25">
      <c r="A6235" t="s">
        <v>259</v>
      </c>
      <c r="B6235" t="s">
        <v>5944</v>
      </c>
      <c r="C6235" t="s">
        <v>88</v>
      </c>
      <c r="D6235" t="s">
        <v>88</v>
      </c>
      <c r="E6235" t="s">
        <v>5945</v>
      </c>
      <c r="F6235" t="s">
        <v>88</v>
      </c>
      <c r="G6235" t="s">
        <v>88</v>
      </c>
      <c r="H6235" t="s">
        <v>92</v>
      </c>
    </row>
    <row r="6236" spans="1:8" x14ac:dyDescent="0.25">
      <c r="A6236" t="s">
        <v>259</v>
      </c>
      <c r="B6236" t="s">
        <v>5946</v>
      </c>
      <c r="C6236" t="s">
        <v>88</v>
      </c>
      <c r="D6236" t="s">
        <v>88</v>
      </c>
      <c r="E6236" t="s">
        <v>5947</v>
      </c>
      <c r="F6236" t="s">
        <v>88</v>
      </c>
      <c r="G6236" t="s">
        <v>88</v>
      </c>
      <c r="H6236" t="s">
        <v>92</v>
      </c>
    </row>
    <row r="6237" spans="1:8" x14ac:dyDescent="0.25">
      <c r="A6237" t="s">
        <v>259</v>
      </c>
      <c r="B6237" t="s">
        <v>5948</v>
      </c>
      <c r="C6237" t="s">
        <v>88</v>
      </c>
      <c r="D6237" t="s">
        <v>88</v>
      </c>
      <c r="E6237" t="s">
        <v>658</v>
      </c>
      <c r="F6237" t="s">
        <v>88</v>
      </c>
      <c r="G6237" t="s">
        <v>88</v>
      </c>
      <c r="H6237" t="s">
        <v>92</v>
      </c>
    </row>
    <row r="6238" spans="1:8" x14ac:dyDescent="0.25">
      <c r="A6238" t="s">
        <v>259</v>
      </c>
      <c r="B6238" t="s">
        <v>2317</v>
      </c>
      <c r="C6238" t="s">
        <v>88</v>
      </c>
      <c r="D6238" t="s">
        <v>88</v>
      </c>
      <c r="E6238" t="s">
        <v>762</v>
      </c>
      <c r="F6238" t="s">
        <v>88</v>
      </c>
      <c r="G6238" t="s">
        <v>88</v>
      </c>
      <c r="H6238" t="s">
        <v>92</v>
      </c>
    </row>
    <row r="6239" spans="1:8" x14ac:dyDescent="0.25">
      <c r="A6239" t="s">
        <v>259</v>
      </c>
      <c r="B6239" t="s">
        <v>586</v>
      </c>
      <c r="C6239" t="s">
        <v>88</v>
      </c>
      <c r="D6239" t="s">
        <v>5949</v>
      </c>
      <c r="E6239" t="s">
        <v>5950</v>
      </c>
      <c r="F6239" t="s">
        <v>88</v>
      </c>
      <c r="G6239" t="s">
        <v>88</v>
      </c>
      <c r="H6239" t="s">
        <v>92</v>
      </c>
    </row>
    <row r="6240" spans="1:8" x14ac:dyDescent="0.25">
      <c r="A6240" t="s">
        <v>259</v>
      </c>
      <c r="B6240" t="s">
        <v>594</v>
      </c>
      <c r="C6240" t="s">
        <v>88</v>
      </c>
      <c r="D6240" t="s">
        <v>5951</v>
      </c>
      <c r="E6240" t="s">
        <v>700</v>
      </c>
      <c r="F6240" t="s">
        <v>88</v>
      </c>
      <c r="G6240" t="s">
        <v>88</v>
      </c>
      <c r="H6240" t="s">
        <v>92</v>
      </c>
    </row>
    <row r="6241" spans="1:8" x14ac:dyDescent="0.25">
      <c r="A6241" t="s">
        <v>259</v>
      </c>
      <c r="B6241" t="s">
        <v>583</v>
      </c>
      <c r="C6241" t="s">
        <v>88</v>
      </c>
      <c r="D6241" t="s">
        <v>5952</v>
      </c>
      <c r="E6241" t="s">
        <v>762</v>
      </c>
      <c r="F6241" t="s">
        <v>88</v>
      </c>
      <c r="G6241" t="s">
        <v>88</v>
      </c>
      <c r="H6241" t="s">
        <v>92</v>
      </c>
    </row>
    <row r="6242" spans="1:8" x14ac:dyDescent="0.25">
      <c r="A6242" t="s">
        <v>259</v>
      </c>
      <c r="B6242" t="s">
        <v>2310</v>
      </c>
      <c r="C6242" t="s">
        <v>88</v>
      </c>
      <c r="D6242" t="s">
        <v>5953</v>
      </c>
      <c r="E6242" t="s">
        <v>5954</v>
      </c>
      <c r="F6242" t="s">
        <v>88</v>
      </c>
      <c r="G6242" t="s">
        <v>88</v>
      </c>
      <c r="H6242" t="s">
        <v>92</v>
      </c>
    </row>
    <row r="6243" spans="1:8" x14ac:dyDescent="0.25">
      <c r="A6243" t="s">
        <v>259</v>
      </c>
      <c r="B6243" t="s">
        <v>2308</v>
      </c>
      <c r="C6243" t="s">
        <v>88</v>
      </c>
      <c r="D6243" t="s">
        <v>5955</v>
      </c>
      <c r="E6243" t="s">
        <v>5956</v>
      </c>
      <c r="F6243" t="s">
        <v>88</v>
      </c>
      <c r="G6243" t="s">
        <v>88</v>
      </c>
      <c r="H6243" t="s">
        <v>92</v>
      </c>
    </row>
    <row r="6244" spans="1:8" x14ac:dyDescent="0.25">
      <c r="A6244" t="s">
        <v>259</v>
      </c>
      <c r="B6244" t="s">
        <v>5957</v>
      </c>
      <c r="C6244" t="s">
        <v>88</v>
      </c>
      <c r="D6244" t="s">
        <v>5958</v>
      </c>
      <c r="E6244" t="s">
        <v>2647</v>
      </c>
      <c r="F6244" t="s">
        <v>88</v>
      </c>
      <c r="G6244" t="s">
        <v>88</v>
      </c>
      <c r="H6244" t="s">
        <v>92</v>
      </c>
    </row>
    <row r="6245" spans="1:8" x14ac:dyDescent="0.25">
      <c r="A6245" t="s">
        <v>259</v>
      </c>
      <c r="B6245" t="s">
        <v>2325</v>
      </c>
      <c r="C6245" t="s">
        <v>88</v>
      </c>
      <c r="D6245" t="s">
        <v>5959</v>
      </c>
      <c r="E6245" t="s">
        <v>5960</v>
      </c>
      <c r="F6245" t="s">
        <v>88</v>
      </c>
      <c r="G6245" t="s">
        <v>88</v>
      </c>
      <c r="H6245" t="s">
        <v>92</v>
      </c>
    </row>
    <row r="6246" spans="1:8" x14ac:dyDescent="0.25">
      <c r="A6246" t="s">
        <v>259</v>
      </c>
      <c r="B6246" t="s">
        <v>2322</v>
      </c>
      <c r="C6246" t="s">
        <v>88</v>
      </c>
      <c r="D6246" t="s">
        <v>5961</v>
      </c>
      <c r="E6246" t="s">
        <v>979</v>
      </c>
      <c r="F6246" t="s">
        <v>88</v>
      </c>
      <c r="G6246" t="s">
        <v>88</v>
      </c>
      <c r="H6246" t="s">
        <v>92</v>
      </c>
    </row>
    <row r="6247" spans="1:8" x14ac:dyDescent="0.25">
      <c r="A6247" t="s">
        <v>259</v>
      </c>
      <c r="B6247" t="s">
        <v>1322</v>
      </c>
      <c r="C6247" t="s">
        <v>88</v>
      </c>
      <c r="D6247" t="s">
        <v>88</v>
      </c>
      <c r="E6247" t="s">
        <v>607</v>
      </c>
      <c r="F6247" t="s">
        <v>88</v>
      </c>
      <c r="G6247" t="s">
        <v>88</v>
      </c>
      <c r="H6247" t="s">
        <v>92</v>
      </c>
    </row>
    <row r="6248" spans="1:8" x14ac:dyDescent="0.25">
      <c r="A6248" t="s">
        <v>259</v>
      </c>
      <c r="B6248" t="s">
        <v>2208</v>
      </c>
      <c r="C6248" t="s">
        <v>88</v>
      </c>
      <c r="D6248" t="s">
        <v>88</v>
      </c>
      <c r="E6248" t="s">
        <v>619</v>
      </c>
      <c r="F6248" t="s">
        <v>88</v>
      </c>
      <c r="G6248" t="s">
        <v>88</v>
      </c>
      <c r="H6248" t="s">
        <v>92</v>
      </c>
    </row>
    <row r="6249" spans="1:8" x14ac:dyDescent="0.25">
      <c r="A6249" t="s">
        <v>259</v>
      </c>
      <c r="B6249" t="s">
        <v>5962</v>
      </c>
      <c r="C6249" t="s">
        <v>88</v>
      </c>
      <c r="D6249" t="s">
        <v>5963</v>
      </c>
      <c r="E6249" t="s">
        <v>4060</v>
      </c>
      <c r="F6249" t="s">
        <v>88</v>
      </c>
      <c r="G6249" t="s">
        <v>88</v>
      </c>
      <c r="H6249" t="s">
        <v>92</v>
      </c>
    </row>
    <row r="6250" spans="1:8" x14ac:dyDescent="0.25">
      <c r="A6250" t="s">
        <v>259</v>
      </c>
      <c r="B6250" t="s">
        <v>5964</v>
      </c>
      <c r="C6250" t="s">
        <v>88</v>
      </c>
      <c r="D6250" t="s">
        <v>5965</v>
      </c>
      <c r="E6250" t="s">
        <v>2087</v>
      </c>
      <c r="F6250" t="s">
        <v>88</v>
      </c>
      <c r="G6250" t="s">
        <v>88</v>
      </c>
      <c r="H6250" t="s">
        <v>92</v>
      </c>
    </row>
    <row r="6251" spans="1:8" x14ac:dyDescent="0.25">
      <c r="A6251" t="s">
        <v>259</v>
      </c>
      <c r="B6251" t="s">
        <v>5966</v>
      </c>
      <c r="C6251" t="s">
        <v>88</v>
      </c>
      <c r="D6251" t="s">
        <v>88</v>
      </c>
      <c r="E6251" t="s">
        <v>723</v>
      </c>
      <c r="F6251" t="s">
        <v>88</v>
      </c>
      <c r="G6251" t="s">
        <v>88</v>
      </c>
      <c r="H6251" t="s">
        <v>92</v>
      </c>
    </row>
    <row r="6252" spans="1:8" x14ac:dyDescent="0.25">
      <c r="A6252" t="s">
        <v>259</v>
      </c>
      <c r="B6252" t="s">
        <v>5967</v>
      </c>
      <c r="C6252" t="s">
        <v>88</v>
      </c>
      <c r="D6252" t="s">
        <v>88</v>
      </c>
      <c r="E6252" t="s">
        <v>607</v>
      </c>
      <c r="F6252" t="s">
        <v>88</v>
      </c>
      <c r="G6252" t="s">
        <v>88</v>
      </c>
      <c r="H6252" t="s">
        <v>92</v>
      </c>
    </row>
    <row r="6253" spans="1:8" x14ac:dyDescent="0.25">
      <c r="A6253" t="s">
        <v>259</v>
      </c>
      <c r="B6253" t="s">
        <v>5968</v>
      </c>
      <c r="C6253" t="s">
        <v>88</v>
      </c>
      <c r="D6253" t="s">
        <v>5969</v>
      </c>
      <c r="E6253" t="s">
        <v>611</v>
      </c>
      <c r="F6253" t="s">
        <v>88</v>
      </c>
      <c r="G6253" t="s">
        <v>88</v>
      </c>
      <c r="H6253" t="s">
        <v>92</v>
      </c>
    </row>
    <row r="6254" spans="1:8" x14ac:dyDescent="0.25">
      <c r="A6254" t="s">
        <v>259</v>
      </c>
      <c r="B6254" t="s">
        <v>5970</v>
      </c>
      <c r="C6254" t="s">
        <v>88</v>
      </c>
      <c r="D6254" t="s">
        <v>88</v>
      </c>
      <c r="E6254" t="s">
        <v>626</v>
      </c>
      <c r="F6254" t="s">
        <v>88</v>
      </c>
      <c r="G6254" t="s">
        <v>88</v>
      </c>
      <c r="H6254" t="s">
        <v>92</v>
      </c>
    </row>
    <row r="6255" spans="1:8" x14ac:dyDescent="0.25">
      <c r="A6255" t="s">
        <v>259</v>
      </c>
      <c r="B6255" t="s">
        <v>5971</v>
      </c>
      <c r="C6255" t="s">
        <v>88</v>
      </c>
      <c r="D6255" t="s">
        <v>88</v>
      </c>
      <c r="E6255" t="s">
        <v>626</v>
      </c>
      <c r="F6255" t="s">
        <v>88</v>
      </c>
      <c r="G6255" t="s">
        <v>88</v>
      </c>
      <c r="H6255" t="s">
        <v>92</v>
      </c>
    </row>
    <row r="6256" spans="1:8" x14ac:dyDescent="0.25">
      <c r="A6256" t="s">
        <v>259</v>
      </c>
      <c r="B6256" t="s">
        <v>5972</v>
      </c>
      <c r="C6256" t="s">
        <v>88</v>
      </c>
      <c r="D6256" t="s">
        <v>3302</v>
      </c>
      <c r="E6256" t="s">
        <v>723</v>
      </c>
      <c r="F6256" t="s">
        <v>88</v>
      </c>
      <c r="G6256" t="s">
        <v>88</v>
      </c>
      <c r="H6256" t="s">
        <v>92</v>
      </c>
    </row>
    <row r="6257" spans="1:8" x14ac:dyDescent="0.25">
      <c r="A6257" t="s">
        <v>259</v>
      </c>
      <c r="B6257" t="s">
        <v>5973</v>
      </c>
      <c r="C6257" t="s">
        <v>88</v>
      </c>
      <c r="D6257" t="s">
        <v>88</v>
      </c>
      <c r="E6257" t="s">
        <v>2119</v>
      </c>
      <c r="F6257" t="s">
        <v>88</v>
      </c>
      <c r="G6257" t="s">
        <v>88</v>
      </c>
      <c r="H6257" t="s">
        <v>92</v>
      </c>
    </row>
    <row r="6258" spans="1:8" x14ac:dyDescent="0.25">
      <c r="A6258" t="s">
        <v>259</v>
      </c>
      <c r="B6258" t="s">
        <v>2345</v>
      </c>
      <c r="C6258" t="s">
        <v>88</v>
      </c>
      <c r="D6258" t="s">
        <v>5974</v>
      </c>
      <c r="E6258" t="s">
        <v>760</v>
      </c>
      <c r="F6258" t="s">
        <v>88</v>
      </c>
      <c r="G6258" t="s">
        <v>88</v>
      </c>
      <c r="H6258" t="s">
        <v>92</v>
      </c>
    </row>
    <row r="6259" spans="1:8" x14ac:dyDescent="0.25">
      <c r="A6259" t="s">
        <v>259</v>
      </c>
      <c r="B6259" t="s">
        <v>1794</v>
      </c>
      <c r="C6259" t="s">
        <v>88</v>
      </c>
      <c r="D6259" t="s">
        <v>88</v>
      </c>
      <c r="E6259" t="s">
        <v>937</v>
      </c>
      <c r="F6259" t="s">
        <v>88</v>
      </c>
      <c r="G6259" t="s">
        <v>88</v>
      </c>
      <c r="H6259" t="s">
        <v>92</v>
      </c>
    </row>
    <row r="6260" spans="1:8" x14ac:dyDescent="0.25">
      <c r="A6260" t="s">
        <v>259</v>
      </c>
      <c r="B6260" t="s">
        <v>5975</v>
      </c>
      <c r="C6260" t="s">
        <v>88</v>
      </c>
      <c r="D6260" t="s">
        <v>5976</v>
      </c>
      <c r="E6260" t="s">
        <v>717</v>
      </c>
      <c r="F6260" t="s">
        <v>88</v>
      </c>
      <c r="G6260" t="s">
        <v>88</v>
      </c>
      <c r="H6260" t="s">
        <v>92</v>
      </c>
    </row>
    <row r="6261" spans="1:8" x14ac:dyDescent="0.25">
      <c r="A6261" t="s">
        <v>259</v>
      </c>
      <c r="B6261" t="s">
        <v>2349</v>
      </c>
      <c r="C6261" t="s">
        <v>88</v>
      </c>
      <c r="D6261" t="s">
        <v>3456</v>
      </c>
      <c r="E6261" t="s">
        <v>762</v>
      </c>
      <c r="F6261" t="s">
        <v>88</v>
      </c>
      <c r="G6261" t="s">
        <v>88</v>
      </c>
      <c r="H6261" t="s">
        <v>92</v>
      </c>
    </row>
    <row r="6262" spans="1:8" x14ac:dyDescent="0.25">
      <c r="A6262" t="s">
        <v>259</v>
      </c>
      <c r="B6262" t="s">
        <v>5977</v>
      </c>
      <c r="C6262" t="s">
        <v>88</v>
      </c>
      <c r="D6262" t="s">
        <v>5978</v>
      </c>
      <c r="E6262" t="s">
        <v>673</v>
      </c>
      <c r="F6262" t="s">
        <v>88</v>
      </c>
      <c r="G6262" t="s">
        <v>88</v>
      </c>
      <c r="H6262" t="s">
        <v>92</v>
      </c>
    </row>
    <row r="6263" spans="1:8" x14ac:dyDescent="0.25">
      <c r="A6263" t="s">
        <v>259</v>
      </c>
      <c r="B6263" t="s">
        <v>5979</v>
      </c>
      <c r="C6263" t="s">
        <v>88</v>
      </c>
      <c r="D6263" t="s">
        <v>5980</v>
      </c>
      <c r="E6263" t="s">
        <v>2066</v>
      </c>
      <c r="F6263" t="s">
        <v>88</v>
      </c>
      <c r="G6263" t="s">
        <v>88</v>
      </c>
      <c r="H6263" t="s">
        <v>92</v>
      </c>
    </row>
    <row r="6264" spans="1:8" x14ac:dyDescent="0.25">
      <c r="A6264" t="s">
        <v>259</v>
      </c>
      <c r="B6264" t="s">
        <v>5981</v>
      </c>
      <c r="C6264" t="s">
        <v>88</v>
      </c>
      <c r="D6264" t="s">
        <v>88</v>
      </c>
      <c r="E6264" t="s">
        <v>1221</v>
      </c>
      <c r="F6264" t="s">
        <v>88</v>
      </c>
      <c r="G6264" t="s">
        <v>88</v>
      </c>
      <c r="H6264" t="s">
        <v>92</v>
      </c>
    </row>
    <row r="6265" spans="1:8" x14ac:dyDescent="0.25">
      <c r="A6265" t="s">
        <v>259</v>
      </c>
      <c r="B6265" t="s">
        <v>5982</v>
      </c>
      <c r="C6265" t="s">
        <v>88</v>
      </c>
      <c r="D6265" t="s">
        <v>88</v>
      </c>
      <c r="E6265" t="s">
        <v>725</v>
      </c>
      <c r="F6265" t="s">
        <v>88</v>
      </c>
      <c r="G6265" t="s">
        <v>88</v>
      </c>
      <c r="H6265" t="s">
        <v>92</v>
      </c>
    </row>
    <row r="6266" spans="1:8" x14ac:dyDescent="0.25">
      <c r="A6266" t="s">
        <v>259</v>
      </c>
      <c r="B6266" t="s">
        <v>5983</v>
      </c>
      <c r="C6266" t="s">
        <v>88</v>
      </c>
      <c r="D6266" t="s">
        <v>88</v>
      </c>
      <c r="E6266" t="s">
        <v>658</v>
      </c>
      <c r="F6266" t="s">
        <v>88</v>
      </c>
      <c r="G6266" t="s">
        <v>88</v>
      </c>
      <c r="H6266" t="s">
        <v>92</v>
      </c>
    </row>
    <row r="6267" spans="1:8" x14ac:dyDescent="0.25">
      <c r="A6267" t="s">
        <v>259</v>
      </c>
      <c r="B6267" t="s">
        <v>5984</v>
      </c>
      <c r="C6267" t="s">
        <v>88</v>
      </c>
      <c r="D6267" t="s">
        <v>88</v>
      </c>
      <c r="E6267" t="s">
        <v>5985</v>
      </c>
      <c r="F6267" t="s">
        <v>88</v>
      </c>
      <c r="G6267" t="s">
        <v>88</v>
      </c>
      <c r="H6267" t="s">
        <v>92</v>
      </c>
    </row>
    <row r="6268" spans="1:8" x14ac:dyDescent="0.25">
      <c r="A6268" t="s">
        <v>259</v>
      </c>
      <c r="B6268" t="s">
        <v>5986</v>
      </c>
      <c r="C6268" t="s">
        <v>88</v>
      </c>
      <c r="D6268" t="s">
        <v>5987</v>
      </c>
      <c r="E6268" t="s">
        <v>5988</v>
      </c>
      <c r="F6268" t="s">
        <v>88</v>
      </c>
      <c r="G6268" t="s">
        <v>88</v>
      </c>
      <c r="H6268" t="s">
        <v>92</v>
      </c>
    </row>
    <row r="6269" spans="1:8" x14ac:dyDescent="0.25">
      <c r="A6269" t="s">
        <v>259</v>
      </c>
      <c r="B6269" t="s">
        <v>5989</v>
      </c>
      <c r="C6269" t="s">
        <v>88</v>
      </c>
      <c r="D6269" t="s">
        <v>1109</v>
      </c>
      <c r="E6269" t="s">
        <v>780</v>
      </c>
      <c r="F6269" t="s">
        <v>88</v>
      </c>
      <c r="G6269" t="s">
        <v>88</v>
      </c>
      <c r="H6269" t="s">
        <v>92</v>
      </c>
    </row>
    <row r="6270" spans="1:8" x14ac:dyDescent="0.25">
      <c r="A6270" t="s">
        <v>259</v>
      </c>
      <c r="B6270" t="s">
        <v>5990</v>
      </c>
      <c r="C6270" t="s">
        <v>88</v>
      </c>
      <c r="D6270" t="s">
        <v>5991</v>
      </c>
      <c r="E6270" t="s">
        <v>700</v>
      </c>
      <c r="F6270" t="s">
        <v>88</v>
      </c>
      <c r="G6270" t="s">
        <v>88</v>
      </c>
      <c r="H6270" t="s">
        <v>92</v>
      </c>
    </row>
    <row r="6271" spans="1:8" x14ac:dyDescent="0.25">
      <c r="A6271" t="s">
        <v>259</v>
      </c>
      <c r="B6271" t="s">
        <v>5992</v>
      </c>
      <c r="C6271" t="s">
        <v>88</v>
      </c>
      <c r="D6271" t="s">
        <v>5993</v>
      </c>
      <c r="E6271" t="s">
        <v>762</v>
      </c>
      <c r="F6271" t="s">
        <v>88</v>
      </c>
      <c r="G6271" t="s">
        <v>88</v>
      </c>
      <c r="H6271" t="s">
        <v>92</v>
      </c>
    </row>
    <row r="6272" spans="1:8" x14ac:dyDescent="0.25">
      <c r="A6272" t="s">
        <v>259</v>
      </c>
      <c r="B6272" t="s">
        <v>5994</v>
      </c>
      <c r="C6272" t="s">
        <v>88</v>
      </c>
      <c r="D6272" t="s">
        <v>5995</v>
      </c>
      <c r="E6272" t="s">
        <v>663</v>
      </c>
      <c r="F6272" t="s">
        <v>88</v>
      </c>
      <c r="G6272" t="s">
        <v>88</v>
      </c>
      <c r="H6272" t="s">
        <v>92</v>
      </c>
    </row>
    <row r="6273" spans="1:8" x14ac:dyDescent="0.25">
      <c r="A6273" t="s">
        <v>259</v>
      </c>
      <c r="B6273" t="s">
        <v>5996</v>
      </c>
      <c r="C6273" t="s">
        <v>88</v>
      </c>
      <c r="D6273" t="s">
        <v>5997</v>
      </c>
      <c r="E6273" t="s">
        <v>762</v>
      </c>
      <c r="F6273" t="s">
        <v>88</v>
      </c>
      <c r="G6273" t="s">
        <v>88</v>
      </c>
      <c r="H6273" t="s">
        <v>92</v>
      </c>
    </row>
    <row r="6274" spans="1:8" x14ac:dyDescent="0.25">
      <c r="A6274" t="s">
        <v>259</v>
      </c>
      <c r="B6274" t="s">
        <v>701</v>
      </c>
      <c r="C6274" t="s">
        <v>88</v>
      </c>
      <c r="D6274" t="s">
        <v>88</v>
      </c>
      <c r="E6274" t="s">
        <v>1596</v>
      </c>
      <c r="F6274" t="s">
        <v>88</v>
      </c>
      <c r="G6274" t="s">
        <v>88</v>
      </c>
      <c r="H6274" t="s">
        <v>92</v>
      </c>
    </row>
    <row r="6275" spans="1:8" x14ac:dyDescent="0.25">
      <c r="A6275" t="s">
        <v>259</v>
      </c>
      <c r="B6275" t="s">
        <v>704</v>
      </c>
      <c r="C6275" t="s">
        <v>88</v>
      </c>
      <c r="D6275" t="s">
        <v>88</v>
      </c>
      <c r="E6275" t="s">
        <v>1596</v>
      </c>
      <c r="F6275" t="s">
        <v>88</v>
      </c>
      <c r="G6275" t="s">
        <v>88</v>
      </c>
      <c r="H6275" t="s">
        <v>92</v>
      </c>
    </row>
    <row r="6276" spans="1:8" x14ac:dyDescent="0.25">
      <c r="A6276" t="s">
        <v>259</v>
      </c>
      <c r="B6276" t="s">
        <v>952</v>
      </c>
      <c r="C6276" t="s">
        <v>88</v>
      </c>
      <c r="D6276" t="s">
        <v>88</v>
      </c>
      <c r="E6276" t="s">
        <v>709</v>
      </c>
      <c r="F6276" t="s">
        <v>88</v>
      </c>
      <c r="G6276" t="s">
        <v>88</v>
      </c>
      <c r="H6276" t="s">
        <v>92</v>
      </c>
    </row>
    <row r="6277" spans="1:8" x14ac:dyDescent="0.25">
      <c r="A6277" t="s">
        <v>259</v>
      </c>
      <c r="B6277" t="s">
        <v>705</v>
      </c>
      <c r="C6277" t="s">
        <v>88</v>
      </c>
      <c r="D6277" t="s">
        <v>88</v>
      </c>
      <c r="E6277" t="s">
        <v>1596</v>
      </c>
      <c r="F6277" t="s">
        <v>88</v>
      </c>
      <c r="G6277" t="s">
        <v>88</v>
      </c>
      <c r="H6277" t="s">
        <v>92</v>
      </c>
    </row>
    <row r="6278" spans="1:8" x14ac:dyDescent="0.25">
      <c r="A6278" t="s">
        <v>259</v>
      </c>
      <c r="B6278" t="s">
        <v>706</v>
      </c>
      <c r="C6278" t="s">
        <v>88</v>
      </c>
      <c r="D6278" t="s">
        <v>88</v>
      </c>
      <c r="E6278" t="s">
        <v>799</v>
      </c>
      <c r="F6278" t="s">
        <v>88</v>
      </c>
      <c r="G6278" t="s">
        <v>88</v>
      </c>
      <c r="H6278" t="s">
        <v>92</v>
      </c>
    </row>
    <row r="6279" spans="1:8" x14ac:dyDescent="0.25">
      <c r="A6279" t="s">
        <v>259</v>
      </c>
      <c r="B6279" t="s">
        <v>707</v>
      </c>
      <c r="C6279" t="s">
        <v>88</v>
      </c>
      <c r="D6279" t="s">
        <v>88</v>
      </c>
      <c r="E6279" t="s">
        <v>702</v>
      </c>
      <c r="F6279" t="s">
        <v>88</v>
      </c>
      <c r="G6279" t="s">
        <v>88</v>
      </c>
      <c r="H6279" t="s">
        <v>92</v>
      </c>
    </row>
    <row r="6280" spans="1:8" x14ac:dyDescent="0.25">
      <c r="A6280" t="s">
        <v>259</v>
      </c>
      <c r="B6280" t="s">
        <v>795</v>
      </c>
      <c r="C6280" t="s">
        <v>88</v>
      </c>
      <c r="D6280" t="s">
        <v>88</v>
      </c>
      <c r="E6280" t="s">
        <v>709</v>
      </c>
      <c r="F6280" t="s">
        <v>88</v>
      </c>
      <c r="G6280" t="s">
        <v>88</v>
      </c>
      <c r="H6280" t="s">
        <v>92</v>
      </c>
    </row>
    <row r="6281" spans="1:8" x14ac:dyDescent="0.25">
      <c r="A6281" t="s">
        <v>259</v>
      </c>
      <c r="B6281" t="s">
        <v>620</v>
      </c>
      <c r="C6281" t="s">
        <v>88</v>
      </c>
      <c r="D6281" t="s">
        <v>88</v>
      </c>
      <c r="E6281" t="s">
        <v>732</v>
      </c>
      <c r="F6281" t="s">
        <v>88</v>
      </c>
      <c r="G6281" t="s">
        <v>88</v>
      </c>
      <c r="H6281" t="s">
        <v>92</v>
      </c>
    </row>
    <row r="6282" spans="1:8" x14ac:dyDescent="0.25">
      <c r="A6282" t="s">
        <v>259</v>
      </c>
      <c r="B6282" t="s">
        <v>622</v>
      </c>
      <c r="C6282" t="s">
        <v>88</v>
      </c>
      <c r="D6282" t="s">
        <v>88</v>
      </c>
      <c r="E6282" t="s">
        <v>732</v>
      </c>
      <c r="F6282" t="s">
        <v>88</v>
      </c>
      <c r="G6282" t="s">
        <v>88</v>
      </c>
      <c r="H6282" t="s">
        <v>92</v>
      </c>
    </row>
    <row r="6283" spans="1:8" x14ac:dyDescent="0.25">
      <c r="A6283" t="s">
        <v>259</v>
      </c>
      <c r="B6283" t="s">
        <v>623</v>
      </c>
      <c r="C6283" t="s">
        <v>88</v>
      </c>
      <c r="D6283" t="s">
        <v>88</v>
      </c>
      <c r="E6283" t="s">
        <v>710</v>
      </c>
      <c r="F6283" t="s">
        <v>88</v>
      </c>
      <c r="G6283" t="s">
        <v>88</v>
      </c>
      <c r="H6283" t="s">
        <v>92</v>
      </c>
    </row>
    <row r="6284" spans="1:8" x14ac:dyDescent="0.25">
      <c r="A6284" t="s">
        <v>259</v>
      </c>
      <c r="B6284" t="s">
        <v>712</v>
      </c>
      <c r="C6284" t="s">
        <v>88</v>
      </c>
      <c r="D6284" t="s">
        <v>1370</v>
      </c>
      <c r="E6284" t="s">
        <v>709</v>
      </c>
      <c r="F6284" t="s">
        <v>88</v>
      </c>
      <c r="G6284" t="s">
        <v>88</v>
      </c>
      <c r="H6284" t="s">
        <v>92</v>
      </c>
    </row>
    <row r="6285" spans="1:8" x14ac:dyDescent="0.25">
      <c r="A6285" t="s">
        <v>259</v>
      </c>
      <c r="B6285" t="s">
        <v>5998</v>
      </c>
      <c r="C6285" t="s">
        <v>88</v>
      </c>
      <c r="D6285" t="s">
        <v>88</v>
      </c>
      <c r="E6285" t="s">
        <v>732</v>
      </c>
      <c r="F6285" t="s">
        <v>88</v>
      </c>
      <c r="G6285" t="s">
        <v>88</v>
      </c>
      <c r="H6285" t="s">
        <v>92</v>
      </c>
    </row>
    <row r="6286" spans="1:8" x14ac:dyDescent="0.25">
      <c r="A6286" t="s">
        <v>259</v>
      </c>
      <c r="B6286" t="s">
        <v>2359</v>
      </c>
      <c r="C6286" t="s">
        <v>88</v>
      </c>
      <c r="D6286" t="s">
        <v>88</v>
      </c>
      <c r="E6286" t="s">
        <v>738</v>
      </c>
      <c r="F6286" t="s">
        <v>88</v>
      </c>
      <c r="G6286" t="s">
        <v>88</v>
      </c>
      <c r="H6286" t="s">
        <v>92</v>
      </c>
    </row>
    <row r="6287" spans="1:8" x14ac:dyDescent="0.25">
      <c r="A6287" t="s">
        <v>259</v>
      </c>
      <c r="B6287" t="s">
        <v>714</v>
      </c>
      <c r="C6287" t="s">
        <v>88</v>
      </c>
      <c r="D6287" t="s">
        <v>88</v>
      </c>
      <c r="E6287" t="s">
        <v>715</v>
      </c>
      <c r="F6287" t="s">
        <v>88</v>
      </c>
      <c r="G6287" t="s">
        <v>88</v>
      </c>
      <c r="H6287" t="s">
        <v>92</v>
      </c>
    </row>
    <row r="6288" spans="1:8" x14ac:dyDescent="0.25">
      <c r="A6288" t="s">
        <v>259</v>
      </c>
      <c r="B6288" t="s">
        <v>625</v>
      </c>
      <c r="C6288" t="s">
        <v>88</v>
      </c>
      <c r="D6288" t="s">
        <v>88</v>
      </c>
      <c r="E6288" t="s">
        <v>626</v>
      </c>
      <c r="F6288" t="s">
        <v>88</v>
      </c>
      <c r="G6288" t="s">
        <v>88</v>
      </c>
      <c r="H6288" t="s">
        <v>92</v>
      </c>
    </row>
    <row r="6289" spans="1:8" x14ac:dyDescent="0.25">
      <c r="A6289" t="s">
        <v>260</v>
      </c>
      <c r="B6289" t="s">
        <v>5999</v>
      </c>
      <c r="C6289" t="s">
        <v>88</v>
      </c>
      <c r="D6289" t="s">
        <v>6000</v>
      </c>
      <c r="E6289" t="s">
        <v>692</v>
      </c>
      <c r="F6289" t="s">
        <v>88</v>
      </c>
      <c r="G6289" t="s">
        <v>88</v>
      </c>
      <c r="H6289" t="s">
        <v>92</v>
      </c>
    </row>
    <row r="6290" spans="1:8" x14ac:dyDescent="0.25">
      <c r="A6290" t="s">
        <v>260</v>
      </c>
      <c r="B6290" t="s">
        <v>6001</v>
      </c>
      <c r="C6290" t="s">
        <v>88</v>
      </c>
      <c r="D6290" t="s">
        <v>6002</v>
      </c>
      <c r="E6290" t="s">
        <v>717</v>
      </c>
      <c r="F6290" t="s">
        <v>88</v>
      </c>
      <c r="G6290" t="s">
        <v>88</v>
      </c>
      <c r="H6290" t="s">
        <v>92</v>
      </c>
    </row>
    <row r="6291" spans="1:8" x14ac:dyDescent="0.25">
      <c r="A6291" t="s">
        <v>260</v>
      </c>
      <c r="B6291" t="s">
        <v>6003</v>
      </c>
      <c r="C6291" t="s">
        <v>88</v>
      </c>
      <c r="D6291" t="s">
        <v>6004</v>
      </c>
      <c r="E6291" t="s">
        <v>820</v>
      </c>
      <c r="F6291" t="s">
        <v>88</v>
      </c>
      <c r="G6291" t="s">
        <v>88</v>
      </c>
      <c r="H6291" t="s">
        <v>92</v>
      </c>
    </row>
    <row r="6292" spans="1:8" x14ac:dyDescent="0.25">
      <c r="A6292" t="s">
        <v>260</v>
      </c>
      <c r="B6292" t="s">
        <v>6005</v>
      </c>
      <c r="C6292" t="s">
        <v>88</v>
      </c>
      <c r="D6292" t="s">
        <v>88</v>
      </c>
      <c r="E6292" t="s">
        <v>959</v>
      </c>
      <c r="F6292" t="s">
        <v>88</v>
      </c>
      <c r="G6292" t="s">
        <v>88</v>
      </c>
      <c r="H6292" t="s">
        <v>92</v>
      </c>
    </row>
    <row r="6293" spans="1:8" x14ac:dyDescent="0.25">
      <c r="A6293" t="s">
        <v>260</v>
      </c>
      <c r="B6293" t="s">
        <v>6006</v>
      </c>
      <c r="C6293" t="s">
        <v>88</v>
      </c>
      <c r="D6293" t="s">
        <v>88</v>
      </c>
      <c r="E6293" t="s">
        <v>700</v>
      </c>
      <c r="F6293" t="s">
        <v>88</v>
      </c>
      <c r="G6293" t="s">
        <v>88</v>
      </c>
      <c r="H6293" t="s">
        <v>92</v>
      </c>
    </row>
    <row r="6294" spans="1:8" x14ac:dyDescent="0.25">
      <c r="A6294" t="s">
        <v>260</v>
      </c>
      <c r="B6294" t="s">
        <v>5999</v>
      </c>
      <c r="C6294" t="s">
        <v>88</v>
      </c>
      <c r="D6294" t="s">
        <v>6000</v>
      </c>
      <c r="E6294" t="s">
        <v>692</v>
      </c>
      <c r="F6294" t="s">
        <v>88</v>
      </c>
      <c r="G6294" t="s">
        <v>88</v>
      </c>
      <c r="H6294" t="s">
        <v>92</v>
      </c>
    </row>
    <row r="6295" spans="1:8" x14ac:dyDescent="0.25">
      <c r="A6295" t="s">
        <v>260</v>
      </c>
      <c r="B6295" t="s">
        <v>6007</v>
      </c>
      <c r="C6295" t="s">
        <v>88</v>
      </c>
      <c r="D6295" t="s">
        <v>6000</v>
      </c>
      <c r="E6295" t="s">
        <v>655</v>
      </c>
      <c r="F6295" t="s">
        <v>88</v>
      </c>
      <c r="G6295" t="s">
        <v>88</v>
      </c>
      <c r="H6295" t="s">
        <v>92</v>
      </c>
    </row>
    <row r="6296" spans="1:8" x14ac:dyDescent="0.25">
      <c r="A6296" t="s">
        <v>260</v>
      </c>
      <c r="B6296" t="s">
        <v>876</v>
      </c>
      <c r="C6296" t="s">
        <v>88</v>
      </c>
      <c r="D6296" t="s">
        <v>6000</v>
      </c>
      <c r="E6296" t="s">
        <v>692</v>
      </c>
      <c r="F6296" t="s">
        <v>88</v>
      </c>
      <c r="G6296" t="s">
        <v>88</v>
      </c>
      <c r="H6296" t="s">
        <v>92</v>
      </c>
    </row>
    <row r="6297" spans="1:8" x14ac:dyDescent="0.25">
      <c r="A6297" t="s">
        <v>260</v>
      </c>
      <c r="B6297" t="s">
        <v>897</v>
      </c>
      <c r="C6297" t="s">
        <v>88</v>
      </c>
      <c r="D6297" t="s">
        <v>6000</v>
      </c>
      <c r="E6297" t="s">
        <v>692</v>
      </c>
      <c r="F6297" t="s">
        <v>88</v>
      </c>
      <c r="G6297" t="s">
        <v>88</v>
      </c>
      <c r="H6297" t="s">
        <v>92</v>
      </c>
    </row>
    <row r="6298" spans="1:8" x14ac:dyDescent="0.25">
      <c r="A6298" t="s">
        <v>260</v>
      </c>
      <c r="B6298" t="s">
        <v>6008</v>
      </c>
      <c r="C6298" t="s">
        <v>88</v>
      </c>
      <c r="D6298" t="s">
        <v>6000</v>
      </c>
      <c r="E6298" t="s">
        <v>692</v>
      </c>
      <c r="F6298" t="s">
        <v>88</v>
      </c>
      <c r="G6298" t="s">
        <v>88</v>
      </c>
      <c r="H6298" t="s">
        <v>92</v>
      </c>
    </row>
    <row r="6299" spans="1:8" x14ac:dyDescent="0.25">
      <c r="A6299" t="s">
        <v>260</v>
      </c>
      <c r="B6299" t="s">
        <v>743</v>
      </c>
      <c r="C6299" t="s">
        <v>88</v>
      </c>
      <c r="D6299" t="s">
        <v>6000</v>
      </c>
      <c r="E6299" t="s">
        <v>692</v>
      </c>
      <c r="F6299" t="s">
        <v>88</v>
      </c>
      <c r="G6299" t="s">
        <v>88</v>
      </c>
      <c r="H6299" t="s">
        <v>92</v>
      </c>
    </row>
    <row r="6300" spans="1:8" x14ac:dyDescent="0.25">
      <c r="A6300" t="s">
        <v>260</v>
      </c>
      <c r="B6300" t="s">
        <v>740</v>
      </c>
      <c r="C6300" t="s">
        <v>88</v>
      </c>
      <c r="D6300" t="s">
        <v>6000</v>
      </c>
      <c r="E6300" t="s">
        <v>692</v>
      </c>
      <c r="F6300" t="s">
        <v>88</v>
      </c>
      <c r="G6300" t="s">
        <v>88</v>
      </c>
      <c r="H6300" t="s">
        <v>92</v>
      </c>
    </row>
    <row r="6301" spans="1:8" x14ac:dyDescent="0.25">
      <c r="A6301" t="s">
        <v>260</v>
      </c>
      <c r="B6301" t="s">
        <v>1675</v>
      </c>
      <c r="C6301" t="s">
        <v>88</v>
      </c>
      <c r="D6301" t="s">
        <v>6000</v>
      </c>
      <c r="E6301" t="s">
        <v>692</v>
      </c>
      <c r="F6301" t="s">
        <v>88</v>
      </c>
      <c r="G6301" t="s">
        <v>88</v>
      </c>
      <c r="H6301" t="s">
        <v>92</v>
      </c>
    </row>
    <row r="6302" spans="1:8" x14ac:dyDescent="0.25">
      <c r="A6302" t="s">
        <v>260</v>
      </c>
      <c r="B6302" t="s">
        <v>769</v>
      </c>
      <c r="C6302" t="s">
        <v>88</v>
      </c>
      <c r="D6302" t="s">
        <v>6009</v>
      </c>
      <c r="E6302" t="s">
        <v>964</v>
      </c>
      <c r="F6302" t="s">
        <v>88</v>
      </c>
      <c r="G6302" t="s">
        <v>88</v>
      </c>
      <c r="H6302" t="s">
        <v>92</v>
      </c>
    </row>
    <row r="6303" spans="1:8" x14ac:dyDescent="0.25">
      <c r="A6303" t="s">
        <v>260</v>
      </c>
      <c r="B6303" t="s">
        <v>736</v>
      </c>
      <c r="C6303" t="s">
        <v>88</v>
      </c>
      <c r="D6303" t="s">
        <v>6010</v>
      </c>
      <c r="E6303" t="s">
        <v>937</v>
      </c>
      <c r="F6303" t="s">
        <v>88</v>
      </c>
      <c r="G6303" t="s">
        <v>88</v>
      </c>
      <c r="H6303" t="s">
        <v>92</v>
      </c>
    </row>
    <row r="6304" spans="1:8" x14ac:dyDescent="0.25">
      <c r="A6304" t="s">
        <v>260</v>
      </c>
      <c r="B6304" t="s">
        <v>925</v>
      </c>
      <c r="C6304" t="s">
        <v>88</v>
      </c>
      <c r="D6304" t="s">
        <v>6010</v>
      </c>
      <c r="E6304" t="s">
        <v>780</v>
      </c>
      <c r="F6304" t="s">
        <v>88</v>
      </c>
      <c r="G6304" t="s">
        <v>88</v>
      </c>
      <c r="H6304" t="s">
        <v>92</v>
      </c>
    </row>
    <row r="6305" spans="1:8" x14ac:dyDescent="0.25">
      <c r="A6305" t="s">
        <v>260</v>
      </c>
      <c r="B6305" t="s">
        <v>776</v>
      </c>
      <c r="C6305" t="s">
        <v>88</v>
      </c>
      <c r="D6305" t="s">
        <v>6010</v>
      </c>
      <c r="E6305" t="s">
        <v>780</v>
      </c>
      <c r="F6305" t="s">
        <v>88</v>
      </c>
      <c r="G6305" t="s">
        <v>88</v>
      </c>
      <c r="H6305" t="s">
        <v>92</v>
      </c>
    </row>
    <row r="6306" spans="1:8" x14ac:dyDescent="0.25">
      <c r="A6306" t="s">
        <v>260</v>
      </c>
      <c r="B6306" t="s">
        <v>739</v>
      </c>
      <c r="C6306" t="s">
        <v>88</v>
      </c>
      <c r="D6306" t="s">
        <v>6010</v>
      </c>
      <c r="E6306" t="s">
        <v>780</v>
      </c>
      <c r="F6306" t="s">
        <v>88</v>
      </c>
      <c r="G6306" t="s">
        <v>88</v>
      </c>
      <c r="H6306" t="s">
        <v>92</v>
      </c>
    </row>
    <row r="6307" spans="1:8" x14ac:dyDescent="0.25">
      <c r="A6307" t="s">
        <v>260</v>
      </c>
      <c r="B6307" t="s">
        <v>1398</v>
      </c>
      <c r="C6307" t="s">
        <v>88</v>
      </c>
      <c r="D6307" t="s">
        <v>6011</v>
      </c>
      <c r="E6307" t="s">
        <v>700</v>
      </c>
      <c r="F6307" t="s">
        <v>88</v>
      </c>
      <c r="G6307" t="s">
        <v>88</v>
      </c>
      <c r="H6307" t="s">
        <v>92</v>
      </c>
    </row>
    <row r="6308" spans="1:8" x14ac:dyDescent="0.25">
      <c r="A6308" t="s">
        <v>260</v>
      </c>
      <c r="B6308" t="s">
        <v>948</v>
      </c>
      <c r="C6308" t="s">
        <v>88</v>
      </c>
      <c r="D6308" t="s">
        <v>88</v>
      </c>
      <c r="E6308" t="s">
        <v>713</v>
      </c>
      <c r="F6308" t="s">
        <v>88</v>
      </c>
      <c r="G6308" t="s">
        <v>88</v>
      </c>
      <c r="H6308" t="s">
        <v>92</v>
      </c>
    </row>
    <row r="6309" spans="1:8" x14ac:dyDescent="0.25">
      <c r="A6309" t="s">
        <v>260</v>
      </c>
      <c r="B6309" t="s">
        <v>6012</v>
      </c>
      <c r="C6309" t="s">
        <v>88</v>
      </c>
      <c r="D6309" t="s">
        <v>88</v>
      </c>
      <c r="E6309" t="s">
        <v>791</v>
      </c>
      <c r="F6309" t="s">
        <v>88</v>
      </c>
      <c r="G6309" t="s">
        <v>88</v>
      </c>
      <c r="H6309" t="s">
        <v>92</v>
      </c>
    </row>
    <row r="6310" spans="1:8" x14ac:dyDescent="0.25">
      <c r="A6310" t="s">
        <v>260</v>
      </c>
      <c r="B6310" t="s">
        <v>6013</v>
      </c>
      <c r="C6310" t="s">
        <v>88</v>
      </c>
      <c r="D6310" t="s">
        <v>88</v>
      </c>
      <c r="E6310" t="s">
        <v>791</v>
      </c>
      <c r="F6310" t="s">
        <v>88</v>
      </c>
      <c r="G6310" t="s">
        <v>88</v>
      </c>
      <c r="H6310" t="s">
        <v>92</v>
      </c>
    </row>
    <row r="6311" spans="1:8" x14ac:dyDescent="0.25">
      <c r="A6311" t="s">
        <v>260</v>
      </c>
      <c r="B6311" t="s">
        <v>4369</v>
      </c>
      <c r="C6311" t="s">
        <v>88</v>
      </c>
      <c r="D6311" t="s">
        <v>88</v>
      </c>
      <c r="E6311" t="s">
        <v>791</v>
      </c>
      <c r="F6311" t="s">
        <v>88</v>
      </c>
      <c r="G6311" t="s">
        <v>88</v>
      </c>
      <c r="H6311" t="s">
        <v>92</v>
      </c>
    </row>
    <row r="6312" spans="1:8" x14ac:dyDescent="0.25">
      <c r="A6312" t="s">
        <v>260</v>
      </c>
      <c r="B6312" t="s">
        <v>701</v>
      </c>
      <c r="C6312" t="s">
        <v>88</v>
      </c>
      <c r="D6312" t="s">
        <v>88</v>
      </c>
      <c r="E6312" t="s">
        <v>732</v>
      </c>
      <c r="F6312" t="s">
        <v>88</v>
      </c>
      <c r="G6312" t="s">
        <v>88</v>
      </c>
      <c r="H6312" t="s">
        <v>92</v>
      </c>
    </row>
    <row r="6313" spans="1:8" x14ac:dyDescent="0.25">
      <c r="A6313" t="s">
        <v>260</v>
      </c>
      <c r="B6313" t="s">
        <v>703</v>
      </c>
      <c r="C6313" t="s">
        <v>88</v>
      </c>
      <c r="D6313" t="s">
        <v>88</v>
      </c>
      <c r="E6313" t="s">
        <v>732</v>
      </c>
      <c r="F6313" t="s">
        <v>88</v>
      </c>
      <c r="G6313" t="s">
        <v>88</v>
      </c>
      <c r="H6313" t="s">
        <v>92</v>
      </c>
    </row>
    <row r="6314" spans="1:8" x14ac:dyDescent="0.25">
      <c r="A6314" t="s">
        <v>260</v>
      </c>
      <c r="B6314" t="s">
        <v>705</v>
      </c>
      <c r="C6314" t="s">
        <v>88</v>
      </c>
      <c r="D6314" t="s">
        <v>88</v>
      </c>
      <c r="E6314" t="s">
        <v>732</v>
      </c>
      <c r="F6314" t="s">
        <v>88</v>
      </c>
      <c r="G6314" t="s">
        <v>88</v>
      </c>
      <c r="H6314" t="s">
        <v>92</v>
      </c>
    </row>
    <row r="6315" spans="1:8" x14ac:dyDescent="0.25">
      <c r="A6315" t="s">
        <v>260</v>
      </c>
      <c r="B6315" t="s">
        <v>846</v>
      </c>
      <c r="C6315" t="s">
        <v>88</v>
      </c>
      <c r="D6315" t="s">
        <v>88</v>
      </c>
      <c r="E6315" t="s">
        <v>734</v>
      </c>
      <c r="F6315" t="s">
        <v>88</v>
      </c>
      <c r="G6315" t="s">
        <v>88</v>
      </c>
      <c r="H6315" t="s">
        <v>92</v>
      </c>
    </row>
    <row r="6316" spans="1:8" x14ac:dyDescent="0.25">
      <c r="A6316" t="s">
        <v>260</v>
      </c>
      <c r="B6316" t="s">
        <v>6014</v>
      </c>
      <c r="C6316" t="s">
        <v>88</v>
      </c>
      <c r="D6316" t="s">
        <v>88</v>
      </c>
      <c r="E6316" t="s">
        <v>710</v>
      </c>
      <c r="F6316" t="s">
        <v>88</v>
      </c>
      <c r="G6316" t="s">
        <v>88</v>
      </c>
      <c r="H6316" t="s">
        <v>92</v>
      </c>
    </row>
    <row r="6317" spans="1:8" x14ac:dyDescent="0.25">
      <c r="A6317" t="s">
        <v>260</v>
      </c>
      <c r="B6317" t="s">
        <v>623</v>
      </c>
      <c r="C6317" t="s">
        <v>88</v>
      </c>
      <c r="D6317" t="s">
        <v>88</v>
      </c>
      <c r="E6317" t="s">
        <v>735</v>
      </c>
      <c r="F6317" t="s">
        <v>88</v>
      </c>
      <c r="G6317" t="s">
        <v>88</v>
      </c>
      <c r="H6317" t="s">
        <v>92</v>
      </c>
    </row>
    <row r="6318" spans="1:8" x14ac:dyDescent="0.25">
      <c r="A6318" t="s">
        <v>260</v>
      </c>
      <c r="B6318" t="s">
        <v>714</v>
      </c>
      <c r="C6318" t="s">
        <v>88</v>
      </c>
      <c r="D6318" t="s">
        <v>88</v>
      </c>
      <c r="E6318" t="s">
        <v>791</v>
      </c>
      <c r="F6318" t="s">
        <v>88</v>
      </c>
      <c r="G6318" t="s">
        <v>88</v>
      </c>
      <c r="H6318" t="s">
        <v>92</v>
      </c>
    </row>
    <row r="6319" spans="1:8" x14ac:dyDescent="0.25">
      <c r="A6319" t="s">
        <v>260</v>
      </c>
      <c r="B6319" t="s">
        <v>998</v>
      </c>
      <c r="C6319" t="s">
        <v>88</v>
      </c>
      <c r="D6319" t="s">
        <v>88</v>
      </c>
      <c r="E6319" t="s">
        <v>791</v>
      </c>
      <c r="F6319" t="s">
        <v>88</v>
      </c>
      <c r="G6319" t="s">
        <v>88</v>
      </c>
      <c r="H6319" t="s">
        <v>92</v>
      </c>
    </row>
    <row r="6320" spans="1:8" x14ac:dyDescent="0.25">
      <c r="A6320" t="s">
        <v>260</v>
      </c>
      <c r="B6320" t="s">
        <v>1989</v>
      </c>
      <c r="C6320" t="s">
        <v>88</v>
      </c>
      <c r="D6320" t="s">
        <v>88</v>
      </c>
      <c r="E6320" t="s">
        <v>738</v>
      </c>
      <c r="F6320" t="s">
        <v>88</v>
      </c>
      <c r="G6320" t="s">
        <v>88</v>
      </c>
      <c r="H6320" t="s">
        <v>92</v>
      </c>
    </row>
    <row r="6321" spans="1:8" x14ac:dyDescent="0.25">
      <c r="A6321" t="s">
        <v>260</v>
      </c>
      <c r="B6321" t="s">
        <v>1990</v>
      </c>
      <c r="C6321" t="s">
        <v>88</v>
      </c>
      <c r="D6321" t="s">
        <v>88</v>
      </c>
      <c r="E6321" t="s">
        <v>738</v>
      </c>
      <c r="F6321" t="s">
        <v>88</v>
      </c>
      <c r="G6321" t="s">
        <v>88</v>
      </c>
      <c r="H6321" t="s">
        <v>92</v>
      </c>
    </row>
    <row r="6322" spans="1:8" x14ac:dyDescent="0.25">
      <c r="A6322" t="s">
        <v>260</v>
      </c>
      <c r="B6322" t="s">
        <v>1237</v>
      </c>
      <c r="C6322" t="s">
        <v>88</v>
      </c>
      <c r="D6322" t="s">
        <v>2397</v>
      </c>
      <c r="E6322" t="s">
        <v>841</v>
      </c>
      <c r="F6322" t="s">
        <v>88</v>
      </c>
      <c r="G6322" t="s">
        <v>88</v>
      </c>
      <c r="H6322" t="s">
        <v>92</v>
      </c>
    </row>
    <row r="6323" spans="1:8" x14ac:dyDescent="0.25">
      <c r="A6323" t="s">
        <v>260</v>
      </c>
      <c r="B6323" t="s">
        <v>1234</v>
      </c>
      <c r="C6323" t="s">
        <v>88</v>
      </c>
      <c r="D6323" t="s">
        <v>2397</v>
      </c>
      <c r="E6323" t="s">
        <v>841</v>
      </c>
      <c r="F6323" t="s">
        <v>88</v>
      </c>
      <c r="G6323" t="s">
        <v>88</v>
      </c>
      <c r="H6323" t="s">
        <v>92</v>
      </c>
    </row>
    <row r="6324" spans="1:8" x14ac:dyDescent="0.25">
      <c r="A6324" t="s">
        <v>260</v>
      </c>
      <c r="B6324" t="s">
        <v>1400</v>
      </c>
      <c r="C6324" t="s">
        <v>88</v>
      </c>
      <c r="D6324" t="s">
        <v>2397</v>
      </c>
      <c r="E6324" t="s">
        <v>841</v>
      </c>
      <c r="F6324" t="s">
        <v>88</v>
      </c>
      <c r="G6324" t="s">
        <v>88</v>
      </c>
      <c r="H6324" t="s">
        <v>92</v>
      </c>
    </row>
    <row r="6325" spans="1:8" x14ac:dyDescent="0.25">
      <c r="A6325" t="s">
        <v>260</v>
      </c>
      <c r="B6325" t="s">
        <v>3262</v>
      </c>
      <c r="C6325" t="s">
        <v>88</v>
      </c>
      <c r="D6325" t="s">
        <v>2397</v>
      </c>
      <c r="E6325" t="s">
        <v>841</v>
      </c>
      <c r="F6325" t="s">
        <v>88</v>
      </c>
      <c r="G6325" t="s">
        <v>88</v>
      </c>
      <c r="H6325" t="s">
        <v>92</v>
      </c>
    </row>
    <row r="6326" spans="1:8" x14ac:dyDescent="0.25">
      <c r="A6326" t="s">
        <v>260</v>
      </c>
      <c r="B6326" t="s">
        <v>2418</v>
      </c>
      <c r="C6326" t="s">
        <v>88</v>
      </c>
      <c r="D6326" t="s">
        <v>2397</v>
      </c>
      <c r="E6326" t="s">
        <v>641</v>
      </c>
      <c r="F6326" t="s">
        <v>88</v>
      </c>
      <c r="G6326" t="s">
        <v>88</v>
      </c>
      <c r="H6326" t="s">
        <v>92</v>
      </c>
    </row>
    <row r="6327" spans="1:8" x14ac:dyDescent="0.25">
      <c r="A6327" t="s">
        <v>260</v>
      </c>
      <c r="B6327" t="s">
        <v>1238</v>
      </c>
      <c r="C6327" t="s">
        <v>88</v>
      </c>
      <c r="D6327" t="s">
        <v>2397</v>
      </c>
      <c r="E6327" t="s">
        <v>841</v>
      </c>
      <c r="F6327" t="s">
        <v>88</v>
      </c>
      <c r="G6327" t="s">
        <v>88</v>
      </c>
      <c r="H6327" t="s">
        <v>92</v>
      </c>
    </row>
    <row r="6328" spans="1:8" x14ac:dyDescent="0.25">
      <c r="A6328" t="s">
        <v>260</v>
      </c>
      <c r="B6328" t="s">
        <v>6015</v>
      </c>
      <c r="C6328" t="s">
        <v>88</v>
      </c>
      <c r="D6328" t="s">
        <v>2397</v>
      </c>
      <c r="E6328" t="s">
        <v>1137</v>
      </c>
      <c r="F6328" t="s">
        <v>88</v>
      </c>
      <c r="G6328" t="s">
        <v>88</v>
      </c>
      <c r="H6328" t="s">
        <v>92</v>
      </c>
    </row>
    <row r="6329" spans="1:8" x14ac:dyDescent="0.25">
      <c r="A6329" t="s">
        <v>260</v>
      </c>
      <c r="B6329" t="s">
        <v>6016</v>
      </c>
      <c r="C6329" t="s">
        <v>88</v>
      </c>
      <c r="D6329" t="s">
        <v>2397</v>
      </c>
      <c r="E6329" t="s">
        <v>807</v>
      </c>
      <c r="F6329" t="s">
        <v>88</v>
      </c>
      <c r="G6329" t="s">
        <v>88</v>
      </c>
      <c r="H6329" t="s">
        <v>92</v>
      </c>
    </row>
    <row r="6330" spans="1:8" x14ac:dyDescent="0.25">
      <c r="A6330" t="s">
        <v>260</v>
      </c>
      <c r="B6330" t="s">
        <v>625</v>
      </c>
      <c r="C6330" t="s">
        <v>88</v>
      </c>
      <c r="D6330" t="s">
        <v>88</v>
      </c>
      <c r="E6330" t="s">
        <v>626</v>
      </c>
      <c r="F6330" t="s">
        <v>88</v>
      </c>
      <c r="G6330" t="s">
        <v>88</v>
      </c>
      <c r="H6330" t="s">
        <v>92</v>
      </c>
    </row>
    <row r="6331" spans="1:8" x14ac:dyDescent="0.25">
      <c r="A6331" t="s">
        <v>261</v>
      </c>
      <c r="B6331" t="s">
        <v>1234</v>
      </c>
      <c r="C6331" t="s">
        <v>88</v>
      </c>
      <c r="D6331" t="s">
        <v>88</v>
      </c>
      <c r="E6331" t="s">
        <v>676</v>
      </c>
      <c r="F6331" t="s">
        <v>88</v>
      </c>
      <c r="G6331" t="s">
        <v>88</v>
      </c>
      <c r="H6331" t="s">
        <v>92</v>
      </c>
    </row>
    <row r="6332" spans="1:8" x14ac:dyDescent="0.25">
      <c r="A6332" t="s">
        <v>261</v>
      </c>
      <c r="B6332" t="s">
        <v>2418</v>
      </c>
      <c r="C6332" t="s">
        <v>88</v>
      </c>
      <c r="D6332" t="s">
        <v>88</v>
      </c>
      <c r="E6332" t="s">
        <v>3179</v>
      </c>
      <c r="F6332" t="s">
        <v>88</v>
      </c>
      <c r="G6332" t="s">
        <v>88</v>
      </c>
      <c r="H6332" t="s">
        <v>92</v>
      </c>
    </row>
    <row r="6333" spans="1:8" x14ac:dyDescent="0.25">
      <c r="A6333" t="s">
        <v>261</v>
      </c>
      <c r="B6333" t="s">
        <v>1237</v>
      </c>
      <c r="C6333" t="s">
        <v>88</v>
      </c>
      <c r="D6333" t="s">
        <v>88</v>
      </c>
      <c r="E6333" t="s">
        <v>964</v>
      </c>
      <c r="F6333" t="s">
        <v>88</v>
      </c>
      <c r="G6333" t="s">
        <v>88</v>
      </c>
      <c r="H6333" t="s">
        <v>92</v>
      </c>
    </row>
    <row r="6334" spans="1:8" x14ac:dyDescent="0.25">
      <c r="A6334" t="s">
        <v>261</v>
      </c>
      <c r="B6334" t="s">
        <v>1238</v>
      </c>
      <c r="C6334" t="s">
        <v>88</v>
      </c>
      <c r="D6334" t="s">
        <v>88</v>
      </c>
      <c r="E6334" t="s">
        <v>676</v>
      </c>
      <c r="F6334" t="s">
        <v>88</v>
      </c>
      <c r="G6334" t="s">
        <v>88</v>
      </c>
      <c r="H6334" t="s">
        <v>92</v>
      </c>
    </row>
    <row r="6335" spans="1:8" x14ac:dyDescent="0.25">
      <c r="A6335" t="s">
        <v>261</v>
      </c>
      <c r="B6335" t="s">
        <v>2417</v>
      </c>
      <c r="C6335" t="s">
        <v>88</v>
      </c>
      <c r="D6335" t="s">
        <v>88</v>
      </c>
      <c r="E6335" t="s">
        <v>676</v>
      </c>
      <c r="F6335" t="s">
        <v>88</v>
      </c>
      <c r="G6335" t="s">
        <v>88</v>
      </c>
      <c r="H6335" t="s">
        <v>92</v>
      </c>
    </row>
    <row r="6336" spans="1:8" x14ac:dyDescent="0.25">
      <c r="A6336" t="s">
        <v>261</v>
      </c>
      <c r="B6336" t="s">
        <v>4354</v>
      </c>
      <c r="C6336" t="s">
        <v>88</v>
      </c>
      <c r="D6336" t="s">
        <v>6017</v>
      </c>
      <c r="E6336" t="s">
        <v>937</v>
      </c>
      <c r="F6336" t="s">
        <v>88</v>
      </c>
      <c r="G6336" t="s">
        <v>88</v>
      </c>
      <c r="H6336" t="s">
        <v>92</v>
      </c>
    </row>
    <row r="6337" spans="1:8" x14ac:dyDescent="0.25">
      <c r="A6337" t="s">
        <v>261</v>
      </c>
      <c r="B6337" t="s">
        <v>1395</v>
      </c>
      <c r="C6337" t="s">
        <v>88</v>
      </c>
      <c r="D6337" t="s">
        <v>6017</v>
      </c>
      <c r="E6337" t="s">
        <v>937</v>
      </c>
      <c r="F6337" t="s">
        <v>88</v>
      </c>
      <c r="G6337" t="s">
        <v>88</v>
      </c>
      <c r="H6337" t="s">
        <v>92</v>
      </c>
    </row>
    <row r="6338" spans="1:8" x14ac:dyDescent="0.25">
      <c r="A6338" t="s">
        <v>261</v>
      </c>
      <c r="B6338" t="s">
        <v>6018</v>
      </c>
      <c r="C6338" t="s">
        <v>88</v>
      </c>
      <c r="D6338" t="s">
        <v>6017</v>
      </c>
      <c r="E6338" t="s">
        <v>780</v>
      </c>
      <c r="F6338" t="s">
        <v>88</v>
      </c>
      <c r="G6338" t="s">
        <v>88</v>
      </c>
      <c r="H6338" t="s">
        <v>92</v>
      </c>
    </row>
    <row r="6339" spans="1:8" x14ac:dyDescent="0.25">
      <c r="A6339" t="s">
        <v>261</v>
      </c>
      <c r="B6339" t="s">
        <v>1396</v>
      </c>
      <c r="C6339" t="s">
        <v>88</v>
      </c>
      <c r="D6339" t="s">
        <v>6017</v>
      </c>
      <c r="E6339" t="s">
        <v>663</v>
      </c>
      <c r="F6339" t="s">
        <v>88</v>
      </c>
      <c r="G6339" t="s">
        <v>88</v>
      </c>
      <c r="H6339" t="s">
        <v>92</v>
      </c>
    </row>
    <row r="6340" spans="1:8" x14ac:dyDescent="0.25">
      <c r="A6340" t="s">
        <v>261</v>
      </c>
      <c r="B6340" t="s">
        <v>6019</v>
      </c>
      <c r="C6340" t="s">
        <v>88</v>
      </c>
      <c r="D6340" t="s">
        <v>6020</v>
      </c>
      <c r="E6340" t="s">
        <v>780</v>
      </c>
      <c r="F6340" t="s">
        <v>88</v>
      </c>
      <c r="G6340" t="s">
        <v>88</v>
      </c>
      <c r="H6340" t="s">
        <v>92</v>
      </c>
    </row>
    <row r="6341" spans="1:8" x14ac:dyDescent="0.25">
      <c r="A6341" t="s">
        <v>261</v>
      </c>
      <c r="B6341" t="s">
        <v>6021</v>
      </c>
      <c r="C6341" t="s">
        <v>88</v>
      </c>
      <c r="D6341" t="s">
        <v>6022</v>
      </c>
      <c r="E6341" t="s">
        <v>760</v>
      </c>
      <c r="F6341" t="s">
        <v>88</v>
      </c>
      <c r="G6341" t="s">
        <v>88</v>
      </c>
      <c r="H6341" t="s">
        <v>92</v>
      </c>
    </row>
    <row r="6342" spans="1:8" x14ac:dyDescent="0.25">
      <c r="A6342" t="s">
        <v>261</v>
      </c>
      <c r="B6342" t="s">
        <v>743</v>
      </c>
      <c r="C6342" t="s">
        <v>88</v>
      </c>
      <c r="D6342" t="s">
        <v>6023</v>
      </c>
      <c r="E6342" t="s">
        <v>762</v>
      </c>
      <c r="F6342" t="s">
        <v>88</v>
      </c>
      <c r="G6342" t="s">
        <v>88</v>
      </c>
      <c r="H6342" t="s">
        <v>92</v>
      </c>
    </row>
    <row r="6343" spans="1:8" x14ac:dyDescent="0.25">
      <c r="A6343" t="s">
        <v>261</v>
      </c>
      <c r="B6343" t="s">
        <v>767</v>
      </c>
      <c r="C6343" t="s">
        <v>88</v>
      </c>
      <c r="D6343" t="s">
        <v>6023</v>
      </c>
      <c r="E6343" t="s">
        <v>762</v>
      </c>
      <c r="F6343" t="s">
        <v>88</v>
      </c>
      <c r="G6343" t="s">
        <v>88</v>
      </c>
      <c r="H6343" t="s">
        <v>92</v>
      </c>
    </row>
    <row r="6344" spans="1:8" x14ac:dyDescent="0.25">
      <c r="A6344" t="s">
        <v>261</v>
      </c>
      <c r="B6344" t="s">
        <v>764</v>
      </c>
      <c r="C6344" t="s">
        <v>88</v>
      </c>
      <c r="D6344" t="s">
        <v>6023</v>
      </c>
      <c r="E6344" t="s">
        <v>762</v>
      </c>
      <c r="F6344" t="s">
        <v>88</v>
      </c>
      <c r="G6344" t="s">
        <v>88</v>
      </c>
      <c r="H6344" t="s">
        <v>92</v>
      </c>
    </row>
    <row r="6345" spans="1:8" x14ac:dyDescent="0.25">
      <c r="A6345" t="s">
        <v>261</v>
      </c>
      <c r="B6345" t="s">
        <v>6024</v>
      </c>
      <c r="C6345" t="s">
        <v>88</v>
      </c>
      <c r="D6345" t="s">
        <v>6023</v>
      </c>
      <c r="E6345" t="s">
        <v>2686</v>
      </c>
      <c r="F6345" t="s">
        <v>88</v>
      </c>
      <c r="G6345" t="s">
        <v>88</v>
      </c>
      <c r="H6345" t="s">
        <v>92</v>
      </c>
    </row>
    <row r="6346" spans="1:8" x14ac:dyDescent="0.25">
      <c r="A6346" t="s">
        <v>261</v>
      </c>
      <c r="B6346" t="s">
        <v>6025</v>
      </c>
      <c r="C6346" t="s">
        <v>88</v>
      </c>
      <c r="D6346" t="s">
        <v>6023</v>
      </c>
      <c r="E6346" t="s">
        <v>762</v>
      </c>
      <c r="F6346" t="s">
        <v>88</v>
      </c>
      <c r="G6346" t="s">
        <v>88</v>
      </c>
      <c r="H6346" t="s">
        <v>92</v>
      </c>
    </row>
    <row r="6347" spans="1:8" x14ac:dyDescent="0.25">
      <c r="A6347" t="s">
        <v>261</v>
      </c>
      <c r="B6347" t="s">
        <v>6026</v>
      </c>
      <c r="C6347" t="s">
        <v>88</v>
      </c>
      <c r="D6347" t="s">
        <v>6023</v>
      </c>
      <c r="E6347" t="s">
        <v>717</v>
      </c>
      <c r="F6347" t="s">
        <v>88</v>
      </c>
      <c r="G6347" t="s">
        <v>88</v>
      </c>
      <c r="H6347" t="s">
        <v>92</v>
      </c>
    </row>
    <row r="6348" spans="1:8" x14ac:dyDescent="0.25">
      <c r="A6348" t="s">
        <v>261</v>
      </c>
      <c r="B6348" t="s">
        <v>6027</v>
      </c>
      <c r="C6348" t="s">
        <v>88</v>
      </c>
      <c r="D6348" t="s">
        <v>6028</v>
      </c>
      <c r="E6348" t="s">
        <v>841</v>
      </c>
      <c r="F6348" t="s">
        <v>88</v>
      </c>
      <c r="G6348" t="s">
        <v>88</v>
      </c>
      <c r="H6348" t="s">
        <v>92</v>
      </c>
    </row>
    <row r="6349" spans="1:8" x14ac:dyDescent="0.25">
      <c r="A6349" t="s">
        <v>261</v>
      </c>
      <c r="B6349" t="s">
        <v>6029</v>
      </c>
      <c r="C6349" t="s">
        <v>88</v>
      </c>
      <c r="D6349" t="s">
        <v>6028</v>
      </c>
      <c r="E6349" t="s">
        <v>841</v>
      </c>
      <c r="F6349" t="s">
        <v>88</v>
      </c>
      <c r="G6349" t="s">
        <v>88</v>
      </c>
      <c r="H6349" t="s">
        <v>92</v>
      </c>
    </row>
    <row r="6350" spans="1:8" x14ac:dyDescent="0.25">
      <c r="A6350" t="s">
        <v>261</v>
      </c>
      <c r="B6350" t="s">
        <v>944</v>
      </c>
      <c r="C6350" t="s">
        <v>88</v>
      </c>
      <c r="D6350" t="s">
        <v>6030</v>
      </c>
      <c r="E6350" t="s">
        <v>692</v>
      </c>
      <c r="F6350" t="s">
        <v>88</v>
      </c>
      <c r="G6350" t="s">
        <v>88</v>
      </c>
      <c r="H6350" t="s">
        <v>92</v>
      </c>
    </row>
    <row r="6351" spans="1:8" x14ac:dyDescent="0.25">
      <c r="A6351" t="s">
        <v>261</v>
      </c>
      <c r="B6351" t="s">
        <v>6031</v>
      </c>
      <c r="C6351" t="s">
        <v>88</v>
      </c>
      <c r="D6351" t="s">
        <v>6030</v>
      </c>
      <c r="E6351" t="s">
        <v>692</v>
      </c>
      <c r="F6351" t="s">
        <v>88</v>
      </c>
      <c r="G6351" t="s">
        <v>88</v>
      </c>
      <c r="H6351" t="s">
        <v>92</v>
      </c>
    </row>
    <row r="6352" spans="1:8" x14ac:dyDescent="0.25">
      <c r="A6352" t="s">
        <v>261</v>
      </c>
      <c r="B6352" t="s">
        <v>3559</v>
      </c>
      <c r="C6352" t="s">
        <v>88</v>
      </c>
      <c r="D6352" t="s">
        <v>3560</v>
      </c>
      <c r="E6352" t="s">
        <v>732</v>
      </c>
      <c r="F6352" t="s">
        <v>88</v>
      </c>
      <c r="G6352" t="s">
        <v>88</v>
      </c>
      <c r="H6352" t="s">
        <v>92</v>
      </c>
    </row>
    <row r="6353" spans="1:8" x14ac:dyDescent="0.25">
      <c r="A6353" t="s">
        <v>261</v>
      </c>
      <c r="B6353" t="s">
        <v>948</v>
      </c>
      <c r="C6353" t="s">
        <v>88</v>
      </c>
      <c r="D6353" t="s">
        <v>88</v>
      </c>
      <c r="E6353" t="s">
        <v>735</v>
      </c>
      <c r="F6353" t="s">
        <v>88</v>
      </c>
      <c r="G6353" t="s">
        <v>88</v>
      </c>
      <c r="H6353" t="s">
        <v>92</v>
      </c>
    </row>
    <row r="6354" spans="1:8" x14ac:dyDescent="0.25">
      <c r="A6354" t="s">
        <v>261</v>
      </c>
      <c r="B6354" t="s">
        <v>6032</v>
      </c>
      <c r="C6354" t="s">
        <v>88</v>
      </c>
      <c r="D6354" t="s">
        <v>6033</v>
      </c>
      <c r="E6354" t="s">
        <v>799</v>
      </c>
      <c r="F6354" t="s">
        <v>88</v>
      </c>
      <c r="G6354" t="s">
        <v>88</v>
      </c>
      <c r="H6354" t="s">
        <v>92</v>
      </c>
    </row>
    <row r="6355" spans="1:8" x14ac:dyDescent="0.25">
      <c r="A6355" t="s">
        <v>261</v>
      </c>
      <c r="B6355" t="s">
        <v>6034</v>
      </c>
      <c r="C6355" t="s">
        <v>88</v>
      </c>
      <c r="D6355" t="s">
        <v>6035</v>
      </c>
      <c r="E6355" t="s">
        <v>799</v>
      </c>
      <c r="F6355" t="s">
        <v>88</v>
      </c>
      <c r="G6355" t="s">
        <v>88</v>
      </c>
      <c r="H6355" t="s">
        <v>92</v>
      </c>
    </row>
    <row r="6356" spans="1:8" x14ac:dyDescent="0.25">
      <c r="A6356" t="s">
        <v>261</v>
      </c>
      <c r="B6356" t="s">
        <v>6036</v>
      </c>
      <c r="C6356" t="s">
        <v>88</v>
      </c>
      <c r="D6356" t="s">
        <v>88</v>
      </c>
      <c r="E6356" t="s">
        <v>734</v>
      </c>
      <c r="F6356" t="s">
        <v>88</v>
      </c>
      <c r="G6356" t="s">
        <v>88</v>
      </c>
      <c r="H6356" t="s">
        <v>92</v>
      </c>
    </row>
    <row r="6357" spans="1:8" x14ac:dyDescent="0.25">
      <c r="A6357" t="s">
        <v>261</v>
      </c>
      <c r="B6357" t="s">
        <v>6037</v>
      </c>
      <c r="C6357" t="s">
        <v>88</v>
      </c>
      <c r="D6357" t="s">
        <v>88</v>
      </c>
      <c r="E6357" t="s">
        <v>734</v>
      </c>
      <c r="F6357" t="s">
        <v>88</v>
      </c>
      <c r="G6357" t="s">
        <v>88</v>
      </c>
      <c r="H6357" t="s">
        <v>92</v>
      </c>
    </row>
    <row r="6358" spans="1:8" x14ac:dyDescent="0.25">
      <c r="A6358" t="s">
        <v>261</v>
      </c>
      <c r="B6358" t="s">
        <v>6038</v>
      </c>
      <c r="C6358" t="s">
        <v>88</v>
      </c>
      <c r="D6358" t="s">
        <v>88</v>
      </c>
      <c r="E6358" t="s">
        <v>734</v>
      </c>
      <c r="F6358" t="s">
        <v>88</v>
      </c>
      <c r="G6358" t="s">
        <v>88</v>
      </c>
      <c r="H6358" t="s">
        <v>92</v>
      </c>
    </row>
    <row r="6359" spans="1:8" x14ac:dyDescent="0.25">
      <c r="A6359" t="s">
        <v>261</v>
      </c>
      <c r="B6359" t="s">
        <v>794</v>
      </c>
      <c r="C6359" t="s">
        <v>88</v>
      </c>
      <c r="D6359" t="s">
        <v>88</v>
      </c>
      <c r="E6359" t="s">
        <v>1978</v>
      </c>
      <c r="F6359" t="s">
        <v>88</v>
      </c>
      <c r="G6359" t="s">
        <v>88</v>
      </c>
      <c r="H6359" t="s">
        <v>92</v>
      </c>
    </row>
    <row r="6360" spans="1:8" x14ac:dyDescent="0.25">
      <c r="A6360" t="s">
        <v>261</v>
      </c>
      <c r="B6360" t="s">
        <v>1670</v>
      </c>
      <c r="C6360" t="s">
        <v>88</v>
      </c>
      <c r="D6360" t="s">
        <v>88</v>
      </c>
      <c r="E6360" t="s">
        <v>711</v>
      </c>
      <c r="F6360" t="s">
        <v>88</v>
      </c>
      <c r="G6360" t="s">
        <v>88</v>
      </c>
      <c r="H6360" t="s">
        <v>92</v>
      </c>
    </row>
    <row r="6361" spans="1:8" x14ac:dyDescent="0.25">
      <c r="A6361" t="s">
        <v>261</v>
      </c>
      <c r="B6361" t="s">
        <v>618</v>
      </c>
      <c r="C6361" t="s">
        <v>88</v>
      </c>
      <c r="D6361" t="s">
        <v>88</v>
      </c>
      <c r="E6361" t="s">
        <v>848</v>
      </c>
      <c r="F6361" t="s">
        <v>88</v>
      </c>
      <c r="G6361" t="s">
        <v>88</v>
      </c>
      <c r="H6361" t="s">
        <v>92</v>
      </c>
    </row>
    <row r="6362" spans="1:8" x14ac:dyDescent="0.25">
      <c r="A6362" t="s">
        <v>261</v>
      </c>
      <c r="B6362" t="s">
        <v>1237</v>
      </c>
      <c r="C6362" t="s">
        <v>88</v>
      </c>
      <c r="D6362" t="s">
        <v>88</v>
      </c>
      <c r="E6362" t="s">
        <v>964</v>
      </c>
      <c r="F6362" t="s">
        <v>88</v>
      </c>
      <c r="G6362" t="s">
        <v>88</v>
      </c>
      <c r="H6362" t="s">
        <v>92</v>
      </c>
    </row>
    <row r="6363" spans="1:8" x14ac:dyDescent="0.25">
      <c r="A6363" t="s">
        <v>261</v>
      </c>
      <c r="B6363" t="s">
        <v>1234</v>
      </c>
      <c r="C6363" t="s">
        <v>88</v>
      </c>
      <c r="D6363" t="s">
        <v>88</v>
      </c>
      <c r="E6363" t="s">
        <v>676</v>
      </c>
      <c r="F6363" t="s">
        <v>88</v>
      </c>
      <c r="G6363" t="s">
        <v>88</v>
      </c>
      <c r="H6363" t="s">
        <v>92</v>
      </c>
    </row>
    <row r="6364" spans="1:8" x14ac:dyDescent="0.25">
      <c r="A6364" t="s">
        <v>261</v>
      </c>
      <c r="B6364" t="s">
        <v>6039</v>
      </c>
      <c r="C6364" t="s">
        <v>88</v>
      </c>
      <c r="D6364" t="s">
        <v>88</v>
      </c>
      <c r="E6364" t="s">
        <v>807</v>
      </c>
      <c r="F6364" t="s">
        <v>88</v>
      </c>
      <c r="G6364" t="s">
        <v>88</v>
      </c>
      <c r="H6364" t="s">
        <v>92</v>
      </c>
    </row>
    <row r="6365" spans="1:8" x14ac:dyDescent="0.25">
      <c r="A6365" t="s">
        <v>261</v>
      </c>
      <c r="B6365" t="s">
        <v>6040</v>
      </c>
      <c r="C6365" t="s">
        <v>88</v>
      </c>
      <c r="D6365" t="s">
        <v>88</v>
      </c>
      <c r="E6365" t="s">
        <v>2016</v>
      </c>
      <c r="F6365" t="s">
        <v>88</v>
      </c>
      <c r="G6365" t="s">
        <v>88</v>
      </c>
      <c r="H6365" t="s">
        <v>92</v>
      </c>
    </row>
    <row r="6366" spans="1:8" x14ac:dyDescent="0.25">
      <c r="A6366" t="s">
        <v>261</v>
      </c>
      <c r="B6366" t="s">
        <v>2418</v>
      </c>
      <c r="C6366" t="s">
        <v>88</v>
      </c>
      <c r="D6366" t="s">
        <v>88</v>
      </c>
      <c r="E6366" t="s">
        <v>3179</v>
      </c>
      <c r="F6366" t="s">
        <v>88</v>
      </c>
      <c r="G6366" t="s">
        <v>88</v>
      </c>
      <c r="H6366" t="s">
        <v>92</v>
      </c>
    </row>
    <row r="6367" spans="1:8" x14ac:dyDescent="0.25">
      <c r="A6367" t="s">
        <v>261</v>
      </c>
      <c r="B6367" t="s">
        <v>1238</v>
      </c>
      <c r="C6367" t="s">
        <v>88</v>
      </c>
      <c r="D6367" t="s">
        <v>88</v>
      </c>
      <c r="E6367" t="s">
        <v>676</v>
      </c>
      <c r="F6367" t="s">
        <v>88</v>
      </c>
      <c r="G6367" t="s">
        <v>88</v>
      </c>
      <c r="H6367" t="s">
        <v>92</v>
      </c>
    </row>
    <row r="6368" spans="1:8" x14ac:dyDescent="0.25">
      <c r="A6368" t="s">
        <v>261</v>
      </c>
      <c r="B6368" t="s">
        <v>2417</v>
      </c>
      <c r="C6368" t="s">
        <v>88</v>
      </c>
      <c r="D6368" t="s">
        <v>88</v>
      </c>
      <c r="E6368" t="s">
        <v>676</v>
      </c>
      <c r="F6368" t="s">
        <v>88</v>
      </c>
      <c r="G6368" t="s">
        <v>88</v>
      </c>
      <c r="H6368" t="s">
        <v>92</v>
      </c>
    </row>
    <row r="6369" spans="1:8" x14ac:dyDescent="0.25">
      <c r="A6369" t="s">
        <v>261</v>
      </c>
      <c r="B6369" t="s">
        <v>625</v>
      </c>
      <c r="C6369" t="s">
        <v>88</v>
      </c>
      <c r="D6369" t="s">
        <v>88</v>
      </c>
      <c r="E6369" t="s">
        <v>626</v>
      </c>
      <c r="F6369" t="s">
        <v>88</v>
      </c>
      <c r="G6369" t="s">
        <v>88</v>
      </c>
      <c r="H6369" t="s">
        <v>92</v>
      </c>
    </row>
    <row r="6370" spans="1:8" x14ac:dyDescent="0.25">
      <c r="A6370" t="s">
        <v>262</v>
      </c>
      <c r="B6370" t="s">
        <v>736</v>
      </c>
      <c r="C6370" t="s">
        <v>88</v>
      </c>
      <c r="D6370" t="s">
        <v>6041</v>
      </c>
      <c r="E6370" t="s">
        <v>937</v>
      </c>
      <c r="F6370" t="s">
        <v>88</v>
      </c>
      <c r="G6370" t="s">
        <v>88</v>
      </c>
      <c r="H6370" t="s">
        <v>92</v>
      </c>
    </row>
    <row r="6371" spans="1:8" x14ac:dyDescent="0.25">
      <c r="A6371" t="s">
        <v>262</v>
      </c>
      <c r="B6371" t="s">
        <v>876</v>
      </c>
      <c r="C6371" t="s">
        <v>88</v>
      </c>
      <c r="D6371" t="s">
        <v>6042</v>
      </c>
      <c r="E6371" t="s">
        <v>655</v>
      </c>
      <c r="F6371" t="s">
        <v>88</v>
      </c>
      <c r="G6371" t="s">
        <v>88</v>
      </c>
      <c r="H6371" t="s">
        <v>92</v>
      </c>
    </row>
    <row r="6372" spans="1:8" x14ac:dyDescent="0.25">
      <c r="A6372" t="s">
        <v>262</v>
      </c>
      <c r="B6372" t="s">
        <v>739</v>
      </c>
      <c r="C6372" t="s">
        <v>88</v>
      </c>
      <c r="D6372" t="s">
        <v>6041</v>
      </c>
      <c r="E6372" t="s">
        <v>723</v>
      </c>
      <c r="F6372" t="s">
        <v>88</v>
      </c>
      <c r="G6372" t="s">
        <v>88</v>
      </c>
      <c r="H6372" t="s">
        <v>92</v>
      </c>
    </row>
    <row r="6373" spans="1:8" x14ac:dyDescent="0.25">
      <c r="A6373" t="s">
        <v>262</v>
      </c>
      <c r="B6373" t="s">
        <v>923</v>
      </c>
      <c r="C6373" t="s">
        <v>88</v>
      </c>
      <c r="D6373" t="s">
        <v>6041</v>
      </c>
      <c r="E6373" t="s">
        <v>721</v>
      </c>
      <c r="F6373" t="s">
        <v>88</v>
      </c>
      <c r="G6373" t="s">
        <v>88</v>
      </c>
      <c r="H6373" t="s">
        <v>92</v>
      </c>
    </row>
    <row r="6374" spans="1:8" x14ac:dyDescent="0.25">
      <c r="A6374" t="s">
        <v>262</v>
      </c>
      <c r="B6374" t="s">
        <v>740</v>
      </c>
      <c r="C6374" t="s">
        <v>88</v>
      </c>
      <c r="D6374" t="s">
        <v>6042</v>
      </c>
      <c r="E6374" t="s">
        <v>762</v>
      </c>
      <c r="F6374" t="s">
        <v>88</v>
      </c>
      <c r="G6374" t="s">
        <v>88</v>
      </c>
      <c r="H6374" t="s">
        <v>92</v>
      </c>
    </row>
    <row r="6375" spans="1:8" x14ac:dyDescent="0.25">
      <c r="A6375" t="s">
        <v>262</v>
      </c>
      <c r="B6375" t="s">
        <v>765</v>
      </c>
      <c r="C6375" t="s">
        <v>88</v>
      </c>
      <c r="D6375" t="s">
        <v>6042</v>
      </c>
      <c r="E6375" t="s">
        <v>1006</v>
      </c>
      <c r="F6375" t="s">
        <v>88</v>
      </c>
      <c r="G6375" t="s">
        <v>88</v>
      </c>
      <c r="H6375" t="s">
        <v>92</v>
      </c>
    </row>
    <row r="6376" spans="1:8" x14ac:dyDescent="0.25">
      <c r="A6376" t="s">
        <v>262</v>
      </c>
      <c r="B6376" t="s">
        <v>881</v>
      </c>
      <c r="C6376" t="s">
        <v>88</v>
      </c>
      <c r="D6376" t="s">
        <v>6042</v>
      </c>
      <c r="E6376" t="s">
        <v>1282</v>
      </c>
      <c r="F6376" t="s">
        <v>88</v>
      </c>
      <c r="G6376" t="s">
        <v>88</v>
      </c>
      <c r="H6376" t="s">
        <v>92</v>
      </c>
    </row>
    <row r="6377" spans="1:8" x14ac:dyDescent="0.25">
      <c r="A6377" t="s">
        <v>262</v>
      </c>
      <c r="B6377" t="s">
        <v>740</v>
      </c>
      <c r="C6377" t="s">
        <v>88</v>
      </c>
      <c r="D6377" t="s">
        <v>6042</v>
      </c>
      <c r="E6377" t="s">
        <v>762</v>
      </c>
      <c r="F6377" t="s">
        <v>88</v>
      </c>
      <c r="G6377" t="s">
        <v>88</v>
      </c>
      <c r="H6377" t="s">
        <v>92</v>
      </c>
    </row>
    <row r="6378" spans="1:8" x14ac:dyDescent="0.25">
      <c r="A6378" t="s">
        <v>262</v>
      </c>
      <c r="B6378" t="s">
        <v>915</v>
      </c>
      <c r="C6378" t="s">
        <v>88</v>
      </c>
      <c r="D6378" t="s">
        <v>6043</v>
      </c>
      <c r="E6378" t="s">
        <v>6044</v>
      </c>
      <c r="F6378" t="s">
        <v>88</v>
      </c>
      <c r="G6378" t="s">
        <v>88</v>
      </c>
      <c r="H6378" t="s">
        <v>92</v>
      </c>
    </row>
    <row r="6379" spans="1:8" x14ac:dyDescent="0.25">
      <c r="A6379" t="s">
        <v>262</v>
      </c>
      <c r="B6379" t="s">
        <v>6045</v>
      </c>
      <c r="C6379" t="s">
        <v>88</v>
      </c>
      <c r="D6379" t="s">
        <v>6046</v>
      </c>
      <c r="E6379" t="s">
        <v>1135</v>
      </c>
      <c r="F6379" t="s">
        <v>88</v>
      </c>
      <c r="G6379" t="s">
        <v>88</v>
      </c>
      <c r="H6379" t="s">
        <v>92</v>
      </c>
    </row>
    <row r="6380" spans="1:8" x14ac:dyDescent="0.25">
      <c r="A6380" t="s">
        <v>262</v>
      </c>
      <c r="B6380" t="s">
        <v>6047</v>
      </c>
      <c r="C6380" t="s">
        <v>88</v>
      </c>
      <c r="D6380" t="s">
        <v>6048</v>
      </c>
      <c r="E6380" t="s">
        <v>1714</v>
      </c>
      <c r="F6380" t="s">
        <v>88</v>
      </c>
      <c r="G6380" t="s">
        <v>88</v>
      </c>
      <c r="H6380" t="s">
        <v>92</v>
      </c>
    </row>
    <row r="6381" spans="1:8" x14ac:dyDescent="0.25">
      <c r="A6381" t="s">
        <v>262</v>
      </c>
      <c r="B6381" t="s">
        <v>6049</v>
      </c>
      <c r="C6381" t="s">
        <v>88</v>
      </c>
      <c r="D6381" t="s">
        <v>6050</v>
      </c>
      <c r="E6381" t="s">
        <v>6044</v>
      </c>
      <c r="F6381" t="s">
        <v>88</v>
      </c>
      <c r="G6381" t="s">
        <v>88</v>
      </c>
      <c r="H6381" t="s">
        <v>92</v>
      </c>
    </row>
    <row r="6382" spans="1:8" x14ac:dyDescent="0.25">
      <c r="A6382" t="s">
        <v>262</v>
      </c>
      <c r="B6382" t="s">
        <v>768</v>
      </c>
      <c r="C6382" t="s">
        <v>88</v>
      </c>
      <c r="D6382" t="s">
        <v>6042</v>
      </c>
      <c r="E6382" t="s">
        <v>692</v>
      </c>
      <c r="F6382" t="s">
        <v>88</v>
      </c>
      <c r="G6382" t="s">
        <v>88</v>
      </c>
      <c r="H6382" t="s">
        <v>92</v>
      </c>
    </row>
    <row r="6383" spans="1:8" x14ac:dyDescent="0.25">
      <c r="A6383" t="s">
        <v>262</v>
      </c>
      <c r="B6383" t="s">
        <v>759</v>
      </c>
      <c r="C6383" t="s">
        <v>88</v>
      </c>
      <c r="D6383" t="s">
        <v>6042</v>
      </c>
      <c r="E6383" t="s">
        <v>1006</v>
      </c>
      <c r="F6383" t="s">
        <v>88</v>
      </c>
      <c r="G6383" t="s">
        <v>88</v>
      </c>
      <c r="H6383" t="s">
        <v>92</v>
      </c>
    </row>
    <row r="6384" spans="1:8" x14ac:dyDescent="0.25">
      <c r="A6384" t="s">
        <v>262</v>
      </c>
      <c r="B6384" t="s">
        <v>6051</v>
      </c>
      <c r="C6384" t="s">
        <v>88</v>
      </c>
      <c r="D6384" t="s">
        <v>6042</v>
      </c>
      <c r="E6384" t="s">
        <v>825</v>
      </c>
      <c r="F6384" t="s">
        <v>88</v>
      </c>
      <c r="G6384" t="s">
        <v>88</v>
      </c>
      <c r="H6384" t="s">
        <v>92</v>
      </c>
    </row>
    <row r="6385" spans="1:8" x14ac:dyDescent="0.25">
      <c r="A6385" t="s">
        <v>262</v>
      </c>
      <c r="B6385" t="s">
        <v>898</v>
      </c>
      <c r="C6385" t="s">
        <v>88</v>
      </c>
      <c r="D6385" t="s">
        <v>6042</v>
      </c>
      <c r="E6385" t="s">
        <v>1282</v>
      </c>
      <c r="F6385" t="s">
        <v>88</v>
      </c>
      <c r="G6385" t="s">
        <v>88</v>
      </c>
      <c r="H6385" t="s">
        <v>92</v>
      </c>
    </row>
    <row r="6386" spans="1:8" x14ac:dyDescent="0.25">
      <c r="A6386" t="s">
        <v>262</v>
      </c>
      <c r="B6386" t="s">
        <v>876</v>
      </c>
      <c r="C6386" t="s">
        <v>88</v>
      </c>
      <c r="D6386" t="s">
        <v>6042</v>
      </c>
      <c r="E6386" t="s">
        <v>655</v>
      </c>
      <c r="F6386" t="s">
        <v>88</v>
      </c>
      <c r="G6386" t="s">
        <v>88</v>
      </c>
      <c r="H6386" t="s">
        <v>92</v>
      </c>
    </row>
    <row r="6387" spans="1:8" x14ac:dyDescent="0.25">
      <c r="A6387" t="s">
        <v>262</v>
      </c>
      <c r="B6387" t="s">
        <v>764</v>
      </c>
      <c r="C6387" t="s">
        <v>88</v>
      </c>
      <c r="D6387" t="s">
        <v>6042</v>
      </c>
      <c r="E6387" t="s">
        <v>762</v>
      </c>
      <c r="F6387" t="s">
        <v>88</v>
      </c>
      <c r="G6387" t="s">
        <v>88</v>
      </c>
      <c r="H6387" t="s">
        <v>92</v>
      </c>
    </row>
    <row r="6388" spans="1:8" x14ac:dyDescent="0.25">
      <c r="A6388" t="s">
        <v>262</v>
      </c>
      <c r="B6388" t="s">
        <v>6052</v>
      </c>
      <c r="C6388" t="s">
        <v>88</v>
      </c>
      <c r="D6388" t="s">
        <v>6042</v>
      </c>
      <c r="E6388" t="s">
        <v>655</v>
      </c>
      <c r="F6388" t="s">
        <v>88</v>
      </c>
      <c r="G6388" t="s">
        <v>88</v>
      </c>
      <c r="H6388" t="s">
        <v>92</v>
      </c>
    </row>
    <row r="6389" spans="1:8" x14ac:dyDescent="0.25">
      <c r="A6389" t="s">
        <v>262</v>
      </c>
      <c r="B6389" t="s">
        <v>736</v>
      </c>
      <c r="C6389" t="s">
        <v>88</v>
      </c>
      <c r="D6389" t="s">
        <v>6041</v>
      </c>
      <c r="E6389" t="s">
        <v>937</v>
      </c>
      <c r="F6389" t="s">
        <v>88</v>
      </c>
      <c r="G6389" t="s">
        <v>88</v>
      </c>
      <c r="H6389" t="s">
        <v>92</v>
      </c>
    </row>
    <row r="6390" spans="1:8" x14ac:dyDescent="0.25">
      <c r="A6390" t="s">
        <v>262</v>
      </c>
      <c r="B6390" t="s">
        <v>6053</v>
      </c>
      <c r="C6390" t="s">
        <v>88</v>
      </c>
      <c r="D6390" t="s">
        <v>6054</v>
      </c>
      <c r="E6390" t="s">
        <v>655</v>
      </c>
      <c r="F6390" t="s">
        <v>88</v>
      </c>
      <c r="G6390" t="s">
        <v>88</v>
      </c>
      <c r="H6390" t="s">
        <v>92</v>
      </c>
    </row>
    <row r="6391" spans="1:8" x14ac:dyDescent="0.25">
      <c r="A6391" t="s">
        <v>262</v>
      </c>
      <c r="B6391" t="s">
        <v>1396</v>
      </c>
      <c r="C6391" t="s">
        <v>88</v>
      </c>
      <c r="D6391" t="s">
        <v>6041</v>
      </c>
      <c r="E6391" t="s">
        <v>663</v>
      </c>
      <c r="F6391" t="s">
        <v>88</v>
      </c>
      <c r="G6391" t="s">
        <v>88</v>
      </c>
      <c r="H6391" t="s">
        <v>92</v>
      </c>
    </row>
    <row r="6392" spans="1:8" x14ac:dyDescent="0.25">
      <c r="A6392" t="s">
        <v>262</v>
      </c>
      <c r="B6392" t="s">
        <v>6055</v>
      </c>
      <c r="C6392" t="s">
        <v>88</v>
      </c>
      <c r="D6392" t="s">
        <v>6054</v>
      </c>
      <c r="E6392" t="s">
        <v>1282</v>
      </c>
      <c r="F6392" t="s">
        <v>88</v>
      </c>
      <c r="G6392" t="s">
        <v>88</v>
      </c>
      <c r="H6392" t="s">
        <v>92</v>
      </c>
    </row>
    <row r="6393" spans="1:8" x14ac:dyDescent="0.25">
      <c r="A6393" t="s">
        <v>262</v>
      </c>
      <c r="B6393" t="s">
        <v>924</v>
      </c>
      <c r="C6393" t="s">
        <v>88</v>
      </c>
      <c r="D6393" t="s">
        <v>6041</v>
      </c>
      <c r="E6393" t="s">
        <v>700</v>
      </c>
      <c r="F6393" t="s">
        <v>88</v>
      </c>
      <c r="G6393" t="s">
        <v>88</v>
      </c>
      <c r="H6393" t="s">
        <v>92</v>
      </c>
    </row>
    <row r="6394" spans="1:8" x14ac:dyDescent="0.25">
      <c r="A6394" t="s">
        <v>262</v>
      </c>
      <c r="B6394" t="s">
        <v>6056</v>
      </c>
      <c r="C6394" t="s">
        <v>88</v>
      </c>
      <c r="D6394" t="s">
        <v>6054</v>
      </c>
      <c r="E6394" t="s">
        <v>1006</v>
      </c>
      <c r="F6394" t="s">
        <v>88</v>
      </c>
      <c r="G6394" t="s">
        <v>88</v>
      </c>
      <c r="H6394" t="s">
        <v>92</v>
      </c>
    </row>
    <row r="6395" spans="1:8" x14ac:dyDescent="0.25">
      <c r="A6395" t="s">
        <v>262</v>
      </c>
      <c r="B6395" t="s">
        <v>923</v>
      </c>
      <c r="C6395" t="s">
        <v>88</v>
      </c>
      <c r="D6395" t="s">
        <v>6041</v>
      </c>
      <c r="E6395" t="s">
        <v>721</v>
      </c>
      <c r="F6395" t="s">
        <v>88</v>
      </c>
      <c r="G6395" t="s">
        <v>88</v>
      </c>
      <c r="H6395" t="s">
        <v>92</v>
      </c>
    </row>
    <row r="6396" spans="1:8" x14ac:dyDescent="0.25">
      <c r="A6396" t="s">
        <v>262</v>
      </c>
      <c r="B6396" t="s">
        <v>6057</v>
      </c>
      <c r="C6396" t="s">
        <v>88</v>
      </c>
      <c r="D6396" t="s">
        <v>6054</v>
      </c>
      <c r="E6396" t="s">
        <v>1282</v>
      </c>
      <c r="F6396" t="s">
        <v>88</v>
      </c>
      <c r="G6396" t="s">
        <v>88</v>
      </c>
      <c r="H6396" t="s">
        <v>92</v>
      </c>
    </row>
    <row r="6397" spans="1:8" x14ac:dyDescent="0.25">
      <c r="A6397" t="s">
        <v>262</v>
      </c>
      <c r="B6397" t="s">
        <v>2012</v>
      </c>
      <c r="C6397" t="s">
        <v>88</v>
      </c>
      <c r="D6397" t="s">
        <v>6041</v>
      </c>
      <c r="E6397" t="s">
        <v>663</v>
      </c>
      <c r="F6397" t="s">
        <v>88</v>
      </c>
      <c r="G6397" t="s">
        <v>88</v>
      </c>
      <c r="H6397" t="s">
        <v>92</v>
      </c>
    </row>
    <row r="6398" spans="1:8" x14ac:dyDescent="0.25">
      <c r="A6398" t="s">
        <v>262</v>
      </c>
      <c r="B6398" t="s">
        <v>6058</v>
      </c>
      <c r="C6398" t="s">
        <v>88</v>
      </c>
      <c r="D6398" t="s">
        <v>6054</v>
      </c>
      <c r="E6398" t="s">
        <v>692</v>
      </c>
      <c r="F6398" t="s">
        <v>88</v>
      </c>
      <c r="G6398" t="s">
        <v>88</v>
      </c>
      <c r="H6398" t="s">
        <v>92</v>
      </c>
    </row>
    <row r="6399" spans="1:8" x14ac:dyDescent="0.25">
      <c r="A6399" t="s">
        <v>262</v>
      </c>
      <c r="B6399" t="s">
        <v>739</v>
      </c>
      <c r="C6399" t="s">
        <v>88</v>
      </c>
      <c r="D6399" t="s">
        <v>6041</v>
      </c>
      <c r="E6399" t="s">
        <v>723</v>
      </c>
      <c r="F6399" t="s">
        <v>88</v>
      </c>
      <c r="G6399" t="s">
        <v>88</v>
      </c>
      <c r="H6399" t="s">
        <v>92</v>
      </c>
    </row>
    <row r="6400" spans="1:8" x14ac:dyDescent="0.25">
      <c r="A6400" t="s">
        <v>262</v>
      </c>
      <c r="B6400" t="s">
        <v>6059</v>
      </c>
      <c r="C6400" t="s">
        <v>88</v>
      </c>
      <c r="D6400" t="s">
        <v>6054</v>
      </c>
      <c r="E6400" t="s">
        <v>762</v>
      </c>
      <c r="F6400" t="s">
        <v>88</v>
      </c>
      <c r="G6400" t="s">
        <v>88</v>
      </c>
      <c r="H6400" t="s">
        <v>92</v>
      </c>
    </row>
    <row r="6401" spans="1:8" x14ac:dyDescent="0.25">
      <c r="A6401" t="s">
        <v>262</v>
      </c>
      <c r="B6401" t="s">
        <v>6060</v>
      </c>
      <c r="C6401" t="s">
        <v>88</v>
      </c>
      <c r="D6401" t="s">
        <v>6041</v>
      </c>
      <c r="E6401" t="s">
        <v>723</v>
      </c>
      <c r="F6401" t="s">
        <v>88</v>
      </c>
      <c r="G6401" t="s">
        <v>88</v>
      </c>
      <c r="H6401" t="s">
        <v>92</v>
      </c>
    </row>
    <row r="6402" spans="1:8" x14ac:dyDescent="0.25">
      <c r="A6402" t="s">
        <v>262</v>
      </c>
      <c r="B6402" t="s">
        <v>6061</v>
      </c>
      <c r="C6402" t="s">
        <v>88</v>
      </c>
      <c r="D6402" t="s">
        <v>6054</v>
      </c>
      <c r="E6402" t="s">
        <v>655</v>
      </c>
      <c r="F6402" t="s">
        <v>88</v>
      </c>
      <c r="G6402" t="s">
        <v>88</v>
      </c>
      <c r="H6402" t="s">
        <v>92</v>
      </c>
    </row>
    <row r="6403" spans="1:8" x14ac:dyDescent="0.25">
      <c r="A6403" t="s">
        <v>262</v>
      </c>
      <c r="B6403" t="s">
        <v>6062</v>
      </c>
      <c r="C6403" t="s">
        <v>88</v>
      </c>
      <c r="D6403" t="s">
        <v>6063</v>
      </c>
      <c r="E6403" t="s">
        <v>655</v>
      </c>
      <c r="F6403" t="s">
        <v>88</v>
      </c>
      <c r="G6403" t="s">
        <v>88</v>
      </c>
      <c r="H6403" t="s">
        <v>92</v>
      </c>
    </row>
    <row r="6404" spans="1:8" x14ac:dyDescent="0.25">
      <c r="A6404" t="s">
        <v>262</v>
      </c>
      <c r="B6404" t="s">
        <v>6064</v>
      </c>
      <c r="C6404" t="s">
        <v>88</v>
      </c>
      <c r="D6404" t="s">
        <v>6065</v>
      </c>
      <c r="E6404" t="s">
        <v>676</v>
      </c>
      <c r="F6404" t="s">
        <v>88</v>
      </c>
      <c r="G6404" t="s">
        <v>88</v>
      </c>
      <c r="H6404" t="s">
        <v>92</v>
      </c>
    </row>
    <row r="6405" spans="1:8" x14ac:dyDescent="0.25">
      <c r="A6405" t="s">
        <v>262</v>
      </c>
      <c r="B6405" t="s">
        <v>701</v>
      </c>
      <c r="C6405" t="s">
        <v>88</v>
      </c>
      <c r="D6405" t="s">
        <v>88</v>
      </c>
      <c r="E6405" t="s">
        <v>734</v>
      </c>
      <c r="F6405" t="s">
        <v>88</v>
      </c>
      <c r="G6405" t="s">
        <v>88</v>
      </c>
      <c r="H6405" t="s">
        <v>92</v>
      </c>
    </row>
    <row r="6406" spans="1:8" x14ac:dyDescent="0.25">
      <c r="A6406" t="s">
        <v>262</v>
      </c>
      <c r="B6406" t="s">
        <v>704</v>
      </c>
      <c r="C6406" t="s">
        <v>88</v>
      </c>
      <c r="D6406" t="s">
        <v>88</v>
      </c>
      <c r="E6406" t="s">
        <v>734</v>
      </c>
      <c r="F6406" t="s">
        <v>88</v>
      </c>
      <c r="G6406" t="s">
        <v>88</v>
      </c>
      <c r="H6406" t="s">
        <v>92</v>
      </c>
    </row>
    <row r="6407" spans="1:8" x14ac:dyDescent="0.25">
      <c r="A6407" t="s">
        <v>262</v>
      </c>
      <c r="B6407" t="s">
        <v>705</v>
      </c>
      <c r="C6407" t="s">
        <v>88</v>
      </c>
      <c r="D6407" t="s">
        <v>88</v>
      </c>
      <c r="E6407" t="s">
        <v>734</v>
      </c>
      <c r="F6407" t="s">
        <v>88</v>
      </c>
      <c r="G6407" t="s">
        <v>88</v>
      </c>
      <c r="H6407" t="s">
        <v>92</v>
      </c>
    </row>
    <row r="6408" spans="1:8" x14ac:dyDescent="0.25">
      <c r="A6408" t="s">
        <v>262</v>
      </c>
      <c r="B6408" t="s">
        <v>706</v>
      </c>
      <c r="C6408" t="s">
        <v>88</v>
      </c>
      <c r="D6408" t="s">
        <v>88</v>
      </c>
      <c r="E6408" t="s">
        <v>734</v>
      </c>
      <c r="F6408" t="s">
        <v>88</v>
      </c>
      <c r="G6408" t="s">
        <v>88</v>
      </c>
      <c r="H6408" t="s">
        <v>92</v>
      </c>
    </row>
    <row r="6409" spans="1:8" x14ac:dyDescent="0.25">
      <c r="A6409" t="s">
        <v>262</v>
      </c>
      <c r="B6409" t="s">
        <v>707</v>
      </c>
      <c r="C6409" t="s">
        <v>88</v>
      </c>
      <c r="D6409" t="s">
        <v>88</v>
      </c>
      <c r="E6409" t="s">
        <v>734</v>
      </c>
      <c r="F6409" t="s">
        <v>88</v>
      </c>
      <c r="G6409" t="s">
        <v>88</v>
      </c>
      <c r="H6409" t="s">
        <v>92</v>
      </c>
    </row>
    <row r="6410" spans="1:8" x14ac:dyDescent="0.25">
      <c r="A6410" t="s">
        <v>262</v>
      </c>
      <c r="B6410" t="s">
        <v>708</v>
      </c>
      <c r="C6410" t="s">
        <v>88</v>
      </c>
      <c r="D6410" t="s">
        <v>88</v>
      </c>
      <c r="E6410" t="s">
        <v>734</v>
      </c>
      <c r="F6410" t="s">
        <v>88</v>
      </c>
      <c r="G6410" t="s">
        <v>88</v>
      </c>
      <c r="H6410" t="s">
        <v>92</v>
      </c>
    </row>
    <row r="6411" spans="1:8" x14ac:dyDescent="0.25">
      <c r="A6411" t="s">
        <v>262</v>
      </c>
      <c r="B6411" t="s">
        <v>846</v>
      </c>
      <c r="C6411" t="s">
        <v>88</v>
      </c>
      <c r="D6411" t="s">
        <v>88</v>
      </c>
      <c r="E6411" t="s">
        <v>709</v>
      </c>
      <c r="F6411" t="s">
        <v>88</v>
      </c>
      <c r="G6411" t="s">
        <v>88</v>
      </c>
      <c r="H6411" t="s">
        <v>92</v>
      </c>
    </row>
    <row r="6412" spans="1:8" x14ac:dyDescent="0.25">
      <c r="A6412" t="s">
        <v>262</v>
      </c>
      <c r="B6412" t="s">
        <v>618</v>
      </c>
      <c r="C6412" t="s">
        <v>88</v>
      </c>
      <c r="D6412" t="s">
        <v>88</v>
      </c>
      <c r="E6412" t="s">
        <v>711</v>
      </c>
      <c r="F6412" t="s">
        <v>88</v>
      </c>
      <c r="G6412" t="s">
        <v>88</v>
      </c>
      <c r="H6412" t="s">
        <v>92</v>
      </c>
    </row>
    <row r="6413" spans="1:8" x14ac:dyDescent="0.25">
      <c r="A6413" t="s">
        <v>262</v>
      </c>
      <c r="B6413" t="s">
        <v>6066</v>
      </c>
      <c r="C6413" t="s">
        <v>88</v>
      </c>
      <c r="D6413" t="s">
        <v>88</v>
      </c>
      <c r="E6413" t="s">
        <v>711</v>
      </c>
      <c r="F6413" t="s">
        <v>88</v>
      </c>
      <c r="G6413" t="s">
        <v>88</v>
      </c>
      <c r="H6413" t="s">
        <v>92</v>
      </c>
    </row>
    <row r="6414" spans="1:8" x14ac:dyDescent="0.25">
      <c r="A6414" t="s">
        <v>262</v>
      </c>
      <c r="B6414" t="s">
        <v>620</v>
      </c>
      <c r="C6414" t="s">
        <v>88</v>
      </c>
      <c r="D6414" t="s">
        <v>88</v>
      </c>
      <c r="E6414" t="s">
        <v>711</v>
      </c>
      <c r="F6414" t="s">
        <v>88</v>
      </c>
      <c r="G6414" t="s">
        <v>88</v>
      </c>
      <c r="H6414" t="s">
        <v>92</v>
      </c>
    </row>
    <row r="6415" spans="1:8" x14ac:dyDescent="0.25">
      <c r="A6415" t="s">
        <v>262</v>
      </c>
      <c r="B6415" t="s">
        <v>622</v>
      </c>
      <c r="C6415" t="s">
        <v>88</v>
      </c>
      <c r="D6415" t="s">
        <v>88</v>
      </c>
      <c r="E6415" t="s">
        <v>711</v>
      </c>
      <c r="F6415" t="s">
        <v>88</v>
      </c>
      <c r="G6415" t="s">
        <v>88</v>
      </c>
      <c r="H6415" t="s">
        <v>92</v>
      </c>
    </row>
    <row r="6416" spans="1:8" x14ac:dyDescent="0.25">
      <c r="A6416" t="s">
        <v>262</v>
      </c>
      <c r="B6416" t="s">
        <v>623</v>
      </c>
      <c r="C6416" t="s">
        <v>88</v>
      </c>
      <c r="D6416" t="s">
        <v>88</v>
      </c>
      <c r="E6416" t="s">
        <v>735</v>
      </c>
      <c r="F6416" t="s">
        <v>88</v>
      </c>
      <c r="G6416" t="s">
        <v>88</v>
      </c>
      <c r="H6416" t="s">
        <v>92</v>
      </c>
    </row>
    <row r="6417" spans="1:8" x14ac:dyDescent="0.25">
      <c r="A6417" t="s">
        <v>262</v>
      </c>
      <c r="B6417" t="s">
        <v>714</v>
      </c>
      <c r="C6417" t="s">
        <v>88</v>
      </c>
      <c r="D6417" t="s">
        <v>88</v>
      </c>
      <c r="E6417" t="s">
        <v>702</v>
      </c>
      <c r="F6417" t="s">
        <v>88</v>
      </c>
      <c r="G6417" t="s">
        <v>88</v>
      </c>
      <c r="H6417" t="s">
        <v>92</v>
      </c>
    </row>
    <row r="6418" spans="1:8" x14ac:dyDescent="0.25">
      <c r="A6418" t="s">
        <v>262</v>
      </c>
      <c r="B6418" t="s">
        <v>998</v>
      </c>
      <c r="C6418" t="s">
        <v>88</v>
      </c>
      <c r="D6418" t="s">
        <v>88</v>
      </c>
      <c r="E6418" t="s">
        <v>702</v>
      </c>
      <c r="F6418" t="s">
        <v>88</v>
      </c>
      <c r="G6418" t="s">
        <v>88</v>
      </c>
      <c r="H6418" t="s">
        <v>92</v>
      </c>
    </row>
    <row r="6419" spans="1:8" x14ac:dyDescent="0.25">
      <c r="A6419" t="s">
        <v>262</v>
      </c>
      <c r="B6419" t="s">
        <v>1237</v>
      </c>
      <c r="C6419" t="s">
        <v>88</v>
      </c>
      <c r="D6419" t="s">
        <v>88</v>
      </c>
      <c r="E6419" t="s">
        <v>825</v>
      </c>
      <c r="F6419" t="s">
        <v>88</v>
      </c>
      <c r="G6419" t="s">
        <v>88</v>
      </c>
      <c r="H6419" t="s">
        <v>92</v>
      </c>
    </row>
    <row r="6420" spans="1:8" x14ac:dyDescent="0.25">
      <c r="A6420" t="s">
        <v>262</v>
      </c>
      <c r="B6420" t="s">
        <v>6067</v>
      </c>
      <c r="C6420" t="s">
        <v>88</v>
      </c>
      <c r="D6420" t="s">
        <v>88</v>
      </c>
      <c r="E6420" t="s">
        <v>1920</v>
      </c>
      <c r="F6420" t="s">
        <v>88</v>
      </c>
      <c r="G6420" t="s">
        <v>88</v>
      </c>
      <c r="H6420" t="s">
        <v>92</v>
      </c>
    </row>
    <row r="6421" spans="1:8" x14ac:dyDescent="0.25">
      <c r="A6421" t="s">
        <v>262</v>
      </c>
      <c r="B6421" t="s">
        <v>1400</v>
      </c>
      <c r="C6421" t="s">
        <v>88</v>
      </c>
      <c r="D6421" t="s">
        <v>88</v>
      </c>
      <c r="E6421" t="s">
        <v>825</v>
      </c>
      <c r="F6421" t="s">
        <v>88</v>
      </c>
      <c r="G6421" t="s">
        <v>88</v>
      </c>
      <c r="H6421" t="s">
        <v>92</v>
      </c>
    </row>
    <row r="6422" spans="1:8" x14ac:dyDescent="0.25">
      <c r="A6422" t="s">
        <v>262</v>
      </c>
      <c r="B6422" t="s">
        <v>2424</v>
      </c>
      <c r="C6422" t="s">
        <v>88</v>
      </c>
      <c r="D6422" t="s">
        <v>6068</v>
      </c>
      <c r="E6422" t="s">
        <v>825</v>
      </c>
      <c r="F6422" t="s">
        <v>88</v>
      </c>
      <c r="G6422" t="s">
        <v>88</v>
      </c>
      <c r="H6422" t="s">
        <v>92</v>
      </c>
    </row>
    <row r="6423" spans="1:8" x14ac:dyDescent="0.25">
      <c r="A6423" t="s">
        <v>262</v>
      </c>
      <c r="B6423" t="s">
        <v>2418</v>
      </c>
      <c r="C6423" t="s">
        <v>88</v>
      </c>
      <c r="D6423" t="s">
        <v>88</v>
      </c>
      <c r="E6423" t="s">
        <v>1167</v>
      </c>
      <c r="F6423" t="s">
        <v>88</v>
      </c>
      <c r="G6423" t="s">
        <v>88</v>
      </c>
      <c r="H6423" t="s">
        <v>92</v>
      </c>
    </row>
    <row r="6424" spans="1:8" x14ac:dyDescent="0.25">
      <c r="A6424" t="s">
        <v>263</v>
      </c>
      <c r="B6424" t="s">
        <v>6069</v>
      </c>
      <c r="C6424" t="s">
        <v>88</v>
      </c>
      <c r="D6424" t="s">
        <v>6070</v>
      </c>
      <c r="E6424" t="s">
        <v>1430</v>
      </c>
      <c r="F6424" t="s">
        <v>88</v>
      </c>
      <c r="G6424" t="s">
        <v>88</v>
      </c>
      <c r="H6424" t="s">
        <v>92</v>
      </c>
    </row>
    <row r="6425" spans="1:8" x14ac:dyDescent="0.25">
      <c r="A6425" t="s">
        <v>263</v>
      </c>
      <c r="B6425" t="s">
        <v>6071</v>
      </c>
      <c r="C6425" t="s">
        <v>88</v>
      </c>
      <c r="D6425" t="s">
        <v>6072</v>
      </c>
      <c r="E6425" t="s">
        <v>1414</v>
      </c>
      <c r="F6425" t="s">
        <v>88</v>
      </c>
      <c r="G6425" t="s">
        <v>88</v>
      </c>
      <c r="H6425" t="s">
        <v>92</v>
      </c>
    </row>
    <row r="6426" spans="1:8" x14ac:dyDescent="0.25">
      <c r="A6426" t="s">
        <v>263</v>
      </c>
      <c r="B6426" t="s">
        <v>6073</v>
      </c>
      <c r="C6426" t="s">
        <v>88</v>
      </c>
      <c r="D6426" t="s">
        <v>6074</v>
      </c>
      <c r="E6426" t="s">
        <v>1441</v>
      </c>
      <c r="F6426" t="s">
        <v>88</v>
      </c>
      <c r="G6426" t="s">
        <v>88</v>
      </c>
      <c r="H6426" t="s">
        <v>92</v>
      </c>
    </row>
    <row r="6427" spans="1:8" x14ac:dyDescent="0.25">
      <c r="A6427" t="s">
        <v>263</v>
      </c>
      <c r="B6427" t="s">
        <v>6075</v>
      </c>
      <c r="C6427" t="s">
        <v>88</v>
      </c>
      <c r="D6427" t="s">
        <v>6076</v>
      </c>
      <c r="E6427" t="s">
        <v>1490</v>
      </c>
      <c r="F6427" t="s">
        <v>88</v>
      </c>
      <c r="G6427" t="s">
        <v>88</v>
      </c>
      <c r="H6427" t="s">
        <v>92</v>
      </c>
    </row>
    <row r="6428" spans="1:8" x14ac:dyDescent="0.25">
      <c r="A6428" t="s">
        <v>263</v>
      </c>
      <c r="B6428" t="s">
        <v>6077</v>
      </c>
      <c r="C6428" t="s">
        <v>88</v>
      </c>
      <c r="D6428" t="s">
        <v>6078</v>
      </c>
      <c r="E6428" t="s">
        <v>1490</v>
      </c>
      <c r="F6428" t="s">
        <v>88</v>
      </c>
      <c r="G6428" t="s">
        <v>88</v>
      </c>
      <c r="H6428" t="s">
        <v>92</v>
      </c>
    </row>
    <row r="6429" spans="1:8" x14ac:dyDescent="0.25">
      <c r="A6429" t="s">
        <v>263</v>
      </c>
      <c r="B6429" t="s">
        <v>6079</v>
      </c>
      <c r="C6429" t="s">
        <v>88</v>
      </c>
      <c r="D6429" t="s">
        <v>6080</v>
      </c>
      <c r="E6429" t="s">
        <v>6081</v>
      </c>
      <c r="F6429" t="s">
        <v>88</v>
      </c>
      <c r="G6429" t="s">
        <v>88</v>
      </c>
      <c r="H6429" t="s">
        <v>92</v>
      </c>
    </row>
    <row r="6430" spans="1:8" x14ac:dyDescent="0.25">
      <c r="A6430" t="s">
        <v>263</v>
      </c>
      <c r="B6430" t="s">
        <v>6082</v>
      </c>
      <c r="C6430" t="s">
        <v>88</v>
      </c>
      <c r="D6430" t="s">
        <v>6083</v>
      </c>
      <c r="E6430" t="s">
        <v>6084</v>
      </c>
      <c r="F6430" t="s">
        <v>88</v>
      </c>
      <c r="G6430" t="s">
        <v>88</v>
      </c>
      <c r="H6430" t="s">
        <v>92</v>
      </c>
    </row>
    <row r="6431" spans="1:8" x14ac:dyDescent="0.25">
      <c r="A6431" t="s">
        <v>263</v>
      </c>
      <c r="B6431" t="s">
        <v>6085</v>
      </c>
      <c r="C6431" t="s">
        <v>88</v>
      </c>
      <c r="D6431" t="s">
        <v>6086</v>
      </c>
      <c r="E6431" t="s">
        <v>1414</v>
      </c>
      <c r="F6431" t="s">
        <v>88</v>
      </c>
      <c r="G6431" t="s">
        <v>88</v>
      </c>
      <c r="H6431" t="s">
        <v>92</v>
      </c>
    </row>
    <row r="6432" spans="1:8" x14ac:dyDescent="0.25">
      <c r="A6432" t="s">
        <v>263</v>
      </c>
      <c r="B6432" t="s">
        <v>6087</v>
      </c>
      <c r="C6432" t="s">
        <v>88</v>
      </c>
      <c r="D6432" t="s">
        <v>6088</v>
      </c>
      <c r="E6432" t="s">
        <v>6089</v>
      </c>
      <c r="F6432" t="s">
        <v>88</v>
      </c>
      <c r="G6432" t="s">
        <v>88</v>
      </c>
      <c r="H6432" t="s">
        <v>92</v>
      </c>
    </row>
    <row r="6433" spans="1:8" x14ac:dyDescent="0.25">
      <c r="A6433" t="s">
        <v>263</v>
      </c>
      <c r="B6433" t="s">
        <v>6090</v>
      </c>
      <c r="C6433" t="s">
        <v>88</v>
      </c>
      <c r="D6433" t="s">
        <v>6091</v>
      </c>
      <c r="E6433" t="s">
        <v>1459</v>
      </c>
      <c r="F6433" t="s">
        <v>88</v>
      </c>
      <c r="G6433" t="s">
        <v>88</v>
      </c>
      <c r="H6433" t="s">
        <v>92</v>
      </c>
    </row>
    <row r="6434" spans="1:8" x14ac:dyDescent="0.25">
      <c r="A6434" t="s">
        <v>263</v>
      </c>
      <c r="B6434" t="s">
        <v>6092</v>
      </c>
      <c r="C6434" t="s">
        <v>88</v>
      </c>
      <c r="D6434" t="s">
        <v>6093</v>
      </c>
      <c r="E6434" t="s">
        <v>1406</v>
      </c>
      <c r="F6434" t="s">
        <v>88</v>
      </c>
      <c r="G6434" t="s">
        <v>88</v>
      </c>
      <c r="H6434" t="s">
        <v>92</v>
      </c>
    </row>
    <row r="6435" spans="1:8" x14ac:dyDescent="0.25">
      <c r="A6435" t="s">
        <v>263</v>
      </c>
      <c r="B6435" t="s">
        <v>6094</v>
      </c>
      <c r="C6435" t="s">
        <v>88</v>
      </c>
      <c r="D6435" t="s">
        <v>6095</v>
      </c>
      <c r="E6435" t="s">
        <v>1427</v>
      </c>
      <c r="F6435" t="s">
        <v>88</v>
      </c>
      <c r="G6435" t="s">
        <v>88</v>
      </c>
      <c r="H6435" t="s">
        <v>92</v>
      </c>
    </row>
    <row r="6436" spans="1:8" x14ac:dyDescent="0.25">
      <c r="A6436" t="s">
        <v>263</v>
      </c>
      <c r="B6436" t="s">
        <v>6096</v>
      </c>
      <c r="C6436" t="s">
        <v>88</v>
      </c>
      <c r="D6436" t="s">
        <v>6097</v>
      </c>
      <c r="E6436" t="s">
        <v>1459</v>
      </c>
      <c r="F6436" t="s">
        <v>88</v>
      </c>
      <c r="G6436" t="s">
        <v>88</v>
      </c>
      <c r="H6436" t="s">
        <v>92</v>
      </c>
    </row>
    <row r="6437" spans="1:8" x14ac:dyDescent="0.25">
      <c r="A6437" t="s">
        <v>263</v>
      </c>
      <c r="B6437" t="s">
        <v>6098</v>
      </c>
      <c r="C6437" t="s">
        <v>88</v>
      </c>
      <c r="D6437" t="s">
        <v>6099</v>
      </c>
      <c r="E6437" t="s">
        <v>1420</v>
      </c>
      <c r="F6437" t="s">
        <v>88</v>
      </c>
      <c r="G6437" t="s">
        <v>88</v>
      </c>
      <c r="H6437" t="s">
        <v>92</v>
      </c>
    </row>
    <row r="6438" spans="1:8" x14ac:dyDescent="0.25">
      <c r="A6438" t="s">
        <v>263</v>
      </c>
      <c r="B6438" t="s">
        <v>6100</v>
      </c>
      <c r="C6438" t="s">
        <v>88</v>
      </c>
      <c r="D6438" t="s">
        <v>6101</v>
      </c>
      <c r="E6438" t="s">
        <v>1518</v>
      </c>
      <c r="F6438" t="s">
        <v>88</v>
      </c>
      <c r="G6438" t="s">
        <v>88</v>
      </c>
      <c r="H6438" t="s">
        <v>92</v>
      </c>
    </row>
    <row r="6439" spans="1:8" x14ac:dyDescent="0.25">
      <c r="A6439" t="s">
        <v>263</v>
      </c>
      <c r="B6439" t="s">
        <v>6102</v>
      </c>
      <c r="C6439" t="s">
        <v>88</v>
      </c>
      <c r="D6439" t="s">
        <v>6103</v>
      </c>
      <c r="E6439" t="s">
        <v>1531</v>
      </c>
      <c r="F6439" t="s">
        <v>88</v>
      </c>
      <c r="G6439" t="s">
        <v>88</v>
      </c>
      <c r="H6439" t="s">
        <v>92</v>
      </c>
    </row>
    <row r="6440" spans="1:8" x14ac:dyDescent="0.25">
      <c r="A6440" t="s">
        <v>263</v>
      </c>
      <c r="B6440" t="s">
        <v>6104</v>
      </c>
      <c r="C6440" t="s">
        <v>88</v>
      </c>
      <c r="D6440" t="s">
        <v>6105</v>
      </c>
      <c r="E6440" t="s">
        <v>6106</v>
      </c>
      <c r="F6440" t="s">
        <v>88</v>
      </c>
      <c r="G6440" t="s">
        <v>88</v>
      </c>
      <c r="H6440" t="s">
        <v>92</v>
      </c>
    </row>
    <row r="6441" spans="1:8" x14ac:dyDescent="0.25">
      <c r="A6441" t="s">
        <v>263</v>
      </c>
      <c r="B6441" t="s">
        <v>6107</v>
      </c>
      <c r="C6441" t="s">
        <v>88</v>
      </c>
      <c r="D6441" t="s">
        <v>6108</v>
      </c>
      <c r="E6441" t="s">
        <v>1475</v>
      </c>
      <c r="F6441" t="s">
        <v>88</v>
      </c>
      <c r="G6441" t="s">
        <v>88</v>
      </c>
      <c r="H6441" t="s">
        <v>92</v>
      </c>
    </row>
    <row r="6442" spans="1:8" x14ac:dyDescent="0.25">
      <c r="A6442" t="s">
        <v>263</v>
      </c>
      <c r="B6442" t="s">
        <v>6109</v>
      </c>
      <c r="C6442" t="s">
        <v>88</v>
      </c>
      <c r="D6442" t="s">
        <v>6110</v>
      </c>
      <c r="E6442" t="s">
        <v>1427</v>
      </c>
      <c r="F6442" t="s">
        <v>88</v>
      </c>
      <c r="G6442" t="s">
        <v>88</v>
      </c>
      <c r="H6442" t="s">
        <v>92</v>
      </c>
    </row>
    <row r="6443" spans="1:8" x14ac:dyDescent="0.25">
      <c r="A6443" t="s">
        <v>263</v>
      </c>
      <c r="B6443" t="s">
        <v>6111</v>
      </c>
      <c r="C6443" t="s">
        <v>88</v>
      </c>
      <c r="D6443" t="s">
        <v>6112</v>
      </c>
      <c r="E6443" t="s">
        <v>1430</v>
      </c>
      <c r="F6443" t="s">
        <v>88</v>
      </c>
      <c r="G6443" t="s">
        <v>88</v>
      </c>
      <c r="H6443" t="s">
        <v>92</v>
      </c>
    </row>
    <row r="6444" spans="1:8" x14ac:dyDescent="0.25">
      <c r="A6444" t="s">
        <v>263</v>
      </c>
      <c r="B6444" t="s">
        <v>6113</v>
      </c>
      <c r="C6444" t="s">
        <v>88</v>
      </c>
      <c r="D6444" t="s">
        <v>6114</v>
      </c>
      <c r="E6444" t="s">
        <v>2913</v>
      </c>
      <c r="F6444" t="s">
        <v>88</v>
      </c>
      <c r="G6444" t="s">
        <v>88</v>
      </c>
      <c r="H6444" t="s">
        <v>92</v>
      </c>
    </row>
    <row r="6445" spans="1:8" x14ac:dyDescent="0.25">
      <c r="A6445" t="s">
        <v>263</v>
      </c>
      <c r="B6445" t="s">
        <v>6115</v>
      </c>
      <c r="C6445" t="s">
        <v>88</v>
      </c>
      <c r="D6445" t="s">
        <v>6116</v>
      </c>
      <c r="E6445" t="s">
        <v>2913</v>
      </c>
      <c r="F6445" t="s">
        <v>88</v>
      </c>
      <c r="G6445" t="s">
        <v>88</v>
      </c>
      <c r="H6445" t="s">
        <v>92</v>
      </c>
    </row>
    <row r="6446" spans="1:8" x14ac:dyDescent="0.25">
      <c r="A6446" t="s">
        <v>263</v>
      </c>
      <c r="B6446" t="s">
        <v>6117</v>
      </c>
      <c r="C6446" t="s">
        <v>88</v>
      </c>
      <c r="D6446" t="s">
        <v>6118</v>
      </c>
      <c r="E6446" t="s">
        <v>2913</v>
      </c>
      <c r="F6446" t="s">
        <v>88</v>
      </c>
      <c r="G6446" t="s">
        <v>88</v>
      </c>
      <c r="H6446" t="s">
        <v>92</v>
      </c>
    </row>
    <row r="6447" spans="1:8" x14ac:dyDescent="0.25">
      <c r="A6447" t="s">
        <v>263</v>
      </c>
      <c r="B6447" t="s">
        <v>6119</v>
      </c>
      <c r="C6447" t="s">
        <v>88</v>
      </c>
      <c r="D6447" t="s">
        <v>6120</v>
      </c>
      <c r="E6447" t="s">
        <v>2879</v>
      </c>
      <c r="F6447" t="s">
        <v>88</v>
      </c>
      <c r="G6447" t="s">
        <v>88</v>
      </c>
      <c r="H6447" t="s">
        <v>92</v>
      </c>
    </row>
    <row r="6448" spans="1:8" x14ac:dyDescent="0.25">
      <c r="A6448" t="s">
        <v>263</v>
      </c>
      <c r="B6448" t="s">
        <v>6121</v>
      </c>
      <c r="C6448" t="s">
        <v>88</v>
      </c>
      <c r="D6448" t="s">
        <v>6122</v>
      </c>
      <c r="E6448" t="s">
        <v>6123</v>
      </c>
      <c r="F6448" t="s">
        <v>88</v>
      </c>
      <c r="G6448" t="s">
        <v>88</v>
      </c>
      <c r="H6448" t="s">
        <v>92</v>
      </c>
    </row>
    <row r="6449" spans="1:8" x14ac:dyDescent="0.25">
      <c r="A6449" t="s">
        <v>263</v>
      </c>
      <c r="B6449" t="s">
        <v>6124</v>
      </c>
      <c r="C6449" t="s">
        <v>88</v>
      </c>
      <c r="D6449" t="s">
        <v>6125</v>
      </c>
      <c r="E6449" t="s">
        <v>6123</v>
      </c>
      <c r="F6449" t="s">
        <v>88</v>
      </c>
      <c r="G6449" t="s">
        <v>88</v>
      </c>
      <c r="H6449" t="s">
        <v>92</v>
      </c>
    </row>
    <row r="6450" spans="1:8" x14ac:dyDescent="0.25">
      <c r="A6450" t="s">
        <v>263</v>
      </c>
      <c r="B6450" t="s">
        <v>6126</v>
      </c>
      <c r="C6450" t="s">
        <v>88</v>
      </c>
      <c r="D6450" t="s">
        <v>6127</v>
      </c>
      <c r="E6450" t="s">
        <v>6128</v>
      </c>
      <c r="F6450" t="s">
        <v>88</v>
      </c>
      <c r="G6450" t="s">
        <v>88</v>
      </c>
      <c r="H6450" t="s">
        <v>92</v>
      </c>
    </row>
    <row r="6451" spans="1:8" x14ac:dyDescent="0.25">
      <c r="A6451" t="s">
        <v>263</v>
      </c>
      <c r="B6451" t="s">
        <v>6129</v>
      </c>
      <c r="C6451" t="s">
        <v>88</v>
      </c>
      <c r="D6451" t="s">
        <v>6130</v>
      </c>
      <c r="E6451" t="s">
        <v>6128</v>
      </c>
      <c r="F6451" t="s">
        <v>88</v>
      </c>
      <c r="G6451" t="s">
        <v>88</v>
      </c>
      <c r="H6451" t="s">
        <v>92</v>
      </c>
    </row>
    <row r="6452" spans="1:8" x14ac:dyDescent="0.25">
      <c r="A6452" t="s">
        <v>263</v>
      </c>
      <c r="B6452" t="s">
        <v>6131</v>
      </c>
      <c r="C6452" t="s">
        <v>88</v>
      </c>
      <c r="D6452" t="s">
        <v>6132</v>
      </c>
      <c r="E6452" t="s">
        <v>6128</v>
      </c>
      <c r="F6452" t="s">
        <v>88</v>
      </c>
      <c r="G6452" t="s">
        <v>88</v>
      </c>
      <c r="H6452" t="s">
        <v>92</v>
      </c>
    </row>
    <row r="6453" spans="1:8" x14ac:dyDescent="0.25">
      <c r="A6453" t="s">
        <v>263</v>
      </c>
      <c r="B6453" t="s">
        <v>6133</v>
      </c>
      <c r="C6453" t="s">
        <v>88</v>
      </c>
      <c r="D6453" t="s">
        <v>6134</v>
      </c>
      <c r="E6453" t="s">
        <v>6123</v>
      </c>
      <c r="F6453" t="s">
        <v>88</v>
      </c>
      <c r="G6453" t="s">
        <v>88</v>
      </c>
      <c r="H6453" t="s">
        <v>92</v>
      </c>
    </row>
    <row r="6454" spans="1:8" x14ac:dyDescent="0.25">
      <c r="A6454" t="s">
        <v>263</v>
      </c>
      <c r="B6454" t="s">
        <v>6135</v>
      </c>
      <c r="C6454" t="s">
        <v>88</v>
      </c>
      <c r="D6454" t="s">
        <v>6136</v>
      </c>
      <c r="E6454" t="s">
        <v>1459</v>
      </c>
      <c r="F6454" t="s">
        <v>88</v>
      </c>
      <c r="G6454" t="s">
        <v>88</v>
      </c>
      <c r="H6454" t="s">
        <v>92</v>
      </c>
    </row>
    <row r="6455" spans="1:8" x14ac:dyDescent="0.25">
      <c r="A6455" t="s">
        <v>263</v>
      </c>
      <c r="B6455" t="s">
        <v>6137</v>
      </c>
      <c r="C6455" t="s">
        <v>88</v>
      </c>
      <c r="D6455" t="s">
        <v>6138</v>
      </c>
      <c r="E6455" t="s">
        <v>1420</v>
      </c>
      <c r="F6455" t="s">
        <v>88</v>
      </c>
      <c r="G6455" t="s">
        <v>88</v>
      </c>
      <c r="H6455" t="s">
        <v>92</v>
      </c>
    </row>
    <row r="6456" spans="1:8" x14ac:dyDescent="0.25">
      <c r="A6456" t="s">
        <v>263</v>
      </c>
      <c r="B6456" t="s">
        <v>6139</v>
      </c>
      <c r="C6456" t="s">
        <v>88</v>
      </c>
      <c r="D6456" t="s">
        <v>6140</v>
      </c>
      <c r="E6456" t="s">
        <v>1420</v>
      </c>
      <c r="F6456" t="s">
        <v>88</v>
      </c>
      <c r="G6456" t="s">
        <v>88</v>
      </c>
      <c r="H6456" t="s">
        <v>92</v>
      </c>
    </row>
    <row r="6457" spans="1:8" x14ac:dyDescent="0.25">
      <c r="A6457" t="s">
        <v>263</v>
      </c>
      <c r="B6457" t="s">
        <v>6141</v>
      </c>
      <c r="C6457" t="s">
        <v>88</v>
      </c>
      <c r="D6457" t="s">
        <v>6142</v>
      </c>
      <c r="E6457" t="s">
        <v>3724</v>
      </c>
      <c r="F6457" t="s">
        <v>88</v>
      </c>
      <c r="G6457" t="s">
        <v>88</v>
      </c>
      <c r="H6457" t="s">
        <v>92</v>
      </c>
    </row>
    <row r="6458" spans="1:8" x14ac:dyDescent="0.25">
      <c r="A6458" t="s">
        <v>263</v>
      </c>
      <c r="B6458" t="s">
        <v>6143</v>
      </c>
      <c r="C6458" t="s">
        <v>88</v>
      </c>
      <c r="D6458" t="s">
        <v>6144</v>
      </c>
      <c r="E6458" t="s">
        <v>1420</v>
      </c>
      <c r="F6458" t="s">
        <v>88</v>
      </c>
      <c r="G6458" t="s">
        <v>88</v>
      </c>
      <c r="H6458" t="s">
        <v>92</v>
      </c>
    </row>
    <row r="6459" spans="1:8" x14ac:dyDescent="0.25">
      <c r="A6459" t="s">
        <v>263</v>
      </c>
      <c r="B6459" t="s">
        <v>6145</v>
      </c>
      <c r="C6459" t="s">
        <v>88</v>
      </c>
      <c r="D6459" t="s">
        <v>6146</v>
      </c>
      <c r="E6459" t="s">
        <v>1406</v>
      </c>
      <c r="F6459" t="s">
        <v>88</v>
      </c>
      <c r="G6459" t="s">
        <v>88</v>
      </c>
      <c r="H6459" t="s">
        <v>92</v>
      </c>
    </row>
    <row r="6460" spans="1:8" x14ac:dyDescent="0.25">
      <c r="A6460" t="s">
        <v>263</v>
      </c>
      <c r="B6460" t="s">
        <v>6147</v>
      </c>
      <c r="C6460" t="s">
        <v>88</v>
      </c>
      <c r="D6460" t="s">
        <v>6148</v>
      </c>
      <c r="E6460" t="s">
        <v>1420</v>
      </c>
      <c r="F6460" t="s">
        <v>88</v>
      </c>
      <c r="G6460" t="s">
        <v>88</v>
      </c>
      <c r="H6460" t="s">
        <v>92</v>
      </c>
    </row>
    <row r="6461" spans="1:8" x14ac:dyDescent="0.25">
      <c r="A6461" t="s">
        <v>263</v>
      </c>
      <c r="B6461" t="s">
        <v>6149</v>
      </c>
      <c r="C6461" t="s">
        <v>88</v>
      </c>
      <c r="D6461" t="s">
        <v>6150</v>
      </c>
      <c r="E6461" t="s">
        <v>1481</v>
      </c>
      <c r="F6461" t="s">
        <v>88</v>
      </c>
      <c r="G6461" t="s">
        <v>88</v>
      </c>
      <c r="H6461" t="s">
        <v>92</v>
      </c>
    </row>
    <row r="6462" spans="1:8" x14ac:dyDescent="0.25">
      <c r="A6462" t="s">
        <v>263</v>
      </c>
      <c r="B6462" t="s">
        <v>6151</v>
      </c>
      <c r="C6462" t="s">
        <v>88</v>
      </c>
      <c r="D6462" t="s">
        <v>6152</v>
      </c>
      <c r="E6462" t="s">
        <v>1475</v>
      </c>
      <c r="F6462" t="s">
        <v>88</v>
      </c>
      <c r="G6462" t="s">
        <v>88</v>
      </c>
      <c r="H6462" t="s">
        <v>92</v>
      </c>
    </row>
    <row r="6463" spans="1:8" x14ac:dyDescent="0.25">
      <c r="A6463" t="s">
        <v>263</v>
      </c>
      <c r="B6463" t="s">
        <v>6153</v>
      </c>
      <c r="C6463" t="s">
        <v>88</v>
      </c>
      <c r="D6463" t="s">
        <v>6154</v>
      </c>
      <c r="E6463" t="s">
        <v>1481</v>
      </c>
      <c r="F6463" t="s">
        <v>88</v>
      </c>
      <c r="G6463" t="s">
        <v>88</v>
      </c>
      <c r="H6463" t="s">
        <v>92</v>
      </c>
    </row>
    <row r="6464" spans="1:8" x14ac:dyDescent="0.25">
      <c r="A6464" t="s">
        <v>263</v>
      </c>
      <c r="B6464" t="s">
        <v>6155</v>
      </c>
      <c r="C6464" t="s">
        <v>88</v>
      </c>
      <c r="D6464" t="s">
        <v>6156</v>
      </c>
      <c r="E6464" t="s">
        <v>1052</v>
      </c>
      <c r="F6464" t="s">
        <v>88</v>
      </c>
      <c r="G6464" t="s">
        <v>88</v>
      </c>
      <c r="H6464" t="s">
        <v>92</v>
      </c>
    </row>
    <row r="6465" spans="1:8" x14ac:dyDescent="0.25">
      <c r="A6465" t="s">
        <v>263</v>
      </c>
      <c r="B6465" t="s">
        <v>6157</v>
      </c>
      <c r="C6465" t="s">
        <v>88</v>
      </c>
      <c r="D6465" t="s">
        <v>6158</v>
      </c>
      <c r="E6465" t="s">
        <v>1478</v>
      </c>
      <c r="F6465" t="s">
        <v>88</v>
      </c>
      <c r="G6465" t="s">
        <v>88</v>
      </c>
      <c r="H6465" t="s">
        <v>92</v>
      </c>
    </row>
    <row r="6466" spans="1:8" x14ac:dyDescent="0.25">
      <c r="A6466" t="s">
        <v>263</v>
      </c>
      <c r="B6466" t="s">
        <v>6159</v>
      </c>
      <c r="C6466" t="s">
        <v>88</v>
      </c>
      <c r="D6466" t="s">
        <v>6160</v>
      </c>
      <c r="E6466" t="s">
        <v>1526</v>
      </c>
      <c r="F6466" t="s">
        <v>88</v>
      </c>
      <c r="G6466" t="s">
        <v>88</v>
      </c>
      <c r="H6466" t="s">
        <v>92</v>
      </c>
    </row>
    <row r="6467" spans="1:8" x14ac:dyDescent="0.25">
      <c r="A6467" t="s">
        <v>263</v>
      </c>
      <c r="B6467" t="s">
        <v>6161</v>
      </c>
      <c r="C6467" t="s">
        <v>88</v>
      </c>
      <c r="D6467" t="s">
        <v>6162</v>
      </c>
      <c r="E6467" t="s">
        <v>1568</v>
      </c>
      <c r="F6467" t="s">
        <v>88</v>
      </c>
      <c r="G6467" t="s">
        <v>88</v>
      </c>
      <c r="H6467" t="s">
        <v>92</v>
      </c>
    </row>
    <row r="6468" spans="1:8" x14ac:dyDescent="0.25">
      <c r="A6468" t="s">
        <v>263</v>
      </c>
      <c r="B6468" t="s">
        <v>6163</v>
      </c>
      <c r="C6468" t="s">
        <v>88</v>
      </c>
      <c r="D6468" t="s">
        <v>6164</v>
      </c>
      <c r="E6468" t="s">
        <v>1523</v>
      </c>
      <c r="F6468" t="s">
        <v>88</v>
      </c>
      <c r="G6468" t="s">
        <v>88</v>
      </c>
      <c r="H6468" t="s">
        <v>92</v>
      </c>
    </row>
    <row r="6469" spans="1:8" x14ac:dyDescent="0.25">
      <c r="A6469" t="s">
        <v>263</v>
      </c>
      <c r="B6469" t="s">
        <v>6165</v>
      </c>
      <c r="C6469" t="s">
        <v>88</v>
      </c>
      <c r="D6469" t="s">
        <v>6166</v>
      </c>
      <c r="E6469" t="s">
        <v>1406</v>
      </c>
      <c r="F6469" t="s">
        <v>88</v>
      </c>
      <c r="G6469" t="s">
        <v>88</v>
      </c>
      <c r="H6469" t="s">
        <v>92</v>
      </c>
    </row>
    <row r="6470" spans="1:8" x14ac:dyDescent="0.25">
      <c r="A6470" t="s">
        <v>263</v>
      </c>
      <c r="B6470" t="s">
        <v>6167</v>
      </c>
      <c r="C6470" t="s">
        <v>88</v>
      </c>
      <c r="D6470" t="s">
        <v>6168</v>
      </c>
      <c r="E6470" t="s">
        <v>1406</v>
      </c>
      <c r="F6470" t="s">
        <v>88</v>
      </c>
      <c r="G6470" t="s">
        <v>88</v>
      </c>
      <c r="H6470" t="s">
        <v>92</v>
      </c>
    </row>
    <row r="6471" spans="1:8" x14ac:dyDescent="0.25">
      <c r="A6471" t="s">
        <v>263</v>
      </c>
      <c r="B6471" t="s">
        <v>6169</v>
      </c>
      <c r="C6471" t="s">
        <v>88</v>
      </c>
      <c r="D6471" t="s">
        <v>6170</v>
      </c>
      <c r="E6471" t="s">
        <v>1459</v>
      </c>
      <c r="F6471" t="s">
        <v>88</v>
      </c>
      <c r="G6471" t="s">
        <v>88</v>
      </c>
      <c r="H6471" t="s">
        <v>92</v>
      </c>
    </row>
    <row r="6472" spans="1:8" x14ac:dyDescent="0.25">
      <c r="A6472" t="s">
        <v>263</v>
      </c>
      <c r="B6472" t="s">
        <v>6171</v>
      </c>
      <c r="C6472" t="s">
        <v>88</v>
      </c>
      <c r="D6472" t="s">
        <v>6172</v>
      </c>
      <c r="E6472" t="s">
        <v>1459</v>
      </c>
      <c r="F6472" t="s">
        <v>88</v>
      </c>
      <c r="G6472" t="s">
        <v>88</v>
      </c>
      <c r="H6472" t="s">
        <v>92</v>
      </c>
    </row>
    <row r="6473" spans="1:8" x14ac:dyDescent="0.25">
      <c r="A6473" t="s">
        <v>263</v>
      </c>
      <c r="B6473" t="s">
        <v>6173</v>
      </c>
      <c r="C6473" t="s">
        <v>88</v>
      </c>
      <c r="D6473" t="s">
        <v>6174</v>
      </c>
      <c r="E6473" t="s">
        <v>1459</v>
      </c>
      <c r="F6473" t="s">
        <v>88</v>
      </c>
      <c r="G6473" t="s">
        <v>88</v>
      </c>
      <c r="H6473" t="s">
        <v>92</v>
      </c>
    </row>
    <row r="6474" spans="1:8" x14ac:dyDescent="0.25">
      <c r="A6474" t="s">
        <v>263</v>
      </c>
      <c r="B6474" t="s">
        <v>6175</v>
      </c>
      <c r="C6474" t="s">
        <v>88</v>
      </c>
      <c r="D6474" t="s">
        <v>6176</v>
      </c>
      <c r="E6474" t="s">
        <v>1495</v>
      </c>
      <c r="F6474" t="s">
        <v>88</v>
      </c>
      <c r="G6474" t="s">
        <v>88</v>
      </c>
      <c r="H6474" t="s">
        <v>92</v>
      </c>
    </row>
    <row r="6475" spans="1:8" x14ac:dyDescent="0.25">
      <c r="A6475" t="s">
        <v>263</v>
      </c>
      <c r="B6475" t="s">
        <v>6177</v>
      </c>
      <c r="C6475" t="s">
        <v>88</v>
      </c>
      <c r="D6475" t="s">
        <v>6178</v>
      </c>
      <c r="E6475" t="s">
        <v>1495</v>
      </c>
      <c r="F6475" t="s">
        <v>88</v>
      </c>
      <c r="G6475" t="s">
        <v>88</v>
      </c>
      <c r="H6475" t="s">
        <v>92</v>
      </c>
    </row>
    <row r="6476" spans="1:8" x14ac:dyDescent="0.25">
      <c r="A6476" t="s">
        <v>263</v>
      </c>
      <c r="B6476" t="s">
        <v>6179</v>
      </c>
      <c r="C6476" t="s">
        <v>88</v>
      </c>
      <c r="D6476" t="s">
        <v>6180</v>
      </c>
      <c r="E6476" t="s">
        <v>1481</v>
      </c>
      <c r="F6476" t="s">
        <v>88</v>
      </c>
      <c r="G6476" t="s">
        <v>88</v>
      </c>
      <c r="H6476" t="s">
        <v>92</v>
      </c>
    </row>
    <row r="6477" spans="1:8" x14ac:dyDescent="0.25">
      <c r="A6477" t="s">
        <v>263</v>
      </c>
      <c r="B6477" t="s">
        <v>6181</v>
      </c>
      <c r="C6477" t="s">
        <v>88</v>
      </c>
      <c r="D6477" t="s">
        <v>6182</v>
      </c>
      <c r="E6477" t="s">
        <v>1481</v>
      </c>
      <c r="F6477" t="s">
        <v>88</v>
      </c>
      <c r="G6477" t="s">
        <v>88</v>
      </c>
      <c r="H6477" t="s">
        <v>92</v>
      </c>
    </row>
    <row r="6478" spans="1:8" x14ac:dyDescent="0.25">
      <c r="A6478" t="s">
        <v>263</v>
      </c>
      <c r="B6478" t="s">
        <v>6183</v>
      </c>
      <c r="C6478" t="s">
        <v>88</v>
      </c>
      <c r="D6478" t="s">
        <v>6184</v>
      </c>
      <c r="E6478" t="s">
        <v>1531</v>
      </c>
      <c r="F6478" t="s">
        <v>88</v>
      </c>
      <c r="G6478" t="s">
        <v>88</v>
      </c>
      <c r="H6478" t="s">
        <v>92</v>
      </c>
    </row>
    <row r="6479" spans="1:8" x14ac:dyDescent="0.25">
      <c r="A6479" t="s">
        <v>263</v>
      </c>
      <c r="B6479" t="s">
        <v>6185</v>
      </c>
      <c r="C6479" t="s">
        <v>88</v>
      </c>
      <c r="D6479" t="s">
        <v>6186</v>
      </c>
      <c r="E6479" t="s">
        <v>1568</v>
      </c>
      <c r="F6479" t="s">
        <v>88</v>
      </c>
      <c r="G6479" t="s">
        <v>88</v>
      </c>
      <c r="H6479" t="s">
        <v>92</v>
      </c>
    </row>
    <row r="6480" spans="1:8" x14ac:dyDescent="0.25">
      <c r="A6480" t="s">
        <v>263</v>
      </c>
      <c r="B6480" t="s">
        <v>6187</v>
      </c>
      <c r="C6480" t="s">
        <v>88</v>
      </c>
      <c r="D6480" t="s">
        <v>6188</v>
      </c>
      <c r="E6480" t="s">
        <v>1506</v>
      </c>
      <c r="F6480" t="s">
        <v>88</v>
      </c>
      <c r="G6480" t="s">
        <v>88</v>
      </c>
      <c r="H6480" t="s">
        <v>92</v>
      </c>
    </row>
    <row r="6481" spans="1:8" x14ac:dyDescent="0.25">
      <c r="A6481" t="s">
        <v>263</v>
      </c>
      <c r="B6481" t="s">
        <v>6189</v>
      </c>
      <c r="C6481" t="s">
        <v>88</v>
      </c>
      <c r="D6481" t="s">
        <v>6190</v>
      </c>
      <c r="E6481" t="s">
        <v>1506</v>
      </c>
      <c r="F6481" t="s">
        <v>88</v>
      </c>
      <c r="G6481" t="s">
        <v>88</v>
      </c>
      <c r="H6481" t="s">
        <v>92</v>
      </c>
    </row>
    <row r="6482" spans="1:8" x14ac:dyDescent="0.25">
      <c r="A6482" t="s">
        <v>263</v>
      </c>
      <c r="B6482" t="s">
        <v>6191</v>
      </c>
      <c r="C6482" t="s">
        <v>88</v>
      </c>
      <c r="D6482" t="s">
        <v>6192</v>
      </c>
      <c r="E6482" t="s">
        <v>1506</v>
      </c>
      <c r="F6482" t="s">
        <v>88</v>
      </c>
      <c r="G6482" t="s">
        <v>88</v>
      </c>
      <c r="H6482" t="s">
        <v>92</v>
      </c>
    </row>
    <row r="6483" spans="1:8" x14ac:dyDescent="0.25">
      <c r="A6483" t="s">
        <v>263</v>
      </c>
      <c r="B6483" t="s">
        <v>6193</v>
      </c>
      <c r="C6483" t="s">
        <v>88</v>
      </c>
      <c r="D6483" t="s">
        <v>88</v>
      </c>
      <c r="E6483" t="s">
        <v>3107</v>
      </c>
      <c r="F6483" t="s">
        <v>88</v>
      </c>
      <c r="G6483" t="s">
        <v>88</v>
      </c>
      <c r="H6483" t="s">
        <v>92</v>
      </c>
    </row>
    <row r="6484" spans="1:8" x14ac:dyDescent="0.25">
      <c r="A6484" t="s">
        <v>263</v>
      </c>
      <c r="B6484" t="s">
        <v>6194</v>
      </c>
      <c r="C6484" t="s">
        <v>88</v>
      </c>
      <c r="D6484" t="s">
        <v>88</v>
      </c>
      <c r="E6484" t="s">
        <v>3115</v>
      </c>
      <c r="F6484" t="s">
        <v>88</v>
      </c>
      <c r="G6484" t="s">
        <v>88</v>
      </c>
      <c r="H6484" t="s">
        <v>92</v>
      </c>
    </row>
    <row r="6485" spans="1:8" x14ac:dyDescent="0.25">
      <c r="A6485" t="s">
        <v>263</v>
      </c>
      <c r="B6485" t="s">
        <v>6195</v>
      </c>
      <c r="C6485" t="s">
        <v>88</v>
      </c>
      <c r="D6485" t="s">
        <v>88</v>
      </c>
      <c r="E6485" t="s">
        <v>3115</v>
      </c>
      <c r="F6485" t="s">
        <v>88</v>
      </c>
      <c r="G6485" t="s">
        <v>88</v>
      </c>
      <c r="H6485" t="s">
        <v>92</v>
      </c>
    </row>
    <row r="6486" spans="1:8" x14ac:dyDescent="0.25">
      <c r="A6486" t="s">
        <v>263</v>
      </c>
      <c r="B6486" t="s">
        <v>6196</v>
      </c>
      <c r="C6486" t="s">
        <v>88</v>
      </c>
      <c r="D6486" t="s">
        <v>88</v>
      </c>
      <c r="E6486" t="s">
        <v>3115</v>
      </c>
      <c r="F6486" t="s">
        <v>88</v>
      </c>
      <c r="G6486" t="s">
        <v>88</v>
      </c>
      <c r="H6486" t="s">
        <v>92</v>
      </c>
    </row>
    <row r="6487" spans="1:8" x14ac:dyDescent="0.25">
      <c r="A6487" t="s">
        <v>263</v>
      </c>
      <c r="B6487" t="s">
        <v>6197</v>
      </c>
      <c r="C6487" t="s">
        <v>88</v>
      </c>
      <c r="D6487" t="s">
        <v>88</v>
      </c>
      <c r="E6487" t="s">
        <v>3115</v>
      </c>
      <c r="F6487" t="s">
        <v>88</v>
      </c>
      <c r="G6487" t="s">
        <v>88</v>
      </c>
      <c r="H6487" t="s">
        <v>92</v>
      </c>
    </row>
    <row r="6488" spans="1:8" x14ac:dyDescent="0.25">
      <c r="A6488" t="s">
        <v>263</v>
      </c>
      <c r="B6488" t="s">
        <v>6198</v>
      </c>
      <c r="C6488" t="s">
        <v>88</v>
      </c>
      <c r="D6488" t="s">
        <v>88</v>
      </c>
      <c r="E6488" t="s">
        <v>1636</v>
      </c>
      <c r="F6488" t="s">
        <v>88</v>
      </c>
      <c r="G6488" t="s">
        <v>88</v>
      </c>
      <c r="H6488" t="s">
        <v>92</v>
      </c>
    </row>
    <row r="6489" spans="1:8" x14ac:dyDescent="0.25">
      <c r="A6489" t="s">
        <v>263</v>
      </c>
      <c r="B6489" t="s">
        <v>6199</v>
      </c>
      <c r="C6489" t="s">
        <v>88</v>
      </c>
      <c r="D6489" t="s">
        <v>88</v>
      </c>
      <c r="E6489" t="s">
        <v>3115</v>
      </c>
      <c r="F6489" t="s">
        <v>88</v>
      </c>
      <c r="G6489" t="s">
        <v>88</v>
      </c>
      <c r="H6489" t="s">
        <v>92</v>
      </c>
    </row>
    <row r="6490" spans="1:8" x14ac:dyDescent="0.25">
      <c r="A6490" t="s">
        <v>263</v>
      </c>
      <c r="B6490" t="s">
        <v>6200</v>
      </c>
      <c r="C6490" t="s">
        <v>88</v>
      </c>
      <c r="D6490" t="s">
        <v>88</v>
      </c>
      <c r="E6490" t="s">
        <v>1636</v>
      </c>
      <c r="F6490" t="s">
        <v>88</v>
      </c>
      <c r="G6490" t="s">
        <v>88</v>
      </c>
      <c r="H6490" t="s">
        <v>92</v>
      </c>
    </row>
    <row r="6491" spans="1:8" x14ac:dyDescent="0.25">
      <c r="A6491" t="s">
        <v>263</v>
      </c>
      <c r="B6491" t="s">
        <v>6201</v>
      </c>
      <c r="C6491" t="s">
        <v>88</v>
      </c>
      <c r="D6491" t="s">
        <v>88</v>
      </c>
      <c r="E6491" t="s">
        <v>1653</v>
      </c>
      <c r="F6491" t="s">
        <v>88</v>
      </c>
      <c r="G6491" t="s">
        <v>88</v>
      </c>
      <c r="H6491" t="s">
        <v>92</v>
      </c>
    </row>
    <row r="6492" spans="1:8" x14ac:dyDescent="0.25">
      <c r="A6492" t="s">
        <v>263</v>
      </c>
      <c r="B6492" t="s">
        <v>6202</v>
      </c>
      <c r="C6492" t="s">
        <v>88</v>
      </c>
      <c r="D6492" t="s">
        <v>88</v>
      </c>
      <c r="E6492" t="s">
        <v>3117</v>
      </c>
      <c r="F6492" t="s">
        <v>88</v>
      </c>
      <c r="G6492" t="s">
        <v>88</v>
      </c>
      <c r="H6492" t="s">
        <v>92</v>
      </c>
    </row>
    <row r="6493" spans="1:8" x14ac:dyDescent="0.25">
      <c r="A6493" t="s">
        <v>263</v>
      </c>
      <c r="B6493" t="s">
        <v>3677</v>
      </c>
      <c r="C6493" t="s">
        <v>88</v>
      </c>
      <c r="D6493" t="s">
        <v>88</v>
      </c>
      <c r="E6493" t="s">
        <v>3117</v>
      </c>
      <c r="F6493" t="s">
        <v>88</v>
      </c>
      <c r="G6493" t="s">
        <v>88</v>
      </c>
      <c r="H6493" t="s">
        <v>92</v>
      </c>
    </row>
    <row r="6494" spans="1:8" x14ac:dyDescent="0.25">
      <c r="A6494" t="s">
        <v>263</v>
      </c>
      <c r="B6494" t="s">
        <v>6203</v>
      </c>
      <c r="C6494" t="s">
        <v>88</v>
      </c>
      <c r="D6494" t="s">
        <v>88</v>
      </c>
      <c r="E6494" t="s">
        <v>3109</v>
      </c>
      <c r="F6494" t="s">
        <v>88</v>
      </c>
      <c r="G6494" t="s">
        <v>88</v>
      </c>
      <c r="H6494" t="s">
        <v>92</v>
      </c>
    </row>
    <row r="6495" spans="1:8" x14ac:dyDescent="0.25">
      <c r="A6495" t="s">
        <v>263</v>
      </c>
      <c r="B6495" t="s">
        <v>6204</v>
      </c>
      <c r="C6495" t="s">
        <v>88</v>
      </c>
      <c r="D6495" t="s">
        <v>88</v>
      </c>
      <c r="E6495" t="s">
        <v>1636</v>
      </c>
      <c r="F6495" t="s">
        <v>88</v>
      </c>
      <c r="G6495" t="s">
        <v>88</v>
      </c>
      <c r="H6495" t="s">
        <v>92</v>
      </c>
    </row>
    <row r="6496" spans="1:8" x14ac:dyDescent="0.25">
      <c r="A6496" t="s">
        <v>263</v>
      </c>
      <c r="B6496" t="s">
        <v>6205</v>
      </c>
      <c r="C6496" t="s">
        <v>88</v>
      </c>
      <c r="D6496" t="s">
        <v>6206</v>
      </c>
      <c r="E6496" t="s">
        <v>1646</v>
      </c>
      <c r="F6496" t="s">
        <v>88</v>
      </c>
      <c r="G6496" t="s">
        <v>88</v>
      </c>
      <c r="H6496" t="s">
        <v>92</v>
      </c>
    </row>
    <row r="6497" spans="1:8" x14ac:dyDescent="0.25">
      <c r="A6497" t="s">
        <v>263</v>
      </c>
      <c r="B6497" t="s">
        <v>6207</v>
      </c>
      <c r="C6497" t="s">
        <v>88</v>
      </c>
      <c r="D6497" t="s">
        <v>88</v>
      </c>
      <c r="E6497" t="s">
        <v>1648</v>
      </c>
      <c r="F6497" t="s">
        <v>88</v>
      </c>
      <c r="G6497" t="s">
        <v>88</v>
      </c>
      <c r="H6497" t="s">
        <v>92</v>
      </c>
    </row>
    <row r="6498" spans="1:8" x14ac:dyDescent="0.25">
      <c r="A6498" t="s">
        <v>263</v>
      </c>
      <c r="B6498" t="s">
        <v>6208</v>
      </c>
      <c r="C6498" t="s">
        <v>88</v>
      </c>
      <c r="D6498" t="s">
        <v>88</v>
      </c>
      <c r="E6498" t="s">
        <v>1636</v>
      </c>
      <c r="F6498" t="s">
        <v>88</v>
      </c>
      <c r="G6498" t="s">
        <v>88</v>
      </c>
      <c r="H6498" t="s">
        <v>92</v>
      </c>
    </row>
    <row r="6499" spans="1:8" x14ac:dyDescent="0.25">
      <c r="A6499" t="s">
        <v>263</v>
      </c>
      <c r="B6499" t="s">
        <v>6209</v>
      </c>
      <c r="C6499" t="s">
        <v>88</v>
      </c>
      <c r="D6499" t="s">
        <v>88</v>
      </c>
      <c r="E6499" t="s">
        <v>1594</v>
      </c>
      <c r="F6499" t="s">
        <v>88</v>
      </c>
      <c r="G6499" t="s">
        <v>88</v>
      </c>
      <c r="H6499" t="s">
        <v>92</v>
      </c>
    </row>
    <row r="6500" spans="1:8" x14ac:dyDescent="0.25">
      <c r="A6500" t="s">
        <v>263</v>
      </c>
      <c r="B6500" t="s">
        <v>3129</v>
      </c>
      <c r="C6500" t="s">
        <v>88</v>
      </c>
      <c r="D6500" t="s">
        <v>88</v>
      </c>
      <c r="E6500" t="s">
        <v>1636</v>
      </c>
      <c r="F6500" t="s">
        <v>88</v>
      </c>
      <c r="G6500" t="s">
        <v>88</v>
      </c>
      <c r="H6500" t="s">
        <v>92</v>
      </c>
    </row>
    <row r="6501" spans="1:8" x14ac:dyDescent="0.25">
      <c r="A6501" t="s">
        <v>263</v>
      </c>
      <c r="B6501" t="s">
        <v>1125</v>
      </c>
      <c r="C6501" t="s">
        <v>88</v>
      </c>
      <c r="D6501" t="s">
        <v>88</v>
      </c>
      <c r="E6501" t="s">
        <v>1636</v>
      </c>
      <c r="F6501" t="s">
        <v>88</v>
      </c>
      <c r="G6501" t="s">
        <v>88</v>
      </c>
      <c r="H6501" t="s">
        <v>92</v>
      </c>
    </row>
    <row r="6502" spans="1:8" x14ac:dyDescent="0.25">
      <c r="A6502" t="s">
        <v>263</v>
      </c>
      <c r="B6502" t="s">
        <v>3138</v>
      </c>
      <c r="C6502" t="s">
        <v>88</v>
      </c>
      <c r="D6502" t="s">
        <v>88</v>
      </c>
      <c r="E6502" t="s">
        <v>957</v>
      </c>
      <c r="F6502" t="s">
        <v>88</v>
      </c>
      <c r="G6502" t="s">
        <v>88</v>
      </c>
      <c r="H6502" t="s">
        <v>92</v>
      </c>
    </row>
    <row r="6503" spans="1:8" x14ac:dyDescent="0.25">
      <c r="A6503" t="s">
        <v>263</v>
      </c>
      <c r="B6503" t="s">
        <v>6210</v>
      </c>
      <c r="C6503" t="s">
        <v>88</v>
      </c>
      <c r="D6503" t="s">
        <v>88</v>
      </c>
      <c r="E6503" t="s">
        <v>957</v>
      </c>
      <c r="F6503" t="s">
        <v>88</v>
      </c>
      <c r="G6503" t="s">
        <v>88</v>
      </c>
      <c r="H6503" t="s">
        <v>92</v>
      </c>
    </row>
    <row r="6504" spans="1:8" x14ac:dyDescent="0.25">
      <c r="A6504" t="s">
        <v>263</v>
      </c>
      <c r="B6504" t="s">
        <v>1619</v>
      </c>
      <c r="C6504" t="s">
        <v>88</v>
      </c>
      <c r="D6504" t="s">
        <v>88</v>
      </c>
      <c r="E6504" t="s">
        <v>957</v>
      </c>
      <c r="F6504" t="s">
        <v>88</v>
      </c>
      <c r="G6504" t="s">
        <v>88</v>
      </c>
      <c r="H6504" t="s">
        <v>92</v>
      </c>
    </row>
    <row r="6505" spans="1:8" x14ac:dyDescent="0.25">
      <c r="A6505" t="s">
        <v>263</v>
      </c>
      <c r="B6505" t="s">
        <v>1072</v>
      </c>
      <c r="C6505" t="s">
        <v>88</v>
      </c>
      <c r="D6505" t="s">
        <v>88</v>
      </c>
      <c r="E6505" t="s">
        <v>1594</v>
      </c>
      <c r="F6505" t="s">
        <v>88</v>
      </c>
      <c r="G6505" t="s">
        <v>88</v>
      </c>
      <c r="H6505" t="s">
        <v>92</v>
      </c>
    </row>
    <row r="6506" spans="1:8" x14ac:dyDescent="0.25">
      <c r="A6506" t="s">
        <v>263</v>
      </c>
      <c r="B6506" t="s">
        <v>703</v>
      </c>
      <c r="C6506" t="s">
        <v>88</v>
      </c>
      <c r="D6506" t="s">
        <v>88</v>
      </c>
      <c r="E6506" t="s">
        <v>1594</v>
      </c>
      <c r="F6506" t="s">
        <v>88</v>
      </c>
      <c r="G6506" t="s">
        <v>88</v>
      </c>
      <c r="H6506" t="s">
        <v>92</v>
      </c>
    </row>
    <row r="6507" spans="1:8" x14ac:dyDescent="0.25">
      <c r="A6507" t="s">
        <v>263</v>
      </c>
      <c r="B6507" t="s">
        <v>6211</v>
      </c>
      <c r="C6507" t="s">
        <v>88</v>
      </c>
      <c r="D6507" t="s">
        <v>88</v>
      </c>
      <c r="E6507" t="s">
        <v>1594</v>
      </c>
      <c r="F6507" t="s">
        <v>88</v>
      </c>
      <c r="G6507" t="s">
        <v>88</v>
      </c>
      <c r="H6507" t="s">
        <v>92</v>
      </c>
    </row>
    <row r="6508" spans="1:8" x14ac:dyDescent="0.25">
      <c r="A6508" t="s">
        <v>263</v>
      </c>
      <c r="B6508" t="s">
        <v>3205</v>
      </c>
      <c r="C6508" t="s">
        <v>88</v>
      </c>
      <c r="D6508" t="s">
        <v>88</v>
      </c>
      <c r="E6508" t="s">
        <v>1594</v>
      </c>
      <c r="F6508" t="s">
        <v>88</v>
      </c>
      <c r="G6508" t="s">
        <v>88</v>
      </c>
      <c r="H6508" t="s">
        <v>92</v>
      </c>
    </row>
    <row r="6509" spans="1:8" x14ac:dyDescent="0.25">
      <c r="A6509" t="s">
        <v>263</v>
      </c>
      <c r="B6509" t="s">
        <v>6212</v>
      </c>
      <c r="C6509" t="s">
        <v>88</v>
      </c>
      <c r="D6509" t="s">
        <v>88</v>
      </c>
      <c r="E6509" t="s">
        <v>1594</v>
      </c>
      <c r="F6509" t="s">
        <v>88</v>
      </c>
      <c r="G6509" t="s">
        <v>88</v>
      </c>
      <c r="H6509" t="s">
        <v>92</v>
      </c>
    </row>
    <row r="6510" spans="1:8" x14ac:dyDescent="0.25">
      <c r="A6510" t="s">
        <v>263</v>
      </c>
      <c r="B6510" t="s">
        <v>706</v>
      </c>
      <c r="C6510" t="s">
        <v>88</v>
      </c>
      <c r="D6510" t="s">
        <v>88</v>
      </c>
      <c r="E6510" t="s">
        <v>1594</v>
      </c>
      <c r="F6510" t="s">
        <v>88</v>
      </c>
      <c r="G6510" t="s">
        <v>88</v>
      </c>
      <c r="H6510" t="s">
        <v>92</v>
      </c>
    </row>
    <row r="6511" spans="1:8" x14ac:dyDescent="0.25">
      <c r="A6511" t="s">
        <v>263</v>
      </c>
      <c r="B6511" t="s">
        <v>708</v>
      </c>
      <c r="C6511" t="s">
        <v>88</v>
      </c>
      <c r="D6511" t="s">
        <v>88</v>
      </c>
      <c r="E6511" t="s">
        <v>1594</v>
      </c>
      <c r="F6511" t="s">
        <v>88</v>
      </c>
      <c r="G6511" t="s">
        <v>88</v>
      </c>
      <c r="H6511" t="s">
        <v>92</v>
      </c>
    </row>
    <row r="6512" spans="1:8" x14ac:dyDescent="0.25">
      <c r="A6512" t="s">
        <v>263</v>
      </c>
      <c r="B6512" t="s">
        <v>6213</v>
      </c>
      <c r="C6512" t="s">
        <v>88</v>
      </c>
      <c r="D6512" t="s">
        <v>88</v>
      </c>
      <c r="E6512" t="s">
        <v>1978</v>
      </c>
      <c r="F6512" t="s">
        <v>88</v>
      </c>
      <c r="G6512" t="s">
        <v>88</v>
      </c>
      <c r="H6512" t="s">
        <v>92</v>
      </c>
    </row>
    <row r="6513" spans="1:8" x14ac:dyDescent="0.25">
      <c r="A6513" t="s">
        <v>263</v>
      </c>
      <c r="B6513" t="s">
        <v>6214</v>
      </c>
      <c r="C6513" t="s">
        <v>88</v>
      </c>
      <c r="D6513" t="s">
        <v>88</v>
      </c>
      <c r="E6513" t="s">
        <v>1978</v>
      </c>
      <c r="F6513" t="s">
        <v>88</v>
      </c>
      <c r="G6513" t="s">
        <v>88</v>
      </c>
      <c r="H6513" t="s">
        <v>92</v>
      </c>
    </row>
    <row r="6514" spans="1:8" x14ac:dyDescent="0.25">
      <c r="A6514" t="s">
        <v>263</v>
      </c>
      <c r="B6514" t="s">
        <v>6215</v>
      </c>
      <c r="C6514" t="s">
        <v>88</v>
      </c>
      <c r="D6514" t="s">
        <v>6216</v>
      </c>
      <c r="E6514" t="s">
        <v>711</v>
      </c>
      <c r="F6514" t="s">
        <v>88</v>
      </c>
      <c r="G6514" t="s">
        <v>88</v>
      </c>
      <c r="H6514" t="s">
        <v>92</v>
      </c>
    </row>
    <row r="6515" spans="1:8" x14ac:dyDescent="0.25">
      <c r="A6515" t="s">
        <v>263</v>
      </c>
      <c r="B6515" t="s">
        <v>1075</v>
      </c>
      <c r="C6515" t="s">
        <v>88</v>
      </c>
      <c r="D6515" t="s">
        <v>88</v>
      </c>
      <c r="E6515" t="s">
        <v>1596</v>
      </c>
      <c r="F6515" t="s">
        <v>88</v>
      </c>
      <c r="G6515" t="s">
        <v>88</v>
      </c>
      <c r="H6515" t="s">
        <v>92</v>
      </c>
    </row>
    <row r="6516" spans="1:8" x14ac:dyDescent="0.25">
      <c r="A6516" t="s">
        <v>263</v>
      </c>
      <c r="B6516" t="s">
        <v>714</v>
      </c>
      <c r="C6516" t="s">
        <v>88</v>
      </c>
      <c r="D6516" t="s">
        <v>88</v>
      </c>
      <c r="E6516" t="s">
        <v>1596</v>
      </c>
      <c r="F6516" t="s">
        <v>88</v>
      </c>
      <c r="G6516" t="s">
        <v>88</v>
      </c>
      <c r="H6516" t="s">
        <v>92</v>
      </c>
    </row>
    <row r="6517" spans="1:8" x14ac:dyDescent="0.25">
      <c r="A6517" t="s">
        <v>263</v>
      </c>
      <c r="B6517" t="s">
        <v>1074</v>
      </c>
      <c r="C6517" t="s">
        <v>88</v>
      </c>
      <c r="D6517" t="s">
        <v>88</v>
      </c>
      <c r="E6517" t="s">
        <v>1596</v>
      </c>
      <c r="F6517" t="s">
        <v>88</v>
      </c>
      <c r="G6517" t="s">
        <v>88</v>
      </c>
      <c r="H6517" t="s">
        <v>92</v>
      </c>
    </row>
    <row r="6518" spans="1:8" x14ac:dyDescent="0.25">
      <c r="A6518" t="s">
        <v>263</v>
      </c>
      <c r="B6518" t="s">
        <v>6217</v>
      </c>
      <c r="C6518" t="s">
        <v>88</v>
      </c>
      <c r="D6518" t="s">
        <v>6218</v>
      </c>
      <c r="E6518" t="s">
        <v>1978</v>
      </c>
      <c r="F6518" t="s">
        <v>88</v>
      </c>
      <c r="G6518" t="s">
        <v>88</v>
      </c>
      <c r="H6518" t="s">
        <v>92</v>
      </c>
    </row>
    <row r="6519" spans="1:8" x14ac:dyDescent="0.25">
      <c r="A6519" t="s">
        <v>263</v>
      </c>
      <c r="B6519" t="s">
        <v>1609</v>
      </c>
      <c r="C6519" t="s">
        <v>88</v>
      </c>
      <c r="D6519" t="s">
        <v>88</v>
      </c>
      <c r="E6519" t="s">
        <v>849</v>
      </c>
      <c r="F6519" t="s">
        <v>88</v>
      </c>
      <c r="G6519" t="s">
        <v>88</v>
      </c>
      <c r="H6519" t="s">
        <v>92</v>
      </c>
    </row>
    <row r="6520" spans="1:8" x14ac:dyDescent="0.25">
      <c r="A6520" t="s">
        <v>263</v>
      </c>
      <c r="B6520" t="s">
        <v>1611</v>
      </c>
      <c r="C6520" t="s">
        <v>88</v>
      </c>
      <c r="D6520" t="s">
        <v>88</v>
      </c>
      <c r="E6520" t="s">
        <v>849</v>
      </c>
      <c r="F6520" t="s">
        <v>88</v>
      </c>
      <c r="G6520" t="s">
        <v>88</v>
      </c>
      <c r="H6520" t="s">
        <v>92</v>
      </c>
    </row>
    <row r="6521" spans="1:8" x14ac:dyDescent="0.25">
      <c r="A6521" t="s">
        <v>263</v>
      </c>
      <c r="B6521" t="s">
        <v>6219</v>
      </c>
      <c r="C6521" t="s">
        <v>88</v>
      </c>
      <c r="D6521" t="s">
        <v>88</v>
      </c>
      <c r="E6521" t="s">
        <v>849</v>
      </c>
      <c r="F6521" t="s">
        <v>88</v>
      </c>
      <c r="G6521" t="s">
        <v>88</v>
      </c>
      <c r="H6521" t="s">
        <v>92</v>
      </c>
    </row>
    <row r="6522" spans="1:8" x14ac:dyDescent="0.25">
      <c r="A6522" t="s">
        <v>263</v>
      </c>
      <c r="B6522" t="s">
        <v>6220</v>
      </c>
      <c r="C6522" t="s">
        <v>88</v>
      </c>
      <c r="D6522" t="s">
        <v>88</v>
      </c>
      <c r="E6522" t="s">
        <v>849</v>
      </c>
      <c r="F6522" t="s">
        <v>88</v>
      </c>
      <c r="G6522" t="s">
        <v>88</v>
      </c>
      <c r="H6522" t="s">
        <v>92</v>
      </c>
    </row>
    <row r="6523" spans="1:8" x14ac:dyDescent="0.25">
      <c r="A6523" t="s">
        <v>263</v>
      </c>
      <c r="B6523" t="s">
        <v>2577</v>
      </c>
      <c r="C6523" t="s">
        <v>88</v>
      </c>
      <c r="D6523" t="s">
        <v>88</v>
      </c>
      <c r="E6523" t="s">
        <v>849</v>
      </c>
      <c r="F6523" t="s">
        <v>88</v>
      </c>
      <c r="G6523" t="s">
        <v>88</v>
      </c>
      <c r="H6523" t="s">
        <v>92</v>
      </c>
    </row>
    <row r="6524" spans="1:8" x14ac:dyDescent="0.25">
      <c r="A6524" t="s">
        <v>263</v>
      </c>
      <c r="B6524" t="s">
        <v>2573</v>
      </c>
      <c r="C6524" t="s">
        <v>88</v>
      </c>
      <c r="D6524" t="s">
        <v>88</v>
      </c>
      <c r="E6524" t="s">
        <v>849</v>
      </c>
      <c r="F6524" t="s">
        <v>88</v>
      </c>
      <c r="G6524" t="s">
        <v>88</v>
      </c>
      <c r="H6524" t="s">
        <v>92</v>
      </c>
    </row>
    <row r="6525" spans="1:8" x14ac:dyDescent="0.25">
      <c r="A6525" t="s">
        <v>263</v>
      </c>
      <c r="B6525" t="s">
        <v>2579</v>
      </c>
      <c r="C6525" t="s">
        <v>88</v>
      </c>
      <c r="D6525" t="s">
        <v>88</v>
      </c>
      <c r="E6525" t="s">
        <v>849</v>
      </c>
      <c r="F6525" t="s">
        <v>88</v>
      </c>
      <c r="G6525" t="s">
        <v>88</v>
      </c>
      <c r="H6525" t="s">
        <v>92</v>
      </c>
    </row>
    <row r="6526" spans="1:8" x14ac:dyDescent="0.25">
      <c r="A6526" t="s">
        <v>265</v>
      </c>
      <c r="B6526" t="s">
        <v>1789</v>
      </c>
      <c r="C6526" t="s">
        <v>88</v>
      </c>
      <c r="D6526" t="s">
        <v>6221</v>
      </c>
      <c r="E6526" t="s">
        <v>959</v>
      </c>
      <c r="F6526" t="s">
        <v>88</v>
      </c>
      <c r="G6526" t="s">
        <v>88</v>
      </c>
      <c r="H6526" t="s">
        <v>92</v>
      </c>
    </row>
    <row r="6527" spans="1:8" x14ac:dyDescent="0.25">
      <c r="A6527" t="s">
        <v>265</v>
      </c>
      <c r="B6527" t="s">
        <v>1783</v>
      </c>
      <c r="C6527" t="s">
        <v>88</v>
      </c>
      <c r="D6527" t="s">
        <v>6221</v>
      </c>
      <c r="E6527" t="s">
        <v>679</v>
      </c>
      <c r="F6527" t="s">
        <v>88</v>
      </c>
      <c r="G6527" t="s">
        <v>88</v>
      </c>
      <c r="H6527" t="s">
        <v>92</v>
      </c>
    </row>
    <row r="6528" spans="1:8" x14ac:dyDescent="0.25">
      <c r="A6528" t="s">
        <v>265</v>
      </c>
      <c r="B6528" t="s">
        <v>3271</v>
      </c>
      <c r="C6528" t="s">
        <v>88</v>
      </c>
      <c r="D6528" t="s">
        <v>3272</v>
      </c>
      <c r="E6528" t="s">
        <v>663</v>
      </c>
      <c r="F6528" t="s">
        <v>88</v>
      </c>
      <c r="G6528" t="s">
        <v>88</v>
      </c>
      <c r="H6528" t="s">
        <v>92</v>
      </c>
    </row>
    <row r="6529" spans="1:8" x14ac:dyDescent="0.25">
      <c r="A6529" t="s">
        <v>265</v>
      </c>
      <c r="B6529" t="s">
        <v>1783</v>
      </c>
      <c r="C6529" t="s">
        <v>88</v>
      </c>
      <c r="D6529" t="s">
        <v>6221</v>
      </c>
      <c r="E6529" t="s">
        <v>679</v>
      </c>
      <c r="F6529" t="s">
        <v>88</v>
      </c>
      <c r="G6529" t="s">
        <v>88</v>
      </c>
      <c r="H6529" t="s">
        <v>92</v>
      </c>
    </row>
    <row r="6530" spans="1:8" x14ac:dyDescent="0.25">
      <c r="A6530" t="s">
        <v>265</v>
      </c>
      <c r="B6530" t="s">
        <v>1789</v>
      </c>
      <c r="C6530" t="s">
        <v>88</v>
      </c>
      <c r="D6530" t="s">
        <v>6221</v>
      </c>
      <c r="E6530" t="s">
        <v>959</v>
      </c>
      <c r="F6530" t="s">
        <v>88</v>
      </c>
      <c r="G6530" t="s">
        <v>88</v>
      </c>
      <c r="H6530" t="s">
        <v>92</v>
      </c>
    </row>
    <row r="6531" spans="1:8" x14ac:dyDescent="0.25">
      <c r="A6531" t="s">
        <v>265</v>
      </c>
      <c r="B6531" t="s">
        <v>3271</v>
      </c>
      <c r="C6531" t="s">
        <v>88</v>
      </c>
      <c r="D6531" t="s">
        <v>3272</v>
      </c>
      <c r="E6531" t="s">
        <v>663</v>
      </c>
      <c r="F6531" t="s">
        <v>88</v>
      </c>
      <c r="G6531" t="s">
        <v>88</v>
      </c>
      <c r="H6531" t="s">
        <v>92</v>
      </c>
    </row>
    <row r="6532" spans="1:8" x14ac:dyDescent="0.25">
      <c r="A6532" t="s">
        <v>265</v>
      </c>
      <c r="B6532" t="s">
        <v>701</v>
      </c>
      <c r="C6532" t="s">
        <v>88</v>
      </c>
      <c r="D6532" t="s">
        <v>88</v>
      </c>
      <c r="E6532" t="s">
        <v>709</v>
      </c>
      <c r="F6532" t="s">
        <v>88</v>
      </c>
      <c r="G6532" t="s">
        <v>88</v>
      </c>
      <c r="H6532" t="s">
        <v>92</v>
      </c>
    </row>
    <row r="6533" spans="1:8" x14ac:dyDescent="0.25">
      <c r="A6533" t="s">
        <v>265</v>
      </c>
      <c r="B6533" t="s">
        <v>705</v>
      </c>
      <c r="C6533" t="s">
        <v>88</v>
      </c>
      <c r="D6533" t="s">
        <v>88</v>
      </c>
      <c r="E6533" t="s">
        <v>709</v>
      </c>
      <c r="F6533" t="s">
        <v>88</v>
      </c>
      <c r="G6533" t="s">
        <v>88</v>
      </c>
      <c r="H6533" t="s">
        <v>92</v>
      </c>
    </row>
    <row r="6534" spans="1:8" x14ac:dyDescent="0.25">
      <c r="A6534" t="s">
        <v>265</v>
      </c>
      <c r="B6534" t="s">
        <v>706</v>
      </c>
      <c r="C6534" t="s">
        <v>88</v>
      </c>
      <c r="D6534" t="s">
        <v>88</v>
      </c>
      <c r="E6534" t="s">
        <v>709</v>
      </c>
      <c r="F6534" t="s">
        <v>88</v>
      </c>
      <c r="G6534" t="s">
        <v>88</v>
      </c>
      <c r="H6534" t="s">
        <v>92</v>
      </c>
    </row>
    <row r="6535" spans="1:8" x14ac:dyDescent="0.25">
      <c r="A6535" t="s">
        <v>265</v>
      </c>
      <c r="B6535" t="s">
        <v>707</v>
      </c>
      <c r="C6535" t="s">
        <v>88</v>
      </c>
      <c r="D6535" t="s">
        <v>88</v>
      </c>
      <c r="E6535" t="s">
        <v>709</v>
      </c>
      <c r="F6535" t="s">
        <v>88</v>
      </c>
      <c r="G6535" t="s">
        <v>88</v>
      </c>
      <c r="H6535" t="s">
        <v>92</v>
      </c>
    </row>
    <row r="6536" spans="1:8" x14ac:dyDescent="0.25">
      <c r="A6536" t="s">
        <v>265</v>
      </c>
      <c r="B6536" t="s">
        <v>708</v>
      </c>
      <c r="C6536" t="s">
        <v>88</v>
      </c>
      <c r="D6536" t="s">
        <v>88</v>
      </c>
      <c r="E6536" t="s">
        <v>709</v>
      </c>
      <c r="F6536" t="s">
        <v>88</v>
      </c>
      <c r="G6536" t="s">
        <v>88</v>
      </c>
      <c r="H6536" t="s">
        <v>92</v>
      </c>
    </row>
    <row r="6537" spans="1:8" x14ac:dyDescent="0.25">
      <c r="A6537" t="s">
        <v>265</v>
      </c>
      <c r="B6537" t="s">
        <v>846</v>
      </c>
      <c r="C6537" t="s">
        <v>88</v>
      </c>
      <c r="D6537" t="s">
        <v>88</v>
      </c>
      <c r="E6537" t="s">
        <v>711</v>
      </c>
      <c r="F6537" t="s">
        <v>88</v>
      </c>
      <c r="G6537" t="s">
        <v>88</v>
      </c>
      <c r="H6537" t="s">
        <v>92</v>
      </c>
    </row>
    <row r="6538" spans="1:8" x14ac:dyDescent="0.25">
      <c r="A6538" t="s">
        <v>265</v>
      </c>
      <c r="B6538" t="s">
        <v>795</v>
      </c>
      <c r="C6538" t="s">
        <v>88</v>
      </c>
      <c r="D6538" t="s">
        <v>88</v>
      </c>
      <c r="E6538" t="s">
        <v>735</v>
      </c>
      <c r="F6538" t="s">
        <v>88</v>
      </c>
      <c r="G6538" t="s">
        <v>88</v>
      </c>
      <c r="H6538" t="s">
        <v>92</v>
      </c>
    </row>
    <row r="6539" spans="1:8" x14ac:dyDescent="0.25">
      <c r="A6539" t="s">
        <v>265</v>
      </c>
      <c r="B6539" t="s">
        <v>620</v>
      </c>
      <c r="C6539" t="s">
        <v>88</v>
      </c>
      <c r="D6539" t="s">
        <v>88</v>
      </c>
      <c r="E6539" t="s">
        <v>711</v>
      </c>
      <c r="F6539" t="s">
        <v>88</v>
      </c>
      <c r="G6539" t="s">
        <v>88</v>
      </c>
      <c r="H6539" t="s">
        <v>92</v>
      </c>
    </row>
    <row r="6540" spans="1:8" x14ac:dyDescent="0.25">
      <c r="A6540" t="s">
        <v>265</v>
      </c>
      <c r="B6540" t="s">
        <v>622</v>
      </c>
      <c r="C6540" t="s">
        <v>88</v>
      </c>
      <c r="D6540" t="s">
        <v>88</v>
      </c>
      <c r="E6540" t="s">
        <v>711</v>
      </c>
      <c r="F6540" t="s">
        <v>88</v>
      </c>
      <c r="G6540" t="s">
        <v>88</v>
      </c>
      <c r="H6540" t="s">
        <v>92</v>
      </c>
    </row>
    <row r="6541" spans="1:8" x14ac:dyDescent="0.25">
      <c r="A6541" t="s">
        <v>265</v>
      </c>
      <c r="B6541" t="s">
        <v>623</v>
      </c>
      <c r="C6541" t="s">
        <v>88</v>
      </c>
      <c r="D6541" t="s">
        <v>88</v>
      </c>
      <c r="E6541" t="s">
        <v>849</v>
      </c>
      <c r="F6541" t="s">
        <v>88</v>
      </c>
      <c r="G6541" t="s">
        <v>88</v>
      </c>
      <c r="H6541" t="s">
        <v>92</v>
      </c>
    </row>
    <row r="6542" spans="1:8" x14ac:dyDescent="0.25">
      <c r="A6542" t="s">
        <v>265</v>
      </c>
      <c r="B6542" t="s">
        <v>714</v>
      </c>
      <c r="C6542" t="s">
        <v>88</v>
      </c>
      <c r="D6542" t="s">
        <v>88</v>
      </c>
      <c r="E6542" t="s">
        <v>702</v>
      </c>
      <c r="F6542" t="s">
        <v>88</v>
      </c>
      <c r="G6542" t="s">
        <v>88</v>
      </c>
      <c r="H6542" t="s">
        <v>92</v>
      </c>
    </row>
    <row r="6543" spans="1:8" x14ac:dyDescent="0.25">
      <c r="A6543" t="s">
        <v>265</v>
      </c>
      <c r="B6543" t="s">
        <v>998</v>
      </c>
      <c r="C6543" t="s">
        <v>88</v>
      </c>
      <c r="D6543" t="s">
        <v>88</v>
      </c>
      <c r="E6543" t="s">
        <v>702</v>
      </c>
      <c r="F6543" t="s">
        <v>88</v>
      </c>
      <c r="G6543" t="s">
        <v>88</v>
      </c>
      <c r="H6543" t="s">
        <v>92</v>
      </c>
    </row>
    <row r="6544" spans="1:8" x14ac:dyDescent="0.25">
      <c r="A6544" t="s">
        <v>265</v>
      </c>
      <c r="B6544" t="s">
        <v>625</v>
      </c>
      <c r="C6544" t="s">
        <v>88</v>
      </c>
      <c r="D6544" t="s">
        <v>88</v>
      </c>
      <c r="E6544" t="s">
        <v>626</v>
      </c>
      <c r="F6544" t="s">
        <v>88</v>
      </c>
      <c r="G6544" t="s">
        <v>88</v>
      </c>
      <c r="H6544" t="s">
        <v>92</v>
      </c>
    </row>
    <row r="6545" spans="1:8" x14ac:dyDescent="0.25">
      <c r="A6545" t="s">
        <v>266</v>
      </c>
      <c r="B6545" t="s">
        <v>876</v>
      </c>
      <c r="C6545" t="s">
        <v>88</v>
      </c>
      <c r="D6545" t="s">
        <v>6222</v>
      </c>
      <c r="E6545" t="s">
        <v>655</v>
      </c>
      <c r="F6545" t="s">
        <v>88</v>
      </c>
      <c r="G6545" t="s">
        <v>88</v>
      </c>
      <c r="H6545" t="s">
        <v>92</v>
      </c>
    </row>
    <row r="6546" spans="1:8" x14ac:dyDescent="0.25">
      <c r="A6546" t="s">
        <v>266</v>
      </c>
      <c r="B6546" t="s">
        <v>6223</v>
      </c>
      <c r="C6546" t="s">
        <v>88</v>
      </c>
      <c r="D6546" t="s">
        <v>6224</v>
      </c>
      <c r="E6546" t="s">
        <v>679</v>
      </c>
      <c r="F6546" t="s">
        <v>88</v>
      </c>
      <c r="G6546" t="s">
        <v>88</v>
      </c>
      <c r="H6546" t="s">
        <v>92</v>
      </c>
    </row>
    <row r="6547" spans="1:8" x14ac:dyDescent="0.25">
      <c r="A6547" t="s">
        <v>266</v>
      </c>
      <c r="B6547" t="s">
        <v>881</v>
      </c>
      <c r="C6547" t="s">
        <v>88</v>
      </c>
      <c r="D6547" t="s">
        <v>6222</v>
      </c>
      <c r="E6547" t="s">
        <v>655</v>
      </c>
      <c r="F6547" t="s">
        <v>88</v>
      </c>
      <c r="G6547" t="s">
        <v>88</v>
      </c>
      <c r="H6547" t="s">
        <v>92</v>
      </c>
    </row>
    <row r="6548" spans="1:8" x14ac:dyDescent="0.25">
      <c r="A6548" t="s">
        <v>266</v>
      </c>
      <c r="B6548" t="s">
        <v>898</v>
      </c>
      <c r="C6548" t="s">
        <v>88</v>
      </c>
      <c r="D6548" t="s">
        <v>6222</v>
      </c>
      <c r="E6548" t="s">
        <v>655</v>
      </c>
      <c r="F6548" t="s">
        <v>88</v>
      </c>
      <c r="G6548" t="s">
        <v>88</v>
      </c>
      <c r="H6548" t="s">
        <v>92</v>
      </c>
    </row>
    <row r="6549" spans="1:8" x14ac:dyDescent="0.25">
      <c r="A6549" t="s">
        <v>266</v>
      </c>
      <c r="B6549" t="s">
        <v>6225</v>
      </c>
      <c r="C6549" t="s">
        <v>88</v>
      </c>
      <c r="D6549" t="s">
        <v>6222</v>
      </c>
      <c r="E6549" t="s">
        <v>717</v>
      </c>
      <c r="F6549" t="s">
        <v>88</v>
      </c>
      <c r="G6549" t="s">
        <v>88</v>
      </c>
      <c r="H6549" t="s">
        <v>92</v>
      </c>
    </row>
    <row r="6550" spans="1:8" x14ac:dyDescent="0.25">
      <c r="A6550" t="s">
        <v>266</v>
      </c>
      <c r="B6550" t="s">
        <v>764</v>
      </c>
      <c r="C6550" t="s">
        <v>88</v>
      </c>
      <c r="D6550" t="s">
        <v>6222</v>
      </c>
      <c r="E6550" t="s">
        <v>762</v>
      </c>
      <c r="F6550" t="s">
        <v>88</v>
      </c>
      <c r="G6550" t="s">
        <v>88</v>
      </c>
      <c r="H6550" t="s">
        <v>92</v>
      </c>
    </row>
    <row r="6551" spans="1:8" x14ac:dyDescent="0.25">
      <c r="A6551" t="s">
        <v>266</v>
      </c>
      <c r="B6551" t="s">
        <v>743</v>
      </c>
      <c r="C6551" t="s">
        <v>88</v>
      </c>
      <c r="D6551" t="s">
        <v>6222</v>
      </c>
      <c r="E6551" t="s">
        <v>717</v>
      </c>
      <c r="F6551" t="s">
        <v>88</v>
      </c>
      <c r="G6551" t="s">
        <v>88</v>
      </c>
      <c r="H6551" t="s">
        <v>92</v>
      </c>
    </row>
    <row r="6552" spans="1:8" x14ac:dyDescent="0.25">
      <c r="A6552" t="s">
        <v>266</v>
      </c>
      <c r="B6552" t="s">
        <v>769</v>
      </c>
      <c r="C6552" t="s">
        <v>88</v>
      </c>
      <c r="D6552" t="s">
        <v>6226</v>
      </c>
      <c r="E6552" t="s">
        <v>841</v>
      </c>
      <c r="F6552" t="s">
        <v>88</v>
      </c>
      <c r="G6552" t="s">
        <v>88</v>
      </c>
      <c r="H6552" t="s">
        <v>92</v>
      </c>
    </row>
    <row r="6553" spans="1:8" x14ac:dyDescent="0.25">
      <c r="A6553" t="s">
        <v>266</v>
      </c>
      <c r="B6553" t="s">
        <v>3203</v>
      </c>
      <c r="C6553" t="s">
        <v>88</v>
      </c>
      <c r="D6553" t="s">
        <v>6224</v>
      </c>
      <c r="E6553" t="s">
        <v>780</v>
      </c>
      <c r="F6553" t="s">
        <v>88</v>
      </c>
      <c r="G6553" t="s">
        <v>88</v>
      </c>
      <c r="H6553" t="s">
        <v>92</v>
      </c>
    </row>
    <row r="6554" spans="1:8" x14ac:dyDescent="0.25">
      <c r="A6554" t="s">
        <v>266</v>
      </c>
      <c r="B6554" t="s">
        <v>612</v>
      </c>
      <c r="C6554" t="s">
        <v>88</v>
      </c>
      <c r="D6554" t="s">
        <v>88</v>
      </c>
      <c r="E6554" t="s">
        <v>709</v>
      </c>
      <c r="F6554" t="s">
        <v>88</v>
      </c>
      <c r="G6554" t="s">
        <v>88</v>
      </c>
      <c r="H6554" t="s">
        <v>92</v>
      </c>
    </row>
    <row r="6555" spans="1:8" x14ac:dyDescent="0.25">
      <c r="A6555" t="s">
        <v>266</v>
      </c>
      <c r="B6555" t="s">
        <v>651</v>
      </c>
      <c r="C6555" t="s">
        <v>88</v>
      </c>
      <c r="D6555" t="s">
        <v>88</v>
      </c>
      <c r="E6555" t="s">
        <v>709</v>
      </c>
      <c r="F6555" t="s">
        <v>88</v>
      </c>
      <c r="G6555" t="s">
        <v>88</v>
      </c>
      <c r="H6555" t="s">
        <v>92</v>
      </c>
    </row>
    <row r="6556" spans="1:8" x14ac:dyDescent="0.25">
      <c r="A6556" t="s">
        <v>266</v>
      </c>
      <c r="B6556" t="s">
        <v>614</v>
      </c>
      <c r="C6556" t="s">
        <v>88</v>
      </c>
      <c r="D6556" t="s">
        <v>88</v>
      </c>
      <c r="E6556" t="s">
        <v>709</v>
      </c>
      <c r="F6556" t="s">
        <v>88</v>
      </c>
      <c r="G6556" t="s">
        <v>88</v>
      </c>
      <c r="H6556" t="s">
        <v>92</v>
      </c>
    </row>
    <row r="6557" spans="1:8" x14ac:dyDescent="0.25">
      <c r="A6557" t="s">
        <v>266</v>
      </c>
      <c r="B6557" t="s">
        <v>615</v>
      </c>
      <c r="C6557" t="s">
        <v>88</v>
      </c>
      <c r="D6557" t="s">
        <v>88</v>
      </c>
      <c r="E6557" t="s">
        <v>709</v>
      </c>
      <c r="F6557" t="s">
        <v>88</v>
      </c>
      <c r="G6557" t="s">
        <v>88</v>
      </c>
      <c r="H6557" t="s">
        <v>92</v>
      </c>
    </row>
    <row r="6558" spans="1:8" x14ac:dyDescent="0.25">
      <c r="A6558" t="s">
        <v>266</v>
      </c>
      <c r="B6558" t="s">
        <v>622</v>
      </c>
      <c r="C6558" t="s">
        <v>88</v>
      </c>
      <c r="D6558" t="s">
        <v>88</v>
      </c>
      <c r="E6558" t="s">
        <v>711</v>
      </c>
      <c r="F6558" t="s">
        <v>88</v>
      </c>
      <c r="G6558" t="s">
        <v>88</v>
      </c>
      <c r="H6558" t="s">
        <v>92</v>
      </c>
    </row>
    <row r="6559" spans="1:8" x14ac:dyDescent="0.25">
      <c r="A6559" t="s">
        <v>266</v>
      </c>
      <c r="B6559" t="s">
        <v>623</v>
      </c>
      <c r="C6559" t="s">
        <v>88</v>
      </c>
      <c r="D6559" t="s">
        <v>88</v>
      </c>
      <c r="E6559" t="s">
        <v>735</v>
      </c>
      <c r="F6559" t="s">
        <v>88</v>
      </c>
      <c r="G6559" t="s">
        <v>88</v>
      </c>
      <c r="H6559" t="s">
        <v>92</v>
      </c>
    </row>
    <row r="6560" spans="1:8" x14ac:dyDescent="0.25">
      <c r="A6560" t="s">
        <v>266</v>
      </c>
      <c r="B6560" t="s">
        <v>798</v>
      </c>
      <c r="C6560" t="s">
        <v>88</v>
      </c>
      <c r="D6560" t="s">
        <v>88</v>
      </c>
      <c r="E6560" t="s">
        <v>799</v>
      </c>
      <c r="F6560" t="s">
        <v>88</v>
      </c>
      <c r="G6560" t="s">
        <v>88</v>
      </c>
      <c r="H6560" t="s">
        <v>92</v>
      </c>
    </row>
    <row r="6561" spans="1:8" x14ac:dyDescent="0.25">
      <c r="A6561" t="s">
        <v>266</v>
      </c>
      <c r="B6561" t="s">
        <v>1906</v>
      </c>
      <c r="C6561" t="s">
        <v>88</v>
      </c>
      <c r="D6561" t="s">
        <v>88</v>
      </c>
      <c r="E6561" t="s">
        <v>799</v>
      </c>
      <c r="F6561" t="s">
        <v>88</v>
      </c>
      <c r="G6561" t="s">
        <v>88</v>
      </c>
      <c r="H6561" t="s">
        <v>92</v>
      </c>
    </row>
    <row r="6562" spans="1:8" x14ac:dyDescent="0.25">
      <c r="A6562" t="s">
        <v>266</v>
      </c>
      <c r="B6562" t="s">
        <v>1907</v>
      </c>
      <c r="C6562" t="s">
        <v>88</v>
      </c>
      <c r="D6562" t="s">
        <v>88</v>
      </c>
      <c r="E6562" t="s">
        <v>799</v>
      </c>
      <c r="F6562" t="s">
        <v>88</v>
      </c>
      <c r="G6562" t="s">
        <v>88</v>
      </c>
      <c r="H6562" t="s">
        <v>92</v>
      </c>
    </row>
    <row r="6563" spans="1:8" x14ac:dyDescent="0.25">
      <c r="A6563" t="s">
        <v>266</v>
      </c>
      <c r="B6563" t="s">
        <v>982</v>
      </c>
      <c r="C6563" t="s">
        <v>88</v>
      </c>
      <c r="D6563" t="s">
        <v>88</v>
      </c>
      <c r="E6563" t="s">
        <v>799</v>
      </c>
      <c r="F6563" t="s">
        <v>88</v>
      </c>
      <c r="G6563" t="s">
        <v>88</v>
      </c>
      <c r="H6563" t="s">
        <v>92</v>
      </c>
    </row>
    <row r="6564" spans="1:8" x14ac:dyDescent="0.25">
      <c r="A6564" t="s">
        <v>266</v>
      </c>
      <c r="B6564" t="s">
        <v>851</v>
      </c>
      <c r="C6564" t="s">
        <v>88</v>
      </c>
      <c r="D6564" t="s">
        <v>88</v>
      </c>
      <c r="E6564" t="s">
        <v>791</v>
      </c>
      <c r="F6564" t="s">
        <v>88</v>
      </c>
      <c r="G6564" t="s">
        <v>88</v>
      </c>
      <c r="H6564" t="s">
        <v>92</v>
      </c>
    </row>
    <row r="6565" spans="1:8" x14ac:dyDescent="0.25">
      <c r="A6565" t="s">
        <v>266</v>
      </c>
      <c r="B6565" t="s">
        <v>2417</v>
      </c>
      <c r="C6565" t="s">
        <v>88</v>
      </c>
      <c r="D6565" t="s">
        <v>6222</v>
      </c>
      <c r="E6565" t="s">
        <v>964</v>
      </c>
      <c r="F6565" t="s">
        <v>88</v>
      </c>
      <c r="G6565" t="s">
        <v>88</v>
      </c>
      <c r="H6565" t="s">
        <v>92</v>
      </c>
    </row>
    <row r="6566" spans="1:8" x14ac:dyDescent="0.25">
      <c r="A6566" t="s">
        <v>266</v>
      </c>
      <c r="B6566" t="s">
        <v>1234</v>
      </c>
      <c r="C6566" t="s">
        <v>88</v>
      </c>
      <c r="D6566" t="s">
        <v>6222</v>
      </c>
      <c r="E6566" t="s">
        <v>964</v>
      </c>
      <c r="F6566" t="s">
        <v>88</v>
      </c>
      <c r="G6566" t="s">
        <v>88</v>
      </c>
      <c r="H6566" t="s">
        <v>92</v>
      </c>
    </row>
    <row r="6567" spans="1:8" x14ac:dyDescent="0.25">
      <c r="A6567" t="s">
        <v>266</v>
      </c>
      <c r="B6567" t="s">
        <v>1237</v>
      </c>
      <c r="C6567" t="s">
        <v>88</v>
      </c>
      <c r="D6567" t="s">
        <v>6222</v>
      </c>
      <c r="E6567" t="s">
        <v>841</v>
      </c>
      <c r="F6567" t="s">
        <v>88</v>
      </c>
      <c r="G6567" t="s">
        <v>88</v>
      </c>
      <c r="H6567" t="s">
        <v>92</v>
      </c>
    </row>
    <row r="6568" spans="1:8" x14ac:dyDescent="0.25">
      <c r="A6568" t="s">
        <v>266</v>
      </c>
      <c r="B6568" t="s">
        <v>6227</v>
      </c>
      <c r="C6568" t="s">
        <v>88</v>
      </c>
      <c r="D6568" t="s">
        <v>6228</v>
      </c>
      <c r="E6568" t="s">
        <v>841</v>
      </c>
      <c r="F6568" t="s">
        <v>88</v>
      </c>
      <c r="G6568" t="s">
        <v>88</v>
      </c>
      <c r="H6568" t="s">
        <v>92</v>
      </c>
    </row>
    <row r="6569" spans="1:8" x14ac:dyDescent="0.25">
      <c r="A6569" t="s">
        <v>266</v>
      </c>
      <c r="B6569" t="s">
        <v>6229</v>
      </c>
      <c r="C6569" t="s">
        <v>88</v>
      </c>
      <c r="D6569" t="s">
        <v>6222</v>
      </c>
      <c r="E6569" t="s">
        <v>1167</v>
      </c>
      <c r="F6569" t="s">
        <v>88</v>
      </c>
      <c r="G6569" t="s">
        <v>88</v>
      </c>
      <c r="H6569" t="s">
        <v>92</v>
      </c>
    </row>
    <row r="6570" spans="1:8" x14ac:dyDescent="0.25">
      <c r="A6570" t="s">
        <v>266</v>
      </c>
      <c r="B6570" t="s">
        <v>6230</v>
      </c>
      <c r="C6570" t="s">
        <v>88</v>
      </c>
      <c r="D6570" t="s">
        <v>6222</v>
      </c>
      <c r="E6570" t="s">
        <v>1167</v>
      </c>
      <c r="F6570" t="s">
        <v>88</v>
      </c>
      <c r="G6570" t="s">
        <v>88</v>
      </c>
      <c r="H6570" t="s">
        <v>92</v>
      </c>
    </row>
    <row r="6571" spans="1:8" x14ac:dyDescent="0.25">
      <c r="A6571" t="s">
        <v>266</v>
      </c>
      <c r="B6571" t="s">
        <v>6016</v>
      </c>
      <c r="C6571" t="s">
        <v>88</v>
      </c>
      <c r="D6571" t="s">
        <v>6222</v>
      </c>
      <c r="E6571" t="s">
        <v>807</v>
      </c>
      <c r="F6571" t="s">
        <v>88</v>
      </c>
      <c r="G6571" t="s">
        <v>88</v>
      </c>
      <c r="H6571" t="s">
        <v>92</v>
      </c>
    </row>
    <row r="6572" spans="1:8" x14ac:dyDescent="0.25">
      <c r="A6572" t="s">
        <v>266</v>
      </c>
      <c r="B6572" t="s">
        <v>4129</v>
      </c>
      <c r="C6572" t="s">
        <v>88</v>
      </c>
      <c r="D6572" t="s">
        <v>6231</v>
      </c>
      <c r="E6572" t="s">
        <v>841</v>
      </c>
      <c r="F6572" t="s">
        <v>88</v>
      </c>
      <c r="G6572" t="s">
        <v>88</v>
      </c>
      <c r="H6572" t="s">
        <v>92</v>
      </c>
    </row>
    <row r="6573" spans="1:8" x14ac:dyDescent="0.25">
      <c r="A6573" t="s">
        <v>266</v>
      </c>
      <c r="B6573" t="s">
        <v>1188</v>
      </c>
      <c r="C6573" t="s">
        <v>88</v>
      </c>
      <c r="D6573" t="s">
        <v>6231</v>
      </c>
      <c r="E6573" t="s">
        <v>1714</v>
      </c>
      <c r="F6573" t="s">
        <v>88</v>
      </c>
      <c r="G6573" t="s">
        <v>88</v>
      </c>
      <c r="H6573" t="s">
        <v>92</v>
      </c>
    </row>
    <row r="6574" spans="1:8" x14ac:dyDescent="0.25">
      <c r="A6574" t="s">
        <v>266</v>
      </c>
      <c r="B6574" t="s">
        <v>4132</v>
      </c>
      <c r="C6574" t="s">
        <v>88</v>
      </c>
      <c r="D6574" t="s">
        <v>6231</v>
      </c>
      <c r="E6574" t="s">
        <v>841</v>
      </c>
      <c r="F6574" t="s">
        <v>88</v>
      </c>
      <c r="G6574" t="s">
        <v>88</v>
      </c>
      <c r="H6574" t="s">
        <v>92</v>
      </c>
    </row>
    <row r="6575" spans="1:8" x14ac:dyDescent="0.25">
      <c r="A6575" t="s">
        <v>266</v>
      </c>
      <c r="B6575" t="s">
        <v>625</v>
      </c>
      <c r="C6575" t="s">
        <v>88</v>
      </c>
      <c r="D6575" t="s">
        <v>88</v>
      </c>
      <c r="E6575" t="s">
        <v>626</v>
      </c>
      <c r="F6575" t="s">
        <v>88</v>
      </c>
      <c r="G6575" t="s">
        <v>88</v>
      </c>
      <c r="H6575" t="s">
        <v>92</v>
      </c>
    </row>
    <row r="6576" spans="1:8" x14ac:dyDescent="0.25">
      <c r="A6576" t="s">
        <v>267</v>
      </c>
      <c r="B6576" t="s">
        <v>1780</v>
      </c>
      <c r="C6576" t="s">
        <v>88</v>
      </c>
      <c r="D6576" t="s">
        <v>6232</v>
      </c>
      <c r="E6576" t="s">
        <v>715</v>
      </c>
      <c r="F6576" t="s">
        <v>88</v>
      </c>
      <c r="G6576" t="s">
        <v>88</v>
      </c>
      <c r="H6576" t="s">
        <v>92</v>
      </c>
    </row>
    <row r="6577" spans="1:8" x14ac:dyDescent="0.25">
      <c r="A6577" t="s">
        <v>267</v>
      </c>
      <c r="B6577" t="s">
        <v>769</v>
      </c>
      <c r="C6577" t="s">
        <v>88</v>
      </c>
      <c r="D6577" t="s">
        <v>6233</v>
      </c>
      <c r="E6577" t="s">
        <v>964</v>
      </c>
      <c r="F6577" t="s">
        <v>88</v>
      </c>
      <c r="G6577" t="s">
        <v>88</v>
      </c>
      <c r="H6577" t="s">
        <v>92</v>
      </c>
    </row>
    <row r="6578" spans="1:8" x14ac:dyDescent="0.25">
      <c r="A6578" t="s">
        <v>267</v>
      </c>
      <c r="B6578" t="s">
        <v>736</v>
      </c>
      <c r="C6578" t="s">
        <v>88</v>
      </c>
      <c r="D6578" t="s">
        <v>6234</v>
      </c>
      <c r="E6578" t="s">
        <v>723</v>
      </c>
      <c r="F6578" t="s">
        <v>88</v>
      </c>
      <c r="G6578" t="s">
        <v>88</v>
      </c>
      <c r="H6578" t="s">
        <v>92</v>
      </c>
    </row>
    <row r="6579" spans="1:8" x14ac:dyDescent="0.25">
      <c r="A6579" t="s">
        <v>267</v>
      </c>
      <c r="B6579" t="s">
        <v>876</v>
      </c>
      <c r="C6579" t="s">
        <v>88</v>
      </c>
      <c r="D6579" t="s">
        <v>6235</v>
      </c>
      <c r="E6579" t="s">
        <v>1241</v>
      </c>
      <c r="F6579" t="s">
        <v>88</v>
      </c>
      <c r="G6579" t="s">
        <v>88</v>
      </c>
      <c r="H6579" t="s">
        <v>92</v>
      </c>
    </row>
    <row r="6580" spans="1:8" x14ac:dyDescent="0.25">
      <c r="A6580" t="s">
        <v>267</v>
      </c>
      <c r="B6580" t="s">
        <v>6236</v>
      </c>
      <c r="C6580" t="s">
        <v>88</v>
      </c>
      <c r="D6580" t="s">
        <v>6232</v>
      </c>
      <c r="E6580" t="s">
        <v>748</v>
      </c>
      <c r="F6580" t="s">
        <v>88</v>
      </c>
      <c r="G6580" t="s">
        <v>88</v>
      </c>
      <c r="H6580" t="s">
        <v>92</v>
      </c>
    </row>
    <row r="6581" spans="1:8" x14ac:dyDescent="0.25">
      <c r="A6581" t="s">
        <v>267</v>
      </c>
      <c r="B6581" t="s">
        <v>6236</v>
      </c>
      <c r="C6581" t="s">
        <v>88</v>
      </c>
      <c r="D6581" t="s">
        <v>6232</v>
      </c>
      <c r="E6581" t="s">
        <v>748</v>
      </c>
      <c r="F6581" t="s">
        <v>88</v>
      </c>
      <c r="G6581" t="s">
        <v>88</v>
      </c>
      <c r="H6581" t="s">
        <v>92</v>
      </c>
    </row>
    <row r="6582" spans="1:8" x14ac:dyDescent="0.25">
      <c r="A6582" t="s">
        <v>267</v>
      </c>
      <c r="B6582" t="s">
        <v>1780</v>
      </c>
      <c r="C6582" t="s">
        <v>88</v>
      </c>
      <c r="D6582" t="s">
        <v>6232</v>
      </c>
      <c r="E6582" t="s">
        <v>715</v>
      </c>
      <c r="F6582" t="s">
        <v>88</v>
      </c>
      <c r="G6582" t="s">
        <v>88</v>
      </c>
      <c r="H6582" t="s">
        <v>92</v>
      </c>
    </row>
    <row r="6583" spans="1:8" x14ac:dyDescent="0.25">
      <c r="A6583" t="s">
        <v>267</v>
      </c>
      <c r="B6583" t="s">
        <v>6237</v>
      </c>
      <c r="C6583" t="s">
        <v>88</v>
      </c>
      <c r="D6583" t="s">
        <v>6238</v>
      </c>
      <c r="E6583" t="s">
        <v>1006</v>
      </c>
      <c r="F6583" t="s">
        <v>88</v>
      </c>
      <c r="G6583" t="s">
        <v>88</v>
      </c>
      <c r="H6583" t="s">
        <v>92</v>
      </c>
    </row>
    <row r="6584" spans="1:8" x14ac:dyDescent="0.25">
      <c r="A6584" t="s">
        <v>267</v>
      </c>
      <c r="B6584" t="s">
        <v>876</v>
      </c>
      <c r="C6584" t="s">
        <v>88</v>
      </c>
      <c r="D6584" t="s">
        <v>6235</v>
      </c>
      <c r="E6584" t="s">
        <v>1241</v>
      </c>
      <c r="F6584" t="s">
        <v>88</v>
      </c>
      <c r="G6584" t="s">
        <v>88</v>
      </c>
      <c r="H6584" t="s">
        <v>92</v>
      </c>
    </row>
    <row r="6585" spans="1:8" x14ac:dyDescent="0.25">
      <c r="A6585" t="s">
        <v>267</v>
      </c>
      <c r="B6585" t="s">
        <v>2389</v>
      </c>
      <c r="C6585" t="s">
        <v>88</v>
      </c>
      <c r="D6585" t="s">
        <v>6238</v>
      </c>
      <c r="E6585" t="s">
        <v>844</v>
      </c>
      <c r="F6585" t="s">
        <v>88</v>
      </c>
      <c r="G6585" t="s">
        <v>88</v>
      </c>
      <c r="H6585" t="s">
        <v>92</v>
      </c>
    </row>
    <row r="6586" spans="1:8" x14ac:dyDescent="0.25">
      <c r="A6586" t="s">
        <v>267</v>
      </c>
      <c r="B6586" t="s">
        <v>881</v>
      </c>
      <c r="C6586" t="s">
        <v>88</v>
      </c>
      <c r="D6586" t="s">
        <v>6235</v>
      </c>
      <c r="E6586" t="s">
        <v>893</v>
      </c>
      <c r="F6586" t="s">
        <v>88</v>
      </c>
      <c r="G6586" t="s">
        <v>88</v>
      </c>
      <c r="H6586" t="s">
        <v>92</v>
      </c>
    </row>
    <row r="6587" spans="1:8" x14ac:dyDescent="0.25">
      <c r="A6587" t="s">
        <v>267</v>
      </c>
      <c r="B6587" t="s">
        <v>2393</v>
      </c>
      <c r="C6587" t="s">
        <v>88</v>
      </c>
      <c r="D6587" t="s">
        <v>6235</v>
      </c>
      <c r="E6587" t="s">
        <v>1353</v>
      </c>
      <c r="F6587" t="s">
        <v>88</v>
      </c>
      <c r="G6587" t="s">
        <v>88</v>
      </c>
      <c r="H6587" t="s">
        <v>92</v>
      </c>
    </row>
    <row r="6588" spans="1:8" x14ac:dyDescent="0.25">
      <c r="A6588" t="s">
        <v>267</v>
      </c>
      <c r="B6588" t="s">
        <v>898</v>
      </c>
      <c r="C6588" t="s">
        <v>88</v>
      </c>
      <c r="D6588" t="s">
        <v>6235</v>
      </c>
      <c r="E6588" t="s">
        <v>1353</v>
      </c>
      <c r="F6588" t="s">
        <v>88</v>
      </c>
      <c r="G6588" t="s">
        <v>88</v>
      </c>
      <c r="H6588" t="s">
        <v>92</v>
      </c>
    </row>
    <row r="6589" spans="1:8" x14ac:dyDescent="0.25">
      <c r="A6589" t="s">
        <v>267</v>
      </c>
      <c r="B6589" t="s">
        <v>768</v>
      </c>
      <c r="C6589" t="s">
        <v>88</v>
      </c>
      <c r="D6589" t="s">
        <v>6235</v>
      </c>
      <c r="E6589" t="s">
        <v>1241</v>
      </c>
      <c r="F6589" t="s">
        <v>88</v>
      </c>
      <c r="G6589" t="s">
        <v>88</v>
      </c>
      <c r="H6589" t="s">
        <v>92</v>
      </c>
    </row>
    <row r="6590" spans="1:8" x14ac:dyDescent="0.25">
      <c r="A6590" t="s">
        <v>267</v>
      </c>
      <c r="B6590" t="s">
        <v>1673</v>
      </c>
      <c r="C6590" t="s">
        <v>88</v>
      </c>
      <c r="D6590" t="s">
        <v>6235</v>
      </c>
      <c r="E6590" t="s">
        <v>883</v>
      </c>
      <c r="F6590" t="s">
        <v>88</v>
      </c>
      <c r="G6590" t="s">
        <v>88</v>
      </c>
      <c r="H6590" t="s">
        <v>92</v>
      </c>
    </row>
    <row r="6591" spans="1:8" x14ac:dyDescent="0.25">
      <c r="A6591" t="s">
        <v>267</v>
      </c>
      <c r="B6591" t="s">
        <v>4982</v>
      </c>
      <c r="C6591" t="s">
        <v>88</v>
      </c>
      <c r="D6591" t="s">
        <v>6235</v>
      </c>
      <c r="E6591" t="s">
        <v>883</v>
      </c>
      <c r="F6591" t="s">
        <v>88</v>
      </c>
      <c r="G6591" t="s">
        <v>88</v>
      </c>
      <c r="H6591" t="s">
        <v>92</v>
      </c>
    </row>
    <row r="6592" spans="1:8" x14ac:dyDescent="0.25">
      <c r="A6592" t="s">
        <v>267</v>
      </c>
      <c r="B6592" t="s">
        <v>1682</v>
      </c>
      <c r="C6592" t="s">
        <v>88</v>
      </c>
      <c r="D6592" t="s">
        <v>6235</v>
      </c>
      <c r="E6592" t="s">
        <v>883</v>
      </c>
      <c r="F6592" t="s">
        <v>88</v>
      </c>
      <c r="G6592" t="s">
        <v>88</v>
      </c>
      <c r="H6592" t="s">
        <v>92</v>
      </c>
    </row>
    <row r="6593" spans="1:8" x14ac:dyDescent="0.25">
      <c r="A6593" t="s">
        <v>267</v>
      </c>
      <c r="B6593" t="s">
        <v>769</v>
      </c>
      <c r="C6593" t="s">
        <v>88</v>
      </c>
      <c r="D6593" t="s">
        <v>6233</v>
      </c>
      <c r="E6593" t="s">
        <v>964</v>
      </c>
      <c r="F6593" t="s">
        <v>88</v>
      </c>
      <c r="G6593" t="s">
        <v>88</v>
      </c>
      <c r="H6593" t="s">
        <v>92</v>
      </c>
    </row>
    <row r="6594" spans="1:8" x14ac:dyDescent="0.25">
      <c r="A6594" t="s">
        <v>267</v>
      </c>
      <c r="B6594" t="s">
        <v>2387</v>
      </c>
      <c r="C6594" t="s">
        <v>88</v>
      </c>
      <c r="D6594" t="s">
        <v>6239</v>
      </c>
      <c r="E6594" t="s">
        <v>692</v>
      </c>
      <c r="F6594" t="s">
        <v>88</v>
      </c>
      <c r="G6594" t="s">
        <v>88</v>
      </c>
      <c r="H6594" t="s">
        <v>92</v>
      </c>
    </row>
    <row r="6595" spans="1:8" x14ac:dyDescent="0.25">
      <c r="A6595" t="s">
        <v>267</v>
      </c>
      <c r="B6595" t="s">
        <v>905</v>
      </c>
      <c r="C6595" t="s">
        <v>88</v>
      </c>
      <c r="D6595" t="s">
        <v>6240</v>
      </c>
      <c r="E6595" t="s">
        <v>760</v>
      </c>
      <c r="F6595" t="s">
        <v>88</v>
      </c>
      <c r="G6595" t="s">
        <v>88</v>
      </c>
      <c r="H6595" t="s">
        <v>92</v>
      </c>
    </row>
    <row r="6596" spans="1:8" x14ac:dyDescent="0.25">
      <c r="A6596" t="s">
        <v>267</v>
      </c>
      <c r="B6596" t="s">
        <v>907</v>
      </c>
      <c r="C6596" t="s">
        <v>88</v>
      </c>
      <c r="D6596" t="s">
        <v>6239</v>
      </c>
      <c r="E6596" t="s">
        <v>893</v>
      </c>
      <c r="F6596" t="s">
        <v>88</v>
      </c>
      <c r="G6596" t="s">
        <v>88</v>
      </c>
      <c r="H6596" t="s">
        <v>92</v>
      </c>
    </row>
    <row r="6597" spans="1:8" x14ac:dyDescent="0.25">
      <c r="A6597" t="s">
        <v>267</v>
      </c>
      <c r="B6597" t="s">
        <v>2391</v>
      </c>
      <c r="C6597" t="s">
        <v>88</v>
      </c>
      <c r="D6597" t="s">
        <v>6238</v>
      </c>
      <c r="E6597" t="s">
        <v>760</v>
      </c>
      <c r="F6597" t="s">
        <v>88</v>
      </c>
      <c r="G6597" t="s">
        <v>88</v>
      </c>
      <c r="H6597" t="s">
        <v>92</v>
      </c>
    </row>
    <row r="6598" spans="1:8" x14ac:dyDescent="0.25">
      <c r="A6598" t="s">
        <v>267</v>
      </c>
      <c r="B6598" t="s">
        <v>740</v>
      </c>
      <c r="C6598" t="s">
        <v>88</v>
      </c>
      <c r="D6598" t="s">
        <v>6235</v>
      </c>
      <c r="E6598" t="s">
        <v>883</v>
      </c>
      <c r="F6598" t="s">
        <v>88</v>
      </c>
      <c r="G6598" t="s">
        <v>88</v>
      </c>
      <c r="H6598" t="s">
        <v>92</v>
      </c>
    </row>
    <row r="6599" spans="1:8" x14ac:dyDescent="0.25">
      <c r="A6599" t="s">
        <v>267</v>
      </c>
      <c r="B6599" t="s">
        <v>3299</v>
      </c>
      <c r="C6599" t="s">
        <v>88</v>
      </c>
      <c r="D6599" t="s">
        <v>6240</v>
      </c>
      <c r="E6599" t="s">
        <v>893</v>
      </c>
      <c r="F6599" t="s">
        <v>88</v>
      </c>
      <c r="G6599" t="s">
        <v>88</v>
      </c>
      <c r="H6599" t="s">
        <v>92</v>
      </c>
    </row>
    <row r="6600" spans="1:8" x14ac:dyDescent="0.25">
      <c r="A6600" t="s">
        <v>267</v>
      </c>
      <c r="B6600" t="s">
        <v>763</v>
      </c>
      <c r="C6600" t="s">
        <v>88</v>
      </c>
      <c r="D6600" t="s">
        <v>6238</v>
      </c>
      <c r="E6600" t="s">
        <v>844</v>
      </c>
      <c r="F6600" t="s">
        <v>88</v>
      </c>
      <c r="G6600" t="s">
        <v>88</v>
      </c>
      <c r="H6600" t="s">
        <v>92</v>
      </c>
    </row>
    <row r="6601" spans="1:8" x14ac:dyDescent="0.25">
      <c r="A6601" t="s">
        <v>267</v>
      </c>
      <c r="B6601" t="s">
        <v>736</v>
      </c>
      <c r="C6601" t="s">
        <v>88</v>
      </c>
      <c r="D6601" t="s">
        <v>6234</v>
      </c>
      <c r="E6601" t="s">
        <v>723</v>
      </c>
      <c r="F6601" t="s">
        <v>88</v>
      </c>
      <c r="G6601" t="s">
        <v>88</v>
      </c>
      <c r="H6601" t="s">
        <v>92</v>
      </c>
    </row>
    <row r="6602" spans="1:8" x14ac:dyDescent="0.25">
      <c r="A6602" t="s">
        <v>267</v>
      </c>
      <c r="B6602" t="s">
        <v>789</v>
      </c>
      <c r="C6602" t="s">
        <v>88</v>
      </c>
      <c r="D6602" t="s">
        <v>6241</v>
      </c>
      <c r="E6602" t="s">
        <v>738</v>
      </c>
      <c r="F6602" t="s">
        <v>88</v>
      </c>
      <c r="G6602" t="s">
        <v>88</v>
      </c>
      <c r="H6602" t="s">
        <v>92</v>
      </c>
    </row>
    <row r="6603" spans="1:8" x14ac:dyDescent="0.25">
      <c r="A6603" t="s">
        <v>267</v>
      </c>
      <c r="B6603" t="s">
        <v>3203</v>
      </c>
      <c r="C6603" t="s">
        <v>88</v>
      </c>
      <c r="D6603" t="s">
        <v>6234</v>
      </c>
      <c r="E6603" t="s">
        <v>738</v>
      </c>
      <c r="F6603" t="s">
        <v>88</v>
      </c>
      <c r="G6603" t="s">
        <v>88</v>
      </c>
      <c r="H6603" t="s">
        <v>92</v>
      </c>
    </row>
    <row r="6604" spans="1:8" x14ac:dyDescent="0.25">
      <c r="A6604" t="s">
        <v>267</v>
      </c>
      <c r="B6604" t="s">
        <v>1395</v>
      </c>
      <c r="C6604" t="s">
        <v>88</v>
      </c>
      <c r="D6604" t="s">
        <v>6234</v>
      </c>
      <c r="E6604" t="s">
        <v>723</v>
      </c>
      <c r="F6604" t="s">
        <v>88</v>
      </c>
      <c r="G6604" t="s">
        <v>88</v>
      </c>
      <c r="H6604" t="s">
        <v>92</v>
      </c>
    </row>
    <row r="6605" spans="1:8" x14ac:dyDescent="0.25">
      <c r="A6605" t="s">
        <v>267</v>
      </c>
      <c r="B6605" t="s">
        <v>776</v>
      </c>
      <c r="C6605" t="s">
        <v>88</v>
      </c>
      <c r="D6605" t="s">
        <v>6234</v>
      </c>
      <c r="E6605" t="s">
        <v>723</v>
      </c>
      <c r="F6605" t="s">
        <v>88</v>
      </c>
      <c r="G6605" t="s">
        <v>88</v>
      </c>
      <c r="H6605" t="s">
        <v>92</v>
      </c>
    </row>
    <row r="6606" spans="1:8" x14ac:dyDescent="0.25">
      <c r="A6606" t="s">
        <v>267</v>
      </c>
      <c r="B6606" t="s">
        <v>923</v>
      </c>
      <c r="C6606" t="s">
        <v>88</v>
      </c>
      <c r="D6606" t="s">
        <v>6234</v>
      </c>
      <c r="E6606" t="s">
        <v>723</v>
      </c>
      <c r="F6606" t="s">
        <v>88</v>
      </c>
      <c r="G6606" t="s">
        <v>88</v>
      </c>
      <c r="H6606" t="s">
        <v>92</v>
      </c>
    </row>
    <row r="6607" spans="1:8" x14ac:dyDescent="0.25">
      <c r="A6607" t="s">
        <v>267</v>
      </c>
      <c r="B6607" t="s">
        <v>4115</v>
      </c>
      <c r="C6607" t="s">
        <v>88</v>
      </c>
      <c r="D6607" t="s">
        <v>6234</v>
      </c>
      <c r="E6607" t="s">
        <v>721</v>
      </c>
      <c r="F6607" t="s">
        <v>88</v>
      </c>
      <c r="G6607" t="s">
        <v>88</v>
      </c>
      <c r="H6607" t="s">
        <v>92</v>
      </c>
    </row>
    <row r="6608" spans="1:8" x14ac:dyDescent="0.25">
      <c r="A6608" t="s">
        <v>267</v>
      </c>
      <c r="B6608" t="s">
        <v>6242</v>
      </c>
      <c r="C6608" t="s">
        <v>88</v>
      </c>
      <c r="D6608" t="s">
        <v>6238</v>
      </c>
      <c r="E6608" t="s">
        <v>844</v>
      </c>
      <c r="F6608" t="s">
        <v>88</v>
      </c>
      <c r="G6608" t="s">
        <v>88</v>
      </c>
      <c r="H6608" t="s">
        <v>92</v>
      </c>
    </row>
    <row r="6609" spans="1:8" x14ac:dyDescent="0.25">
      <c r="A6609" t="s">
        <v>267</v>
      </c>
      <c r="B6609" t="s">
        <v>4368</v>
      </c>
      <c r="C6609" t="s">
        <v>88</v>
      </c>
      <c r="D6609" t="s">
        <v>6243</v>
      </c>
      <c r="E6609" t="s">
        <v>721</v>
      </c>
      <c r="F6609" t="s">
        <v>88</v>
      </c>
      <c r="G6609" t="s">
        <v>88</v>
      </c>
      <c r="H6609" t="s">
        <v>92</v>
      </c>
    </row>
    <row r="6610" spans="1:8" x14ac:dyDescent="0.25">
      <c r="A6610" t="s">
        <v>267</v>
      </c>
      <c r="B6610" t="s">
        <v>4034</v>
      </c>
      <c r="C6610" t="s">
        <v>88</v>
      </c>
      <c r="D6610" t="s">
        <v>88</v>
      </c>
      <c r="E6610" t="s">
        <v>713</v>
      </c>
      <c r="F6610" t="s">
        <v>88</v>
      </c>
      <c r="G6610" t="s">
        <v>88</v>
      </c>
      <c r="H6610" t="s">
        <v>92</v>
      </c>
    </row>
    <row r="6611" spans="1:8" x14ac:dyDescent="0.25">
      <c r="A6611" t="s">
        <v>267</v>
      </c>
      <c r="B6611" t="s">
        <v>2390</v>
      </c>
      <c r="C6611" t="s">
        <v>88</v>
      </c>
      <c r="D6611" t="s">
        <v>6238</v>
      </c>
      <c r="E6611" t="s">
        <v>844</v>
      </c>
      <c r="F6611" t="s">
        <v>88</v>
      </c>
      <c r="G6611" t="s">
        <v>88</v>
      </c>
      <c r="H6611" t="s">
        <v>92</v>
      </c>
    </row>
    <row r="6612" spans="1:8" x14ac:dyDescent="0.25">
      <c r="A6612" t="s">
        <v>267</v>
      </c>
      <c r="B6612" t="s">
        <v>6244</v>
      </c>
      <c r="C6612" t="s">
        <v>88</v>
      </c>
      <c r="D6612" t="s">
        <v>6235</v>
      </c>
      <c r="E6612" t="s">
        <v>1241</v>
      </c>
      <c r="F6612" t="s">
        <v>88</v>
      </c>
      <c r="G6612" t="s">
        <v>88</v>
      </c>
      <c r="H6612" t="s">
        <v>92</v>
      </c>
    </row>
    <row r="6613" spans="1:8" x14ac:dyDescent="0.25">
      <c r="A6613" t="s">
        <v>267</v>
      </c>
      <c r="B6613" t="s">
        <v>6245</v>
      </c>
      <c r="C6613" t="s">
        <v>88</v>
      </c>
      <c r="D6613" t="s">
        <v>6235</v>
      </c>
      <c r="E6613" t="s">
        <v>844</v>
      </c>
      <c r="F6613" t="s">
        <v>88</v>
      </c>
      <c r="G6613" t="s">
        <v>88</v>
      </c>
      <c r="H6613" t="s">
        <v>92</v>
      </c>
    </row>
    <row r="6614" spans="1:8" x14ac:dyDescent="0.25">
      <c r="A6614" t="s">
        <v>267</v>
      </c>
      <c r="B6614" t="s">
        <v>2394</v>
      </c>
      <c r="C6614" t="s">
        <v>88</v>
      </c>
      <c r="D6614" t="s">
        <v>6235</v>
      </c>
      <c r="E6614" t="s">
        <v>844</v>
      </c>
      <c r="F6614" t="s">
        <v>88</v>
      </c>
      <c r="G6614" t="s">
        <v>88</v>
      </c>
      <c r="H6614" t="s">
        <v>92</v>
      </c>
    </row>
    <row r="6615" spans="1:8" x14ac:dyDescent="0.25">
      <c r="A6615" t="s">
        <v>267</v>
      </c>
      <c r="B6615" t="s">
        <v>6246</v>
      </c>
      <c r="C6615" t="s">
        <v>88</v>
      </c>
      <c r="D6615" t="s">
        <v>6247</v>
      </c>
      <c r="E6615" t="s">
        <v>780</v>
      </c>
      <c r="F6615" t="s">
        <v>88</v>
      </c>
      <c r="G6615" t="s">
        <v>88</v>
      </c>
      <c r="H6615" t="s">
        <v>92</v>
      </c>
    </row>
    <row r="6616" spans="1:8" x14ac:dyDescent="0.25">
      <c r="A6616" t="s">
        <v>267</v>
      </c>
      <c r="B6616" t="s">
        <v>6248</v>
      </c>
      <c r="C6616" t="s">
        <v>88</v>
      </c>
      <c r="D6616" t="s">
        <v>88</v>
      </c>
      <c r="E6616" t="s">
        <v>655</v>
      </c>
      <c r="F6616" t="s">
        <v>88</v>
      </c>
      <c r="G6616" t="s">
        <v>88</v>
      </c>
      <c r="H6616" t="s">
        <v>92</v>
      </c>
    </row>
    <row r="6617" spans="1:8" x14ac:dyDescent="0.25">
      <c r="A6617" t="s">
        <v>267</v>
      </c>
      <c r="B6617" t="s">
        <v>6249</v>
      </c>
      <c r="C6617" t="s">
        <v>88</v>
      </c>
      <c r="D6617" t="s">
        <v>88</v>
      </c>
      <c r="E6617" t="s">
        <v>655</v>
      </c>
      <c r="F6617" t="s">
        <v>88</v>
      </c>
      <c r="G6617" t="s">
        <v>88</v>
      </c>
      <c r="H6617" t="s">
        <v>92</v>
      </c>
    </row>
    <row r="6618" spans="1:8" x14ac:dyDescent="0.25">
      <c r="A6618" t="s">
        <v>267</v>
      </c>
      <c r="B6618" t="s">
        <v>6250</v>
      </c>
      <c r="C6618" t="s">
        <v>88</v>
      </c>
      <c r="D6618" t="s">
        <v>88</v>
      </c>
      <c r="E6618" t="s">
        <v>655</v>
      </c>
      <c r="F6618" t="s">
        <v>88</v>
      </c>
      <c r="G6618" t="s">
        <v>88</v>
      </c>
      <c r="H6618" t="s">
        <v>92</v>
      </c>
    </row>
    <row r="6619" spans="1:8" x14ac:dyDescent="0.25">
      <c r="A6619" t="s">
        <v>267</v>
      </c>
      <c r="B6619" t="s">
        <v>6251</v>
      </c>
      <c r="C6619" t="s">
        <v>88</v>
      </c>
      <c r="D6619" t="s">
        <v>88</v>
      </c>
      <c r="E6619" t="s">
        <v>692</v>
      </c>
      <c r="F6619" t="s">
        <v>88</v>
      </c>
      <c r="G6619" t="s">
        <v>88</v>
      </c>
      <c r="H6619" t="s">
        <v>92</v>
      </c>
    </row>
    <row r="6620" spans="1:8" x14ac:dyDescent="0.25">
      <c r="A6620" t="s">
        <v>267</v>
      </c>
      <c r="B6620" t="s">
        <v>6252</v>
      </c>
      <c r="C6620" t="s">
        <v>88</v>
      </c>
      <c r="D6620" t="s">
        <v>88</v>
      </c>
      <c r="E6620" t="s">
        <v>844</v>
      </c>
      <c r="F6620" t="s">
        <v>88</v>
      </c>
      <c r="G6620" t="s">
        <v>88</v>
      </c>
      <c r="H6620" t="s">
        <v>92</v>
      </c>
    </row>
    <row r="6621" spans="1:8" x14ac:dyDescent="0.25">
      <c r="A6621" t="s">
        <v>267</v>
      </c>
      <c r="B6621" t="s">
        <v>6253</v>
      </c>
      <c r="C6621" t="s">
        <v>88</v>
      </c>
      <c r="D6621" t="s">
        <v>88</v>
      </c>
      <c r="E6621" t="s">
        <v>663</v>
      </c>
      <c r="F6621" t="s">
        <v>88</v>
      </c>
      <c r="G6621" t="s">
        <v>88</v>
      </c>
      <c r="H6621" t="s">
        <v>92</v>
      </c>
    </row>
    <row r="6622" spans="1:8" x14ac:dyDescent="0.25">
      <c r="A6622" t="s">
        <v>267</v>
      </c>
      <c r="B6622" t="s">
        <v>6254</v>
      </c>
      <c r="C6622" t="s">
        <v>88</v>
      </c>
      <c r="D6622" t="s">
        <v>6255</v>
      </c>
      <c r="E6622" t="s">
        <v>700</v>
      </c>
      <c r="F6622" t="s">
        <v>88</v>
      </c>
      <c r="G6622" t="s">
        <v>88</v>
      </c>
      <c r="H6622" t="s">
        <v>92</v>
      </c>
    </row>
    <row r="6623" spans="1:8" x14ac:dyDescent="0.25">
      <c r="A6623" t="s">
        <v>267</v>
      </c>
      <c r="B6623" t="s">
        <v>1072</v>
      </c>
      <c r="C6623" t="s">
        <v>88</v>
      </c>
      <c r="D6623" t="s">
        <v>88</v>
      </c>
      <c r="E6623" t="s">
        <v>734</v>
      </c>
      <c r="F6623" t="s">
        <v>88</v>
      </c>
      <c r="G6623" t="s">
        <v>88</v>
      </c>
      <c r="H6623" t="s">
        <v>92</v>
      </c>
    </row>
    <row r="6624" spans="1:8" x14ac:dyDescent="0.25">
      <c r="A6624" t="s">
        <v>267</v>
      </c>
      <c r="B6624" t="s">
        <v>701</v>
      </c>
      <c r="C6624" t="s">
        <v>88</v>
      </c>
      <c r="D6624" t="s">
        <v>88</v>
      </c>
      <c r="E6624" t="s">
        <v>734</v>
      </c>
      <c r="F6624" t="s">
        <v>88</v>
      </c>
      <c r="G6624" t="s">
        <v>88</v>
      </c>
      <c r="H6624" t="s">
        <v>92</v>
      </c>
    </row>
    <row r="6625" spans="1:8" x14ac:dyDescent="0.25">
      <c r="A6625" t="s">
        <v>267</v>
      </c>
      <c r="B6625" t="s">
        <v>703</v>
      </c>
      <c r="C6625" t="s">
        <v>88</v>
      </c>
      <c r="D6625" t="s">
        <v>88</v>
      </c>
      <c r="E6625" t="s">
        <v>734</v>
      </c>
      <c r="F6625" t="s">
        <v>88</v>
      </c>
      <c r="G6625" t="s">
        <v>88</v>
      </c>
      <c r="H6625" t="s">
        <v>92</v>
      </c>
    </row>
    <row r="6626" spans="1:8" x14ac:dyDescent="0.25">
      <c r="A6626" t="s">
        <v>267</v>
      </c>
      <c r="B6626" t="s">
        <v>705</v>
      </c>
      <c r="C6626" t="s">
        <v>88</v>
      </c>
      <c r="D6626" t="s">
        <v>88</v>
      </c>
      <c r="E6626" t="s">
        <v>734</v>
      </c>
      <c r="F6626" t="s">
        <v>88</v>
      </c>
      <c r="G6626" t="s">
        <v>88</v>
      </c>
      <c r="H6626" t="s">
        <v>92</v>
      </c>
    </row>
    <row r="6627" spans="1:8" x14ac:dyDescent="0.25">
      <c r="A6627" t="s">
        <v>267</v>
      </c>
      <c r="B6627" t="s">
        <v>706</v>
      </c>
      <c r="C6627" t="s">
        <v>88</v>
      </c>
      <c r="D6627" t="s">
        <v>88</v>
      </c>
      <c r="E6627" t="s">
        <v>734</v>
      </c>
      <c r="F6627" t="s">
        <v>88</v>
      </c>
      <c r="G6627" t="s">
        <v>88</v>
      </c>
      <c r="H6627" t="s">
        <v>92</v>
      </c>
    </row>
    <row r="6628" spans="1:8" x14ac:dyDescent="0.25">
      <c r="A6628" t="s">
        <v>267</v>
      </c>
      <c r="B6628" t="s">
        <v>707</v>
      </c>
      <c r="C6628" t="s">
        <v>88</v>
      </c>
      <c r="D6628" t="s">
        <v>88</v>
      </c>
      <c r="E6628" t="s">
        <v>734</v>
      </c>
      <c r="F6628" t="s">
        <v>88</v>
      </c>
      <c r="G6628" t="s">
        <v>88</v>
      </c>
      <c r="H6628" t="s">
        <v>92</v>
      </c>
    </row>
    <row r="6629" spans="1:8" x14ac:dyDescent="0.25">
      <c r="A6629" t="s">
        <v>267</v>
      </c>
      <c r="B6629" t="s">
        <v>708</v>
      </c>
      <c r="C6629" t="s">
        <v>88</v>
      </c>
      <c r="D6629" t="s">
        <v>88</v>
      </c>
      <c r="E6629" t="s">
        <v>734</v>
      </c>
      <c r="F6629" t="s">
        <v>88</v>
      </c>
      <c r="G6629" t="s">
        <v>88</v>
      </c>
      <c r="H6629" t="s">
        <v>92</v>
      </c>
    </row>
    <row r="6630" spans="1:8" x14ac:dyDescent="0.25">
      <c r="A6630" t="s">
        <v>267</v>
      </c>
      <c r="B6630" t="s">
        <v>794</v>
      </c>
      <c r="C6630" t="s">
        <v>88</v>
      </c>
      <c r="D6630" t="s">
        <v>88</v>
      </c>
      <c r="E6630" t="s">
        <v>709</v>
      </c>
      <c r="F6630" t="s">
        <v>88</v>
      </c>
      <c r="G6630" t="s">
        <v>88</v>
      </c>
      <c r="H6630" t="s">
        <v>92</v>
      </c>
    </row>
    <row r="6631" spans="1:8" x14ac:dyDescent="0.25">
      <c r="A6631" t="s">
        <v>267</v>
      </c>
      <c r="B6631" t="s">
        <v>618</v>
      </c>
      <c r="C6631" t="s">
        <v>88</v>
      </c>
      <c r="D6631" t="s">
        <v>88</v>
      </c>
      <c r="E6631" t="s">
        <v>711</v>
      </c>
      <c r="F6631" t="s">
        <v>88</v>
      </c>
      <c r="G6631" t="s">
        <v>88</v>
      </c>
      <c r="H6631" t="s">
        <v>92</v>
      </c>
    </row>
    <row r="6632" spans="1:8" x14ac:dyDescent="0.25">
      <c r="A6632" t="s">
        <v>267</v>
      </c>
      <c r="B6632" t="s">
        <v>622</v>
      </c>
      <c r="C6632" t="s">
        <v>88</v>
      </c>
      <c r="D6632" t="s">
        <v>88</v>
      </c>
      <c r="E6632" t="s">
        <v>711</v>
      </c>
      <c r="F6632" t="s">
        <v>88</v>
      </c>
      <c r="G6632" t="s">
        <v>88</v>
      </c>
      <c r="H6632" t="s">
        <v>92</v>
      </c>
    </row>
    <row r="6633" spans="1:8" x14ac:dyDescent="0.25">
      <c r="A6633" t="s">
        <v>267</v>
      </c>
      <c r="B6633" t="s">
        <v>623</v>
      </c>
      <c r="C6633" t="s">
        <v>88</v>
      </c>
      <c r="D6633" t="s">
        <v>88</v>
      </c>
      <c r="E6633" t="s">
        <v>735</v>
      </c>
      <c r="F6633" t="s">
        <v>88</v>
      </c>
      <c r="G6633" t="s">
        <v>88</v>
      </c>
      <c r="H6633" t="s">
        <v>92</v>
      </c>
    </row>
    <row r="6634" spans="1:8" x14ac:dyDescent="0.25">
      <c r="A6634" t="s">
        <v>267</v>
      </c>
      <c r="B6634" t="s">
        <v>714</v>
      </c>
      <c r="C6634" t="s">
        <v>88</v>
      </c>
      <c r="D6634" t="s">
        <v>88</v>
      </c>
      <c r="E6634" t="s">
        <v>702</v>
      </c>
      <c r="F6634" t="s">
        <v>88</v>
      </c>
      <c r="G6634" t="s">
        <v>88</v>
      </c>
      <c r="H6634" t="s">
        <v>92</v>
      </c>
    </row>
    <row r="6635" spans="1:8" x14ac:dyDescent="0.25">
      <c r="A6635" t="s">
        <v>267</v>
      </c>
      <c r="B6635" t="s">
        <v>998</v>
      </c>
      <c r="C6635" t="s">
        <v>88</v>
      </c>
      <c r="D6635" t="s">
        <v>88</v>
      </c>
      <c r="E6635" t="s">
        <v>702</v>
      </c>
      <c r="F6635" t="s">
        <v>88</v>
      </c>
      <c r="G6635" t="s">
        <v>88</v>
      </c>
      <c r="H6635" t="s">
        <v>92</v>
      </c>
    </row>
    <row r="6636" spans="1:8" x14ac:dyDescent="0.25">
      <c r="A6636" t="s">
        <v>267</v>
      </c>
      <c r="B6636" t="s">
        <v>1989</v>
      </c>
      <c r="C6636" t="s">
        <v>88</v>
      </c>
      <c r="D6636" t="s">
        <v>88</v>
      </c>
      <c r="E6636" t="s">
        <v>780</v>
      </c>
      <c r="F6636" t="s">
        <v>88</v>
      </c>
      <c r="G6636" t="s">
        <v>88</v>
      </c>
      <c r="H6636" t="s">
        <v>92</v>
      </c>
    </row>
    <row r="6637" spans="1:8" x14ac:dyDescent="0.25">
      <c r="A6637" t="s">
        <v>267</v>
      </c>
      <c r="B6637" t="s">
        <v>6256</v>
      </c>
      <c r="C6637" t="s">
        <v>88</v>
      </c>
      <c r="D6637" t="s">
        <v>88</v>
      </c>
      <c r="E6637" t="s">
        <v>780</v>
      </c>
      <c r="F6637" t="s">
        <v>88</v>
      </c>
      <c r="G6637" t="s">
        <v>88</v>
      </c>
      <c r="H6637" t="s">
        <v>92</v>
      </c>
    </row>
    <row r="6638" spans="1:8" x14ac:dyDescent="0.25">
      <c r="A6638" t="s">
        <v>267</v>
      </c>
      <c r="B6638" t="s">
        <v>2418</v>
      </c>
      <c r="C6638" t="s">
        <v>88</v>
      </c>
      <c r="D6638" t="s">
        <v>2777</v>
      </c>
      <c r="E6638" t="s">
        <v>805</v>
      </c>
      <c r="F6638" t="s">
        <v>88</v>
      </c>
      <c r="G6638" t="s">
        <v>88</v>
      </c>
      <c r="H6638" t="s">
        <v>92</v>
      </c>
    </row>
    <row r="6639" spans="1:8" x14ac:dyDescent="0.25">
      <c r="A6639" t="s">
        <v>267</v>
      </c>
      <c r="B6639" t="s">
        <v>2423</v>
      </c>
      <c r="C6639" t="s">
        <v>88</v>
      </c>
      <c r="D6639" t="s">
        <v>2777</v>
      </c>
      <c r="E6639" t="s">
        <v>805</v>
      </c>
      <c r="F6639" t="s">
        <v>88</v>
      </c>
      <c r="G6639" t="s">
        <v>88</v>
      </c>
      <c r="H6639" t="s">
        <v>92</v>
      </c>
    </row>
    <row r="6640" spans="1:8" x14ac:dyDescent="0.25">
      <c r="A6640" t="s">
        <v>267</v>
      </c>
      <c r="B6640" t="s">
        <v>6257</v>
      </c>
      <c r="C6640" t="s">
        <v>88</v>
      </c>
      <c r="D6640" t="s">
        <v>2777</v>
      </c>
      <c r="E6640" t="s">
        <v>805</v>
      </c>
      <c r="F6640" t="s">
        <v>88</v>
      </c>
      <c r="G6640" t="s">
        <v>88</v>
      </c>
      <c r="H6640" t="s">
        <v>92</v>
      </c>
    </row>
    <row r="6641" spans="1:8" x14ac:dyDescent="0.25">
      <c r="A6641" t="s">
        <v>267</v>
      </c>
      <c r="B6641" t="s">
        <v>1237</v>
      </c>
      <c r="C6641" t="s">
        <v>88</v>
      </c>
      <c r="D6641" t="s">
        <v>2777</v>
      </c>
      <c r="E6641" t="s">
        <v>841</v>
      </c>
      <c r="F6641" t="s">
        <v>88</v>
      </c>
      <c r="G6641" t="s">
        <v>88</v>
      </c>
      <c r="H6641" t="s">
        <v>92</v>
      </c>
    </row>
    <row r="6642" spans="1:8" x14ac:dyDescent="0.25">
      <c r="A6642" t="s">
        <v>267</v>
      </c>
      <c r="B6642" t="s">
        <v>1238</v>
      </c>
      <c r="C6642" t="s">
        <v>88</v>
      </c>
      <c r="D6642" t="s">
        <v>2777</v>
      </c>
      <c r="E6642" t="s">
        <v>964</v>
      </c>
      <c r="F6642" t="s">
        <v>88</v>
      </c>
      <c r="G6642" t="s">
        <v>88</v>
      </c>
      <c r="H6642" t="s">
        <v>92</v>
      </c>
    </row>
    <row r="6643" spans="1:8" x14ac:dyDescent="0.25">
      <c r="A6643" t="s">
        <v>267</v>
      </c>
      <c r="B6643" t="s">
        <v>1234</v>
      </c>
      <c r="C6643" t="s">
        <v>88</v>
      </c>
      <c r="D6643" t="s">
        <v>2777</v>
      </c>
      <c r="E6643" t="s">
        <v>964</v>
      </c>
      <c r="F6643" t="s">
        <v>88</v>
      </c>
      <c r="G6643" t="s">
        <v>88</v>
      </c>
      <c r="H6643" t="s">
        <v>92</v>
      </c>
    </row>
    <row r="6644" spans="1:8" x14ac:dyDescent="0.25">
      <c r="A6644" t="s">
        <v>267</v>
      </c>
      <c r="B6644" t="s">
        <v>1400</v>
      </c>
      <c r="C6644" t="s">
        <v>88</v>
      </c>
      <c r="D6644" t="s">
        <v>2777</v>
      </c>
      <c r="E6644" t="s">
        <v>964</v>
      </c>
      <c r="F6644" t="s">
        <v>88</v>
      </c>
      <c r="G6644" t="s">
        <v>88</v>
      </c>
      <c r="H6644" t="s">
        <v>92</v>
      </c>
    </row>
    <row r="6645" spans="1:8" x14ac:dyDescent="0.25">
      <c r="A6645" t="s">
        <v>267</v>
      </c>
      <c r="B6645" t="s">
        <v>625</v>
      </c>
      <c r="C6645" t="s">
        <v>88</v>
      </c>
      <c r="D6645" t="s">
        <v>88</v>
      </c>
      <c r="E6645" t="s">
        <v>626</v>
      </c>
      <c r="F6645" t="s">
        <v>88</v>
      </c>
      <c r="G6645" t="s">
        <v>88</v>
      </c>
      <c r="H6645" t="s">
        <v>92</v>
      </c>
    </row>
    <row r="6646" spans="1:8" x14ac:dyDescent="0.25">
      <c r="A6646" t="s">
        <v>268</v>
      </c>
      <c r="B6646" t="s">
        <v>6258</v>
      </c>
      <c r="C6646" t="s">
        <v>88</v>
      </c>
      <c r="D6646" t="s">
        <v>6259</v>
      </c>
      <c r="E6646" t="s">
        <v>673</v>
      </c>
      <c r="F6646" t="s">
        <v>88</v>
      </c>
      <c r="G6646" t="s">
        <v>88</v>
      </c>
      <c r="H6646" t="s">
        <v>92</v>
      </c>
    </row>
    <row r="6647" spans="1:8" x14ac:dyDescent="0.25">
      <c r="A6647" t="s">
        <v>268</v>
      </c>
      <c r="B6647" t="s">
        <v>6260</v>
      </c>
      <c r="C6647" t="s">
        <v>88</v>
      </c>
      <c r="D6647" t="s">
        <v>6261</v>
      </c>
      <c r="E6647" t="s">
        <v>2481</v>
      </c>
      <c r="F6647" t="s">
        <v>88</v>
      </c>
      <c r="G6647" t="s">
        <v>88</v>
      </c>
      <c r="H6647" t="s">
        <v>92</v>
      </c>
    </row>
    <row r="6648" spans="1:8" x14ac:dyDescent="0.25">
      <c r="A6648" t="s">
        <v>268</v>
      </c>
      <c r="B6648" t="s">
        <v>6262</v>
      </c>
      <c r="C6648" t="s">
        <v>88</v>
      </c>
      <c r="D6648" t="s">
        <v>6263</v>
      </c>
      <c r="E6648" t="s">
        <v>937</v>
      </c>
      <c r="F6648" t="s">
        <v>88</v>
      </c>
      <c r="G6648" t="s">
        <v>88</v>
      </c>
      <c r="H6648" t="s">
        <v>92</v>
      </c>
    </row>
    <row r="6649" spans="1:8" x14ac:dyDescent="0.25">
      <c r="A6649" t="s">
        <v>268</v>
      </c>
      <c r="B6649" t="s">
        <v>6264</v>
      </c>
      <c r="C6649" t="s">
        <v>88</v>
      </c>
      <c r="D6649" t="s">
        <v>6265</v>
      </c>
      <c r="E6649" t="s">
        <v>1353</v>
      </c>
      <c r="F6649" t="s">
        <v>88</v>
      </c>
      <c r="G6649" t="s">
        <v>88</v>
      </c>
      <c r="H6649" t="s">
        <v>92</v>
      </c>
    </row>
    <row r="6650" spans="1:8" x14ac:dyDescent="0.25">
      <c r="A6650" t="s">
        <v>268</v>
      </c>
      <c r="B6650" t="s">
        <v>6266</v>
      </c>
      <c r="C6650" t="s">
        <v>88</v>
      </c>
      <c r="D6650" t="s">
        <v>6267</v>
      </c>
      <c r="E6650" t="s">
        <v>6268</v>
      </c>
      <c r="F6650" t="s">
        <v>88</v>
      </c>
      <c r="G6650" t="s">
        <v>88</v>
      </c>
      <c r="H6650" t="s">
        <v>92</v>
      </c>
    </row>
    <row r="6651" spans="1:8" x14ac:dyDescent="0.25">
      <c r="A6651" t="s">
        <v>268</v>
      </c>
      <c r="B6651" t="s">
        <v>6269</v>
      </c>
      <c r="C6651" t="s">
        <v>88</v>
      </c>
      <c r="D6651" t="s">
        <v>6270</v>
      </c>
      <c r="E6651" t="s">
        <v>760</v>
      </c>
      <c r="F6651" t="s">
        <v>88</v>
      </c>
      <c r="G6651" t="s">
        <v>88</v>
      </c>
      <c r="H6651" t="s">
        <v>92</v>
      </c>
    </row>
    <row r="6652" spans="1:8" x14ac:dyDescent="0.25">
      <c r="A6652" t="s">
        <v>268</v>
      </c>
      <c r="B6652" t="s">
        <v>6271</v>
      </c>
      <c r="C6652" t="s">
        <v>88</v>
      </c>
      <c r="D6652" t="s">
        <v>6272</v>
      </c>
      <c r="E6652" t="s">
        <v>3015</v>
      </c>
      <c r="F6652" t="s">
        <v>88</v>
      </c>
      <c r="G6652" t="s">
        <v>88</v>
      </c>
      <c r="H6652" t="s">
        <v>92</v>
      </c>
    </row>
    <row r="6653" spans="1:8" x14ac:dyDescent="0.25">
      <c r="A6653" t="s">
        <v>268</v>
      </c>
      <c r="B6653" t="s">
        <v>2359</v>
      </c>
      <c r="C6653" t="s">
        <v>88</v>
      </c>
      <c r="D6653" t="s">
        <v>88</v>
      </c>
      <c r="E6653" t="s">
        <v>791</v>
      </c>
      <c r="F6653" t="s">
        <v>88</v>
      </c>
      <c r="G6653" t="s">
        <v>88</v>
      </c>
      <c r="H6653" t="s">
        <v>92</v>
      </c>
    </row>
    <row r="6654" spans="1:8" x14ac:dyDescent="0.25">
      <c r="A6654" t="s">
        <v>268</v>
      </c>
      <c r="B6654" t="s">
        <v>6273</v>
      </c>
      <c r="C6654" t="s">
        <v>88</v>
      </c>
      <c r="D6654" t="s">
        <v>88</v>
      </c>
      <c r="E6654" t="s">
        <v>791</v>
      </c>
      <c r="F6654" t="s">
        <v>88</v>
      </c>
      <c r="G6654" t="s">
        <v>88</v>
      </c>
      <c r="H6654" t="s">
        <v>92</v>
      </c>
    </row>
    <row r="6655" spans="1:8" x14ac:dyDescent="0.25">
      <c r="A6655" t="s">
        <v>268</v>
      </c>
      <c r="B6655" t="s">
        <v>6274</v>
      </c>
      <c r="C6655" t="s">
        <v>88</v>
      </c>
      <c r="D6655" t="s">
        <v>88</v>
      </c>
      <c r="E6655" t="s">
        <v>1139</v>
      </c>
      <c r="F6655" t="s">
        <v>88</v>
      </c>
      <c r="G6655" t="s">
        <v>88</v>
      </c>
      <c r="H6655" t="s">
        <v>92</v>
      </c>
    </row>
    <row r="6656" spans="1:8" x14ac:dyDescent="0.25">
      <c r="A6656" t="s">
        <v>268</v>
      </c>
      <c r="B6656" t="s">
        <v>6275</v>
      </c>
      <c r="C6656" t="s">
        <v>88</v>
      </c>
      <c r="D6656" t="s">
        <v>6276</v>
      </c>
      <c r="E6656" t="s">
        <v>717</v>
      </c>
      <c r="F6656" t="s">
        <v>88</v>
      </c>
      <c r="G6656" t="s">
        <v>88</v>
      </c>
      <c r="H6656" t="s">
        <v>92</v>
      </c>
    </row>
    <row r="6657" spans="1:8" x14ac:dyDescent="0.25">
      <c r="A6657" t="s">
        <v>268</v>
      </c>
      <c r="B6657" t="s">
        <v>6277</v>
      </c>
      <c r="C6657" t="s">
        <v>88</v>
      </c>
      <c r="D6657" t="s">
        <v>6278</v>
      </c>
      <c r="E6657" t="s">
        <v>1189</v>
      </c>
      <c r="F6657" t="s">
        <v>88</v>
      </c>
      <c r="G6657" t="s">
        <v>88</v>
      </c>
      <c r="H6657" t="s">
        <v>92</v>
      </c>
    </row>
    <row r="6658" spans="1:8" x14ac:dyDescent="0.25">
      <c r="A6658" t="s">
        <v>268</v>
      </c>
      <c r="B6658" t="s">
        <v>6279</v>
      </c>
      <c r="C6658" t="s">
        <v>88</v>
      </c>
      <c r="D6658" t="s">
        <v>6280</v>
      </c>
      <c r="E6658" t="s">
        <v>780</v>
      </c>
      <c r="F6658" t="s">
        <v>88</v>
      </c>
      <c r="G6658" t="s">
        <v>88</v>
      </c>
      <c r="H6658" t="s">
        <v>92</v>
      </c>
    </row>
    <row r="6659" spans="1:8" x14ac:dyDescent="0.25">
      <c r="A6659" t="s">
        <v>268</v>
      </c>
      <c r="B6659" t="s">
        <v>6281</v>
      </c>
      <c r="C6659" t="s">
        <v>88</v>
      </c>
      <c r="D6659" t="s">
        <v>6282</v>
      </c>
      <c r="E6659" t="s">
        <v>2193</v>
      </c>
      <c r="F6659" t="s">
        <v>88</v>
      </c>
      <c r="G6659" t="s">
        <v>88</v>
      </c>
      <c r="H6659" t="s">
        <v>92</v>
      </c>
    </row>
    <row r="6660" spans="1:8" x14ac:dyDescent="0.25">
      <c r="A6660" t="s">
        <v>268</v>
      </c>
      <c r="B6660" t="s">
        <v>6283</v>
      </c>
      <c r="C6660" t="s">
        <v>88</v>
      </c>
      <c r="D6660" t="s">
        <v>6284</v>
      </c>
      <c r="E6660" t="s">
        <v>663</v>
      </c>
      <c r="F6660" t="s">
        <v>88</v>
      </c>
      <c r="G6660" t="s">
        <v>88</v>
      </c>
      <c r="H6660" t="s">
        <v>92</v>
      </c>
    </row>
    <row r="6661" spans="1:8" x14ac:dyDescent="0.25">
      <c r="A6661" t="s">
        <v>268</v>
      </c>
      <c r="B6661" t="s">
        <v>6285</v>
      </c>
      <c r="C6661" t="s">
        <v>88</v>
      </c>
      <c r="D6661" t="s">
        <v>6286</v>
      </c>
      <c r="E6661" t="s">
        <v>658</v>
      </c>
      <c r="F6661" t="s">
        <v>88</v>
      </c>
      <c r="G6661" t="s">
        <v>88</v>
      </c>
      <c r="H6661" t="s">
        <v>92</v>
      </c>
    </row>
    <row r="6662" spans="1:8" x14ac:dyDescent="0.25">
      <c r="A6662" t="s">
        <v>268</v>
      </c>
      <c r="B6662" t="s">
        <v>6287</v>
      </c>
      <c r="C6662" t="s">
        <v>88</v>
      </c>
      <c r="D6662" t="s">
        <v>6288</v>
      </c>
      <c r="E6662" t="s">
        <v>2989</v>
      </c>
      <c r="F6662" t="s">
        <v>88</v>
      </c>
      <c r="G6662" t="s">
        <v>88</v>
      </c>
      <c r="H6662" t="s">
        <v>92</v>
      </c>
    </row>
    <row r="6663" spans="1:8" x14ac:dyDescent="0.25">
      <c r="A6663" t="s">
        <v>268</v>
      </c>
      <c r="B6663" t="s">
        <v>6289</v>
      </c>
      <c r="C6663" t="s">
        <v>88</v>
      </c>
      <c r="D6663" t="s">
        <v>6290</v>
      </c>
      <c r="E6663" t="s">
        <v>841</v>
      </c>
      <c r="F6663" t="s">
        <v>88</v>
      </c>
      <c r="G6663" t="s">
        <v>88</v>
      </c>
      <c r="H6663" t="s">
        <v>92</v>
      </c>
    </row>
    <row r="6664" spans="1:8" x14ac:dyDescent="0.25">
      <c r="A6664" t="s">
        <v>268</v>
      </c>
      <c r="B6664" t="s">
        <v>6291</v>
      </c>
      <c r="C6664" t="s">
        <v>88</v>
      </c>
      <c r="D6664" t="s">
        <v>6292</v>
      </c>
      <c r="E6664" t="s">
        <v>2800</v>
      </c>
      <c r="F6664" t="s">
        <v>88</v>
      </c>
      <c r="G6664" t="s">
        <v>88</v>
      </c>
      <c r="H6664" t="s">
        <v>92</v>
      </c>
    </row>
    <row r="6665" spans="1:8" x14ac:dyDescent="0.25">
      <c r="A6665" t="s">
        <v>268</v>
      </c>
      <c r="B6665" t="s">
        <v>6293</v>
      </c>
      <c r="C6665" t="s">
        <v>88</v>
      </c>
      <c r="D6665" t="s">
        <v>6294</v>
      </c>
      <c r="E6665" t="s">
        <v>1189</v>
      </c>
      <c r="F6665" t="s">
        <v>88</v>
      </c>
      <c r="G6665" t="s">
        <v>88</v>
      </c>
      <c r="H6665" t="s">
        <v>92</v>
      </c>
    </row>
    <row r="6666" spans="1:8" x14ac:dyDescent="0.25">
      <c r="A6666" t="s">
        <v>268</v>
      </c>
      <c r="B6666" t="s">
        <v>6295</v>
      </c>
      <c r="C6666" t="s">
        <v>88</v>
      </c>
      <c r="D6666" t="s">
        <v>6296</v>
      </c>
      <c r="E6666" t="s">
        <v>725</v>
      </c>
      <c r="F6666" t="s">
        <v>88</v>
      </c>
      <c r="G6666" t="s">
        <v>88</v>
      </c>
      <c r="H6666" t="s">
        <v>92</v>
      </c>
    </row>
    <row r="6667" spans="1:8" x14ac:dyDescent="0.25">
      <c r="A6667" t="s">
        <v>268</v>
      </c>
      <c r="B6667" t="s">
        <v>6297</v>
      </c>
      <c r="C6667" t="s">
        <v>88</v>
      </c>
      <c r="D6667" t="s">
        <v>6298</v>
      </c>
      <c r="E6667" t="s">
        <v>673</v>
      </c>
      <c r="F6667" t="s">
        <v>88</v>
      </c>
      <c r="G6667" t="s">
        <v>88</v>
      </c>
      <c r="H6667" t="s">
        <v>92</v>
      </c>
    </row>
    <row r="6668" spans="1:8" x14ac:dyDescent="0.25">
      <c r="A6668" t="s">
        <v>268</v>
      </c>
      <c r="B6668" t="s">
        <v>6299</v>
      </c>
      <c r="C6668" t="s">
        <v>88</v>
      </c>
      <c r="D6668" t="s">
        <v>6300</v>
      </c>
      <c r="E6668" t="s">
        <v>748</v>
      </c>
      <c r="F6668" t="s">
        <v>88</v>
      </c>
      <c r="G6668" t="s">
        <v>88</v>
      </c>
      <c r="H6668" t="s">
        <v>92</v>
      </c>
    </row>
    <row r="6669" spans="1:8" x14ac:dyDescent="0.25">
      <c r="A6669" t="s">
        <v>268</v>
      </c>
      <c r="B6669" t="s">
        <v>6301</v>
      </c>
      <c r="C6669" t="s">
        <v>88</v>
      </c>
      <c r="D6669" t="s">
        <v>6302</v>
      </c>
      <c r="E6669" t="s">
        <v>762</v>
      </c>
      <c r="F6669" t="s">
        <v>88</v>
      </c>
      <c r="G6669" t="s">
        <v>88</v>
      </c>
      <c r="H6669" t="s">
        <v>92</v>
      </c>
    </row>
    <row r="6670" spans="1:8" x14ac:dyDescent="0.25">
      <c r="A6670" t="s">
        <v>268</v>
      </c>
      <c r="B6670" t="s">
        <v>6303</v>
      </c>
      <c r="C6670" t="s">
        <v>88</v>
      </c>
      <c r="D6670" t="s">
        <v>6304</v>
      </c>
      <c r="E6670" t="s">
        <v>663</v>
      </c>
      <c r="F6670" t="s">
        <v>88</v>
      </c>
      <c r="G6670" t="s">
        <v>88</v>
      </c>
      <c r="H6670" t="s">
        <v>92</v>
      </c>
    </row>
    <row r="6671" spans="1:8" x14ac:dyDescent="0.25">
      <c r="A6671" t="s">
        <v>268</v>
      </c>
      <c r="B6671" t="s">
        <v>6305</v>
      </c>
      <c r="C6671" t="s">
        <v>88</v>
      </c>
      <c r="D6671" t="s">
        <v>6306</v>
      </c>
      <c r="E6671" t="s">
        <v>2513</v>
      </c>
      <c r="F6671" t="s">
        <v>88</v>
      </c>
      <c r="G6671" t="s">
        <v>88</v>
      </c>
      <c r="H6671" t="s">
        <v>92</v>
      </c>
    </row>
    <row r="6672" spans="1:8" x14ac:dyDescent="0.25">
      <c r="A6672" t="s">
        <v>268</v>
      </c>
      <c r="B6672" t="s">
        <v>6307</v>
      </c>
      <c r="C6672" t="s">
        <v>88</v>
      </c>
      <c r="D6672" t="s">
        <v>6308</v>
      </c>
      <c r="E6672" t="s">
        <v>2166</v>
      </c>
      <c r="F6672" t="s">
        <v>88</v>
      </c>
      <c r="G6672" t="s">
        <v>88</v>
      </c>
      <c r="H6672" t="s">
        <v>92</v>
      </c>
    </row>
    <row r="6673" spans="1:8" x14ac:dyDescent="0.25">
      <c r="A6673" t="s">
        <v>268</v>
      </c>
      <c r="B6673" t="s">
        <v>6309</v>
      </c>
      <c r="C6673" t="s">
        <v>88</v>
      </c>
      <c r="D6673" t="s">
        <v>6310</v>
      </c>
      <c r="E6673" t="s">
        <v>679</v>
      </c>
      <c r="F6673" t="s">
        <v>88</v>
      </c>
      <c r="G6673" t="s">
        <v>88</v>
      </c>
      <c r="H6673" t="s">
        <v>92</v>
      </c>
    </row>
    <row r="6674" spans="1:8" x14ac:dyDescent="0.25">
      <c r="A6674" t="s">
        <v>268</v>
      </c>
      <c r="B6674" t="s">
        <v>6311</v>
      </c>
      <c r="C6674" t="s">
        <v>88</v>
      </c>
      <c r="D6674" t="s">
        <v>6312</v>
      </c>
      <c r="E6674" t="s">
        <v>979</v>
      </c>
      <c r="F6674" t="s">
        <v>88</v>
      </c>
      <c r="G6674" t="s">
        <v>88</v>
      </c>
      <c r="H6674" t="s">
        <v>92</v>
      </c>
    </row>
    <row r="6675" spans="1:8" x14ac:dyDescent="0.25">
      <c r="A6675" t="s">
        <v>268</v>
      </c>
      <c r="B6675" t="s">
        <v>6313</v>
      </c>
      <c r="C6675" t="s">
        <v>88</v>
      </c>
      <c r="D6675" t="s">
        <v>6314</v>
      </c>
      <c r="E6675" t="s">
        <v>836</v>
      </c>
      <c r="F6675" t="s">
        <v>88</v>
      </c>
      <c r="G6675" t="s">
        <v>88</v>
      </c>
      <c r="H6675" t="s">
        <v>92</v>
      </c>
    </row>
    <row r="6676" spans="1:8" x14ac:dyDescent="0.25">
      <c r="A6676" t="s">
        <v>268</v>
      </c>
      <c r="B6676" t="s">
        <v>6315</v>
      </c>
      <c r="C6676" t="s">
        <v>88</v>
      </c>
      <c r="D6676" t="s">
        <v>6316</v>
      </c>
      <c r="E6676" t="s">
        <v>886</v>
      </c>
      <c r="F6676" t="s">
        <v>88</v>
      </c>
      <c r="G6676" t="s">
        <v>88</v>
      </c>
      <c r="H6676" t="s">
        <v>92</v>
      </c>
    </row>
    <row r="6677" spans="1:8" x14ac:dyDescent="0.25">
      <c r="A6677" t="s">
        <v>268</v>
      </c>
      <c r="B6677" t="s">
        <v>6317</v>
      </c>
      <c r="C6677" t="s">
        <v>88</v>
      </c>
      <c r="D6677" t="s">
        <v>6318</v>
      </c>
      <c r="E6677" t="s">
        <v>1139</v>
      </c>
      <c r="F6677" t="s">
        <v>88</v>
      </c>
      <c r="G6677" t="s">
        <v>88</v>
      </c>
      <c r="H6677" t="s">
        <v>92</v>
      </c>
    </row>
    <row r="6678" spans="1:8" x14ac:dyDescent="0.25">
      <c r="A6678" t="s">
        <v>268</v>
      </c>
      <c r="B6678" t="s">
        <v>6319</v>
      </c>
      <c r="C6678" t="s">
        <v>88</v>
      </c>
      <c r="D6678" t="s">
        <v>6320</v>
      </c>
      <c r="E6678" t="s">
        <v>1839</v>
      </c>
      <c r="F6678" t="s">
        <v>88</v>
      </c>
      <c r="G6678" t="s">
        <v>88</v>
      </c>
      <c r="H6678" t="s">
        <v>92</v>
      </c>
    </row>
    <row r="6679" spans="1:8" x14ac:dyDescent="0.25">
      <c r="A6679" t="s">
        <v>268</v>
      </c>
      <c r="B6679" t="s">
        <v>6321</v>
      </c>
      <c r="C6679" t="s">
        <v>88</v>
      </c>
      <c r="D6679" t="s">
        <v>6322</v>
      </c>
      <c r="E6679" t="s">
        <v>717</v>
      </c>
      <c r="F6679" t="s">
        <v>88</v>
      </c>
      <c r="G6679" t="s">
        <v>88</v>
      </c>
      <c r="H6679" t="s">
        <v>92</v>
      </c>
    </row>
    <row r="6680" spans="1:8" x14ac:dyDescent="0.25">
      <c r="A6680" t="s">
        <v>268</v>
      </c>
      <c r="B6680" t="s">
        <v>6323</v>
      </c>
      <c r="C6680" t="s">
        <v>88</v>
      </c>
      <c r="D6680" t="s">
        <v>6324</v>
      </c>
      <c r="E6680" t="s">
        <v>6325</v>
      </c>
      <c r="F6680" t="s">
        <v>88</v>
      </c>
      <c r="G6680" t="s">
        <v>88</v>
      </c>
      <c r="H6680" t="s">
        <v>92</v>
      </c>
    </row>
    <row r="6681" spans="1:8" x14ac:dyDescent="0.25">
      <c r="A6681" t="s">
        <v>268</v>
      </c>
      <c r="B6681" t="s">
        <v>6326</v>
      </c>
      <c r="C6681" t="s">
        <v>88</v>
      </c>
      <c r="D6681" t="s">
        <v>6327</v>
      </c>
      <c r="E6681" t="s">
        <v>836</v>
      </c>
      <c r="F6681" t="s">
        <v>88</v>
      </c>
      <c r="G6681" t="s">
        <v>88</v>
      </c>
      <c r="H6681" t="s">
        <v>92</v>
      </c>
    </row>
    <row r="6682" spans="1:8" x14ac:dyDescent="0.25">
      <c r="A6682" t="s">
        <v>268</v>
      </c>
      <c r="B6682" t="s">
        <v>6328</v>
      </c>
      <c r="C6682" t="s">
        <v>88</v>
      </c>
      <c r="D6682" t="s">
        <v>6329</v>
      </c>
      <c r="E6682" t="s">
        <v>1255</v>
      </c>
      <c r="F6682" t="s">
        <v>88</v>
      </c>
      <c r="G6682" t="s">
        <v>88</v>
      </c>
      <c r="H6682" t="s">
        <v>92</v>
      </c>
    </row>
    <row r="6683" spans="1:8" x14ac:dyDescent="0.25">
      <c r="A6683" t="s">
        <v>268</v>
      </c>
      <c r="B6683" t="s">
        <v>6330</v>
      </c>
      <c r="C6683" t="s">
        <v>88</v>
      </c>
      <c r="D6683" t="s">
        <v>6331</v>
      </c>
      <c r="E6683" t="s">
        <v>2378</v>
      </c>
      <c r="F6683" t="s">
        <v>88</v>
      </c>
      <c r="G6683" t="s">
        <v>88</v>
      </c>
      <c r="H6683" t="s">
        <v>92</v>
      </c>
    </row>
    <row r="6684" spans="1:8" x14ac:dyDescent="0.25">
      <c r="A6684" t="s">
        <v>268</v>
      </c>
      <c r="B6684" t="s">
        <v>6332</v>
      </c>
      <c r="C6684" t="s">
        <v>88</v>
      </c>
      <c r="D6684" t="s">
        <v>6333</v>
      </c>
      <c r="E6684" t="s">
        <v>6334</v>
      </c>
      <c r="F6684" t="s">
        <v>88</v>
      </c>
      <c r="G6684" t="s">
        <v>88</v>
      </c>
      <c r="H6684" t="s">
        <v>92</v>
      </c>
    </row>
    <row r="6685" spans="1:8" x14ac:dyDescent="0.25">
      <c r="A6685" t="s">
        <v>268</v>
      </c>
      <c r="B6685" t="s">
        <v>6335</v>
      </c>
      <c r="C6685" t="s">
        <v>88</v>
      </c>
      <c r="D6685" t="s">
        <v>6336</v>
      </c>
      <c r="E6685" t="s">
        <v>673</v>
      </c>
      <c r="F6685" t="s">
        <v>88</v>
      </c>
      <c r="G6685" t="s">
        <v>88</v>
      </c>
      <c r="H6685" t="s">
        <v>92</v>
      </c>
    </row>
    <row r="6686" spans="1:8" x14ac:dyDescent="0.25">
      <c r="A6686" t="s">
        <v>268</v>
      </c>
      <c r="B6686" t="s">
        <v>6337</v>
      </c>
      <c r="C6686" t="s">
        <v>88</v>
      </c>
      <c r="D6686" t="s">
        <v>6338</v>
      </c>
      <c r="E6686" t="s">
        <v>1139</v>
      </c>
      <c r="F6686" t="s">
        <v>88</v>
      </c>
      <c r="G6686" t="s">
        <v>88</v>
      </c>
      <c r="H6686" t="s">
        <v>92</v>
      </c>
    </row>
    <row r="6687" spans="1:8" x14ac:dyDescent="0.25">
      <c r="A6687" t="s">
        <v>268</v>
      </c>
      <c r="B6687" t="s">
        <v>6339</v>
      </c>
      <c r="C6687" t="s">
        <v>88</v>
      </c>
      <c r="D6687" t="s">
        <v>6340</v>
      </c>
      <c r="E6687" t="s">
        <v>2833</v>
      </c>
      <c r="F6687" t="s">
        <v>88</v>
      </c>
      <c r="G6687" t="s">
        <v>88</v>
      </c>
      <c r="H6687" t="s">
        <v>92</v>
      </c>
    </row>
    <row r="6688" spans="1:8" x14ac:dyDescent="0.25">
      <c r="A6688" t="s">
        <v>268</v>
      </c>
      <c r="B6688" t="s">
        <v>6341</v>
      </c>
      <c r="C6688" t="s">
        <v>88</v>
      </c>
      <c r="D6688" t="s">
        <v>6342</v>
      </c>
      <c r="E6688" t="s">
        <v>721</v>
      </c>
      <c r="F6688" t="s">
        <v>88</v>
      </c>
      <c r="G6688" t="s">
        <v>88</v>
      </c>
      <c r="H6688" t="s">
        <v>92</v>
      </c>
    </row>
    <row r="6689" spans="1:8" x14ac:dyDescent="0.25">
      <c r="A6689" t="s">
        <v>268</v>
      </c>
      <c r="B6689" t="s">
        <v>6343</v>
      </c>
      <c r="C6689" t="s">
        <v>88</v>
      </c>
      <c r="D6689" t="s">
        <v>6344</v>
      </c>
      <c r="E6689" t="s">
        <v>725</v>
      </c>
      <c r="F6689" t="s">
        <v>88</v>
      </c>
      <c r="G6689" t="s">
        <v>88</v>
      </c>
      <c r="H6689" t="s">
        <v>92</v>
      </c>
    </row>
    <row r="6690" spans="1:8" x14ac:dyDescent="0.25">
      <c r="A6690" t="s">
        <v>268</v>
      </c>
      <c r="B6690" t="s">
        <v>6345</v>
      </c>
      <c r="C6690" t="s">
        <v>88</v>
      </c>
      <c r="D6690" t="s">
        <v>6346</v>
      </c>
      <c r="E6690" t="s">
        <v>717</v>
      </c>
      <c r="F6690" t="s">
        <v>88</v>
      </c>
      <c r="G6690" t="s">
        <v>88</v>
      </c>
      <c r="H6690" t="s">
        <v>92</v>
      </c>
    </row>
    <row r="6691" spans="1:8" x14ac:dyDescent="0.25">
      <c r="A6691" t="s">
        <v>268</v>
      </c>
      <c r="B6691" t="s">
        <v>6347</v>
      </c>
      <c r="C6691" t="s">
        <v>88</v>
      </c>
      <c r="D6691" t="s">
        <v>6348</v>
      </c>
      <c r="E6691" t="s">
        <v>655</v>
      </c>
      <c r="F6691" t="s">
        <v>88</v>
      </c>
      <c r="G6691" t="s">
        <v>88</v>
      </c>
      <c r="H6691" t="s">
        <v>92</v>
      </c>
    </row>
    <row r="6692" spans="1:8" x14ac:dyDescent="0.25">
      <c r="A6692" t="s">
        <v>268</v>
      </c>
      <c r="B6692" t="s">
        <v>6349</v>
      </c>
      <c r="C6692" t="s">
        <v>88</v>
      </c>
      <c r="D6692" t="s">
        <v>6350</v>
      </c>
      <c r="E6692" t="s">
        <v>760</v>
      </c>
      <c r="F6692" t="s">
        <v>88</v>
      </c>
      <c r="G6692" t="s">
        <v>88</v>
      </c>
      <c r="H6692" t="s">
        <v>92</v>
      </c>
    </row>
    <row r="6693" spans="1:8" x14ac:dyDescent="0.25">
      <c r="A6693" t="s">
        <v>268</v>
      </c>
      <c r="B6693" t="s">
        <v>6351</v>
      </c>
      <c r="C6693" t="s">
        <v>88</v>
      </c>
      <c r="D6693" t="s">
        <v>6352</v>
      </c>
      <c r="E6693" t="s">
        <v>6353</v>
      </c>
      <c r="F6693" t="s">
        <v>88</v>
      </c>
      <c r="G6693" t="s">
        <v>88</v>
      </c>
      <c r="H6693" t="s">
        <v>92</v>
      </c>
    </row>
    <row r="6694" spans="1:8" x14ac:dyDescent="0.25">
      <c r="A6694" t="s">
        <v>268</v>
      </c>
      <c r="B6694" t="s">
        <v>1019</v>
      </c>
      <c r="C6694" t="s">
        <v>88</v>
      </c>
      <c r="D6694" t="s">
        <v>6354</v>
      </c>
      <c r="E6694" t="s">
        <v>1221</v>
      </c>
      <c r="F6694" t="s">
        <v>88</v>
      </c>
      <c r="G6694" t="s">
        <v>88</v>
      </c>
      <c r="H6694" t="s">
        <v>92</v>
      </c>
    </row>
    <row r="6695" spans="1:8" x14ac:dyDescent="0.25">
      <c r="A6695" t="s">
        <v>268</v>
      </c>
      <c r="B6695" t="s">
        <v>832</v>
      </c>
      <c r="C6695" t="s">
        <v>88</v>
      </c>
      <c r="D6695" t="s">
        <v>6355</v>
      </c>
      <c r="E6695" t="s">
        <v>760</v>
      </c>
      <c r="F6695" t="s">
        <v>88</v>
      </c>
      <c r="G6695" t="s">
        <v>88</v>
      </c>
      <c r="H6695" t="s">
        <v>92</v>
      </c>
    </row>
    <row r="6696" spans="1:8" x14ac:dyDescent="0.25">
      <c r="A6696" t="s">
        <v>268</v>
      </c>
      <c r="B6696" t="s">
        <v>818</v>
      </c>
      <c r="C6696" t="s">
        <v>88</v>
      </c>
      <c r="D6696" t="s">
        <v>6352</v>
      </c>
      <c r="E6696" t="s">
        <v>6353</v>
      </c>
      <c r="F6696" t="s">
        <v>88</v>
      </c>
      <c r="G6696" t="s">
        <v>88</v>
      </c>
      <c r="H6696" t="s">
        <v>92</v>
      </c>
    </row>
    <row r="6697" spans="1:8" x14ac:dyDescent="0.25">
      <c r="A6697" t="s">
        <v>268</v>
      </c>
      <c r="B6697" t="s">
        <v>837</v>
      </c>
      <c r="C6697" t="s">
        <v>88</v>
      </c>
      <c r="D6697" t="s">
        <v>6356</v>
      </c>
      <c r="E6697" t="s">
        <v>3181</v>
      </c>
      <c r="F6697" t="s">
        <v>88</v>
      </c>
      <c r="G6697" t="s">
        <v>88</v>
      </c>
      <c r="H6697" t="s">
        <v>92</v>
      </c>
    </row>
    <row r="6698" spans="1:8" x14ac:dyDescent="0.25">
      <c r="A6698" t="s">
        <v>268</v>
      </c>
      <c r="B6698" t="s">
        <v>823</v>
      </c>
      <c r="C6698" t="s">
        <v>88</v>
      </c>
      <c r="D6698" t="s">
        <v>6357</v>
      </c>
      <c r="E6698" t="s">
        <v>6358</v>
      </c>
      <c r="F6698" t="s">
        <v>88</v>
      </c>
      <c r="G6698" t="s">
        <v>88</v>
      </c>
      <c r="H6698" t="s">
        <v>92</v>
      </c>
    </row>
    <row r="6699" spans="1:8" x14ac:dyDescent="0.25">
      <c r="A6699" t="s">
        <v>268</v>
      </c>
      <c r="B6699" t="s">
        <v>789</v>
      </c>
      <c r="C6699" t="s">
        <v>88</v>
      </c>
      <c r="D6699" t="s">
        <v>6359</v>
      </c>
      <c r="E6699" t="s">
        <v>1598</v>
      </c>
      <c r="F6699" t="s">
        <v>88</v>
      </c>
      <c r="G6699" t="s">
        <v>88</v>
      </c>
      <c r="H6699" t="s">
        <v>92</v>
      </c>
    </row>
    <row r="6700" spans="1:8" x14ac:dyDescent="0.25">
      <c r="A6700" t="s">
        <v>268</v>
      </c>
      <c r="B6700" t="s">
        <v>6360</v>
      </c>
      <c r="C6700" t="s">
        <v>88</v>
      </c>
      <c r="D6700" t="s">
        <v>6361</v>
      </c>
      <c r="E6700" t="s">
        <v>723</v>
      </c>
      <c r="F6700" t="s">
        <v>88</v>
      </c>
      <c r="G6700" t="s">
        <v>88</v>
      </c>
      <c r="H6700" t="s">
        <v>92</v>
      </c>
    </row>
    <row r="6701" spans="1:8" x14ac:dyDescent="0.25">
      <c r="A6701" t="s">
        <v>268</v>
      </c>
      <c r="B6701" t="s">
        <v>6362</v>
      </c>
      <c r="C6701" t="s">
        <v>88</v>
      </c>
      <c r="D6701" t="s">
        <v>6363</v>
      </c>
      <c r="E6701" t="s">
        <v>715</v>
      </c>
      <c r="F6701" t="s">
        <v>88</v>
      </c>
      <c r="G6701" t="s">
        <v>88</v>
      </c>
      <c r="H6701" t="s">
        <v>92</v>
      </c>
    </row>
    <row r="6702" spans="1:8" x14ac:dyDescent="0.25">
      <c r="A6702" t="s">
        <v>268</v>
      </c>
      <c r="B6702" t="s">
        <v>6364</v>
      </c>
      <c r="C6702" t="s">
        <v>88</v>
      </c>
      <c r="D6702" t="s">
        <v>6365</v>
      </c>
      <c r="E6702" t="s">
        <v>1971</v>
      </c>
      <c r="F6702" t="s">
        <v>88</v>
      </c>
      <c r="G6702" t="s">
        <v>88</v>
      </c>
      <c r="H6702" t="s">
        <v>92</v>
      </c>
    </row>
    <row r="6703" spans="1:8" x14ac:dyDescent="0.25">
      <c r="A6703" t="s">
        <v>268</v>
      </c>
      <c r="B6703" t="s">
        <v>6366</v>
      </c>
      <c r="C6703" t="s">
        <v>88</v>
      </c>
      <c r="D6703" t="s">
        <v>6367</v>
      </c>
      <c r="E6703" t="s">
        <v>679</v>
      </c>
      <c r="F6703" t="s">
        <v>88</v>
      </c>
      <c r="G6703" t="s">
        <v>88</v>
      </c>
      <c r="H6703" t="s">
        <v>92</v>
      </c>
    </row>
    <row r="6704" spans="1:8" x14ac:dyDescent="0.25">
      <c r="A6704" t="s">
        <v>268</v>
      </c>
      <c r="B6704" t="s">
        <v>6368</v>
      </c>
      <c r="C6704" t="s">
        <v>88</v>
      </c>
      <c r="D6704" t="s">
        <v>6369</v>
      </c>
      <c r="E6704" t="s">
        <v>723</v>
      </c>
      <c r="F6704" t="s">
        <v>88</v>
      </c>
      <c r="G6704" t="s">
        <v>88</v>
      </c>
      <c r="H6704" t="s">
        <v>92</v>
      </c>
    </row>
    <row r="6705" spans="1:8" x14ac:dyDescent="0.25">
      <c r="A6705" t="s">
        <v>268</v>
      </c>
      <c r="B6705" t="s">
        <v>6370</v>
      </c>
      <c r="C6705" t="s">
        <v>88</v>
      </c>
      <c r="D6705" t="s">
        <v>6371</v>
      </c>
      <c r="E6705" t="s">
        <v>2513</v>
      </c>
      <c r="F6705" t="s">
        <v>88</v>
      </c>
      <c r="G6705" t="s">
        <v>88</v>
      </c>
      <c r="H6705" t="s">
        <v>92</v>
      </c>
    </row>
    <row r="6706" spans="1:8" x14ac:dyDescent="0.25">
      <c r="A6706" t="s">
        <v>268</v>
      </c>
      <c r="B6706" t="s">
        <v>854</v>
      </c>
      <c r="C6706" t="s">
        <v>88</v>
      </c>
      <c r="D6706" t="s">
        <v>6372</v>
      </c>
      <c r="E6706" t="s">
        <v>2513</v>
      </c>
      <c r="F6706" t="s">
        <v>88</v>
      </c>
      <c r="G6706" t="s">
        <v>88</v>
      </c>
      <c r="H6706" t="s">
        <v>92</v>
      </c>
    </row>
    <row r="6707" spans="1:8" x14ac:dyDescent="0.25">
      <c r="A6707" t="s">
        <v>268</v>
      </c>
      <c r="B6707" t="s">
        <v>3203</v>
      </c>
      <c r="C6707" t="s">
        <v>88</v>
      </c>
      <c r="D6707" t="s">
        <v>6373</v>
      </c>
      <c r="E6707" t="s">
        <v>2513</v>
      </c>
      <c r="F6707" t="s">
        <v>88</v>
      </c>
      <c r="G6707" t="s">
        <v>88</v>
      </c>
      <c r="H6707" t="s">
        <v>92</v>
      </c>
    </row>
    <row r="6708" spans="1:8" x14ac:dyDescent="0.25">
      <c r="A6708" t="s">
        <v>268</v>
      </c>
      <c r="B6708" t="s">
        <v>6374</v>
      </c>
      <c r="C6708" t="s">
        <v>88</v>
      </c>
      <c r="D6708" t="s">
        <v>6375</v>
      </c>
      <c r="E6708" t="s">
        <v>1377</v>
      </c>
      <c r="F6708" t="s">
        <v>88</v>
      </c>
      <c r="G6708" t="s">
        <v>88</v>
      </c>
      <c r="H6708" t="s">
        <v>92</v>
      </c>
    </row>
    <row r="6709" spans="1:8" x14ac:dyDescent="0.25">
      <c r="A6709" t="s">
        <v>268</v>
      </c>
      <c r="B6709" t="s">
        <v>6376</v>
      </c>
      <c r="C6709" t="s">
        <v>88</v>
      </c>
      <c r="D6709" t="s">
        <v>88</v>
      </c>
      <c r="E6709" t="s">
        <v>6377</v>
      </c>
      <c r="F6709" t="s">
        <v>88</v>
      </c>
      <c r="G6709" t="s">
        <v>88</v>
      </c>
      <c r="H6709" t="s">
        <v>92</v>
      </c>
    </row>
    <row r="6710" spans="1:8" x14ac:dyDescent="0.25">
      <c r="A6710" t="s">
        <v>268</v>
      </c>
      <c r="B6710" t="s">
        <v>6378</v>
      </c>
      <c r="C6710" t="s">
        <v>88</v>
      </c>
      <c r="D6710" t="s">
        <v>88</v>
      </c>
      <c r="E6710" t="s">
        <v>2360</v>
      </c>
      <c r="F6710" t="s">
        <v>88</v>
      </c>
      <c r="G6710" t="s">
        <v>88</v>
      </c>
      <c r="H6710" t="s">
        <v>92</v>
      </c>
    </row>
    <row r="6711" spans="1:8" x14ac:dyDescent="0.25">
      <c r="A6711" t="s">
        <v>268</v>
      </c>
      <c r="B6711" t="s">
        <v>6379</v>
      </c>
      <c r="C6711" t="s">
        <v>88</v>
      </c>
      <c r="D6711" t="s">
        <v>88</v>
      </c>
      <c r="E6711" t="s">
        <v>2805</v>
      </c>
      <c r="F6711" t="s">
        <v>88</v>
      </c>
      <c r="G6711" t="s">
        <v>88</v>
      </c>
      <c r="H6711" t="s">
        <v>92</v>
      </c>
    </row>
    <row r="6712" spans="1:8" x14ac:dyDescent="0.25">
      <c r="A6712" t="s">
        <v>268</v>
      </c>
      <c r="B6712" t="s">
        <v>6380</v>
      </c>
      <c r="C6712" t="s">
        <v>88</v>
      </c>
      <c r="D6712" t="s">
        <v>88</v>
      </c>
      <c r="E6712" t="s">
        <v>710</v>
      </c>
      <c r="F6712" t="s">
        <v>88</v>
      </c>
      <c r="G6712" t="s">
        <v>88</v>
      </c>
      <c r="H6712" t="s">
        <v>92</v>
      </c>
    </row>
    <row r="6713" spans="1:8" x14ac:dyDescent="0.25">
      <c r="A6713" t="s">
        <v>268</v>
      </c>
      <c r="B6713" t="s">
        <v>6381</v>
      </c>
      <c r="C6713" t="s">
        <v>88</v>
      </c>
      <c r="D6713" t="s">
        <v>88</v>
      </c>
      <c r="E6713" t="s">
        <v>6382</v>
      </c>
      <c r="F6713" t="s">
        <v>88</v>
      </c>
      <c r="G6713" t="s">
        <v>88</v>
      </c>
      <c r="H6713" t="s">
        <v>92</v>
      </c>
    </row>
    <row r="6714" spans="1:8" x14ac:dyDescent="0.25">
      <c r="A6714" t="s">
        <v>268</v>
      </c>
      <c r="B6714" t="s">
        <v>6383</v>
      </c>
      <c r="C6714" t="s">
        <v>88</v>
      </c>
      <c r="D6714" t="s">
        <v>88</v>
      </c>
      <c r="E6714" t="s">
        <v>6377</v>
      </c>
      <c r="F6714" t="s">
        <v>88</v>
      </c>
      <c r="G6714" t="s">
        <v>88</v>
      </c>
      <c r="H6714" t="s">
        <v>92</v>
      </c>
    </row>
    <row r="6715" spans="1:8" x14ac:dyDescent="0.25">
      <c r="A6715" t="s">
        <v>268</v>
      </c>
      <c r="B6715" t="s">
        <v>6384</v>
      </c>
      <c r="C6715" t="s">
        <v>88</v>
      </c>
      <c r="D6715" t="s">
        <v>88</v>
      </c>
      <c r="E6715" t="s">
        <v>6377</v>
      </c>
      <c r="F6715" t="s">
        <v>88</v>
      </c>
      <c r="G6715" t="s">
        <v>88</v>
      </c>
      <c r="H6715" t="s">
        <v>92</v>
      </c>
    </row>
    <row r="6716" spans="1:8" x14ac:dyDescent="0.25">
      <c r="A6716" t="s">
        <v>268</v>
      </c>
      <c r="B6716" t="s">
        <v>6385</v>
      </c>
      <c r="C6716" t="s">
        <v>88</v>
      </c>
      <c r="D6716" t="s">
        <v>88</v>
      </c>
      <c r="E6716" t="s">
        <v>2360</v>
      </c>
      <c r="F6716" t="s">
        <v>88</v>
      </c>
      <c r="G6716" t="s">
        <v>88</v>
      </c>
      <c r="H6716" t="s">
        <v>92</v>
      </c>
    </row>
    <row r="6717" spans="1:8" x14ac:dyDescent="0.25">
      <c r="A6717" t="s">
        <v>268</v>
      </c>
      <c r="B6717" t="s">
        <v>6386</v>
      </c>
      <c r="C6717" t="s">
        <v>88</v>
      </c>
      <c r="D6717" t="s">
        <v>88</v>
      </c>
      <c r="E6717" t="s">
        <v>2360</v>
      </c>
      <c r="F6717" t="s">
        <v>88</v>
      </c>
      <c r="G6717" t="s">
        <v>88</v>
      </c>
      <c r="H6717" t="s">
        <v>92</v>
      </c>
    </row>
    <row r="6718" spans="1:8" x14ac:dyDescent="0.25">
      <c r="A6718" t="s">
        <v>268</v>
      </c>
      <c r="B6718" t="s">
        <v>6387</v>
      </c>
      <c r="C6718" t="s">
        <v>88</v>
      </c>
      <c r="D6718" t="s">
        <v>88</v>
      </c>
      <c r="E6718" t="s">
        <v>2360</v>
      </c>
      <c r="F6718" t="s">
        <v>88</v>
      </c>
      <c r="G6718" t="s">
        <v>88</v>
      </c>
      <c r="H6718" t="s">
        <v>92</v>
      </c>
    </row>
    <row r="6719" spans="1:8" x14ac:dyDescent="0.25">
      <c r="A6719" t="s">
        <v>268</v>
      </c>
      <c r="B6719" t="s">
        <v>6388</v>
      </c>
      <c r="C6719" t="s">
        <v>88</v>
      </c>
      <c r="D6719" t="s">
        <v>88</v>
      </c>
      <c r="E6719" t="s">
        <v>2360</v>
      </c>
      <c r="F6719" t="s">
        <v>88</v>
      </c>
      <c r="G6719" t="s">
        <v>88</v>
      </c>
      <c r="H6719" t="s">
        <v>92</v>
      </c>
    </row>
    <row r="6720" spans="1:8" x14ac:dyDescent="0.25">
      <c r="A6720" t="s">
        <v>268</v>
      </c>
      <c r="B6720" t="s">
        <v>6389</v>
      </c>
      <c r="C6720" t="s">
        <v>88</v>
      </c>
      <c r="D6720" t="s">
        <v>88</v>
      </c>
      <c r="E6720" t="s">
        <v>725</v>
      </c>
      <c r="F6720" t="s">
        <v>88</v>
      </c>
      <c r="G6720" t="s">
        <v>88</v>
      </c>
      <c r="H6720" t="s">
        <v>92</v>
      </c>
    </row>
    <row r="6721" spans="1:8" x14ac:dyDescent="0.25">
      <c r="A6721" t="s">
        <v>268</v>
      </c>
      <c r="B6721" t="s">
        <v>6390</v>
      </c>
      <c r="C6721" t="s">
        <v>88</v>
      </c>
      <c r="D6721" t="s">
        <v>88</v>
      </c>
      <c r="E6721" t="s">
        <v>725</v>
      </c>
      <c r="F6721" t="s">
        <v>88</v>
      </c>
      <c r="G6721" t="s">
        <v>88</v>
      </c>
      <c r="H6721" t="s">
        <v>92</v>
      </c>
    </row>
    <row r="6722" spans="1:8" x14ac:dyDescent="0.25">
      <c r="A6722" t="s">
        <v>268</v>
      </c>
      <c r="B6722" t="s">
        <v>6391</v>
      </c>
      <c r="C6722" t="s">
        <v>88</v>
      </c>
      <c r="D6722" t="s">
        <v>88</v>
      </c>
      <c r="E6722" t="s">
        <v>725</v>
      </c>
      <c r="F6722" t="s">
        <v>88</v>
      </c>
      <c r="G6722" t="s">
        <v>88</v>
      </c>
      <c r="H6722" t="s">
        <v>92</v>
      </c>
    </row>
    <row r="6723" spans="1:8" x14ac:dyDescent="0.25">
      <c r="A6723" t="s">
        <v>268</v>
      </c>
      <c r="B6723" t="s">
        <v>6392</v>
      </c>
      <c r="C6723" t="s">
        <v>88</v>
      </c>
      <c r="D6723" t="s">
        <v>88</v>
      </c>
      <c r="E6723" t="s">
        <v>725</v>
      </c>
      <c r="F6723" t="s">
        <v>88</v>
      </c>
      <c r="G6723" t="s">
        <v>88</v>
      </c>
      <c r="H6723" t="s">
        <v>92</v>
      </c>
    </row>
    <row r="6724" spans="1:8" x14ac:dyDescent="0.25">
      <c r="A6724" t="s">
        <v>268</v>
      </c>
      <c r="B6724" t="s">
        <v>6393</v>
      </c>
      <c r="C6724" t="s">
        <v>88</v>
      </c>
      <c r="D6724" t="s">
        <v>88</v>
      </c>
      <c r="E6724" t="s">
        <v>725</v>
      </c>
      <c r="F6724" t="s">
        <v>88</v>
      </c>
      <c r="G6724" t="s">
        <v>88</v>
      </c>
      <c r="H6724" t="s">
        <v>92</v>
      </c>
    </row>
    <row r="6725" spans="1:8" x14ac:dyDescent="0.25">
      <c r="A6725" t="s">
        <v>268</v>
      </c>
      <c r="B6725" t="s">
        <v>6394</v>
      </c>
      <c r="C6725" t="s">
        <v>88</v>
      </c>
      <c r="D6725" t="s">
        <v>88</v>
      </c>
      <c r="E6725" t="s">
        <v>1596</v>
      </c>
      <c r="F6725" t="s">
        <v>88</v>
      </c>
      <c r="G6725" t="s">
        <v>88</v>
      </c>
      <c r="H6725" t="s">
        <v>92</v>
      </c>
    </row>
    <row r="6726" spans="1:8" x14ac:dyDescent="0.25">
      <c r="A6726" t="s">
        <v>268</v>
      </c>
      <c r="B6726" t="s">
        <v>6395</v>
      </c>
      <c r="C6726" t="s">
        <v>88</v>
      </c>
      <c r="D6726" t="s">
        <v>88</v>
      </c>
      <c r="E6726" t="s">
        <v>1596</v>
      </c>
      <c r="F6726" t="s">
        <v>88</v>
      </c>
      <c r="G6726" t="s">
        <v>88</v>
      </c>
      <c r="H6726" t="s">
        <v>92</v>
      </c>
    </row>
    <row r="6727" spans="1:8" x14ac:dyDescent="0.25">
      <c r="A6727" t="s">
        <v>268</v>
      </c>
      <c r="B6727" t="s">
        <v>6396</v>
      </c>
      <c r="C6727" t="s">
        <v>88</v>
      </c>
      <c r="D6727" t="s">
        <v>88</v>
      </c>
      <c r="E6727" t="s">
        <v>1596</v>
      </c>
      <c r="F6727" t="s">
        <v>88</v>
      </c>
      <c r="G6727" t="s">
        <v>88</v>
      </c>
      <c r="H6727" t="s">
        <v>92</v>
      </c>
    </row>
    <row r="6728" spans="1:8" x14ac:dyDescent="0.25">
      <c r="A6728" t="s">
        <v>268</v>
      </c>
      <c r="B6728" t="s">
        <v>6397</v>
      </c>
      <c r="C6728" t="s">
        <v>88</v>
      </c>
      <c r="D6728" t="s">
        <v>88</v>
      </c>
      <c r="E6728" t="s">
        <v>1596</v>
      </c>
      <c r="F6728" t="s">
        <v>88</v>
      </c>
      <c r="G6728" t="s">
        <v>88</v>
      </c>
      <c r="H6728" t="s">
        <v>92</v>
      </c>
    </row>
    <row r="6729" spans="1:8" x14ac:dyDescent="0.25">
      <c r="A6729" t="s">
        <v>268</v>
      </c>
      <c r="B6729" t="s">
        <v>6398</v>
      </c>
      <c r="C6729" t="s">
        <v>88</v>
      </c>
      <c r="D6729" t="s">
        <v>88</v>
      </c>
      <c r="E6729" t="s">
        <v>886</v>
      </c>
      <c r="F6729" t="s">
        <v>88</v>
      </c>
      <c r="G6729" t="s">
        <v>88</v>
      </c>
      <c r="H6729" t="s">
        <v>92</v>
      </c>
    </row>
    <row r="6730" spans="1:8" x14ac:dyDescent="0.25">
      <c r="A6730" t="s">
        <v>268</v>
      </c>
      <c r="B6730" t="s">
        <v>6399</v>
      </c>
      <c r="C6730" t="s">
        <v>88</v>
      </c>
      <c r="D6730" t="s">
        <v>88</v>
      </c>
      <c r="E6730" t="s">
        <v>886</v>
      </c>
      <c r="F6730" t="s">
        <v>88</v>
      </c>
      <c r="G6730" t="s">
        <v>88</v>
      </c>
      <c r="H6730" t="s">
        <v>92</v>
      </c>
    </row>
    <row r="6731" spans="1:8" x14ac:dyDescent="0.25">
      <c r="A6731" t="s">
        <v>268</v>
      </c>
      <c r="B6731" t="s">
        <v>6400</v>
      </c>
      <c r="C6731" t="s">
        <v>88</v>
      </c>
      <c r="D6731" t="s">
        <v>88</v>
      </c>
      <c r="E6731" t="s">
        <v>1377</v>
      </c>
      <c r="F6731" t="s">
        <v>88</v>
      </c>
      <c r="G6731" t="s">
        <v>88</v>
      </c>
      <c r="H6731" t="s">
        <v>92</v>
      </c>
    </row>
    <row r="6732" spans="1:8" x14ac:dyDescent="0.25">
      <c r="A6732" t="s">
        <v>268</v>
      </c>
      <c r="B6732" t="s">
        <v>6401</v>
      </c>
      <c r="C6732" t="s">
        <v>88</v>
      </c>
      <c r="D6732" t="s">
        <v>88</v>
      </c>
      <c r="E6732" t="s">
        <v>2193</v>
      </c>
      <c r="F6732" t="s">
        <v>88</v>
      </c>
      <c r="G6732" t="s">
        <v>88</v>
      </c>
      <c r="H6732" t="s">
        <v>92</v>
      </c>
    </row>
    <row r="6733" spans="1:8" x14ac:dyDescent="0.25">
      <c r="A6733" t="s">
        <v>268</v>
      </c>
      <c r="B6733" t="s">
        <v>6402</v>
      </c>
      <c r="C6733" t="s">
        <v>88</v>
      </c>
      <c r="D6733" t="s">
        <v>88</v>
      </c>
      <c r="E6733" t="s">
        <v>2193</v>
      </c>
      <c r="F6733" t="s">
        <v>88</v>
      </c>
      <c r="G6733" t="s">
        <v>88</v>
      </c>
      <c r="H6733" t="s">
        <v>92</v>
      </c>
    </row>
    <row r="6734" spans="1:8" x14ac:dyDescent="0.25">
      <c r="A6734" t="s">
        <v>268</v>
      </c>
      <c r="B6734" t="s">
        <v>6403</v>
      </c>
      <c r="C6734" t="s">
        <v>88</v>
      </c>
      <c r="D6734" t="s">
        <v>88</v>
      </c>
      <c r="E6734" t="s">
        <v>2193</v>
      </c>
      <c r="F6734" t="s">
        <v>88</v>
      </c>
      <c r="G6734" t="s">
        <v>88</v>
      </c>
      <c r="H6734" t="s">
        <v>92</v>
      </c>
    </row>
    <row r="6735" spans="1:8" x14ac:dyDescent="0.25">
      <c r="A6735" t="s">
        <v>268</v>
      </c>
      <c r="B6735" t="s">
        <v>6404</v>
      </c>
      <c r="C6735" t="s">
        <v>88</v>
      </c>
      <c r="D6735" t="s">
        <v>88</v>
      </c>
      <c r="E6735" t="s">
        <v>738</v>
      </c>
      <c r="F6735" t="s">
        <v>88</v>
      </c>
      <c r="G6735" t="s">
        <v>88</v>
      </c>
      <c r="H6735" t="s">
        <v>92</v>
      </c>
    </row>
    <row r="6736" spans="1:8" x14ac:dyDescent="0.25">
      <c r="A6736" t="s">
        <v>268</v>
      </c>
      <c r="B6736" t="s">
        <v>6405</v>
      </c>
      <c r="C6736" t="s">
        <v>88</v>
      </c>
      <c r="D6736" t="s">
        <v>88</v>
      </c>
      <c r="E6736" t="s">
        <v>738</v>
      </c>
      <c r="F6736" t="s">
        <v>88</v>
      </c>
      <c r="G6736" t="s">
        <v>88</v>
      </c>
      <c r="H6736" t="s">
        <v>92</v>
      </c>
    </row>
    <row r="6737" spans="1:8" x14ac:dyDescent="0.25">
      <c r="A6737" t="s">
        <v>268</v>
      </c>
      <c r="B6737" t="s">
        <v>6406</v>
      </c>
      <c r="C6737" t="s">
        <v>88</v>
      </c>
      <c r="D6737" t="s">
        <v>88</v>
      </c>
      <c r="E6737" t="s">
        <v>738</v>
      </c>
      <c r="F6737" t="s">
        <v>88</v>
      </c>
      <c r="G6737" t="s">
        <v>88</v>
      </c>
      <c r="H6737" t="s">
        <v>92</v>
      </c>
    </row>
    <row r="6738" spans="1:8" x14ac:dyDescent="0.25">
      <c r="A6738" t="s">
        <v>268</v>
      </c>
      <c r="B6738" t="s">
        <v>6407</v>
      </c>
      <c r="C6738" t="s">
        <v>88</v>
      </c>
      <c r="D6738" t="s">
        <v>88</v>
      </c>
      <c r="E6738" t="s">
        <v>1221</v>
      </c>
      <c r="F6738" t="s">
        <v>88</v>
      </c>
      <c r="G6738" t="s">
        <v>88</v>
      </c>
      <c r="H6738" t="s">
        <v>92</v>
      </c>
    </row>
    <row r="6739" spans="1:8" x14ac:dyDescent="0.25">
      <c r="A6739" t="s">
        <v>268</v>
      </c>
      <c r="B6739" t="s">
        <v>6408</v>
      </c>
      <c r="C6739" t="s">
        <v>88</v>
      </c>
      <c r="D6739" t="s">
        <v>88</v>
      </c>
      <c r="E6739" t="s">
        <v>886</v>
      </c>
      <c r="F6739" t="s">
        <v>88</v>
      </c>
      <c r="G6739" t="s">
        <v>88</v>
      </c>
      <c r="H6739" t="s">
        <v>92</v>
      </c>
    </row>
    <row r="6740" spans="1:8" x14ac:dyDescent="0.25">
      <c r="A6740" t="s">
        <v>268</v>
      </c>
      <c r="B6740" t="s">
        <v>6409</v>
      </c>
      <c r="C6740" t="s">
        <v>88</v>
      </c>
      <c r="D6740" t="s">
        <v>88</v>
      </c>
      <c r="E6740" t="s">
        <v>738</v>
      </c>
      <c r="F6740" t="s">
        <v>88</v>
      </c>
      <c r="G6740" t="s">
        <v>88</v>
      </c>
      <c r="H6740" t="s">
        <v>92</v>
      </c>
    </row>
    <row r="6741" spans="1:8" x14ac:dyDescent="0.25">
      <c r="A6741" t="s">
        <v>268</v>
      </c>
      <c r="B6741" t="s">
        <v>6410</v>
      </c>
      <c r="C6741" t="s">
        <v>88</v>
      </c>
      <c r="D6741" t="s">
        <v>88</v>
      </c>
      <c r="E6741" t="s">
        <v>959</v>
      </c>
      <c r="F6741" t="s">
        <v>88</v>
      </c>
      <c r="G6741" t="s">
        <v>88</v>
      </c>
      <c r="H6741" t="s">
        <v>92</v>
      </c>
    </row>
    <row r="6742" spans="1:8" x14ac:dyDescent="0.25">
      <c r="A6742" t="s">
        <v>268</v>
      </c>
      <c r="B6742" t="s">
        <v>6411</v>
      </c>
      <c r="C6742" t="s">
        <v>88</v>
      </c>
      <c r="D6742" t="s">
        <v>6412</v>
      </c>
      <c r="E6742" t="s">
        <v>1221</v>
      </c>
      <c r="F6742" t="s">
        <v>88</v>
      </c>
      <c r="G6742" t="s">
        <v>88</v>
      </c>
      <c r="H6742" t="s">
        <v>92</v>
      </c>
    </row>
    <row r="6743" spans="1:8" x14ac:dyDescent="0.25">
      <c r="A6743" t="s">
        <v>268</v>
      </c>
      <c r="B6743" t="s">
        <v>6413</v>
      </c>
      <c r="C6743" t="s">
        <v>88</v>
      </c>
      <c r="D6743" t="s">
        <v>6414</v>
      </c>
      <c r="E6743" t="s">
        <v>1241</v>
      </c>
      <c r="F6743" t="s">
        <v>88</v>
      </c>
      <c r="G6743" t="s">
        <v>88</v>
      </c>
      <c r="H6743" t="s">
        <v>92</v>
      </c>
    </row>
    <row r="6744" spans="1:8" x14ac:dyDescent="0.25">
      <c r="A6744" t="s">
        <v>268</v>
      </c>
      <c r="B6744" t="s">
        <v>6415</v>
      </c>
      <c r="C6744" t="s">
        <v>88</v>
      </c>
      <c r="D6744" t="s">
        <v>6416</v>
      </c>
      <c r="E6744" t="s">
        <v>883</v>
      </c>
      <c r="F6744" t="s">
        <v>88</v>
      </c>
      <c r="G6744" t="s">
        <v>88</v>
      </c>
      <c r="H6744" t="s">
        <v>92</v>
      </c>
    </row>
    <row r="6745" spans="1:8" x14ac:dyDescent="0.25">
      <c r="A6745" t="s">
        <v>268</v>
      </c>
      <c r="B6745" t="s">
        <v>6417</v>
      </c>
      <c r="C6745" t="s">
        <v>88</v>
      </c>
      <c r="D6745" t="s">
        <v>88</v>
      </c>
      <c r="E6745" t="s">
        <v>1323</v>
      </c>
      <c r="F6745" t="s">
        <v>88</v>
      </c>
      <c r="G6745" t="s">
        <v>88</v>
      </c>
      <c r="H6745" t="s">
        <v>92</v>
      </c>
    </row>
    <row r="6746" spans="1:8" x14ac:dyDescent="0.25">
      <c r="A6746" t="s">
        <v>268</v>
      </c>
      <c r="B6746" t="s">
        <v>6418</v>
      </c>
      <c r="C6746" t="s">
        <v>88</v>
      </c>
      <c r="D6746" t="s">
        <v>6419</v>
      </c>
      <c r="E6746" t="s">
        <v>700</v>
      </c>
      <c r="F6746" t="s">
        <v>88</v>
      </c>
      <c r="G6746" t="s">
        <v>88</v>
      </c>
      <c r="H6746" t="s">
        <v>92</v>
      </c>
    </row>
    <row r="6747" spans="1:8" x14ac:dyDescent="0.25">
      <c r="A6747" t="s">
        <v>268</v>
      </c>
      <c r="B6747" t="s">
        <v>6420</v>
      </c>
      <c r="C6747" t="s">
        <v>88</v>
      </c>
      <c r="D6747" t="s">
        <v>6421</v>
      </c>
      <c r="E6747" t="s">
        <v>1971</v>
      </c>
      <c r="F6747" t="s">
        <v>88</v>
      </c>
      <c r="G6747" t="s">
        <v>88</v>
      </c>
      <c r="H6747" t="s">
        <v>92</v>
      </c>
    </row>
    <row r="6748" spans="1:8" x14ac:dyDescent="0.25">
      <c r="A6748" t="s">
        <v>268</v>
      </c>
      <c r="B6748" t="s">
        <v>6422</v>
      </c>
      <c r="C6748" t="s">
        <v>88</v>
      </c>
      <c r="D6748" t="s">
        <v>6423</v>
      </c>
      <c r="E6748" t="s">
        <v>725</v>
      </c>
      <c r="F6748" t="s">
        <v>88</v>
      </c>
      <c r="G6748" t="s">
        <v>88</v>
      </c>
      <c r="H6748" t="s">
        <v>92</v>
      </c>
    </row>
    <row r="6749" spans="1:8" x14ac:dyDescent="0.25">
      <c r="A6749" t="s">
        <v>268</v>
      </c>
      <c r="B6749" t="s">
        <v>6424</v>
      </c>
      <c r="C6749" t="s">
        <v>88</v>
      </c>
      <c r="D6749" t="s">
        <v>88</v>
      </c>
      <c r="E6749" t="s">
        <v>2513</v>
      </c>
      <c r="F6749" t="s">
        <v>88</v>
      </c>
      <c r="G6749" t="s">
        <v>88</v>
      </c>
      <c r="H6749" t="s">
        <v>92</v>
      </c>
    </row>
    <row r="6750" spans="1:8" x14ac:dyDescent="0.25">
      <c r="A6750" t="s">
        <v>268</v>
      </c>
      <c r="B6750" t="s">
        <v>6425</v>
      </c>
      <c r="C6750" t="s">
        <v>88</v>
      </c>
      <c r="D6750" t="s">
        <v>88</v>
      </c>
      <c r="E6750" t="s">
        <v>2513</v>
      </c>
      <c r="F6750" t="s">
        <v>88</v>
      </c>
      <c r="G6750" t="s">
        <v>88</v>
      </c>
      <c r="H6750" t="s">
        <v>92</v>
      </c>
    </row>
    <row r="6751" spans="1:8" x14ac:dyDescent="0.25">
      <c r="A6751" t="s">
        <v>268</v>
      </c>
      <c r="B6751" t="s">
        <v>6426</v>
      </c>
      <c r="C6751" t="s">
        <v>88</v>
      </c>
      <c r="D6751" t="s">
        <v>88</v>
      </c>
      <c r="E6751" t="s">
        <v>2193</v>
      </c>
      <c r="F6751" t="s">
        <v>88</v>
      </c>
      <c r="G6751" t="s">
        <v>88</v>
      </c>
      <c r="H6751" t="s">
        <v>92</v>
      </c>
    </row>
    <row r="6752" spans="1:8" x14ac:dyDescent="0.25">
      <c r="A6752" t="s">
        <v>268</v>
      </c>
      <c r="B6752" t="s">
        <v>6427</v>
      </c>
      <c r="C6752" t="s">
        <v>88</v>
      </c>
      <c r="D6752" t="s">
        <v>88</v>
      </c>
      <c r="E6752" t="s">
        <v>2513</v>
      </c>
      <c r="F6752" t="s">
        <v>88</v>
      </c>
      <c r="G6752" t="s">
        <v>88</v>
      </c>
      <c r="H6752" t="s">
        <v>92</v>
      </c>
    </row>
    <row r="6753" spans="1:8" x14ac:dyDescent="0.25">
      <c r="A6753" t="s">
        <v>268</v>
      </c>
      <c r="B6753" t="s">
        <v>6428</v>
      </c>
      <c r="C6753" t="s">
        <v>88</v>
      </c>
      <c r="D6753" t="s">
        <v>88</v>
      </c>
      <c r="E6753" t="s">
        <v>2513</v>
      </c>
      <c r="F6753" t="s">
        <v>88</v>
      </c>
      <c r="G6753" t="s">
        <v>88</v>
      </c>
      <c r="H6753" t="s">
        <v>92</v>
      </c>
    </row>
    <row r="6754" spans="1:8" x14ac:dyDescent="0.25">
      <c r="A6754" t="s">
        <v>268</v>
      </c>
      <c r="B6754" t="s">
        <v>4904</v>
      </c>
      <c r="C6754" t="s">
        <v>88</v>
      </c>
      <c r="D6754" t="s">
        <v>88</v>
      </c>
      <c r="E6754" t="s">
        <v>2513</v>
      </c>
      <c r="F6754" t="s">
        <v>88</v>
      </c>
      <c r="G6754" t="s">
        <v>88</v>
      </c>
      <c r="H6754" t="s">
        <v>92</v>
      </c>
    </row>
    <row r="6755" spans="1:8" x14ac:dyDescent="0.25">
      <c r="A6755" t="s">
        <v>268</v>
      </c>
      <c r="B6755" t="s">
        <v>6429</v>
      </c>
      <c r="C6755" t="s">
        <v>88</v>
      </c>
      <c r="D6755" t="s">
        <v>88</v>
      </c>
      <c r="E6755" t="s">
        <v>886</v>
      </c>
      <c r="F6755" t="s">
        <v>88</v>
      </c>
      <c r="G6755" t="s">
        <v>88</v>
      </c>
      <c r="H6755" t="s">
        <v>92</v>
      </c>
    </row>
    <row r="6756" spans="1:8" x14ac:dyDescent="0.25">
      <c r="A6756" t="s">
        <v>268</v>
      </c>
      <c r="B6756" t="s">
        <v>6430</v>
      </c>
      <c r="C6756" t="s">
        <v>88</v>
      </c>
      <c r="D6756" t="s">
        <v>88</v>
      </c>
      <c r="E6756" t="s">
        <v>2513</v>
      </c>
      <c r="F6756" t="s">
        <v>88</v>
      </c>
      <c r="G6756" t="s">
        <v>88</v>
      </c>
      <c r="H6756" t="s">
        <v>92</v>
      </c>
    </row>
    <row r="6757" spans="1:8" x14ac:dyDescent="0.25">
      <c r="A6757" t="s">
        <v>268</v>
      </c>
      <c r="B6757" t="s">
        <v>6431</v>
      </c>
      <c r="C6757" t="s">
        <v>88</v>
      </c>
      <c r="D6757" t="s">
        <v>88</v>
      </c>
      <c r="E6757" t="s">
        <v>2513</v>
      </c>
      <c r="F6757" t="s">
        <v>88</v>
      </c>
      <c r="G6757" t="s">
        <v>88</v>
      </c>
      <c r="H6757" t="s">
        <v>92</v>
      </c>
    </row>
    <row r="6758" spans="1:8" x14ac:dyDescent="0.25">
      <c r="A6758" t="s">
        <v>268</v>
      </c>
      <c r="B6758" t="s">
        <v>6432</v>
      </c>
      <c r="C6758" t="s">
        <v>88</v>
      </c>
      <c r="D6758" t="s">
        <v>88</v>
      </c>
      <c r="E6758" t="s">
        <v>2513</v>
      </c>
      <c r="F6758" t="s">
        <v>88</v>
      </c>
      <c r="G6758" t="s">
        <v>88</v>
      </c>
      <c r="H6758" t="s">
        <v>92</v>
      </c>
    </row>
    <row r="6759" spans="1:8" x14ac:dyDescent="0.25">
      <c r="A6759" t="s">
        <v>268</v>
      </c>
      <c r="B6759" t="s">
        <v>6433</v>
      </c>
      <c r="C6759" t="s">
        <v>88</v>
      </c>
      <c r="D6759" t="s">
        <v>88</v>
      </c>
      <c r="E6759" t="s">
        <v>2513</v>
      </c>
      <c r="F6759" t="s">
        <v>88</v>
      </c>
      <c r="G6759" t="s">
        <v>88</v>
      </c>
      <c r="H6759" t="s">
        <v>92</v>
      </c>
    </row>
    <row r="6760" spans="1:8" x14ac:dyDescent="0.25">
      <c r="A6760" t="s">
        <v>268</v>
      </c>
      <c r="B6760" t="s">
        <v>6434</v>
      </c>
      <c r="C6760" t="s">
        <v>88</v>
      </c>
      <c r="D6760" t="s">
        <v>88</v>
      </c>
      <c r="E6760" t="s">
        <v>735</v>
      </c>
      <c r="F6760" t="s">
        <v>88</v>
      </c>
      <c r="G6760" t="s">
        <v>88</v>
      </c>
      <c r="H6760" t="s">
        <v>92</v>
      </c>
    </row>
    <row r="6761" spans="1:8" x14ac:dyDescent="0.25">
      <c r="A6761" t="s">
        <v>268</v>
      </c>
      <c r="B6761" t="s">
        <v>6435</v>
      </c>
      <c r="C6761" t="s">
        <v>88</v>
      </c>
      <c r="D6761" t="s">
        <v>88</v>
      </c>
      <c r="E6761" t="s">
        <v>735</v>
      </c>
      <c r="F6761" t="s">
        <v>88</v>
      </c>
      <c r="G6761" t="s">
        <v>88</v>
      </c>
      <c r="H6761" t="s">
        <v>92</v>
      </c>
    </row>
    <row r="6762" spans="1:8" x14ac:dyDescent="0.25">
      <c r="A6762" t="s">
        <v>268</v>
      </c>
      <c r="B6762" t="s">
        <v>6436</v>
      </c>
      <c r="C6762" t="s">
        <v>88</v>
      </c>
      <c r="D6762" t="s">
        <v>88</v>
      </c>
      <c r="E6762" t="s">
        <v>849</v>
      </c>
      <c r="F6762" t="s">
        <v>88</v>
      </c>
      <c r="G6762" t="s">
        <v>88</v>
      </c>
      <c r="H6762" t="s">
        <v>92</v>
      </c>
    </row>
    <row r="6763" spans="1:8" x14ac:dyDescent="0.25">
      <c r="A6763" t="s">
        <v>268</v>
      </c>
      <c r="B6763" t="s">
        <v>6437</v>
      </c>
      <c r="C6763" t="s">
        <v>88</v>
      </c>
      <c r="D6763" t="s">
        <v>88</v>
      </c>
      <c r="E6763" t="s">
        <v>849</v>
      </c>
      <c r="F6763" t="s">
        <v>88</v>
      </c>
      <c r="G6763" t="s">
        <v>88</v>
      </c>
      <c r="H6763" t="s">
        <v>92</v>
      </c>
    </row>
    <row r="6764" spans="1:8" x14ac:dyDescent="0.25">
      <c r="A6764" t="s">
        <v>268</v>
      </c>
      <c r="B6764" t="s">
        <v>6438</v>
      </c>
      <c r="C6764" t="s">
        <v>88</v>
      </c>
      <c r="D6764" t="s">
        <v>88</v>
      </c>
      <c r="E6764" t="s">
        <v>849</v>
      </c>
      <c r="F6764" t="s">
        <v>88</v>
      </c>
      <c r="G6764" t="s">
        <v>88</v>
      </c>
      <c r="H6764" t="s">
        <v>92</v>
      </c>
    </row>
    <row r="6765" spans="1:8" x14ac:dyDescent="0.25">
      <c r="A6765" t="s">
        <v>268</v>
      </c>
      <c r="B6765" t="s">
        <v>845</v>
      </c>
      <c r="C6765" t="s">
        <v>88</v>
      </c>
      <c r="D6765" t="s">
        <v>88</v>
      </c>
      <c r="E6765" t="s">
        <v>735</v>
      </c>
      <c r="F6765" t="s">
        <v>88</v>
      </c>
      <c r="G6765" t="s">
        <v>88</v>
      </c>
      <c r="H6765" t="s">
        <v>92</v>
      </c>
    </row>
    <row r="6766" spans="1:8" x14ac:dyDescent="0.25">
      <c r="A6766" t="s">
        <v>268</v>
      </c>
      <c r="B6766" t="s">
        <v>6439</v>
      </c>
      <c r="C6766" t="s">
        <v>88</v>
      </c>
      <c r="D6766" t="s">
        <v>88</v>
      </c>
      <c r="E6766" t="s">
        <v>799</v>
      </c>
      <c r="F6766" t="s">
        <v>88</v>
      </c>
      <c r="G6766" t="s">
        <v>88</v>
      </c>
      <c r="H6766" t="s">
        <v>92</v>
      </c>
    </row>
    <row r="6767" spans="1:8" x14ac:dyDescent="0.25">
      <c r="A6767" t="s">
        <v>268</v>
      </c>
      <c r="B6767" t="s">
        <v>6440</v>
      </c>
      <c r="C6767" t="s">
        <v>88</v>
      </c>
      <c r="D6767" t="s">
        <v>88</v>
      </c>
      <c r="E6767" t="s">
        <v>735</v>
      </c>
      <c r="F6767" t="s">
        <v>88</v>
      </c>
      <c r="G6767" t="s">
        <v>88</v>
      </c>
      <c r="H6767" t="s">
        <v>92</v>
      </c>
    </row>
    <row r="6768" spans="1:8" x14ac:dyDescent="0.25">
      <c r="A6768" t="s">
        <v>268</v>
      </c>
      <c r="B6768" t="s">
        <v>6441</v>
      </c>
      <c r="C6768" t="s">
        <v>88</v>
      </c>
      <c r="D6768" t="s">
        <v>88</v>
      </c>
      <c r="E6768" t="s">
        <v>1594</v>
      </c>
      <c r="F6768" t="s">
        <v>88</v>
      </c>
      <c r="G6768" t="s">
        <v>88</v>
      </c>
      <c r="H6768" t="s">
        <v>92</v>
      </c>
    </row>
    <row r="6769" spans="1:8" x14ac:dyDescent="0.25">
      <c r="A6769" t="s">
        <v>268</v>
      </c>
      <c r="B6769" t="s">
        <v>6442</v>
      </c>
      <c r="C6769" t="s">
        <v>88</v>
      </c>
      <c r="D6769" t="s">
        <v>88</v>
      </c>
      <c r="E6769" t="s">
        <v>709</v>
      </c>
      <c r="F6769" t="s">
        <v>88</v>
      </c>
      <c r="G6769" t="s">
        <v>88</v>
      </c>
      <c r="H6769" t="s">
        <v>92</v>
      </c>
    </row>
    <row r="6770" spans="1:8" x14ac:dyDescent="0.25">
      <c r="A6770" t="s">
        <v>268</v>
      </c>
      <c r="B6770" t="s">
        <v>6443</v>
      </c>
      <c r="C6770" t="s">
        <v>88</v>
      </c>
      <c r="D6770" t="s">
        <v>88</v>
      </c>
      <c r="E6770" t="s">
        <v>713</v>
      </c>
      <c r="F6770" t="s">
        <v>88</v>
      </c>
      <c r="G6770" t="s">
        <v>88</v>
      </c>
      <c r="H6770" t="s">
        <v>92</v>
      </c>
    </row>
    <row r="6771" spans="1:8" x14ac:dyDescent="0.25">
      <c r="A6771" t="s">
        <v>268</v>
      </c>
      <c r="B6771" t="s">
        <v>6444</v>
      </c>
      <c r="C6771" t="s">
        <v>88</v>
      </c>
      <c r="D6771" t="s">
        <v>88</v>
      </c>
      <c r="E6771" t="s">
        <v>711</v>
      </c>
      <c r="F6771" t="s">
        <v>88</v>
      </c>
      <c r="G6771" t="s">
        <v>88</v>
      </c>
      <c r="H6771" t="s">
        <v>92</v>
      </c>
    </row>
    <row r="6772" spans="1:8" x14ac:dyDescent="0.25">
      <c r="A6772" t="s">
        <v>268</v>
      </c>
      <c r="B6772" t="s">
        <v>6445</v>
      </c>
      <c r="C6772" t="s">
        <v>88</v>
      </c>
      <c r="D6772" t="s">
        <v>88</v>
      </c>
      <c r="E6772" t="s">
        <v>957</v>
      </c>
      <c r="F6772" t="s">
        <v>88</v>
      </c>
      <c r="G6772" t="s">
        <v>88</v>
      </c>
      <c r="H6772" t="s">
        <v>92</v>
      </c>
    </row>
    <row r="6773" spans="1:8" x14ac:dyDescent="0.25">
      <c r="A6773" t="s">
        <v>268</v>
      </c>
      <c r="B6773" t="s">
        <v>6446</v>
      </c>
      <c r="C6773" t="s">
        <v>88</v>
      </c>
      <c r="D6773" t="s">
        <v>88</v>
      </c>
      <c r="E6773" t="s">
        <v>3397</v>
      </c>
      <c r="F6773" t="s">
        <v>88</v>
      </c>
      <c r="G6773" t="s">
        <v>88</v>
      </c>
      <c r="H6773" t="s">
        <v>92</v>
      </c>
    </row>
    <row r="6774" spans="1:8" x14ac:dyDescent="0.25">
      <c r="A6774" t="s">
        <v>268</v>
      </c>
      <c r="B6774" t="s">
        <v>6447</v>
      </c>
      <c r="C6774" t="s">
        <v>88</v>
      </c>
      <c r="D6774" t="s">
        <v>88</v>
      </c>
      <c r="E6774" t="s">
        <v>957</v>
      </c>
      <c r="F6774" t="s">
        <v>88</v>
      </c>
      <c r="G6774" t="s">
        <v>88</v>
      </c>
      <c r="H6774" t="s">
        <v>92</v>
      </c>
    </row>
    <row r="6775" spans="1:8" x14ac:dyDescent="0.25">
      <c r="A6775" t="s">
        <v>268</v>
      </c>
      <c r="B6775" t="s">
        <v>6448</v>
      </c>
      <c r="C6775" t="s">
        <v>88</v>
      </c>
      <c r="D6775" t="s">
        <v>88</v>
      </c>
      <c r="E6775" t="s">
        <v>3397</v>
      </c>
      <c r="F6775" t="s">
        <v>88</v>
      </c>
      <c r="G6775" t="s">
        <v>88</v>
      </c>
      <c r="H6775" t="s">
        <v>92</v>
      </c>
    </row>
    <row r="6776" spans="1:8" x14ac:dyDescent="0.25">
      <c r="A6776" t="s">
        <v>268</v>
      </c>
      <c r="B6776" t="s">
        <v>6449</v>
      </c>
      <c r="C6776" t="s">
        <v>88</v>
      </c>
      <c r="D6776" t="s">
        <v>88</v>
      </c>
      <c r="E6776" t="s">
        <v>732</v>
      </c>
      <c r="F6776" t="s">
        <v>88</v>
      </c>
      <c r="G6776" t="s">
        <v>88</v>
      </c>
      <c r="H6776" t="s">
        <v>92</v>
      </c>
    </row>
    <row r="6777" spans="1:8" x14ac:dyDescent="0.25">
      <c r="A6777" t="s">
        <v>268</v>
      </c>
      <c r="B6777" t="s">
        <v>6450</v>
      </c>
      <c r="C6777" t="s">
        <v>88</v>
      </c>
      <c r="D6777" t="s">
        <v>88</v>
      </c>
      <c r="E6777" t="s">
        <v>3397</v>
      </c>
      <c r="F6777" t="s">
        <v>88</v>
      </c>
      <c r="G6777" t="s">
        <v>88</v>
      </c>
      <c r="H6777" t="s">
        <v>92</v>
      </c>
    </row>
    <row r="6778" spans="1:8" x14ac:dyDescent="0.25">
      <c r="A6778" t="s">
        <v>268</v>
      </c>
      <c r="B6778" t="s">
        <v>6451</v>
      </c>
      <c r="C6778" t="s">
        <v>88</v>
      </c>
      <c r="D6778" t="s">
        <v>88</v>
      </c>
      <c r="E6778" t="s">
        <v>732</v>
      </c>
      <c r="F6778" t="s">
        <v>88</v>
      </c>
      <c r="G6778" t="s">
        <v>88</v>
      </c>
      <c r="H6778" t="s">
        <v>92</v>
      </c>
    </row>
    <row r="6779" spans="1:8" x14ac:dyDescent="0.25">
      <c r="A6779" t="s">
        <v>268</v>
      </c>
      <c r="B6779" t="s">
        <v>6452</v>
      </c>
      <c r="C6779" t="s">
        <v>88</v>
      </c>
      <c r="D6779" t="s">
        <v>88</v>
      </c>
      <c r="E6779" t="s">
        <v>702</v>
      </c>
      <c r="F6779" t="s">
        <v>88</v>
      </c>
      <c r="G6779" t="s">
        <v>88</v>
      </c>
      <c r="H6779" t="s">
        <v>92</v>
      </c>
    </row>
    <row r="6780" spans="1:8" x14ac:dyDescent="0.25">
      <c r="A6780" t="s">
        <v>268</v>
      </c>
      <c r="B6780" t="s">
        <v>6453</v>
      </c>
      <c r="C6780" t="s">
        <v>88</v>
      </c>
      <c r="D6780" t="s">
        <v>88</v>
      </c>
      <c r="E6780" t="s">
        <v>957</v>
      </c>
      <c r="F6780" t="s">
        <v>88</v>
      </c>
      <c r="G6780" t="s">
        <v>88</v>
      </c>
      <c r="H6780" t="s">
        <v>92</v>
      </c>
    </row>
    <row r="6781" spans="1:8" x14ac:dyDescent="0.25">
      <c r="A6781" t="s">
        <v>268</v>
      </c>
      <c r="B6781" t="s">
        <v>6454</v>
      </c>
      <c r="C6781" t="s">
        <v>88</v>
      </c>
      <c r="D6781" t="s">
        <v>88</v>
      </c>
      <c r="E6781" t="s">
        <v>702</v>
      </c>
      <c r="F6781" t="s">
        <v>88</v>
      </c>
      <c r="G6781" t="s">
        <v>88</v>
      </c>
      <c r="H6781" t="s">
        <v>92</v>
      </c>
    </row>
    <row r="6782" spans="1:8" x14ac:dyDescent="0.25">
      <c r="A6782" t="s">
        <v>268</v>
      </c>
      <c r="B6782" t="s">
        <v>6455</v>
      </c>
      <c r="C6782" t="s">
        <v>88</v>
      </c>
      <c r="D6782" t="s">
        <v>88</v>
      </c>
      <c r="E6782" t="s">
        <v>1594</v>
      </c>
      <c r="F6782" t="s">
        <v>88</v>
      </c>
      <c r="G6782" t="s">
        <v>88</v>
      </c>
      <c r="H6782" t="s">
        <v>92</v>
      </c>
    </row>
    <row r="6783" spans="1:8" x14ac:dyDescent="0.25">
      <c r="A6783" t="s">
        <v>268</v>
      </c>
      <c r="B6783" t="s">
        <v>6456</v>
      </c>
      <c r="C6783" t="s">
        <v>88</v>
      </c>
      <c r="D6783" t="s">
        <v>88</v>
      </c>
      <c r="E6783" t="s">
        <v>1594</v>
      </c>
      <c r="F6783" t="s">
        <v>88</v>
      </c>
      <c r="G6783" t="s">
        <v>88</v>
      </c>
      <c r="H6783" t="s">
        <v>92</v>
      </c>
    </row>
    <row r="6784" spans="1:8" x14ac:dyDescent="0.25">
      <c r="A6784" t="s">
        <v>268</v>
      </c>
      <c r="B6784" t="s">
        <v>6457</v>
      </c>
      <c r="C6784" t="s">
        <v>88</v>
      </c>
      <c r="D6784" t="s">
        <v>88</v>
      </c>
      <c r="E6784" t="s">
        <v>1594</v>
      </c>
      <c r="F6784" t="s">
        <v>88</v>
      </c>
      <c r="G6784" t="s">
        <v>88</v>
      </c>
      <c r="H6784" t="s">
        <v>92</v>
      </c>
    </row>
    <row r="6785" spans="1:8" x14ac:dyDescent="0.25">
      <c r="A6785" t="s">
        <v>268</v>
      </c>
      <c r="B6785" t="s">
        <v>6458</v>
      </c>
      <c r="C6785" t="s">
        <v>88</v>
      </c>
      <c r="D6785" t="s">
        <v>88</v>
      </c>
      <c r="E6785" t="s">
        <v>702</v>
      </c>
      <c r="F6785" t="s">
        <v>88</v>
      </c>
      <c r="G6785" t="s">
        <v>88</v>
      </c>
      <c r="H6785" t="s">
        <v>92</v>
      </c>
    </row>
    <row r="6786" spans="1:8" x14ac:dyDescent="0.25">
      <c r="A6786" t="s">
        <v>268</v>
      </c>
      <c r="B6786" t="s">
        <v>6459</v>
      </c>
      <c r="C6786" t="s">
        <v>88</v>
      </c>
      <c r="D6786" t="s">
        <v>88</v>
      </c>
      <c r="E6786" t="s">
        <v>702</v>
      </c>
      <c r="F6786" t="s">
        <v>88</v>
      </c>
      <c r="G6786" t="s">
        <v>88</v>
      </c>
      <c r="H6786" t="s">
        <v>92</v>
      </c>
    </row>
    <row r="6787" spans="1:8" x14ac:dyDescent="0.25">
      <c r="A6787" t="s">
        <v>268</v>
      </c>
      <c r="B6787" t="s">
        <v>6460</v>
      </c>
      <c r="C6787" t="s">
        <v>88</v>
      </c>
      <c r="D6787" t="s">
        <v>88</v>
      </c>
      <c r="E6787" t="s">
        <v>702</v>
      </c>
      <c r="F6787" t="s">
        <v>88</v>
      </c>
      <c r="G6787" t="s">
        <v>88</v>
      </c>
      <c r="H6787" t="s">
        <v>92</v>
      </c>
    </row>
    <row r="6788" spans="1:8" x14ac:dyDescent="0.25">
      <c r="A6788" t="s">
        <v>268</v>
      </c>
      <c r="B6788" t="s">
        <v>6461</v>
      </c>
      <c r="C6788" t="s">
        <v>88</v>
      </c>
      <c r="D6788" t="s">
        <v>88</v>
      </c>
      <c r="E6788" t="s">
        <v>732</v>
      </c>
      <c r="F6788" t="s">
        <v>88</v>
      </c>
      <c r="G6788" t="s">
        <v>88</v>
      </c>
      <c r="H6788" t="s">
        <v>92</v>
      </c>
    </row>
    <row r="6789" spans="1:8" x14ac:dyDescent="0.25">
      <c r="A6789" t="s">
        <v>268</v>
      </c>
      <c r="B6789" t="s">
        <v>6462</v>
      </c>
      <c r="C6789" t="s">
        <v>88</v>
      </c>
      <c r="D6789" t="s">
        <v>88</v>
      </c>
      <c r="E6789" t="s">
        <v>732</v>
      </c>
      <c r="F6789" t="s">
        <v>88</v>
      </c>
      <c r="G6789" t="s">
        <v>88</v>
      </c>
      <c r="H6789" t="s">
        <v>92</v>
      </c>
    </row>
    <row r="6790" spans="1:8" x14ac:dyDescent="0.25">
      <c r="A6790" t="s">
        <v>268</v>
      </c>
      <c r="B6790" t="s">
        <v>6463</v>
      </c>
      <c r="C6790" t="s">
        <v>88</v>
      </c>
      <c r="D6790" t="s">
        <v>88</v>
      </c>
      <c r="E6790" t="s">
        <v>732</v>
      </c>
      <c r="F6790" t="s">
        <v>88</v>
      </c>
      <c r="G6790" t="s">
        <v>88</v>
      </c>
      <c r="H6790" t="s">
        <v>92</v>
      </c>
    </row>
    <row r="6791" spans="1:8" x14ac:dyDescent="0.25">
      <c r="A6791" t="s">
        <v>268</v>
      </c>
      <c r="B6791" t="s">
        <v>6464</v>
      </c>
      <c r="C6791" t="s">
        <v>88</v>
      </c>
      <c r="D6791" t="s">
        <v>88</v>
      </c>
      <c r="E6791" t="s">
        <v>1978</v>
      </c>
      <c r="F6791" t="s">
        <v>88</v>
      </c>
      <c r="G6791" t="s">
        <v>88</v>
      </c>
      <c r="H6791" t="s">
        <v>92</v>
      </c>
    </row>
    <row r="6792" spans="1:8" x14ac:dyDescent="0.25">
      <c r="A6792" t="s">
        <v>268</v>
      </c>
      <c r="B6792" t="s">
        <v>6465</v>
      </c>
      <c r="C6792" t="s">
        <v>88</v>
      </c>
      <c r="D6792" t="s">
        <v>88</v>
      </c>
      <c r="E6792" t="s">
        <v>1978</v>
      </c>
      <c r="F6792" t="s">
        <v>88</v>
      </c>
      <c r="G6792" t="s">
        <v>88</v>
      </c>
      <c r="H6792" t="s">
        <v>92</v>
      </c>
    </row>
    <row r="6793" spans="1:8" x14ac:dyDescent="0.25">
      <c r="A6793" t="s">
        <v>268</v>
      </c>
      <c r="B6793" t="s">
        <v>3138</v>
      </c>
      <c r="C6793" t="s">
        <v>88</v>
      </c>
      <c r="D6793" t="s">
        <v>88</v>
      </c>
      <c r="E6793" t="s">
        <v>3397</v>
      </c>
      <c r="F6793" t="s">
        <v>88</v>
      </c>
      <c r="G6793" t="s">
        <v>88</v>
      </c>
      <c r="H6793" t="s">
        <v>92</v>
      </c>
    </row>
    <row r="6794" spans="1:8" x14ac:dyDescent="0.25">
      <c r="A6794" t="s">
        <v>268</v>
      </c>
      <c r="B6794" t="s">
        <v>6466</v>
      </c>
      <c r="C6794" t="s">
        <v>88</v>
      </c>
      <c r="D6794" t="s">
        <v>88</v>
      </c>
      <c r="E6794" t="s">
        <v>3397</v>
      </c>
      <c r="F6794" t="s">
        <v>88</v>
      </c>
      <c r="G6794" t="s">
        <v>88</v>
      </c>
      <c r="H6794" t="s">
        <v>92</v>
      </c>
    </row>
    <row r="6795" spans="1:8" x14ac:dyDescent="0.25">
      <c r="A6795" t="s">
        <v>268</v>
      </c>
      <c r="B6795" t="s">
        <v>6467</v>
      </c>
      <c r="C6795" t="s">
        <v>88</v>
      </c>
      <c r="D6795" t="s">
        <v>88</v>
      </c>
      <c r="E6795" t="s">
        <v>1598</v>
      </c>
      <c r="F6795" t="s">
        <v>88</v>
      </c>
      <c r="G6795" t="s">
        <v>88</v>
      </c>
      <c r="H6795" t="s">
        <v>92</v>
      </c>
    </row>
    <row r="6796" spans="1:8" x14ac:dyDescent="0.25">
      <c r="A6796" t="s">
        <v>268</v>
      </c>
      <c r="B6796" t="s">
        <v>6468</v>
      </c>
      <c r="C6796" t="s">
        <v>88</v>
      </c>
      <c r="D6796" t="s">
        <v>88</v>
      </c>
      <c r="E6796" t="s">
        <v>1598</v>
      </c>
      <c r="F6796" t="s">
        <v>88</v>
      </c>
      <c r="G6796" t="s">
        <v>88</v>
      </c>
      <c r="H6796" t="s">
        <v>92</v>
      </c>
    </row>
    <row r="6797" spans="1:8" x14ac:dyDescent="0.25">
      <c r="A6797" t="s">
        <v>268</v>
      </c>
      <c r="B6797" t="s">
        <v>6469</v>
      </c>
      <c r="C6797" t="s">
        <v>88</v>
      </c>
      <c r="D6797" t="s">
        <v>6470</v>
      </c>
      <c r="E6797" t="s">
        <v>1598</v>
      </c>
      <c r="F6797" t="s">
        <v>88</v>
      </c>
      <c r="G6797" t="s">
        <v>88</v>
      </c>
      <c r="H6797" t="s">
        <v>92</v>
      </c>
    </row>
    <row r="6798" spans="1:8" x14ac:dyDescent="0.25">
      <c r="A6798" t="s">
        <v>268</v>
      </c>
      <c r="B6798" t="s">
        <v>6471</v>
      </c>
      <c r="C6798" t="s">
        <v>88</v>
      </c>
      <c r="D6798" t="s">
        <v>6472</v>
      </c>
      <c r="E6798" t="s">
        <v>2166</v>
      </c>
      <c r="F6798" t="s">
        <v>88</v>
      </c>
      <c r="G6798" t="s">
        <v>88</v>
      </c>
      <c r="H6798" t="s">
        <v>92</v>
      </c>
    </row>
    <row r="6799" spans="1:8" x14ac:dyDescent="0.25">
      <c r="A6799" t="s">
        <v>268</v>
      </c>
      <c r="B6799" t="s">
        <v>1082</v>
      </c>
      <c r="C6799" t="s">
        <v>88</v>
      </c>
      <c r="D6799" t="s">
        <v>88</v>
      </c>
      <c r="E6799" t="s">
        <v>1598</v>
      </c>
      <c r="F6799" t="s">
        <v>88</v>
      </c>
      <c r="G6799" t="s">
        <v>88</v>
      </c>
      <c r="H6799" t="s">
        <v>92</v>
      </c>
    </row>
    <row r="6800" spans="1:8" x14ac:dyDescent="0.25">
      <c r="A6800" t="s">
        <v>268</v>
      </c>
      <c r="B6800" t="s">
        <v>2241</v>
      </c>
      <c r="C6800" t="s">
        <v>88</v>
      </c>
      <c r="D6800" t="s">
        <v>88</v>
      </c>
      <c r="E6800" t="s">
        <v>1598</v>
      </c>
      <c r="F6800" t="s">
        <v>88</v>
      </c>
      <c r="G6800" t="s">
        <v>88</v>
      </c>
      <c r="H6800" t="s">
        <v>92</v>
      </c>
    </row>
    <row r="6801" spans="1:8" x14ac:dyDescent="0.25">
      <c r="A6801" t="s">
        <v>268</v>
      </c>
      <c r="B6801" t="s">
        <v>6473</v>
      </c>
      <c r="C6801" t="s">
        <v>88</v>
      </c>
      <c r="D6801" t="s">
        <v>88</v>
      </c>
      <c r="E6801" t="s">
        <v>734</v>
      </c>
      <c r="F6801" t="s">
        <v>88</v>
      </c>
      <c r="G6801" t="s">
        <v>88</v>
      </c>
      <c r="H6801" t="s">
        <v>92</v>
      </c>
    </row>
    <row r="6802" spans="1:8" x14ac:dyDescent="0.25">
      <c r="A6802" t="s">
        <v>268</v>
      </c>
      <c r="B6802" t="s">
        <v>6474</v>
      </c>
      <c r="C6802" t="s">
        <v>88</v>
      </c>
      <c r="D6802" t="s">
        <v>88</v>
      </c>
      <c r="E6802" t="s">
        <v>702</v>
      </c>
      <c r="F6802" t="s">
        <v>88</v>
      </c>
      <c r="G6802" t="s">
        <v>88</v>
      </c>
      <c r="H6802" t="s">
        <v>92</v>
      </c>
    </row>
    <row r="6803" spans="1:8" x14ac:dyDescent="0.25">
      <c r="A6803" t="s">
        <v>268</v>
      </c>
      <c r="B6803" t="s">
        <v>6475</v>
      </c>
      <c r="C6803" t="s">
        <v>88</v>
      </c>
      <c r="D6803" t="s">
        <v>88</v>
      </c>
      <c r="E6803" t="s">
        <v>702</v>
      </c>
      <c r="F6803" t="s">
        <v>88</v>
      </c>
      <c r="G6803" t="s">
        <v>88</v>
      </c>
      <c r="H6803" t="s">
        <v>92</v>
      </c>
    </row>
    <row r="6804" spans="1:8" x14ac:dyDescent="0.25">
      <c r="A6804" t="s">
        <v>268</v>
      </c>
      <c r="B6804" t="s">
        <v>6476</v>
      </c>
      <c r="C6804" t="s">
        <v>88</v>
      </c>
      <c r="D6804" t="s">
        <v>88</v>
      </c>
      <c r="E6804" t="s">
        <v>702</v>
      </c>
      <c r="F6804" t="s">
        <v>88</v>
      </c>
      <c r="G6804" t="s">
        <v>88</v>
      </c>
      <c r="H6804" t="s">
        <v>92</v>
      </c>
    </row>
    <row r="6805" spans="1:8" x14ac:dyDescent="0.25">
      <c r="A6805" t="s">
        <v>268</v>
      </c>
      <c r="B6805" t="s">
        <v>6477</v>
      </c>
      <c r="C6805" t="s">
        <v>88</v>
      </c>
      <c r="D6805" t="s">
        <v>88</v>
      </c>
      <c r="E6805" t="s">
        <v>702</v>
      </c>
      <c r="F6805" t="s">
        <v>88</v>
      </c>
      <c r="G6805" t="s">
        <v>88</v>
      </c>
      <c r="H6805" t="s">
        <v>92</v>
      </c>
    </row>
    <row r="6806" spans="1:8" x14ac:dyDescent="0.25">
      <c r="A6806" t="s">
        <v>268</v>
      </c>
      <c r="B6806" t="s">
        <v>3461</v>
      </c>
      <c r="C6806" t="s">
        <v>88</v>
      </c>
      <c r="D6806" t="s">
        <v>6478</v>
      </c>
      <c r="E6806" t="s">
        <v>2166</v>
      </c>
      <c r="F6806" t="s">
        <v>88</v>
      </c>
      <c r="G6806" t="s">
        <v>88</v>
      </c>
      <c r="H6806" t="s">
        <v>92</v>
      </c>
    </row>
    <row r="6807" spans="1:8" x14ac:dyDescent="0.25">
      <c r="A6807" t="s">
        <v>268</v>
      </c>
      <c r="B6807" t="s">
        <v>3183</v>
      </c>
      <c r="C6807" t="s">
        <v>88</v>
      </c>
      <c r="D6807" t="s">
        <v>88</v>
      </c>
      <c r="E6807" t="s">
        <v>844</v>
      </c>
      <c r="F6807" t="s">
        <v>88</v>
      </c>
      <c r="G6807" t="s">
        <v>88</v>
      </c>
      <c r="H6807" t="s">
        <v>92</v>
      </c>
    </row>
    <row r="6808" spans="1:8" x14ac:dyDescent="0.25">
      <c r="A6808" t="s">
        <v>268</v>
      </c>
      <c r="B6808" t="s">
        <v>1145</v>
      </c>
      <c r="C6808" t="s">
        <v>88</v>
      </c>
      <c r="D6808" t="s">
        <v>88</v>
      </c>
      <c r="E6808" t="s">
        <v>1598</v>
      </c>
      <c r="F6808" t="s">
        <v>88</v>
      </c>
      <c r="G6808" t="s">
        <v>88</v>
      </c>
      <c r="H6808" t="s">
        <v>92</v>
      </c>
    </row>
    <row r="6809" spans="1:8" x14ac:dyDescent="0.25">
      <c r="A6809" t="s">
        <v>268</v>
      </c>
      <c r="B6809" t="s">
        <v>1876</v>
      </c>
      <c r="C6809" t="s">
        <v>88</v>
      </c>
      <c r="D6809" t="s">
        <v>6478</v>
      </c>
      <c r="E6809" t="s">
        <v>1221</v>
      </c>
      <c r="F6809" t="s">
        <v>88</v>
      </c>
      <c r="G6809" t="s">
        <v>88</v>
      </c>
      <c r="H6809" t="s">
        <v>92</v>
      </c>
    </row>
    <row r="6810" spans="1:8" x14ac:dyDescent="0.25">
      <c r="A6810" t="s">
        <v>268</v>
      </c>
      <c r="B6810" t="s">
        <v>1157</v>
      </c>
      <c r="C6810" t="s">
        <v>88</v>
      </c>
      <c r="D6810" t="s">
        <v>88</v>
      </c>
      <c r="E6810" t="s">
        <v>964</v>
      </c>
      <c r="F6810" t="s">
        <v>88</v>
      </c>
      <c r="G6810" t="s">
        <v>88</v>
      </c>
      <c r="H6810" t="s">
        <v>92</v>
      </c>
    </row>
    <row r="6811" spans="1:8" x14ac:dyDescent="0.25">
      <c r="A6811" t="s">
        <v>268</v>
      </c>
      <c r="B6811" t="s">
        <v>6479</v>
      </c>
      <c r="C6811" t="s">
        <v>88</v>
      </c>
      <c r="D6811" t="s">
        <v>88</v>
      </c>
      <c r="E6811" t="s">
        <v>886</v>
      </c>
      <c r="F6811" t="s">
        <v>88</v>
      </c>
      <c r="G6811" t="s">
        <v>88</v>
      </c>
      <c r="H6811" t="s">
        <v>92</v>
      </c>
    </row>
    <row r="6812" spans="1:8" x14ac:dyDescent="0.25">
      <c r="A6812" t="s">
        <v>268</v>
      </c>
      <c r="B6812" t="s">
        <v>1161</v>
      </c>
      <c r="C6812" t="s">
        <v>88</v>
      </c>
      <c r="D6812" t="s">
        <v>88</v>
      </c>
      <c r="E6812" t="s">
        <v>676</v>
      </c>
      <c r="F6812" t="s">
        <v>88</v>
      </c>
      <c r="G6812" t="s">
        <v>88</v>
      </c>
      <c r="H6812" t="s">
        <v>92</v>
      </c>
    </row>
    <row r="6813" spans="1:8" x14ac:dyDescent="0.25">
      <c r="A6813" t="s">
        <v>268</v>
      </c>
      <c r="B6813" t="s">
        <v>6480</v>
      </c>
      <c r="C6813" t="s">
        <v>88</v>
      </c>
      <c r="D6813" t="s">
        <v>88</v>
      </c>
      <c r="E6813" t="s">
        <v>3397</v>
      </c>
      <c r="F6813" t="s">
        <v>88</v>
      </c>
      <c r="G6813" t="s">
        <v>88</v>
      </c>
      <c r="H6813" t="s">
        <v>92</v>
      </c>
    </row>
    <row r="6814" spans="1:8" x14ac:dyDescent="0.25">
      <c r="A6814" t="s">
        <v>268</v>
      </c>
      <c r="B6814" t="s">
        <v>6481</v>
      </c>
      <c r="C6814" t="s">
        <v>88</v>
      </c>
      <c r="D6814" t="s">
        <v>88</v>
      </c>
      <c r="E6814" t="s">
        <v>732</v>
      </c>
      <c r="F6814" t="s">
        <v>88</v>
      </c>
      <c r="G6814" t="s">
        <v>88</v>
      </c>
      <c r="H6814" t="s">
        <v>92</v>
      </c>
    </row>
    <row r="6815" spans="1:8" x14ac:dyDescent="0.25">
      <c r="A6815" t="s">
        <v>268</v>
      </c>
      <c r="B6815" t="s">
        <v>4091</v>
      </c>
      <c r="C6815" t="s">
        <v>88</v>
      </c>
      <c r="D6815" t="s">
        <v>88</v>
      </c>
      <c r="E6815" t="s">
        <v>2513</v>
      </c>
      <c r="F6815" t="s">
        <v>88</v>
      </c>
      <c r="G6815" t="s">
        <v>88</v>
      </c>
      <c r="H6815" t="s">
        <v>92</v>
      </c>
    </row>
    <row r="6816" spans="1:8" x14ac:dyDescent="0.25">
      <c r="A6816" t="s">
        <v>268</v>
      </c>
      <c r="B6816" t="s">
        <v>1146</v>
      </c>
      <c r="C6816" t="s">
        <v>88</v>
      </c>
      <c r="D6816" t="s">
        <v>88</v>
      </c>
      <c r="E6816" t="s">
        <v>1598</v>
      </c>
      <c r="F6816" t="s">
        <v>88</v>
      </c>
      <c r="G6816" t="s">
        <v>88</v>
      </c>
      <c r="H6816" t="s">
        <v>92</v>
      </c>
    </row>
    <row r="6817" spans="1:8" x14ac:dyDescent="0.25">
      <c r="A6817" t="s">
        <v>268</v>
      </c>
      <c r="B6817" t="s">
        <v>6482</v>
      </c>
      <c r="C6817" t="s">
        <v>88</v>
      </c>
      <c r="D6817" t="s">
        <v>88</v>
      </c>
      <c r="E6817" t="s">
        <v>709</v>
      </c>
      <c r="F6817" t="s">
        <v>88</v>
      </c>
      <c r="G6817" t="s">
        <v>88</v>
      </c>
      <c r="H6817" t="s">
        <v>92</v>
      </c>
    </row>
    <row r="6818" spans="1:8" x14ac:dyDescent="0.25">
      <c r="A6818" t="s">
        <v>268</v>
      </c>
      <c r="B6818" t="s">
        <v>6483</v>
      </c>
      <c r="C6818" t="s">
        <v>88</v>
      </c>
      <c r="D6818" t="s">
        <v>88</v>
      </c>
      <c r="E6818" t="s">
        <v>1598</v>
      </c>
      <c r="F6818" t="s">
        <v>88</v>
      </c>
      <c r="G6818" t="s">
        <v>88</v>
      </c>
      <c r="H6818" t="s">
        <v>92</v>
      </c>
    </row>
    <row r="6819" spans="1:8" x14ac:dyDescent="0.25">
      <c r="A6819" t="s">
        <v>268</v>
      </c>
      <c r="B6819" t="s">
        <v>6484</v>
      </c>
      <c r="C6819" t="s">
        <v>88</v>
      </c>
      <c r="D6819" t="s">
        <v>88</v>
      </c>
      <c r="E6819" t="s">
        <v>2686</v>
      </c>
      <c r="F6819" t="s">
        <v>88</v>
      </c>
      <c r="G6819" t="s">
        <v>88</v>
      </c>
      <c r="H6819" t="s">
        <v>92</v>
      </c>
    </row>
    <row r="6820" spans="1:8" x14ac:dyDescent="0.25">
      <c r="A6820" t="s">
        <v>268</v>
      </c>
      <c r="B6820" t="s">
        <v>6485</v>
      </c>
      <c r="C6820" t="s">
        <v>88</v>
      </c>
      <c r="D6820" t="s">
        <v>88</v>
      </c>
      <c r="E6820" t="s">
        <v>1377</v>
      </c>
      <c r="F6820" t="s">
        <v>88</v>
      </c>
      <c r="G6820" t="s">
        <v>88</v>
      </c>
      <c r="H6820" t="s">
        <v>92</v>
      </c>
    </row>
    <row r="6821" spans="1:8" x14ac:dyDescent="0.25">
      <c r="A6821" t="s">
        <v>268</v>
      </c>
      <c r="B6821" t="s">
        <v>6486</v>
      </c>
      <c r="C6821" t="s">
        <v>88</v>
      </c>
      <c r="D6821" t="s">
        <v>88</v>
      </c>
      <c r="E6821" t="s">
        <v>957</v>
      </c>
      <c r="F6821" t="s">
        <v>88</v>
      </c>
      <c r="G6821" t="s">
        <v>88</v>
      </c>
      <c r="H6821" t="s">
        <v>92</v>
      </c>
    </row>
    <row r="6822" spans="1:8" x14ac:dyDescent="0.25">
      <c r="A6822" t="s">
        <v>268</v>
      </c>
      <c r="B6822" t="s">
        <v>6487</v>
      </c>
      <c r="C6822" t="s">
        <v>88</v>
      </c>
      <c r="D6822" t="s">
        <v>88</v>
      </c>
      <c r="E6822" t="s">
        <v>957</v>
      </c>
      <c r="F6822" t="s">
        <v>88</v>
      </c>
      <c r="G6822" t="s">
        <v>88</v>
      </c>
      <c r="H6822" t="s">
        <v>92</v>
      </c>
    </row>
    <row r="6823" spans="1:8" x14ac:dyDescent="0.25">
      <c r="A6823" t="s">
        <v>268</v>
      </c>
      <c r="B6823" t="s">
        <v>6488</v>
      </c>
      <c r="C6823" t="s">
        <v>88</v>
      </c>
      <c r="D6823" t="s">
        <v>88</v>
      </c>
      <c r="E6823" t="s">
        <v>957</v>
      </c>
      <c r="F6823" t="s">
        <v>88</v>
      </c>
      <c r="G6823" t="s">
        <v>88</v>
      </c>
      <c r="H6823" t="s">
        <v>92</v>
      </c>
    </row>
    <row r="6824" spans="1:8" x14ac:dyDescent="0.25">
      <c r="A6824" t="s">
        <v>268</v>
      </c>
      <c r="B6824" t="s">
        <v>6489</v>
      </c>
      <c r="C6824" t="s">
        <v>88</v>
      </c>
      <c r="D6824" t="s">
        <v>88</v>
      </c>
      <c r="E6824" t="s">
        <v>734</v>
      </c>
      <c r="F6824" t="s">
        <v>88</v>
      </c>
      <c r="G6824" t="s">
        <v>88</v>
      </c>
      <c r="H6824" t="s">
        <v>92</v>
      </c>
    </row>
    <row r="6825" spans="1:8" x14ac:dyDescent="0.25">
      <c r="A6825" t="s">
        <v>268</v>
      </c>
      <c r="B6825" t="s">
        <v>6490</v>
      </c>
      <c r="C6825" t="s">
        <v>88</v>
      </c>
      <c r="D6825" t="s">
        <v>88</v>
      </c>
      <c r="E6825" t="s">
        <v>713</v>
      </c>
      <c r="F6825" t="s">
        <v>88</v>
      </c>
      <c r="G6825" t="s">
        <v>88</v>
      </c>
      <c r="H6825" t="s">
        <v>92</v>
      </c>
    </row>
    <row r="6826" spans="1:8" x14ac:dyDescent="0.25">
      <c r="A6826" t="s">
        <v>268</v>
      </c>
      <c r="B6826" t="s">
        <v>6491</v>
      </c>
      <c r="C6826" t="s">
        <v>88</v>
      </c>
      <c r="D6826" t="s">
        <v>88</v>
      </c>
      <c r="E6826" t="s">
        <v>713</v>
      </c>
      <c r="F6826" t="s">
        <v>88</v>
      </c>
      <c r="G6826" t="s">
        <v>88</v>
      </c>
      <c r="H6826" t="s">
        <v>92</v>
      </c>
    </row>
    <row r="6827" spans="1:8" x14ac:dyDescent="0.25">
      <c r="A6827" t="s">
        <v>268</v>
      </c>
      <c r="B6827" t="s">
        <v>6492</v>
      </c>
      <c r="C6827" t="s">
        <v>88</v>
      </c>
      <c r="D6827" t="s">
        <v>88</v>
      </c>
      <c r="E6827" t="s">
        <v>713</v>
      </c>
      <c r="F6827" t="s">
        <v>88</v>
      </c>
      <c r="G6827" t="s">
        <v>88</v>
      </c>
      <c r="H6827" t="s">
        <v>92</v>
      </c>
    </row>
    <row r="6828" spans="1:8" x14ac:dyDescent="0.25">
      <c r="A6828" t="s">
        <v>268</v>
      </c>
      <c r="B6828" t="s">
        <v>6493</v>
      </c>
      <c r="C6828" t="s">
        <v>88</v>
      </c>
      <c r="D6828" t="s">
        <v>88</v>
      </c>
      <c r="E6828" t="s">
        <v>713</v>
      </c>
      <c r="F6828" t="s">
        <v>88</v>
      </c>
      <c r="G6828" t="s">
        <v>88</v>
      </c>
      <c r="H6828" t="s">
        <v>92</v>
      </c>
    </row>
    <row r="6829" spans="1:8" x14ac:dyDescent="0.25">
      <c r="A6829" t="s">
        <v>268</v>
      </c>
      <c r="B6829" t="s">
        <v>6494</v>
      </c>
      <c r="C6829" t="s">
        <v>88</v>
      </c>
      <c r="D6829" t="s">
        <v>88</v>
      </c>
      <c r="E6829" t="s">
        <v>850</v>
      </c>
      <c r="F6829" t="s">
        <v>88</v>
      </c>
      <c r="G6829" t="s">
        <v>88</v>
      </c>
      <c r="H6829" t="s">
        <v>92</v>
      </c>
    </row>
    <row r="6830" spans="1:8" x14ac:dyDescent="0.25">
      <c r="A6830" t="s">
        <v>268</v>
      </c>
      <c r="B6830" t="s">
        <v>6495</v>
      </c>
      <c r="C6830" t="s">
        <v>88</v>
      </c>
      <c r="D6830" t="s">
        <v>88</v>
      </c>
      <c r="E6830" t="s">
        <v>850</v>
      </c>
      <c r="F6830" t="s">
        <v>88</v>
      </c>
      <c r="G6830" t="s">
        <v>88</v>
      </c>
      <c r="H6830" t="s">
        <v>92</v>
      </c>
    </row>
    <row r="6831" spans="1:8" x14ac:dyDescent="0.25">
      <c r="A6831" t="s">
        <v>268</v>
      </c>
      <c r="B6831" t="s">
        <v>6496</v>
      </c>
      <c r="C6831" t="s">
        <v>88</v>
      </c>
      <c r="D6831" t="s">
        <v>88</v>
      </c>
      <c r="E6831" t="s">
        <v>1765</v>
      </c>
      <c r="F6831" t="s">
        <v>88</v>
      </c>
      <c r="G6831" t="s">
        <v>88</v>
      </c>
      <c r="H6831" t="s">
        <v>92</v>
      </c>
    </row>
    <row r="6832" spans="1:8" x14ac:dyDescent="0.25">
      <c r="A6832" t="s">
        <v>268</v>
      </c>
      <c r="B6832" t="s">
        <v>6497</v>
      </c>
      <c r="C6832" t="s">
        <v>88</v>
      </c>
      <c r="D6832" t="s">
        <v>88</v>
      </c>
      <c r="E6832" t="s">
        <v>850</v>
      </c>
      <c r="F6832" t="s">
        <v>88</v>
      </c>
      <c r="G6832" t="s">
        <v>88</v>
      </c>
      <c r="H6832" t="s">
        <v>92</v>
      </c>
    </row>
    <row r="6833" spans="1:8" x14ac:dyDescent="0.25">
      <c r="A6833" t="s">
        <v>268</v>
      </c>
      <c r="B6833" t="s">
        <v>6498</v>
      </c>
      <c r="C6833" t="s">
        <v>88</v>
      </c>
      <c r="D6833" t="s">
        <v>88</v>
      </c>
      <c r="E6833" t="s">
        <v>850</v>
      </c>
      <c r="F6833" t="s">
        <v>88</v>
      </c>
      <c r="G6833" t="s">
        <v>88</v>
      </c>
      <c r="H6833" t="s">
        <v>92</v>
      </c>
    </row>
    <row r="6834" spans="1:8" x14ac:dyDescent="0.25">
      <c r="A6834" t="s">
        <v>268</v>
      </c>
      <c r="B6834" t="s">
        <v>6499</v>
      </c>
      <c r="C6834" t="s">
        <v>88</v>
      </c>
      <c r="D6834" t="s">
        <v>88</v>
      </c>
      <c r="E6834" t="s">
        <v>711</v>
      </c>
      <c r="F6834" t="s">
        <v>88</v>
      </c>
      <c r="G6834" t="s">
        <v>88</v>
      </c>
      <c r="H6834" t="s">
        <v>92</v>
      </c>
    </row>
    <row r="6835" spans="1:8" x14ac:dyDescent="0.25">
      <c r="A6835" t="s">
        <v>268</v>
      </c>
      <c r="B6835" t="s">
        <v>6500</v>
      </c>
      <c r="C6835" t="s">
        <v>88</v>
      </c>
      <c r="D6835" t="s">
        <v>88</v>
      </c>
      <c r="E6835" t="s">
        <v>711</v>
      </c>
      <c r="F6835" t="s">
        <v>88</v>
      </c>
      <c r="G6835" t="s">
        <v>88</v>
      </c>
      <c r="H6835" t="s">
        <v>92</v>
      </c>
    </row>
    <row r="6836" spans="1:8" x14ac:dyDescent="0.25">
      <c r="A6836" t="s">
        <v>268</v>
      </c>
      <c r="B6836" t="s">
        <v>6501</v>
      </c>
      <c r="C6836" t="s">
        <v>88</v>
      </c>
      <c r="D6836" t="s">
        <v>88</v>
      </c>
      <c r="E6836" t="s">
        <v>850</v>
      </c>
      <c r="F6836" t="s">
        <v>88</v>
      </c>
      <c r="G6836" t="s">
        <v>88</v>
      </c>
      <c r="H6836" t="s">
        <v>92</v>
      </c>
    </row>
    <row r="6837" spans="1:8" x14ac:dyDescent="0.25">
      <c r="A6837" t="s">
        <v>268</v>
      </c>
      <c r="B6837" t="s">
        <v>6502</v>
      </c>
      <c r="C6837" t="s">
        <v>88</v>
      </c>
      <c r="D6837" t="s">
        <v>88</v>
      </c>
      <c r="E6837" t="s">
        <v>702</v>
      </c>
      <c r="F6837" t="s">
        <v>88</v>
      </c>
      <c r="G6837" t="s">
        <v>88</v>
      </c>
      <c r="H6837" t="s">
        <v>92</v>
      </c>
    </row>
    <row r="6838" spans="1:8" x14ac:dyDescent="0.25">
      <c r="A6838" t="s">
        <v>268</v>
      </c>
      <c r="B6838" t="s">
        <v>6503</v>
      </c>
      <c r="C6838" t="s">
        <v>88</v>
      </c>
      <c r="D6838" t="s">
        <v>88</v>
      </c>
      <c r="E6838" t="s">
        <v>709</v>
      </c>
      <c r="F6838" t="s">
        <v>88</v>
      </c>
      <c r="G6838" t="s">
        <v>88</v>
      </c>
      <c r="H6838" t="s">
        <v>92</v>
      </c>
    </row>
    <row r="6839" spans="1:8" x14ac:dyDescent="0.25">
      <c r="A6839" t="s">
        <v>268</v>
      </c>
      <c r="B6839" t="s">
        <v>6504</v>
      </c>
      <c r="C6839" t="s">
        <v>88</v>
      </c>
      <c r="D6839" t="s">
        <v>88</v>
      </c>
      <c r="E6839" t="s">
        <v>709</v>
      </c>
      <c r="F6839" t="s">
        <v>88</v>
      </c>
      <c r="G6839" t="s">
        <v>88</v>
      </c>
      <c r="H6839" t="s">
        <v>92</v>
      </c>
    </row>
    <row r="6840" spans="1:8" x14ac:dyDescent="0.25">
      <c r="A6840" t="s">
        <v>268</v>
      </c>
      <c r="B6840" t="s">
        <v>6505</v>
      </c>
      <c r="C6840" t="s">
        <v>88</v>
      </c>
      <c r="D6840" t="s">
        <v>88</v>
      </c>
      <c r="E6840" t="s">
        <v>734</v>
      </c>
      <c r="F6840" t="s">
        <v>88</v>
      </c>
      <c r="G6840" t="s">
        <v>88</v>
      </c>
      <c r="H6840" t="s">
        <v>92</v>
      </c>
    </row>
    <row r="6841" spans="1:8" x14ac:dyDescent="0.25">
      <c r="A6841" t="s">
        <v>268</v>
      </c>
      <c r="B6841" t="s">
        <v>6506</v>
      </c>
      <c r="C6841" t="s">
        <v>88</v>
      </c>
      <c r="D6841" t="s">
        <v>88</v>
      </c>
      <c r="E6841" t="s">
        <v>1616</v>
      </c>
      <c r="F6841" t="s">
        <v>88</v>
      </c>
      <c r="G6841" t="s">
        <v>88</v>
      </c>
      <c r="H6841" t="s">
        <v>92</v>
      </c>
    </row>
    <row r="6842" spans="1:8" x14ac:dyDescent="0.25">
      <c r="A6842" t="s">
        <v>268</v>
      </c>
      <c r="B6842" t="s">
        <v>6507</v>
      </c>
      <c r="C6842" t="s">
        <v>88</v>
      </c>
      <c r="D6842" t="s">
        <v>88</v>
      </c>
      <c r="E6842" t="s">
        <v>6508</v>
      </c>
      <c r="F6842" t="s">
        <v>88</v>
      </c>
      <c r="G6842" t="s">
        <v>88</v>
      </c>
      <c r="H6842" t="s">
        <v>92</v>
      </c>
    </row>
    <row r="6843" spans="1:8" x14ac:dyDescent="0.25">
      <c r="A6843" t="s">
        <v>268</v>
      </c>
      <c r="B6843" t="s">
        <v>701</v>
      </c>
      <c r="C6843" t="s">
        <v>88</v>
      </c>
      <c r="D6843" t="s">
        <v>88</v>
      </c>
      <c r="E6843" t="s">
        <v>957</v>
      </c>
      <c r="F6843" t="s">
        <v>88</v>
      </c>
      <c r="G6843" t="s">
        <v>88</v>
      </c>
      <c r="H6843" t="s">
        <v>92</v>
      </c>
    </row>
    <row r="6844" spans="1:8" x14ac:dyDescent="0.25">
      <c r="A6844" t="s">
        <v>268</v>
      </c>
      <c r="B6844" t="s">
        <v>703</v>
      </c>
      <c r="C6844" t="s">
        <v>88</v>
      </c>
      <c r="D6844" t="s">
        <v>88</v>
      </c>
      <c r="E6844" t="s">
        <v>957</v>
      </c>
      <c r="F6844" t="s">
        <v>88</v>
      </c>
      <c r="G6844" t="s">
        <v>88</v>
      </c>
      <c r="H6844" t="s">
        <v>92</v>
      </c>
    </row>
    <row r="6845" spans="1:8" x14ac:dyDescent="0.25">
      <c r="A6845" t="s">
        <v>268</v>
      </c>
      <c r="B6845" t="s">
        <v>704</v>
      </c>
      <c r="C6845" t="s">
        <v>88</v>
      </c>
      <c r="D6845" t="s">
        <v>88</v>
      </c>
      <c r="E6845" t="s">
        <v>957</v>
      </c>
      <c r="F6845" t="s">
        <v>88</v>
      </c>
      <c r="G6845" t="s">
        <v>88</v>
      </c>
      <c r="H6845" t="s">
        <v>92</v>
      </c>
    </row>
    <row r="6846" spans="1:8" x14ac:dyDescent="0.25">
      <c r="A6846" t="s">
        <v>268</v>
      </c>
      <c r="B6846" t="s">
        <v>705</v>
      </c>
      <c r="C6846" t="s">
        <v>88</v>
      </c>
      <c r="D6846" t="s">
        <v>88</v>
      </c>
      <c r="E6846" t="s">
        <v>957</v>
      </c>
      <c r="F6846" t="s">
        <v>88</v>
      </c>
      <c r="G6846" t="s">
        <v>88</v>
      </c>
      <c r="H6846" t="s">
        <v>92</v>
      </c>
    </row>
    <row r="6847" spans="1:8" x14ac:dyDescent="0.25">
      <c r="A6847" t="s">
        <v>268</v>
      </c>
      <c r="B6847" t="s">
        <v>706</v>
      </c>
      <c r="C6847" t="s">
        <v>88</v>
      </c>
      <c r="D6847" t="s">
        <v>88</v>
      </c>
      <c r="E6847" t="s">
        <v>957</v>
      </c>
      <c r="F6847" t="s">
        <v>88</v>
      </c>
      <c r="G6847" t="s">
        <v>88</v>
      </c>
      <c r="H6847" t="s">
        <v>92</v>
      </c>
    </row>
    <row r="6848" spans="1:8" x14ac:dyDescent="0.25">
      <c r="A6848" t="s">
        <v>268</v>
      </c>
      <c r="B6848" t="s">
        <v>708</v>
      </c>
      <c r="C6848" t="s">
        <v>88</v>
      </c>
      <c r="D6848" t="s">
        <v>88</v>
      </c>
      <c r="E6848" t="s">
        <v>957</v>
      </c>
      <c r="F6848" t="s">
        <v>88</v>
      </c>
      <c r="G6848" t="s">
        <v>88</v>
      </c>
      <c r="H6848" t="s">
        <v>92</v>
      </c>
    </row>
    <row r="6849" spans="1:8" x14ac:dyDescent="0.25">
      <c r="A6849" t="s">
        <v>268</v>
      </c>
      <c r="B6849" t="s">
        <v>707</v>
      </c>
      <c r="C6849" t="s">
        <v>88</v>
      </c>
      <c r="D6849" t="s">
        <v>88</v>
      </c>
      <c r="E6849" t="s">
        <v>957</v>
      </c>
      <c r="F6849" t="s">
        <v>88</v>
      </c>
      <c r="G6849" t="s">
        <v>88</v>
      </c>
      <c r="H6849" t="s">
        <v>92</v>
      </c>
    </row>
    <row r="6850" spans="1:8" x14ac:dyDescent="0.25">
      <c r="A6850" t="s">
        <v>268</v>
      </c>
      <c r="B6850" t="s">
        <v>6509</v>
      </c>
      <c r="C6850" t="s">
        <v>88</v>
      </c>
      <c r="D6850" t="s">
        <v>88</v>
      </c>
      <c r="E6850" t="s">
        <v>710</v>
      </c>
      <c r="F6850" t="s">
        <v>88</v>
      </c>
      <c r="G6850" t="s">
        <v>88</v>
      </c>
      <c r="H6850" t="s">
        <v>92</v>
      </c>
    </row>
    <row r="6851" spans="1:8" x14ac:dyDescent="0.25">
      <c r="A6851" t="s">
        <v>268</v>
      </c>
      <c r="B6851" t="s">
        <v>6510</v>
      </c>
      <c r="C6851" t="s">
        <v>88</v>
      </c>
      <c r="D6851" t="s">
        <v>88</v>
      </c>
      <c r="E6851" t="s">
        <v>710</v>
      </c>
      <c r="F6851" t="s">
        <v>88</v>
      </c>
      <c r="G6851" t="s">
        <v>88</v>
      </c>
      <c r="H6851" t="s">
        <v>92</v>
      </c>
    </row>
    <row r="6852" spans="1:8" x14ac:dyDescent="0.25">
      <c r="A6852" t="s">
        <v>268</v>
      </c>
      <c r="B6852" t="s">
        <v>6511</v>
      </c>
      <c r="C6852" t="s">
        <v>88</v>
      </c>
      <c r="D6852" t="s">
        <v>88</v>
      </c>
      <c r="E6852" t="s">
        <v>710</v>
      </c>
      <c r="F6852" t="s">
        <v>88</v>
      </c>
      <c r="G6852" t="s">
        <v>88</v>
      </c>
      <c r="H6852" t="s">
        <v>92</v>
      </c>
    </row>
    <row r="6853" spans="1:8" x14ac:dyDescent="0.25">
      <c r="A6853" t="s">
        <v>268</v>
      </c>
      <c r="B6853" t="s">
        <v>6512</v>
      </c>
      <c r="C6853" t="s">
        <v>88</v>
      </c>
      <c r="D6853" t="s">
        <v>88</v>
      </c>
      <c r="E6853" t="s">
        <v>710</v>
      </c>
      <c r="F6853" t="s">
        <v>88</v>
      </c>
      <c r="G6853" t="s">
        <v>88</v>
      </c>
      <c r="H6853" t="s">
        <v>92</v>
      </c>
    </row>
    <row r="6854" spans="1:8" x14ac:dyDescent="0.25">
      <c r="A6854" t="s">
        <v>268</v>
      </c>
      <c r="B6854" t="s">
        <v>6513</v>
      </c>
      <c r="C6854" t="s">
        <v>88</v>
      </c>
      <c r="D6854" t="s">
        <v>88</v>
      </c>
      <c r="E6854" t="s">
        <v>710</v>
      </c>
      <c r="F6854" t="s">
        <v>88</v>
      </c>
      <c r="G6854" t="s">
        <v>88</v>
      </c>
      <c r="H6854" t="s">
        <v>92</v>
      </c>
    </row>
    <row r="6855" spans="1:8" x14ac:dyDescent="0.25">
      <c r="A6855" t="s">
        <v>268</v>
      </c>
      <c r="B6855" t="s">
        <v>6514</v>
      </c>
      <c r="C6855" t="s">
        <v>88</v>
      </c>
      <c r="D6855" t="s">
        <v>88</v>
      </c>
      <c r="E6855" t="s">
        <v>711</v>
      </c>
      <c r="F6855" t="s">
        <v>88</v>
      </c>
      <c r="G6855" t="s">
        <v>88</v>
      </c>
      <c r="H6855" t="s">
        <v>92</v>
      </c>
    </row>
    <row r="6856" spans="1:8" x14ac:dyDescent="0.25">
      <c r="A6856" t="s">
        <v>268</v>
      </c>
      <c r="B6856" t="s">
        <v>6515</v>
      </c>
      <c r="C6856" t="s">
        <v>88</v>
      </c>
      <c r="D6856" t="s">
        <v>88</v>
      </c>
      <c r="E6856" t="s">
        <v>957</v>
      </c>
      <c r="F6856" t="s">
        <v>88</v>
      </c>
      <c r="G6856" t="s">
        <v>88</v>
      </c>
      <c r="H6856" t="s">
        <v>92</v>
      </c>
    </row>
    <row r="6857" spans="1:8" x14ac:dyDescent="0.25">
      <c r="A6857" t="s">
        <v>268</v>
      </c>
      <c r="B6857" t="s">
        <v>6516</v>
      </c>
      <c r="C6857" t="s">
        <v>88</v>
      </c>
      <c r="D6857" t="s">
        <v>88</v>
      </c>
      <c r="E6857" t="s">
        <v>957</v>
      </c>
      <c r="F6857" t="s">
        <v>88</v>
      </c>
      <c r="G6857" t="s">
        <v>88</v>
      </c>
      <c r="H6857" t="s">
        <v>92</v>
      </c>
    </row>
    <row r="6858" spans="1:8" x14ac:dyDescent="0.25">
      <c r="A6858" t="s">
        <v>268</v>
      </c>
      <c r="B6858" t="s">
        <v>6517</v>
      </c>
      <c r="C6858" t="s">
        <v>88</v>
      </c>
      <c r="D6858" t="s">
        <v>88</v>
      </c>
      <c r="E6858" t="s">
        <v>732</v>
      </c>
      <c r="F6858" t="s">
        <v>88</v>
      </c>
      <c r="G6858" t="s">
        <v>88</v>
      </c>
      <c r="H6858" t="s">
        <v>92</v>
      </c>
    </row>
    <row r="6859" spans="1:8" x14ac:dyDescent="0.25">
      <c r="A6859" t="s">
        <v>268</v>
      </c>
      <c r="B6859" t="s">
        <v>6518</v>
      </c>
      <c r="C6859" t="s">
        <v>88</v>
      </c>
      <c r="D6859" t="s">
        <v>88</v>
      </c>
      <c r="E6859" t="s">
        <v>848</v>
      </c>
      <c r="F6859" t="s">
        <v>88</v>
      </c>
      <c r="G6859" t="s">
        <v>88</v>
      </c>
      <c r="H6859" t="s">
        <v>92</v>
      </c>
    </row>
    <row r="6860" spans="1:8" x14ac:dyDescent="0.25">
      <c r="A6860" t="s">
        <v>268</v>
      </c>
      <c r="B6860" t="s">
        <v>6519</v>
      </c>
      <c r="C6860" t="s">
        <v>88</v>
      </c>
      <c r="D6860" t="s">
        <v>88</v>
      </c>
      <c r="E6860" t="s">
        <v>848</v>
      </c>
      <c r="F6860" t="s">
        <v>88</v>
      </c>
      <c r="G6860" t="s">
        <v>88</v>
      </c>
      <c r="H6860" t="s">
        <v>92</v>
      </c>
    </row>
    <row r="6861" spans="1:8" x14ac:dyDescent="0.25">
      <c r="A6861" t="s">
        <v>268</v>
      </c>
      <c r="B6861" t="s">
        <v>6520</v>
      </c>
      <c r="C6861" t="s">
        <v>88</v>
      </c>
      <c r="D6861" t="s">
        <v>88</v>
      </c>
      <c r="E6861" t="s">
        <v>713</v>
      </c>
      <c r="F6861" t="s">
        <v>88</v>
      </c>
      <c r="G6861" t="s">
        <v>88</v>
      </c>
      <c r="H6861" t="s">
        <v>92</v>
      </c>
    </row>
    <row r="6862" spans="1:8" x14ac:dyDescent="0.25">
      <c r="A6862" t="s">
        <v>268</v>
      </c>
      <c r="B6862" t="s">
        <v>6521</v>
      </c>
      <c r="C6862" t="s">
        <v>88</v>
      </c>
      <c r="D6862" t="s">
        <v>88</v>
      </c>
      <c r="E6862" t="s">
        <v>957</v>
      </c>
      <c r="F6862" t="s">
        <v>88</v>
      </c>
      <c r="G6862" t="s">
        <v>88</v>
      </c>
      <c r="H6862" t="s">
        <v>92</v>
      </c>
    </row>
    <row r="6863" spans="1:8" x14ac:dyDescent="0.25">
      <c r="A6863" t="s">
        <v>268</v>
      </c>
      <c r="B6863" t="s">
        <v>622</v>
      </c>
      <c r="C6863" t="s">
        <v>88</v>
      </c>
      <c r="D6863" t="s">
        <v>88</v>
      </c>
      <c r="E6863" t="s">
        <v>848</v>
      </c>
      <c r="F6863" t="s">
        <v>88</v>
      </c>
      <c r="G6863" t="s">
        <v>88</v>
      </c>
      <c r="H6863" t="s">
        <v>92</v>
      </c>
    </row>
    <row r="6864" spans="1:8" x14ac:dyDescent="0.25">
      <c r="A6864" t="s">
        <v>268</v>
      </c>
      <c r="B6864" t="s">
        <v>623</v>
      </c>
      <c r="C6864" t="s">
        <v>88</v>
      </c>
      <c r="D6864" t="s">
        <v>88</v>
      </c>
      <c r="E6864" t="s">
        <v>735</v>
      </c>
      <c r="F6864" t="s">
        <v>88</v>
      </c>
      <c r="G6864" t="s">
        <v>88</v>
      </c>
      <c r="H6864" t="s">
        <v>92</v>
      </c>
    </row>
    <row r="6865" spans="1:8" x14ac:dyDescent="0.25">
      <c r="A6865" t="s">
        <v>268</v>
      </c>
      <c r="B6865" t="s">
        <v>714</v>
      </c>
      <c r="C6865" t="s">
        <v>88</v>
      </c>
      <c r="D6865" t="s">
        <v>88</v>
      </c>
      <c r="E6865" t="s">
        <v>1598</v>
      </c>
      <c r="F6865" t="s">
        <v>88</v>
      </c>
      <c r="G6865" t="s">
        <v>88</v>
      </c>
      <c r="H6865" t="s">
        <v>92</v>
      </c>
    </row>
    <row r="6866" spans="1:8" x14ac:dyDescent="0.25">
      <c r="A6866" t="s">
        <v>268</v>
      </c>
      <c r="B6866" t="s">
        <v>1074</v>
      </c>
      <c r="C6866" t="s">
        <v>88</v>
      </c>
      <c r="D6866" t="s">
        <v>88</v>
      </c>
      <c r="E6866" t="s">
        <v>1598</v>
      </c>
      <c r="F6866" t="s">
        <v>88</v>
      </c>
      <c r="G6866" t="s">
        <v>88</v>
      </c>
      <c r="H6866" t="s">
        <v>92</v>
      </c>
    </row>
    <row r="6867" spans="1:8" x14ac:dyDescent="0.25">
      <c r="A6867" t="s">
        <v>268</v>
      </c>
      <c r="B6867" t="s">
        <v>1671</v>
      </c>
      <c r="C6867" t="s">
        <v>88</v>
      </c>
      <c r="D6867" t="s">
        <v>88</v>
      </c>
      <c r="E6867" t="s">
        <v>1598</v>
      </c>
      <c r="F6867" t="s">
        <v>88</v>
      </c>
      <c r="G6867" t="s">
        <v>88</v>
      </c>
      <c r="H6867" t="s">
        <v>92</v>
      </c>
    </row>
    <row r="6868" spans="1:8" x14ac:dyDescent="0.25">
      <c r="A6868" t="s">
        <v>268</v>
      </c>
      <c r="B6868" t="s">
        <v>998</v>
      </c>
      <c r="C6868" t="s">
        <v>88</v>
      </c>
      <c r="D6868" t="s">
        <v>88</v>
      </c>
      <c r="E6868" t="s">
        <v>1598</v>
      </c>
      <c r="F6868" t="s">
        <v>88</v>
      </c>
      <c r="G6868" t="s">
        <v>88</v>
      </c>
      <c r="H6868" t="s">
        <v>92</v>
      </c>
    </row>
    <row r="6869" spans="1:8" x14ac:dyDescent="0.25">
      <c r="A6869" t="s">
        <v>268</v>
      </c>
      <c r="B6869" t="s">
        <v>1073</v>
      </c>
      <c r="C6869" t="s">
        <v>88</v>
      </c>
      <c r="D6869" t="s">
        <v>88</v>
      </c>
      <c r="E6869" t="s">
        <v>1598</v>
      </c>
      <c r="F6869" t="s">
        <v>88</v>
      </c>
      <c r="G6869" t="s">
        <v>88</v>
      </c>
      <c r="H6869" t="s">
        <v>92</v>
      </c>
    </row>
    <row r="6870" spans="1:8" x14ac:dyDescent="0.25">
      <c r="A6870" t="s">
        <v>268</v>
      </c>
      <c r="B6870" t="s">
        <v>6522</v>
      </c>
      <c r="C6870" t="s">
        <v>88</v>
      </c>
      <c r="D6870" t="s">
        <v>88</v>
      </c>
      <c r="E6870" t="s">
        <v>1323</v>
      </c>
      <c r="F6870" t="s">
        <v>88</v>
      </c>
      <c r="G6870" t="s">
        <v>88</v>
      </c>
      <c r="H6870" t="s">
        <v>92</v>
      </c>
    </row>
    <row r="6871" spans="1:8" x14ac:dyDescent="0.25">
      <c r="A6871" t="s">
        <v>268</v>
      </c>
      <c r="B6871" t="s">
        <v>6523</v>
      </c>
      <c r="C6871" t="s">
        <v>88</v>
      </c>
      <c r="D6871" t="s">
        <v>88</v>
      </c>
      <c r="E6871" t="s">
        <v>1598</v>
      </c>
      <c r="F6871" t="s">
        <v>88</v>
      </c>
      <c r="G6871" t="s">
        <v>88</v>
      </c>
      <c r="H6871" t="s">
        <v>92</v>
      </c>
    </row>
    <row r="6872" spans="1:8" x14ac:dyDescent="0.25">
      <c r="A6872" t="s">
        <v>268</v>
      </c>
      <c r="B6872" t="s">
        <v>6524</v>
      </c>
      <c r="C6872" t="s">
        <v>88</v>
      </c>
      <c r="D6872" t="s">
        <v>88</v>
      </c>
      <c r="E6872" t="s">
        <v>2513</v>
      </c>
      <c r="F6872" t="s">
        <v>88</v>
      </c>
      <c r="G6872" t="s">
        <v>88</v>
      </c>
      <c r="H6872" t="s">
        <v>92</v>
      </c>
    </row>
    <row r="6873" spans="1:8" x14ac:dyDescent="0.25">
      <c r="A6873" t="s">
        <v>268</v>
      </c>
      <c r="B6873" t="s">
        <v>6525</v>
      </c>
      <c r="C6873" t="s">
        <v>88</v>
      </c>
      <c r="D6873" t="s">
        <v>88</v>
      </c>
      <c r="E6873" t="s">
        <v>725</v>
      </c>
      <c r="F6873" t="s">
        <v>88</v>
      </c>
      <c r="G6873" t="s">
        <v>88</v>
      </c>
      <c r="H6873" t="s">
        <v>92</v>
      </c>
    </row>
    <row r="6874" spans="1:8" x14ac:dyDescent="0.25">
      <c r="A6874" t="s">
        <v>268</v>
      </c>
      <c r="B6874" t="s">
        <v>625</v>
      </c>
      <c r="C6874" t="s">
        <v>88</v>
      </c>
      <c r="D6874" t="s">
        <v>88</v>
      </c>
      <c r="E6874" t="s">
        <v>626</v>
      </c>
      <c r="F6874" t="s">
        <v>88</v>
      </c>
      <c r="G6874" t="s">
        <v>88</v>
      </c>
      <c r="H6874" t="s">
        <v>92</v>
      </c>
    </row>
    <row r="6875" spans="1:8" x14ac:dyDescent="0.25">
      <c r="A6875" t="s">
        <v>270</v>
      </c>
      <c r="B6875" t="s">
        <v>6258</v>
      </c>
      <c r="C6875" t="s">
        <v>88</v>
      </c>
      <c r="D6875" t="s">
        <v>6259</v>
      </c>
      <c r="E6875" t="s">
        <v>673</v>
      </c>
      <c r="F6875" t="s">
        <v>88</v>
      </c>
      <c r="G6875" t="s">
        <v>88</v>
      </c>
      <c r="H6875" t="s">
        <v>92</v>
      </c>
    </row>
    <row r="6876" spans="1:8" x14ac:dyDescent="0.25">
      <c r="A6876" t="s">
        <v>270</v>
      </c>
      <c r="B6876" t="s">
        <v>6260</v>
      </c>
      <c r="C6876" t="s">
        <v>88</v>
      </c>
      <c r="D6876" t="s">
        <v>6261</v>
      </c>
      <c r="E6876" t="s">
        <v>2481</v>
      </c>
      <c r="F6876" t="s">
        <v>88</v>
      </c>
      <c r="G6876" t="s">
        <v>88</v>
      </c>
      <c r="H6876" t="s">
        <v>92</v>
      </c>
    </row>
    <row r="6877" spans="1:8" x14ac:dyDescent="0.25">
      <c r="A6877" t="s">
        <v>270</v>
      </c>
      <c r="B6877" t="s">
        <v>6262</v>
      </c>
      <c r="C6877" t="s">
        <v>88</v>
      </c>
      <c r="D6877" t="s">
        <v>6263</v>
      </c>
      <c r="E6877" t="s">
        <v>937</v>
      </c>
      <c r="F6877" t="s">
        <v>88</v>
      </c>
      <c r="G6877" t="s">
        <v>88</v>
      </c>
      <c r="H6877" t="s">
        <v>92</v>
      </c>
    </row>
    <row r="6878" spans="1:8" x14ac:dyDescent="0.25">
      <c r="A6878" t="s">
        <v>270</v>
      </c>
      <c r="B6878" t="s">
        <v>6264</v>
      </c>
      <c r="C6878" t="s">
        <v>88</v>
      </c>
      <c r="D6878" t="s">
        <v>6265</v>
      </c>
      <c r="E6878" t="s">
        <v>1353</v>
      </c>
      <c r="F6878" t="s">
        <v>88</v>
      </c>
      <c r="G6878" t="s">
        <v>88</v>
      </c>
      <c r="H6878" t="s">
        <v>92</v>
      </c>
    </row>
    <row r="6879" spans="1:8" x14ac:dyDescent="0.25">
      <c r="A6879" t="s">
        <v>270</v>
      </c>
      <c r="B6879" t="s">
        <v>6266</v>
      </c>
      <c r="C6879" t="s">
        <v>88</v>
      </c>
      <c r="D6879" t="s">
        <v>6267</v>
      </c>
      <c r="E6879" t="s">
        <v>6268</v>
      </c>
      <c r="F6879" t="s">
        <v>88</v>
      </c>
      <c r="G6879" t="s">
        <v>88</v>
      </c>
      <c r="H6879" t="s">
        <v>92</v>
      </c>
    </row>
    <row r="6880" spans="1:8" x14ac:dyDescent="0.25">
      <c r="A6880" t="s">
        <v>270</v>
      </c>
      <c r="B6880" t="s">
        <v>6269</v>
      </c>
      <c r="C6880" t="s">
        <v>88</v>
      </c>
      <c r="D6880" t="s">
        <v>6270</v>
      </c>
      <c r="E6880" t="s">
        <v>760</v>
      </c>
      <c r="F6880" t="s">
        <v>88</v>
      </c>
      <c r="G6880" t="s">
        <v>88</v>
      </c>
      <c r="H6880" t="s">
        <v>92</v>
      </c>
    </row>
    <row r="6881" spans="1:8" x14ac:dyDescent="0.25">
      <c r="A6881" t="s">
        <v>270</v>
      </c>
      <c r="B6881" t="s">
        <v>6271</v>
      </c>
      <c r="C6881" t="s">
        <v>88</v>
      </c>
      <c r="D6881" t="s">
        <v>6272</v>
      </c>
      <c r="E6881" t="s">
        <v>3015</v>
      </c>
      <c r="F6881" t="s">
        <v>88</v>
      </c>
      <c r="G6881" t="s">
        <v>88</v>
      </c>
      <c r="H6881" t="s">
        <v>92</v>
      </c>
    </row>
    <row r="6882" spans="1:8" x14ac:dyDescent="0.25">
      <c r="A6882" t="s">
        <v>270</v>
      </c>
      <c r="B6882" t="s">
        <v>2359</v>
      </c>
      <c r="C6882" t="s">
        <v>88</v>
      </c>
      <c r="D6882" t="s">
        <v>88</v>
      </c>
      <c r="E6882" t="s">
        <v>791</v>
      </c>
      <c r="F6882" t="s">
        <v>88</v>
      </c>
      <c r="G6882" t="s">
        <v>88</v>
      </c>
      <c r="H6882" t="s">
        <v>92</v>
      </c>
    </row>
    <row r="6883" spans="1:8" x14ac:dyDescent="0.25">
      <c r="A6883" t="s">
        <v>270</v>
      </c>
      <c r="B6883" t="s">
        <v>6279</v>
      </c>
      <c r="C6883" t="s">
        <v>88</v>
      </c>
      <c r="D6883" t="s">
        <v>6280</v>
      </c>
      <c r="E6883" t="s">
        <v>780</v>
      </c>
      <c r="F6883" t="s">
        <v>88</v>
      </c>
      <c r="G6883" t="s">
        <v>88</v>
      </c>
      <c r="H6883" t="s">
        <v>92</v>
      </c>
    </row>
    <row r="6884" spans="1:8" x14ac:dyDescent="0.25">
      <c r="A6884" t="s">
        <v>270</v>
      </c>
      <c r="B6884" t="s">
        <v>6281</v>
      </c>
      <c r="C6884" t="s">
        <v>88</v>
      </c>
      <c r="D6884" t="s">
        <v>6282</v>
      </c>
      <c r="E6884" t="s">
        <v>2193</v>
      </c>
      <c r="F6884" t="s">
        <v>88</v>
      </c>
      <c r="G6884" t="s">
        <v>88</v>
      </c>
      <c r="H6884" t="s">
        <v>92</v>
      </c>
    </row>
    <row r="6885" spans="1:8" x14ac:dyDescent="0.25">
      <c r="A6885" t="s">
        <v>270</v>
      </c>
      <c r="B6885" t="s">
        <v>6285</v>
      </c>
      <c r="C6885" t="s">
        <v>88</v>
      </c>
      <c r="D6885" t="s">
        <v>6286</v>
      </c>
      <c r="E6885" t="s">
        <v>658</v>
      </c>
      <c r="F6885" t="s">
        <v>88</v>
      </c>
      <c r="G6885" t="s">
        <v>88</v>
      </c>
      <c r="H6885" t="s">
        <v>92</v>
      </c>
    </row>
    <row r="6886" spans="1:8" x14ac:dyDescent="0.25">
      <c r="A6886" t="s">
        <v>270</v>
      </c>
      <c r="B6886" t="s">
        <v>6287</v>
      </c>
      <c r="C6886" t="s">
        <v>88</v>
      </c>
      <c r="D6886" t="s">
        <v>6288</v>
      </c>
      <c r="E6886" t="s">
        <v>2989</v>
      </c>
      <c r="F6886" t="s">
        <v>88</v>
      </c>
      <c r="G6886" t="s">
        <v>88</v>
      </c>
      <c r="H6886" t="s">
        <v>92</v>
      </c>
    </row>
    <row r="6887" spans="1:8" x14ac:dyDescent="0.25">
      <c r="A6887" t="s">
        <v>270</v>
      </c>
      <c r="B6887" t="s">
        <v>6289</v>
      </c>
      <c r="C6887" t="s">
        <v>88</v>
      </c>
      <c r="D6887" t="s">
        <v>6290</v>
      </c>
      <c r="E6887" t="s">
        <v>841</v>
      </c>
      <c r="F6887" t="s">
        <v>88</v>
      </c>
      <c r="G6887" t="s">
        <v>88</v>
      </c>
      <c r="H6887" t="s">
        <v>92</v>
      </c>
    </row>
    <row r="6888" spans="1:8" x14ac:dyDescent="0.25">
      <c r="A6888" t="s">
        <v>270</v>
      </c>
      <c r="B6888" t="s">
        <v>6291</v>
      </c>
      <c r="C6888" t="s">
        <v>88</v>
      </c>
      <c r="D6888" t="s">
        <v>6292</v>
      </c>
      <c r="E6888" t="s">
        <v>2800</v>
      </c>
      <c r="F6888" t="s">
        <v>88</v>
      </c>
      <c r="G6888" t="s">
        <v>88</v>
      </c>
      <c r="H6888" t="s">
        <v>92</v>
      </c>
    </row>
    <row r="6889" spans="1:8" x14ac:dyDescent="0.25">
      <c r="A6889" t="s">
        <v>270</v>
      </c>
      <c r="B6889" t="s">
        <v>6293</v>
      </c>
      <c r="C6889" t="s">
        <v>88</v>
      </c>
      <c r="D6889" t="s">
        <v>6294</v>
      </c>
      <c r="E6889" t="s">
        <v>1189</v>
      </c>
      <c r="F6889" t="s">
        <v>88</v>
      </c>
      <c r="G6889" t="s">
        <v>88</v>
      </c>
      <c r="H6889" t="s">
        <v>92</v>
      </c>
    </row>
    <row r="6890" spans="1:8" x14ac:dyDescent="0.25">
      <c r="A6890" t="s">
        <v>270</v>
      </c>
      <c r="B6890" t="s">
        <v>6303</v>
      </c>
      <c r="C6890" t="s">
        <v>88</v>
      </c>
      <c r="D6890" t="s">
        <v>6304</v>
      </c>
      <c r="E6890" t="s">
        <v>663</v>
      </c>
      <c r="F6890" t="s">
        <v>88</v>
      </c>
      <c r="G6890" t="s">
        <v>88</v>
      </c>
      <c r="H6890" t="s">
        <v>92</v>
      </c>
    </row>
    <row r="6891" spans="1:8" x14ac:dyDescent="0.25">
      <c r="A6891" t="s">
        <v>270</v>
      </c>
      <c r="B6891" t="s">
        <v>6305</v>
      </c>
      <c r="C6891" t="s">
        <v>88</v>
      </c>
      <c r="D6891" t="s">
        <v>6306</v>
      </c>
      <c r="E6891" t="s">
        <v>2513</v>
      </c>
      <c r="F6891" t="s">
        <v>88</v>
      </c>
      <c r="G6891" t="s">
        <v>88</v>
      </c>
      <c r="H6891" t="s">
        <v>92</v>
      </c>
    </row>
    <row r="6892" spans="1:8" x14ac:dyDescent="0.25">
      <c r="A6892" t="s">
        <v>270</v>
      </c>
      <c r="B6892" t="s">
        <v>6307</v>
      </c>
      <c r="C6892" t="s">
        <v>88</v>
      </c>
      <c r="D6892" t="s">
        <v>6308</v>
      </c>
      <c r="E6892" t="s">
        <v>2166</v>
      </c>
      <c r="F6892" t="s">
        <v>88</v>
      </c>
      <c r="G6892" t="s">
        <v>88</v>
      </c>
      <c r="H6892" t="s">
        <v>92</v>
      </c>
    </row>
    <row r="6893" spans="1:8" x14ac:dyDescent="0.25">
      <c r="A6893" t="s">
        <v>270</v>
      </c>
      <c r="B6893" t="s">
        <v>6315</v>
      </c>
      <c r="C6893" t="s">
        <v>88</v>
      </c>
      <c r="D6893" t="s">
        <v>6316</v>
      </c>
      <c r="E6893" t="s">
        <v>886</v>
      </c>
      <c r="F6893" t="s">
        <v>88</v>
      </c>
      <c r="G6893" t="s">
        <v>88</v>
      </c>
      <c r="H6893" t="s">
        <v>92</v>
      </c>
    </row>
    <row r="6894" spans="1:8" x14ac:dyDescent="0.25">
      <c r="A6894" t="s">
        <v>270</v>
      </c>
      <c r="B6894" t="s">
        <v>6319</v>
      </c>
      <c r="C6894" t="s">
        <v>88</v>
      </c>
      <c r="D6894" t="s">
        <v>6320</v>
      </c>
      <c r="E6894" t="s">
        <v>1839</v>
      </c>
      <c r="F6894" t="s">
        <v>88</v>
      </c>
      <c r="G6894" t="s">
        <v>88</v>
      </c>
      <c r="H6894" t="s">
        <v>92</v>
      </c>
    </row>
    <row r="6895" spans="1:8" x14ac:dyDescent="0.25">
      <c r="A6895" t="s">
        <v>270</v>
      </c>
      <c r="B6895" t="s">
        <v>6321</v>
      </c>
      <c r="C6895" t="s">
        <v>88</v>
      </c>
      <c r="D6895" t="s">
        <v>6322</v>
      </c>
      <c r="E6895" t="s">
        <v>717</v>
      </c>
      <c r="F6895" t="s">
        <v>88</v>
      </c>
      <c r="G6895" t="s">
        <v>88</v>
      </c>
      <c r="H6895" t="s">
        <v>92</v>
      </c>
    </row>
    <row r="6896" spans="1:8" x14ac:dyDescent="0.25">
      <c r="A6896" t="s">
        <v>270</v>
      </c>
      <c r="B6896" t="s">
        <v>6323</v>
      </c>
      <c r="C6896" t="s">
        <v>88</v>
      </c>
      <c r="D6896" t="s">
        <v>6324</v>
      </c>
      <c r="E6896" t="s">
        <v>6325</v>
      </c>
      <c r="F6896" t="s">
        <v>88</v>
      </c>
      <c r="G6896" t="s">
        <v>88</v>
      </c>
      <c r="H6896" t="s">
        <v>92</v>
      </c>
    </row>
    <row r="6897" spans="1:8" x14ac:dyDescent="0.25">
      <c r="A6897" t="s">
        <v>270</v>
      </c>
      <c r="B6897" t="s">
        <v>6332</v>
      </c>
      <c r="C6897" t="s">
        <v>88</v>
      </c>
      <c r="D6897" t="s">
        <v>6333</v>
      </c>
      <c r="E6897" t="s">
        <v>6334</v>
      </c>
      <c r="F6897" t="s">
        <v>88</v>
      </c>
      <c r="G6897" t="s">
        <v>88</v>
      </c>
      <c r="H6897" t="s">
        <v>92</v>
      </c>
    </row>
    <row r="6898" spans="1:8" x14ac:dyDescent="0.25">
      <c r="A6898" t="s">
        <v>270</v>
      </c>
      <c r="B6898" t="s">
        <v>6335</v>
      </c>
      <c r="C6898" t="s">
        <v>88</v>
      </c>
      <c r="D6898" t="s">
        <v>6336</v>
      </c>
      <c r="E6898" t="s">
        <v>673</v>
      </c>
      <c r="F6898" t="s">
        <v>88</v>
      </c>
      <c r="G6898" t="s">
        <v>88</v>
      </c>
      <c r="H6898" t="s">
        <v>92</v>
      </c>
    </row>
    <row r="6899" spans="1:8" x14ac:dyDescent="0.25">
      <c r="A6899" t="s">
        <v>270</v>
      </c>
      <c r="B6899" t="s">
        <v>6337</v>
      </c>
      <c r="C6899" t="s">
        <v>88</v>
      </c>
      <c r="D6899" t="s">
        <v>6338</v>
      </c>
      <c r="E6899" t="s">
        <v>1139</v>
      </c>
      <c r="F6899" t="s">
        <v>88</v>
      </c>
      <c r="G6899" t="s">
        <v>88</v>
      </c>
      <c r="H6899" t="s">
        <v>92</v>
      </c>
    </row>
    <row r="6900" spans="1:8" x14ac:dyDescent="0.25">
      <c r="A6900" t="s">
        <v>270</v>
      </c>
      <c r="B6900" t="s">
        <v>6339</v>
      </c>
      <c r="C6900" t="s">
        <v>88</v>
      </c>
      <c r="D6900" t="s">
        <v>6340</v>
      </c>
      <c r="E6900" t="s">
        <v>2833</v>
      </c>
      <c r="F6900" t="s">
        <v>88</v>
      </c>
      <c r="G6900" t="s">
        <v>88</v>
      </c>
      <c r="H6900" t="s">
        <v>92</v>
      </c>
    </row>
    <row r="6901" spans="1:8" x14ac:dyDescent="0.25">
      <c r="A6901" t="s">
        <v>270</v>
      </c>
      <c r="B6901" t="s">
        <v>6341</v>
      </c>
      <c r="C6901" t="s">
        <v>88</v>
      </c>
      <c r="D6901" t="s">
        <v>6342</v>
      </c>
      <c r="E6901" t="s">
        <v>721</v>
      </c>
      <c r="F6901" t="s">
        <v>88</v>
      </c>
      <c r="G6901" t="s">
        <v>88</v>
      </c>
      <c r="H6901" t="s">
        <v>92</v>
      </c>
    </row>
    <row r="6902" spans="1:8" x14ac:dyDescent="0.25">
      <c r="A6902" t="s">
        <v>270</v>
      </c>
      <c r="B6902" t="s">
        <v>6351</v>
      </c>
      <c r="C6902" t="s">
        <v>88</v>
      </c>
      <c r="D6902" t="s">
        <v>6352</v>
      </c>
      <c r="E6902" t="s">
        <v>6353</v>
      </c>
      <c r="F6902" t="s">
        <v>88</v>
      </c>
      <c r="G6902" t="s">
        <v>88</v>
      </c>
      <c r="H6902" t="s">
        <v>92</v>
      </c>
    </row>
    <row r="6903" spans="1:8" x14ac:dyDescent="0.25">
      <c r="A6903" t="s">
        <v>270</v>
      </c>
      <c r="B6903" t="s">
        <v>1019</v>
      </c>
      <c r="C6903" t="s">
        <v>88</v>
      </c>
      <c r="D6903" t="s">
        <v>6354</v>
      </c>
      <c r="E6903" t="s">
        <v>1221</v>
      </c>
      <c r="F6903" t="s">
        <v>88</v>
      </c>
      <c r="G6903" t="s">
        <v>88</v>
      </c>
      <c r="H6903" t="s">
        <v>92</v>
      </c>
    </row>
    <row r="6904" spans="1:8" x14ac:dyDescent="0.25">
      <c r="A6904" t="s">
        <v>270</v>
      </c>
      <c r="B6904" t="s">
        <v>832</v>
      </c>
      <c r="C6904" t="s">
        <v>88</v>
      </c>
      <c r="D6904" t="s">
        <v>6355</v>
      </c>
      <c r="E6904" t="s">
        <v>760</v>
      </c>
      <c r="F6904" t="s">
        <v>88</v>
      </c>
      <c r="G6904" t="s">
        <v>88</v>
      </c>
      <c r="H6904" t="s">
        <v>92</v>
      </c>
    </row>
    <row r="6905" spans="1:8" x14ac:dyDescent="0.25">
      <c r="A6905" t="s">
        <v>270</v>
      </c>
      <c r="B6905" t="s">
        <v>818</v>
      </c>
      <c r="C6905" t="s">
        <v>88</v>
      </c>
      <c r="D6905" t="s">
        <v>6352</v>
      </c>
      <c r="E6905" t="s">
        <v>6353</v>
      </c>
      <c r="F6905" t="s">
        <v>88</v>
      </c>
      <c r="G6905" t="s">
        <v>88</v>
      </c>
      <c r="H6905" t="s">
        <v>92</v>
      </c>
    </row>
    <row r="6906" spans="1:8" x14ac:dyDescent="0.25">
      <c r="A6906" t="s">
        <v>270</v>
      </c>
      <c r="B6906" t="s">
        <v>837</v>
      </c>
      <c r="C6906" t="s">
        <v>88</v>
      </c>
      <c r="D6906" t="s">
        <v>6356</v>
      </c>
      <c r="E6906" t="s">
        <v>3181</v>
      </c>
      <c r="F6906" t="s">
        <v>88</v>
      </c>
      <c r="G6906" t="s">
        <v>88</v>
      </c>
      <c r="H6906" t="s">
        <v>92</v>
      </c>
    </row>
    <row r="6907" spans="1:8" x14ac:dyDescent="0.25">
      <c r="A6907" t="s">
        <v>270</v>
      </c>
      <c r="B6907" t="s">
        <v>823</v>
      </c>
      <c r="C6907" t="s">
        <v>88</v>
      </c>
      <c r="D6907" t="s">
        <v>6357</v>
      </c>
      <c r="E6907" t="s">
        <v>6358</v>
      </c>
      <c r="F6907" t="s">
        <v>88</v>
      </c>
      <c r="G6907" t="s">
        <v>88</v>
      </c>
      <c r="H6907" t="s">
        <v>92</v>
      </c>
    </row>
    <row r="6908" spans="1:8" x14ac:dyDescent="0.25">
      <c r="A6908" t="s">
        <v>270</v>
      </c>
      <c r="B6908" t="s">
        <v>789</v>
      </c>
      <c r="C6908" t="s">
        <v>88</v>
      </c>
      <c r="D6908" t="s">
        <v>6359</v>
      </c>
      <c r="E6908" t="s">
        <v>1598</v>
      </c>
      <c r="F6908" t="s">
        <v>88</v>
      </c>
      <c r="G6908" t="s">
        <v>88</v>
      </c>
      <c r="H6908" t="s">
        <v>92</v>
      </c>
    </row>
    <row r="6909" spans="1:8" x14ac:dyDescent="0.25">
      <c r="A6909" t="s">
        <v>270</v>
      </c>
      <c r="B6909" t="s">
        <v>6364</v>
      </c>
      <c r="C6909" t="s">
        <v>88</v>
      </c>
      <c r="D6909" t="s">
        <v>6365</v>
      </c>
      <c r="E6909" t="s">
        <v>1971</v>
      </c>
      <c r="F6909" t="s">
        <v>88</v>
      </c>
      <c r="G6909" t="s">
        <v>88</v>
      </c>
      <c r="H6909" t="s">
        <v>92</v>
      </c>
    </row>
    <row r="6910" spans="1:8" x14ac:dyDescent="0.25">
      <c r="A6910" t="s">
        <v>270</v>
      </c>
      <c r="B6910" t="s">
        <v>6360</v>
      </c>
      <c r="C6910" t="s">
        <v>88</v>
      </c>
      <c r="D6910" t="s">
        <v>6361</v>
      </c>
      <c r="E6910" t="s">
        <v>723</v>
      </c>
      <c r="F6910" t="s">
        <v>88</v>
      </c>
      <c r="G6910" t="s">
        <v>88</v>
      </c>
      <c r="H6910" t="s">
        <v>92</v>
      </c>
    </row>
    <row r="6911" spans="1:8" x14ac:dyDescent="0.25">
      <c r="A6911" t="s">
        <v>270</v>
      </c>
      <c r="B6911" t="s">
        <v>6362</v>
      </c>
      <c r="C6911" t="s">
        <v>88</v>
      </c>
      <c r="D6911" t="s">
        <v>6363</v>
      </c>
      <c r="E6911" t="s">
        <v>715</v>
      </c>
      <c r="F6911" t="s">
        <v>88</v>
      </c>
      <c r="G6911" t="s">
        <v>88</v>
      </c>
      <c r="H6911" t="s">
        <v>92</v>
      </c>
    </row>
    <row r="6912" spans="1:8" x14ac:dyDescent="0.25">
      <c r="A6912" t="s">
        <v>270</v>
      </c>
      <c r="B6912" t="s">
        <v>6366</v>
      </c>
      <c r="C6912" t="s">
        <v>88</v>
      </c>
      <c r="D6912" t="s">
        <v>6367</v>
      </c>
      <c r="E6912" t="s">
        <v>679</v>
      </c>
      <c r="F6912" t="s">
        <v>88</v>
      </c>
      <c r="G6912" t="s">
        <v>88</v>
      </c>
      <c r="H6912" t="s">
        <v>92</v>
      </c>
    </row>
    <row r="6913" spans="1:8" x14ac:dyDescent="0.25">
      <c r="A6913" t="s">
        <v>270</v>
      </c>
      <c r="B6913" t="s">
        <v>6368</v>
      </c>
      <c r="C6913" t="s">
        <v>88</v>
      </c>
      <c r="D6913" t="s">
        <v>6369</v>
      </c>
      <c r="E6913" t="s">
        <v>723</v>
      </c>
      <c r="F6913" t="s">
        <v>88</v>
      </c>
      <c r="G6913" t="s">
        <v>88</v>
      </c>
      <c r="H6913" t="s">
        <v>92</v>
      </c>
    </row>
    <row r="6914" spans="1:8" x14ac:dyDescent="0.25">
      <c r="A6914" t="s">
        <v>270</v>
      </c>
      <c r="B6914" t="s">
        <v>854</v>
      </c>
      <c r="C6914" t="s">
        <v>88</v>
      </c>
      <c r="D6914" t="s">
        <v>6372</v>
      </c>
      <c r="E6914" t="s">
        <v>2513</v>
      </c>
      <c r="F6914" t="s">
        <v>88</v>
      </c>
      <c r="G6914" t="s">
        <v>88</v>
      </c>
      <c r="H6914" t="s">
        <v>92</v>
      </c>
    </row>
    <row r="6915" spans="1:8" x14ac:dyDescent="0.25">
      <c r="A6915" t="s">
        <v>270</v>
      </c>
      <c r="B6915" t="s">
        <v>6374</v>
      </c>
      <c r="C6915" t="s">
        <v>88</v>
      </c>
      <c r="D6915" t="s">
        <v>6375</v>
      </c>
      <c r="E6915" t="s">
        <v>1377</v>
      </c>
      <c r="F6915" t="s">
        <v>88</v>
      </c>
      <c r="G6915" t="s">
        <v>88</v>
      </c>
      <c r="H6915" t="s">
        <v>92</v>
      </c>
    </row>
    <row r="6916" spans="1:8" x14ac:dyDescent="0.25">
      <c r="A6916" t="s">
        <v>270</v>
      </c>
      <c r="B6916" t="s">
        <v>6398</v>
      </c>
      <c r="C6916" t="s">
        <v>88</v>
      </c>
      <c r="D6916" t="s">
        <v>88</v>
      </c>
      <c r="E6916" t="s">
        <v>886</v>
      </c>
      <c r="F6916" t="s">
        <v>88</v>
      </c>
      <c r="G6916" t="s">
        <v>88</v>
      </c>
      <c r="H6916" t="s">
        <v>92</v>
      </c>
    </row>
    <row r="6917" spans="1:8" x14ac:dyDescent="0.25">
      <c r="A6917" t="s">
        <v>270</v>
      </c>
      <c r="B6917" t="s">
        <v>6399</v>
      </c>
      <c r="C6917" t="s">
        <v>88</v>
      </c>
      <c r="D6917" t="s">
        <v>88</v>
      </c>
      <c r="E6917" t="s">
        <v>886</v>
      </c>
      <c r="F6917" t="s">
        <v>88</v>
      </c>
      <c r="G6917" t="s">
        <v>88</v>
      </c>
      <c r="H6917" t="s">
        <v>92</v>
      </c>
    </row>
    <row r="6918" spans="1:8" x14ac:dyDescent="0.25">
      <c r="A6918" t="s">
        <v>270</v>
      </c>
      <c r="B6918" t="s">
        <v>6400</v>
      </c>
      <c r="C6918" t="s">
        <v>88</v>
      </c>
      <c r="D6918" t="s">
        <v>88</v>
      </c>
      <c r="E6918" t="s">
        <v>1377</v>
      </c>
      <c r="F6918" t="s">
        <v>88</v>
      </c>
      <c r="G6918" t="s">
        <v>88</v>
      </c>
      <c r="H6918" t="s">
        <v>92</v>
      </c>
    </row>
    <row r="6919" spans="1:8" x14ac:dyDescent="0.25">
      <c r="A6919" t="s">
        <v>270</v>
      </c>
      <c r="B6919" t="s">
        <v>6401</v>
      </c>
      <c r="C6919" t="s">
        <v>88</v>
      </c>
      <c r="D6919" t="s">
        <v>88</v>
      </c>
      <c r="E6919" t="s">
        <v>2193</v>
      </c>
      <c r="F6919" t="s">
        <v>88</v>
      </c>
      <c r="G6919" t="s">
        <v>88</v>
      </c>
      <c r="H6919" t="s">
        <v>92</v>
      </c>
    </row>
    <row r="6920" spans="1:8" x14ac:dyDescent="0.25">
      <c r="A6920" t="s">
        <v>270</v>
      </c>
      <c r="B6920" t="s">
        <v>6402</v>
      </c>
      <c r="C6920" t="s">
        <v>88</v>
      </c>
      <c r="D6920" t="s">
        <v>88</v>
      </c>
      <c r="E6920" t="s">
        <v>2193</v>
      </c>
      <c r="F6920" t="s">
        <v>88</v>
      </c>
      <c r="G6920" t="s">
        <v>88</v>
      </c>
      <c r="H6920" t="s">
        <v>92</v>
      </c>
    </row>
    <row r="6921" spans="1:8" x14ac:dyDescent="0.25">
      <c r="A6921" t="s">
        <v>270</v>
      </c>
      <c r="B6921" t="s">
        <v>6407</v>
      </c>
      <c r="C6921" t="s">
        <v>88</v>
      </c>
      <c r="D6921" t="s">
        <v>88</v>
      </c>
      <c r="E6921" t="s">
        <v>1221</v>
      </c>
      <c r="F6921" t="s">
        <v>88</v>
      </c>
      <c r="G6921" t="s">
        <v>88</v>
      </c>
      <c r="H6921" t="s">
        <v>92</v>
      </c>
    </row>
    <row r="6922" spans="1:8" x14ac:dyDescent="0.25">
      <c r="A6922" t="s">
        <v>270</v>
      </c>
      <c r="B6922" t="s">
        <v>6427</v>
      </c>
      <c r="C6922" t="s">
        <v>88</v>
      </c>
      <c r="D6922" t="s">
        <v>88</v>
      </c>
      <c r="E6922" t="s">
        <v>2513</v>
      </c>
      <c r="F6922" t="s">
        <v>88</v>
      </c>
      <c r="G6922" t="s">
        <v>88</v>
      </c>
      <c r="H6922" t="s">
        <v>92</v>
      </c>
    </row>
    <row r="6923" spans="1:8" x14ac:dyDescent="0.25">
      <c r="A6923" t="s">
        <v>270</v>
      </c>
      <c r="B6923" t="s">
        <v>6431</v>
      </c>
      <c r="C6923" t="s">
        <v>88</v>
      </c>
      <c r="D6923" t="s">
        <v>88</v>
      </c>
      <c r="E6923" t="s">
        <v>2513</v>
      </c>
      <c r="F6923" t="s">
        <v>88</v>
      </c>
      <c r="G6923" t="s">
        <v>88</v>
      </c>
      <c r="H6923" t="s">
        <v>92</v>
      </c>
    </row>
    <row r="6924" spans="1:8" x14ac:dyDescent="0.25">
      <c r="A6924" t="s">
        <v>270</v>
      </c>
      <c r="B6924" t="s">
        <v>6432</v>
      </c>
      <c r="C6924" t="s">
        <v>88</v>
      </c>
      <c r="D6924" t="s">
        <v>88</v>
      </c>
      <c r="E6924" t="s">
        <v>2513</v>
      </c>
      <c r="F6924" t="s">
        <v>88</v>
      </c>
      <c r="G6924" t="s">
        <v>88</v>
      </c>
      <c r="H6924" t="s">
        <v>92</v>
      </c>
    </row>
    <row r="6925" spans="1:8" x14ac:dyDescent="0.25">
      <c r="A6925" t="s">
        <v>270</v>
      </c>
      <c r="B6925" t="s">
        <v>6433</v>
      </c>
      <c r="C6925" t="s">
        <v>88</v>
      </c>
      <c r="D6925" t="s">
        <v>88</v>
      </c>
      <c r="E6925" t="s">
        <v>2513</v>
      </c>
      <c r="F6925" t="s">
        <v>88</v>
      </c>
      <c r="G6925" t="s">
        <v>88</v>
      </c>
      <c r="H6925" t="s">
        <v>92</v>
      </c>
    </row>
    <row r="6926" spans="1:8" x14ac:dyDescent="0.25">
      <c r="A6926" t="s">
        <v>270</v>
      </c>
      <c r="B6926" t="s">
        <v>6434</v>
      </c>
      <c r="C6926" t="s">
        <v>88</v>
      </c>
      <c r="D6926" t="s">
        <v>88</v>
      </c>
      <c r="E6926" t="s">
        <v>735</v>
      </c>
      <c r="F6926" t="s">
        <v>88</v>
      </c>
      <c r="G6926" t="s">
        <v>88</v>
      </c>
      <c r="H6926" t="s">
        <v>92</v>
      </c>
    </row>
    <row r="6927" spans="1:8" x14ac:dyDescent="0.25">
      <c r="A6927" t="s">
        <v>270</v>
      </c>
      <c r="B6927" t="s">
        <v>6436</v>
      </c>
      <c r="C6927" t="s">
        <v>88</v>
      </c>
      <c r="D6927" t="s">
        <v>88</v>
      </c>
      <c r="E6927" t="s">
        <v>849</v>
      </c>
      <c r="F6927" t="s">
        <v>88</v>
      </c>
      <c r="G6927" t="s">
        <v>88</v>
      </c>
      <c r="H6927" t="s">
        <v>92</v>
      </c>
    </row>
    <row r="6928" spans="1:8" x14ac:dyDescent="0.25">
      <c r="A6928" t="s">
        <v>270</v>
      </c>
      <c r="B6928" t="s">
        <v>6438</v>
      </c>
      <c r="C6928" t="s">
        <v>88</v>
      </c>
      <c r="D6928" t="s">
        <v>88</v>
      </c>
      <c r="E6928" t="s">
        <v>849</v>
      </c>
      <c r="F6928" t="s">
        <v>88</v>
      </c>
      <c r="G6928" t="s">
        <v>88</v>
      </c>
      <c r="H6928" t="s">
        <v>92</v>
      </c>
    </row>
    <row r="6929" spans="1:8" x14ac:dyDescent="0.25">
      <c r="A6929" t="s">
        <v>270</v>
      </c>
      <c r="B6929" t="s">
        <v>845</v>
      </c>
      <c r="C6929" t="s">
        <v>88</v>
      </c>
      <c r="D6929" t="s">
        <v>88</v>
      </c>
      <c r="E6929" t="s">
        <v>735</v>
      </c>
      <c r="F6929" t="s">
        <v>88</v>
      </c>
      <c r="G6929" t="s">
        <v>88</v>
      </c>
      <c r="H6929" t="s">
        <v>92</v>
      </c>
    </row>
    <row r="6930" spans="1:8" x14ac:dyDescent="0.25">
      <c r="A6930" t="s">
        <v>270</v>
      </c>
      <c r="B6930" t="s">
        <v>6440</v>
      </c>
      <c r="C6930" t="s">
        <v>88</v>
      </c>
      <c r="D6930" t="s">
        <v>88</v>
      </c>
      <c r="E6930" t="s">
        <v>735</v>
      </c>
      <c r="F6930" t="s">
        <v>88</v>
      </c>
      <c r="G6930" t="s">
        <v>88</v>
      </c>
      <c r="H6930" t="s">
        <v>92</v>
      </c>
    </row>
    <row r="6931" spans="1:8" x14ac:dyDescent="0.25">
      <c r="A6931" t="s">
        <v>270</v>
      </c>
      <c r="B6931" t="s">
        <v>6441</v>
      </c>
      <c r="C6931" t="s">
        <v>88</v>
      </c>
      <c r="D6931" t="s">
        <v>88</v>
      </c>
      <c r="E6931" t="s">
        <v>1594</v>
      </c>
      <c r="F6931" t="s">
        <v>88</v>
      </c>
      <c r="G6931" t="s">
        <v>88</v>
      </c>
      <c r="H6931" t="s">
        <v>92</v>
      </c>
    </row>
    <row r="6932" spans="1:8" x14ac:dyDescent="0.25">
      <c r="A6932" t="s">
        <v>270</v>
      </c>
      <c r="B6932" t="s">
        <v>6442</v>
      </c>
      <c r="C6932" t="s">
        <v>88</v>
      </c>
      <c r="D6932" t="s">
        <v>88</v>
      </c>
      <c r="E6932" t="s">
        <v>709</v>
      </c>
      <c r="F6932" t="s">
        <v>88</v>
      </c>
      <c r="G6932" t="s">
        <v>88</v>
      </c>
      <c r="H6932" t="s">
        <v>92</v>
      </c>
    </row>
    <row r="6933" spans="1:8" x14ac:dyDescent="0.25">
      <c r="A6933" t="s">
        <v>270</v>
      </c>
      <c r="B6933" t="s">
        <v>6471</v>
      </c>
      <c r="C6933" t="s">
        <v>88</v>
      </c>
      <c r="D6933" t="s">
        <v>6472</v>
      </c>
      <c r="E6933" t="s">
        <v>2166</v>
      </c>
      <c r="F6933" t="s">
        <v>88</v>
      </c>
      <c r="G6933" t="s">
        <v>88</v>
      </c>
      <c r="H6933" t="s">
        <v>92</v>
      </c>
    </row>
    <row r="6934" spans="1:8" x14ac:dyDescent="0.25">
      <c r="A6934" t="s">
        <v>270</v>
      </c>
      <c r="B6934" t="s">
        <v>6489</v>
      </c>
      <c r="C6934" t="s">
        <v>88</v>
      </c>
      <c r="D6934" t="s">
        <v>88</v>
      </c>
      <c r="E6934" t="s">
        <v>734</v>
      </c>
      <c r="F6934" t="s">
        <v>88</v>
      </c>
      <c r="G6934" t="s">
        <v>88</v>
      </c>
      <c r="H6934" t="s">
        <v>92</v>
      </c>
    </row>
    <row r="6935" spans="1:8" x14ac:dyDescent="0.25">
      <c r="A6935" t="s">
        <v>270</v>
      </c>
      <c r="B6935" t="s">
        <v>6490</v>
      </c>
      <c r="C6935" t="s">
        <v>88</v>
      </c>
      <c r="D6935" t="s">
        <v>88</v>
      </c>
      <c r="E6935" t="s">
        <v>713</v>
      </c>
      <c r="F6935" t="s">
        <v>88</v>
      </c>
      <c r="G6935" t="s">
        <v>88</v>
      </c>
      <c r="H6935" t="s">
        <v>92</v>
      </c>
    </row>
    <row r="6936" spans="1:8" x14ac:dyDescent="0.25">
      <c r="A6936" t="s">
        <v>270</v>
      </c>
      <c r="B6936" t="s">
        <v>6492</v>
      </c>
      <c r="C6936" t="s">
        <v>88</v>
      </c>
      <c r="D6936" t="s">
        <v>88</v>
      </c>
      <c r="E6936" t="s">
        <v>713</v>
      </c>
      <c r="F6936" t="s">
        <v>88</v>
      </c>
      <c r="G6936" t="s">
        <v>88</v>
      </c>
      <c r="H6936" t="s">
        <v>92</v>
      </c>
    </row>
    <row r="6937" spans="1:8" x14ac:dyDescent="0.25">
      <c r="A6937" t="s">
        <v>270</v>
      </c>
      <c r="B6937" t="s">
        <v>6494</v>
      </c>
      <c r="C6937" t="s">
        <v>88</v>
      </c>
      <c r="D6937" t="s">
        <v>88</v>
      </c>
      <c r="E6937" t="s">
        <v>850</v>
      </c>
      <c r="F6937" t="s">
        <v>88</v>
      </c>
      <c r="G6937" t="s">
        <v>88</v>
      </c>
      <c r="H6937" t="s">
        <v>92</v>
      </c>
    </row>
    <row r="6938" spans="1:8" x14ac:dyDescent="0.25">
      <c r="A6938" t="s">
        <v>270</v>
      </c>
      <c r="B6938" t="s">
        <v>6495</v>
      </c>
      <c r="C6938" t="s">
        <v>88</v>
      </c>
      <c r="D6938" t="s">
        <v>88</v>
      </c>
      <c r="E6938" t="s">
        <v>850</v>
      </c>
      <c r="F6938" t="s">
        <v>88</v>
      </c>
      <c r="G6938" t="s">
        <v>88</v>
      </c>
      <c r="H6938" t="s">
        <v>92</v>
      </c>
    </row>
    <row r="6939" spans="1:8" x14ac:dyDescent="0.25">
      <c r="A6939" t="s">
        <v>270</v>
      </c>
      <c r="B6939" t="s">
        <v>6497</v>
      </c>
      <c r="C6939" t="s">
        <v>88</v>
      </c>
      <c r="D6939" t="s">
        <v>88</v>
      </c>
      <c r="E6939" t="s">
        <v>850</v>
      </c>
      <c r="F6939" t="s">
        <v>88</v>
      </c>
      <c r="G6939" t="s">
        <v>88</v>
      </c>
      <c r="H6939" t="s">
        <v>92</v>
      </c>
    </row>
    <row r="6940" spans="1:8" x14ac:dyDescent="0.25">
      <c r="A6940" t="s">
        <v>270</v>
      </c>
      <c r="B6940" t="s">
        <v>6498</v>
      </c>
      <c r="C6940" t="s">
        <v>88</v>
      </c>
      <c r="D6940" t="s">
        <v>88</v>
      </c>
      <c r="E6940" t="s">
        <v>850</v>
      </c>
      <c r="F6940" t="s">
        <v>88</v>
      </c>
      <c r="G6940" t="s">
        <v>88</v>
      </c>
      <c r="H6940" t="s">
        <v>92</v>
      </c>
    </row>
    <row r="6941" spans="1:8" x14ac:dyDescent="0.25">
      <c r="A6941" t="s">
        <v>270</v>
      </c>
      <c r="B6941" t="s">
        <v>6499</v>
      </c>
      <c r="C6941" t="s">
        <v>88</v>
      </c>
      <c r="D6941" t="s">
        <v>88</v>
      </c>
      <c r="E6941" t="s">
        <v>711</v>
      </c>
      <c r="F6941" t="s">
        <v>88</v>
      </c>
      <c r="G6941" t="s">
        <v>88</v>
      </c>
      <c r="H6941" t="s">
        <v>92</v>
      </c>
    </row>
    <row r="6942" spans="1:8" x14ac:dyDescent="0.25">
      <c r="A6942" t="s">
        <v>270</v>
      </c>
      <c r="B6942" t="s">
        <v>6501</v>
      </c>
      <c r="C6942" t="s">
        <v>88</v>
      </c>
      <c r="D6942" t="s">
        <v>88</v>
      </c>
      <c r="E6942" t="s">
        <v>850</v>
      </c>
      <c r="F6942" t="s">
        <v>88</v>
      </c>
      <c r="G6942" t="s">
        <v>88</v>
      </c>
      <c r="H6942" t="s">
        <v>92</v>
      </c>
    </row>
    <row r="6943" spans="1:8" x14ac:dyDescent="0.25">
      <c r="A6943" t="s">
        <v>270</v>
      </c>
      <c r="B6943" t="s">
        <v>6513</v>
      </c>
      <c r="C6943" t="s">
        <v>88</v>
      </c>
      <c r="D6943" t="s">
        <v>88</v>
      </c>
      <c r="E6943" t="s">
        <v>710</v>
      </c>
      <c r="F6943" t="s">
        <v>88</v>
      </c>
      <c r="G6943" t="s">
        <v>88</v>
      </c>
      <c r="H6943" t="s">
        <v>92</v>
      </c>
    </row>
    <row r="6944" spans="1:8" x14ac:dyDescent="0.25">
      <c r="A6944" t="s">
        <v>270</v>
      </c>
      <c r="B6944" t="s">
        <v>6514</v>
      </c>
      <c r="C6944" t="s">
        <v>88</v>
      </c>
      <c r="D6944" t="s">
        <v>88</v>
      </c>
      <c r="E6944" t="s">
        <v>711</v>
      </c>
      <c r="F6944" t="s">
        <v>88</v>
      </c>
      <c r="G6944" t="s">
        <v>88</v>
      </c>
      <c r="H6944" t="s">
        <v>92</v>
      </c>
    </row>
    <row r="6945" spans="1:8" x14ac:dyDescent="0.25">
      <c r="A6945" t="s">
        <v>270</v>
      </c>
      <c r="B6945" t="s">
        <v>6516</v>
      </c>
      <c r="C6945" t="s">
        <v>88</v>
      </c>
      <c r="D6945" t="s">
        <v>88</v>
      </c>
      <c r="E6945" t="s">
        <v>957</v>
      </c>
      <c r="F6945" t="s">
        <v>88</v>
      </c>
      <c r="G6945" t="s">
        <v>88</v>
      </c>
      <c r="H6945" t="s">
        <v>92</v>
      </c>
    </row>
    <row r="6946" spans="1:8" x14ac:dyDescent="0.25">
      <c r="A6946" t="s">
        <v>270</v>
      </c>
      <c r="B6946" t="s">
        <v>6518</v>
      </c>
      <c r="C6946" t="s">
        <v>88</v>
      </c>
      <c r="D6946" t="s">
        <v>88</v>
      </c>
      <c r="E6946" t="s">
        <v>848</v>
      </c>
      <c r="F6946" t="s">
        <v>88</v>
      </c>
      <c r="G6946" t="s">
        <v>88</v>
      </c>
      <c r="H6946" t="s">
        <v>92</v>
      </c>
    </row>
    <row r="6947" spans="1:8" x14ac:dyDescent="0.25">
      <c r="A6947" t="s">
        <v>270</v>
      </c>
      <c r="B6947" t="s">
        <v>6519</v>
      </c>
      <c r="C6947" t="s">
        <v>88</v>
      </c>
      <c r="D6947" t="s">
        <v>88</v>
      </c>
      <c r="E6947" t="s">
        <v>848</v>
      </c>
      <c r="F6947" t="s">
        <v>88</v>
      </c>
      <c r="G6947" t="s">
        <v>88</v>
      </c>
      <c r="H6947" t="s">
        <v>92</v>
      </c>
    </row>
    <row r="6948" spans="1:8" x14ac:dyDescent="0.25">
      <c r="A6948" t="s">
        <v>270</v>
      </c>
      <c r="B6948" t="s">
        <v>622</v>
      </c>
      <c r="C6948" t="s">
        <v>88</v>
      </c>
      <c r="D6948" t="s">
        <v>88</v>
      </c>
      <c r="E6948" t="s">
        <v>848</v>
      </c>
      <c r="F6948" t="s">
        <v>88</v>
      </c>
      <c r="G6948" t="s">
        <v>88</v>
      </c>
      <c r="H6948" t="s">
        <v>92</v>
      </c>
    </row>
    <row r="6949" spans="1:8" x14ac:dyDescent="0.25">
      <c r="A6949" t="s">
        <v>270</v>
      </c>
      <c r="B6949" t="s">
        <v>623</v>
      </c>
      <c r="C6949" t="s">
        <v>88</v>
      </c>
      <c r="D6949" t="s">
        <v>88</v>
      </c>
      <c r="E6949" t="s">
        <v>735</v>
      </c>
      <c r="F6949" t="s">
        <v>88</v>
      </c>
      <c r="G6949" t="s">
        <v>88</v>
      </c>
      <c r="H6949" t="s">
        <v>92</v>
      </c>
    </row>
    <row r="6950" spans="1:8" x14ac:dyDescent="0.25">
      <c r="A6950" t="s">
        <v>270</v>
      </c>
      <c r="B6950" t="s">
        <v>998</v>
      </c>
      <c r="C6950" t="s">
        <v>88</v>
      </c>
      <c r="D6950" t="s">
        <v>88</v>
      </c>
      <c r="E6950" t="s">
        <v>1598</v>
      </c>
      <c r="F6950" t="s">
        <v>88</v>
      </c>
      <c r="G6950" t="s">
        <v>88</v>
      </c>
      <c r="H6950" t="s">
        <v>92</v>
      </c>
    </row>
    <row r="6951" spans="1:8" x14ac:dyDescent="0.25">
      <c r="A6951" t="s">
        <v>270</v>
      </c>
      <c r="B6951" t="s">
        <v>6522</v>
      </c>
      <c r="C6951" t="s">
        <v>88</v>
      </c>
      <c r="D6951" t="s">
        <v>88</v>
      </c>
      <c r="E6951" t="s">
        <v>1323</v>
      </c>
      <c r="F6951" t="s">
        <v>88</v>
      </c>
      <c r="G6951" t="s">
        <v>88</v>
      </c>
      <c r="H6951" t="s">
        <v>92</v>
      </c>
    </row>
    <row r="6952" spans="1:8" x14ac:dyDescent="0.25">
      <c r="A6952" t="s">
        <v>270</v>
      </c>
      <c r="B6952" t="s">
        <v>625</v>
      </c>
      <c r="C6952" t="s">
        <v>88</v>
      </c>
      <c r="D6952" t="s">
        <v>88</v>
      </c>
      <c r="E6952" t="s">
        <v>626</v>
      </c>
      <c r="F6952" t="s">
        <v>88</v>
      </c>
      <c r="G6952" t="s">
        <v>88</v>
      </c>
      <c r="H6952" t="s">
        <v>92</v>
      </c>
    </row>
    <row r="6953" spans="1:8" x14ac:dyDescent="0.25">
      <c r="A6953" t="s">
        <v>271</v>
      </c>
      <c r="B6953" t="s">
        <v>6258</v>
      </c>
      <c r="C6953" t="s">
        <v>88</v>
      </c>
      <c r="D6953" t="s">
        <v>6259</v>
      </c>
      <c r="E6953" t="s">
        <v>673</v>
      </c>
      <c r="F6953" t="s">
        <v>88</v>
      </c>
      <c r="G6953" t="s">
        <v>88</v>
      </c>
      <c r="H6953" t="s">
        <v>92</v>
      </c>
    </row>
    <row r="6954" spans="1:8" x14ac:dyDescent="0.25">
      <c r="A6954" t="s">
        <v>271</v>
      </c>
      <c r="B6954" t="s">
        <v>6260</v>
      </c>
      <c r="C6954" t="s">
        <v>88</v>
      </c>
      <c r="D6954" t="s">
        <v>6261</v>
      </c>
      <c r="E6954" t="s">
        <v>2481</v>
      </c>
      <c r="F6954" t="s">
        <v>88</v>
      </c>
      <c r="G6954" t="s">
        <v>88</v>
      </c>
      <c r="H6954" t="s">
        <v>92</v>
      </c>
    </row>
    <row r="6955" spans="1:8" x14ac:dyDescent="0.25">
      <c r="A6955" t="s">
        <v>271</v>
      </c>
      <c r="B6955" t="s">
        <v>6262</v>
      </c>
      <c r="C6955" t="s">
        <v>88</v>
      </c>
      <c r="D6955" t="s">
        <v>6263</v>
      </c>
      <c r="E6955" t="s">
        <v>937</v>
      </c>
      <c r="F6955" t="s">
        <v>88</v>
      </c>
      <c r="G6955" t="s">
        <v>88</v>
      </c>
      <c r="H6955" t="s">
        <v>92</v>
      </c>
    </row>
    <row r="6956" spans="1:8" x14ac:dyDescent="0.25">
      <c r="A6956" t="s">
        <v>271</v>
      </c>
      <c r="B6956" t="s">
        <v>6264</v>
      </c>
      <c r="C6956" t="s">
        <v>88</v>
      </c>
      <c r="D6956" t="s">
        <v>6265</v>
      </c>
      <c r="E6956" t="s">
        <v>1353</v>
      </c>
      <c r="F6956" t="s">
        <v>88</v>
      </c>
      <c r="G6956" t="s">
        <v>88</v>
      </c>
      <c r="H6956" t="s">
        <v>92</v>
      </c>
    </row>
    <row r="6957" spans="1:8" x14ac:dyDescent="0.25">
      <c r="A6957" t="s">
        <v>271</v>
      </c>
      <c r="B6957" t="s">
        <v>6266</v>
      </c>
      <c r="C6957" t="s">
        <v>88</v>
      </c>
      <c r="D6957" t="s">
        <v>6267</v>
      </c>
      <c r="E6957" t="s">
        <v>6268</v>
      </c>
      <c r="F6957" t="s">
        <v>88</v>
      </c>
      <c r="G6957" t="s">
        <v>88</v>
      </c>
      <c r="H6957" t="s">
        <v>92</v>
      </c>
    </row>
    <row r="6958" spans="1:8" x14ac:dyDescent="0.25">
      <c r="A6958" t="s">
        <v>271</v>
      </c>
      <c r="B6958" t="s">
        <v>6269</v>
      </c>
      <c r="C6958" t="s">
        <v>88</v>
      </c>
      <c r="D6958" t="s">
        <v>6270</v>
      </c>
      <c r="E6958" t="s">
        <v>760</v>
      </c>
      <c r="F6958" t="s">
        <v>88</v>
      </c>
      <c r="G6958" t="s">
        <v>88</v>
      </c>
      <c r="H6958" t="s">
        <v>92</v>
      </c>
    </row>
    <row r="6959" spans="1:8" x14ac:dyDescent="0.25">
      <c r="A6959" t="s">
        <v>271</v>
      </c>
      <c r="B6959" t="s">
        <v>6271</v>
      </c>
      <c r="C6959" t="s">
        <v>88</v>
      </c>
      <c r="D6959" t="s">
        <v>6272</v>
      </c>
      <c r="E6959" t="s">
        <v>3015</v>
      </c>
      <c r="F6959" t="s">
        <v>88</v>
      </c>
      <c r="G6959" t="s">
        <v>88</v>
      </c>
      <c r="H6959" t="s">
        <v>92</v>
      </c>
    </row>
    <row r="6960" spans="1:8" x14ac:dyDescent="0.25">
      <c r="A6960" t="s">
        <v>271</v>
      </c>
      <c r="B6960" t="s">
        <v>2359</v>
      </c>
      <c r="C6960" t="s">
        <v>88</v>
      </c>
      <c r="D6960" t="s">
        <v>88</v>
      </c>
      <c r="E6960" t="s">
        <v>791</v>
      </c>
      <c r="F6960" t="s">
        <v>88</v>
      </c>
      <c r="G6960" t="s">
        <v>88</v>
      </c>
      <c r="H6960" t="s">
        <v>92</v>
      </c>
    </row>
    <row r="6961" spans="1:8" x14ac:dyDescent="0.25">
      <c r="A6961" t="s">
        <v>271</v>
      </c>
      <c r="B6961" t="s">
        <v>6275</v>
      </c>
      <c r="C6961" t="s">
        <v>88</v>
      </c>
      <c r="D6961" t="s">
        <v>6276</v>
      </c>
      <c r="E6961" t="s">
        <v>717</v>
      </c>
      <c r="F6961" t="s">
        <v>88</v>
      </c>
      <c r="G6961" t="s">
        <v>88</v>
      </c>
      <c r="H6961" t="s">
        <v>92</v>
      </c>
    </row>
    <row r="6962" spans="1:8" x14ac:dyDescent="0.25">
      <c r="A6962" t="s">
        <v>271</v>
      </c>
      <c r="B6962" t="s">
        <v>6277</v>
      </c>
      <c r="C6962" t="s">
        <v>88</v>
      </c>
      <c r="D6962" t="s">
        <v>6278</v>
      </c>
      <c r="E6962" t="s">
        <v>1189</v>
      </c>
      <c r="F6962" t="s">
        <v>88</v>
      </c>
      <c r="G6962" t="s">
        <v>88</v>
      </c>
      <c r="H6962" t="s">
        <v>92</v>
      </c>
    </row>
    <row r="6963" spans="1:8" x14ac:dyDescent="0.25">
      <c r="A6963" t="s">
        <v>271</v>
      </c>
      <c r="B6963" t="s">
        <v>6279</v>
      </c>
      <c r="C6963" t="s">
        <v>88</v>
      </c>
      <c r="D6963" t="s">
        <v>6280</v>
      </c>
      <c r="E6963" t="s">
        <v>780</v>
      </c>
      <c r="F6963" t="s">
        <v>88</v>
      </c>
      <c r="G6963" t="s">
        <v>88</v>
      </c>
      <c r="H6963" t="s">
        <v>92</v>
      </c>
    </row>
    <row r="6964" spans="1:8" x14ac:dyDescent="0.25">
      <c r="A6964" t="s">
        <v>271</v>
      </c>
      <c r="B6964" t="s">
        <v>6281</v>
      </c>
      <c r="C6964" t="s">
        <v>88</v>
      </c>
      <c r="D6964" t="s">
        <v>6282</v>
      </c>
      <c r="E6964" t="s">
        <v>2193</v>
      </c>
      <c r="F6964" t="s">
        <v>88</v>
      </c>
      <c r="G6964" t="s">
        <v>88</v>
      </c>
      <c r="H6964" t="s">
        <v>92</v>
      </c>
    </row>
    <row r="6965" spans="1:8" x14ac:dyDescent="0.25">
      <c r="A6965" t="s">
        <v>271</v>
      </c>
      <c r="B6965" t="s">
        <v>6283</v>
      </c>
      <c r="C6965" t="s">
        <v>88</v>
      </c>
      <c r="D6965" t="s">
        <v>6284</v>
      </c>
      <c r="E6965" t="s">
        <v>663</v>
      </c>
      <c r="F6965" t="s">
        <v>88</v>
      </c>
      <c r="G6965" t="s">
        <v>88</v>
      </c>
      <c r="H6965" t="s">
        <v>92</v>
      </c>
    </row>
    <row r="6966" spans="1:8" x14ac:dyDescent="0.25">
      <c r="A6966" t="s">
        <v>271</v>
      </c>
      <c r="B6966" t="s">
        <v>6285</v>
      </c>
      <c r="C6966" t="s">
        <v>88</v>
      </c>
      <c r="D6966" t="s">
        <v>6286</v>
      </c>
      <c r="E6966" t="s">
        <v>658</v>
      </c>
      <c r="F6966" t="s">
        <v>88</v>
      </c>
      <c r="G6966" t="s">
        <v>88</v>
      </c>
      <c r="H6966" t="s">
        <v>92</v>
      </c>
    </row>
    <row r="6967" spans="1:8" x14ac:dyDescent="0.25">
      <c r="A6967" t="s">
        <v>271</v>
      </c>
      <c r="B6967" t="s">
        <v>6287</v>
      </c>
      <c r="C6967" t="s">
        <v>88</v>
      </c>
      <c r="D6967" t="s">
        <v>6288</v>
      </c>
      <c r="E6967" t="s">
        <v>2989</v>
      </c>
      <c r="F6967" t="s">
        <v>88</v>
      </c>
      <c r="G6967" t="s">
        <v>88</v>
      </c>
      <c r="H6967" t="s">
        <v>92</v>
      </c>
    </row>
    <row r="6968" spans="1:8" x14ac:dyDescent="0.25">
      <c r="A6968" t="s">
        <v>271</v>
      </c>
      <c r="B6968" t="s">
        <v>6289</v>
      </c>
      <c r="C6968" t="s">
        <v>88</v>
      </c>
      <c r="D6968" t="s">
        <v>6290</v>
      </c>
      <c r="E6968" t="s">
        <v>841</v>
      </c>
      <c r="F6968" t="s">
        <v>88</v>
      </c>
      <c r="G6968" t="s">
        <v>88</v>
      </c>
      <c r="H6968" t="s">
        <v>92</v>
      </c>
    </row>
    <row r="6969" spans="1:8" x14ac:dyDescent="0.25">
      <c r="A6969" t="s">
        <v>271</v>
      </c>
      <c r="B6969" t="s">
        <v>6291</v>
      </c>
      <c r="C6969" t="s">
        <v>88</v>
      </c>
      <c r="D6969" t="s">
        <v>6292</v>
      </c>
      <c r="E6969" t="s">
        <v>2800</v>
      </c>
      <c r="F6969" t="s">
        <v>88</v>
      </c>
      <c r="G6969" t="s">
        <v>88</v>
      </c>
      <c r="H6969" t="s">
        <v>92</v>
      </c>
    </row>
    <row r="6970" spans="1:8" x14ac:dyDescent="0.25">
      <c r="A6970" t="s">
        <v>271</v>
      </c>
      <c r="B6970" t="s">
        <v>6293</v>
      </c>
      <c r="C6970" t="s">
        <v>88</v>
      </c>
      <c r="D6970" t="s">
        <v>6294</v>
      </c>
      <c r="E6970" t="s">
        <v>1189</v>
      </c>
      <c r="F6970" t="s">
        <v>88</v>
      </c>
      <c r="G6970" t="s">
        <v>88</v>
      </c>
      <c r="H6970" t="s">
        <v>92</v>
      </c>
    </row>
    <row r="6971" spans="1:8" x14ac:dyDescent="0.25">
      <c r="A6971" t="s">
        <v>271</v>
      </c>
      <c r="B6971" t="s">
        <v>6295</v>
      </c>
      <c r="C6971" t="s">
        <v>88</v>
      </c>
      <c r="D6971" t="s">
        <v>6296</v>
      </c>
      <c r="E6971" t="s">
        <v>725</v>
      </c>
      <c r="F6971" t="s">
        <v>88</v>
      </c>
      <c r="G6971" t="s">
        <v>88</v>
      </c>
      <c r="H6971" t="s">
        <v>92</v>
      </c>
    </row>
    <row r="6972" spans="1:8" x14ac:dyDescent="0.25">
      <c r="A6972" t="s">
        <v>271</v>
      </c>
      <c r="B6972" t="s">
        <v>6297</v>
      </c>
      <c r="C6972" t="s">
        <v>88</v>
      </c>
      <c r="D6972" t="s">
        <v>6298</v>
      </c>
      <c r="E6972" t="s">
        <v>673</v>
      </c>
      <c r="F6972" t="s">
        <v>88</v>
      </c>
      <c r="G6972" t="s">
        <v>88</v>
      </c>
      <c r="H6972" t="s">
        <v>92</v>
      </c>
    </row>
    <row r="6973" spans="1:8" x14ac:dyDescent="0.25">
      <c r="A6973" t="s">
        <v>271</v>
      </c>
      <c r="B6973" t="s">
        <v>6301</v>
      </c>
      <c r="C6973" t="s">
        <v>88</v>
      </c>
      <c r="D6973" t="s">
        <v>6302</v>
      </c>
      <c r="E6973" t="s">
        <v>762</v>
      </c>
      <c r="F6973" t="s">
        <v>88</v>
      </c>
      <c r="G6973" t="s">
        <v>88</v>
      </c>
      <c r="H6973" t="s">
        <v>92</v>
      </c>
    </row>
    <row r="6974" spans="1:8" x14ac:dyDescent="0.25">
      <c r="A6974" t="s">
        <v>271</v>
      </c>
      <c r="B6974" t="s">
        <v>6303</v>
      </c>
      <c r="C6974" t="s">
        <v>88</v>
      </c>
      <c r="D6974" t="s">
        <v>6304</v>
      </c>
      <c r="E6974" t="s">
        <v>663</v>
      </c>
      <c r="F6974" t="s">
        <v>88</v>
      </c>
      <c r="G6974" t="s">
        <v>88</v>
      </c>
      <c r="H6974" t="s">
        <v>92</v>
      </c>
    </row>
    <row r="6975" spans="1:8" x14ac:dyDescent="0.25">
      <c r="A6975" t="s">
        <v>271</v>
      </c>
      <c r="B6975" t="s">
        <v>6305</v>
      </c>
      <c r="C6975" t="s">
        <v>88</v>
      </c>
      <c r="D6975" t="s">
        <v>6306</v>
      </c>
      <c r="E6975" t="s">
        <v>2513</v>
      </c>
      <c r="F6975" t="s">
        <v>88</v>
      </c>
      <c r="G6975" t="s">
        <v>88</v>
      </c>
      <c r="H6975" t="s">
        <v>92</v>
      </c>
    </row>
    <row r="6976" spans="1:8" x14ac:dyDescent="0.25">
      <c r="A6976" t="s">
        <v>271</v>
      </c>
      <c r="B6976" t="s">
        <v>6307</v>
      </c>
      <c r="C6976" t="s">
        <v>88</v>
      </c>
      <c r="D6976" t="s">
        <v>6308</v>
      </c>
      <c r="E6976" t="s">
        <v>2166</v>
      </c>
      <c r="F6976" t="s">
        <v>88</v>
      </c>
      <c r="G6976" t="s">
        <v>88</v>
      </c>
      <c r="H6976" t="s">
        <v>92</v>
      </c>
    </row>
    <row r="6977" spans="1:8" x14ac:dyDescent="0.25">
      <c r="A6977" t="s">
        <v>271</v>
      </c>
      <c r="B6977" t="s">
        <v>6309</v>
      </c>
      <c r="C6977" t="s">
        <v>88</v>
      </c>
      <c r="D6977" t="s">
        <v>6310</v>
      </c>
      <c r="E6977" t="s">
        <v>679</v>
      </c>
      <c r="F6977" t="s">
        <v>88</v>
      </c>
      <c r="G6977" t="s">
        <v>88</v>
      </c>
      <c r="H6977" t="s">
        <v>92</v>
      </c>
    </row>
    <row r="6978" spans="1:8" x14ac:dyDescent="0.25">
      <c r="A6978" t="s">
        <v>271</v>
      </c>
      <c r="B6978" t="s">
        <v>6311</v>
      </c>
      <c r="C6978" t="s">
        <v>88</v>
      </c>
      <c r="D6978" t="s">
        <v>6312</v>
      </c>
      <c r="E6978" t="s">
        <v>979</v>
      </c>
      <c r="F6978" t="s">
        <v>88</v>
      </c>
      <c r="G6978" t="s">
        <v>88</v>
      </c>
      <c r="H6978" t="s">
        <v>92</v>
      </c>
    </row>
    <row r="6979" spans="1:8" x14ac:dyDescent="0.25">
      <c r="A6979" t="s">
        <v>271</v>
      </c>
      <c r="B6979" t="s">
        <v>6315</v>
      </c>
      <c r="C6979" t="s">
        <v>88</v>
      </c>
      <c r="D6979" t="s">
        <v>6316</v>
      </c>
      <c r="E6979" t="s">
        <v>886</v>
      </c>
      <c r="F6979" t="s">
        <v>88</v>
      </c>
      <c r="G6979" t="s">
        <v>88</v>
      </c>
      <c r="H6979" t="s">
        <v>92</v>
      </c>
    </row>
    <row r="6980" spans="1:8" x14ac:dyDescent="0.25">
      <c r="A6980" t="s">
        <v>271</v>
      </c>
      <c r="B6980" t="s">
        <v>6319</v>
      </c>
      <c r="C6980" t="s">
        <v>88</v>
      </c>
      <c r="D6980" t="s">
        <v>6320</v>
      </c>
      <c r="E6980" t="s">
        <v>1839</v>
      </c>
      <c r="F6980" t="s">
        <v>88</v>
      </c>
      <c r="G6980" t="s">
        <v>88</v>
      </c>
      <c r="H6980" t="s">
        <v>92</v>
      </c>
    </row>
    <row r="6981" spans="1:8" x14ac:dyDescent="0.25">
      <c r="A6981" t="s">
        <v>271</v>
      </c>
      <c r="B6981" t="s">
        <v>6321</v>
      </c>
      <c r="C6981" t="s">
        <v>88</v>
      </c>
      <c r="D6981" t="s">
        <v>6322</v>
      </c>
      <c r="E6981" t="s">
        <v>717</v>
      </c>
      <c r="F6981" t="s">
        <v>88</v>
      </c>
      <c r="G6981" t="s">
        <v>88</v>
      </c>
      <c r="H6981" t="s">
        <v>92</v>
      </c>
    </row>
    <row r="6982" spans="1:8" x14ac:dyDescent="0.25">
      <c r="A6982" t="s">
        <v>271</v>
      </c>
      <c r="B6982" t="s">
        <v>6323</v>
      </c>
      <c r="C6982" t="s">
        <v>88</v>
      </c>
      <c r="D6982" t="s">
        <v>6324</v>
      </c>
      <c r="E6982" t="s">
        <v>6325</v>
      </c>
      <c r="F6982" t="s">
        <v>88</v>
      </c>
      <c r="G6982" t="s">
        <v>88</v>
      </c>
      <c r="H6982" t="s">
        <v>92</v>
      </c>
    </row>
    <row r="6983" spans="1:8" x14ac:dyDescent="0.25">
      <c r="A6983" t="s">
        <v>271</v>
      </c>
      <c r="B6983" t="s">
        <v>6328</v>
      </c>
      <c r="C6983" t="s">
        <v>88</v>
      </c>
      <c r="D6983" t="s">
        <v>6329</v>
      </c>
      <c r="E6983" t="s">
        <v>1255</v>
      </c>
      <c r="F6983" t="s">
        <v>88</v>
      </c>
      <c r="G6983" t="s">
        <v>88</v>
      </c>
      <c r="H6983" t="s">
        <v>92</v>
      </c>
    </row>
    <row r="6984" spans="1:8" x14ac:dyDescent="0.25">
      <c r="A6984" t="s">
        <v>271</v>
      </c>
      <c r="B6984" t="s">
        <v>6332</v>
      </c>
      <c r="C6984" t="s">
        <v>88</v>
      </c>
      <c r="D6984" t="s">
        <v>6333</v>
      </c>
      <c r="E6984" t="s">
        <v>6334</v>
      </c>
      <c r="F6984" t="s">
        <v>88</v>
      </c>
      <c r="G6984" t="s">
        <v>88</v>
      </c>
      <c r="H6984" t="s">
        <v>92</v>
      </c>
    </row>
    <row r="6985" spans="1:8" x14ac:dyDescent="0.25">
      <c r="A6985" t="s">
        <v>271</v>
      </c>
      <c r="B6985" t="s">
        <v>6335</v>
      </c>
      <c r="C6985" t="s">
        <v>88</v>
      </c>
      <c r="D6985" t="s">
        <v>6336</v>
      </c>
      <c r="E6985" t="s">
        <v>673</v>
      </c>
      <c r="F6985" t="s">
        <v>88</v>
      </c>
      <c r="G6985" t="s">
        <v>88</v>
      </c>
      <c r="H6985" t="s">
        <v>92</v>
      </c>
    </row>
    <row r="6986" spans="1:8" x14ac:dyDescent="0.25">
      <c r="A6986" t="s">
        <v>271</v>
      </c>
      <c r="B6986" t="s">
        <v>6337</v>
      </c>
      <c r="C6986" t="s">
        <v>88</v>
      </c>
      <c r="D6986" t="s">
        <v>6338</v>
      </c>
      <c r="E6986" t="s">
        <v>1139</v>
      </c>
      <c r="F6986" t="s">
        <v>88</v>
      </c>
      <c r="G6986" t="s">
        <v>88</v>
      </c>
      <c r="H6986" t="s">
        <v>92</v>
      </c>
    </row>
    <row r="6987" spans="1:8" x14ac:dyDescent="0.25">
      <c r="A6987" t="s">
        <v>271</v>
      </c>
      <c r="B6987" t="s">
        <v>6339</v>
      </c>
      <c r="C6987" t="s">
        <v>88</v>
      </c>
      <c r="D6987" t="s">
        <v>6340</v>
      </c>
      <c r="E6987" t="s">
        <v>2833</v>
      </c>
      <c r="F6987" t="s">
        <v>88</v>
      </c>
      <c r="G6987" t="s">
        <v>88</v>
      </c>
      <c r="H6987" t="s">
        <v>92</v>
      </c>
    </row>
    <row r="6988" spans="1:8" x14ac:dyDescent="0.25">
      <c r="A6988" t="s">
        <v>271</v>
      </c>
      <c r="B6988" t="s">
        <v>6341</v>
      </c>
      <c r="C6988" t="s">
        <v>88</v>
      </c>
      <c r="D6988" t="s">
        <v>6342</v>
      </c>
      <c r="E6988" t="s">
        <v>721</v>
      </c>
      <c r="F6988" t="s">
        <v>88</v>
      </c>
      <c r="G6988" t="s">
        <v>88</v>
      </c>
      <c r="H6988" t="s">
        <v>92</v>
      </c>
    </row>
    <row r="6989" spans="1:8" x14ac:dyDescent="0.25">
      <c r="A6989" t="s">
        <v>271</v>
      </c>
      <c r="B6989" t="s">
        <v>6343</v>
      </c>
      <c r="C6989" t="s">
        <v>88</v>
      </c>
      <c r="D6989" t="s">
        <v>6344</v>
      </c>
      <c r="E6989" t="s">
        <v>725</v>
      </c>
      <c r="F6989" t="s">
        <v>88</v>
      </c>
      <c r="G6989" t="s">
        <v>88</v>
      </c>
      <c r="H6989" t="s">
        <v>92</v>
      </c>
    </row>
    <row r="6990" spans="1:8" x14ac:dyDescent="0.25">
      <c r="A6990" t="s">
        <v>271</v>
      </c>
      <c r="B6990" t="s">
        <v>6345</v>
      </c>
      <c r="C6990" t="s">
        <v>88</v>
      </c>
      <c r="D6990" t="s">
        <v>6346</v>
      </c>
      <c r="E6990" t="s">
        <v>717</v>
      </c>
      <c r="F6990" t="s">
        <v>88</v>
      </c>
      <c r="G6990" t="s">
        <v>88</v>
      </c>
      <c r="H6990" t="s">
        <v>92</v>
      </c>
    </row>
    <row r="6991" spans="1:8" x14ac:dyDescent="0.25">
      <c r="A6991" t="s">
        <v>271</v>
      </c>
      <c r="B6991" t="s">
        <v>6347</v>
      </c>
      <c r="C6991" t="s">
        <v>88</v>
      </c>
      <c r="D6991" t="s">
        <v>6348</v>
      </c>
      <c r="E6991" t="s">
        <v>655</v>
      </c>
      <c r="F6991" t="s">
        <v>88</v>
      </c>
      <c r="G6991" t="s">
        <v>88</v>
      </c>
      <c r="H6991" t="s">
        <v>92</v>
      </c>
    </row>
    <row r="6992" spans="1:8" x14ac:dyDescent="0.25">
      <c r="A6992" t="s">
        <v>271</v>
      </c>
      <c r="B6992" t="s">
        <v>6349</v>
      </c>
      <c r="C6992" t="s">
        <v>88</v>
      </c>
      <c r="D6992" t="s">
        <v>6350</v>
      </c>
      <c r="E6992" t="s">
        <v>760</v>
      </c>
      <c r="F6992" t="s">
        <v>88</v>
      </c>
      <c r="G6992" t="s">
        <v>88</v>
      </c>
      <c r="H6992" t="s">
        <v>92</v>
      </c>
    </row>
    <row r="6993" spans="1:8" x14ac:dyDescent="0.25">
      <c r="A6993" t="s">
        <v>271</v>
      </c>
      <c r="B6993" t="s">
        <v>6351</v>
      </c>
      <c r="C6993" t="s">
        <v>88</v>
      </c>
      <c r="D6993" t="s">
        <v>6352</v>
      </c>
      <c r="E6993" t="s">
        <v>6353</v>
      </c>
      <c r="F6993" t="s">
        <v>88</v>
      </c>
      <c r="G6993" t="s">
        <v>88</v>
      </c>
      <c r="H6993" t="s">
        <v>92</v>
      </c>
    </row>
    <row r="6994" spans="1:8" x14ac:dyDescent="0.25">
      <c r="A6994" t="s">
        <v>271</v>
      </c>
      <c r="B6994" t="s">
        <v>1019</v>
      </c>
      <c r="C6994" t="s">
        <v>88</v>
      </c>
      <c r="D6994" t="s">
        <v>6354</v>
      </c>
      <c r="E6994" t="s">
        <v>1221</v>
      </c>
      <c r="F6994" t="s">
        <v>88</v>
      </c>
      <c r="G6994" t="s">
        <v>88</v>
      </c>
      <c r="H6994" t="s">
        <v>92</v>
      </c>
    </row>
    <row r="6995" spans="1:8" x14ac:dyDescent="0.25">
      <c r="A6995" t="s">
        <v>271</v>
      </c>
      <c r="B6995" t="s">
        <v>832</v>
      </c>
      <c r="C6995" t="s">
        <v>88</v>
      </c>
      <c r="D6995" t="s">
        <v>6355</v>
      </c>
      <c r="E6995" t="s">
        <v>760</v>
      </c>
      <c r="F6995" t="s">
        <v>88</v>
      </c>
      <c r="G6995" t="s">
        <v>88</v>
      </c>
      <c r="H6995" t="s">
        <v>92</v>
      </c>
    </row>
    <row r="6996" spans="1:8" x14ac:dyDescent="0.25">
      <c r="A6996" t="s">
        <v>271</v>
      </c>
      <c r="B6996" t="s">
        <v>818</v>
      </c>
      <c r="C6996" t="s">
        <v>88</v>
      </c>
      <c r="D6996" t="s">
        <v>6352</v>
      </c>
      <c r="E6996" t="s">
        <v>6353</v>
      </c>
      <c r="F6996" t="s">
        <v>88</v>
      </c>
      <c r="G6996" t="s">
        <v>88</v>
      </c>
      <c r="H6996" t="s">
        <v>92</v>
      </c>
    </row>
    <row r="6997" spans="1:8" x14ac:dyDescent="0.25">
      <c r="A6997" t="s">
        <v>271</v>
      </c>
      <c r="B6997" t="s">
        <v>837</v>
      </c>
      <c r="C6997" t="s">
        <v>88</v>
      </c>
      <c r="D6997" t="s">
        <v>6356</v>
      </c>
      <c r="E6997" t="s">
        <v>3181</v>
      </c>
      <c r="F6997" t="s">
        <v>88</v>
      </c>
      <c r="G6997" t="s">
        <v>88</v>
      </c>
      <c r="H6997" t="s">
        <v>92</v>
      </c>
    </row>
    <row r="6998" spans="1:8" x14ac:dyDescent="0.25">
      <c r="A6998" t="s">
        <v>271</v>
      </c>
      <c r="B6998" t="s">
        <v>823</v>
      </c>
      <c r="C6998" t="s">
        <v>88</v>
      </c>
      <c r="D6998" t="s">
        <v>6357</v>
      </c>
      <c r="E6998" t="s">
        <v>6358</v>
      </c>
      <c r="F6998" t="s">
        <v>88</v>
      </c>
      <c r="G6998" t="s">
        <v>88</v>
      </c>
      <c r="H6998" t="s">
        <v>92</v>
      </c>
    </row>
    <row r="6999" spans="1:8" x14ac:dyDescent="0.25">
      <c r="A6999" t="s">
        <v>271</v>
      </c>
      <c r="B6999" t="s">
        <v>6362</v>
      </c>
      <c r="C6999" t="s">
        <v>88</v>
      </c>
      <c r="D6999" t="s">
        <v>6363</v>
      </c>
      <c r="E6999" t="s">
        <v>715</v>
      </c>
      <c r="F6999" t="s">
        <v>88</v>
      </c>
      <c r="G6999" t="s">
        <v>88</v>
      </c>
      <c r="H6999" t="s">
        <v>92</v>
      </c>
    </row>
    <row r="7000" spans="1:8" x14ac:dyDescent="0.25">
      <c r="A7000" t="s">
        <v>271</v>
      </c>
      <c r="B7000" t="s">
        <v>789</v>
      </c>
      <c r="C7000" t="s">
        <v>88</v>
      </c>
      <c r="D7000" t="s">
        <v>6359</v>
      </c>
      <c r="E7000" t="s">
        <v>1598</v>
      </c>
      <c r="F7000" t="s">
        <v>88</v>
      </c>
      <c r="G7000" t="s">
        <v>88</v>
      </c>
      <c r="H7000" t="s">
        <v>92</v>
      </c>
    </row>
    <row r="7001" spans="1:8" x14ac:dyDescent="0.25">
      <c r="A7001" t="s">
        <v>271</v>
      </c>
      <c r="B7001" t="s">
        <v>6360</v>
      </c>
      <c r="C7001" t="s">
        <v>88</v>
      </c>
      <c r="D7001" t="s">
        <v>6361</v>
      </c>
      <c r="E7001" t="s">
        <v>723</v>
      </c>
      <c r="F7001" t="s">
        <v>88</v>
      </c>
      <c r="G7001" t="s">
        <v>88</v>
      </c>
      <c r="H7001" t="s">
        <v>92</v>
      </c>
    </row>
    <row r="7002" spans="1:8" x14ac:dyDescent="0.25">
      <c r="A7002" t="s">
        <v>271</v>
      </c>
      <c r="B7002" t="s">
        <v>6366</v>
      </c>
      <c r="C7002" t="s">
        <v>88</v>
      </c>
      <c r="D7002" t="s">
        <v>6367</v>
      </c>
      <c r="E7002" t="s">
        <v>679</v>
      </c>
      <c r="F7002" t="s">
        <v>88</v>
      </c>
      <c r="G7002" t="s">
        <v>88</v>
      </c>
      <c r="H7002" t="s">
        <v>92</v>
      </c>
    </row>
    <row r="7003" spans="1:8" x14ac:dyDescent="0.25">
      <c r="A7003" t="s">
        <v>271</v>
      </c>
      <c r="B7003" t="s">
        <v>6364</v>
      </c>
      <c r="C7003" t="s">
        <v>88</v>
      </c>
      <c r="D7003" t="s">
        <v>6365</v>
      </c>
      <c r="E7003" t="s">
        <v>1971</v>
      </c>
      <c r="F7003" t="s">
        <v>88</v>
      </c>
      <c r="G7003" t="s">
        <v>88</v>
      </c>
      <c r="H7003" t="s">
        <v>92</v>
      </c>
    </row>
    <row r="7004" spans="1:8" x14ac:dyDescent="0.25">
      <c r="A7004" t="s">
        <v>271</v>
      </c>
      <c r="B7004" t="s">
        <v>6368</v>
      </c>
      <c r="C7004" t="s">
        <v>88</v>
      </c>
      <c r="D7004" t="s">
        <v>6369</v>
      </c>
      <c r="E7004" t="s">
        <v>723</v>
      </c>
      <c r="F7004" t="s">
        <v>88</v>
      </c>
      <c r="G7004" t="s">
        <v>88</v>
      </c>
      <c r="H7004" t="s">
        <v>92</v>
      </c>
    </row>
    <row r="7005" spans="1:8" x14ac:dyDescent="0.25">
      <c r="A7005" t="s">
        <v>271</v>
      </c>
      <c r="B7005" t="s">
        <v>854</v>
      </c>
      <c r="C7005" t="s">
        <v>88</v>
      </c>
      <c r="D7005" t="s">
        <v>6372</v>
      </c>
      <c r="E7005" t="s">
        <v>2513</v>
      </c>
      <c r="F7005" t="s">
        <v>88</v>
      </c>
      <c r="G7005" t="s">
        <v>88</v>
      </c>
      <c r="H7005" t="s">
        <v>92</v>
      </c>
    </row>
    <row r="7006" spans="1:8" x14ac:dyDescent="0.25">
      <c r="A7006" t="s">
        <v>271</v>
      </c>
      <c r="B7006" t="s">
        <v>6374</v>
      </c>
      <c r="C7006" t="s">
        <v>88</v>
      </c>
      <c r="D7006" t="s">
        <v>6375</v>
      </c>
      <c r="E7006" t="s">
        <v>1377</v>
      </c>
      <c r="F7006" t="s">
        <v>88</v>
      </c>
      <c r="G7006" t="s">
        <v>88</v>
      </c>
      <c r="H7006" t="s">
        <v>92</v>
      </c>
    </row>
    <row r="7007" spans="1:8" x14ac:dyDescent="0.25">
      <c r="A7007" t="s">
        <v>271</v>
      </c>
      <c r="B7007" t="s">
        <v>6388</v>
      </c>
      <c r="C7007" t="s">
        <v>88</v>
      </c>
      <c r="D7007" t="s">
        <v>88</v>
      </c>
      <c r="E7007" t="s">
        <v>2360</v>
      </c>
      <c r="F7007" t="s">
        <v>88</v>
      </c>
      <c r="G7007" t="s">
        <v>88</v>
      </c>
      <c r="H7007" t="s">
        <v>92</v>
      </c>
    </row>
    <row r="7008" spans="1:8" x14ac:dyDescent="0.25">
      <c r="A7008" t="s">
        <v>271</v>
      </c>
      <c r="B7008" t="s">
        <v>6398</v>
      </c>
      <c r="C7008" t="s">
        <v>88</v>
      </c>
      <c r="D7008" t="s">
        <v>88</v>
      </c>
      <c r="E7008" t="s">
        <v>886</v>
      </c>
      <c r="F7008" t="s">
        <v>88</v>
      </c>
      <c r="G7008" t="s">
        <v>88</v>
      </c>
      <c r="H7008" t="s">
        <v>92</v>
      </c>
    </row>
    <row r="7009" spans="1:8" x14ac:dyDescent="0.25">
      <c r="A7009" t="s">
        <v>271</v>
      </c>
      <c r="B7009" t="s">
        <v>6399</v>
      </c>
      <c r="C7009" t="s">
        <v>88</v>
      </c>
      <c r="D7009" t="s">
        <v>88</v>
      </c>
      <c r="E7009" t="s">
        <v>886</v>
      </c>
      <c r="F7009" t="s">
        <v>88</v>
      </c>
      <c r="G7009" t="s">
        <v>88</v>
      </c>
      <c r="H7009" t="s">
        <v>92</v>
      </c>
    </row>
    <row r="7010" spans="1:8" x14ac:dyDescent="0.25">
      <c r="A7010" t="s">
        <v>271</v>
      </c>
      <c r="B7010" t="s">
        <v>6400</v>
      </c>
      <c r="C7010" t="s">
        <v>88</v>
      </c>
      <c r="D7010" t="s">
        <v>88</v>
      </c>
      <c r="E7010" t="s">
        <v>1377</v>
      </c>
      <c r="F7010" t="s">
        <v>88</v>
      </c>
      <c r="G7010" t="s">
        <v>88</v>
      </c>
      <c r="H7010" t="s">
        <v>92</v>
      </c>
    </row>
    <row r="7011" spans="1:8" x14ac:dyDescent="0.25">
      <c r="A7011" t="s">
        <v>271</v>
      </c>
      <c r="B7011" t="s">
        <v>6401</v>
      </c>
      <c r="C7011" t="s">
        <v>88</v>
      </c>
      <c r="D7011" t="s">
        <v>88</v>
      </c>
      <c r="E7011" t="s">
        <v>2193</v>
      </c>
      <c r="F7011" t="s">
        <v>88</v>
      </c>
      <c r="G7011" t="s">
        <v>88</v>
      </c>
      <c r="H7011" t="s">
        <v>92</v>
      </c>
    </row>
    <row r="7012" spans="1:8" x14ac:dyDescent="0.25">
      <c r="A7012" t="s">
        <v>271</v>
      </c>
      <c r="B7012" t="s">
        <v>6402</v>
      </c>
      <c r="C7012" t="s">
        <v>88</v>
      </c>
      <c r="D7012" t="s">
        <v>88</v>
      </c>
      <c r="E7012" t="s">
        <v>2193</v>
      </c>
      <c r="F7012" t="s">
        <v>88</v>
      </c>
      <c r="G7012" t="s">
        <v>88</v>
      </c>
      <c r="H7012" t="s">
        <v>92</v>
      </c>
    </row>
    <row r="7013" spans="1:8" x14ac:dyDescent="0.25">
      <c r="A7013" t="s">
        <v>271</v>
      </c>
      <c r="B7013" t="s">
        <v>6411</v>
      </c>
      <c r="C7013" t="s">
        <v>88</v>
      </c>
      <c r="D7013" t="s">
        <v>6412</v>
      </c>
      <c r="E7013" t="s">
        <v>1221</v>
      </c>
      <c r="F7013" t="s">
        <v>88</v>
      </c>
      <c r="G7013" t="s">
        <v>88</v>
      </c>
      <c r="H7013" t="s">
        <v>92</v>
      </c>
    </row>
    <row r="7014" spans="1:8" x14ac:dyDescent="0.25">
      <c r="A7014" t="s">
        <v>271</v>
      </c>
      <c r="B7014" t="s">
        <v>6413</v>
      </c>
      <c r="C7014" t="s">
        <v>88</v>
      </c>
      <c r="D7014" t="s">
        <v>6414</v>
      </c>
      <c r="E7014" t="s">
        <v>1241</v>
      </c>
      <c r="F7014" t="s">
        <v>88</v>
      </c>
      <c r="G7014" t="s">
        <v>88</v>
      </c>
      <c r="H7014" t="s">
        <v>92</v>
      </c>
    </row>
    <row r="7015" spans="1:8" x14ac:dyDescent="0.25">
      <c r="A7015" t="s">
        <v>271</v>
      </c>
      <c r="B7015" t="s">
        <v>6415</v>
      </c>
      <c r="C7015" t="s">
        <v>88</v>
      </c>
      <c r="D7015" t="s">
        <v>6416</v>
      </c>
      <c r="E7015" t="s">
        <v>883</v>
      </c>
      <c r="F7015" t="s">
        <v>88</v>
      </c>
      <c r="G7015" t="s">
        <v>88</v>
      </c>
      <c r="H7015" t="s">
        <v>92</v>
      </c>
    </row>
    <row r="7016" spans="1:8" x14ac:dyDescent="0.25">
      <c r="A7016" t="s">
        <v>271</v>
      </c>
      <c r="B7016" t="s">
        <v>6424</v>
      </c>
      <c r="C7016" t="s">
        <v>88</v>
      </c>
      <c r="D7016" t="s">
        <v>88</v>
      </c>
      <c r="E7016" t="s">
        <v>2513</v>
      </c>
      <c r="F7016" t="s">
        <v>88</v>
      </c>
      <c r="G7016" t="s">
        <v>88</v>
      </c>
      <c r="H7016" t="s">
        <v>92</v>
      </c>
    </row>
    <row r="7017" spans="1:8" x14ac:dyDescent="0.25">
      <c r="A7017" t="s">
        <v>271</v>
      </c>
      <c r="B7017" t="s">
        <v>6427</v>
      </c>
      <c r="C7017" t="s">
        <v>88</v>
      </c>
      <c r="D7017" t="s">
        <v>88</v>
      </c>
      <c r="E7017" t="s">
        <v>2513</v>
      </c>
      <c r="F7017" t="s">
        <v>88</v>
      </c>
      <c r="G7017" t="s">
        <v>88</v>
      </c>
      <c r="H7017" t="s">
        <v>92</v>
      </c>
    </row>
    <row r="7018" spans="1:8" x14ac:dyDescent="0.25">
      <c r="A7018" t="s">
        <v>271</v>
      </c>
      <c r="B7018" t="s">
        <v>6431</v>
      </c>
      <c r="C7018" t="s">
        <v>88</v>
      </c>
      <c r="D7018" t="s">
        <v>88</v>
      </c>
      <c r="E7018" t="s">
        <v>2513</v>
      </c>
      <c r="F7018" t="s">
        <v>88</v>
      </c>
      <c r="G7018" t="s">
        <v>88</v>
      </c>
      <c r="H7018" t="s">
        <v>92</v>
      </c>
    </row>
    <row r="7019" spans="1:8" x14ac:dyDescent="0.25">
      <c r="A7019" t="s">
        <v>271</v>
      </c>
      <c r="B7019" t="s">
        <v>6433</v>
      </c>
      <c r="C7019" t="s">
        <v>88</v>
      </c>
      <c r="D7019" t="s">
        <v>88</v>
      </c>
      <c r="E7019" t="s">
        <v>2513</v>
      </c>
      <c r="F7019" t="s">
        <v>88</v>
      </c>
      <c r="G7019" t="s">
        <v>88</v>
      </c>
      <c r="H7019" t="s">
        <v>92</v>
      </c>
    </row>
    <row r="7020" spans="1:8" x14ac:dyDescent="0.25">
      <c r="A7020" t="s">
        <v>271</v>
      </c>
      <c r="B7020" t="s">
        <v>6434</v>
      </c>
      <c r="C7020" t="s">
        <v>88</v>
      </c>
      <c r="D7020" t="s">
        <v>88</v>
      </c>
      <c r="E7020" t="s">
        <v>735</v>
      </c>
      <c r="F7020" t="s">
        <v>88</v>
      </c>
      <c r="G7020" t="s">
        <v>88</v>
      </c>
      <c r="H7020" t="s">
        <v>92</v>
      </c>
    </row>
    <row r="7021" spans="1:8" x14ac:dyDescent="0.25">
      <c r="A7021" t="s">
        <v>271</v>
      </c>
      <c r="B7021" t="s">
        <v>6435</v>
      </c>
      <c r="C7021" t="s">
        <v>88</v>
      </c>
      <c r="D7021" t="s">
        <v>88</v>
      </c>
      <c r="E7021" t="s">
        <v>735</v>
      </c>
      <c r="F7021" t="s">
        <v>88</v>
      </c>
      <c r="G7021" t="s">
        <v>88</v>
      </c>
      <c r="H7021" t="s">
        <v>92</v>
      </c>
    </row>
    <row r="7022" spans="1:8" x14ac:dyDescent="0.25">
      <c r="A7022" t="s">
        <v>271</v>
      </c>
      <c r="B7022" t="s">
        <v>6436</v>
      </c>
      <c r="C7022" t="s">
        <v>88</v>
      </c>
      <c r="D7022" t="s">
        <v>88</v>
      </c>
      <c r="E7022" t="s">
        <v>849</v>
      </c>
      <c r="F7022" t="s">
        <v>88</v>
      </c>
      <c r="G7022" t="s">
        <v>88</v>
      </c>
      <c r="H7022" t="s">
        <v>92</v>
      </c>
    </row>
    <row r="7023" spans="1:8" x14ac:dyDescent="0.25">
      <c r="A7023" t="s">
        <v>271</v>
      </c>
      <c r="B7023" t="s">
        <v>6438</v>
      </c>
      <c r="C7023" t="s">
        <v>88</v>
      </c>
      <c r="D7023" t="s">
        <v>88</v>
      </c>
      <c r="E7023" t="s">
        <v>849</v>
      </c>
      <c r="F7023" t="s">
        <v>88</v>
      </c>
      <c r="G7023" t="s">
        <v>88</v>
      </c>
      <c r="H7023" t="s">
        <v>92</v>
      </c>
    </row>
    <row r="7024" spans="1:8" x14ac:dyDescent="0.25">
      <c r="A7024" t="s">
        <v>271</v>
      </c>
      <c r="B7024" t="s">
        <v>845</v>
      </c>
      <c r="C7024" t="s">
        <v>88</v>
      </c>
      <c r="D7024" t="s">
        <v>88</v>
      </c>
      <c r="E7024" t="s">
        <v>735</v>
      </c>
      <c r="F7024" t="s">
        <v>88</v>
      </c>
      <c r="G7024" t="s">
        <v>88</v>
      </c>
      <c r="H7024" t="s">
        <v>92</v>
      </c>
    </row>
    <row r="7025" spans="1:8" x14ac:dyDescent="0.25">
      <c r="A7025" t="s">
        <v>271</v>
      </c>
      <c r="B7025" t="s">
        <v>6439</v>
      </c>
      <c r="C7025" t="s">
        <v>88</v>
      </c>
      <c r="D7025" t="s">
        <v>88</v>
      </c>
      <c r="E7025" t="s">
        <v>799</v>
      </c>
      <c r="F7025" t="s">
        <v>88</v>
      </c>
      <c r="G7025" t="s">
        <v>88</v>
      </c>
      <c r="H7025" t="s">
        <v>92</v>
      </c>
    </row>
    <row r="7026" spans="1:8" x14ac:dyDescent="0.25">
      <c r="A7026" t="s">
        <v>271</v>
      </c>
      <c r="B7026" t="s">
        <v>6440</v>
      </c>
      <c r="C7026" t="s">
        <v>88</v>
      </c>
      <c r="D7026" t="s">
        <v>88</v>
      </c>
      <c r="E7026" t="s">
        <v>735</v>
      </c>
      <c r="F7026" t="s">
        <v>88</v>
      </c>
      <c r="G7026" t="s">
        <v>88</v>
      </c>
      <c r="H7026" t="s">
        <v>92</v>
      </c>
    </row>
    <row r="7027" spans="1:8" x14ac:dyDescent="0.25">
      <c r="A7027" t="s">
        <v>271</v>
      </c>
      <c r="B7027" t="s">
        <v>6441</v>
      </c>
      <c r="C7027" t="s">
        <v>88</v>
      </c>
      <c r="D7027" t="s">
        <v>88</v>
      </c>
      <c r="E7027" t="s">
        <v>1594</v>
      </c>
      <c r="F7027" t="s">
        <v>88</v>
      </c>
      <c r="G7027" t="s">
        <v>88</v>
      </c>
      <c r="H7027" t="s">
        <v>92</v>
      </c>
    </row>
    <row r="7028" spans="1:8" x14ac:dyDescent="0.25">
      <c r="A7028" t="s">
        <v>271</v>
      </c>
      <c r="B7028" t="s">
        <v>6442</v>
      </c>
      <c r="C7028" t="s">
        <v>88</v>
      </c>
      <c r="D7028" t="s">
        <v>88</v>
      </c>
      <c r="E7028" t="s">
        <v>709</v>
      </c>
      <c r="F7028" t="s">
        <v>88</v>
      </c>
      <c r="G7028" t="s">
        <v>88</v>
      </c>
      <c r="H7028" t="s">
        <v>92</v>
      </c>
    </row>
    <row r="7029" spans="1:8" x14ac:dyDescent="0.25">
      <c r="A7029" t="s">
        <v>271</v>
      </c>
      <c r="B7029" t="s">
        <v>6443</v>
      </c>
      <c r="C7029" t="s">
        <v>88</v>
      </c>
      <c r="D7029" t="s">
        <v>88</v>
      </c>
      <c r="E7029" t="s">
        <v>713</v>
      </c>
      <c r="F7029" t="s">
        <v>88</v>
      </c>
      <c r="G7029" t="s">
        <v>88</v>
      </c>
      <c r="H7029" t="s">
        <v>92</v>
      </c>
    </row>
    <row r="7030" spans="1:8" x14ac:dyDescent="0.25">
      <c r="A7030" t="s">
        <v>271</v>
      </c>
      <c r="B7030" t="s">
        <v>6445</v>
      </c>
      <c r="C7030" t="s">
        <v>88</v>
      </c>
      <c r="D7030" t="s">
        <v>88</v>
      </c>
      <c r="E7030" t="s">
        <v>957</v>
      </c>
      <c r="F7030" t="s">
        <v>88</v>
      </c>
      <c r="G7030" t="s">
        <v>88</v>
      </c>
      <c r="H7030" t="s">
        <v>92</v>
      </c>
    </row>
    <row r="7031" spans="1:8" x14ac:dyDescent="0.25">
      <c r="A7031" t="s">
        <v>271</v>
      </c>
      <c r="B7031" t="s">
        <v>6469</v>
      </c>
      <c r="C7031" t="s">
        <v>88</v>
      </c>
      <c r="D7031" t="s">
        <v>6470</v>
      </c>
      <c r="E7031" t="s">
        <v>1598</v>
      </c>
      <c r="F7031" t="s">
        <v>88</v>
      </c>
      <c r="G7031" t="s">
        <v>88</v>
      </c>
      <c r="H7031" t="s">
        <v>92</v>
      </c>
    </row>
    <row r="7032" spans="1:8" x14ac:dyDescent="0.25">
      <c r="A7032" t="s">
        <v>271</v>
      </c>
      <c r="B7032" t="s">
        <v>6473</v>
      </c>
      <c r="C7032" t="s">
        <v>88</v>
      </c>
      <c r="D7032" t="s">
        <v>88</v>
      </c>
      <c r="E7032" t="s">
        <v>734</v>
      </c>
      <c r="F7032" t="s">
        <v>88</v>
      </c>
      <c r="G7032" t="s">
        <v>88</v>
      </c>
      <c r="H7032" t="s">
        <v>92</v>
      </c>
    </row>
    <row r="7033" spans="1:8" x14ac:dyDescent="0.25">
      <c r="A7033" t="s">
        <v>271</v>
      </c>
      <c r="B7033" t="s">
        <v>1145</v>
      </c>
      <c r="C7033" t="s">
        <v>88</v>
      </c>
      <c r="D7033" t="s">
        <v>88</v>
      </c>
      <c r="E7033" t="s">
        <v>1598</v>
      </c>
      <c r="F7033" t="s">
        <v>88</v>
      </c>
      <c r="G7033" t="s">
        <v>88</v>
      </c>
      <c r="H7033" t="s">
        <v>92</v>
      </c>
    </row>
    <row r="7034" spans="1:8" x14ac:dyDescent="0.25">
      <c r="A7034" t="s">
        <v>271</v>
      </c>
      <c r="B7034" t="s">
        <v>6481</v>
      </c>
      <c r="C7034" t="s">
        <v>88</v>
      </c>
      <c r="D7034" t="s">
        <v>88</v>
      </c>
      <c r="E7034" t="s">
        <v>732</v>
      </c>
      <c r="F7034" t="s">
        <v>88</v>
      </c>
      <c r="G7034" t="s">
        <v>88</v>
      </c>
      <c r="H7034" t="s">
        <v>92</v>
      </c>
    </row>
    <row r="7035" spans="1:8" x14ac:dyDescent="0.25">
      <c r="A7035" t="s">
        <v>271</v>
      </c>
      <c r="B7035" t="s">
        <v>6485</v>
      </c>
      <c r="C7035" t="s">
        <v>88</v>
      </c>
      <c r="D7035" t="s">
        <v>88</v>
      </c>
      <c r="E7035" t="s">
        <v>1377</v>
      </c>
      <c r="F7035" t="s">
        <v>88</v>
      </c>
      <c r="G7035" t="s">
        <v>88</v>
      </c>
      <c r="H7035" t="s">
        <v>92</v>
      </c>
    </row>
    <row r="7036" spans="1:8" x14ac:dyDescent="0.25">
      <c r="A7036" t="s">
        <v>271</v>
      </c>
      <c r="B7036" t="s">
        <v>6487</v>
      </c>
      <c r="C7036" t="s">
        <v>88</v>
      </c>
      <c r="D7036" t="s">
        <v>88</v>
      </c>
      <c r="E7036" t="s">
        <v>957</v>
      </c>
      <c r="F7036" t="s">
        <v>88</v>
      </c>
      <c r="G7036" t="s">
        <v>88</v>
      </c>
      <c r="H7036" t="s">
        <v>92</v>
      </c>
    </row>
    <row r="7037" spans="1:8" x14ac:dyDescent="0.25">
      <c r="A7037" t="s">
        <v>271</v>
      </c>
      <c r="B7037" t="s">
        <v>6488</v>
      </c>
      <c r="C7037" t="s">
        <v>88</v>
      </c>
      <c r="D7037" t="s">
        <v>88</v>
      </c>
      <c r="E7037" t="s">
        <v>957</v>
      </c>
      <c r="F7037" t="s">
        <v>88</v>
      </c>
      <c r="G7037" t="s">
        <v>88</v>
      </c>
      <c r="H7037" t="s">
        <v>92</v>
      </c>
    </row>
    <row r="7038" spans="1:8" x14ac:dyDescent="0.25">
      <c r="A7038" t="s">
        <v>271</v>
      </c>
      <c r="B7038" t="s">
        <v>6489</v>
      </c>
      <c r="C7038" t="s">
        <v>88</v>
      </c>
      <c r="D7038" t="s">
        <v>88</v>
      </c>
      <c r="E7038" t="s">
        <v>734</v>
      </c>
      <c r="F7038" t="s">
        <v>88</v>
      </c>
      <c r="G7038" t="s">
        <v>88</v>
      </c>
      <c r="H7038" t="s">
        <v>92</v>
      </c>
    </row>
    <row r="7039" spans="1:8" x14ac:dyDescent="0.25">
      <c r="A7039" t="s">
        <v>271</v>
      </c>
      <c r="B7039" t="s">
        <v>6493</v>
      </c>
      <c r="C7039" t="s">
        <v>88</v>
      </c>
      <c r="D7039" t="s">
        <v>88</v>
      </c>
      <c r="E7039" t="s">
        <v>713</v>
      </c>
      <c r="F7039" t="s">
        <v>88</v>
      </c>
      <c r="G7039" t="s">
        <v>88</v>
      </c>
      <c r="H7039" t="s">
        <v>92</v>
      </c>
    </row>
    <row r="7040" spans="1:8" x14ac:dyDescent="0.25">
      <c r="A7040" t="s">
        <v>271</v>
      </c>
      <c r="B7040" t="s">
        <v>6494</v>
      </c>
      <c r="C7040" t="s">
        <v>88</v>
      </c>
      <c r="D7040" t="s">
        <v>88</v>
      </c>
      <c r="E7040" t="s">
        <v>850</v>
      </c>
      <c r="F7040" t="s">
        <v>88</v>
      </c>
      <c r="G7040" t="s">
        <v>88</v>
      </c>
      <c r="H7040" t="s">
        <v>92</v>
      </c>
    </row>
    <row r="7041" spans="1:8" x14ac:dyDescent="0.25">
      <c r="A7041" t="s">
        <v>271</v>
      </c>
      <c r="B7041" t="s">
        <v>6495</v>
      </c>
      <c r="C7041" t="s">
        <v>88</v>
      </c>
      <c r="D7041" t="s">
        <v>88</v>
      </c>
      <c r="E7041" t="s">
        <v>850</v>
      </c>
      <c r="F7041" t="s">
        <v>88</v>
      </c>
      <c r="G7041" t="s">
        <v>88</v>
      </c>
      <c r="H7041" t="s">
        <v>92</v>
      </c>
    </row>
    <row r="7042" spans="1:8" x14ac:dyDescent="0.25">
      <c r="A7042" t="s">
        <v>271</v>
      </c>
      <c r="B7042" t="s">
        <v>6501</v>
      </c>
      <c r="C7042" t="s">
        <v>88</v>
      </c>
      <c r="D7042" t="s">
        <v>88</v>
      </c>
      <c r="E7042" t="s">
        <v>850</v>
      </c>
      <c r="F7042" t="s">
        <v>88</v>
      </c>
      <c r="G7042" t="s">
        <v>88</v>
      </c>
      <c r="H7042" t="s">
        <v>92</v>
      </c>
    </row>
    <row r="7043" spans="1:8" x14ac:dyDescent="0.25">
      <c r="A7043" t="s">
        <v>271</v>
      </c>
      <c r="B7043" t="s">
        <v>701</v>
      </c>
      <c r="C7043" t="s">
        <v>88</v>
      </c>
      <c r="D7043" t="s">
        <v>88</v>
      </c>
      <c r="E7043" t="s">
        <v>957</v>
      </c>
      <c r="F7043" t="s">
        <v>88</v>
      </c>
      <c r="G7043" t="s">
        <v>88</v>
      </c>
      <c r="H7043" t="s">
        <v>92</v>
      </c>
    </row>
    <row r="7044" spans="1:8" x14ac:dyDescent="0.25">
      <c r="A7044" t="s">
        <v>271</v>
      </c>
      <c r="B7044" t="s">
        <v>6513</v>
      </c>
      <c r="C7044" t="s">
        <v>88</v>
      </c>
      <c r="D7044" t="s">
        <v>88</v>
      </c>
      <c r="E7044" t="s">
        <v>710</v>
      </c>
      <c r="F7044" t="s">
        <v>88</v>
      </c>
      <c r="G7044" t="s">
        <v>88</v>
      </c>
      <c r="H7044" t="s">
        <v>92</v>
      </c>
    </row>
    <row r="7045" spans="1:8" x14ac:dyDescent="0.25">
      <c r="A7045" t="s">
        <v>271</v>
      </c>
      <c r="B7045" t="s">
        <v>6514</v>
      </c>
      <c r="C7045" t="s">
        <v>88</v>
      </c>
      <c r="D7045" t="s">
        <v>88</v>
      </c>
      <c r="E7045" t="s">
        <v>711</v>
      </c>
      <c r="F7045" t="s">
        <v>88</v>
      </c>
      <c r="G7045" t="s">
        <v>88</v>
      </c>
      <c r="H7045" t="s">
        <v>92</v>
      </c>
    </row>
    <row r="7046" spans="1:8" x14ac:dyDescent="0.25">
      <c r="A7046" t="s">
        <v>271</v>
      </c>
      <c r="B7046" t="s">
        <v>6515</v>
      </c>
      <c r="C7046" t="s">
        <v>88</v>
      </c>
      <c r="D7046" t="s">
        <v>88</v>
      </c>
      <c r="E7046" t="s">
        <v>957</v>
      </c>
      <c r="F7046" t="s">
        <v>88</v>
      </c>
      <c r="G7046" t="s">
        <v>88</v>
      </c>
      <c r="H7046" t="s">
        <v>92</v>
      </c>
    </row>
    <row r="7047" spans="1:8" x14ac:dyDescent="0.25">
      <c r="A7047" t="s">
        <v>271</v>
      </c>
      <c r="B7047" t="s">
        <v>6518</v>
      </c>
      <c r="C7047" t="s">
        <v>88</v>
      </c>
      <c r="D7047" t="s">
        <v>88</v>
      </c>
      <c r="E7047" t="s">
        <v>848</v>
      </c>
      <c r="F7047" t="s">
        <v>88</v>
      </c>
      <c r="G7047" t="s">
        <v>88</v>
      </c>
      <c r="H7047" t="s">
        <v>92</v>
      </c>
    </row>
    <row r="7048" spans="1:8" x14ac:dyDescent="0.25">
      <c r="A7048" t="s">
        <v>271</v>
      </c>
      <c r="B7048" t="s">
        <v>6520</v>
      </c>
      <c r="C7048" t="s">
        <v>88</v>
      </c>
      <c r="D7048" t="s">
        <v>88</v>
      </c>
      <c r="E7048" t="s">
        <v>713</v>
      </c>
      <c r="F7048" t="s">
        <v>88</v>
      </c>
      <c r="G7048" t="s">
        <v>88</v>
      </c>
      <c r="H7048" t="s">
        <v>92</v>
      </c>
    </row>
    <row r="7049" spans="1:8" x14ac:dyDescent="0.25">
      <c r="A7049" t="s">
        <v>271</v>
      </c>
      <c r="B7049" t="s">
        <v>623</v>
      </c>
      <c r="C7049" t="s">
        <v>88</v>
      </c>
      <c r="D7049" t="s">
        <v>88</v>
      </c>
      <c r="E7049" t="s">
        <v>735</v>
      </c>
      <c r="F7049" t="s">
        <v>88</v>
      </c>
      <c r="G7049" t="s">
        <v>88</v>
      </c>
      <c r="H7049" t="s">
        <v>92</v>
      </c>
    </row>
    <row r="7050" spans="1:8" x14ac:dyDescent="0.25">
      <c r="A7050" t="s">
        <v>271</v>
      </c>
      <c r="B7050" t="s">
        <v>714</v>
      </c>
      <c r="C7050" t="s">
        <v>88</v>
      </c>
      <c r="D7050" t="s">
        <v>88</v>
      </c>
      <c r="E7050" t="s">
        <v>1598</v>
      </c>
      <c r="F7050" t="s">
        <v>88</v>
      </c>
      <c r="G7050" t="s">
        <v>88</v>
      </c>
      <c r="H7050" t="s">
        <v>92</v>
      </c>
    </row>
    <row r="7051" spans="1:8" x14ac:dyDescent="0.25">
      <c r="A7051" t="s">
        <v>271</v>
      </c>
      <c r="B7051" t="s">
        <v>6523</v>
      </c>
      <c r="C7051" t="s">
        <v>88</v>
      </c>
      <c r="D7051" t="s">
        <v>88</v>
      </c>
      <c r="E7051" t="s">
        <v>1598</v>
      </c>
      <c r="F7051" t="s">
        <v>88</v>
      </c>
      <c r="G7051" t="s">
        <v>88</v>
      </c>
      <c r="H7051" t="s">
        <v>92</v>
      </c>
    </row>
    <row r="7052" spans="1:8" x14ac:dyDescent="0.25">
      <c r="A7052" t="s">
        <v>271</v>
      </c>
      <c r="B7052" t="s">
        <v>625</v>
      </c>
      <c r="C7052" t="s">
        <v>88</v>
      </c>
      <c r="D7052" t="s">
        <v>88</v>
      </c>
      <c r="E7052" t="s">
        <v>626</v>
      </c>
      <c r="F7052" t="s">
        <v>88</v>
      </c>
      <c r="G7052" t="s">
        <v>88</v>
      </c>
      <c r="H7052" t="s">
        <v>92</v>
      </c>
    </row>
    <row r="7053" spans="1:8" x14ac:dyDescent="0.25">
      <c r="A7053" t="s">
        <v>272</v>
      </c>
      <c r="B7053" t="s">
        <v>6258</v>
      </c>
      <c r="C7053" t="s">
        <v>88</v>
      </c>
      <c r="D7053" t="s">
        <v>6259</v>
      </c>
      <c r="E7053" t="s">
        <v>673</v>
      </c>
      <c r="F7053" t="s">
        <v>88</v>
      </c>
      <c r="G7053" t="s">
        <v>88</v>
      </c>
      <c r="H7053" t="s">
        <v>92</v>
      </c>
    </row>
    <row r="7054" spans="1:8" x14ac:dyDescent="0.25">
      <c r="A7054" t="s">
        <v>272</v>
      </c>
      <c r="B7054" t="s">
        <v>6260</v>
      </c>
      <c r="C7054" t="s">
        <v>88</v>
      </c>
      <c r="D7054" t="s">
        <v>6261</v>
      </c>
      <c r="E7054" t="s">
        <v>2481</v>
      </c>
      <c r="F7054" t="s">
        <v>88</v>
      </c>
      <c r="G7054" t="s">
        <v>88</v>
      </c>
      <c r="H7054" t="s">
        <v>92</v>
      </c>
    </row>
    <row r="7055" spans="1:8" x14ac:dyDescent="0.25">
      <c r="A7055" t="s">
        <v>272</v>
      </c>
      <c r="B7055" t="s">
        <v>6262</v>
      </c>
      <c r="C7055" t="s">
        <v>88</v>
      </c>
      <c r="D7055" t="s">
        <v>6263</v>
      </c>
      <c r="E7055" t="s">
        <v>937</v>
      </c>
      <c r="F7055" t="s">
        <v>88</v>
      </c>
      <c r="G7055" t="s">
        <v>88</v>
      </c>
      <c r="H7055" t="s">
        <v>92</v>
      </c>
    </row>
    <row r="7056" spans="1:8" x14ac:dyDescent="0.25">
      <c r="A7056" t="s">
        <v>272</v>
      </c>
      <c r="B7056" t="s">
        <v>6264</v>
      </c>
      <c r="C7056" t="s">
        <v>88</v>
      </c>
      <c r="D7056" t="s">
        <v>6265</v>
      </c>
      <c r="E7056" t="s">
        <v>1353</v>
      </c>
      <c r="F7056" t="s">
        <v>88</v>
      </c>
      <c r="G7056" t="s">
        <v>88</v>
      </c>
      <c r="H7056" t="s">
        <v>92</v>
      </c>
    </row>
    <row r="7057" spans="1:8" x14ac:dyDescent="0.25">
      <c r="A7057" t="s">
        <v>272</v>
      </c>
      <c r="B7057" t="s">
        <v>6266</v>
      </c>
      <c r="C7057" t="s">
        <v>88</v>
      </c>
      <c r="D7057" t="s">
        <v>6267</v>
      </c>
      <c r="E7057" t="s">
        <v>6268</v>
      </c>
      <c r="F7057" t="s">
        <v>88</v>
      </c>
      <c r="G7057" t="s">
        <v>88</v>
      </c>
      <c r="H7057" t="s">
        <v>92</v>
      </c>
    </row>
    <row r="7058" spans="1:8" x14ac:dyDescent="0.25">
      <c r="A7058" t="s">
        <v>272</v>
      </c>
      <c r="B7058" t="s">
        <v>6269</v>
      </c>
      <c r="C7058" t="s">
        <v>88</v>
      </c>
      <c r="D7058" t="s">
        <v>6270</v>
      </c>
      <c r="E7058" t="s">
        <v>760</v>
      </c>
      <c r="F7058" t="s">
        <v>88</v>
      </c>
      <c r="G7058" t="s">
        <v>88</v>
      </c>
      <c r="H7058" t="s">
        <v>92</v>
      </c>
    </row>
    <row r="7059" spans="1:8" x14ac:dyDescent="0.25">
      <c r="A7059" t="s">
        <v>272</v>
      </c>
      <c r="B7059" t="s">
        <v>6271</v>
      </c>
      <c r="C7059" t="s">
        <v>88</v>
      </c>
      <c r="D7059" t="s">
        <v>6272</v>
      </c>
      <c r="E7059" t="s">
        <v>3015</v>
      </c>
      <c r="F7059" t="s">
        <v>88</v>
      </c>
      <c r="G7059" t="s">
        <v>88</v>
      </c>
      <c r="H7059" t="s">
        <v>92</v>
      </c>
    </row>
    <row r="7060" spans="1:8" x14ac:dyDescent="0.25">
      <c r="A7060" t="s">
        <v>272</v>
      </c>
      <c r="B7060" t="s">
        <v>2359</v>
      </c>
      <c r="C7060" t="s">
        <v>88</v>
      </c>
      <c r="D7060" t="s">
        <v>88</v>
      </c>
      <c r="E7060" t="s">
        <v>791</v>
      </c>
      <c r="F7060" t="s">
        <v>88</v>
      </c>
      <c r="G7060" t="s">
        <v>88</v>
      </c>
      <c r="H7060" t="s">
        <v>92</v>
      </c>
    </row>
    <row r="7061" spans="1:8" x14ac:dyDescent="0.25">
      <c r="A7061" t="s">
        <v>272</v>
      </c>
      <c r="B7061" t="s">
        <v>6274</v>
      </c>
      <c r="C7061" t="s">
        <v>88</v>
      </c>
      <c r="D7061" t="s">
        <v>88</v>
      </c>
      <c r="E7061" t="s">
        <v>1139</v>
      </c>
      <c r="F7061" t="s">
        <v>88</v>
      </c>
      <c r="G7061" t="s">
        <v>88</v>
      </c>
      <c r="H7061" t="s">
        <v>92</v>
      </c>
    </row>
    <row r="7062" spans="1:8" x14ac:dyDescent="0.25">
      <c r="A7062" t="s">
        <v>272</v>
      </c>
      <c r="B7062" t="s">
        <v>6275</v>
      </c>
      <c r="C7062" t="s">
        <v>88</v>
      </c>
      <c r="D7062" t="s">
        <v>6276</v>
      </c>
      <c r="E7062" t="s">
        <v>717</v>
      </c>
      <c r="F7062" t="s">
        <v>88</v>
      </c>
      <c r="G7062" t="s">
        <v>88</v>
      </c>
      <c r="H7062" t="s">
        <v>92</v>
      </c>
    </row>
    <row r="7063" spans="1:8" x14ac:dyDescent="0.25">
      <c r="A7063" t="s">
        <v>272</v>
      </c>
      <c r="B7063" t="s">
        <v>6277</v>
      </c>
      <c r="C7063" t="s">
        <v>88</v>
      </c>
      <c r="D7063" t="s">
        <v>6278</v>
      </c>
      <c r="E7063" t="s">
        <v>1189</v>
      </c>
      <c r="F7063" t="s">
        <v>88</v>
      </c>
      <c r="G7063" t="s">
        <v>88</v>
      </c>
      <c r="H7063" t="s">
        <v>92</v>
      </c>
    </row>
    <row r="7064" spans="1:8" x14ac:dyDescent="0.25">
      <c r="A7064" t="s">
        <v>272</v>
      </c>
      <c r="B7064" t="s">
        <v>6279</v>
      </c>
      <c r="C7064" t="s">
        <v>88</v>
      </c>
      <c r="D7064" t="s">
        <v>6280</v>
      </c>
      <c r="E7064" t="s">
        <v>780</v>
      </c>
      <c r="F7064" t="s">
        <v>88</v>
      </c>
      <c r="G7064" t="s">
        <v>88</v>
      </c>
      <c r="H7064" t="s">
        <v>92</v>
      </c>
    </row>
    <row r="7065" spans="1:8" x14ac:dyDescent="0.25">
      <c r="A7065" t="s">
        <v>272</v>
      </c>
      <c r="B7065" t="s">
        <v>6281</v>
      </c>
      <c r="C7065" t="s">
        <v>88</v>
      </c>
      <c r="D7065" t="s">
        <v>6282</v>
      </c>
      <c r="E7065" t="s">
        <v>2193</v>
      </c>
      <c r="F7065" t="s">
        <v>88</v>
      </c>
      <c r="G7065" t="s">
        <v>88</v>
      </c>
      <c r="H7065" t="s">
        <v>92</v>
      </c>
    </row>
    <row r="7066" spans="1:8" x14ac:dyDescent="0.25">
      <c r="A7066" t="s">
        <v>272</v>
      </c>
      <c r="B7066" t="s">
        <v>6283</v>
      </c>
      <c r="C7066" t="s">
        <v>88</v>
      </c>
      <c r="D7066" t="s">
        <v>6284</v>
      </c>
      <c r="E7066" t="s">
        <v>663</v>
      </c>
      <c r="F7066" t="s">
        <v>88</v>
      </c>
      <c r="G7066" t="s">
        <v>88</v>
      </c>
      <c r="H7066" t="s">
        <v>92</v>
      </c>
    </row>
    <row r="7067" spans="1:8" x14ac:dyDescent="0.25">
      <c r="A7067" t="s">
        <v>272</v>
      </c>
      <c r="B7067" t="s">
        <v>6285</v>
      </c>
      <c r="C7067" t="s">
        <v>88</v>
      </c>
      <c r="D7067" t="s">
        <v>6286</v>
      </c>
      <c r="E7067" t="s">
        <v>658</v>
      </c>
      <c r="F7067" t="s">
        <v>88</v>
      </c>
      <c r="G7067" t="s">
        <v>88</v>
      </c>
      <c r="H7067" t="s">
        <v>92</v>
      </c>
    </row>
    <row r="7068" spans="1:8" x14ac:dyDescent="0.25">
      <c r="A7068" t="s">
        <v>272</v>
      </c>
      <c r="B7068" t="s">
        <v>6287</v>
      </c>
      <c r="C7068" t="s">
        <v>88</v>
      </c>
      <c r="D7068" t="s">
        <v>6288</v>
      </c>
      <c r="E7068" t="s">
        <v>2989</v>
      </c>
      <c r="F7068" t="s">
        <v>88</v>
      </c>
      <c r="G7068" t="s">
        <v>88</v>
      </c>
      <c r="H7068" t="s">
        <v>92</v>
      </c>
    </row>
    <row r="7069" spans="1:8" x14ac:dyDescent="0.25">
      <c r="A7069" t="s">
        <v>272</v>
      </c>
      <c r="B7069" t="s">
        <v>6289</v>
      </c>
      <c r="C7069" t="s">
        <v>88</v>
      </c>
      <c r="D7069" t="s">
        <v>6290</v>
      </c>
      <c r="E7069" t="s">
        <v>841</v>
      </c>
      <c r="F7069" t="s">
        <v>88</v>
      </c>
      <c r="G7069" t="s">
        <v>88</v>
      </c>
      <c r="H7069" t="s">
        <v>92</v>
      </c>
    </row>
    <row r="7070" spans="1:8" x14ac:dyDescent="0.25">
      <c r="A7070" t="s">
        <v>272</v>
      </c>
      <c r="B7070" t="s">
        <v>6291</v>
      </c>
      <c r="C7070" t="s">
        <v>88</v>
      </c>
      <c r="D7070" t="s">
        <v>6292</v>
      </c>
      <c r="E7070" t="s">
        <v>2800</v>
      </c>
      <c r="F7070" t="s">
        <v>88</v>
      </c>
      <c r="G7070" t="s">
        <v>88</v>
      </c>
      <c r="H7070" t="s">
        <v>92</v>
      </c>
    </row>
    <row r="7071" spans="1:8" x14ac:dyDescent="0.25">
      <c r="A7071" t="s">
        <v>272</v>
      </c>
      <c r="B7071" t="s">
        <v>6293</v>
      </c>
      <c r="C7071" t="s">
        <v>88</v>
      </c>
      <c r="D7071" t="s">
        <v>6294</v>
      </c>
      <c r="E7071" t="s">
        <v>1189</v>
      </c>
      <c r="F7071" t="s">
        <v>88</v>
      </c>
      <c r="G7071" t="s">
        <v>88</v>
      </c>
      <c r="H7071" t="s">
        <v>92</v>
      </c>
    </row>
    <row r="7072" spans="1:8" x14ac:dyDescent="0.25">
      <c r="A7072" t="s">
        <v>272</v>
      </c>
      <c r="B7072" t="s">
        <v>6303</v>
      </c>
      <c r="C7072" t="s">
        <v>88</v>
      </c>
      <c r="D7072" t="s">
        <v>6304</v>
      </c>
      <c r="E7072" t="s">
        <v>663</v>
      </c>
      <c r="F7072" t="s">
        <v>88</v>
      </c>
      <c r="G7072" t="s">
        <v>88</v>
      </c>
      <c r="H7072" t="s">
        <v>92</v>
      </c>
    </row>
    <row r="7073" spans="1:8" x14ac:dyDescent="0.25">
      <c r="A7073" t="s">
        <v>272</v>
      </c>
      <c r="B7073" t="s">
        <v>6305</v>
      </c>
      <c r="C7073" t="s">
        <v>88</v>
      </c>
      <c r="D7073" t="s">
        <v>6306</v>
      </c>
      <c r="E7073" t="s">
        <v>2513</v>
      </c>
      <c r="F7073" t="s">
        <v>88</v>
      </c>
      <c r="G7073" t="s">
        <v>88</v>
      </c>
      <c r="H7073" t="s">
        <v>92</v>
      </c>
    </row>
    <row r="7074" spans="1:8" x14ac:dyDescent="0.25">
      <c r="A7074" t="s">
        <v>272</v>
      </c>
      <c r="B7074" t="s">
        <v>6307</v>
      </c>
      <c r="C7074" t="s">
        <v>88</v>
      </c>
      <c r="D7074" t="s">
        <v>6308</v>
      </c>
      <c r="E7074" t="s">
        <v>2166</v>
      </c>
      <c r="F7074" t="s">
        <v>88</v>
      </c>
      <c r="G7074" t="s">
        <v>88</v>
      </c>
      <c r="H7074" t="s">
        <v>92</v>
      </c>
    </row>
    <row r="7075" spans="1:8" x14ac:dyDescent="0.25">
      <c r="A7075" t="s">
        <v>272</v>
      </c>
      <c r="B7075" t="s">
        <v>6315</v>
      </c>
      <c r="C7075" t="s">
        <v>88</v>
      </c>
      <c r="D7075" t="s">
        <v>6316</v>
      </c>
      <c r="E7075" t="s">
        <v>886</v>
      </c>
      <c r="F7075" t="s">
        <v>88</v>
      </c>
      <c r="G7075" t="s">
        <v>88</v>
      </c>
      <c r="H7075" t="s">
        <v>92</v>
      </c>
    </row>
    <row r="7076" spans="1:8" x14ac:dyDescent="0.25">
      <c r="A7076" t="s">
        <v>272</v>
      </c>
      <c r="B7076" t="s">
        <v>6317</v>
      </c>
      <c r="C7076" t="s">
        <v>88</v>
      </c>
      <c r="D7076" t="s">
        <v>6318</v>
      </c>
      <c r="E7076" t="s">
        <v>1139</v>
      </c>
      <c r="F7076" t="s">
        <v>88</v>
      </c>
      <c r="G7076" t="s">
        <v>88</v>
      </c>
      <c r="H7076" t="s">
        <v>92</v>
      </c>
    </row>
    <row r="7077" spans="1:8" x14ac:dyDescent="0.25">
      <c r="A7077" t="s">
        <v>272</v>
      </c>
      <c r="B7077" t="s">
        <v>6319</v>
      </c>
      <c r="C7077" t="s">
        <v>88</v>
      </c>
      <c r="D7077" t="s">
        <v>6320</v>
      </c>
      <c r="E7077" t="s">
        <v>1839</v>
      </c>
      <c r="F7077" t="s">
        <v>88</v>
      </c>
      <c r="G7077" t="s">
        <v>88</v>
      </c>
      <c r="H7077" t="s">
        <v>92</v>
      </c>
    </row>
    <row r="7078" spans="1:8" x14ac:dyDescent="0.25">
      <c r="A7078" t="s">
        <v>272</v>
      </c>
      <c r="B7078" t="s">
        <v>6321</v>
      </c>
      <c r="C7078" t="s">
        <v>88</v>
      </c>
      <c r="D7078" t="s">
        <v>6322</v>
      </c>
      <c r="E7078" t="s">
        <v>717</v>
      </c>
      <c r="F7078" t="s">
        <v>88</v>
      </c>
      <c r="G7078" t="s">
        <v>88</v>
      </c>
      <c r="H7078" t="s">
        <v>92</v>
      </c>
    </row>
    <row r="7079" spans="1:8" x14ac:dyDescent="0.25">
      <c r="A7079" t="s">
        <v>272</v>
      </c>
      <c r="B7079" t="s">
        <v>6323</v>
      </c>
      <c r="C7079" t="s">
        <v>88</v>
      </c>
      <c r="D7079" t="s">
        <v>6324</v>
      </c>
      <c r="E7079" t="s">
        <v>6325</v>
      </c>
      <c r="F7079" t="s">
        <v>88</v>
      </c>
      <c r="G7079" t="s">
        <v>88</v>
      </c>
      <c r="H7079" t="s">
        <v>92</v>
      </c>
    </row>
    <row r="7080" spans="1:8" x14ac:dyDescent="0.25">
      <c r="A7080" t="s">
        <v>272</v>
      </c>
      <c r="B7080" t="s">
        <v>6332</v>
      </c>
      <c r="C7080" t="s">
        <v>88</v>
      </c>
      <c r="D7080" t="s">
        <v>6333</v>
      </c>
      <c r="E7080" t="s">
        <v>6334</v>
      </c>
      <c r="F7080" t="s">
        <v>88</v>
      </c>
      <c r="G7080" t="s">
        <v>88</v>
      </c>
      <c r="H7080" t="s">
        <v>92</v>
      </c>
    </row>
    <row r="7081" spans="1:8" x14ac:dyDescent="0.25">
      <c r="A7081" t="s">
        <v>272</v>
      </c>
      <c r="B7081" t="s">
        <v>6335</v>
      </c>
      <c r="C7081" t="s">
        <v>88</v>
      </c>
      <c r="D7081" t="s">
        <v>6336</v>
      </c>
      <c r="E7081" t="s">
        <v>673</v>
      </c>
      <c r="F7081" t="s">
        <v>88</v>
      </c>
      <c r="G7081" t="s">
        <v>88</v>
      </c>
      <c r="H7081" t="s">
        <v>92</v>
      </c>
    </row>
    <row r="7082" spans="1:8" x14ac:dyDescent="0.25">
      <c r="A7082" t="s">
        <v>272</v>
      </c>
      <c r="B7082" t="s">
        <v>6337</v>
      </c>
      <c r="C7082" t="s">
        <v>88</v>
      </c>
      <c r="D7082" t="s">
        <v>6338</v>
      </c>
      <c r="E7082" t="s">
        <v>1139</v>
      </c>
      <c r="F7082" t="s">
        <v>88</v>
      </c>
      <c r="G7082" t="s">
        <v>88</v>
      </c>
      <c r="H7082" t="s">
        <v>92</v>
      </c>
    </row>
    <row r="7083" spans="1:8" x14ac:dyDescent="0.25">
      <c r="A7083" t="s">
        <v>272</v>
      </c>
      <c r="B7083" t="s">
        <v>6339</v>
      </c>
      <c r="C7083" t="s">
        <v>88</v>
      </c>
      <c r="D7083" t="s">
        <v>6340</v>
      </c>
      <c r="E7083" t="s">
        <v>2833</v>
      </c>
      <c r="F7083" t="s">
        <v>88</v>
      </c>
      <c r="G7083" t="s">
        <v>88</v>
      </c>
      <c r="H7083" t="s">
        <v>92</v>
      </c>
    </row>
    <row r="7084" spans="1:8" x14ac:dyDescent="0.25">
      <c r="A7084" t="s">
        <v>272</v>
      </c>
      <c r="B7084" t="s">
        <v>6341</v>
      </c>
      <c r="C7084" t="s">
        <v>88</v>
      </c>
      <c r="D7084" t="s">
        <v>6342</v>
      </c>
      <c r="E7084" t="s">
        <v>721</v>
      </c>
      <c r="F7084" t="s">
        <v>88</v>
      </c>
      <c r="G7084" t="s">
        <v>88</v>
      </c>
      <c r="H7084" t="s">
        <v>92</v>
      </c>
    </row>
    <row r="7085" spans="1:8" x14ac:dyDescent="0.25">
      <c r="A7085" t="s">
        <v>272</v>
      </c>
      <c r="B7085" t="s">
        <v>6351</v>
      </c>
      <c r="C7085" t="s">
        <v>88</v>
      </c>
      <c r="D7085" t="s">
        <v>6352</v>
      </c>
      <c r="E7085" t="s">
        <v>6353</v>
      </c>
      <c r="F7085" t="s">
        <v>88</v>
      </c>
      <c r="G7085" t="s">
        <v>88</v>
      </c>
      <c r="H7085" t="s">
        <v>92</v>
      </c>
    </row>
    <row r="7086" spans="1:8" x14ac:dyDescent="0.25">
      <c r="A7086" t="s">
        <v>272</v>
      </c>
      <c r="B7086" t="s">
        <v>1019</v>
      </c>
      <c r="C7086" t="s">
        <v>88</v>
      </c>
      <c r="D7086" t="s">
        <v>6354</v>
      </c>
      <c r="E7086" t="s">
        <v>1221</v>
      </c>
      <c r="F7086" t="s">
        <v>88</v>
      </c>
      <c r="G7086" t="s">
        <v>88</v>
      </c>
      <c r="H7086" t="s">
        <v>92</v>
      </c>
    </row>
    <row r="7087" spans="1:8" x14ac:dyDescent="0.25">
      <c r="A7087" t="s">
        <v>272</v>
      </c>
      <c r="B7087" t="s">
        <v>832</v>
      </c>
      <c r="C7087" t="s">
        <v>88</v>
      </c>
      <c r="D7087" t="s">
        <v>6355</v>
      </c>
      <c r="E7087" t="s">
        <v>760</v>
      </c>
      <c r="F7087" t="s">
        <v>88</v>
      </c>
      <c r="G7087" t="s">
        <v>88</v>
      </c>
      <c r="H7087" t="s">
        <v>92</v>
      </c>
    </row>
    <row r="7088" spans="1:8" x14ac:dyDescent="0.25">
      <c r="A7088" t="s">
        <v>272</v>
      </c>
      <c r="B7088" t="s">
        <v>818</v>
      </c>
      <c r="C7088" t="s">
        <v>88</v>
      </c>
      <c r="D7088" t="s">
        <v>6352</v>
      </c>
      <c r="E7088" t="s">
        <v>6353</v>
      </c>
      <c r="F7088" t="s">
        <v>88</v>
      </c>
      <c r="G7088" t="s">
        <v>88</v>
      </c>
      <c r="H7088" t="s">
        <v>92</v>
      </c>
    </row>
    <row r="7089" spans="1:8" x14ac:dyDescent="0.25">
      <c r="A7089" t="s">
        <v>272</v>
      </c>
      <c r="B7089" t="s">
        <v>837</v>
      </c>
      <c r="C7089" t="s">
        <v>88</v>
      </c>
      <c r="D7089" t="s">
        <v>6356</v>
      </c>
      <c r="E7089" t="s">
        <v>3181</v>
      </c>
      <c r="F7089" t="s">
        <v>88</v>
      </c>
      <c r="G7089" t="s">
        <v>88</v>
      </c>
      <c r="H7089" t="s">
        <v>92</v>
      </c>
    </row>
    <row r="7090" spans="1:8" x14ac:dyDescent="0.25">
      <c r="A7090" t="s">
        <v>272</v>
      </c>
      <c r="B7090" t="s">
        <v>823</v>
      </c>
      <c r="C7090" t="s">
        <v>88</v>
      </c>
      <c r="D7090" t="s">
        <v>6357</v>
      </c>
      <c r="E7090" t="s">
        <v>6358</v>
      </c>
      <c r="F7090" t="s">
        <v>88</v>
      </c>
      <c r="G7090" t="s">
        <v>88</v>
      </c>
      <c r="H7090" t="s">
        <v>92</v>
      </c>
    </row>
    <row r="7091" spans="1:8" x14ac:dyDescent="0.25">
      <c r="A7091" t="s">
        <v>272</v>
      </c>
      <c r="B7091" t="s">
        <v>789</v>
      </c>
      <c r="C7091" t="s">
        <v>88</v>
      </c>
      <c r="D7091" t="s">
        <v>6359</v>
      </c>
      <c r="E7091" t="s">
        <v>1598</v>
      </c>
      <c r="F7091" t="s">
        <v>88</v>
      </c>
      <c r="G7091" t="s">
        <v>88</v>
      </c>
      <c r="H7091" t="s">
        <v>92</v>
      </c>
    </row>
    <row r="7092" spans="1:8" x14ac:dyDescent="0.25">
      <c r="A7092" t="s">
        <v>272</v>
      </c>
      <c r="B7092" t="s">
        <v>6364</v>
      </c>
      <c r="C7092" t="s">
        <v>88</v>
      </c>
      <c r="D7092" t="s">
        <v>6365</v>
      </c>
      <c r="E7092" t="s">
        <v>1971</v>
      </c>
      <c r="F7092" t="s">
        <v>88</v>
      </c>
      <c r="G7092" t="s">
        <v>88</v>
      </c>
      <c r="H7092" t="s">
        <v>92</v>
      </c>
    </row>
    <row r="7093" spans="1:8" x14ac:dyDescent="0.25">
      <c r="A7093" t="s">
        <v>272</v>
      </c>
      <c r="B7093" t="s">
        <v>6366</v>
      </c>
      <c r="C7093" t="s">
        <v>88</v>
      </c>
      <c r="D7093" t="s">
        <v>6367</v>
      </c>
      <c r="E7093" t="s">
        <v>679</v>
      </c>
      <c r="F7093" t="s">
        <v>88</v>
      </c>
      <c r="G7093" t="s">
        <v>88</v>
      </c>
      <c r="H7093" t="s">
        <v>92</v>
      </c>
    </row>
    <row r="7094" spans="1:8" x14ac:dyDescent="0.25">
      <c r="A7094" t="s">
        <v>272</v>
      </c>
      <c r="B7094" t="s">
        <v>6360</v>
      </c>
      <c r="C7094" t="s">
        <v>88</v>
      </c>
      <c r="D7094" t="s">
        <v>6361</v>
      </c>
      <c r="E7094" t="s">
        <v>723</v>
      </c>
      <c r="F7094" t="s">
        <v>88</v>
      </c>
      <c r="G7094" t="s">
        <v>88</v>
      </c>
      <c r="H7094" t="s">
        <v>92</v>
      </c>
    </row>
    <row r="7095" spans="1:8" x14ac:dyDescent="0.25">
      <c r="A7095" t="s">
        <v>272</v>
      </c>
      <c r="B7095" t="s">
        <v>6362</v>
      </c>
      <c r="C7095" t="s">
        <v>88</v>
      </c>
      <c r="D7095" t="s">
        <v>6363</v>
      </c>
      <c r="E7095" t="s">
        <v>715</v>
      </c>
      <c r="F7095" t="s">
        <v>88</v>
      </c>
      <c r="G7095" t="s">
        <v>88</v>
      </c>
      <c r="H7095" t="s">
        <v>92</v>
      </c>
    </row>
    <row r="7096" spans="1:8" x14ac:dyDescent="0.25">
      <c r="A7096" t="s">
        <v>272</v>
      </c>
      <c r="B7096" t="s">
        <v>6368</v>
      </c>
      <c r="C7096" t="s">
        <v>88</v>
      </c>
      <c r="D7096" t="s">
        <v>6369</v>
      </c>
      <c r="E7096" t="s">
        <v>723</v>
      </c>
      <c r="F7096" t="s">
        <v>88</v>
      </c>
      <c r="G7096" t="s">
        <v>88</v>
      </c>
      <c r="H7096" t="s">
        <v>92</v>
      </c>
    </row>
    <row r="7097" spans="1:8" x14ac:dyDescent="0.25">
      <c r="A7097" t="s">
        <v>272</v>
      </c>
      <c r="B7097" t="s">
        <v>854</v>
      </c>
      <c r="C7097" t="s">
        <v>88</v>
      </c>
      <c r="D7097" t="s">
        <v>6372</v>
      </c>
      <c r="E7097" t="s">
        <v>2513</v>
      </c>
      <c r="F7097" t="s">
        <v>88</v>
      </c>
      <c r="G7097" t="s">
        <v>88</v>
      </c>
      <c r="H7097" t="s">
        <v>92</v>
      </c>
    </row>
    <row r="7098" spans="1:8" x14ac:dyDescent="0.25">
      <c r="A7098" t="s">
        <v>272</v>
      </c>
      <c r="B7098" t="s">
        <v>6374</v>
      </c>
      <c r="C7098" t="s">
        <v>88</v>
      </c>
      <c r="D7098" t="s">
        <v>6375</v>
      </c>
      <c r="E7098" t="s">
        <v>1377</v>
      </c>
      <c r="F7098" t="s">
        <v>88</v>
      </c>
      <c r="G7098" t="s">
        <v>88</v>
      </c>
      <c r="H7098" t="s">
        <v>92</v>
      </c>
    </row>
    <row r="7099" spans="1:8" x14ac:dyDescent="0.25">
      <c r="A7099" t="s">
        <v>272</v>
      </c>
      <c r="B7099" t="s">
        <v>6434</v>
      </c>
      <c r="C7099" t="s">
        <v>88</v>
      </c>
      <c r="D7099" t="s">
        <v>88</v>
      </c>
      <c r="E7099" t="s">
        <v>735</v>
      </c>
      <c r="F7099" t="s">
        <v>88</v>
      </c>
      <c r="G7099" t="s">
        <v>88</v>
      </c>
      <c r="H7099" t="s">
        <v>92</v>
      </c>
    </row>
    <row r="7100" spans="1:8" x14ac:dyDescent="0.25">
      <c r="A7100" t="s">
        <v>272</v>
      </c>
      <c r="B7100" t="s">
        <v>6435</v>
      </c>
      <c r="C7100" t="s">
        <v>88</v>
      </c>
      <c r="D7100" t="s">
        <v>88</v>
      </c>
      <c r="E7100" t="s">
        <v>735</v>
      </c>
      <c r="F7100" t="s">
        <v>88</v>
      </c>
      <c r="G7100" t="s">
        <v>88</v>
      </c>
      <c r="H7100" t="s">
        <v>92</v>
      </c>
    </row>
    <row r="7101" spans="1:8" x14ac:dyDescent="0.25">
      <c r="A7101" t="s">
        <v>272</v>
      </c>
      <c r="B7101" t="s">
        <v>6436</v>
      </c>
      <c r="C7101" t="s">
        <v>88</v>
      </c>
      <c r="D7101" t="s">
        <v>88</v>
      </c>
      <c r="E7101" t="s">
        <v>849</v>
      </c>
      <c r="F7101" t="s">
        <v>88</v>
      </c>
      <c r="G7101" t="s">
        <v>88</v>
      </c>
      <c r="H7101" t="s">
        <v>92</v>
      </c>
    </row>
    <row r="7102" spans="1:8" x14ac:dyDescent="0.25">
      <c r="A7102" t="s">
        <v>272</v>
      </c>
      <c r="B7102" t="s">
        <v>6437</v>
      </c>
      <c r="C7102" t="s">
        <v>88</v>
      </c>
      <c r="D7102" t="s">
        <v>88</v>
      </c>
      <c r="E7102" t="s">
        <v>849</v>
      </c>
      <c r="F7102" t="s">
        <v>88</v>
      </c>
      <c r="G7102" t="s">
        <v>88</v>
      </c>
      <c r="H7102" t="s">
        <v>92</v>
      </c>
    </row>
    <row r="7103" spans="1:8" x14ac:dyDescent="0.25">
      <c r="A7103" t="s">
        <v>272</v>
      </c>
      <c r="B7103" t="s">
        <v>6438</v>
      </c>
      <c r="C7103" t="s">
        <v>88</v>
      </c>
      <c r="D7103" t="s">
        <v>88</v>
      </c>
      <c r="E7103" t="s">
        <v>849</v>
      </c>
      <c r="F7103" t="s">
        <v>88</v>
      </c>
      <c r="G7103" t="s">
        <v>88</v>
      </c>
      <c r="H7103" t="s">
        <v>92</v>
      </c>
    </row>
    <row r="7104" spans="1:8" x14ac:dyDescent="0.25">
      <c r="A7104" t="s">
        <v>272</v>
      </c>
      <c r="B7104" t="s">
        <v>845</v>
      </c>
      <c r="C7104" t="s">
        <v>88</v>
      </c>
      <c r="D7104" t="s">
        <v>88</v>
      </c>
      <c r="E7104" t="s">
        <v>735</v>
      </c>
      <c r="F7104" t="s">
        <v>88</v>
      </c>
      <c r="G7104" t="s">
        <v>88</v>
      </c>
      <c r="H7104" t="s">
        <v>92</v>
      </c>
    </row>
    <row r="7105" spans="1:8" x14ac:dyDescent="0.25">
      <c r="A7105" t="s">
        <v>272</v>
      </c>
      <c r="B7105" t="s">
        <v>6439</v>
      </c>
      <c r="C7105" t="s">
        <v>88</v>
      </c>
      <c r="D7105" t="s">
        <v>88</v>
      </c>
      <c r="E7105" t="s">
        <v>799</v>
      </c>
      <c r="F7105" t="s">
        <v>88</v>
      </c>
      <c r="G7105" t="s">
        <v>88</v>
      </c>
      <c r="H7105" t="s">
        <v>92</v>
      </c>
    </row>
    <row r="7106" spans="1:8" x14ac:dyDescent="0.25">
      <c r="A7106" t="s">
        <v>272</v>
      </c>
      <c r="B7106" t="s">
        <v>6440</v>
      </c>
      <c r="C7106" t="s">
        <v>88</v>
      </c>
      <c r="D7106" t="s">
        <v>88</v>
      </c>
      <c r="E7106" t="s">
        <v>735</v>
      </c>
      <c r="F7106" t="s">
        <v>88</v>
      </c>
      <c r="G7106" t="s">
        <v>88</v>
      </c>
      <c r="H7106" t="s">
        <v>92</v>
      </c>
    </row>
    <row r="7107" spans="1:8" x14ac:dyDescent="0.25">
      <c r="A7107" t="s">
        <v>272</v>
      </c>
      <c r="B7107" t="s">
        <v>6441</v>
      </c>
      <c r="C7107" t="s">
        <v>88</v>
      </c>
      <c r="D7107" t="s">
        <v>88</v>
      </c>
      <c r="E7107" t="s">
        <v>1594</v>
      </c>
      <c r="F7107" t="s">
        <v>88</v>
      </c>
      <c r="G7107" t="s">
        <v>88</v>
      </c>
      <c r="H7107" t="s">
        <v>92</v>
      </c>
    </row>
    <row r="7108" spans="1:8" x14ac:dyDescent="0.25">
      <c r="A7108" t="s">
        <v>272</v>
      </c>
      <c r="B7108" t="s">
        <v>6442</v>
      </c>
      <c r="C7108" t="s">
        <v>88</v>
      </c>
      <c r="D7108" t="s">
        <v>88</v>
      </c>
      <c r="E7108" t="s">
        <v>709</v>
      </c>
      <c r="F7108" t="s">
        <v>88</v>
      </c>
      <c r="G7108" t="s">
        <v>88</v>
      </c>
      <c r="H7108" t="s">
        <v>92</v>
      </c>
    </row>
    <row r="7109" spans="1:8" x14ac:dyDescent="0.25">
      <c r="A7109" t="s">
        <v>272</v>
      </c>
      <c r="B7109" t="s">
        <v>6443</v>
      </c>
      <c r="C7109" t="s">
        <v>88</v>
      </c>
      <c r="D7109" t="s">
        <v>88</v>
      </c>
      <c r="E7109" t="s">
        <v>713</v>
      </c>
      <c r="F7109" t="s">
        <v>88</v>
      </c>
      <c r="G7109" t="s">
        <v>88</v>
      </c>
      <c r="H7109" t="s">
        <v>92</v>
      </c>
    </row>
    <row r="7110" spans="1:8" x14ac:dyDescent="0.25">
      <c r="A7110" t="s">
        <v>272</v>
      </c>
      <c r="B7110" t="s">
        <v>6482</v>
      </c>
      <c r="C7110" t="s">
        <v>88</v>
      </c>
      <c r="D7110" t="s">
        <v>88</v>
      </c>
      <c r="E7110" t="s">
        <v>709</v>
      </c>
      <c r="F7110" t="s">
        <v>88</v>
      </c>
      <c r="G7110" t="s">
        <v>88</v>
      </c>
      <c r="H7110" t="s">
        <v>92</v>
      </c>
    </row>
    <row r="7111" spans="1:8" x14ac:dyDescent="0.25">
      <c r="A7111" t="s">
        <v>272</v>
      </c>
      <c r="B7111" t="s">
        <v>6486</v>
      </c>
      <c r="C7111" t="s">
        <v>88</v>
      </c>
      <c r="D7111" t="s">
        <v>88</v>
      </c>
      <c r="E7111" t="s">
        <v>957</v>
      </c>
      <c r="F7111" t="s">
        <v>88</v>
      </c>
      <c r="G7111" t="s">
        <v>88</v>
      </c>
      <c r="H7111" t="s">
        <v>92</v>
      </c>
    </row>
    <row r="7112" spans="1:8" x14ac:dyDescent="0.25">
      <c r="A7112" t="s">
        <v>272</v>
      </c>
      <c r="B7112" t="s">
        <v>6487</v>
      </c>
      <c r="C7112" t="s">
        <v>88</v>
      </c>
      <c r="D7112" t="s">
        <v>88</v>
      </c>
      <c r="E7112" t="s">
        <v>957</v>
      </c>
      <c r="F7112" t="s">
        <v>88</v>
      </c>
      <c r="G7112" t="s">
        <v>88</v>
      </c>
      <c r="H7112" t="s">
        <v>92</v>
      </c>
    </row>
    <row r="7113" spans="1:8" x14ac:dyDescent="0.25">
      <c r="A7113" t="s">
        <v>272</v>
      </c>
      <c r="B7113" t="s">
        <v>6488</v>
      </c>
      <c r="C7113" t="s">
        <v>88</v>
      </c>
      <c r="D7113" t="s">
        <v>88</v>
      </c>
      <c r="E7113" t="s">
        <v>957</v>
      </c>
      <c r="F7113" t="s">
        <v>88</v>
      </c>
      <c r="G7113" t="s">
        <v>88</v>
      </c>
      <c r="H7113" t="s">
        <v>92</v>
      </c>
    </row>
    <row r="7114" spans="1:8" x14ac:dyDescent="0.25">
      <c r="A7114" t="s">
        <v>272</v>
      </c>
      <c r="B7114" t="s">
        <v>6489</v>
      </c>
      <c r="C7114" t="s">
        <v>88</v>
      </c>
      <c r="D7114" t="s">
        <v>88</v>
      </c>
      <c r="E7114" t="s">
        <v>734</v>
      </c>
      <c r="F7114" t="s">
        <v>88</v>
      </c>
      <c r="G7114" t="s">
        <v>88</v>
      </c>
      <c r="H7114" t="s">
        <v>92</v>
      </c>
    </row>
    <row r="7115" spans="1:8" x14ac:dyDescent="0.25">
      <c r="A7115" t="s">
        <v>272</v>
      </c>
      <c r="B7115" t="s">
        <v>6497</v>
      </c>
      <c r="C7115" t="s">
        <v>88</v>
      </c>
      <c r="D7115" t="s">
        <v>88</v>
      </c>
      <c r="E7115" t="s">
        <v>850</v>
      </c>
      <c r="F7115" t="s">
        <v>88</v>
      </c>
      <c r="G7115" t="s">
        <v>88</v>
      </c>
      <c r="H7115" t="s">
        <v>92</v>
      </c>
    </row>
    <row r="7116" spans="1:8" x14ac:dyDescent="0.25">
      <c r="A7116" t="s">
        <v>272</v>
      </c>
      <c r="B7116" t="s">
        <v>6498</v>
      </c>
      <c r="C7116" t="s">
        <v>88</v>
      </c>
      <c r="D7116" t="s">
        <v>88</v>
      </c>
      <c r="E7116" t="s">
        <v>850</v>
      </c>
      <c r="F7116" t="s">
        <v>88</v>
      </c>
      <c r="G7116" t="s">
        <v>88</v>
      </c>
      <c r="H7116" t="s">
        <v>92</v>
      </c>
    </row>
    <row r="7117" spans="1:8" x14ac:dyDescent="0.25">
      <c r="A7117" t="s">
        <v>272</v>
      </c>
      <c r="B7117" t="s">
        <v>701</v>
      </c>
      <c r="C7117" t="s">
        <v>88</v>
      </c>
      <c r="D7117" t="s">
        <v>88</v>
      </c>
      <c r="E7117" t="s">
        <v>957</v>
      </c>
      <c r="F7117" t="s">
        <v>88</v>
      </c>
      <c r="G7117" t="s">
        <v>88</v>
      </c>
      <c r="H7117" t="s">
        <v>92</v>
      </c>
    </row>
    <row r="7118" spans="1:8" x14ac:dyDescent="0.25">
      <c r="A7118" t="s">
        <v>272</v>
      </c>
      <c r="B7118" t="s">
        <v>704</v>
      </c>
      <c r="C7118" t="s">
        <v>88</v>
      </c>
      <c r="D7118" t="s">
        <v>88</v>
      </c>
      <c r="E7118" t="s">
        <v>957</v>
      </c>
      <c r="F7118" t="s">
        <v>88</v>
      </c>
      <c r="G7118" t="s">
        <v>88</v>
      </c>
      <c r="H7118" t="s">
        <v>92</v>
      </c>
    </row>
    <row r="7119" spans="1:8" x14ac:dyDescent="0.25">
      <c r="A7119" t="s">
        <v>272</v>
      </c>
      <c r="B7119" t="s">
        <v>705</v>
      </c>
      <c r="C7119" t="s">
        <v>88</v>
      </c>
      <c r="D7119" t="s">
        <v>88</v>
      </c>
      <c r="E7119" t="s">
        <v>957</v>
      </c>
      <c r="F7119" t="s">
        <v>88</v>
      </c>
      <c r="G7119" t="s">
        <v>88</v>
      </c>
      <c r="H7119" t="s">
        <v>92</v>
      </c>
    </row>
    <row r="7120" spans="1:8" x14ac:dyDescent="0.25">
      <c r="A7120" t="s">
        <v>272</v>
      </c>
      <c r="B7120" t="s">
        <v>706</v>
      </c>
      <c r="C7120" t="s">
        <v>88</v>
      </c>
      <c r="D7120" t="s">
        <v>88</v>
      </c>
      <c r="E7120" t="s">
        <v>957</v>
      </c>
      <c r="F7120" t="s">
        <v>88</v>
      </c>
      <c r="G7120" t="s">
        <v>88</v>
      </c>
      <c r="H7120" t="s">
        <v>92</v>
      </c>
    </row>
    <row r="7121" spans="1:8" x14ac:dyDescent="0.25">
      <c r="A7121" t="s">
        <v>272</v>
      </c>
      <c r="B7121" t="s">
        <v>708</v>
      </c>
      <c r="C7121" t="s">
        <v>88</v>
      </c>
      <c r="D7121" t="s">
        <v>88</v>
      </c>
      <c r="E7121" t="s">
        <v>957</v>
      </c>
      <c r="F7121" t="s">
        <v>88</v>
      </c>
      <c r="G7121" t="s">
        <v>88</v>
      </c>
      <c r="H7121" t="s">
        <v>92</v>
      </c>
    </row>
    <row r="7122" spans="1:8" x14ac:dyDescent="0.25">
      <c r="A7122" t="s">
        <v>272</v>
      </c>
      <c r="B7122" t="s">
        <v>707</v>
      </c>
      <c r="C7122" t="s">
        <v>88</v>
      </c>
      <c r="D7122" t="s">
        <v>88</v>
      </c>
      <c r="E7122" t="s">
        <v>957</v>
      </c>
      <c r="F7122" t="s">
        <v>88</v>
      </c>
      <c r="G7122" t="s">
        <v>88</v>
      </c>
      <c r="H7122" t="s">
        <v>92</v>
      </c>
    </row>
    <row r="7123" spans="1:8" x14ac:dyDescent="0.25">
      <c r="A7123" t="s">
        <v>272</v>
      </c>
      <c r="B7123" t="s">
        <v>6513</v>
      </c>
      <c r="C7123" t="s">
        <v>88</v>
      </c>
      <c r="D7123" t="s">
        <v>88</v>
      </c>
      <c r="E7123" t="s">
        <v>710</v>
      </c>
      <c r="F7123" t="s">
        <v>88</v>
      </c>
      <c r="G7123" t="s">
        <v>88</v>
      </c>
      <c r="H7123" t="s">
        <v>92</v>
      </c>
    </row>
    <row r="7124" spans="1:8" x14ac:dyDescent="0.25">
      <c r="A7124" t="s">
        <v>272</v>
      </c>
      <c r="B7124" t="s">
        <v>6514</v>
      </c>
      <c r="C7124" t="s">
        <v>88</v>
      </c>
      <c r="D7124" t="s">
        <v>88</v>
      </c>
      <c r="E7124" t="s">
        <v>711</v>
      </c>
      <c r="F7124" t="s">
        <v>88</v>
      </c>
      <c r="G7124" t="s">
        <v>88</v>
      </c>
      <c r="H7124" t="s">
        <v>92</v>
      </c>
    </row>
    <row r="7125" spans="1:8" x14ac:dyDescent="0.25">
      <c r="A7125" t="s">
        <v>272</v>
      </c>
      <c r="B7125" t="s">
        <v>6515</v>
      </c>
      <c r="C7125" t="s">
        <v>88</v>
      </c>
      <c r="D7125" t="s">
        <v>88</v>
      </c>
      <c r="E7125" t="s">
        <v>957</v>
      </c>
      <c r="F7125" t="s">
        <v>88</v>
      </c>
      <c r="G7125" t="s">
        <v>88</v>
      </c>
      <c r="H7125" t="s">
        <v>92</v>
      </c>
    </row>
    <row r="7126" spans="1:8" x14ac:dyDescent="0.25">
      <c r="A7126" t="s">
        <v>272</v>
      </c>
      <c r="B7126" t="s">
        <v>6518</v>
      </c>
      <c r="C7126" t="s">
        <v>88</v>
      </c>
      <c r="D7126" t="s">
        <v>88</v>
      </c>
      <c r="E7126" t="s">
        <v>848</v>
      </c>
      <c r="F7126" t="s">
        <v>88</v>
      </c>
      <c r="G7126" t="s">
        <v>88</v>
      </c>
      <c r="H7126" t="s">
        <v>92</v>
      </c>
    </row>
    <row r="7127" spans="1:8" x14ac:dyDescent="0.25">
      <c r="A7127" t="s">
        <v>272</v>
      </c>
      <c r="B7127" t="s">
        <v>6519</v>
      </c>
      <c r="C7127" t="s">
        <v>88</v>
      </c>
      <c r="D7127" t="s">
        <v>88</v>
      </c>
      <c r="E7127" t="s">
        <v>848</v>
      </c>
      <c r="F7127" t="s">
        <v>88</v>
      </c>
      <c r="G7127" t="s">
        <v>88</v>
      </c>
      <c r="H7127" t="s">
        <v>92</v>
      </c>
    </row>
    <row r="7128" spans="1:8" x14ac:dyDescent="0.25">
      <c r="A7128" t="s">
        <v>272</v>
      </c>
      <c r="B7128" t="s">
        <v>6520</v>
      </c>
      <c r="C7128" t="s">
        <v>88</v>
      </c>
      <c r="D7128" t="s">
        <v>88</v>
      </c>
      <c r="E7128" t="s">
        <v>713</v>
      </c>
      <c r="F7128" t="s">
        <v>88</v>
      </c>
      <c r="G7128" t="s">
        <v>88</v>
      </c>
      <c r="H7128" t="s">
        <v>92</v>
      </c>
    </row>
    <row r="7129" spans="1:8" x14ac:dyDescent="0.25">
      <c r="A7129" t="s">
        <v>272</v>
      </c>
      <c r="B7129" t="s">
        <v>622</v>
      </c>
      <c r="C7129" t="s">
        <v>88</v>
      </c>
      <c r="D7129" t="s">
        <v>88</v>
      </c>
      <c r="E7129" t="s">
        <v>848</v>
      </c>
      <c r="F7129" t="s">
        <v>88</v>
      </c>
      <c r="G7129" t="s">
        <v>88</v>
      </c>
      <c r="H7129" t="s">
        <v>92</v>
      </c>
    </row>
    <row r="7130" spans="1:8" x14ac:dyDescent="0.25">
      <c r="A7130" t="s">
        <v>272</v>
      </c>
      <c r="B7130" t="s">
        <v>623</v>
      </c>
      <c r="C7130" t="s">
        <v>88</v>
      </c>
      <c r="D7130" t="s">
        <v>88</v>
      </c>
      <c r="E7130" t="s">
        <v>735</v>
      </c>
      <c r="F7130" t="s">
        <v>88</v>
      </c>
      <c r="G7130" t="s">
        <v>88</v>
      </c>
      <c r="H7130" t="s">
        <v>92</v>
      </c>
    </row>
    <row r="7131" spans="1:8" x14ac:dyDescent="0.25">
      <c r="A7131" t="s">
        <v>272</v>
      </c>
      <c r="B7131" t="s">
        <v>714</v>
      </c>
      <c r="C7131" t="s">
        <v>88</v>
      </c>
      <c r="D7131" t="s">
        <v>88</v>
      </c>
      <c r="E7131" t="s">
        <v>1598</v>
      </c>
      <c r="F7131" t="s">
        <v>88</v>
      </c>
      <c r="G7131" t="s">
        <v>88</v>
      </c>
      <c r="H7131" t="s">
        <v>92</v>
      </c>
    </row>
    <row r="7132" spans="1:8" x14ac:dyDescent="0.25">
      <c r="A7132" t="s">
        <v>272</v>
      </c>
      <c r="B7132" t="s">
        <v>1074</v>
      </c>
      <c r="C7132" t="s">
        <v>88</v>
      </c>
      <c r="D7132" t="s">
        <v>88</v>
      </c>
      <c r="E7132" t="s">
        <v>1598</v>
      </c>
      <c r="F7132" t="s">
        <v>88</v>
      </c>
      <c r="G7132" t="s">
        <v>88</v>
      </c>
      <c r="H7132" t="s">
        <v>92</v>
      </c>
    </row>
    <row r="7133" spans="1:8" x14ac:dyDescent="0.25">
      <c r="A7133" t="s">
        <v>272</v>
      </c>
      <c r="B7133" t="s">
        <v>1671</v>
      </c>
      <c r="C7133" t="s">
        <v>88</v>
      </c>
      <c r="D7133" t="s">
        <v>88</v>
      </c>
      <c r="E7133" t="s">
        <v>1598</v>
      </c>
      <c r="F7133" t="s">
        <v>88</v>
      </c>
      <c r="G7133" t="s">
        <v>88</v>
      </c>
      <c r="H7133" t="s">
        <v>92</v>
      </c>
    </row>
    <row r="7134" spans="1:8" x14ac:dyDescent="0.25">
      <c r="A7134" t="s">
        <v>272</v>
      </c>
      <c r="B7134" t="s">
        <v>998</v>
      </c>
      <c r="C7134" t="s">
        <v>88</v>
      </c>
      <c r="D7134" t="s">
        <v>88</v>
      </c>
      <c r="E7134" t="s">
        <v>1598</v>
      </c>
      <c r="F7134" t="s">
        <v>88</v>
      </c>
      <c r="G7134" t="s">
        <v>88</v>
      </c>
      <c r="H7134" t="s">
        <v>92</v>
      </c>
    </row>
    <row r="7135" spans="1:8" x14ac:dyDescent="0.25">
      <c r="A7135" t="s">
        <v>272</v>
      </c>
      <c r="B7135" t="s">
        <v>1073</v>
      </c>
      <c r="C7135" t="s">
        <v>88</v>
      </c>
      <c r="D7135" t="s">
        <v>88</v>
      </c>
      <c r="E7135" t="s">
        <v>1598</v>
      </c>
      <c r="F7135" t="s">
        <v>88</v>
      </c>
      <c r="G7135" t="s">
        <v>88</v>
      </c>
      <c r="H7135" t="s">
        <v>92</v>
      </c>
    </row>
    <row r="7136" spans="1:8" x14ac:dyDescent="0.25">
      <c r="A7136" t="s">
        <v>272</v>
      </c>
      <c r="B7136" t="s">
        <v>6522</v>
      </c>
      <c r="C7136" t="s">
        <v>88</v>
      </c>
      <c r="D7136" t="s">
        <v>88</v>
      </c>
      <c r="E7136" t="s">
        <v>1323</v>
      </c>
      <c r="F7136" t="s">
        <v>88</v>
      </c>
      <c r="G7136" t="s">
        <v>88</v>
      </c>
      <c r="H7136" t="s">
        <v>92</v>
      </c>
    </row>
    <row r="7137" spans="1:8" x14ac:dyDescent="0.25">
      <c r="A7137" t="s">
        <v>272</v>
      </c>
      <c r="B7137" t="s">
        <v>6523</v>
      </c>
      <c r="C7137" t="s">
        <v>88</v>
      </c>
      <c r="D7137" t="s">
        <v>88</v>
      </c>
      <c r="E7137" t="s">
        <v>1598</v>
      </c>
      <c r="F7137" t="s">
        <v>88</v>
      </c>
      <c r="G7137" t="s">
        <v>88</v>
      </c>
      <c r="H7137" t="s">
        <v>92</v>
      </c>
    </row>
    <row r="7138" spans="1:8" x14ac:dyDescent="0.25">
      <c r="A7138" t="s">
        <v>272</v>
      </c>
      <c r="B7138" t="s">
        <v>625</v>
      </c>
      <c r="C7138" t="s">
        <v>88</v>
      </c>
      <c r="D7138" t="s">
        <v>88</v>
      </c>
      <c r="E7138" t="s">
        <v>626</v>
      </c>
      <c r="F7138" t="s">
        <v>88</v>
      </c>
      <c r="G7138" t="s">
        <v>88</v>
      </c>
      <c r="H7138" t="s">
        <v>92</v>
      </c>
    </row>
    <row r="7139" spans="1:8" x14ac:dyDescent="0.25">
      <c r="A7139" t="s">
        <v>273</v>
      </c>
      <c r="B7139" t="s">
        <v>6258</v>
      </c>
      <c r="C7139" t="s">
        <v>88</v>
      </c>
      <c r="D7139" t="s">
        <v>6259</v>
      </c>
      <c r="E7139" t="s">
        <v>673</v>
      </c>
      <c r="F7139" t="s">
        <v>88</v>
      </c>
      <c r="G7139" t="s">
        <v>88</v>
      </c>
      <c r="H7139" t="s">
        <v>92</v>
      </c>
    </row>
    <row r="7140" spans="1:8" x14ac:dyDescent="0.25">
      <c r="A7140" t="s">
        <v>273</v>
      </c>
      <c r="B7140" t="s">
        <v>6260</v>
      </c>
      <c r="C7140" t="s">
        <v>88</v>
      </c>
      <c r="D7140" t="s">
        <v>6261</v>
      </c>
      <c r="E7140" t="s">
        <v>2481</v>
      </c>
      <c r="F7140" t="s">
        <v>88</v>
      </c>
      <c r="G7140" t="s">
        <v>88</v>
      </c>
      <c r="H7140" t="s">
        <v>92</v>
      </c>
    </row>
    <row r="7141" spans="1:8" x14ac:dyDescent="0.25">
      <c r="A7141" t="s">
        <v>273</v>
      </c>
      <c r="B7141" t="s">
        <v>6262</v>
      </c>
      <c r="C7141" t="s">
        <v>88</v>
      </c>
      <c r="D7141" t="s">
        <v>6263</v>
      </c>
      <c r="E7141" t="s">
        <v>937</v>
      </c>
      <c r="F7141" t="s">
        <v>88</v>
      </c>
      <c r="G7141" t="s">
        <v>88</v>
      </c>
      <c r="H7141" t="s">
        <v>92</v>
      </c>
    </row>
    <row r="7142" spans="1:8" x14ac:dyDescent="0.25">
      <c r="A7142" t="s">
        <v>273</v>
      </c>
      <c r="B7142" t="s">
        <v>6264</v>
      </c>
      <c r="C7142" t="s">
        <v>88</v>
      </c>
      <c r="D7142" t="s">
        <v>6265</v>
      </c>
      <c r="E7142" t="s">
        <v>1353</v>
      </c>
      <c r="F7142" t="s">
        <v>88</v>
      </c>
      <c r="G7142" t="s">
        <v>88</v>
      </c>
      <c r="H7142" t="s">
        <v>92</v>
      </c>
    </row>
    <row r="7143" spans="1:8" x14ac:dyDescent="0.25">
      <c r="A7143" t="s">
        <v>273</v>
      </c>
      <c r="B7143" t="s">
        <v>6266</v>
      </c>
      <c r="C7143" t="s">
        <v>88</v>
      </c>
      <c r="D7143" t="s">
        <v>6267</v>
      </c>
      <c r="E7143" t="s">
        <v>6268</v>
      </c>
      <c r="F7143" t="s">
        <v>88</v>
      </c>
      <c r="G7143" t="s">
        <v>88</v>
      </c>
      <c r="H7143" t="s">
        <v>92</v>
      </c>
    </row>
    <row r="7144" spans="1:8" x14ac:dyDescent="0.25">
      <c r="A7144" t="s">
        <v>273</v>
      </c>
      <c r="B7144" t="s">
        <v>6269</v>
      </c>
      <c r="C7144" t="s">
        <v>88</v>
      </c>
      <c r="D7144" t="s">
        <v>6270</v>
      </c>
      <c r="E7144" t="s">
        <v>760</v>
      </c>
      <c r="F7144" t="s">
        <v>88</v>
      </c>
      <c r="G7144" t="s">
        <v>88</v>
      </c>
      <c r="H7144" t="s">
        <v>92</v>
      </c>
    </row>
    <row r="7145" spans="1:8" x14ac:dyDescent="0.25">
      <c r="A7145" t="s">
        <v>273</v>
      </c>
      <c r="B7145" t="s">
        <v>6271</v>
      </c>
      <c r="C7145" t="s">
        <v>88</v>
      </c>
      <c r="D7145" t="s">
        <v>6272</v>
      </c>
      <c r="E7145" t="s">
        <v>3015</v>
      </c>
      <c r="F7145" t="s">
        <v>88</v>
      </c>
      <c r="G7145" t="s">
        <v>88</v>
      </c>
      <c r="H7145" t="s">
        <v>92</v>
      </c>
    </row>
    <row r="7146" spans="1:8" x14ac:dyDescent="0.25">
      <c r="A7146" t="s">
        <v>273</v>
      </c>
      <c r="B7146" t="s">
        <v>2359</v>
      </c>
      <c r="C7146" t="s">
        <v>88</v>
      </c>
      <c r="D7146" t="s">
        <v>88</v>
      </c>
      <c r="E7146" t="s">
        <v>791</v>
      </c>
      <c r="F7146" t="s">
        <v>88</v>
      </c>
      <c r="G7146" t="s">
        <v>88</v>
      </c>
      <c r="H7146" t="s">
        <v>92</v>
      </c>
    </row>
    <row r="7147" spans="1:8" x14ac:dyDescent="0.25">
      <c r="A7147" t="s">
        <v>273</v>
      </c>
      <c r="B7147" t="s">
        <v>6273</v>
      </c>
      <c r="C7147" t="s">
        <v>88</v>
      </c>
      <c r="D7147" t="s">
        <v>88</v>
      </c>
      <c r="E7147" t="s">
        <v>791</v>
      </c>
      <c r="F7147" t="s">
        <v>88</v>
      </c>
      <c r="G7147" t="s">
        <v>88</v>
      </c>
      <c r="H7147" t="s">
        <v>92</v>
      </c>
    </row>
    <row r="7148" spans="1:8" x14ac:dyDescent="0.25">
      <c r="A7148" t="s">
        <v>273</v>
      </c>
      <c r="B7148" t="s">
        <v>6275</v>
      </c>
      <c r="C7148" t="s">
        <v>88</v>
      </c>
      <c r="D7148" t="s">
        <v>6276</v>
      </c>
      <c r="E7148" t="s">
        <v>717</v>
      </c>
      <c r="F7148" t="s">
        <v>88</v>
      </c>
      <c r="G7148" t="s">
        <v>88</v>
      </c>
      <c r="H7148" t="s">
        <v>92</v>
      </c>
    </row>
    <row r="7149" spans="1:8" x14ac:dyDescent="0.25">
      <c r="A7149" t="s">
        <v>273</v>
      </c>
      <c r="B7149" t="s">
        <v>6277</v>
      </c>
      <c r="C7149" t="s">
        <v>88</v>
      </c>
      <c r="D7149" t="s">
        <v>6278</v>
      </c>
      <c r="E7149" t="s">
        <v>1189</v>
      </c>
      <c r="F7149" t="s">
        <v>88</v>
      </c>
      <c r="G7149" t="s">
        <v>88</v>
      </c>
      <c r="H7149" t="s">
        <v>92</v>
      </c>
    </row>
    <row r="7150" spans="1:8" x14ac:dyDescent="0.25">
      <c r="A7150" t="s">
        <v>273</v>
      </c>
      <c r="B7150" t="s">
        <v>6279</v>
      </c>
      <c r="C7150" t="s">
        <v>88</v>
      </c>
      <c r="D7150" t="s">
        <v>6280</v>
      </c>
      <c r="E7150" t="s">
        <v>780</v>
      </c>
      <c r="F7150" t="s">
        <v>88</v>
      </c>
      <c r="G7150" t="s">
        <v>88</v>
      </c>
      <c r="H7150" t="s">
        <v>92</v>
      </c>
    </row>
    <row r="7151" spans="1:8" x14ac:dyDescent="0.25">
      <c r="A7151" t="s">
        <v>273</v>
      </c>
      <c r="B7151" t="s">
        <v>6281</v>
      </c>
      <c r="C7151" t="s">
        <v>88</v>
      </c>
      <c r="D7151" t="s">
        <v>6282</v>
      </c>
      <c r="E7151" t="s">
        <v>2193</v>
      </c>
      <c r="F7151" t="s">
        <v>88</v>
      </c>
      <c r="G7151" t="s">
        <v>88</v>
      </c>
      <c r="H7151" t="s">
        <v>92</v>
      </c>
    </row>
    <row r="7152" spans="1:8" x14ac:dyDescent="0.25">
      <c r="A7152" t="s">
        <v>273</v>
      </c>
      <c r="B7152" t="s">
        <v>6283</v>
      </c>
      <c r="C7152" t="s">
        <v>88</v>
      </c>
      <c r="D7152" t="s">
        <v>6284</v>
      </c>
      <c r="E7152" t="s">
        <v>663</v>
      </c>
      <c r="F7152" t="s">
        <v>88</v>
      </c>
      <c r="G7152" t="s">
        <v>88</v>
      </c>
      <c r="H7152" t="s">
        <v>92</v>
      </c>
    </row>
    <row r="7153" spans="1:8" x14ac:dyDescent="0.25">
      <c r="A7153" t="s">
        <v>273</v>
      </c>
      <c r="B7153" t="s">
        <v>6285</v>
      </c>
      <c r="C7153" t="s">
        <v>88</v>
      </c>
      <c r="D7153" t="s">
        <v>6286</v>
      </c>
      <c r="E7153" t="s">
        <v>658</v>
      </c>
      <c r="F7153" t="s">
        <v>88</v>
      </c>
      <c r="G7153" t="s">
        <v>88</v>
      </c>
      <c r="H7153" t="s">
        <v>92</v>
      </c>
    </row>
    <row r="7154" spans="1:8" x14ac:dyDescent="0.25">
      <c r="A7154" t="s">
        <v>273</v>
      </c>
      <c r="B7154" t="s">
        <v>6287</v>
      </c>
      <c r="C7154" t="s">
        <v>88</v>
      </c>
      <c r="D7154" t="s">
        <v>6288</v>
      </c>
      <c r="E7154" t="s">
        <v>2989</v>
      </c>
      <c r="F7154" t="s">
        <v>88</v>
      </c>
      <c r="G7154" t="s">
        <v>88</v>
      </c>
      <c r="H7154" t="s">
        <v>92</v>
      </c>
    </row>
    <row r="7155" spans="1:8" x14ac:dyDescent="0.25">
      <c r="A7155" t="s">
        <v>273</v>
      </c>
      <c r="B7155" t="s">
        <v>6289</v>
      </c>
      <c r="C7155" t="s">
        <v>88</v>
      </c>
      <c r="D7155" t="s">
        <v>6290</v>
      </c>
      <c r="E7155" t="s">
        <v>841</v>
      </c>
      <c r="F7155" t="s">
        <v>88</v>
      </c>
      <c r="G7155" t="s">
        <v>88</v>
      </c>
      <c r="H7155" t="s">
        <v>92</v>
      </c>
    </row>
    <row r="7156" spans="1:8" x14ac:dyDescent="0.25">
      <c r="A7156" t="s">
        <v>273</v>
      </c>
      <c r="B7156" t="s">
        <v>6291</v>
      </c>
      <c r="C7156" t="s">
        <v>88</v>
      </c>
      <c r="D7156" t="s">
        <v>6292</v>
      </c>
      <c r="E7156" t="s">
        <v>2800</v>
      </c>
      <c r="F7156" t="s">
        <v>88</v>
      </c>
      <c r="G7156" t="s">
        <v>88</v>
      </c>
      <c r="H7156" t="s">
        <v>92</v>
      </c>
    </row>
    <row r="7157" spans="1:8" x14ac:dyDescent="0.25">
      <c r="A7157" t="s">
        <v>273</v>
      </c>
      <c r="B7157" t="s">
        <v>6293</v>
      </c>
      <c r="C7157" t="s">
        <v>88</v>
      </c>
      <c r="D7157" t="s">
        <v>6294</v>
      </c>
      <c r="E7157" t="s">
        <v>1189</v>
      </c>
      <c r="F7157" t="s">
        <v>88</v>
      </c>
      <c r="G7157" t="s">
        <v>88</v>
      </c>
      <c r="H7157" t="s">
        <v>92</v>
      </c>
    </row>
    <row r="7158" spans="1:8" x14ac:dyDescent="0.25">
      <c r="A7158" t="s">
        <v>273</v>
      </c>
      <c r="B7158" t="s">
        <v>6299</v>
      </c>
      <c r="C7158" t="s">
        <v>88</v>
      </c>
      <c r="D7158" t="s">
        <v>6300</v>
      </c>
      <c r="E7158" t="s">
        <v>748</v>
      </c>
      <c r="F7158" t="s">
        <v>88</v>
      </c>
      <c r="G7158" t="s">
        <v>88</v>
      </c>
      <c r="H7158" t="s">
        <v>92</v>
      </c>
    </row>
    <row r="7159" spans="1:8" x14ac:dyDescent="0.25">
      <c r="A7159" t="s">
        <v>273</v>
      </c>
      <c r="B7159" t="s">
        <v>6303</v>
      </c>
      <c r="C7159" t="s">
        <v>88</v>
      </c>
      <c r="D7159" t="s">
        <v>6304</v>
      </c>
      <c r="E7159" t="s">
        <v>663</v>
      </c>
      <c r="F7159" t="s">
        <v>88</v>
      </c>
      <c r="G7159" t="s">
        <v>88</v>
      </c>
      <c r="H7159" t="s">
        <v>92</v>
      </c>
    </row>
    <row r="7160" spans="1:8" x14ac:dyDescent="0.25">
      <c r="A7160" t="s">
        <v>273</v>
      </c>
      <c r="B7160" t="s">
        <v>6305</v>
      </c>
      <c r="C7160" t="s">
        <v>88</v>
      </c>
      <c r="D7160" t="s">
        <v>6306</v>
      </c>
      <c r="E7160" t="s">
        <v>2513</v>
      </c>
      <c r="F7160" t="s">
        <v>88</v>
      </c>
      <c r="G7160" t="s">
        <v>88</v>
      </c>
      <c r="H7160" t="s">
        <v>92</v>
      </c>
    </row>
    <row r="7161" spans="1:8" x14ac:dyDescent="0.25">
      <c r="A7161" t="s">
        <v>273</v>
      </c>
      <c r="B7161" t="s">
        <v>6307</v>
      </c>
      <c r="C7161" t="s">
        <v>88</v>
      </c>
      <c r="D7161" t="s">
        <v>6308</v>
      </c>
      <c r="E7161" t="s">
        <v>2166</v>
      </c>
      <c r="F7161" t="s">
        <v>88</v>
      </c>
      <c r="G7161" t="s">
        <v>88</v>
      </c>
      <c r="H7161" t="s">
        <v>92</v>
      </c>
    </row>
    <row r="7162" spans="1:8" x14ac:dyDescent="0.25">
      <c r="A7162" t="s">
        <v>273</v>
      </c>
      <c r="B7162" t="s">
        <v>6313</v>
      </c>
      <c r="C7162" t="s">
        <v>88</v>
      </c>
      <c r="D7162" t="s">
        <v>6314</v>
      </c>
      <c r="E7162" t="s">
        <v>836</v>
      </c>
      <c r="F7162" t="s">
        <v>88</v>
      </c>
      <c r="G7162" t="s">
        <v>88</v>
      </c>
      <c r="H7162" t="s">
        <v>92</v>
      </c>
    </row>
    <row r="7163" spans="1:8" x14ac:dyDescent="0.25">
      <c r="A7163" t="s">
        <v>273</v>
      </c>
      <c r="B7163" t="s">
        <v>6315</v>
      </c>
      <c r="C7163" t="s">
        <v>88</v>
      </c>
      <c r="D7163" t="s">
        <v>6316</v>
      </c>
      <c r="E7163" t="s">
        <v>886</v>
      </c>
      <c r="F7163" t="s">
        <v>88</v>
      </c>
      <c r="G7163" t="s">
        <v>88</v>
      </c>
      <c r="H7163" t="s">
        <v>92</v>
      </c>
    </row>
    <row r="7164" spans="1:8" x14ac:dyDescent="0.25">
      <c r="A7164" t="s">
        <v>273</v>
      </c>
      <c r="B7164" t="s">
        <v>6319</v>
      </c>
      <c r="C7164" t="s">
        <v>88</v>
      </c>
      <c r="D7164" t="s">
        <v>6320</v>
      </c>
      <c r="E7164" t="s">
        <v>1839</v>
      </c>
      <c r="F7164" t="s">
        <v>88</v>
      </c>
      <c r="G7164" t="s">
        <v>88</v>
      </c>
      <c r="H7164" t="s">
        <v>92</v>
      </c>
    </row>
    <row r="7165" spans="1:8" x14ac:dyDescent="0.25">
      <c r="A7165" t="s">
        <v>273</v>
      </c>
      <c r="B7165" t="s">
        <v>6321</v>
      </c>
      <c r="C7165" t="s">
        <v>88</v>
      </c>
      <c r="D7165" t="s">
        <v>6322</v>
      </c>
      <c r="E7165" t="s">
        <v>717</v>
      </c>
      <c r="F7165" t="s">
        <v>88</v>
      </c>
      <c r="G7165" t="s">
        <v>88</v>
      </c>
      <c r="H7165" t="s">
        <v>92</v>
      </c>
    </row>
    <row r="7166" spans="1:8" x14ac:dyDescent="0.25">
      <c r="A7166" t="s">
        <v>273</v>
      </c>
      <c r="B7166" t="s">
        <v>6323</v>
      </c>
      <c r="C7166" t="s">
        <v>88</v>
      </c>
      <c r="D7166" t="s">
        <v>6324</v>
      </c>
      <c r="E7166" t="s">
        <v>6325</v>
      </c>
      <c r="F7166" t="s">
        <v>88</v>
      </c>
      <c r="G7166" t="s">
        <v>88</v>
      </c>
      <c r="H7166" t="s">
        <v>92</v>
      </c>
    </row>
    <row r="7167" spans="1:8" x14ac:dyDescent="0.25">
      <c r="A7167" t="s">
        <v>273</v>
      </c>
      <c r="B7167" t="s">
        <v>6326</v>
      </c>
      <c r="C7167" t="s">
        <v>88</v>
      </c>
      <c r="D7167" t="s">
        <v>6327</v>
      </c>
      <c r="E7167" t="s">
        <v>836</v>
      </c>
      <c r="F7167" t="s">
        <v>88</v>
      </c>
      <c r="G7167" t="s">
        <v>88</v>
      </c>
      <c r="H7167" t="s">
        <v>92</v>
      </c>
    </row>
    <row r="7168" spans="1:8" x14ac:dyDescent="0.25">
      <c r="A7168" t="s">
        <v>273</v>
      </c>
      <c r="B7168" t="s">
        <v>6328</v>
      </c>
      <c r="C7168" t="s">
        <v>88</v>
      </c>
      <c r="D7168" t="s">
        <v>6329</v>
      </c>
      <c r="E7168" t="s">
        <v>1255</v>
      </c>
      <c r="F7168" t="s">
        <v>88</v>
      </c>
      <c r="G7168" t="s">
        <v>88</v>
      </c>
      <c r="H7168" t="s">
        <v>92</v>
      </c>
    </row>
    <row r="7169" spans="1:8" x14ac:dyDescent="0.25">
      <c r="A7169" t="s">
        <v>273</v>
      </c>
      <c r="B7169" t="s">
        <v>6330</v>
      </c>
      <c r="C7169" t="s">
        <v>88</v>
      </c>
      <c r="D7169" t="s">
        <v>6331</v>
      </c>
      <c r="E7169" t="s">
        <v>2378</v>
      </c>
      <c r="F7169" t="s">
        <v>88</v>
      </c>
      <c r="G7169" t="s">
        <v>88</v>
      </c>
      <c r="H7169" t="s">
        <v>92</v>
      </c>
    </row>
    <row r="7170" spans="1:8" x14ac:dyDescent="0.25">
      <c r="A7170" t="s">
        <v>273</v>
      </c>
      <c r="B7170" t="s">
        <v>6332</v>
      </c>
      <c r="C7170" t="s">
        <v>88</v>
      </c>
      <c r="D7170" t="s">
        <v>6333</v>
      </c>
      <c r="E7170" t="s">
        <v>6334</v>
      </c>
      <c r="F7170" t="s">
        <v>88</v>
      </c>
      <c r="G7170" t="s">
        <v>88</v>
      </c>
      <c r="H7170" t="s">
        <v>92</v>
      </c>
    </row>
    <row r="7171" spans="1:8" x14ac:dyDescent="0.25">
      <c r="A7171" t="s">
        <v>273</v>
      </c>
      <c r="B7171" t="s">
        <v>6335</v>
      </c>
      <c r="C7171" t="s">
        <v>88</v>
      </c>
      <c r="D7171" t="s">
        <v>6336</v>
      </c>
      <c r="E7171" t="s">
        <v>673</v>
      </c>
      <c r="F7171" t="s">
        <v>88</v>
      </c>
      <c r="G7171" t="s">
        <v>88</v>
      </c>
      <c r="H7171" t="s">
        <v>92</v>
      </c>
    </row>
    <row r="7172" spans="1:8" x14ac:dyDescent="0.25">
      <c r="A7172" t="s">
        <v>273</v>
      </c>
      <c r="B7172" t="s">
        <v>6337</v>
      </c>
      <c r="C7172" t="s">
        <v>88</v>
      </c>
      <c r="D7172" t="s">
        <v>6338</v>
      </c>
      <c r="E7172" t="s">
        <v>1139</v>
      </c>
      <c r="F7172" t="s">
        <v>88</v>
      </c>
      <c r="G7172" t="s">
        <v>88</v>
      </c>
      <c r="H7172" t="s">
        <v>92</v>
      </c>
    </row>
    <row r="7173" spans="1:8" x14ac:dyDescent="0.25">
      <c r="A7173" t="s">
        <v>273</v>
      </c>
      <c r="B7173" t="s">
        <v>6339</v>
      </c>
      <c r="C7173" t="s">
        <v>88</v>
      </c>
      <c r="D7173" t="s">
        <v>6340</v>
      </c>
      <c r="E7173" t="s">
        <v>2833</v>
      </c>
      <c r="F7173" t="s">
        <v>88</v>
      </c>
      <c r="G7173" t="s">
        <v>88</v>
      </c>
      <c r="H7173" t="s">
        <v>92</v>
      </c>
    </row>
    <row r="7174" spans="1:8" x14ac:dyDescent="0.25">
      <c r="A7174" t="s">
        <v>273</v>
      </c>
      <c r="B7174" t="s">
        <v>6341</v>
      </c>
      <c r="C7174" t="s">
        <v>88</v>
      </c>
      <c r="D7174" t="s">
        <v>6342</v>
      </c>
      <c r="E7174" t="s">
        <v>721</v>
      </c>
      <c r="F7174" t="s">
        <v>88</v>
      </c>
      <c r="G7174" t="s">
        <v>88</v>
      </c>
      <c r="H7174" t="s">
        <v>92</v>
      </c>
    </row>
    <row r="7175" spans="1:8" x14ac:dyDescent="0.25">
      <c r="A7175" t="s">
        <v>273</v>
      </c>
      <c r="B7175" t="s">
        <v>6351</v>
      </c>
      <c r="C7175" t="s">
        <v>88</v>
      </c>
      <c r="D7175" t="s">
        <v>6352</v>
      </c>
      <c r="E7175" t="s">
        <v>6353</v>
      </c>
      <c r="F7175" t="s">
        <v>88</v>
      </c>
      <c r="G7175" t="s">
        <v>88</v>
      </c>
      <c r="H7175" t="s">
        <v>92</v>
      </c>
    </row>
    <row r="7176" spans="1:8" x14ac:dyDescent="0.25">
      <c r="A7176" t="s">
        <v>273</v>
      </c>
      <c r="B7176" t="s">
        <v>1019</v>
      </c>
      <c r="C7176" t="s">
        <v>88</v>
      </c>
      <c r="D7176" t="s">
        <v>6354</v>
      </c>
      <c r="E7176" t="s">
        <v>1221</v>
      </c>
      <c r="F7176" t="s">
        <v>88</v>
      </c>
      <c r="G7176" t="s">
        <v>88</v>
      </c>
      <c r="H7176" t="s">
        <v>92</v>
      </c>
    </row>
    <row r="7177" spans="1:8" x14ac:dyDescent="0.25">
      <c r="A7177" t="s">
        <v>273</v>
      </c>
      <c r="B7177" t="s">
        <v>832</v>
      </c>
      <c r="C7177" t="s">
        <v>88</v>
      </c>
      <c r="D7177" t="s">
        <v>6355</v>
      </c>
      <c r="E7177" t="s">
        <v>760</v>
      </c>
      <c r="F7177" t="s">
        <v>88</v>
      </c>
      <c r="G7177" t="s">
        <v>88</v>
      </c>
      <c r="H7177" t="s">
        <v>92</v>
      </c>
    </row>
    <row r="7178" spans="1:8" x14ac:dyDescent="0.25">
      <c r="A7178" t="s">
        <v>273</v>
      </c>
      <c r="B7178" t="s">
        <v>818</v>
      </c>
      <c r="C7178" t="s">
        <v>88</v>
      </c>
      <c r="D7178" t="s">
        <v>6352</v>
      </c>
      <c r="E7178" t="s">
        <v>6353</v>
      </c>
      <c r="F7178" t="s">
        <v>88</v>
      </c>
      <c r="G7178" t="s">
        <v>88</v>
      </c>
      <c r="H7178" t="s">
        <v>92</v>
      </c>
    </row>
    <row r="7179" spans="1:8" x14ac:dyDescent="0.25">
      <c r="A7179" t="s">
        <v>273</v>
      </c>
      <c r="B7179" t="s">
        <v>837</v>
      </c>
      <c r="C7179" t="s">
        <v>88</v>
      </c>
      <c r="D7179" t="s">
        <v>6356</v>
      </c>
      <c r="E7179" t="s">
        <v>3181</v>
      </c>
      <c r="F7179" t="s">
        <v>88</v>
      </c>
      <c r="G7179" t="s">
        <v>88</v>
      </c>
      <c r="H7179" t="s">
        <v>92</v>
      </c>
    </row>
    <row r="7180" spans="1:8" x14ac:dyDescent="0.25">
      <c r="A7180" t="s">
        <v>273</v>
      </c>
      <c r="B7180" t="s">
        <v>823</v>
      </c>
      <c r="C7180" t="s">
        <v>88</v>
      </c>
      <c r="D7180" t="s">
        <v>6357</v>
      </c>
      <c r="E7180" t="s">
        <v>6358</v>
      </c>
      <c r="F7180" t="s">
        <v>88</v>
      </c>
      <c r="G7180" t="s">
        <v>88</v>
      </c>
      <c r="H7180" t="s">
        <v>92</v>
      </c>
    </row>
    <row r="7181" spans="1:8" x14ac:dyDescent="0.25">
      <c r="A7181" t="s">
        <v>273</v>
      </c>
      <c r="B7181" t="s">
        <v>6366</v>
      </c>
      <c r="C7181" t="s">
        <v>88</v>
      </c>
      <c r="D7181" t="s">
        <v>6367</v>
      </c>
      <c r="E7181" t="s">
        <v>679</v>
      </c>
      <c r="F7181" t="s">
        <v>88</v>
      </c>
      <c r="G7181" t="s">
        <v>88</v>
      </c>
      <c r="H7181" t="s">
        <v>92</v>
      </c>
    </row>
    <row r="7182" spans="1:8" x14ac:dyDescent="0.25">
      <c r="A7182" t="s">
        <v>273</v>
      </c>
      <c r="B7182" t="s">
        <v>789</v>
      </c>
      <c r="C7182" t="s">
        <v>88</v>
      </c>
      <c r="D7182" t="s">
        <v>6359</v>
      </c>
      <c r="E7182" t="s">
        <v>1598</v>
      </c>
      <c r="F7182" t="s">
        <v>88</v>
      </c>
      <c r="G7182" t="s">
        <v>88</v>
      </c>
      <c r="H7182" t="s">
        <v>92</v>
      </c>
    </row>
    <row r="7183" spans="1:8" x14ac:dyDescent="0.25">
      <c r="A7183" t="s">
        <v>273</v>
      </c>
      <c r="B7183" t="s">
        <v>6362</v>
      </c>
      <c r="C7183" t="s">
        <v>88</v>
      </c>
      <c r="D7183" t="s">
        <v>6363</v>
      </c>
      <c r="E7183" t="s">
        <v>715</v>
      </c>
      <c r="F7183" t="s">
        <v>88</v>
      </c>
      <c r="G7183" t="s">
        <v>88</v>
      </c>
      <c r="H7183" t="s">
        <v>92</v>
      </c>
    </row>
    <row r="7184" spans="1:8" x14ac:dyDescent="0.25">
      <c r="A7184" t="s">
        <v>273</v>
      </c>
      <c r="B7184" t="s">
        <v>6364</v>
      </c>
      <c r="C7184" t="s">
        <v>88</v>
      </c>
      <c r="D7184" t="s">
        <v>6365</v>
      </c>
      <c r="E7184" t="s">
        <v>1971</v>
      </c>
      <c r="F7184" t="s">
        <v>88</v>
      </c>
      <c r="G7184" t="s">
        <v>88</v>
      </c>
      <c r="H7184" t="s">
        <v>92</v>
      </c>
    </row>
    <row r="7185" spans="1:8" x14ac:dyDescent="0.25">
      <c r="A7185" t="s">
        <v>273</v>
      </c>
      <c r="B7185" t="s">
        <v>6360</v>
      </c>
      <c r="C7185" t="s">
        <v>88</v>
      </c>
      <c r="D7185" t="s">
        <v>6361</v>
      </c>
      <c r="E7185" t="s">
        <v>723</v>
      </c>
      <c r="F7185" t="s">
        <v>88</v>
      </c>
      <c r="G7185" t="s">
        <v>88</v>
      </c>
      <c r="H7185" t="s">
        <v>92</v>
      </c>
    </row>
    <row r="7186" spans="1:8" x14ac:dyDescent="0.25">
      <c r="A7186" t="s">
        <v>273</v>
      </c>
      <c r="B7186" t="s">
        <v>6368</v>
      </c>
      <c r="C7186" t="s">
        <v>88</v>
      </c>
      <c r="D7186" t="s">
        <v>6369</v>
      </c>
      <c r="E7186" t="s">
        <v>723</v>
      </c>
      <c r="F7186" t="s">
        <v>88</v>
      </c>
      <c r="G7186" t="s">
        <v>88</v>
      </c>
      <c r="H7186" t="s">
        <v>92</v>
      </c>
    </row>
    <row r="7187" spans="1:8" x14ac:dyDescent="0.25">
      <c r="A7187" t="s">
        <v>273</v>
      </c>
      <c r="B7187" t="s">
        <v>6370</v>
      </c>
      <c r="C7187" t="s">
        <v>88</v>
      </c>
      <c r="D7187" t="s">
        <v>6371</v>
      </c>
      <c r="E7187" t="s">
        <v>2513</v>
      </c>
      <c r="F7187" t="s">
        <v>88</v>
      </c>
      <c r="G7187" t="s">
        <v>88</v>
      </c>
      <c r="H7187" t="s">
        <v>92</v>
      </c>
    </row>
    <row r="7188" spans="1:8" x14ac:dyDescent="0.25">
      <c r="A7188" t="s">
        <v>273</v>
      </c>
      <c r="B7188" t="s">
        <v>854</v>
      </c>
      <c r="C7188" t="s">
        <v>88</v>
      </c>
      <c r="D7188" t="s">
        <v>6372</v>
      </c>
      <c r="E7188" t="s">
        <v>2513</v>
      </c>
      <c r="F7188" t="s">
        <v>88</v>
      </c>
      <c r="G7188" t="s">
        <v>88</v>
      </c>
      <c r="H7188" t="s">
        <v>92</v>
      </c>
    </row>
    <row r="7189" spans="1:8" x14ac:dyDescent="0.25">
      <c r="A7189" t="s">
        <v>273</v>
      </c>
      <c r="B7189" t="s">
        <v>6374</v>
      </c>
      <c r="C7189" t="s">
        <v>88</v>
      </c>
      <c r="D7189" t="s">
        <v>6375</v>
      </c>
      <c r="E7189" t="s">
        <v>1377</v>
      </c>
      <c r="F7189" t="s">
        <v>88</v>
      </c>
      <c r="G7189" t="s">
        <v>88</v>
      </c>
      <c r="H7189" t="s">
        <v>92</v>
      </c>
    </row>
    <row r="7190" spans="1:8" x14ac:dyDescent="0.25">
      <c r="A7190" t="s">
        <v>273</v>
      </c>
      <c r="B7190" t="s">
        <v>6378</v>
      </c>
      <c r="C7190" t="s">
        <v>88</v>
      </c>
      <c r="D7190" t="s">
        <v>88</v>
      </c>
      <c r="E7190" t="s">
        <v>2360</v>
      </c>
      <c r="F7190" t="s">
        <v>88</v>
      </c>
      <c r="G7190" t="s">
        <v>88</v>
      </c>
      <c r="H7190" t="s">
        <v>92</v>
      </c>
    </row>
    <row r="7191" spans="1:8" x14ac:dyDescent="0.25">
      <c r="A7191" t="s">
        <v>273</v>
      </c>
      <c r="B7191" t="s">
        <v>6376</v>
      </c>
      <c r="C7191" t="s">
        <v>88</v>
      </c>
      <c r="D7191" t="s">
        <v>88</v>
      </c>
      <c r="E7191" t="s">
        <v>6377</v>
      </c>
      <c r="F7191" t="s">
        <v>88</v>
      </c>
      <c r="G7191" t="s">
        <v>88</v>
      </c>
      <c r="H7191" t="s">
        <v>92</v>
      </c>
    </row>
    <row r="7192" spans="1:8" x14ac:dyDescent="0.25">
      <c r="A7192" t="s">
        <v>273</v>
      </c>
      <c r="B7192" t="s">
        <v>6387</v>
      </c>
      <c r="C7192" t="s">
        <v>88</v>
      </c>
      <c r="D7192" t="s">
        <v>88</v>
      </c>
      <c r="E7192" t="s">
        <v>2360</v>
      </c>
      <c r="F7192" t="s">
        <v>88</v>
      </c>
      <c r="G7192" t="s">
        <v>88</v>
      </c>
      <c r="H7192" t="s">
        <v>92</v>
      </c>
    </row>
    <row r="7193" spans="1:8" x14ac:dyDescent="0.25">
      <c r="A7193" t="s">
        <v>273</v>
      </c>
      <c r="B7193" t="s">
        <v>6394</v>
      </c>
      <c r="C7193" t="s">
        <v>88</v>
      </c>
      <c r="D7193" t="s">
        <v>88</v>
      </c>
      <c r="E7193" t="s">
        <v>1596</v>
      </c>
      <c r="F7193" t="s">
        <v>88</v>
      </c>
      <c r="G7193" t="s">
        <v>88</v>
      </c>
      <c r="H7193" t="s">
        <v>92</v>
      </c>
    </row>
    <row r="7194" spans="1:8" x14ac:dyDescent="0.25">
      <c r="A7194" t="s">
        <v>273</v>
      </c>
      <c r="B7194" t="s">
        <v>6409</v>
      </c>
      <c r="C7194" t="s">
        <v>88</v>
      </c>
      <c r="D7194" t="s">
        <v>88</v>
      </c>
      <c r="E7194" t="s">
        <v>738</v>
      </c>
      <c r="F7194" t="s">
        <v>88</v>
      </c>
      <c r="G7194" t="s">
        <v>88</v>
      </c>
      <c r="H7194" t="s">
        <v>92</v>
      </c>
    </row>
    <row r="7195" spans="1:8" x14ac:dyDescent="0.25">
      <c r="A7195" t="s">
        <v>273</v>
      </c>
      <c r="B7195" t="s">
        <v>6410</v>
      </c>
      <c r="C7195" t="s">
        <v>88</v>
      </c>
      <c r="D7195" t="s">
        <v>88</v>
      </c>
      <c r="E7195" t="s">
        <v>959</v>
      </c>
      <c r="F7195" t="s">
        <v>88</v>
      </c>
      <c r="G7195" t="s">
        <v>88</v>
      </c>
      <c r="H7195" t="s">
        <v>92</v>
      </c>
    </row>
    <row r="7196" spans="1:8" x14ac:dyDescent="0.25">
      <c r="A7196" t="s">
        <v>273</v>
      </c>
      <c r="B7196" t="s">
        <v>6434</v>
      </c>
      <c r="C7196" t="s">
        <v>88</v>
      </c>
      <c r="D7196" t="s">
        <v>88</v>
      </c>
      <c r="E7196" t="s">
        <v>735</v>
      </c>
      <c r="F7196" t="s">
        <v>88</v>
      </c>
      <c r="G7196" t="s">
        <v>88</v>
      </c>
      <c r="H7196" t="s">
        <v>92</v>
      </c>
    </row>
    <row r="7197" spans="1:8" x14ac:dyDescent="0.25">
      <c r="A7197" t="s">
        <v>273</v>
      </c>
      <c r="B7197" t="s">
        <v>6435</v>
      </c>
      <c r="C7197" t="s">
        <v>88</v>
      </c>
      <c r="D7197" t="s">
        <v>88</v>
      </c>
      <c r="E7197" t="s">
        <v>735</v>
      </c>
      <c r="F7197" t="s">
        <v>88</v>
      </c>
      <c r="G7197" t="s">
        <v>88</v>
      </c>
      <c r="H7197" t="s">
        <v>92</v>
      </c>
    </row>
    <row r="7198" spans="1:8" x14ac:dyDescent="0.25">
      <c r="A7198" t="s">
        <v>273</v>
      </c>
      <c r="B7198" t="s">
        <v>6436</v>
      </c>
      <c r="C7198" t="s">
        <v>88</v>
      </c>
      <c r="D7198" t="s">
        <v>88</v>
      </c>
      <c r="E7198" t="s">
        <v>849</v>
      </c>
      <c r="F7198" t="s">
        <v>88</v>
      </c>
      <c r="G7198" t="s">
        <v>88</v>
      </c>
      <c r="H7198" t="s">
        <v>92</v>
      </c>
    </row>
    <row r="7199" spans="1:8" x14ac:dyDescent="0.25">
      <c r="A7199" t="s">
        <v>273</v>
      </c>
      <c r="B7199" t="s">
        <v>6437</v>
      </c>
      <c r="C7199" t="s">
        <v>88</v>
      </c>
      <c r="D7199" t="s">
        <v>88</v>
      </c>
      <c r="E7199" t="s">
        <v>849</v>
      </c>
      <c r="F7199" t="s">
        <v>88</v>
      </c>
      <c r="G7199" t="s">
        <v>88</v>
      </c>
      <c r="H7199" t="s">
        <v>92</v>
      </c>
    </row>
    <row r="7200" spans="1:8" x14ac:dyDescent="0.25">
      <c r="A7200" t="s">
        <v>273</v>
      </c>
      <c r="B7200" t="s">
        <v>6438</v>
      </c>
      <c r="C7200" t="s">
        <v>88</v>
      </c>
      <c r="D7200" t="s">
        <v>88</v>
      </c>
      <c r="E7200" t="s">
        <v>849</v>
      </c>
      <c r="F7200" t="s">
        <v>88</v>
      </c>
      <c r="G7200" t="s">
        <v>88</v>
      </c>
      <c r="H7200" t="s">
        <v>92</v>
      </c>
    </row>
    <row r="7201" spans="1:8" x14ac:dyDescent="0.25">
      <c r="A7201" t="s">
        <v>273</v>
      </c>
      <c r="B7201" t="s">
        <v>845</v>
      </c>
      <c r="C7201" t="s">
        <v>88</v>
      </c>
      <c r="D7201" t="s">
        <v>88</v>
      </c>
      <c r="E7201" t="s">
        <v>735</v>
      </c>
      <c r="F7201" t="s">
        <v>88</v>
      </c>
      <c r="G7201" t="s">
        <v>88</v>
      </c>
      <c r="H7201" t="s">
        <v>92</v>
      </c>
    </row>
    <row r="7202" spans="1:8" x14ac:dyDescent="0.25">
      <c r="A7202" t="s">
        <v>273</v>
      </c>
      <c r="B7202" t="s">
        <v>6440</v>
      </c>
      <c r="C7202" t="s">
        <v>88</v>
      </c>
      <c r="D7202" t="s">
        <v>88</v>
      </c>
      <c r="E7202" t="s">
        <v>735</v>
      </c>
      <c r="F7202" t="s">
        <v>88</v>
      </c>
      <c r="G7202" t="s">
        <v>88</v>
      </c>
      <c r="H7202" t="s">
        <v>92</v>
      </c>
    </row>
    <row r="7203" spans="1:8" x14ac:dyDescent="0.25">
      <c r="A7203" t="s">
        <v>273</v>
      </c>
      <c r="B7203" t="s">
        <v>6441</v>
      </c>
      <c r="C7203" t="s">
        <v>88</v>
      </c>
      <c r="D7203" t="s">
        <v>88</v>
      </c>
      <c r="E7203" t="s">
        <v>1594</v>
      </c>
      <c r="F7203" t="s">
        <v>88</v>
      </c>
      <c r="G7203" t="s">
        <v>88</v>
      </c>
      <c r="H7203" t="s">
        <v>92</v>
      </c>
    </row>
    <row r="7204" spans="1:8" x14ac:dyDescent="0.25">
      <c r="A7204" t="s">
        <v>273</v>
      </c>
      <c r="B7204" t="s">
        <v>6442</v>
      </c>
      <c r="C7204" t="s">
        <v>88</v>
      </c>
      <c r="D7204" t="s">
        <v>88</v>
      </c>
      <c r="E7204" t="s">
        <v>709</v>
      </c>
      <c r="F7204" t="s">
        <v>88</v>
      </c>
      <c r="G7204" t="s">
        <v>88</v>
      </c>
      <c r="H7204" t="s">
        <v>92</v>
      </c>
    </row>
    <row r="7205" spans="1:8" x14ac:dyDescent="0.25">
      <c r="A7205" t="s">
        <v>273</v>
      </c>
      <c r="B7205" t="s">
        <v>6443</v>
      </c>
      <c r="C7205" t="s">
        <v>88</v>
      </c>
      <c r="D7205" t="s">
        <v>88</v>
      </c>
      <c r="E7205" t="s">
        <v>713</v>
      </c>
      <c r="F7205" t="s">
        <v>88</v>
      </c>
      <c r="G7205" t="s">
        <v>88</v>
      </c>
      <c r="H7205" t="s">
        <v>92</v>
      </c>
    </row>
    <row r="7206" spans="1:8" x14ac:dyDescent="0.25">
      <c r="A7206" t="s">
        <v>273</v>
      </c>
      <c r="B7206" t="s">
        <v>6467</v>
      </c>
      <c r="C7206" t="s">
        <v>88</v>
      </c>
      <c r="D7206" t="s">
        <v>88</v>
      </c>
      <c r="E7206" t="s">
        <v>1598</v>
      </c>
      <c r="F7206" t="s">
        <v>88</v>
      </c>
      <c r="G7206" t="s">
        <v>88</v>
      </c>
      <c r="H7206" t="s">
        <v>92</v>
      </c>
    </row>
    <row r="7207" spans="1:8" x14ac:dyDescent="0.25">
      <c r="A7207" t="s">
        <v>273</v>
      </c>
      <c r="B7207" t="s">
        <v>6468</v>
      </c>
      <c r="C7207" t="s">
        <v>88</v>
      </c>
      <c r="D7207" t="s">
        <v>88</v>
      </c>
      <c r="E7207" t="s">
        <v>1598</v>
      </c>
      <c r="F7207" t="s">
        <v>88</v>
      </c>
      <c r="G7207" t="s">
        <v>88</v>
      </c>
      <c r="H7207" t="s">
        <v>92</v>
      </c>
    </row>
    <row r="7208" spans="1:8" x14ac:dyDescent="0.25">
      <c r="A7208" t="s">
        <v>273</v>
      </c>
      <c r="B7208" t="s">
        <v>1082</v>
      </c>
      <c r="C7208" t="s">
        <v>88</v>
      </c>
      <c r="D7208" t="s">
        <v>88</v>
      </c>
      <c r="E7208" t="s">
        <v>1598</v>
      </c>
      <c r="F7208" t="s">
        <v>88</v>
      </c>
      <c r="G7208" t="s">
        <v>88</v>
      </c>
      <c r="H7208" t="s">
        <v>92</v>
      </c>
    </row>
    <row r="7209" spans="1:8" x14ac:dyDescent="0.25">
      <c r="A7209" t="s">
        <v>273</v>
      </c>
      <c r="B7209" t="s">
        <v>2241</v>
      </c>
      <c r="C7209" t="s">
        <v>88</v>
      </c>
      <c r="D7209" t="s">
        <v>88</v>
      </c>
      <c r="E7209" t="s">
        <v>1598</v>
      </c>
      <c r="F7209" t="s">
        <v>88</v>
      </c>
      <c r="G7209" t="s">
        <v>88</v>
      </c>
      <c r="H7209" t="s">
        <v>92</v>
      </c>
    </row>
    <row r="7210" spans="1:8" x14ac:dyDescent="0.25">
      <c r="A7210" t="s">
        <v>273</v>
      </c>
      <c r="B7210" t="s">
        <v>6475</v>
      </c>
      <c r="C7210" t="s">
        <v>88</v>
      </c>
      <c r="D7210" t="s">
        <v>88</v>
      </c>
      <c r="E7210" t="s">
        <v>702</v>
      </c>
      <c r="F7210" t="s">
        <v>88</v>
      </c>
      <c r="G7210" t="s">
        <v>88</v>
      </c>
      <c r="H7210" t="s">
        <v>92</v>
      </c>
    </row>
    <row r="7211" spans="1:8" x14ac:dyDescent="0.25">
      <c r="A7211" t="s">
        <v>273</v>
      </c>
      <c r="B7211" t="s">
        <v>3183</v>
      </c>
      <c r="C7211" t="s">
        <v>88</v>
      </c>
      <c r="D7211" t="s">
        <v>88</v>
      </c>
      <c r="E7211" t="s">
        <v>844</v>
      </c>
      <c r="F7211" t="s">
        <v>88</v>
      </c>
      <c r="G7211" t="s">
        <v>88</v>
      </c>
      <c r="H7211" t="s">
        <v>92</v>
      </c>
    </row>
    <row r="7212" spans="1:8" x14ac:dyDescent="0.25">
      <c r="A7212" t="s">
        <v>273</v>
      </c>
      <c r="B7212" t="s">
        <v>1146</v>
      </c>
      <c r="C7212" t="s">
        <v>88</v>
      </c>
      <c r="D7212" t="s">
        <v>88</v>
      </c>
      <c r="E7212" t="s">
        <v>1598</v>
      </c>
      <c r="F7212" t="s">
        <v>88</v>
      </c>
      <c r="G7212" t="s">
        <v>88</v>
      </c>
      <c r="H7212" t="s">
        <v>92</v>
      </c>
    </row>
    <row r="7213" spans="1:8" x14ac:dyDescent="0.25">
      <c r="A7213" t="s">
        <v>273</v>
      </c>
      <c r="B7213" t="s">
        <v>6489</v>
      </c>
      <c r="C7213" t="s">
        <v>88</v>
      </c>
      <c r="D7213" t="s">
        <v>88</v>
      </c>
      <c r="E7213" t="s">
        <v>734</v>
      </c>
      <c r="F7213" t="s">
        <v>88</v>
      </c>
      <c r="G7213" t="s">
        <v>88</v>
      </c>
      <c r="H7213" t="s">
        <v>92</v>
      </c>
    </row>
    <row r="7214" spans="1:8" x14ac:dyDescent="0.25">
      <c r="A7214" t="s">
        <v>273</v>
      </c>
      <c r="B7214" t="s">
        <v>6505</v>
      </c>
      <c r="C7214" t="s">
        <v>88</v>
      </c>
      <c r="D7214" t="s">
        <v>88</v>
      </c>
      <c r="E7214" t="s">
        <v>734</v>
      </c>
      <c r="F7214" t="s">
        <v>88</v>
      </c>
      <c r="G7214" t="s">
        <v>88</v>
      </c>
      <c r="H7214" t="s">
        <v>92</v>
      </c>
    </row>
    <row r="7215" spans="1:8" x14ac:dyDescent="0.25">
      <c r="A7215" t="s">
        <v>273</v>
      </c>
      <c r="B7215" t="s">
        <v>701</v>
      </c>
      <c r="C7215" t="s">
        <v>88</v>
      </c>
      <c r="D7215" t="s">
        <v>88</v>
      </c>
      <c r="E7215" t="s">
        <v>957</v>
      </c>
      <c r="F7215" t="s">
        <v>88</v>
      </c>
      <c r="G7215" t="s">
        <v>88</v>
      </c>
      <c r="H7215" t="s">
        <v>92</v>
      </c>
    </row>
    <row r="7216" spans="1:8" x14ac:dyDescent="0.25">
      <c r="A7216" t="s">
        <v>273</v>
      </c>
      <c r="B7216" t="s">
        <v>703</v>
      </c>
      <c r="C7216" t="s">
        <v>88</v>
      </c>
      <c r="D7216" t="s">
        <v>88</v>
      </c>
      <c r="E7216" t="s">
        <v>957</v>
      </c>
      <c r="F7216" t="s">
        <v>88</v>
      </c>
      <c r="G7216" t="s">
        <v>88</v>
      </c>
      <c r="H7216" t="s">
        <v>92</v>
      </c>
    </row>
    <row r="7217" spans="1:8" x14ac:dyDescent="0.25">
      <c r="A7217" t="s">
        <v>273</v>
      </c>
      <c r="B7217" t="s">
        <v>704</v>
      </c>
      <c r="C7217" t="s">
        <v>88</v>
      </c>
      <c r="D7217" t="s">
        <v>88</v>
      </c>
      <c r="E7217" t="s">
        <v>957</v>
      </c>
      <c r="F7217" t="s">
        <v>88</v>
      </c>
      <c r="G7217" t="s">
        <v>88</v>
      </c>
      <c r="H7217" t="s">
        <v>92</v>
      </c>
    </row>
    <row r="7218" spans="1:8" x14ac:dyDescent="0.25">
      <c r="A7218" t="s">
        <v>273</v>
      </c>
      <c r="B7218" t="s">
        <v>705</v>
      </c>
      <c r="C7218" t="s">
        <v>88</v>
      </c>
      <c r="D7218" t="s">
        <v>88</v>
      </c>
      <c r="E7218" t="s">
        <v>957</v>
      </c>
      <c r="F7218" t="s">
        <v>88</v>
      </c>
      <c r="G7218" t="s">
        <v>88</v>
      </c>
      <c r="H7218" t="s">
        <v>92</v>
      </c>
    </row>
    <row r="7219" spans="1:8" x14ac:dyDescent="0.25">
      <c r="A7219" t="s">
        <v>273</v>
      </c>
      <c r="B7219" t="s">
        <v>706</v>
      </c>
      <c r="C7219" t="s">
        <v>88</v>
      </c>
      <c r="D7219" t="s">
        <v>88</v>
      </c>
      <c r="E7219" t="s">
        <v>957</v>
      </c>
      <c r="F7219" t="s">
        <v>88</v>
      </c>
      <c r="G7219" t="s">
        <v>88</v>
      </c>
      <c r="H7219" t="s">
        <v>92</v>
      </c>
    </row>
    <row r="7220" spans="1:8" x14ac:dyDescent="0.25">
      <c r="A7220" t="s">
        <v>273</v>
      </c>
      <c r="B7220" t="s">
        <v>708</v>
      </c>
      <c r="C7220" t="s">
        <v>88</v>
      </c>
      <c r="D7220" t="s">
        <v>88</v>
      </c>
      <c r="E7220" t="s">
        <v>957</v>
      </c>
      <c r="F7220" t="s">
        <v>88</v>
      </c>
      <c r="G7220" t="s">
        <v>88</v>
      </c>
      <c r="H7220" t="s">
        <v>92</v>
      </c>
    </row>
    <row r="7221" spans="1:8" x14ac:dyDescent="0.25">
      <c r="A7221" t="s">
        <v>273</v>
      </c>
      <c r="B7221" t="s">
        <v>707</v>
      </c>
      <c r="C7221" t="s">
        <v>88</v>
      </c>
      <c r="D7221" t="s">
        <v>88</v>
      </c>
      <c r="E7221" t="s">
        <v>957</v>
      </c>
      <c r="F7221" t="s">
        <v>88</v>
      </c>
      <c r="G7221" t="s">
        <v>88</v>
      </c>
      <c r="H7221" t="s">
        <v>92</v>
      </c>
    </row>
    <row r="7222" spans="1:8" x14ac:dyDescent="0.25">
      <c r="A7222" t="s">
        <v>273</v>
      </c>
      <c r="B7222" t="s">
        <v>6509</v>
      </c>
      <c r="C7222" t="s">
        <v>88</v>
      </c>
      <c r="D7222" t="s">
        <v>88</v>
      </c>
      <c r="E7222" t="s">
        <v>710</v>
      </c>
      <c r="F7222" t="s">
        <v>88</v>
      </c>
      <c r="G7222" t="s">
        <v>88</v>
      </c>
      <c r="H7222" t="s">
        <v>92</v>
      </c>
    </row>
    <row r="7223" spans="1:8" x14ac:dyDescent="0.25">
      <c r="A7223" t="s">
        <v>273</v>
      </c>
      <c r="B7223" t="s">
        <v>6510</v>
      </c>
      <c r="C7223" t="s">
        <v>88</v>
      </c>
      <c r="D7223" t="s">
        <v>88</v>
      </c>
      <c r="E7223" t="s">
        <v>710</v>
      </c>
      <c r="F7223" t="s">
        <v>88</v>
      </c>
      <c r="G7223" t="s">
        <v>88</v>
      </c>
      <c r="H7223" t="s">
        <v>92</v>
      </c>
    </row>
    <row r="7224" spans="1:8" x14ac:dyDescent="0.25">
      <c r="A7224" t="s">
        <v>273</v>
      </c>
      <c r="B7224" t="s">
        <v>6511</v>
      </c>
      <c r="C7224" t="s">
        <v>88</v>
      </c>
      <c r="D7224" t="s">
        <v>88</v>
      </c>
      <c r="E7224" t="s">
        <v>710</v>
      </c>
      <c r="F7224" t="s">
        <v>88</v>
      </c>
      <c r="G7224" t="s">
        <v>88</v>
      </c>
      <c r="H7224" t="s">
        <v>92</v>
      </c>
    </row>
    <row r="7225" spans="1:8" x14ac:dyDescent="0.25">
      <c r="A7225" t="s">
        <v>273</v>
      </c>
      <c r="B7225" t="s">
        <v>6512</v>
      </c>
      <c r="C7225" t="s">
        <v>88</v>
      </c>
      <c r="D7225" t="s">
        <v>88</v>
      </c>
      <c r="E7225" t="s">
        <v>710</v>
      </c>
      <c r="F7225" t="s">
        <v>88</v>
      </c>
      <c r="G7225" t="s">
        <v>88</v>
      </c>
      <c r="H7225" t="s">
        <v>92</v>
      </c>
    </row>
    <row r="7226" spans="1:8" x14ac:dyDescent="0.25">
      <c r="A7226" t="s">
        <v>273</v>
      </c>
      <c r="B7226" t="s">
        <v>6513</v>
      </c>
      <c r="C7226" t="s">
        <v>88</v>
      </c>
      <c r="D7226" t="s">
        <v>88</v>
      </c>
      <c r="E7226" t="s">
        <v>710</v>
      </c>
      <c r="F7226" t="s">
        <v>88</v>
      </c>
      <c r="G7226" t="s">
        <v>88</v>
      </c>
      <c r="H7226" t="s">
        <v>92</v>
      </c>
    </row>
    <row r="7227" spans="1:8" x14ac:dyDescent="0.25">
      <c r="A7227" t="s">
        <v>273</v>
      </c>
      <c r="B7227" t="s">
        <v>6514</v>
      </c>
      <c r="C7227" t="s">
        <v>88</v>
      </c>
      <c r="D7227" t="s">
        <v>88</v>
      </c>
      <c r="E7227" t="s">
        <v>711</v>
      </c>
      <c r="F7227" t="s">
        <v>88</v>
      </c>
      <c r="G7227" t="s">
        <v>88</v>
      </c>
      <c r="H7227" t="s">
        <v>92</v>
      </c>
    </row>
    <row r="7228" spans="1:8" x14ac:dyDescent="0.25">
      <c r="A7228" t="s">
        <v>273</v>
      </c>
      <c r="B7228" t="s">
        <v>6515</v>
      </c>
      <c r="C7228" t="s">
        <v>88</v>
      </c>
      <c r="D7228" t="s">
        <v>88</v>
      </c>
      <c r="E7228" t="s">
        <v>957</v>
      </c>
      <c r="F7228" t="s">
        <v>88</v>
      </c>
      <c r="G7228" t="s">
        <v>88</v>
      </c>
      <c r="H7228" t="s">
        <v>92</v>
      </c>
    </row>
    <row r="7229" spans="1:8" x14ac:dyDescent="0.25">
      <c r="A7229" t="s">
        <v>273</v>
      </c>
      <c r="B7229" t="s">
        <v>6516</v>
      </c>
      <c r="C7229" t="s">
        <v>88</v>
      </c>
      <c r="D7229" t="s">
        <v>88</v>
      </c>
      <c r="E7229" t="s">
        <v>957</v>
      </c>
      <c r="F7229" t="s">
        <v>88</v>
      </c>
      <c r="G7229" t="s">
        <v>88</v>
      </c>
      <c r="H7229" t="s">
        <v>92</v>
      </c>
    </row>
    <row r="7230" spans="1:8" x14ac:dyDescent="0.25">
      <c r="A7230" t="s">
        <v>273</v>
      </c>
      <c r="B7230" t="s">
        <v>6517</v>
      </c>
      <c r="C7230" t="s">
        <v>88</v>
      </c>
      <c r="D7230" t="s">
        <v>88</v>
      </c>
      <c r="E7230" t="s">
        <v>732</v>
      </c>
      <c r="F7230" t="s">
        <v>88</v>
      </c>
      <c r="G7230" t="s">
        <v>88</v>
      </c>
      <c r="H7230" t="s">
        <v>92</v>
      </c>
    </row>
    <row r="7231" spans="1:8" x14ac:dyDescent="0.25">
      <c r="A7231" t="s">
        <v>273</v>
      </c>
      <c r="B7231" t="s">
        <v>6518</v>
      </c>
      <c r="C7231" t="s">
        <v>88</v>
      </c>
      <c r="D7231" t="s">
        <v>88</v>
      </c>
      <c r="E7231" t="s">
        <v>848</v>
      </c>
      <c r="F7231" t="s">
        <v>88</v>
      </c>
      <c r="G7231" t="s">
        <v>88</v>
      </c>
      <c r="H7231" t="s">
        <v>92</v>
      </c>
    </row>
    <row r="7232" spans="1:8" x14ac:dyDescent="0.25">
      <c r="A7232" t="s">
        <v>273</v>
      </c>
      <c r="B7232" t="s">
        <v>6519</v>
      </c>
      <c r="C7232" t="s">
        <v>88</v>
      </c>
      <c r="D7232" t="s">
        <v>88</v>
      </c>
      <c r="E7232" t="s">
        <v>848</v>
      </c>
      <c r="F7232" t="s">
        <v>88</v>
      </c>
      <c r="G7232" t="s">
        <v>88</v>
      </c>
      <c r="H7232" t="s">
        <v>92</v>
      </c>
    </row>
    <row r="7233" spans="1:8" x14ac:dyDescent="0.25">
      <c r="A7233" t="s">
        <v>273</v>
      </c>
      <c r="B7233" t="s">
        <v>6521</v>
      </c>
      <c r="C7233" t="s">
        <v>88</v>
      </c>
      <c r="D7233" t="s">
        <v>88</v>
      </c>
      <c r="E7233" t="s">
        <v>957</v>
      </c>
      <c r="F7233" t="s">
        <v>88</v>
      </c>
      <c r="G7233" t="s">
        <v>88</v>
      </c>
      <c r="H7233" t="s">
        <v>92</v>
      </c>
    </row>
    <row r="7234" spans="1:8" x14ac:dyDescent="0.25">
      <c r="A7234" t="s">
        <v>273</v>
      </c>
      <c r="B7234" t="s">
        <v>622</v>
      </c>
      <c r="C7234" t="s">
        <v>88</v>
      </c>
      <c r="D7234" t="s">
        <v>88</v>
      </c>
      <c r="E7234" t="s">
        <v>848</v>
      </c>
      <c r="F7234" t="s">
        <v>88</v>
      </c>
      <c r="G7234" t="s">
        <v>88</v>
      </c>
      <c r="H7234" t="s">
        <v>92</v>
      </c>
    </row>
    <row r="7235" spans="1:8" x14ac:dyDescent="0.25">
      <c r="A7235" t="s">
        <v>273</v>
      </c>
      <c r="B7235" t="s">
        <v>623</v>
      </c>
      <c r="C7235" t="s">
        <v>88</v>
      </c>
      <c r="D7235" t="s">
        <v>88</v>
      </c>
      <c r="E7235" t="s">
        <v>735</v>
      </c>
      <c r="F7235" t="s">
        <v>88</v>
      </c>
      <c r="G7235" t="s">
        <v>88</v>
      </c>
      <c r="H7235" t="s">
        <v>92</v>
      </c>
    </row>
    <row r="7236" spans="1:8" x14ac:dyDescent="0.25">
      <c r="A7236" t="s">
        <v>273</v>
      </c>
      <c r="B7236" t="s">
        <v>714</v>
      </c>
      <c r="C7236" t="s">
        <v>88</v>
      </c>
      <c r="D7236" t="s">
        <v>88</v>
      </c>
      <c r="E7236" t="s">
        <v>1598</v>
      </c>
      <c r="F7236" t="s">
        <v>88</v>
      </c>
      <c r="G7236" t="s">
        <v>88</v>
      </c>
      <c r="H7236" t="s">
        <v>92</v>
      </c>
    </row>
    <row r="7237" spans="1:8" x14ac:dyDescent="0.25">
      <c r="A7237" t="s">
        <v>273</v>
      </c>
      <c r="B7237" t="s">
        <v>1074</v>
      </c>
      <c r="C7237" t="s">
        <v>88</v>
      </c>
      <c r="D7237" t="s">
        <v>88</v>
      </c>
      <c r="E7237" t="s">
        <v>1598</v>
      </c>
      <c r="F7237" t="s">
        <v>88</v>
      </c>
      <c r="G7237" t="s">
        <v>88</v>
      </c>
      <c r="H7237" t="s">
        <v>92</v>
      </c>
    </row>
    <row r="7238" spans="1:8" x14ac:dyDescent="0.25">
      <c r="A7238" t="s">
        <v>273</v>
      </c>
      <c r="B7238" t="s">
        <v>1671</v>
      </c>
      <c r="C7238" t="s">
        <v>88</v>
      </c>
      <c r="D7238" t="s">
        <v>88</v>
      </c>
      <c r="E7238" t="s">
        <v>1598</v>
      </c>
      <c r="F7238" t="s">
        <v>88</v>
      </c>
      <c r="G7238" t="s">
        <v>88</v>
      </c>
      <c r="H7238" t="s">
        <v>92</v>
      </c>
    </row>
    <row r="7239" spans="1:8" x14ac:dyDescent="0.25">
      <c r="A7239" t="s">
        <v>273</v>
      </c>
      <c r="B7239" t="s">
        <v>998</v>
      </c>
      <c r="C7239" t="s">
        <v>88</v>
      </c>
      <c r="D7239" t="s">
        <v>88</v>
      </c>
      <c r="E7239" t="s">
        <v>1598</v>
      </c>
      <c r="F7239" t="s">
        <v>88</v>
      </c>
      <c r="G7239" t="s">
        <v>88</v>
      </c>
      <c r="H7239" t="s">
        <v>92</v>
      </c>
    </row>
    <row r="7240" spans="1:8" x14ac:dyDescent="0.25">
      <c r="A7240" t="s">
        <v>273</v>
      </c>
      <c r="B7240" t="s">
        <v>1073</v>
      </c>
      <c r="C7240" t="s">
        <v>88</v>
      </c>
      <c r="D7240" t="s">
        <v>88</v>
      </c>
      <c r="E7240" t="s">
        <v>1598</v>
      </c>
      <c r="F7240" t="s">
        <v>88</v>
      </c>
      <c r="G7240" t="s">
        <v>88</v>
      </c>
      <c r="H7240" t="s">
        <v>92</v>
      </c>
    </row>
    <row r="7241" spans="1:8" x14ac:dyDescent="0.25">
      <c r="A7241" t="s">
        <v>273</v>
      </c>
      <c r="B7241" t="s">
        <v>6522</v>
      </c>
      <c r="C7241" t="s">
        <v>88</v>
      </c>
      <c r="D7241" t="s">
        <v>88</v>
      </c>
      <c r="E7241" t="s">
        <v>1323</v>
      </c>
      <c r="F7241" t="s">
        <v>88</v>
      </c>
      <c r="G7241" t="s">
        <v>88</v>
      </c>
      <c r="H7241" t="s">
        <v>92</v>
      </c>
    </row>
    <row r="7242" spans="1:8" x14ac:dyDescent="0.25">
      <c r="A7242" t="s">
        <v>273</v>
      </c>
      <c r="B7242" t="s">
        <v>6523</v>
      </c>
      <c r="C7242" t="s">
        <v>88</v>
      </c>
      <c r="D7242" t="s">
        <v>88</v>
      </c>
      <c r="E7242" t="s">
        <v>1598</v>
      </c>
      <c r="F7242" t="s">
        <v>88</v>
      </c>
      <c r="G7242" t="s">
        <v>88</v>
      </c>
      <c r="H7242" t="s">
        <v>92</v>
      </c>
    </row>
    <row r="7243" spans="1:8" x14ac:dyDescent="0.25">
      <c r="A7243" t="s">
        <v>273</v>
      </c>
      <c r="B7243" t="s">
        <v>6524</v>
      </c>
      <c r="C7243" t="s">
        <v>88</v>
      </c>
      <c r="D7243" t="s">
        <v>88</v>
      </c>
      <c r="E7243" t="s">
        <v>2513</v>
      </c>
      <c r="F7243" t="s">
        <v>88</v>
      </c>
      <c r="G7243" t="s">
        <v>88</v>
      </c>
      <c r="H7243" t="s">
        <v>92</v>
      </c>
    </row>
    <row r="7244" spans="1:8" x14ac:dyDescent="0.25">
      <c r="A7244" t="s">
        <v>273</v>
      </c>
      <c r="B7244" t="s">
        <v>6525</v>
      </c>
      <c r="C7244" t="s">
        <v>88</v>
      </c>
      <c r="D7244" t="s">
        <v>88</v>
      </c>
      <c r="E7244" t="s">
        <v>725</v>
      </c>
      <c r="F7244" t="s">
        <v>88</v>
      </c>
      <c r="G7244" t="s">
        <v>88</v>
      </c>
      <c r="H7244" t="s">
        <v>92</v>
      </c>
    </row>
    <row r="7245" spans="1:8" x14ac:dyDescent="0.25">
      <c r="A7245" t="s">
        <v>273</v>
      </c>
      <c r="B7245" t="s">
        <v>625</v>
      </c>
      <c r="C7245" t="s">
        <v>88</v>
      </c>
      <c r="D7245" t="s">
        <v>88</v>
      </c>
      <c r="E7245" t="s">
        <v>626</v>
      </c>
      <c r="F7245" t="s">
        <v>88</v>
      </c>
      <c r="G7245" t="s">
        <v>88</v>
      </c>
      <c r="H7245" t="s">
        <v>92</v>
      </c>
    </row>
    <row r="7246" spans="1:8" x14ac:dyDescent="0.25">
      <c r="A7246" t="s">
        <v>274</v>
      </c>
      <c r="B7246" t="s">
        <v>6258</v>
      </c>
      <c r="C7246" t="s">
        <v>88</v>
      </c>
      <c r="D7246" t="s">
        <v>6259</v>
      </c>
      <c r="E7246" t="s">
        <v>673</v>
      </c>
      <c r="F7246" t="s">
        <v>88</v>
      </c>
      <c r="G7246" t="s">
        <v>88</v>
      </c>
      <c r="H7246" t="s">
        <v>92</v>
      </c>
    </row>
    <row r="7247" spans="1:8" x14ac:dyDescent="0.25">
      <c r="A7247" t="s">
        <v>274</v>
      </c>
      <c r="B7247" t="s">
        <v>6260</v>
      </c>
      <c r="C7247" t="s">
        <v>88</v>
      </c>
      <c r="D7247" t="s">
        <v>6261</v>
      </c>
      <c r="E7247" t="s">
        <v>2481</v>
      </c>
      <c r="F7247" t="s">
        <v>88</v>
      </c>
      <c r="G7247" t="s">
        <v>88</v>
      </c>
      <c r="H7247" t="s">
        <v>92</v>
      </c>
    </row>
    <row r="7248" spans="1:8" x14ac:dyDescent="0.25">
      <c r="A7248" t="s">
        <v>274</v>
      </c>
      <c r="B7248" t="s">
        <v>6262</v>
      </c>
      <c r="C7248" t="s">
        <v>88</v>
      </c>
      <c r="D7248" t="s">
        <v>6263</v>
      </c>
      <c r="E7248" t="s">
        <v>937</v>
      </c>
      <c r="F7248" t="s">
        <v>88</v>
      </c>
      <c r="G7248" t="s">
        <v>88</v>
      </c>
      <c r="H7248" t="s">
        <v>92</v>
      </c>
    </row>
    <row r="7249" spans="1:8" x14ac:dyDescent="0.25">
      <c r="A7249" t="s">
        <v>274</v>
      </c>
      <c r="B7249" t="s">
        <v>6264</v>
      </c>
      <c r="C7249" t="s">
        <v>88</v>
      </c>
      <c r="D7249" t="s">
        <v>6265</v>
      </c>
      <c r="E7249" t="s">
        <v>1353</v>
      </c>
      <c r="F7249" t="s">
        <v>88</v>
      </c>
      <c r="G7249" t="s">
        <v>88</v>
      </c>
      <c r="H7249" t="s">
        <v>92</v>
      </c>
    </row>
    <row r="7250" spans="1:8" x14ac:dyDescent="0.25">
      <c r="A7250" t="s">
        <v>274</v>
      </c>
      <c r="B7250" t="s">
        <v>6266</v>
      </c>
      <c r="C7250" t="s">
        <v>88</v>
      </c>
      <c r="D7250" t="s">
        <v>6267</v>
      </c>
      <c r="E7250" t="s">
        <v>6268</v>
      </c>
      <c r="F7250" t="s">
        <v>88</v>
      </c>
      <c r="G7250" t="s">
        <v>88</v>
      </c>
      <c r="H7250" t="s">
        <v>92</v>
      </c>
    </row>
    <row r="7251" spans="1:8" x14ac:dyDescent="0.25">
      <c r="A7251" t="s">
        <v>274</v>
      </c>
      <c r="B7251" t="s">
        <v>6269</v>
      </c>
      <c r="C7251" t="s">
        <v>88</v>
      </c>
      <c r="D7251" t="s">
        <v>6270</v>
      </c>
      <c r="E7251" t="s">
        <v>760</v>
      </c>
      <c r="F7251" t="s">
        <v>88</v>
      </c>
      <c r="G7251" t="s">
        <v>88</v>
      </c>
      <c r="H7251" t="s">
        <v>92</v>
      </c>
    </row>
    <row r="7252" spans="1:8" x14ac:dyDescent="0.25">
      <c r="A7252" t="s">
        <v>274</v>
      </c>
      <c r="B7252" t="s">
        <v>6271</v>
      </c>
      <c r="C7252" t="s">
        <v>88</v>
      </c>
      <c r="D7252" t="s">
        <v>6272</v>
      </c>
      <c r="E7252" t="s">
        <v>3015</v>
      </c>
      <c r="F7252" t="s">
        <v>88</v>
      </c>
      <c r="G7252" t="s">
        <v>88</v>
      </c>
      <c r="H7252" t="s">
        <v>92</v>
      </c>
    </row>
    <row r="7253" spans="1:8" x14ac:dyDescent="0.25">
      <c r="A7253" t="s">
        <v>274</v>
      </c>
      <c r="B7253" t="s">
        <v>2359</v>
      </c>
      <c r="C7253" t="s">
        <v>88</v>
      </c>
      <c r="D7253" t="s">
        <v>88</v>
      </c>
      <c r="E7253" t="s">
        <v>791</v>
      </c>
      <c r="F7253" t="s">
        <v>88</v>
      </c>
      <c r="G7253" t="s">
        <v>88</v>
      </c>
      <c r="H7253" t="s">
        <v>92</v>
      </c>
    </row>
    <row r="7254" spans="1:8" x14ac:dyDescent="0.25">
      <c r="A7254" t="s">
        <v>274</v>
      </c>
      <c r="B7254" t="s">
        <v>6274</v>
      </c>
      <c r="C7254" t="s">
        <v>88</v>
      </c>
      <c r="D7254" t="s">
        <v>88</v>
      </c>
      <c r="E7254" t="s">
        <v>1139</v>
      </c>
      <c r="F7254" t="s">
        <v>88</v>
      </c>
      <c r="G7254" t="s">
        <v>88</v>
      </c>
      <c r="H7254" t="s">
        <v>92</v>
      </c>
    </row>
    <row r="7255" spans="1:8" x14ac:dyDescent="0.25">
      <c r="A7255" t="s">
        <v>274</v>
      </c>
      <c r="B7255" t="s">
        <v>6275</v>
      </c>
      <c r="C7255" t="s">
        <v>88</v>
      </c>
      <c r="D7255" t="s">
        <v>6276</v>
      </c>
      <c r="E7255" t="s">
        <v>717</v>
      </c>
      <c r="F7255" t="s">
        <v>88</v>
      </c>
      <c r="G7255" t="s">
        <v>88</v>
      </c>
      <c r="H7255" t="s">
        <v>92</v>
      </c>
    </row>
    <row r="7256" spans="1:8" x14ac:dyDescent="0.25">
      <c r="A7256" t="s">
        <v>274</v>
      </c>
      <c r="B7256" t="s">
        <v>6277</v>
      </c>
      <c r="C7256" t="s">
        <v>88</v>
      </c>
      <c r="D7256" t="s">
        <v>6278</v>
      </c>
      <c r="E7256" t="s">
        <v>1189</v>
      </c>
      <c r="F7256" t="s">
        <v>88</v>
      </c>
      <c r="G7256" t="s">
        <v>88</v>
      </c>
      <c r="H7256" t="s">
        <v>92</v>
      </c>
    </row>
    <row r="7257" spans="1:8" x14ac:dyDescent="0.25">
      <c r="A7257" t="s">
        <v>274</v>
      </c>
      <c r="B7257" t="s">
        <v>6279</v>
      </c>
      <c r="C7257" t="s">
        <v>88</v>
      </c>
      <c r="D7257" t="s">
        <v>6280</v>
      </c>
      <c r="E7257" t="s">
        <v>780</v>
      </c>
      <c r="F7257" t="s">
        <v>88</v>
      </c>
      <c r="G7257" t="s">
        <v>88</v>
      </c>
      <c r="H7257" t="s">
        <v>92</v>
      </c>
    </row>
    <row r="7258" spans="1:8" x14ac:dyDescent="0.25">
      <c r="A7258" t="s">
        <v>274</v>
      </c>
      <c r="B7258" t="s">
        <v>6281</v>
      </c>
      <c r="C7258" t="s">
        <v>88</v>
      </c>
      <c r="D7258" t="s">
        <v>6282</v>
      </c>
      <c r="E7258" t="s">
        <v>2193</v>
      </c>
      <c r="F7258" t="s">
        <v>88</v>
      </c>
      <c r="G7258" t="s">
        <v>88</v>
      </c>
      <c r="H7258" t="s">
        <v>92</v>
      </c>
    </row>
    <row r="7259" spans="1:8" x14ac:dyDescent="0.25">
      <c r="A7259" t="s">
        <v>274</v>
      </c>
      <c r="B7259" t="s">
        <v>6283</v>
      </c>
      <c r="C7259" t="s">
        <v>88</v>
      </c>
      <c r="D7259" t="s">
        <v>6284</v>
      </c>
      <c r="E7259" t="s">
        <v>663</v>
      </c>
      <c r="F7259" t="s">
        <v>88</v>
      </c>
      <c r="G7259" t="s">
        <v>88</v>
      </c>
      <c r="H7259" t="s">
        <v>92</v>
      </c>
    </row>
    <row r="7260" spans="1:8" x14ac:dyDescent="0.25">
      <c r="A7260" t="s">
        <v>274</v>
      </c>
      <c r="B7260" t="s">
        <v>6285</v>
      </c>
      <c r="C7260" t="s">
        <v>88</v>
      </c>
      <c r="D7260" t="s">
        <v>6286</v>
      </c>
      <c r="E7260" t="s">
        <v>658</v>
      </c>
      <c r="F7260" t="s">
        <v>88</v>
      </c>
      <c r="G7260" t="s">
        <v>88</v>
      </c>
      <c r="H7260" t="s">
        <v>92</v>
      </c>
    </row>
    <row r="7261" spans="1:8" x14ac:dyDescent="0.25">
      <c r="A7261" t="s">
        <v>274</v>
      </c>
      <c r="B7261" t="s">
        <v>6287</v>
      </c>
      <c r="C7261" t="s">
        <v>88</v>
      </c>
      <c r="D7261" t="s">
        <v>6288</v>
      </c>
      <c r="E7261" t="s">
        <v>2989</v>
      </c>
      <c r="F7261" t="s">
        <v>88</v>
      </c>
      <c r="G7261" t="s">
        <v>88</v>
      </c>
      <c r="H7261" t="s">
        <v>92</v>
      </c>
    </row>
    <row r="7262" spans="1:8" x14ac:dyDescent="0.25">
      <c r="A7262" t="s">
        <v>274</v>
      </c>
      <c r="B7262" t="s">
        <v>6289</v>
      </c>
      <c r="C7262" t="s">
        <v>88</v>
      </c>
      <c r="D7262" t="s">
        <v>6290</v>
      </c>
      <c r="E7262" t="s">
        <v>841</v>
      </c>
      <c r="F7262" t="s">
        <v>88</v>
      </c>
      <c r="G7262" t="s">
        <v>88</v>
      </c>
      <c r="H7262" t="s">
        <v>92</v>
      </c>
    </row>
    <row r="7263" spans="1:8" x14ac:dyDescent="0.25">
      <c r="A7263" t="s">
        <v>274</v>
      </c>
      <c r="B7263" t="s">
        <v>6291</v>
      </c>
      <c r="C7263" t="s">
        <v>88</v>
      </c>
      <c r="D7263" t="s">
        <v>6292</v>
      </c>
      <c r="E7263" t="s">
        <v>2800</v>
      </c>
      <c r="F7263" t="s">
        <v>88</v>
      </c>
      <c r="G7263" t="s">
        <v>88</v>
      </c>
      <c r="H7263" t="s">
        <v>92</v>
      </c>
    </row>
    <row r="7264" spans="1:8" x14ac:dyDescent="0.25">
      <c r="A7264" t="s">
        <v>274</v>
      </c>
      <c r="B7264" t="s">
        <v>6293</v>
      </c>
      <c r="C7264" t="s">
        <v>88</v>
      </c>
      <c r="D7264" t="s">
        <v>6294</v>
      </c>
      <c r="E7264" t="s">
        <v>1189</v>
      </c>
      <c r="F7264" t="s">
        <v>88</v>
      </c>
      <c r="G7264" t="s">
        <v>88</v>
      </c>
      <c r="H7264" t="s">
        <v>92</v>
      </c>
    </row>
    <row r="7265" spans="1:8" x14ac:dyDescent="0.25">
      <c r="A7265" t="s">
        <v>274</v>
      </c>
      <c r="B7265" t="s">
        <v>6303</v>
      </c>
      <c r="C7265" t="s">
        <v>88</v>
      </c>
      <c r="D7265" t="s">
        <v>6304</v>
      </c>
      <c r="E7265" t="s">
        <v>663</v>
      </c>
      <c r="F7265" t="s">
        <v>88</v>
      </c>
      <c r="G7265" t="s">
        <v>88</v>
      </c>
      <c r="H7265" t="s">
        <v>92</v>
      </c>
    </row>
    <row r="7266" spans="1:8" x14ac:dyDescent="0.25">
      <c r="A7266" t="s">
        <v>274</v>
      </c>
      <c r="B7266" t="s">
        <v>6305</v>
      </c>
      <c r="C7266" t="s">
        <v>88</v>
      </c>
      <c r="D7266" t="s">
        <v>6306</v>
      </c>
      <c r="E7266" t="s">
        <v>2513</v>
      </c>
      <c r="F7266" t="s">
        <v>88</v>
      </c>
      <c r="G7266" t="s">
        <v>88</v>
      </c>
      <c r="H7266" t="s">
        <v>92</v>
      </c>
    </row>
    <row r="7267" spans="1:8" x14ac:dyDescent="0.25">
      <c r="A7267" t="s">
        <v>274</v>
      </c>
      <c r="B7267" t="s">
        <v>6307</v>
      </c>
      <c r="C7267" t="s">
        <v>88</v>
      </c>
      <c r="D7267" t="s">
        <v>6308</v>
      </c>
      <c r="E7267" t="s">
        <v>2166</v>
      </c>
      <c r="F7267" t="s">
        <v>88</v>
      </c>
      <c r="G7267" t="s">
        <v>88</v>
      </c>
      <c r="H7267" t="s">
        <v>92</v>
      </c>
    </row>
    <row r="7268" spans="1:8" x14ac:dyDescent="0.25">
      <c r="A7268" t="s">
        <v>274</v>
      </c>
      <c r="B7268" t="s">
        <v>6315</v>
      </c>
      <c r="C7268" t="s">
        <v>88</v>
      </c>
      <c r="D7268" t="s">
        <v>6316</v>
      </c>
      <c r="E7268" t="s">
        <v>886</v>
      </c>
      <c r="F7268" t="s">
        <v>88</v>
      </c>
      <c r="G7268" t="s">
        <v>88</v>
      </c>
      <c r="H7268" t="s">
        <v>92</v>
      </c>
    </row>
    <row r="7269" spans="1:8" x14ac:dyDescent="0.25">
      <c r="A7269" t="s">
        <v>274</v>
      </c>
      <c r="B7269" t="s">
        <v>6319</v>
      </c>
      <c r="C7269" t="s">
        <v>88</v>
      </c>
      <c r="D7269" t="s">
        <v>6320</v>
      </c>
      <c r="E7269" t="s">
        <v>1839</v>
      </c>
      <c r="F7269" t="s">
        <v>88</v>
      </c>
      <c r="G7269" t="s">
        <v>88</v>
      </c>
      <c r="H7269" t="s">
        <v>92</v>
      </c>
    </row>
    <row r="7270" spans="1:8" x14ac:dyDescent="0.25">
      <c r="A7270" t="s">
        <v>274</v>
      </c>
      <c r="B7270" t="s">
        <v>6323</v>
      </c>
      <c r="C7270" t="s">
        <v>88</v>
      </c>
      <c r="D7270" t="s">
        <v>6324</v>
      </c>
      <c r="E7270" t="s">
        <v>6325</v>
      </c>
      <c r="F7270" t="s">
        <v>88</v>
      </c>
      <c r="G7270" t="s">
        <v>88</v>
      </c>
      <c r="H7270" t="s">
        <v>92</v>
      </c>
    </row>
    <row r="7271" spans="1:8" x14ac:dyDescent="0.25">
      <c r="A7271" t="s">
        <v>274</v>
      </c>
      <c r="B7271" t="s">
        <v>6332</v>
      </c>
      <c r="C7271" t="s">
        <v>88</v>
      </c>
      <c r="D7271" t="s">
        <v>6333</v>
      </c>
      <c r="E7271" t="s">
        <v>6334</v>
      </c>
      <c r="F7271" t="s">
        <v>88</v>
      </c>
      <c r="G7271" t="s">
        <v>88</v>
      </c>
      <c r="H7271" t="s">
        <v>92</v>
      </c>
    </row>
    <row r="7272" spans="1:8" x14ac:dyDescent="0.25">
      <c r="A7272" t="s">
        <v>274</v>
      </c>
      <c r="B7272" t="s">
        <v>6335</v>
      </c>
      <c r="C7272" t="s">
        <v>88</v>
      </c>
      <c r="D7272" t="s">
        <v>6336</v>
      </c>
      <c r="E7272" t="s">
        <v>673</v>
      </c>
      <c r="F7272" t="s">
        <v>88</v>
      </c>
      <c r="G7272" t="s">
        <v>88</v>
      </c>
      <c r="H7272" t="s">
        <v>92</v>
      </c>
    </row>
    <row r="7273" spans="1:8" x14ac:dyDescent="0.25">
      <c r="A7273" t="s">
        <v>274</v>
      </c>
      <c r="B7273" t="s">
        <v>6337</v>
      </c>
      <c r="C7273" t="s">
        <v>88</v>
      </c>
      <c r="D7273" t="s">
        <v>6338</v>
      </c>
      <c r="E7273" t="s">
        <v>1139</v>
      </c>
      <c r="F7273" t="s">
        <v>88</v>
      </c>
      <c r="G7273" t="s">
        <v>88</v>
      </c>
      <c r="H7273" t="s">
        <v>92</v>
      </c>
    </row>
    <row r="7274" spans="1:8" x14ac:dyDescent="0.25">
      <c r="A7274" t="s">
        <v>274</v>
      </c>
      <c r="B7274" t="s">
        <v>6339</v>
      </c>
      <c r="C7274" t="s">
        <v>88</v>
      </c>
      <c r="D7274" t="s">
        <v>6340</v>
      </c>
      <c r="E7274" t="s">
        <v>2833</v>
      </c>
      <c r="F7274" t="s">
        <v>88</v>
      </c>
      <c r="G7274" t="s">
        <v>88</v>
      </c>
      <c r="H7274" t="s">
        <v>92</v>
      </c>
    </row>
    <row r="7275" spans="1:8" x14ac:dyDescent="0.25">
      <c r="A7275" t="s">
        <v>274</v>
      </c>
      <c r="B7275" t="s">
        <v>6341</v>
      </c>
      <c r="C7275" t="s">
        <v>88</v>
      </c>
      <c r="D7275" t="s">
        <v>6342</v>
      </c>
      <c r="E7275" t="s">
        <v>721</v>
      </c>
      <c r="F7275" t="s">
        <v>88</v>
      </c>
      <c r="G7275" t="s">
        <v>88</v>
      </c>
      <c r="H7275" t="s">
        <v>92</v>
      </c>
    </row>
    <row r="7276" spans="1:8" x14ac:dyDescent="0.25">
      <c r="A7276" t="s">
        <v>274</v>
      </c>
      <c r="B7276" t="s">
        <v>6351</v>
      </c>
      <c r="C7276" t="s">
        <v>88</v>
      </c>
      <c r="D7276" t="s">
        <v>6352</v>
      </c>
      <c r="E7276" t="s">
        <v>6353</v>
      </c>
      <c r="F7276" t="s">
        <v>88</v>
      </c>
      <c r="G7276" t="s">
        <v>88</v>
      </c>
      <c r="H7276" t="s">
        <v>92</v>
      </c>
    </row>
    <row r="7277" spans="1:8" x14ac:dyDescent="0.25">
      <c r="A7277" t="s">
        <v>274</v>
      </c>
      <c r="B7277" t="s">
        <v>1019</v>
      </c>
      <c r="C7277" t="s">
        <v>88</v>
      </c>
      <c r="D7277" t="s">
        <v>6354</v>
      </c>
      <c r="E7277" t="s">
        <v>1221</v>
      </c>
      <c r="F7277" t="s">
        <v>88</v>
      </c>
      <c r="G7277" t="s">
        <v>88</v>
      </c>
      <c r="H7277" t="s">
        <v>92</v>
      </c>
    </row>
    <row r="7278" spans="1:8" x14ac:dyDescent="0.25">
      <c r="A7278" t="s">
        <v>274</v>
      </c>
      <c r="B7278" t="s">
        <v>832</v>
      </c>
      <c r="C7278" t="s">
        <v>88</v>
      </c>
      <c r="D7278" t="s">
        <v>6355</v>
      </c>
      <c r="E7278" t="s">
        <v>760</v>
      </c>
      <c r="F7278" t="s">
        <v>88</v>
      </c>
      <c r="G7278" t="s">
        <v>88</v>
      </c>
      <c r="H7278" t="s">
        <v>92</v>
      </c>
    </row>
    <row r="7279" spans="1:8" x14ac:dyDescent="0.25">
      <c r="A7279" t="s">
        <v>274</v>
      </c>
      <c r="B7279" t="s">
        <v>818</v>
      </c>
      <c r="C7279" t="s">
        <v>88</v>
      </c>
      <c r="D7279" t="s">
        <v>6352</v>
      </c>
      <c r="E7279" t="s">
        <v>6353</v>
      </c>
      <c r="F7279" t="s">
        <v>88</v>
      </c>
      <c r="G7279" t="s">
        <v>88</v>
      </c>
      <c r="H7279" t="s">
        <v>92</v>
      </c>
    </row>
    <row r="7280" spans="1:8" x14ac:dyDescent="0.25">
      <c r="A7280" t="s">
        <v>274</v>
      </c>
      <c r="B7280" t="s">
        <v>837</v>
      </c>
      <c r="C7280" t="s">
        <v>88</v>
      </c>
      <c r="D7280" t="s">
        <v>6356</v>
      </c>
      <c r="E7280" t="s">
        <v>3181</v>
      </c>
      <c r="F7280" t="s">
        <v>88</v>
      </c>
      <c r="G7280" t="s">
        <v>88</v>
      </c>
      <c r="H7280" t="s">
        <v>92</v>
      </c>
    </row>
    <row r="7281" spans="1:8" x14ac:dyDescent="0.25">
      <c r="A7281" t="s">
        <v>274</v>
      </c>
      <c r="B7281" t="s">
        <v>823</v>
      </c>
      <c r="C7281" t="s">
        <v>88</v>
      </c>
      <c r="D7281" t="s">
        <v>6357</v>
      </c>
      <c r="E7281" t="s">
        <v>6358</v>
      </c>
      <c r="F7281" t="s">
        <v>88</v>
      </c>
      <c r="G7281" t="s">
        <v>88</v>
      </c>
      <c r="H7281" t="s">
        <v>92</v>
      </c>
    </row>
    <row r="7282" spans="1:8" x14ac:dyDescent="0.25">
      <c r="A7282" t="s">
        <v>274</v>
      </c>
      <c r="B7282" t="s">
        <v>789</v>
      </c>
      <c r="C7282" t="s">
        <v>88</v>
      </c>
      <c r="D7282" t="s">
        <v>6359</v>
      </c>
      <c r="E7282" t="s">
        <v>1598</v>
      </c>
      <c r="F7282" t="s">
        <v>88</v>
      </c>
      <c r="G7282" t="s">
        <v>88</v>
      </c>
      <c r="H7282" t="s">
        <v>92</v>
      </c>
    </row>
    <row r="7283" spans="1:8" x14ac:dyDescent="0.25">
      <c r="A7283" t="s">
        <v>274</v>
      </c>
      <c r="B7283" t="s">
        <v>6362</v>
      </c>
      <c r="C7283" t="s">
        <v>88</v>
      </c>
      <c r="D7283" t="s">
        <v>6363</v>
      </c>
      <c r="E7283" t="s">
        <v>715</v>
      </c>
      <c r="F7283" t="s">
        <v>88</v>
      </c>
      <c r="G7283" t="s">
        <v>88</v>
      </c>
      <c r="H7283" t="s">
        <v>92</v>
      </c>
    </row>
    <row r="7284" spans="1:8" x14ac:dyDescent="0.25">
      <c r="A7284" t="s">
        <v>274</v>
      </c>
      <c r="B7284" t="s">
        <v>6360</v>
      </c>
      <c r="C7284" t="s">
        <v>88</v>
      </c>
      <c r="D7284" t="s">
        <v>6361</v>
      </c>
      <c r="E7284" t="s">
        <v>723</v>
      </c>
      <c r="F7284" t="s">
        <v>88</v>
      </c>
      <c r="G7284" t="s">
        <v>88</v>
      </c>
      <c r="H7284" t="s">
        <v>92</v>
      </c>
    </row>
    <row r="7285" spans="1:8" x14ac:dyDescent="0.25">
      <c r="A7285" t="s">
        <v>274</v>
      </c>
      <c r="B7285" t="s">
        <v>6366</v>
      </c>
      <c r="C7285" t="s">
        <v>88</v>
      </c>
      <c r="D7285" t="s">
        <v>6367</v>
      </c>
      <c r="E7285" t="s">
        <v>679</v>
      </c>
      <c r="F7285" t="s">
        <v>88</v>
      </c>
      <c r="G7285" t="s">
        <v>88</v>
      </c>
      <c r="H7285" t="s">
        <v>92</v>
      </c>
    </row>
    <row r="7286" spans="1:8" x14ac:dyDescent="0.25">
      <c r="A7286" t="s">
        <v>274</v>
      </c>
      <c r="B7286" t="s">
        <v>6364</v>
      </c>
      <c r="C7286" t="s">
        <v>88</v>
      </c>
      <c r="D7286" t="s">
        <v>6365</v>
      </c>
      <c r="E7286" t="s">
        <v>1971</v>
      </c>
      <c r="F7286" t="s">
        <v>88</v>
      </c>
      <c r="G7286" t="s">
        <v>88</v>
      </c>
      <c r="H7286" t="s">
        <v>92</v>
      </c>
    </row>
    <row r="7287" spans="1:8" x14ac:dyDescent="0.25">
      <c r="A7287" t="s">
        <v>274</v>
      </c>
      <c r="B7287" t="s">
        <v>6368</v>
      </c>
      <c r="C7287" t="s">
        <v>88</v>
      </c>
      <c r="D7287" t="s">
        <v>6369</v>
      </c>
      <c r="E7287" t="s">
        <v>723</v>
      </c>
      <c r="F7287" t="s">
        <v>88</v>
      </c>
      <c r="G7287" t="s">
        <v>88</v>
      </c>
      <c r="H7287" t="s">
        <v>92</v>
      </c>
    </row>
    <row r="7288" spans="1:8" x14ac:dyDescent="0.25">
      <c r="A7288" t="s">
        <v>274</v>
      </c>
      <c r="B7288" t="s">
        <v>854</v>
      </c>
      <c r="C7288" t="s">
        <v>88</v>
      </c>
      <c r="D7288" t="s">
        <v>6372</v>
      </c>
      <c r="E7288" t="s">
        <v>2513</v>
      </c>
      <c r="F7288" t="s">
        <v>88</v>
      </c>
      <c r="G7288" t="s">
        <v>88</v>
      </c>
      <c r="H7288" t="s">
        <v>92</v>
      </c>
    </row>
    <row r="7289" spans="1:8" x14ac:dyDescent="0.25">
      <c r="A7289" t="s">
        <v>274</v>
      </c>
      <c r="B7289" t="s">
        <v>6374</v>
      </c>
      <c r="C7289" t="s">
        <v>88</v>
      </c>
      <c r="D7289" t="s">
        <v>6375</v>
      </c>
      <c r="E7289" t="s">
        <v>1377</v>
      </c>
      <c r="F7289" t="s">
        <v>88</v>
      </c>
      <c r="G7289" t="s">
        <v>88</v>
      </c>
      <c r="H7289" t="s">
        <v>92</v>
      </c>
    </row>
    <row r="7290" spans="1:8" x14ac:dyDescent="0.25">
      <c r="A7290" t="s">
        <v>274</v>
      </c>
      <c r="B7290" t="s">
        <v>6398</v>
      </c>
      <c r="C7290" t="s">
        <v>88</v>
      </c>
      <c r="D7290" t="s">
        <v>88</v>
      </c>
      <c r="E7290" t="s">
        <v>886</v>
      </c>
      <c r="F7290" t="s">
        <v>88</v>
      </c>
      <c r="G7290" t="s">
        <v>88</v>
      </c>
      <c r="H7290" t="s">
        <v>92</v>
      </c>
    </row>
    <row r="7291" spans="1:8" x14ac:dyDescent="0.25">
      <c r="A7291" t="s">
        <v>274</v>
      </c>
      <c r="B7291" t="s">
        <v>6399</v>
      </c>
      <c r="C7291" t="s">
        <v>88</v>
      </c>
      <c r="D7291" t="s">
        <v>88</v>
      </c>
      <c r="E7291" t="s">
        <v>886</v>
      </c>
      <c r="F7291" t="s">
        <v>88</v>
      </c>
      <c r="G7291" t="s">
        <v>88</v>
      </c>
      <c r="H7291" t="s">
        <v>92</v>
      </c>
    </row>
    <row r="7292" spans="1:8" x14ac:dyDescent="0.25">
      <c r="A7292" t="s">
        <v>274</v>
      </c>
      <c r="B7292" t="s">
        <v>6400</v>
      </c>
      <c r="C7292" t="s">
        <v>88</v>
      </c>
      <c r="D7292" t="s">
        <v>88</v>
      </c>
      <c r="E7292" t="s">
        <v>1377</v>
      </c>
      <c r="F7292" t="s">
        <v>88</v>
      </c>
      <c r="G7292" t="s">
        <v>88</v>
      </c>
      <c r="H7292" t="s">
        <v>92</v>
      </c>
    </row>
    <row r="7293" spans="1:8" x14ac:dyDescent="0.25">
      <c r="A7293" t="s">
        <v>274</v>
      </c>
      <c r="B7293" t="s">
        <v>6401</v>
      </c>
      <c r="C7293" t="s">
        <v>88</v>
      </c>
      <c r="D7293" t="s">
        <v>88</v>
      </c>
      <c r="E7293" t="s">
        <v>2193</v>
      </c>
      <c r="F7293" t="s">
        <v>88</v>
      </c>
      <c r="G7293" t="s">
        <v>88</v>
      </c>
      <c r="H7293" t="s">
        <v>92</v>
      </c>
    </row>
    <row r="7294" spans="1:8" x14ac:dyDescent="0.25">
      <c r="A7294" t="s">
        <v>274</v>
      </c>
      <c r="B7294" t="s">
        <v>6402</v>
      </c>
      <c r="C7294" t="s">
        <v>88</v>
      </c>
      <c r="D7294" t="s">
        <v>88</v>
      </c>
      <c r="E7294" t="s">
        <v>2193</v>
      </c>
      <c r="F7294" t="s">
        <v>88</v>
      </c>
      <c r="G7294" t="s">
        <v>88</v>
      </c>
      <c r="H7294" t="s">
        <v>92</v>
      </c>
    </row>
    <row r="7295" spans="1:8" x14ac:dyDescent="0.25">
      <c r="A7295" t="s">
        <v>274</v>
      </c>
      <c r="B7295" t="s">
        <v>6411</v>
      </c>
      <c r="C7295" t="s">
        <v>88</v>
      </c>
      <c r="D7295" t="s">
        <v>6412</v>
      </c>
      <c r="E7295" t="s">
        <v>1221</v>
      </c>
      <c r="F7295" t="s">
        <v>88</v>
      </c>
      <c r="G7295" t="s">
        <v>88</v>
      </c>
      <c r="H7295" t="s">
        <v>92</v>
      </c>
    </row>
    <row r="7296" spans="1:8" x14ac:dyDescent="0.25">
      <c r="A7296" t="s">
        <v>274</v>
      </c>
      <c r="B7296" t="s">
        <v>6424</v>
      </c>
      <c r="C7296" t="s">
        <v>88</v>
      </c>
      <c r="D7296" t="s">
        <v>88</v>
      </c>
      <c r="E7296" t="s">
        <v>2513</v>
      </c>
      <c r="F7296" t="s">
        <v>88</v>
      </c>
      <c r="G7296" t="s">
        <v>88</v>
      </c>
      <c r="H7296" t="s">
        <v>92</v>
      </c>
    </row>
    <row r="7297" spans="1:8" x14ac:dyDescent="0.25">
      <c r="A7297" t="s">
        <v>274</v>
      </c>
      <c r="B7297" t="s">
        <v>6427</v>
      </c>
      <c r="C7297" t="s">
        <v>88</v>
      </c>
      <c r="D7297" t="s">
        <v>88</v>
      </c>
      <c r="E7297" t="s">
        <v>2513</v>
      </c>
      <c r="F7297" t="s">
        <v>88</v>
      </c>
      <c r="G7297" t="s">
        <v>88</v>
      </c>
      <c r="H7297" t="s">
        <v>92</v>
      </c>
    </row>
    <row r="7298" spans="1:8" x14ac:dyDescent="0.25">
      <c r="A7298" t="s">
        <v>274</v>
      </c>
      <c r="B7298" t="s">
        <v>6431</v>
      </c>
      <c r="C7298" t="s">
        <v>88</v>
      </c>
      <c r="D7298" t="s">
        <v>88</v>
      </c>
      <c r="E7298" t="s">
        <v>2513</v>
      </c>
      <c r="F7298" t="s">
        <v>88</v>
      </c>
      <c r="G7298" t="s">
        <v>88</v>
      </c>
      <c r="H7298" t="s">
        <v>92</v>
      </c>
    </row>
    <row r="7299" spans="1:8" x14ac:dyDescent="0.25">
      <c r="A7299" t="s">
        <v>274</v>
      </c>
      <c r="B7299" t="s">
        <v>6432</v>
      </c>
      <c r="C7299" t="s">
        <v>88</v>
      </c>
      <c r="D7299" t="s">
        <v>88</v>
      </c>
      <c r="E7299" t="s">
        <v>2513</v>
      </c>
      <c r="F7299" t="s">
        <v>88</v>
      </c>
      <c r="G7299" t="s">
        <v>88</v>
      </c>
      <c r="H7299" t="s">
        <v>92</v>
      </c>
    </row>
    <row r="7300" spans="1:8" x14ac:dyDescent="0.25">
      <c r="A7300" t="s">
        <v>274</v>
      </c>
      <c r="B7300" t="s">
        <v>6433</v>
      </c>
      <c r="C7300" t="s">
        <v>88</v>
      </c>
      <c r="D7300" t="s">
        <v>88</v>
      </c>
      <c r="E7300" t="s">
        <v>2513</v>
      </c>
      <c r="F7300" t="s">
        <v>88</v>
      </c>
      <c r="G7300" t="s">
        <v>88</v>
      </c>
      <c r="H7300" t="s">
        <v>92</v>
      </c>
    </row>
    <row r="7301" spans="1:8" x14ac:dyDescent="0.25">
      <c r="A7301" t="s">
        <v>274</v>
      </c>
      <c r="B7301" t="s">
        <v>6436</v>
      </c>
      <c r="C7301" t="s">
        <v>88</v>
      </c>
      <c r="D7301" t="s">
        <v>88</v>
      </c>
      <c r="E7301" t="s">
        <v>849</v>
      </c>
      <c r="F7301" t="s">
        <v>88</v>
      </c>
      <c r="G7301" t="s">
        <v>88</v>
      </c>
      <c r="H7301" t="s">
        <v>92</v>
      </c>
    </row>
    <row r="7302" spans="1:8" x14ac:dyDescent="0.25">
      <c r="A7302" t="s">
        <v>274</v>
      </c>
      <c r="B7302" t="s">
        <v>6437</v>
      </c>
      <c r="C7302" t="s">
        <v>88</v>
      </c>
      <c r="D7302" t="s">
        <v>88</v>
      </c>
      <c r="E7302" t="s">
        <v>849</v>
      </c>
      <c r="F7302" t="s">
        <v>88</v>
      </c>
      <c r="G7302" t="s">
        <v>88</v>
      </c>
      <c r="H7302" t="s">
        <v>92</v>
      </c>
    </row>
    <row r="7303" spans="1:8" x14ac:dyDescent="0.25">
      <c r="A7303" t="s">
        <v>274</v>
      </c>
      <c r="B7303" t="s">
        <v>6438</v>
      </c>
      <c r="C7303" t="s">
        <v>88</v>
      </c>
      <c r="D7303" t="s">
        <v>88</v>
      </c>
      <c r="E7303" t="s">
        <v>849</v>
      </c>
      <c r="F7303" t="s">
        <v>88</v>
      </c>
      <c r="G7303" t="s">
        <v>88</v>
      </c>
      <c r="H7303" t="s">
        <v>92</v>
      </c>
    </row>
    <row r="7304" spans="1:8" x14ac:dyDescent="0.25">
      <c r="A7304" t="s">
        <v>274</v>
      </c>
      <c r="B7304" t="s">
        <v>845</v>
      </c>
      <c r="C7304" t="s">
        <v>88</v>
      </c>
      <c r="D7304" t="s">
        <v>88</v>
      </c>
      <c r="E7304" t="s">
        <v>735</v>
      </c>
      <c r="F7304" t="s">
        <v>88</v>
      </c>
      <c r="G7304" t="s">
        <v>88</v>
      </c>
      <c r="H7304" t="s">
        <v>92</v>
      </c>
    </row>
    <row r="7305" spans="1:8" x14ac:dyDescent="0.25">
      <c r="A7305" t="s">
        <v>274</v>
      </c>
      <c r="B7305" t="s">
        <v>6439</v>
      </c>
      <c r="C7305" t="s">
        <v>88</v>
      </c>
      <c r="D7305" t="s">
        <v>88</v>
      </c>
      <c r="E7305" t="s">
        <v>799</v>
      </c>
      <c r="F7305" t="s">
        <v>88</v>
      </c>
      <c r="G7305" t="s">
        <v>88</v>
      </c>
      <c r="H7305" t="s">
        <v>92</v>
      </c>
    </row>
    <row r="7306" spans="1:8" x14ac:dyDescent="0.25">
      <c r="A7306" t="s">
        <v>274</v>
      </c>
      <c r="B7306" t="s">
        <v>6440</v>
      </c>
      <c r="C7306" t="s">
        <v>88</v>
      </c>
      <c r="D7306" t="s">
        <v>88</v>
      </c>
      <c r="E7306" t="s">
        <v>735</v>
      </c>
      <c r="F7306" t="s">
        <v>88</v>
      </c>
      <c r="G7306" t="s">
        <v>88</v>
      </c>
      <c r="H7306" t="s">
        <v>92</v>
      </c>
    </row>
    <row r="7307" spans="1:8" x14ac:dyDescent="0.25">
      <c r="A7307" t="s">
        <v>274</v>
      </c>
      <c r="B7307" t="s">
        <v>6441</v>
      </c>
      <c r="C7307" t="s">
        <v>88</v>
      </c>
      <c r="D7307" t="s">
        <v>88</v>
      </c>
      <c r="E7307" t="s">
        <v>1594</v>
      </c>
      <c r="F7307" t="s">
        <v>88</v>
      </c>
      <c r="G7307" t="s">
        <v>88</v>
      </c>
      <c r="H7307" t="s">
        <v>92</v>
      </c>
    </row>
    <row r="7308" spans="1:8" x14ac:dyDescent="0.25">
      <c r="A7308" t="s">
        <v>274</v>
      </c>
      <c r="B7308" t="s">
        <v>6442</v>
      </c>
      <c r="C7308" t="s">
        <v>88</v>
      </c>
      <c r="D7308" t="s">
        <v>88</v>
      </c>
      <c r="E7308" t="s">
        <v>709</v>
      </c>
      <c r="F7308" t="s">
        <v>88</v>
      </c>
      <c r="G7308" t="s">
        <v>88</v>
      </c>
      <c r="H7308" t="s">
        <v>92</v>
      </c>
    </row>
    <row r="7309" spans="1:8" x14ac:dyDescent="0.25">
      <c r="A7309" t="s">
        <v>274</v>
      </c>
      <c r="B7309" t="s">
        <v>6443</v>
      </c>
      <c r="C7309" t="s">
        <v>88</v>
      </c>
      <c r="D7309" t="s">
        <v>88</v>
      </c>
      <c r="E7309" t="s">
        <v>713</v>
      </c>
      <c r="F7309" t="s">
        <v>88</v>
      </c>
      <c r="G7309" t="s">
        <v>88</v>
      </c>
      <c r="H7309" t="s">
        <v>92</v>
      </c>
    </row>
    <row r="7310" spans="1:8" x14ac:dyDescent="0.25">
      <c r="A7310" t="s">
        <v>274</v>
      </c>
      <c r="B7310" t="s">
        <v>6481</v>
      </c>
      <c r="C7310" t="s">
        <v>88</v>
      </c>
      <c r="D7310" t="s">
        <v>88</v>
      </c>
      <c r="E7310" t="s">
        <v>732</v>
      </c>
      <c r="F7310" t="s">
        <v>88</v>
      </c>
      <c r="G7310" t="s">
        <v>88</v>
      </c>
      <c r="H7310" t="s">
        <v>92</v>
      </c>
    </row>
    <row r="7311" spans="1:8" x14ac:dyDescent="0.25">
      <c r="A7311" t="s">
        <v>274</v>
      </c>
      <c r="B7311" t="s">
        <v>6489</v>
      </c>
      <c r="C7311" t="s">
        <v>88</v>
      </c>
      <c r="D7311" t="s">
        <v>88</v>
      </c>
      <c r="E7311" t="s">
        <v>734</v>
      </c>
      <c r="F7311" t="s">
        <v>88</v>
      </c>
      <c r="G7311" t="s">
        <v>88</v>
      </c>
      <c r="H7311" t="s">
        <v>92</v>
      </c>
    </row>
    <row r="7312" spans="1:8" x14ac:dyDescent="0.25">
      <c r="A7312" t="s">
        <v>274</v>
      </c>
      <c r="B7312" t="s">
        <v>701</v>
      </c>
      <c r="C7312" t="s">
        <v>88</v>
      </c>
      <c r="D7312" t="s">
        <v>88</v>
      </c>
      <c r="E7312" t="s">
        <v>957</v>
      </c>
      <c r="F7312" t="s">
        <v>88</v>
      </c>
      <c r="G7312" t="s">
        <v>88</v>
      </c>
      <c r="H7312" t="s">
        <v>92</v>
      </c>
    </row>
    <row r="7313" spans="1:8" x14ac:dyDescent="0.25">
      <c r="A7313" t="s">
        <v>274</v>
      </c>
      <c r="B7313" t="s">
        <v>705</v>
      </c>
      <c r="C7313" t="s">
        <v>88</v>
      </c>
      <c r="D7313" t="s">
        <v>88</v>
      </c>
      <c r="E7313" t="s">
        <v>957</v>
      </c>
      <c r="F7313" t="s">
        <v>88</v>
      </c>
      <c r="G7313" t="s">
        <v>88</v>
      </c>
      <c r="H7313" t="s">
        <v>92</v>
      </c>
    </row>
    <row r="7314" spans="1:8" x14ac:dyDescent="0.25">
      <c r="A7314" t="s">
        <v>274</v>
      </c>
      <c r="B7314" t="s">
        <v>6513</v>
      </c>
      <c r="C7314" t="s">
        <v>88</v>
      </c>
      <c r="D7314" t="s">
        <v>88</v>
      </c>
      <c r="E7314" t="s">
        <v>710</v>
      </c>
      <c r="F7314" t="s">
        <v>88</v>
      </c>
      <c r="G7314" t="s">
        <v>88</v>
      </c>
      <c r="H7314" t="s">
        <v>92</v>
      </c>
    </row>
    <row r="7315" spans="1:8" x14ac:dyDescent="0.25">
      <c r="A7315" t="s">
        <v>274</v>
      </c>
      <c r="B7315" t="s">
        <v>6514</v>
      </c>
      <c r="C7315" t="s">
        <v>88</v>
      </c>
      <c r="D7315" t="s">
        <v>88</v>
      </c>
      <c r="E7315" t="s">
        <v>711</v>
      </c>
      <c r="F7315" t="s">
        <v>88</v>
      </c>
      <c r="G7315" t="s">
        <v>88</v>
      </c>
      <c r="H7315" t="s">
        <v>92</v>
      </c>
    </row>
    <row r="7316" spans="1:8" x14ac:dyDescent="0.25">
      <c r="A7316" t="s">
        <v>274</v>
      </c>
      <c r="B7316" t="s">
        <v>6518</v>
      </c>
      <c r="C7316" t="s">
        <v>88</v>
      </c>
      <c r="D7316" t="s">
        <v>88</v>
      </c>
      <c r="E7316" t="s">
        <v>848</v>
      </c>
      <c r="F7316" t="s">
        <v>88</v>
      </c>
      <c r="G7316" t="s">
        <v>88</v>
      </c>
      <c r="H7316" t="s">
        <v>92</v>
      </c>
    </row>
    <row r="7317" spans="1:8" x14ac:dyDescent="0.25">
      <c r="A7317" t="s">
        <v>274</v>
      </c>
      <c r="B7317" t="s">
        <v>6519</v>
      </c>
      <c r="C7317" t="s">
        <v>88</v>
      </c>
      <c r="D7317" t="s">
        <v>88</v>
      </c>
      <c r="E7317" t="s">
        <v>848</v>
      </c>
      <c r="F7317" t="s">
        <v>88</v>
      </c>
      <c r="G7317" t="s">
        <v>88</v>
      </c>
      <c r="H7317" t="s">
        <v>92</v>
      </c>
    </row>
    <row r="7318" spans="1:8" x14ac:dyDescent="0.25">
      <c r="A7318" t="s">
        <v>274</v>
      </c>
      <c r="B7318" t="s">
        <v>6520</v>
      </c>
      <c r="C7318" t="s">
        <v>88</v>
      </c>
      <c r="D7318" t="s">
        <v>88</v>
      </c>
      <c r="E7318" t="s">
        <v>713</v>
      </c>
      <c r="F7318" t="s">
        <v>88</v>
      </c>
      <c r="G7318" t="s">
        <v>88</v>
      </c>
      <c r="H7318" t="s">
        <v>92</v>
      </c>
    </row>
    <row r="7319" spans="1:8" x14ac:dyDescent="0.25">
      <c r="A7319" t="s">
        <v>274</v>
      </c>
      <c r="B7319" t="s">
        <v>622</v>
      </c>
      <c r="C7319" t="s">
        <v>88</v>
      </c>
      <c r="D7319" t="s">
        <v>88</v>
      </c>
      <c r="E7319" t="s">
        <v>848</v>
      </c>
      <c r="F7319" t="s">
        <v>88</v>
      </c>
      <c r="G7319" t="s">
        <v>88</v>
      </c>
      <c r="H7319" t="s">
        <v>92</v>
      </c>
    </row>
    <row r="7320" spans="1:8" x14ac:dyDescent="0.25">
      <c r="A7320" t="s">
        <v>274</v>
      </c>
      <c r="B7320" t="s">
        <v>623</v>
      </c>
      <c r="C7320" t="s">
        <v>88</v>
      </c>
      <c r="D7320" t="s">
        <v>88</v>
      </c>
      <c r="E7320" t="s">
        <v>735</v>
      </c>
      <c r="F7320" t="s">
        <v>88</v>
      </c>
      <c r="G7320" t="s">
        <v>88</v>
      </c>
      <c r="H7320" t="s">
        <v>92</v>
      </c>
    </row>
    <row r="7321" spans="1:8" x14ac:dyDescent="0.25">
      <c r="A7321" t="s">
        <v>274</v>
      </c>
      <c r="B7321" t="s">
        <v>714</v>
      </c>
      <c r="C7321" t="s">
        <v>88</v>
      </c>
      <c r="D7321" t="s">
        <v>88</v>
      </c>
      <c r="E7321" t="s">
        <v>1598</v>
      </c>
      <c r="F7321" t="s">
        <v>88</v>
      </c>
      <c r="G7321" t="s">
        <v>88</v>
      </c>
      <c r="H7321" t="s">
        <v>92</v>
      </c>
    </row>
    <row r="7322" spans="1:8" x14ac:dyDescent="0.25">
      <c r="A7322" t="s">
        <v>274</v>
      </c>
      <c r="B7322" t="s">
        <v>998</v>
      </c>
      <c r="C7322" t="s">
        <v>88</v>
      </c>
      <c r="D7322" t="s">
        <v>88</v>
      </c>
      <c r="E7322" t="s">
        <v>1598</v>
      </c>
      <c r="F7322" t="s">
        <v>88</v>
      </c>
      <c r="G7322" t="s">
        <v>88</v>
      </c>
      <c r="H7322" t="s">
        <v>92</v>
      </c>
    </row>
    <row r="7323" spans="1:8" x14ac:dyDescent="0.25">
      <c r="A7323" t="s">
        <v>274</v>
      </c>
      <c r="B7323" t="s">
        <v>6524</v>
      </c>
      <c r="C7323" t="s">
        <v>88</v>
      </c>
      <c r="D7323" t="s">
        <v>88</v>
      </c>
      <c r="E7323" t="s">
        <v>2513</v>
      </c>
      <c r="F7323" t="s">
        <v>88</v>
      </c>
      <c r="G7323" t="s">
        <v>88</v>
      </c>
      <c r="H7323" t="s">
        <v>92</v>
      </c>
    </row>
    <row r="7324" spans="1:8" x14ac:dyDescent="0.25">
      <c r="A7324" t="s">
        <v>274</v>
      </c>
      <c r="B7324" t="s">
        <v>625</v>
      </c>
      <c r="C7324" t="s">
        <v>88</v>
      </c>
      <c r="D7324" t="s">
        <v>88</v>
      </c>
      <c r="E7324" t="s">
        <v>626</v>
      </c>
      <c r="F7324" t="s">
        <v>88</v>
      </c>
      <c r="G7324" t="s">
        <v>88</v>
      </c>
      <c r="H7324" t="s">
        <v>92</v>
      </c>
    </row>
    <row r="7325" spans="1:8" x14ac:dyDescent="0.25">
      <c r="A7325" t="s">
        <v>275</v>
      </c>
      <c r="B7325" t="s">
        <v>6258</v>
      </c>
      <c r="C7325" t="s">
        <v>88</v>
      </c>
      <c r="D7325" t="s">
        <v>6259</v>
      </c>
      <c r="E7325" t="s">
        <v>673</v>
      </c>
      <c r="F7325" t="s">
        <v>88</v>
      </c>
      <c r="G7325" t="s">
        <v>88</v>
      </c>
      <c r="H7325" t="s">
        <v>92</v>
      </c>
    </row>
    <row r="7326" spans="1:8" x14ac:dyDescent="0.25">
      <c r="A7326" t="s">
        <v>275</v>
      </c>
      <c r="B7326" t="s">
        <v>6260</v>
      </c>
      <c r="C7326" t="s">
        <v>88</v>
      </c>
      <c r="D7326" t="s">
        <v>6261</v>
      </c>
      <c r="E7326" t="s">
        <v>2481</v>
      </c>
      <c r="F7326" t="s">
        <v>88</v>
      </c>
      <c r="G7326" t="s">
        <v>88</v>
      </c>
      <c r="H7326" t="s">
        <v>92</v>
      </c>
    </row>
    <row r="7327" spans="1:8" x14ac:dyDescent="0.25">
      <c r="A7327" t="s">
        <v>275</v>
      </c>
      <c r="B7327" t="s">
        <v>6262</v>
      </c>
      <c r="C7327" t="s">
        <v>88</v>
      </c>
      <c r="D7327" t="s">
        <v>6263</v>
      </c>
      <c r="E7327" t="s">
        <v>937</v>
      </c>
      <c r="F7327" t="s">
        <v>88</v>
      </c>
      <c r="G7327" t="s">
        <v>88</v>
      </c>
      <c r="H7327" t="s">
        <v>92</v>
      </c>
    </row>
    <row r="7328" spans="1:8" x14ac:dyDescent="0.25">
      <c r="A7328" t="s">
        <v>275</v>
      </c>
      <c r="B7328" t="s">
        <v>6264</v>
      </c>
      <c r="C7328" t="s">
        <v>88</v>
      </c>
      <c r="D7328" t="s">
        <v>6265</v>
      </c>
      <c r="E7328" t="s">
        <v>1353</v>
      </c>
      <c r="F7328" t="s">
        <v>88</v>
      </c>
      <c r="G7328" t="s">
        <v>88</v>
      </c>
      <c r="H7328" t="s">
        <v>92</v>
      </c>
    </row>
    <row r="7329" spans="1:8" x14ac:dyDescent="0.25">
      <c r="A7329" t="s">
        <v>275</v>
      </c>
      <c r="B7329" t="s">
        <v>6266</v>
      </c>
      <c r="C7329" t="s">
        <v>88</v>
      </c>
      <c r="D7329" t="s">
        <v>6267</v>
      </c>
      <c r="E7329" t="s">
        <v>6268</v>
      </c>
      <c r="F7329" t="s">
        <v>88</v>
      </c>
      <c r="G7329" t="s">
        <v>88</v>
      </c>
      <c r="H7329" t="s">
        <v>92</v>
      </c>
    </row>
    <row r="7330" spans="1:8" x14ac:dyDescent="0.25">
      <c r="A7330" t="s">
        <v>275</v>
      </c>
      <c r="B7330" t="s">
        <v>6269</v>
      </c>
      <c r="C7330" t="s">
        <v>88</v>
      </c>
      <c r="D7330" t="s">
        <v>6270</v>
      </c>
      <c r="E7330" t="s">
        <v>760</v>
      </c>
      <c r="F7330" t="s">
        <v>88</v>
      </c>
      <c r="G7330" t="s">
        <v>88</v>
      </c>
      <c r="H7330" t="s">
        <v>92</v>
      </c>
    </row>
    <row r="7331" spans="1:8" x14ac:dyDescent="0.25">
      <c r="A7331" t="s">
        <v>275</v>
      </c>
      <c r="B7331" t="s">
        <v>2359</v>
      </c>
      <c r="C7331" t="s">
        <v>88</v>
      </c>
      <c r="D7331" t="s">
        <v>88</v>
      </c>
      <c r="E7331" t="s">
        <v>791</v>
      </c>
      <c r="F7331" t="s">
        <v>88</v>
      </c>
      <c r="G7331" t="s">
        <v>88</v>
      </c>
      <c r="H7331" t="s">
        <v>92</v>
      </c>
    </row>
    <row r="7332" spans="1:8" x14ac:dyDescent="0.25">
      <c r="A7332" t="s">
        <v>275</v>
      </c>
      <c r="B7332" t="s">
        <v>6274</v>
      </c>
      <c r="C7332" t="s">
        <v>88</v>
      </c>
      <c r="D7332" t="s">
        <v>88</v>
      </c>
      <c r="E7332" t="s">
        <v>1139</v>
      </c>
      <c r="F7332" t="s">
        <v>88</v>
      </c>
      <c r="G7332" t="s">
        <v>88</v>
      </c>
      <c r="H7332" t="s">
        <v>92</v>
      </c>
    </row>
    <row r="7333" spans="1:8" x14ac:dyDescent="0.25">
      <c r="A7333" t="s">
        <v>275</v>
      </c>
      <c r="B7333" t="s">
        <v>6279</v>
      </c>
      <c r="C7333" t="s">
        <v>88</v>
      </c>
      <c r="D7333" t="s">
        <v>6280</v>
      </c>
      <c r="E7333" t="s">
        <v>780</v>
      </c>
      <c r="F7333" t="s">
        <v>88</v>
      </c>
      <c r="G7333" t="s">
        <v>88</v>
      </c>
      <c r="H7333" t="s">
        <v>92</v>
      </c>
    </row>
    <row r="7334" spans="1:8" x14ac:dyDescent="0.25">
      <c r="A7334" t="s">
        <v>275</v>
      </c>
      <c r="B7334" t="s">
        <v>6281</v>
      </c>
      <c r="C7334" t="s">
        <v>88</v>
      </c>
      <c r="D7334" t="s">
        <v>6282</v>
      </c>
      <c r="E7334" t="s">
        <v>2193</v>
      </c>
      <c r="F7334" t="s">
        <v>88</v>
      </c>
      <c r="G7334" t="s">
        <v>88</v>
      </c>
      <c r="H7334" t="s">
        <v>92</v>
      </c>
    </row>
    <row r="7335" spans="1:8" x14ac:dyDescent="0.25">
      <c r="A7335" t="s">
        <v>275</v>
      </c>
      <c r="B7335" t="s">
        <v>6283</v>
      </c>
      <c r="C7335" t="s">
        <v>88</v>
      </c>
      <c r="D7335" t="s">
        <v>6284</v>
      </c>
      <c r="E7335" t="s">
        <v>663</v>
      </c>
      <c r="F7335" t="s">
        <v>88</v>
      </c>
      <c r="G7335" t="s">
        <v>88</v>
      </c>
      <c r="H7335" t="s">
        <v>92</v>
      </c>
    </row>
    <row r="7336" spans="1:8" x14ac:dyDescent="0.25">
      <c r="A7336" t="s">
        <v>275</v>
      </c>
      <c r="B7336" t="s">
        <v>6285</v>
      </c>
      <c r="C7336" t="s">
        <v>88</v>
      </c>
      <c r="D7336" t="s">
        <v>6286</v>
      </c>
      <c r="E7336" t="s">
        <v>658</v>
      </c>
      <c r="F7336" t="s">
        <v>88</v>
      </c>
      <c r="G7336" t="s">
        <v>88</v>
      </c>
      <c r="H7336" t="s">
        <v>92</v>
      </c>
    </row>
    <row r="7337" spans="1:8" x14ac:dyDescent="0.25">
      <c r="A7337" t="s">
        <v>275</v>
      </c>
      <c r="B7337" t="s">
        <v>6287</v>
      </c>
      <c r="C7337" t="s">
        <v>88</v>
      </c>
      <c r="D7337" t="s">
        <v>6288</v>
      </c>
      <c r="E7337" t="s">
        <v>2989</v>
      </c>
      <c r="F7337" t="s">
        <v>88</v>
      </c>
      <c r="G7337" t="s">
        <v>88</v>
      </c>
      <c r="H7337" t="s">
        <v>92</v>
      </c>
    </row>
    <row r="7338" spans="1:8" x14ac:dyDescent="0.25">
      <c r="A7338" t="s">
        <v>275</v>
      </c>
      <c r="B7338" t="s">
        <v>6289</v>
      </c>
      <c r="C7338" t="s">
        <v>88</v>
      </c>
      <c r="D7338" t="s">
        <v>6290</v>
      </c>
      <c r="E7338" t="s">
        <v>841</v>
      </c>
      <c r="F7338" t="s">
        <v>88</v>
      </c>
      <c r="G7338" t="s">
        <v>88</v>
      </c>
      <c r="H7338" t="s">
        <v>92</v>
      </c>
    </row>
    <row r="7339" spans="1:8" x14ac:dyDescent="0.25">
      <c r="A7339" t="s">
        <v>275</v>
      </c>
      <c r="B7339" t="s">
        <v>6291</v>
      </c>
      <c r="C7339" t="s">
        <v>88</v>
      </c>
      <c r="D7339" t="s">
        <v>6292</v>
      </c>
      <c r="E7339" t="s">
        <v>2800</v>
      </c>
      <c r="F7339" t="s">
        <v>88</v>
      </c>
      <c r="G7339" t="s">
        <v>88</v>
      </c>
      <c r="H7339" t="s">
        <v>92</v>
      </c>
    </row>
    <row r="7340" spans="1:8" x14ac:dyDescent="0.25">
      <c r="A7340" t="s">
        <v>275</v>
      </c>
      <c r="B7340" t="s">
        <v>6293</v>
      </c>
      <c r="C7340" t="s">
        <v>88</v>
      </c>
      <c r="D7340" t="s">
        <v>6294</v>
      </c>
      <c r="E7340" t="s">
        <v>1189</v>
      </c>
      <c r="F7340" t="s">
        <v>88</v>
      </c>
      <c r="G7340" t="s">
        <v>88</v>
      </c>
      <c r="H7340" t="s">
        <v>92</v>
      </c>
    </row>
    <row r="7341" spans="1:8" x14ac:dyDescent="0.25">
      <c r="A7341" t="s">
        <v>275</v>
      </c>
      <c r="B7341" t="s">
        <v>6301</v>
      </c>
      <c r="C7341" t="s">
        <v>88</v>
      </c>
      <c r="D7341" t="s">
        <v>6302</v>
      </c>
      <c r="E7341" t="s">
        <v>762</v>
      </c>
      <c r="F7341" t="s">
        <v>88</v>
      </c>
      <c r="G7341" t="s">
        <v>88</v>
      </c>
      <c r="H7341" t="s">
        <v>92</v>
      </c>
    </row>
    <row r="7342" spans="1:8" x14ac:dyDescent="0.25">
      <c r="A7342" t="s">
        <v>275</v>
      </c>
      <c r="B7342" t="s">
        <v>6303</v>
      </c>
      <c r="C7342" t="s">
        <v>88</v>
      </c>
      <c r="D7342" t="s">
        <v>6304</v>
      </c>
      <c r="E7342" t="s">
        <v>663</v>
      </c>
      <c r="F7342" t="s">
        <v>88</v>
      </c>
      <c r="G7342" t="s">
        <v>88</v>
      </c>
      <c r="H7342" t="s">
        <v>92</v>
      </c>
    </row>
    <row r="7343" spans="1:8" x14ac:dyDescent="0.25">
      <c r="A7343" t="s">
        <v>275</v>
      </c>
      <c r="B7343" t="s">
        <v>6305</v>
      </c>
      <c r="C7343" t="s">
        <v>88</v>
      </c>
      <c r="D7343" t="s">
        <v>6306</v>
      </c>
      <c r="E7343" t="s">
        <v>2513</v>
      </c>
      <c r="F7343" t="s">
        <v>88</v>
      </c>
      <c r="G7343" t="s">
        <v>88</v>
      </c>
      <c r="H7343" t="s">
        <v>92</v>
      </c>
    </row>
    <row r="7344" spans="1:8" x14ac:dyDescent="0.25">
      <c r="A7344" t="s">
        <v>275</v>
      </c>
      <c r="B7344" t="s">
        <v>6307</v>
      </c>
      <c r="C7344" t="s">
        <v>88</v>
      </c>
      <c r="D7344" t="s">
        <v>6308</v>
      </c>
      <c r="E7344" t="s">
        <v>2166</v>
      </c>
      <c r="F7344" t="s">
        <v>88</v>
      </c>
      <c r="G7344" t="s">
        <v>88</v>
      </c>
      <c r="H7344" t="s">
        <v>92</v>
      </c>
    </row>
    <row r="7345" spans="1:8" x14ac:dyDescent="0.25">
      <c r="A7345" t="s">
        <v>275</v>
      </c>
      <c r="B7345" t="s">
        <v>6315</v>
      </c>
      <c r="C7345" t="s">
        <v>88</v>
      </c>
      <c r="D7345" t="s">
        <v>6316</v>
      </c>
      <c r="E7345" t="s">
        <v>886</v>
      </c>
      <c r="F7345" t="s">
        <v>88</v>
      </c>
      <c r="G7345" t="s">
        <v>88</v>
      </c>
      <c r="H7345" t="s">
        <v>92</v>
      </c>
    </row>
    <row r="7346" spans="1:8" x14ac:dyDescent="0.25">
      <c r="A7346" t="s">
        <v>275</v>
      </c>
      <c r="B7346" t="s">
        <v>6319</v>
      </c>
      <c r="C7346" t="s">
        <v>88</v>
      </c>
      <c r="D7346" t="s">
        <v>6320</v>
      </c>
      <c r="E7346" t="s">
        <v>1839</v>
      </c>
      <c r="F7346" t="s">
        <v>88</v>
      </c>
      <c r="G7346" t="s">
        <v>88</v>
      </c>
      <c r="H7346" t="s">
        <v>92</v>
      </c>
    </row>
    <row r="7347" spans="1:8" x14ac:dyDescent="0.25">
      <c r="A7347" t="s">
        <v>275</v>
      </c>
      <c r="B7347" t="s">
        <v>6323</v>
      </c>
      <c r="C7347" t="s">
        <v>88</v>
      </c>
      <c r="D7347" t="s">
        <v>6324</v>
      </c>
      <c r="E7347" t="s">
        <v>6325</v>
      </c>
      <c r="F7347" t="s">
        <v>88</v>
      </c>
      <c r="G7347" t="s">
        <v>88</v>
      </c>
      <c r="H7347" t="s">
        <v>92</v>
      </c>
    </row>
    <row r="7348" spans="1:8" x14ac:dyDescent="0.25">
      <c r="A7348" t="s">
        <v>275</v>
      </c>
      <c r="B7348" t="s">
        <v>6328</v>
      </c>
      <c r="C7348" t="s">
        <v>88</v>
      </c>
      <c r="D7348" t="s">
        <v>6329</v>
      </c>
      <c r="E7348" t="s">
        <v>1255</v>
      </c>
      <c r="F7348" t="s">
        <v>88</v>
      </c>
      <c r="G7348" t="s">
        <v>88</v>
      </c>
      <c r="H7348" t="s">
        <v>92</v>
      </c>
    </row>
    <row r="7349" spans="1:8" x14ac:dyDescent="0.25">
      <c r="A7349" t="s">
        <v>275</v>
      </c>
      <c r="B7349" t="s">
        <v>6330</v>
      </c>
      <c r="C7349" t="s">
        <v>88</v>
      </c>
      <c r="D7349" t="s">
        <v>6331</v>
      </c>
      <c r="E7349" t="s">
        <v>2378</v>
      </c>
      <c r="F7349" t="s">
        <v>88</v>
      </c>
      <c r="G7349" t="s">
        <v>88</v>
      </c>
      <c r="H7349" t="s">
        <v>92</v>
      </c>
    </row>
    <row r="7350" spans="1:8" x14ac:dyDescent="0.25">
      <c r="A7350" t="s">
        <v>275</v>
      </c>
      <c r="B7350" t="s">
        <v>6332</v>
      </c>
      <c r="C7350" t="s">
        <v>88</v>
      </c>
      <c r="D7350" t="s">
        <v>6333</v>
      </c>
      <c r="E7350" t="s">
        <v>6334</v>
      </c>
      <c r="F7350" t="s">
        <v>88</v>
      </c>
      <c r="G7350" t="s">
        <v>88</v>
      </c>
      <c r="H7350" t="s">
        <v>92</v>
      </c>
    </row>
    <row r="7351" spans="1:8" x14ac:dyDescent="0.25">
      <c r="A7351" t="s">
        <v>275</v>
      </c>
      <c r="B7351" t="s">
        <v>6335</v>
      </c>
      <c r="C7351" t="s">
        <v>88</v>
      </c>
      <c r="D7351" t="s">
        <v>6336</v>
      </c>
      <c r="E7351" t="s">
        <v>673</v>
      </c>
      <c r="F7351" t="s">
        <v>88</v>
      </c>
      <c r="G7351" t="s">
        <v>88</v>
      </c>
      <c r="H7351" t="s">
        <v>92</v>
      </c>
    </row>
    <row r="7352" spans="1:8" x14ac:dyDescent="0.25">
      <c r="A7352" t="s">
        <v>275</v>
      </c>
      <c r="B7352" t="s">
        <v>6337</v>
      </c>
      <c r="C7352" t="s">
        <v>88</v>
      </c>
      <c r="D7352" t="s">
        <v>6338</v>
      </c>
      <c r="E7352" t="s">
        <v>1139</v>
      </c>
      <c r="F7352" t="s">
        <v>88</v>
      </c>
      <c r="G7352" t="s">
        <v>88</v>
      </c>
      <c r="H7352" t="s">
        <v>92</v>
      </c>
    </row>
    <row r="7353" spans="1:8" x14ac:dyDescent="0.25">
      <c r="A7353" t="s">
        <v>275</v>
      </c>
      <c r="B7353" t="s">
        <v>6339</v>
      </c>
      <c r="C7353" t="s">
        <v>88</v>
      </c>
      <c r="D7353" t="s">
        <v>6340</v>
      </c>
      <c r="E7353" t="s">
        <v>2833</v>
      </c>
      <c r="F7353" t="s">
        <v>88</v>
      </c>
      <c r="G7353" t="s">
        <v>88</v>
      </c>
      <c r="H7353" t="s">
        <v>92</v>
      </c>
    </row>
    <row r="7354" spans="1:8" x14ac:dyDescent="0.25">
      <c r="A7354" t="s">
        <v>275</v>
      </c>
      <c r="B7354" t="s">
        <v>6341</v>
      </c>
      <c r="C7354" t="s">
        <v>88</v>
      </c>
      <c r="D7354" t="s">
        <v>6342</v>
      </c>
      <c r="E7354" t="s">
        <v>721</v>
      </c>
      <c r="F7354" t="s">
        <v>88</v>
      </c>
      <c r="G7354" t="s">
        <v>88</v>
      </c>
      <c r="H7354" t="s">
        <v>92</v>
      </c>
    </row>
    <row r="7355" spans="1:8" x14ac:dyDescent="0.25">
      <c r="A7355" t="s">
        <v>275</v>
      </c>
      <c r="B7355" t="s">
        <v>6343</v>
      </c>
      <c r="C7355" t="s">
        <v>88</v>
      </c>
      <c r="D7355" t="s">
        <v>6344</v>
      </c>
      <c r="E7355" t="s">
        <v>725</v>
      </c>
      <c r="F7355" t="s">
        <v>88</v>
      </c>
      <c r="G7355" t="s">
        <v>88</v>
      </c>
      <c r="H7355" t="s">
        <v>92</v>
      </c>
    </row>
    <row r="7356" spans="1:8" x14ac:dyDescent="0.25">
      <c r="A7356" t="s">
        <v>275</v>
      </c>
      <c r="B7356" t="s">
        <v>6345</v>
      </c>
      <c r="C7356" t="s">
        <v>88</v>
      </c>
      <c r="D7356" t="s">
        <v>6346</v>
      </c>
      <c r="E7356" t="s">
        <v>717</v>
      </c>
      <c r="F7356" t="s">
        <v>88</v>
      </c>
      <c r="G7356" t="s">
        <v>88</v>
      </c>
      <c r="H7356" t="s">
        <v>92</v>
      </c>
    </row>
    <row r="7357" spans="1:8" x14ac:dyDescent="0.25">
      <c r="A7357" t="s">
        <v>275</v>
      </c>
      <c r="B7357" t="s">
        <v>6349</v>
      </c>
      <c r="C7357" t="s">
        <v>88</v>
      </c>
      <c r="D7357" t="s">
        <v>6350</v>
      </c>
      <c r="E7357" t="s">
        <v>760</v>
      </c>
      <c r="F7357" t="s">
        <v>88</v>
      </c>
      <c r="G7357" t="s">
        <v>88</v>
      </c>
      <c r="H7357" t="s">
        <v>92</v>
      </c>
    </row>
    <row r="7358" spans="1:8" x14ac:dyDescent="0.25">
      <c r="A7358" t="s">
        <v>275</v>
      </c>
      <c r="B7358" t="s">
        <v>1019</v>
      </c>
      <c r="C7358" t="s">
        <v>88</v>
      </c>
      <c r="D7358" t="s">
        <v>6354</v>
      </c>
      <c r="E7358" t="s">
        <v>1221</v>
      </c>
      <c r="F7358" t="s">
        <v>88</v>
      </c>
      <c r="G7358" t="s">
        <v>88</v>
      </c>
      <c r="H7358" t="s">
        <v>92</v>
      </c>
    </row>
    <row r="7359" spans="1:8" x14ac:dyDescent="0.25">
      <c r="A7359" t="s">
        <v>275</v>
      </c>
      <c r="B7359" t="s">
        <v>832</v>
      </c>
      <c r="C7359" t="s">
        <v>88</v>
      </c>
      <c r="D7359" t="s">
        <v>6355</v>
      </c>
      <c r="E7359" t="s">
        <v>760</v>
      </c>
      <c r="F7359" t="s">
        <v>88</v>
      </c>
      <c r="G7359" t="s">
        <v>88</v>
      </c>
      <c r="H7359" t="s">
        <v>92</v>
      </c>
    </row>
    <row r="7360" spans="1:8" x14ac:dyDescent="0.25">
      <c r="A7360" t="s">
        <v>275</v>
      </c>
      <c r="B7360" t="s">
        <v>818</v>
      </c>
      <c r="C7360" t="s">
        <v>88</v>
      </c>
      <c r="D7360" t="s">
        <v>6352</v>
      </c>
      <c r="E7360" t="s">
        <v>6353</v>
      </c>
      <c r="F7360" t="s">
        <v>88</v>
      </c>
      <c r="G7360" t="s">
        <v>88</v>
      </c>
      <c r="H7360" t="s">
        <v>92</v>
      </c>
    </row>
    <row r="7361" spans="1:8" x14ac:dyDescent="0.25">
      <c r="A7361" t="s">
        <v>275</v>
      </c>
      <c r="B7361" t="s">
        <v>837</v>
      </c>
      <c r="C7361" t="s">
        <v>88</v>
      </c>
      <c r="D7361" t="s">
        <v>6356</v>
      </c>
      <c r="E7361" t="s">
        <v>3181</v>
      </c>
      <c r="F7361" t="s">
        <v>88</v>
      </c>
      <c r="G7361" t="s">
        <v>88</v>
      </c>
      <c r="H7361" t="s">
        <v>92</v>
      </c>
    </row>
    <row r="7362" spans="1:8" x14ac:dyDescent="0.25">
      <c r="A7362" t="s">
        <v>275</v>
      </c>
      <c r="B7362" t="s">
        <v>823</v>
      </c>
      <c r="C7362" t="s">
        <v>88</v>
      </c>
      <c r="D7362" t="s">
        <v>6357</v>
      </c>
      <c r="E7362" t="s">
        <v>6358</v>
      </c>
      <c r="F7362" t="s">
        <v>88</v>
      </c>
      <c r="G7362" t="s">
        <v>88</v>
      </c>
      <c r="H7362" t="s">
        <v>92</v>
      </c>
    </row>
    <row r="7363" spans="1:8" x14ac:dyDescent="0.25">
      <c r="A7363" t="s">
        <v>275</v>
      </c>
      <c r="B7363" t="s">
        <v>6362</v>
      </c>
      <c r="C7363" t="s">
        <v>88</v>
      </c>
      <c r="D7363" t="s">
        <v>6363</v>
      </c>
      <c r="E7363" t="s">
        <v>715</v>
      </c>
      <c r="F7363" t="s">
        <v>88</v>
      </c>
      <c r="G7363" t="s">
        <v>88</v>
      </c>
      <c r="H7363" t="s">
        <v>92</v>
      </c>
    </row>
    <row r="7364" spans="1:8" x14ac:dyDescent="0.25">
      <c r="A7364" t="s">
        <v>275</v>
      </c>
      <c r="B7364" t="s">
        <v>6360</v>
      </c>
      <c r="C7364" t="s">
        <v>88</v>
      </c>
      <c r="D7364" t="s">
        <v>6361</v>
      </c>
      <c r="E7364" t="s">
        <v>723</v>
      </c>
      <c r="F7364" t="s">
        <v>88</v>
      </c>
      <c r="G7364" t="s">
        <v>88</v>
      </c>
      <c r="H7364" t="s">
        <v>92</v>
      </c>
    </row>
    <row r="7365" spans="1:8" x14ac:dyDescent="0.25">
      <c r="A7365" t="s">
        <v>275</v>
      </c>
      <c r="B7365" t="s">
        <v>6366</v>
      </c>
      <c r="C7365" t="s">
        <v>88</v>
      </c>
      <c r="D7365" t="s">
        <v>6367</v>
      </c>
      <c r="E7365" t="s">
        <v>679</v>
      </c>
      <c r="F7365" t="s">
        <v>88</v>
      </c>
      <c r="G7365" t="s">
        <v>88</v>
      </c>
      <c r="H7365" t="s">
        <v>92</v>
      </c>
    </row>
    <row r="7366" spans="1:8" x14ac:dyDescent="0.25">
      <c r="A7366" t="s">
        <v>275</v>
      </c>
      <c r="B7366" t="s">
        <v>6364</v>
      </c>
      <c r="C7366" t="s">
        <v>88</v>
      </c>
      <c r="D7366" t="s">
        <v>6365</v>
      </c>
      <c r="E7366" t="s">
        <v>1971</v>
      </c>
      <c r="F7366" t="s">
        <v>88</v>
      </c>
      <c r="G7366" t="s">
        <v>88</v>
      </c>
      <c r="H7366" t="s">
        <v>92</v>
      </c>
    </row>
    <row r="7367" spans="1:8" x14ac:dyDescent="0.25">
      <c r="A7367" t="s">
        <v>275</v>
      </c>
      <c r="B7367" t="s">
        <v>789</v>
      </c>
      <c r="C7367" t="s">
        <v>88</v>
      </c>
      <c r="D7367" t="s">
        <v>6359</v>
      </c>
      <c r="E7367" t="s">
        <v>1598</v>
      </c>
      <c r="F7367" t="s">
        <v>88</v>
      </c>
      <c r="G7367" t="s">
        <v>88</v>
      </c>
      <c r="H7367" t="s">
        <v>92</v>
      </c>
    </row>
    <row r="7368" spans="1:8" x14ac:dyDescent="0.25">
      <c r="A7368" t="s">
        <v>275</v>
      </c>
      <c r="B7368" t="s">
        <v>6368</v>
      </c>
      <c r="C7368" t="s">
        <v>88</v>
      </c>
      <c r="D7368" t="s">
        <v>6369</v>
      </c>
      <c r="E7368" t="s">
        <v>723</v>
      </c>
      <c r="F7368" t="s">
        <v>88</v>
      </c>
      <c r="G7368" t="s">
        <v>88</v>
      </c>
      <c r="H7368" t="s">
        <v>92</v>
      </c>
    </row>
    <row r="7369" spans="1:8" x14ac:dyDescent="0.25">
      <c r="A7369" t="s">
        <v>275</v>
      </c>
      <c r="B7369" t="s">
        <v>854</v>
      </c>
      <c r="C7369" t="s">
        <v>88</v>
      </c>
      <c r="D7369" t="s">
        <v>6372</v>
      </c>
      <c r="E7369" t="s">
        <v>2513</v>
      </c>
      <c r="F7369" t="s">
        <v>88</v>
      </c>
      <c r="G7369" t="s">
        <v>88</v>
      </c>
      <c r="H7369" t="s">
        <v>92</v>
      </c>
    </row>
    <row r="7370" spans="1:8" x14ac:dyDescent="0.25">
      <c r="A7370" t="s">
        <v>275</v>
      </c>
      <c r="B7370" t="s">
        <v>6374</v>
      </c>
      <c r="C7370" t="s">
        <v>88</v>
      </c>
      <c r="D7370" t="s">
        <v>6375</v>
      </c>
      <c r="E7370" t="s">
        <v>1377</v>
      </c>
      <c r="F7370" t="s">
        <v>88</v>
      </c>
      <c r="G7370" t="s">
        <v>88</v>
      </c>
      <c r="H7370" t="s">
        <v>92</v>
      </c>
    </row>
    <row r="7371" spans="1:8" x14ac:dyDescent="0.25">
      <c r="A7371" t="s">
        <v>275</v>
      </c>
      <c r="B7371" t="s">
        <v>6378</v>
      </c>
      <c r="C7371" t="s">
        <v>88</v>
      </c>
      <c r="D7371" t="s">
        <v>88</v>
      </c>
      <c r="E7371" t="s">
        <v>2360</v>
      </c>
      <c r="F7371" t="s">
        <v>88</v>
      </c>
      <c r="G7371" t="s">
        <v>88</v>
      </c>
      <c r="H7371" t="s">
        <v>92</v>
      </c>
    </row>
    <row r="7372" spans="1:8" x14ac:dyDescent="0.25">
      <c r="A7372" t="s">
        <v>275</v>
      </c>
      <c r="B7372" t="s">
        <v>6387</v>
      </c>
      <c r="C7372" t="s">
        <v>88</v>
      </c>
      <c r="D7372" t="s">
        <v>88</v>
      </c>
      <c r="E7372" t="s">
        <v>2360</v>
      </c>
      <c r="F7372" t="s">
        <v>88</v>
      </c>
      <c r="G7372" t="s">
        <v>88</v>
      </c>
      <c r="H7372" t="s">
        <v>92</v>
      </c>
    </row>
    <row r="7373" spans="1:8" x14ac:dyDescent="0.25">
      <c r="A7373" t="s">
        <v>275</v>
      </c>
      <c r="B7373" t="s">
        <v>6388</v>
      </c>
      <c r="C7373" t="s">
        <v>88</v>
      </c>
      <c r="D7373" t="s">
        <v>88</v>
      </c>
      <c r="E7373" t="s">
        <v>2360</v>
      </c>
      <c r="F7373" t="s">
        <v>88</v>
      </c>
      <c r="G7373" t="s">
        <v>88</v>
      </c>
      <c r="H7373" t="s">
        <v>92</v>
      </c>
    </row>
    <row r="7374" spans="1:8" x14ac:dyDescent="0.25">
      <c r="A7374" t="s">
        <v>275</v>
      </c>
      <c r="B7374" t="s">
        <v>6398</v>
      </c>
      <c r="C7374" t="s">
        <v>88</v>
      </c>
      <c r="D7374" t="s">
        <v>88</v>
      </c>
      <c r="E7374" t="s">
        <v>886</v>
      </c>
      <c r="F7374" t="s">
        <v>88</v>
      </c>
      <c r="G7374" t="s">
        <v>88</v>
      </c>
      <c r="H7374" t="s">
        <v>92</v>
      </c>
    </row>
    <row r="7375" spans="1:8" x14ac:dyDescent="0.25">
      <c r="A7375" t="s">
        <v>275</v>
      </c>
      <c r="B7375" t="s">
        <v>6399</v>
      </c>
      <c r="C7375" t="s">
        <v>88</v>
      </c>
      <c r="D7375" t="s">
        <v>88</v>
      </c>
      <c r="E7375" t="s">
        <v>886</v>
      </c>
      <c r="F7375" t="s">
        <v>88</v>
      </c>
      <c r="G7375" t="s">
        <v>88</v>
      </c>
      <c r="H7375" t="s">
        <v>92</v>
      </c>
    </row>
    <row r="7376" spans="1:8" x14ac:dyDescent="0.25">
      <c r="A7376" t="s">
        <v>275</v>
      </c>
      <c r="B7376" t="s">
        <v>6400</v>
      </c>
      <c r="C7376" t="s">
        <v>88</v>
      </c>
      <c r="D7376" t="s">
        <v>88</v>
      </c>
      <c r="E7376" t="s">
        <v>1377</v>
      </c>
      <c r="F7376" t="s">
        <v>88</v>
      </c>
      <c r="G7376" t="s">
        <v>88</v>
      </c>
      <c r="H7376" t="s">
        <v>92</v>
      </c>
    </row>
    <row r="7377" spans="1:8" x14ac:dyDescent="0.25">
      <c r="A7377" t="s">
        <v>275</v>
      </c>
      <c r="B7377" t="s">
        <v>6401</v>
      </c>
      <c r="C7377" t="s">
        <v>88</v>
      </c>
      <c r="D7377" t="s">
        <v>88</v>
      </c>
      <c r="E7377" t="s">
        <v>2193</v>
      </c>
      <c r="F7377" t="s">
        <v>88</v>
      </c>
      <c r="G7377" t="s">
        <v>88</v>
      </c>
      <c r="H7377" t="s">
        <v>92</v>
      </c>
    </row>
    <row r="7378" spans="1:8" x14ac:dyDescent="0.25">
      <c r="A7378" t="s">
        <v>275</v>
      </c>
      <c r="B7378" t="s">
        <v>6402</v>
      </c>
      <c r="C7378" t="s">
        <v>88</v>
      </c>
      <c r="D7378" t="s">
        <v>88</v>
      </c>
      <c r="E7378" t="s">
        <v>2193</v>
      </c>
      <c r="F7378" t="s">
        <v>88</v>
      </c>
      <c r="G7378" t="s">
        <v>88</v>
      </c>
      <c r="H7378" t="s">
        <v>92</v>
      </c>
    </row>
    <row r="7379" spans="1:8" x14ac:dyDescent="0.25">
      <c r="A7379" t="s">
        <v>275</v>
      </c>
      <c r="B7379" t="s">
        <v>6411</v>
      </c>
      <c r="C7379" t="s">
        <v>88</v>
      </c>
      <c r="D7379" t="s">
        <v>6412</v>
      </c>
      <c r="E7379" t="s">
        <v>1221</v>
      </c>
      <c r="F7379" t="s">
        <v>88</v>
      </c>
      <c r="G7379" t="s">
        <v>88</v>
      </c>
      <c r="H7379" t="s">
        <v>92</v>
      </c>
    </row>
    <row r="7380" spans="1:8" x14ac:dyDescent="0.25">
      <c r="A7380" t="s">
        <v>275</v>
      </c>
      <c r="B7380" t="s">
        <v>6413</v>
      </c>
      <c r="C7380" t="s">
        <v>88</v>
      </c>
      <c r="D7380" t="s">
        <v>6414</v>
      </c>
      <c r="E7380" t="s">
        <v>1241</v>
      </c>
      <c r="F7380" t="s">
        <v>88</v>
      </c>
      <c r="G7380" t="s">
        <v>88</v>
      </c>
      <c r="H7380" t="s">
        <v>92</v>
      </c>
    </row>
    <row r="7381" spans="1:8" x14ac:dyDescent="0.25">
      <c r="A7381" t="s">
        <v>275</v>
      </c>
      <c r="B7381" t="s">
        <v>6424</v>
      </c>
      <c r="C7381" t="s">
        <v>88</v>
      </c>
      <c r="D7381" t="s">
        <v>88</v>
      </c>
      <c r="E7381" t="s">
        <v>2513</v>
      </c>
      <c r="F7381" t="s">
        <v>88</v>
      </c>
      <c r="G7381" t="s">
        <v>88</v>
      </c>
      <c r="H7381" t="s">
        <v>92</v>
      </c>
    </row>
    <row r="7382" spans="1:8" x14ac:dyDescent="0.25">
      <c r="A7382" t="s">
        <v>275</v>
      </c>
      <c r="B7382" t="s">
        <v>6425</v>
      </c>
      <c r="C7382" t="s">
        <v>88</v>
      </c>
      <c r="D7382" t="s">
        <v>88</v>
      </c>
      <c r="E7382" t="s">
        <v>2513</v>
      </c>
      <c r="F7382" t="s">
        <v>88</v>
      </c>
      <c r="G7382" t="s">
        <v>88</v>
      </c>
      <c r="H7382" t="s">
        <v>92</v>
      </c>
    </row>
    <row r="7383" spans="1:8" x14ac:dyDescent="0.25">
      <c r="A7383" t="s">
        <v>275</v>
      </c>
      <c r="B7383" t="s">
        <v>6431</v>
      </c>
      <c r="C7383" t="s">
        <v>88</v>
      </c>
      <c r="D7383" t="s">
        <v>88</v>
      </c>
      <c r="E7383" t="s">
        <v>2513</v>
      </c>
      <c r="F7383" t="s">
        <v>88</v>
      </c>
      <c r="G7383" t="s">
        <v>88</v>
      </c>
      <c r="H7383" t="s">
        <v>92</v>
      </c>
    </row>
    <row r="7384" spans="1:8" x14ac:dyDescent="0.25">
      <c r="A7384" t="s">
        <v>275</v>
      </c>
      <c r="B7384" t="s">
        <v>6432</v>
      </c>
      <c r="C7384" t="s">
        <v>88</v>
      </c>
      <c r="D7384" t="s">
        <v>88</v>
      </c>
      <c r="E7384" t="s">
        <v>2513</v>
      </c>
      <c r="F7384" t="s">
        <v>88</v>
      </c>
      <c r="G7384" t="s">
        <v>88</v>
      </c>
      <c r="H7384" t="s">
        <v>92</v>
      </c>
    </row>
    <row r="7385" spans="1:8" x14ac:dyDescent="0.25">
      <c r="A7385" t="s">
        <v>275</v>
      </c>
      <c r="B7385" t="s">
        <v>6433</v>
      </c>
      <c r="C7385" t="s">
        <v>88</v>
      </c>
      <c r="D7385" t="s">
        <v>88</v>
      </c>
      <c r="E7385" t="s">
        <v>2513</v>
      </c>
      <c r="F7385" t="s">
        <v>88</v>
      </c>
      <c r="G7385" t="s">
        <v>88</v>
      </c>
      <c r="H7385" t="s">
        <v>92</v>
      </c>
    </row>
    <row r="7386" spans="1:8" x14ac:dyDescent="0.25">
      <c r="A7386" t="s">
        <v>275</v>
      </c>
      <c r="B7386" t="s">
        <v>6434</v>
      </c>
      <c r="C7386" t="s">
        <v>88</v>
      </c>
      <c r="D7386" t="s">
        <v>88</v>
      </c>
      <c r="E7386" t="s">
        <v>735</v>
      </c>
      <c r="F7386" t="s">
        <v>88</v>
      </c>
      <c r="G7386" t="s">
        <v>88</v>
      </c>
      <c r="H7386" t="s">
        <v>92</v>
      </c>
    </row>
    <row r="7387" spans="1:8" x14ac:dyDescent="0.25">
      <c r="A7387" t="s">
        <v>275</v>
      </c>
      <c r="B7387" t="s">
        <v>6435</v>
      </c>
      <c r="C7387" t="s">
        <v>88</v>
      </c>
      <c r="D7387" t="s">
        <v>88</v>
      </c>
      <c r="E7387" t="s">
        <v>735</v>
      </c>
      <c r="F7387" t="s">
        <v>88</v>
      </c>
      <c r="G7387" t="s">
        <v>88</v>
      </c>
      <c r="H7387" t="s">
        <v>92</v>
      </c>
    </row>
    <row r="7388" spans="1:8" x14ac:dyDescent="0.25">
      <c r="A7388" t="s">
        <v>275</v>
      </c>
      <c r="B7388" t="s">
        <v>6436</v>
      </c>
      <c r="C7388" t="s">
        <v>88</v>
      </c>
      <c r="D7388" t="s">
        <v>88</v>
      </c>
      <c r="E7388" t="s">
        <v>849</v>
      </c>
      <c r="F7388" t="s">
        <v>88</v>
      </c>
      <c r="G7388" t="s">
        <v>88</v>
      </c>
      <c r="H7388" t="s">
        <v>92</v>
      </c>
    </row>
    <row r="7389" spans="1:8" x14ac:dyDescent="0.25">
      <c r="A7389" t="s">
        <v>275</v>
      </c>
      <c r="B7389" t="s">
        <v>6437</v>
      </c>
      <c r="C7389" t="s">
        <v>88</v>
      </c>
      <c r="D7389" t="s">
        <v>88</v>
      </c>
      <c r="E7389" t="s">
        <v>849</v>
      </c>
      <c r="F7389" t="s">
        <v>88</v>
      </c>
      <c r="G7389" t="s">
        <v>88</v>
      </c>
      <c r="H7389" t="s">
        <v>92</v>
      </c>
    </row>
    <row r="7390" spans="1:8" x14ac:dyDescent="0.25">
      <c r="A7390" t="s">
        <v>275</v>
      </c>
      <c r="B7390" t="s">
        <v>6438</v>
      </c>
      <c r="C7390" t="s">
        <v>88</v>
      </c>
      <c r="D7390" t="s">
        <v>88</v>
      </c>
      <c r="E7390" t="s">
        <v>849</v>
      </c>
      <c r="F7390" t="s">
        <v>88</v>
      </c>
      <c r="G7390" t="s">
        <v>88</v>
      </c>
      <c r="H7390" t="s">
        <v>92</v>
      </c>
    </row>
    <row r="7391" spans="1:8" x14ac:dyDescent="0.25">
      <c r="A7391" t="s">
        <v>275</v>
      </c>
      <c r="B7391" t="s">
        <v>845</v>
      </c>
      <c r="C7391" t="s">
        <v>88</v>
      </c>
      <c r="D7391" t="s">
        <v>88</v>
      </c>
      <c r="E7391" t="s">
        <v>735</v>
      </c>
      <c r="F7391" t="s">
        <v>88</v>
      </c>
      <c r="G7391" t="s">
        <v>88</v>
      </c>
      <c r="H7391" t="s">
        <v>92</v>
      </c>
    </row>
    <row r="7392" spans="1:8" x14ac:dyDescent="0.25">
      <c r="A7392" t="s">
        <v>275</v>
      </c>
      <c r="B7392" t="s">
        <v>6439</v>
      </c>
      <c r="C7392" t="s">
        <v>88</v>
      </c>
      <c r="D7392" t="s">
        <v>88</v>
      </c>
      <c r="E7392" t="s">
        <v>799</v>
      </c>
      <c r="F7392" t="s">
        <v>88</v>
      </c>
      <c r="G7392" t="s">
        <v>88</v>
      </c>
      <c r="H7392" t="s">
        <v>92</v>
      </c>
    </row>
    <row r="7393" spans="1:8" x14ac:dyDescent="0.25">
      <c r="A7393" t="s">
        <v>275</v>
      </c>
      <c r="B7393" t="s">
        <v>6440</v>
      </c>
      <c r="C7393" t="s">
        <v>88</v>
      </c>
      <c r="D7393" t="s">
        <v>88</v>
      </c>
      <c r="E7393" t="s">
        <v>735</v>
      </c>
      <c r="F7393" t="s">
        <v>88</v>
      </c>
      <c r="G7393" t="s">
        <v>88</v>
      </c>
      <c r="H7393" t="s">
        <v>92</v>
      </c>
    </row>
    <row r="7394" spans="1:8" x14ac:dyDescent="0.25">
      <c r="A7394" t="s">
        <v>275</v>
      </c>
      <c r="B7394" t="s">
        <v>6441</v>
      </c>
      <c r="C7394" t="s">
        <v>88</v>
      </c>
      <c r="D7394" t="s">
        <v>88</v>
      </c>
      <c r="E7394" t="s">
        <v>1594</v>
      </c>
      <c r="F7394" t="s">
        <v>88</v>
      </c>
      <c r="G7394" t="s">
        <v>88</v>
      </c>
      <c r="H7394" t="s">
        <v>92</v>
      </c>
    </row>
    <row r="7395" spans="1:8" x14ac:dyDescent="0.25">
      <c r="A7395" t="s">
        <v>275</v>
      </c>
      <c r="B7395" t="s">
        <v>6442</v>
      </c>
      <c r="C7395" t="s">
        <v>88</v>
      </c>
      <c r="D7395" t="s">
        <v>88</v>
      </c>
      <c r="E7395" t="s">
        <v>709</v>
      </c>
      <c r="F7395" t="s">
        <v>88</v>
      </c>
      <c r="G7395" t="s">
        <v>88</v>
      </c>
      <c r="H7395" t="s">
        <v>92</v>
      </c>
    </row>
    <row r="7396" spans="1:8" x14ac:dyDescent="0.25">
      <c r="A7396" t="s">
        <v>275</v>
      </c>
      <c r="B7396" t="s">
        <v>6443</v>
      </c>
      <c r="C7396" t="s">
        <v>88</v>
      </c>
      <c r="D7396" t="s">
        <v>88</v>
      </c>
      <c r="E7396" t="s">
        <v>713</v>
      </c>
      <c r="F7396" t="s">
        <v>88</v>
      </c>
      <c r="G7396" t="s">
        <v>88</v>
      </c>
      <c r="H7396" t="s">
        <v>92</v>
      </c>
    </row>
    <row r="7397" spans="1:8" x14ac:dyDescent="0.25">
      <c r="A7397" t="s">
        <v>275</v>
      </c>
      <c r="B7397" t="s">
        <v>6471</v>
      </c>
      <c r="C7397" t="s">
        <v>88</v>
      </c>
      <c r="D7397" t="s">
        <v>6472</v>
      </c>
      <c r="E7397" t="s">
        <v>2166</v>
      </c>
      <c r="F7397" t="s">
        <v>88</v>
      </c>
      <c r="G7397" t="s">
        <v>88</v>
      </c>
      <c r="H7397" t="s">
        <v>92</v>
      </c>
    </row>
    <row r="7398" spans="1:8" x14ac:dyDescent="0.25">
      <c r="A7398" t="s">
        <v>275</v>
      </c>
      <c r="B7398" t="s">
        <v>1082</v>
      </c>
      <c r="C7398" t="s">
        <v>88</v>
      </c>
      <c r="D7398" t="s">
        <v>88</v>
      </c>
      <c r="E7398" t="s">
        <v>1598</v>
      </c>
      <c r="F7398" t="s">
        <v>88</v>
      </c>
      <c r="G7398" t="s">
        <v>88</v>
      </c>
      <c r="H7398" t="s">
        <v>92</v>
      </c>
    </row>
    <row r="7399" spans="1:8" x14ac:dyDescent="0.25">
      <c r="A7399" t="s">
        <v>275</v>
      </c>
      <c r="B7399" t="s">
        <v>2241</v>
      </c>
      <c r="C7399" t="s">
        <v>88</v>
      </c>
      <c r="D7399" t="s">
        <v>88</v>
      </c>
      <c r="E7399" t="s">
        <v>1598</v>
      </c>
      <c r="F7399" t="s">
        <v>88</v>
      </c>
      <c r="G7399" t="s">
        <v>88</v>
      </c>
      <c r="H7399" t="s">
        <v>92</v>
      </c>
    </row>
    <row r="7400" spans="1:8" x14ac:dyDescent="0.25">
      <c r="A7400" t="s">
        <v>275</v>
      </c>
      <c r="B7400" t="s">
        <v>6474</v>
      </c>
      <c r="C7400" t="s">
        <v>88</v>
      </c>
      <c r="D7400" t="s">
        <v>88</v>
      </c>
      <c r="E7400" t="s">
        <v>702</v>
      </c>
      <c r="F7400" t="s">
        <v>88</v>
      </c>
      <c r="G7400" t="s">
        <v>88</v>
      </c>
      <c r="H7400" t="s">
        <v>92</v>
      </c>
    </row>
    <row r="7401" spans="1:8" x14ac:dyDescent="0.25">
      <c r="A7401" t="s">
        <v>275</v>
      </c>
      <c r="B7401" t="s">
        <v>6475</v>
      </c>
      <c r="C7401" t="s">
        <v>88</v>
      </c>
      <c r="D7401" t="s">
        <v>88</v>
      </c>
      <c r="E7401" t="s">
        <v>702</v>
      </c>
      <c r="F7401" t="s">
        <v>88</v>
      </c>
      <c r="G7401" t="s">
        <v>88</v>
      </c>
      <c r="H7401" t="s">
        <v>92</v>
      </c>
    </row>
    <row r="7402" spans="1:8" x14ac:dyDescent="0.25">
      <c r="A7402" t="s">
        <v>275</v>
      </c>
      <c r="B7402" t="s">
        <v>6476</v>
      </c>
      <c r="C7402" t="s">
        <v>88</v>
      </c>
      <c r="D7402" t="s">
        <v>88</v>
      </c>
      <c r="E7402" t="s">
        <v>702</v>
      </c>
      <c r="F7402" t="s">
        <v>88</v>
      </c>
      <c r="G7402" t="s">
        <v>88</v>
      </c>
      <c r="H7402" t="s">
        <v>92</v>
      </c>
    </row>
    <row r="7403" spans="1:8" x14ac:dyDescent="0.25">
      <c r="A7403" t="s">
        <v>275</v>
      </c>
      <c r="B7403" t="s">
        <v>6477</v>
      </c>
      <c r="C7403" t="s">
        <v>88</v>
      </c>
      <c r="D7403" t="s">
        <v>88</v>
      </c>
      <c r="E7403" t="s">
        <v>702</v>
      </c>
      <c r="F7403" t="s">
        <v>88</v>
      </c>
      <c r="G7403" t="s">
        <v>88</v>
      </c>
      <c r="H7403" t="s">
        <v>92</v>
      </c>
    </row>
    <row r="7404" spans="1:8" x14ac:dyDescent="0.25">
      <c r="A7404" t="s">
        <v>275</v>
      </c>
      <c r="B7404" t="s">
        <v>1145</v>
      </c>
      <c r="C7404" t="s">
        <v>88</v>
      </c>
      <c r="D7404" t="s">
        <v>88</v>
      </c>
      <c r="E7404" t="s">
        <v>1598</v>
      </c>
      <c r="F7404" t="s">
        <v>88</v>
      </c>
      <c r="G7404" t="s">
        <v>88</v>
      </c>
      <c r="H7404" t="s">
        <v>92</v>
      </c>
    </row>
    <row r="7405" spans="1:8" x14ac:dyDescent="0.25">
      <c r="A7405" t="s">
        <v>275</v>
      </c>
      <c r="B7405" t="s">
        <v>6482</v>
      </c>
      <c r="C7405" t="s">
        <v>88</v>
      </c>
      <c r="D7405" t="s">
        <v>88</v>
      </c>
      <c r="E7405" t="s">
        <v>709</v>
      </c>
      <c r="F7405" t="s">
        <v>88</v>
      </c>
      <c r="G7405" t="s">
        <v>88</v>
      </c>
      <c r="H7405" t="s">
        <v>92</v>
      </c>
    </row>
    <row r="7406" spans="1:8" x14ac:dyDescent="0.25">
      <c r="A7406" t="s">
        <v>275</v>
      </c>
      <c r="B7406" t="s">
        <v>6489</v>
      </c>
      <c r="C7406" t="s">
        <v>88</v>
      </c>
      <c r="D7406" t="s">
        <v>88</v>
      </c>
      <c r="E7406" t="s">
        <v>734</v>
      </c>
      <c r="F7406" t="s">
        <v>88</v>
      </c>
      <c r="G7406" t="s">
        <v>88</v>
      </c>
      <c r="H7406" t="s">
        <v>92</v>
      </c>
    </row>
    <row r="7407" spans="1:8" x14ac:dyDescent="0.25">
      <c r="A7407" t="s">
        <v>275</v>
      </c>
      <c r="B7407" t="s">
        <v>705</v>
      </c>
      <c r="C7407" t="s">
        <v>88</v>
      </c>
      <c r="D7407" t="s">
        <v>88</v>
      </c>
      <c r="E7407" t="s">
        <v>957</v>
      </c>
      <c r="F7407" t="s">
        <v>88</v>
      </c>
      <c r="G7407" t="s">
        <v>88</v>
      </c>
      <c r="H7407" t="s">
        <v>92</v>
      </c>
    </row>
    <row r="7408" spans="1:8" x14ac:dyDescent="0.25">
      <c r="A7408" t="s">
        <v>275</v>
      </c>
      <c r="B7408" t="s">
        <v>6513</v>
      </c>
      <c r="C7408" t="s">
        <v>88</v>
      </c>
      <c r="D7408" t="s">
        <v>88</v>
      </c>
      <c r="E7408" t="s">
        <v>710</v>
      </c>
      <c r="F7408" t="s">
        <v>88</v>
      </c>
      <c r="G7408" t="s">
        <v>88</v>
      </c>
      <c r="H7408" t="s">
        <v>92</v>
      </c>
    </row>
    <row r="7409" spans="1:8" x14ac:dyDescent="0.25">
      <c r="A7409" t="s">
        <v>275</v>
      </c>
      <c r="B7409" t="s">
        <v>6514</v>
      </c>
      <c r="C7409" t="s">
        <v>88</v>
      </c>
      <c r="D7409" t="s">
        <v>88</v>
      </c>
      <c r="E7409" t="s">
        <v>711</v>
      </c>
      <c r="F7409" t="s">
        <v>88</v>
      </c>
      <c r="G7409" t="s">
        <v>88</v>
      </c>
      <c r="H7409" t="s">
        <v>92</v>
      </c>
    </row>
    <row r="7410" spans="1:8" x14ac:dyDescent="0.25">
      <c r="A7410" t="s">
        <v>275</v>
      </c>
      <c r="B7410" t="s">
        <v>6515</v>
      </c>
      <c r="C7410" t="s">
        <v>88</v>
      </c>
      <c r="D7410" t="s">
        <v>88</v>
      </c>
      <c r="E7410" t="s">
        <v>957</v>
      </c>
      <c r="F7410" t="s">
        <v>88</v>
      </c>
      <c r="G7410" t="s">
        <v>88</v>
      </c>
      <c r="H7410" t="s">
        <v>92</v>
      </c>
    </row>
    <row r="7411" spans="1:8" x14ac:dyDescent="0.25">
      <c r="A7411" t="s">
        <v>275</v>
      </c>
      <c r="B7411" t="s">
        <v>622</v>
      </c>
      <c r="C7411" t="s">
        <v>88</v>
      </c>
      <c r="D7411" t="s">
        <v>88</v>
      </c>
      <c r="E7411" t="s">
        <v>848</v>
      </c>
      <c r="F7411" t="s">
        <v>88</v>
      </c>
      <c r="G7411" t="s">
        <v>88</v>
      </c>
      <c r="H7411" t="s">
        <v>92</v>
      </c>
    </row>
    <row r="7412" spans="1:8" x14ac:dyDescent="0.25">
      <c r="A7412" t="s">
        <v>275</v>
      </c>
      <c r="B7412" t="s">
        <v>623</v>
      </c>
      <c r="C7412" t="s">
        <v>88</v>
      </c>
      <c r="D7412" t="s">
        <v>88</v>
      </c>
      <c r="E7412" t="s">
        <v>735</v>
      </c>
      <c r="F7412" t="s">
        <v>88</v>
      </c>
      <c r="G7412" t="s">
        <v>88</v>
      </c>
      <c r="H7412" t="s">
        <v>92</v>
      </c>
    </row>
    <row r="7413" spans="1:8" x14ac:dyDescent="0.25">
      <c r="A7413" t="s">
        <v>275</v>
      </c>
      <c r="B7413" t="s">
        <v>714</v>
      </c>
      <c r="C7413" t="s">
        <v>88</v>
      </c>
      <c r="D7413" t="s">
        <v>88</v>
      </c>
      <c r="E7413" t="s">
        <v>1598</v>
      </c>
      <c r="F7413" t="s">
        <v>88</v>
      </c>
      <c r="G7413" t="s">
        <v>88</v>
      </c>
      <c r="H7413" t="s">
        <v>92</v>
      </c>
    </row>
    <row r="7414" spans="1:8" x14ac:dyDescent="0.25">
      <c r="A7414" t="s">
        <v>275</v>
      </c>
      <c r="B7414" t="s">
        <v>6523</v>
      </c>
      <c r="C7414" t="s">
        <v>88</v>
      </c>
      <c r="D7414" t="s">
        <v>88</v>
      </c>
      <c r="E7414" t="s">
        <v>1598</v>
      </c>
      <c r="F7414" t="s">
        <v>88</v>
      </c>
      <c r="G7414" t="s">
        <v>88</v>
      </c>
      <c r="H7414" t="s">
        <v>92</v>
      </c>
    </row>
    <row r="7415" spans="1:8" x14ac:dyDescent="0.25">
      <c r="A7415" t="s">
        <v>275</v>
      </c>
      <c r="B7415" t="s">
        <v>625</v>
      </c>
      <c r="C7415" t="s">
        <v>88</v>
      </c>
      <c r="D7415" t="s">
        <v>88</v>
      </c>
      <c r="E7415" t="s">
        <v>626</v>
      </c>
      <c r="F7415" t="s">
        <v>88</v>
      </c>
      <c r="G7415" t="s">
        <v>88</v>
      </c>
      <c r="H7415" t="s">
        <v>92</v>
      </c>
    </row>
    <row r="7416" spans="1:8" x14ac:dyDescent="0.25">
      <c r="A7416" t="s">
        <v>276</v>
      </c>
      <c r="B7416" t="s">
        <v>736</v>
      </c>
      <c r="C7416" t="s">
        <v>88</v>
      </c>
      <c r="D7416" t="s">
        <v>6526</v>
      </c>
      <c r="E7416" t="s">
        <v>959</v>
      </c>
      <c r="F7416" t="s">
        <v>88</v>
      </c>
      <c r="G7416" t="s">
        <v>88</v>
      </c>
      <c r="H7416" t="s">
        <v>92</v>
      </c>
    </row>
    <row r="7417" spans="1:8" x14ac:dyDescent="0.25">
      <c r="A7417" t="s">
        <v>276</v>
      </c>
      <c r="B7417" t="s">
        <v>739</v>
      </c>
      <c r="C7417" t="s">
        <v>88</v>
      </c>
      <c r="D7417" t="s">
        <v>6526</v>
      </c>
      <c r="E7417" t="s">
        <v>715</v>
      </c>
      <c r="F7417" t="s">
        <v>88</v>
      </c>
      <c r="G7417" t="s">
        <v>88</v>
      </c>
      <c r="H7417" t="s">
        <v>92</v>
      </c>
    </row>
    <row r="7418" spans="1:8" x14ac:dyDescent="0.25">
      <c r="A7418" t="s">
        <v>276</v>
      </c>
      <c r="B7418" t="s">
        <v>876</v>
      </c>
      <c r="C7418" t="s">
        <v>88</v>
      </c>
      <c r="D7418" t="s">
        <v>6527</v>
      </c>
      <c r="E7418" t="s">
        <v>717</v>
      </c>
      <c r="F7418" t="s">
        <v>88</v>
      </c>
      <c r="G7418" t="s">
        <v>88</v>
      </c>
      <c r="H7418" t="s">
        <v>92</v>
      </c>
    </row>
    <row r="7419" spans="1:8" x14ac:dyDescent="0.25">
      <c r="A7419" t="s">
        <v>276</v>
      </c>
      <c r="B7419" t="s">
        <v>6528</v>
      </c>
      <c r="C7419" t="s">
        <v>88</v>
      </c>
      <c r="D7419" t="s">
        <v>6529</v>
      </c>
      <c r="E7419" t="s">
        <v>676</v>
      </c>
      <c r="F7419" t="s">
        <v>88</v>
      </c>
      <c r="G7419" t="s">
        <v>88</v>
      </c>
      <c r="H7419" t="s">
        <v>92</v>
      </c>
    </row>
    <row r="7420" spans="1:8" x14ac:dyDescent="0.25">
      <c r="A7420" t="s">
        <v>276</v>
      </c>
      <c r="B7420" t="s">
        <v>777</v>
      </c>
      <c r="C7420" t="s">
        <v>88</v>
      </c>
      <c r="D7420" t="s">
        <v>6526</v>
      </c>
      <c r="E7420" t="s">
        <v>959</v>
      </c>
      <c r="F7420" t="s">
        <v>88</v>
      </c>
      <c r="G7420" t="s">
        <v>88</v>
      </c>
      <c r="H7420" t="s">
        <v>92</v>
      </c>
    </row>
    <row r="7421" spans="1:8" x14ac:dyDescent="0.25">
      <c r="A7421" t="s">
        <v>276</v>
      </c>
      <c r="B7421" t="s">
        <v>884</v>
      </c>
      <c r="C7421" t="s">
        <v>88</v>
      </c>
      <c r="D7421" t="s">
        <v>885</v>
      </c>
      <c r="E7421" t="s">
        <v>6530</v>
      </c>
      <c r="F7421" t="s">
        <v>88</v>
      </c>
      <c r="G7421" t="s">
        <v>88</v>
      </c>
      <c r="H7421" t="s">
        <v>92</v>
      </c>
    </row>
    <row r="7422" spans="1:8" x14ac:dyDescent="0.25">
      <c r="A7422" t="s">
        <v>276</v>
      </c>
      <c r="B7422" t="s">
        <v>6531</v>
      </c>
      <c r="C7422" t="s">
        <v>88</v>
      </c>
      <c r="D7422" t="s">
        <v>6532</v>
      </c>
      <c r="E7422" t="s">
        <v>762</v>
      </c>
      <c r="F7422" t="s">
        <v>88</v>
      </c>
      <c r="G7422" t="s">
        <v>88</v>
      </c>
      <c r="H7422" t="s">
        <v>92</v>
      </c>
    </row>
    <row r="7423" spans="1:8" x14ac:dyDescent="0.25">
      <c r="A7423" t="s">
        <v>276</v>
      </c>
      <c r="B7423" t="s">
        <v>6533</v>
      </c>
      <c r="C7423" t="s">
        <v>88</v>
      </c>
      <c r="D7423" t="s">
        <v>6534</v>
      </c>
      <c r="E7423" t="s">
        <v>937</v>
      </c>
      <c r="F7423" t="s">
        <v>88</v>
      </c>
      <c r="G7423" t="s">
        <v>88</v>
      </c>
      <c r="H7423" t="s">
        <v>92</v>
      </c>
    </row>
    <row r="7424" spans="1:8" x14ac:dyDescent="0.25">
      <c r="A7424" t="s">
        <v>276</v>
      </c>
      <c r="B7424" t="s">
        <v>767</v>
      </c>
      <c r="C7424" t="s">
        <v>88</v>
      </c>
      <c r="D7424" t="s">
        <v>6527</v>
      </c>
      <c r="E7424" t="s">
        <v>700</v>
      </c>
      <c r="F7424" t="s">
        <v>88</v>
      </c>
      <c r="G7424" t="s">
        <v>88</v>
      </c>
      <c r="H7424" t="s">
        <v>92</v>
      </c>
    </row>
    <row r="7425" spans="1:8" x14ac:dyDescent="0.25">
      <c r="A7425" t="s">
        <v>276</v>
      </c>
      <c r="B7425" t="s">
        <v>6535</v>
      </c>
      <c r="C7425" t="s">
        <v>88</v>
      </c>
      <c r="D7425" t="s">
        <v>6536</v>
      </c>
      <c r="E7425" t="s">
        <v>762</v>
      </c>
      <c r="F7425" t="s">
        <v>88</v>
      </c>
      <c r="G7425" t="s">
        <v>88</v>
      </c>
      <c r="H7425" t="s">
        <v>92</v>
      </c>
    </row>
    <row r="7426" spans="1:8" x14ac:dyDescent="0.25">
      <c r="A7426" t="s">
        <v>276</v>
      </c>
      <c r="B7426" t="s">
        <v>764</v>
      </c>
      <c r="C7426" t="s">
        <v>88</v>
      </c>
      <c r="D7426" t="s">
        <v>6527</v>
      </c>
      <c r="E7426" t="s">
        <v>700</v>
      </c>
      <c r="F7426" t="s">
        <v>88</v>
      </c>
      <c r="G7426" t="s">
        <v>88</v>
      </c>
      <c r="H7426" t="s">
        <v>92</v>
      </c>
    </row>
    <row r="7427" spans="1:8" x14ac:dyDescent="0.25">
      <c r="A7427" t="s">
        <v>276</v>
      </c>
      <c r="B7427" t="s">
        <v>6537</v>
      </c>
      <c r="C7427" t="s">
        <v>88</v>
      </c>
      <c r="D7427" t="s">
        <v>6527</v>
      </c>
      <c r="E7427" t="s">
        <v>717</v>
      </c>
      <c r="F7427" t="s">
        <v>88</v>
      </c>
      <c r="G7427" t="s">
        <v>88</v>
      </c>
      <c r="H7427" t="s">
        <v>92</v>
      </c>
    </row>
    <row r="7428" spans="1:8" x14ac:dyDescent="0.25">
      <c r="A7428" t="s">
        <v>276</v>
      </c>
      <c r="B7428" t="s">
        <v>876</v>
      </c>
      <c r="C7428" t="s">
        <v>88</v>
      </c>
      <c r="D7428" t="s">
        <v>6527</v>
      </c>
      <c r="E7428" t="s">
        <v>717</v>
      </c>
      <c r="F7428" t="s">
        <v>88</v>
      </c>
      <c r="G7428" t="s">
        <v>88</v>
      </c>
      <c r="H7428" t="s">
        <v>92</v>
      </c>
    </row>
    <row r="7429" spans="1:8" x14ac:dyDescent="0.25">
      <c r="A7429" t="s">
        <v>276</v>
      </c>
      <c r="B7429" t="s">
        <v>740</v>
      </c>
      <c r="C7429" t="s">
        <v>88</v>
      </c>
      <c r="D7429" t="s">
        <v>6527</v>
      </c>
      <c r="E7429" t="s">
        <v>658</v>
      </c>
      <c r="F7429" t="s">
        <v>88</v>
      </c>
      <c r="G7429" t="s">
        <v>88</v>
      </c>
      <c r="H7429" t="s">
        <v>92</v>
      </c>
    </row>
    <row r="7430" spans="1:8" x14ac:dyDescent="0.25">
      <c r="A7430" t="s">
        <v>276</v>
      </c>
      <c r="B7430" t="s">
        <v>6538</v>
      </c>
      <c r="C7430" t="s">
        <v>88</v>
      </c>
      <c r="D7430" t="s">
        <v>6527</v>
      </c>
      <c r="E7430" t="s">
        <v>655</v>
      </c>
      <c r="F7430" t="s">
        <v>88</v>
      </c>
      <c r="G7430" t="s">
        <v>88</v>
      </c>
      <c r="H7430" t="s">
        <v>92</v>
      </c>
    </row>
    <row r="7431" spans="1:8" x14ac:dyDescent="0.25">
      <c r="A7431" t="s">
        <v>276</v>
      </c>
      <c r="B7431" t="s">
        <v>768</v>
      </c>
      <c r="C7431" t="s">
        <v>88</v>
      </c>
      <c r="D7431" t="s">
        <v>6539</v>
      </c>
      <c r="E7431" t="s">
        <v>762</v>
      </c>
      <c r="F7431" t="s">
        <v>88</v>
      </c>
      <c r="G7431" t="s">
        <v>88</v>
      </c>
      <c r="H7431" t="s">
        <v>92</v>
      </c>
    </row>
    <row r="7432" spans="1:8" x14ac:dyDescent="0.25">
      <c r="A7432" t="s">
        <v>276</v>
      </c>
      <c r="B7432" t="s">
        <v>915</v>
      </c>
      <c r="C7432" t="s">
        <v>88</v>
      </c>
      <c r="D7432" t="s">
        <v>6540</v>
      </c>
      <c r="E7432" t="s">
        <v>964</v>
      </c>
      <c r="F7432" t="s">
        <v>88</v>
      </c>
      <c r="G7432" t="s">
        <v>88</v>
      </c>
      <c r="H7432" t="s">
        <v>92</v>
      </c>
    </row>
    <row r="7433" spans="1:8" x14ac:dyDescent="0.25">
      <c r="A7433" t="s">
        <v>276</v>
      </c>
      <c r="B7433" t="s">
        <v>743</v>
      </c>
      <c r="C7433" t="s">
        <v>88</v>
      </c>
      <c r="D7433" t="s">
        <v>6527</v>
      </c>
      <c r="E7433" t="s">
        <v>700</v>
      </c>
      <c r="F7433" t="s">
        <v>88</v>
      </c>
      <c r="G7433" t="s">
        <v>88</v>
      </c>
      <c r="H7433" t="s">
        <v>92</v>
      </c>
    </row>
    <row r="7434" spans="1:8" x14ac:dyDescent="0.25">
      <c r="A7434" t="s">
        <v>276</v>
      </c>
      <c r="B7434" t="s">
        <v>6541</v>
      </c>
      <c r="C7434" t="s">
        <v>88</v>
      </c>
      <c r="D7434" t="s">
        <v>6527</v>
      </c>
      <c r="E7434" t="s">
        <v>717</v>
      </c>
      <c r="F7434" t="s">
        <v>88</v>
      </c>
      <c r="G7434" t="s">
        <v>88</v>
      </c>
      <c r="H7434" t="s">
        <v>92</v>
      </c>
    </row>
    <row r="7435" spans="1:8" x14ac:dyDescent="0.25">
      <c r="A7435" t="s">
        <v>276</v>
      </c>
      <c r="B7435" t="s">
        <v>1396</v>
      </c>
      <c r="C7435" t="s">
        <v>88</v>
      </c>
      <c r="D7435" t="s">
        <v>6526</v>
      </c>
      <c r="E7435" t="s">
        <v>780</v>
      </c>
      <c r="F7435" t="s">
        <v>88</v>
      </c>
      <c r="G7435" t="s">
        <v>88</v>
      </c>
      <c r="H7435" t="s">
        <v>92</v>
      </c>
    </row>
    <row r="7436" spans="1:8" x14ac:dyDescent="0.25">
      <c r="A7436" t="s">
        <v>276</v>
      </c>
      <c r="B7436" t="s">
        <v>925</v>
      </c>
      <c r="C7436" t="s">
        <v>88</v>
      </c>
      <c r="D7436" t="s">
        <v>6526</v>
      </c>
      <c r="E7436" t="s">
        <v>959</v>
      </c>
      <c r="F7436" t="s">
        <v>88</v>
      </c>
      <c r="G7436" t="s">
        <v>88</v>
      </c>
      <c r="H7436" t="s">
        <v>92</v>
      </c>
    </row>
    <row r="7437" spans="1:8" x14ac:dyDescent="0.25">
      <c r="A7437" t="s">
        <v>276</v>
      </c>
      <c r="B7437" t="s">
        <v>736</v>
      </c>
      <c r="C7437" t="s">
        <v>88</v>
      </c>
      <c r="D7437" t="s">
        <v>6526</v>
      </c>
      <c r="E7437" t="s">
        <v>959</v>
      </c>
      <c r="F7437" t="s">
        <v>88</v>
      </c>
      <c r="G7437" t="s">
        <v>88</v>
      </c>
      <c r="H7437" t="s">
        <v>92</v>
      </c>
    </row>
    <row r="7438" spans="1:8" x14ac:dyDescent="0.25">
      <c r="A7438" t="s">
        <v>276</v>
      </c>
      <c r="B7438" t="s">
        <v>776</v>
      </c>
      <c r="C7438" t="s">
        <v>88</v>
      </c>
      <c r="D7438" t="s">
        <v>6526</v>
      </c>
      <c r="E7438" t="s">
        <v>738</v>
      </c>
      <c r="F7438" t="s">
        <v>88</v>
      </c>
      <c r="G7438" t="s">
        <v>88</v>
      </c>
      <c r="H7438" t="s">
        <v>92</v>
      </c>
    </row>
    <row r="7439" spans="1:8" x14ac:dyDescent="0.25">
      <c r="A7439" t="s">
        <v>276</v>
      </c>
      <c r="B7439" t="s">
        <v>739</v>
      </c>
      <c r="C7439" t="s">
        <v>88</v>
      </c>
      <c r="D7439" t="s">
        <v>6526</v>
      </c>
      <c r="E7439" t="s">
        <v>715</v>
      </c>
      <c r="F7439" t="s">
        <v>88</v>
      </c>
      <c r="G7439" t="s">
        <v>88</v>
      </c>
      <c r="H7439" t="s">
        <v>92</v>
      </c>
    </row>
    <row r="7440" spans="1:8" x14ac:dyDescent="0.25">
      <c r="A7440" t="s">
        <v>276</v>
      </c>
      <c r="B7440" t="s">
        <v>777</v>
      </c>
      <c r="C7440" t="s">
        <v>88</v>
      </c>
      <c r="D7440" t="s">
        <v>6526</v>
      </c>
      <c r="E7440" t="s">
        <v>959</v>
      </c>
      <c r="F7440" t="s">
        <v>88</v>
      </c>
      <c r="G7440" t="s">
        <v>88</v>
      </c>
      <c r="H7440" t="s">
        <v>92</v>
      </c>
    </row>
    <row r="7441" spans="1:8" x14ac:dyDescent="0.25">
      <c r="A7441" t="s">
        <v>276</v>
      </c>
      <c r="B7441" t="s">
        <v>789</v>
      </c>
      <c r="C7441" t="s">
        <v>88</v>
      </c>
      <c r="D7441" t="s">
        <v>6542</v>
      </c>
      <c r="E7441" t="s">
        <v>702</v>
      </c>
      <c r="F7441" t="s">
        <v>88</v>
      </c>
      <c r="G7441" t="s">
        <v>88</v>
      </c>
      <c r="H7441" t="s">
        <v>92</v>
      </c>
    </row>
    <row r="7442" spans="1:8" x14ac:dyDescent="0.25">
      <c r="A7442" t="s">
        <v>276</v>
      </c>
      <c r="B7442" t="s">
        <v>4917</v>
      </c>
      <c r="C7442" t="s">
        <v>88</v>
      </c>
      <c r="D7442" t="s">
        <v>6543</v>
      </c>
      <c r="E7442" t="s">
        <v>959</v>
      </c>
      <c r="F7442" t="s">
        <v>88</v>
      </c>
      <c r="G7442" t="s">
        <v>88</v>
      </c>
      <c r="H7442" t="s">
        <v>92</v>
      </c>
    </row>
    <row r="7443" spans="1:8" x14ac:dyDescent="0.25">
      <c r="A7443" t="s">
        <v>276</v>
      </c>
      <c r="B7443" t="s">
        <v>823</v>
      </c>
      <c r="C7443" t="s">
        <v>88</v>
      </c>
      <c r="D7443" t="s">
        <v>6543</v>
      </c>
      <c r="E7443" t="s">
        <v>844</v>
      </c>
      <c r="F7443" t="s">
        <v>88</v>
      </c>
      <c r="G7443" t="s">
        <v>88</v>
      </c>
      <c r="H7443" t="s">
        <v>92</v>
      </c>
    </row>
    <row r="7444" spans="1:8" x14ac:dyDescent="0.25">
      <c r="A7444" t="s">
        <v>276</v>
      </c>
      <c r="B7444" t="s">
        <v>6544</v>
      </c>
      <c r="C7444" t="s">
        <v>88</v>
      </c>
      <c r="D7444" t="s">
        <v>88</v>
      </c>
      <c r="E7444" t="s">
        <v>702</v>
      </c>
      <c r="F7444" t="s">
        <v>88</v>
      </c>
      <c r="G7444" t="s">
        <v>88</v>
      </c>
      <c r="H7444" t="s">
        <v>92</v>
      </c>
    </row>
    <row r="7445" spans="1:8" x14ac:dyDescent="0.25">
      <c r="A7445" t="s">
        <v>276</v>
      </c>
      <c r="B7445" t="s">
        <v>4089</v>
      </c>
      <c r="C7445" t="s">
        <v>88</v>
      </c>
      <c r="D7445" t="s">
        <v>88</v>
      </c>
      <c r="E7445" t="s">
        <v>702</v>
      </c>
      <c r="F7445" t="s">
        <v>88</v>
      </c>
      <c r="G7445" t="s">
        <v>88</v>
      </c>
      <c r="H7445" t="s">
        <v>92</v>
      </c>
    </row>
    <row r="7446" spans="1:8" x14ac:dyDescent="0.25">
      <c r="A7446" t="s">
        <v>276</v>
      </c>
      <c r="B7446" t="s">
        <v>701</v>
      </c>
      <c r="C7446" t="s">
        <v>88</v>
      </c>
      <c r="D7446" t="s">
        <v>88</v>
      </c>
      <c r="E7446" t="s">
        <v>734</v>
      </c>
      <c r="F7446" t="s">
        <v>88</v>
      </c>
      <c r="G7446" t="s">
        <v>88</v>
      </c>
      <c r="H7446" t="s">
        <v>92</v>
      </c>
    </row>
    <row r="7447" spans="1:8" x14ac:dyDescent="0.25">
      <c r="A7447" t="s">
        <v>276</v>
      </c>
      <c r="B7447" t="s">
        <v>705</v>
      </c>
      <c r="C7447" t="s">
        <v>88</v>
      </c>
      <c r="D7447" t="s">
        <v>88</v>
      </c>
      <c r="E7447" t="s">
        <v>734</v>
      </c>
      <c r="F7447" t="s">
        <v>88</v>
      </c>
      <c r="G7447" t="s">
        <v>88</v>
      </c>
      <c r="H7447" t="s">
        <v>92</v>
      </c>
    </row>
    <row r="7448" spans="1:8" x14ac:dyDescent="0.25">
      <c r="A7448" t="s">
        <v>276</v>
      </c>
      <c r="B7448" t="s">
        <v>707</v>
      </c>
      <c r="C7448" t="s">
        <v>88</v>
      </c>
      <c r="D7448" t="s">
        <v>88</v>
      </c>
      <c r="E7448" t="s">
        <v>734</v>
      </c>
      <c r="F7448" t="s">
        <v>88</v>
      </c>
      <c r="G7448" t="s">
        <v>88</v>
      </c>
      <c r="H7448" t="s">
        <v>92</v>
      </c>
    </row>
    <row r="7449" spans="1:8" x14ac:dyDescent="0.25">
      <c r="A7449" t="s">
        <v>276</v>
      </c>
      <c r="B7449" t="s">
        <v>708</v>
      </c>
      <c r="C7449" t="s">
        <v>88</v>
      </c>
      <c r="D7449" t="s">
        <v>88</v>
      </c>
      <c r="E7449" t="s">
        <v>734</v>
      </c>
      <c r="F7449" t="s">
        <v>88</v>
      </c>
      <c r="G7449" t="s">
        <v>88</v>
      </c>
      <c r="H7449" t="s">
        <v>92</v>
      </c>
    </row>
    <row r="7450" spans="1:8" x14ac:dyDescent="0.25">
      <c r="A7450" t="s">
        <v>276</v>
      </c>
      <c r="B7450" t="s">
        <v>846</v>
      </c>
      <c r="C7450" t="s">
        <v>88</v>
      </c>
      <c r="D7450" t="s">
        <v>88</v>
      </c>
      <c r="E7450" t="s">
        <v>710</v>
      </c>
      <c r="F7450" t="s">
        <v>88</v>
      </c>
      <c r="G7450" t="s">
        <v>88</v>
      </c>
      <c r="H7450" t="s">
        <v>92</v>
      </c>
    </row>
    <row r="7451" spans="1:8" x14ac:dyDescent="0.25">
      <c r="A7451" t="s">
        <v>276</v>
      </c>
      <c r="B7451" t="s">
        <v>1766</v>
      </c>
      <c r="C7451" t="s">
        <v>88</v>
      </c>
      <c r="D7451" t="s">
        <v>88</v>
      </c>
      <c r="E7451" t="s">
        <v>711</v>
      </c>
      <c r="F7451" t="s">
        <v>88</v>
      </c>
      <c r="G7451" t="s">
        <v>88</v>
      </c>
      <c r="H7451" t="s">
        <v>92</v>
      </c>
    </row>
    <row r="7452" spans="1:8" x14ac:dyDescent="0.25">
      <c r="A7452" t="s">
        <v>276</v>
      </c>
      <c r="B7452" t="s">
        <v>797</v>
      </c>
      <c r="C7452" t="s">
        <v>88</v>
      </c>
      <c r="D7452" t="s">
        <v>88</v>
      </c>
      <c r="E7452" t="s">
        <v>711</v>
      </c>
      <c r="F7452" t="s">
        <v>88</v>
      </c>
      <c r="G7452" t="s">
        <v>88</v>
      </c>
      <c r="H7452" t="s">
        <v>92</v>
      </c>
    </row>
    <row r="7453" spans="1:8" x14ac:dyDescent="0.25">
      <c r="A7453" t="s">
        <v>276</v>
      </c>
      <c r="B7453" t="s">
        <v>622</v>
      </c>
      <c r="C7453" t="s">
        <v>88</v>
      </c>
      <c r="D7453" t="s">
        <v>88</v>
      </c>
      <c r="E7453" t="s">
        <v>735</v>
      </c>
      <c r="F7453" t="s">
        <v>88</v>
      </c>
      <c r="G7453" t="s">
        <v>88</v>
      </c>
      <c r="H7453" t="s">
        <v>92</v>
      </c>
    </row>
    <row r="7454" spans="1:8" x14ac:dyDescent="0.25">
      <c r="A7454" t="s">
        <v>276</v>
      </c>
      <c r="B7454" t="s">
        <v>623</v>
      </c>
      <c r="C7454" t="s">
        <v>88</v>
      </c>
      <c r="D7454" t="s">
        <v>88</v>
      </c>
      <c r="E7454" t="s">
        <v>849</v>
      </c>
      <c r="F7454" t="s">
        <v>88</v>
      </c>
      <c r="G7454" t="s">
        <v>88</v>
      </c>
      <c r="H7454" t="s">
        <v>92</v>
      </c>
    </row>
    <row r="7455" spans="1:8" x14ac:dyDescent="0.25">
      <c r="A7455" t="s">
        <v>276</v>
      </c>
      <c r="B7455" t="s">
        <v>714</v>
      </c>
      <c r="C7455" t="s">
        <v>88</v>
      </c>
      <c r="D7455" t="s">
        <v>88</v>
      </c>
      <c r="E7455" t="s">
        <v>702</v>
      </c>
      <c r="F7455" t="s">
        <v>88</v>
      </c>
      <c r="G7455" t="s">
        <v>88</v>
      </c>
      <c r="H7455" t="s">
        <v>92</v>
      </c>
    </row>
    <row r="7456" spans="1:8" x14ac:dyDescent="0.25">
      <c r="A7456" t="s">
        <v>276</v>
      </c>
      <c r="B7456" t="s">
        <v>1989</v>
      </c>
      <c r="C7456" t="s">
        <v>88</v>
      </c>
      <c r="D7456" t="s">
        <v>88</v>
      </c>
      <c r="E7456" t="s">
        <v>715</v>
      </c>
      <c r="F7456" t="s">
        <v>88</v>
      </c>
      <c r="G7456" t="s">
        <v>88</v>
      </c>
      <c r="H7456" t="s">
        <v>92</v>
      </c>
    </row>
    <row r="7457" spans="1:8" x14ac:dyDescent="0.25">
      <c r="A7457" t="s">
        <v>276</v>
      </c>
      <c r="B7457" t="s">
        <v>6545</v>
      </c>
      <c r="C7457" t="s">
        <v>88</v>
      </c>
      <c r="D7457" t="s">
        <v>6546</v>
      </c>
      <c r="E7457" t="s">
        <v>676</v>
      </c>
      <c r="F7457" t="s">
        <v>88</v>
      </c>
      <c r="G7457" t="s">
        <v>88</v>
      </c>
      <c r="H7457" t="s">
        <v>92</v>
      </c>
    </row>
    <row r="7458" spans="1:8" x14ac:dyDescent="0.25">
      <c r="A7458" t="s">
        <v>276</v>
      </c>
      <c r="B7458" t="s">
        <v>6547</v>
      </c>
      <c r="C7458" t="s">
        <v>88</v>
      </c>
      <c r="D7458" t="s">
        <v>6546</v>
      </c>
      <c r="E7458" t="s">
        <v>964</v>
      </c>
      <c r="F7458" t="s">
        <v>88</v>
      </c>
      <c r="G7458" t="s">
        <v>88</v>
      </c>
      <c r="H7458" t="s">
        <v>92</v>
      </c>
    </row>
    <row r="7459" spans="1:8" x14ac:dyDescent="0.25">
      <c r="A7459" t="s">
        <v>276</v>
      </c>
      <c r="B7459" t="s">
        <v>6548</v>
      </c>
      <c r="C7459" t="s">
        <v>88</v>
      </c>
      <c r="D7459" t="s">
        <v>6546</v>
      </c>
      <c r="E7459" t="s">
        <v>676</v>
      </c>
      <c r="F7459" t="s">
        <v>88</v>
      </c>
      <c r="G7459" t="s">
        <v>88</v>
      </c>
      <c r="H7459" t="s">
        <v>92</v>
      </c>
    </row>
    <row r="7460" spans="1:8" x14ac:dyDescent="0.25">
      <c r="A7460" t="s">
        <v>276</v>
      </c>
      <c r="B7460" t="s">
        <v>6549</v>
      </c>
      <c r="C7460" t="s">
        <v>88</v>
      </c>
      <c r="D7460" t="s">
        <v>6546</v>
      </c>
      <c r="E7460" t="s">
        <v>964</v>
      </c>
      <c r="F7460" t="s">
        <v>88</v>
      </c>
      <c r="G7460" t="s">
        <v>88</v>
      </c>
      <c r="H7460" t="s">
        <v>92</v>
      </c>
    </row>
    <row r="7461" spans="1:8" x14ac:dyDescent="0.25">
      <c r="A7461" t="s">
        <v>276</v>
      </c>
      <c r="B7461" t="s">
        <v>6528</v>
      </c>
      <c r="C7461" t="s">
        <v>88</v>
      </c>
      <c r="D7461" t="s">
        <v>6529</v>
      </c>
      <c r="E7461" t="s">
        <v>676</v>
      </c>
      <c r="F7461" t="s">
        <v>88</v>
      </c>
      <c r="G7461" t="s">
        <v>88</v>
      </c>
      <c r="H7461" t="s">
        <v>92</v>
      </c>
    </row>
    <row r="7462" spans="1:8" x14ac:dyDescent="0.25">
      <c r="A7462" t="s">
        <v>276</v>
      </c>
      <c r="B7462" t="s">
        <v>6550</v>
      </c>
      <c r="C7462" t="s">
        <v>88</v>
      </c>
      <c r="D7462" t="s">
        <v>6551</v>
      </c>
      <c r="E7462" t="s">
        <v>812</v>
      </c>
      <c r="F7462" t="s">
        <v>88</v>
      </c>
      <c r="G7462" t="s">
        <v>88</v>
      </c>
      <c r="H7462" t="s">
        <v>92</v>
      </c>
    </row>
    <row r="7463" spans="1:8" x14ac:dyDescent="0.25">
      <c r="A7463" t="s">
        <v>276</v>
      </c>
      <c r="B7463" t="s">
        <v>6552</v>
      </c>
      <c r="C7463" t="s">
        <v>88</v>
      </c>
      <c r="D7463" t="s">
        <v>6551</v>
      </c>
      <c r="E7463" t="s">
        <v>812</v>
      </c>
      <c r="F7463" t="s">
        <v>88</v>
      </c>
      <c r="G7463" t="s">
        <v>88</v>
      </c>
      <c r="H7463" t="s">
        <v>92</v>
      </c>
    </row>
    <row r="7464" spans="1:8" x14ac:dyDescent="0.25">
      <c r="A7464" t="s">
        <v>276</v>
      </c>
      <c r="B7464" t="s">
        <v>6553</v>
      </c>
      <c r="C7464" t="s">
        <v>88</v>
      </c>
      <c r="D7464" t="s">
        <v>6551</v>
      </c>
      <c r="E7464" t="s">
        <v>4285</v>
      </c>
      <c r="F7464" t="s">
        <v>88</v>
      </c>
      <c r="G7464" t="s">
        <v>88</v>
      </c>
      <c r="H7464" t="s">
        <v>92</v>
      </c>
    </row>
    <row r="7465" spans="1:8" x14ac:dyDescent="0.25">
      <c r="A7465" t="s">
        <v>276</v>
      </c>
      <c r="B7465" t="s">
        <v>6554</v>
      </c>
      <c r="C7465" t="s">
        <v>88</v>
      </c>
      <c r="D7465" t="s">
        <v>6551</v>
      </c>
      <c r="E7465" t="s">
        <v>814</v>
      </c>
      <c r="F7465" t="s">
        <v>88</v>
      </c>
      <c r="G7465" t="s">
        <v>88</v>
      </c>
      <c r="H7465" t="s">
        <v>92</v>
      </c>
    </row>
    <row r="7466" spans="1:8" x14ac:dyDescent="0.25">
      <c r="A7466" t="s">
        <v>276</v>
      </c>
      <c r="B7466" t="s">
        <v>6555</v>
      </c>
      <c r="C7466" t="s">
        <v>88</v>
      </c>
      <c r="D7466" t="s">
        <v>6551</v>
      </c>
      <c r="E7466" t="s">
        <v>4285</v>
      </c>
      <c r="F7466" t="s">
        <v>88</v>
      </c>
      <c r="G7466" t="s">
        <v>88</v>
      </c>
      <c r="H7466" t="s">
        <v>92</v>
      </c>
    </row>
    <row r="7467" spans="1:8" x14ac:dyDescent="0.25">
      <c r="A7467" t="s">
        <v>276</v>
      </c>
      <c r="B7467" t="s">
        <v>6556</v>
      </c>
      <c r="C7467" t="s">
        <v>88</v>
      </c>
      <c r="D7467" t="s">
        <v>6551</v>
      </c>
      <c r="E7467" t="s">
        <v>814</v>
      </c>
      <c r="F7467" t="s">
        <v>88</v>
      </c>
      <c r="G7467" t="s">
        <v>88</v>
      </c>
      <c r="H7467" t="s">
        <v>92</v>
      </c>
    </row>
    <row r="7468" spans="1:8" x14ac:dyDescent="0.25">
      <c r="A7468" t="s">
        <v>276</v>
      </c>
      <c r="B7468" t="s">
        <v>6557</v>
      </c>
      <c r="C7468" t="s">
        <v>88</v>
      </c>
      <c r="D7468" t="s">
        <v>6551</v>
      </c>
      <c r="E7468" t="s">
        <v>4285</v>
      </c>
      <c r="F7468" t="s">
        <v>88</v>
      </c>
      <c r="G7468" t="s">
        <v>88</v>
      </c>
      <c r="H7468" t="s">
        <v>92</v>
      </c>
    </row>
    <row r="7469" spans="1:8" x14ac:dyDescent="0.25">
      <c r="A7469" t="s">
        <v>276</v>
      </c>
      <c r="B7469" t="s">
        <v>948</v>
      </c>
      <c r="C7469" t="s">
        <v>88</v>
      </c>
      <c r="D7469" t="s">
        <v>88</v>
      </c>
      <c r="E7469" t="s">
        <v>735</v>
      </c>
      <c r="F7469" t="s">
        <v>88</v>
      </c>
      <c r="G7469" t="s">
        <v>88</v>
      </c>
      <c r="H7469" t="s">
        <v>92</v>
      </c>
    </row>
    <row r="7470" spans="1:8" x14ac:dyDescent="0.25">
      <c r="A7470" t="s">
        <v>276</v>
      </c>
      <c r="B7470" t="s">
        <v>625</v>
      </c>
      <c r="C7470" t="s">
        <v>88</v>
      </c>
      <c r="D7470" t="s">
        <v>88</v>
      </c>
      <c r="E7470" t="s">
        <v>626</v>
      </c>
      <c r="F7470" t="s">
        <v>88</v>
      </c>
      <c r="G7470" t="s">
        <v>88</v>
      </c>
      <c r="H7470" t="s">
        <v>92</v>
      </c>
    </row>
    <row r="7471" spans="1:8" x14ac:dyDescent="0.25">
      <c r="A7471" t="s">
        <v>277</v>
      </c>
      <c r="B7471" t="s">
        <v>736</v>
      </c>
      <c r="C7471" t="s">
        <v>88</v>
      </c>
      <c r="D7471" t="s">
        <v>6558</v>
      </c>
      <c r="E7471" t="s">
        <v>723</v>
      </c>
      <c r="F7471" t="s">
        <v>88</v>
      </c>
      <c r="G7471" t="s">
        <v>88</v>
      </c>
      <c r="H7471" t="s">
        <v>92</v>
      </c>
    </row>
    <row r="7472" spans="1:8" x14ac:dyDescent="0.25">
      <c r="A7472" t="s">
        <v>277</v>
      </c>
      <c r="B7472" t="s">
        <v>768</v>
      </c>
      <c r="C7472" t="s">
        <v>88</v>
      </c>
      <c r="D7472" t="s">
        <v>6559</v>
      </c>
      <c r="E7472" t="s">
        <v>655</v>
      </c>
      <c r="F7472" t="s">
        <v>88</v>
      </c>
      <c r="G7472" t="s">
        <v>88</v>
      </c>
      <c r="H7472" t="s">
        <v>92</v>
      </c>
    </row>
    <row r="7473" spans="1:8" x14ac:dyDescent="0.25">
      <c r="A7473" t="s">
        <v>277</v>
      </c>
      <c r="B7473" t="s">
        <v>6560</v>
      </c>
      <c r="C7473" t="s">
        <v>88</v>
      </c>
      <c r="D7473" t="s">
        <v>6561</v>
      </c>
      <c r="E7473" t="s">
        <v>780</v>
      </c>
      <c r="F7473" t="s">
        <v>88</v>
      </c>
      <c r="G7473" t="s">
        <v>88</v>
      </c>
      <c r="H7473" t="s">
        <v>92</v>
      </c>
    </row>
    <row r="7474" spans="1:8" x14ac:dyDescent="0.25">
      <c r="A7474" t="s">
        <v>277</v>
      </c>
      <c r="B7474" t="s">
        <v>776</v>
      </c>
      <c r="C7474" t="s">
        <v>88</v>
      </c>
      <c r="D7474" t="s">
        <v>6558</v>
      </c>
      <c r="E7474" t="s">
        <v>780</v>
      </c>
      <c r="F7474" t="s">
        <v>88</v>
      </c>
      <c r="G7474" t="s">
        <v>88</v>
      </c>
      <c r="H7474" t="s">
        <v>92</v>
      </c>
    </row>
    <row r="7475" spans="1:8" x14ac:dyDescent="0.25">
      <c r="A7475" t="s">
        <v>277</v>
      </c>
      <c r="B7475" t="s">
        <v>6562</v>
      </c>
      <c r="C7475" t="s">
        <v>88</v>
      </c>
      <c r="D7475" t="s">
        <v>6561</v>
      </c>
      <c r="E7475" t="s">
        <v>658</v>
      </c>
      <c r="F7475" t="s">
        <v>88</v>
      </c>
      <c r="G7475" t="s">
        <v>88</v>
      </c>
      <c r="H7475" t="s">
        <v>92</v>
      </c>
    </row>
    <row r="7476" spans="1:8" x14ac:dyDescent="0.25">
      <c r="A7476" t="s">
        <v>277</v>
      </c>
      <c r="B7476" t="s">
        <v>876</v>
      </c>
      <c r="C7476" t="s">
        <v>88</v>
      </c>
      <c r="D7476" t="s">
        <v>6559</v>
      </c>
      <c r="E7476" t="s">
        <v>760</v>
      </c>
      <c r="F7476" t="s">
        <v>88</v>
      </c>
      <c r="G7476" t="s">
        <v>88</v>
      </c>
      <c r="H7476" t="s">
        <v>92</v>
      </c>
    </row>
    <row r="7477" spans="1:8" x14ac:dyDescent="0.25">
      <c r="A7477" t="s">
        <v>277</v>
      </c>
      <c r="B7477" t="s">
        <v>2418</v>
      </c>
      <c r="C7477" t="s">
        <v>88</v>
      </c>
      <c r="D7477" t="s">
        <v>6563</v>
      </c>
      <c r="E7477" t="s">
        <v>1920</v>
      </c>
      <c r="F7477" t="s">
        <v>88</v>
      </c>
      <c r="G7477" t="s">
        <v>88</v>
      </c>
      <c r="H7477" t="s">
        <v>92</v>
      </c>
    </row>
    <row r="7478" spans="1:8" x14ac:dyDescent="0.25">
      <c r="A7478" t="s">
        <v>277</v>
      </c>
      <c r="B7478" t="s">
        <v>2423</v>
      </c>
      <c r="C7478" t="s">
        <v>88</v>
      </c>
      <c r="D7478" t="s">
        <v>6563</v>
      </c>
      <c r="E7478" t="s">
        <v>1167</v>
      </c>
      <c r="F7478" t="s">
        <v>88</v>
      </c>
      <c r="G7478" t="s">
        <v>88</v>
      </c>
      <c r="H7478" t="s">
        <v>92</v>
      </c>
    </row>
    <row r="7479" spans="1:8" x14ac:dyDescent="0.25">
      <c r="A7479" t="s">
        <v>277</v>
      </c>
      <c r="B7479" t="s">
        <v>6564</v>
      </c>
      <c r="C7479" t="s">
        <v>88</v>
      </c>
      <c r="D7479" t="s">
        <v>6559</v>
      </c>
      <c r="E7479" t="s">
        <v>1006</v>
      </c>
      <c r="F7479" t="s">
        <v>88</v>
      </c>
      <c r="G7479" t="s">
        <v>88</v>
      </c>
      <c r="H7479" t="s">
        <v>92</v>
      </c>
    </row>
    <row r="7480" spans="1:8" x14ac:dyDescent="0.25">
      <c r="A7480" t="s">
        <v>277</v>
      </c>
      <c r="B7480" t="s">
        <v>765</v>
      </c>
      <c r="C7480" t="s">
        <v>88</v>
      </c>
      <c r="D7480" t="s">
        <v>6559</v>
      </c>
      <c r="E7480" t="s">
        <v>820</v>
      </c>
      <c r="F7480" t="s">
        <v>88</v>
      </c>
      <c r="G7480" t="s">
        <v>88</v>
      </c>
      <c r="H7480" t="s">
        <v>92</v>
      </c>
    </row>
    <row r="7481" spans="1:8" x14ac:dyDescent="0.25">
      <c r="A7481" t="s">
        <v>277</v>
      </c>
      <c r="B7481" t="s">
        <v>1679</v>
      </c>
      <c r="C7481" t="s">
        <v>88</v>
      </c>
      <c r="D7481" t="s">
        <v>6559</v>
      </c>
      <c r="E7481" t="s">
        <v>1680</v>
      </c>
      <c r="F7481" t="s">
        <v>88</v>
      </c>
      <c r="G7481" t="s">
        <v>88</v>
      </c>
      <c r="H7481" t="s">
        <v>92</v>
      </c>
    </row>
    <row r="7482" spans="1:8" x14ac:dyDescent="0.25">
      <c r="A7482" t="s">
        <v>277</v>
      </c>
      <c r="B7482" t="s">
        <v>768</v>
      </c>
      <c r="C7482" t="s">
        <v>88</v>
      </c>
      <c r="D7482" t="s">
        <v>6559</v>
      </c>
      <c r="E7482" t="s">
        <v>655</v>
      </c>
      <c r="F7482" t="s">
        <v>88</v>
      </c>
      <c r="G7482" t="s">
        <v>88</v>
      </c>
      <c r="H7482" t="s">
        <v>92</v>
      </c>
    </row>
    <row r="7483" spans="1:8" x14ac:dyDescent="0.25">
      <c r="A7483" t="s">
        <v>277</v>
      </c>
      <c r="B7483" t="s">
        <v>1673</v>
      </c>
      <c r="C7483" t="s">
        <v>88</v>
      </c>
      <c r="D7483" t="s">
        <v>6559</v>
      </c>
      <c r="E7483" t="s">
        <v>762</v>
      </c>
      <c r="F7483" t="s">
        <v>88</v>
      </c>
      <c r="G7483" t="s">
        <v>88</v>
      </c>
      <c r="H7483" t="s">
        <v>92</v>
      </c>
    </row>
    <row r="7484" spans="1:8" x14ac:dyDescent="0.25">
      <c r="A7484" t="s">
        <v>277</v>
      </c>
      <c r="B7484" t="s">
        <v>6565</v>
      </c>
      <c r="C7484" t="s">
        <v>88</v>
      </c>
      <c r="D7484" t="s">
        <v>6559</v>
      </c>
      <c r="E7484" t="s">
        <v>760</v>
      </c>
      <c r="F7484" t="s">
        <v>88</v>
      </c>
      <c r="G7484" t="s">
        <v>88</v>
      </c>
      <c r="H7484" t="s">
        <v>92</v>
      </c>
    </row>
    <row r="7485" spans="1:8" x14ac:dyDescent="0.25">
      <c r="A7485" t="s">
        <v>277</v>
      </c>
      <c r="B7485" t="s">
        <v>766</v>
      </c>
      <c r="C7485" t="s">
        <v>88</v>
      </c>
      <c r="D7485" t="s">
        <v>6559</v>
      </c>
      <c r="E7485" t="s">
        <v>820</v>
      </c>
      <c r="F7485" t="s">
        <v>88</v>
      </c>
      <c r="G7485" t="s">
        <v>88</v>
      </c>
      <c r="H7485" t="s">
        <v>92</v>
      </c>
    </row>
    <row r="7486" spans="1:8" x14ac:dyDescent="0.25">
      <c r="A7486" t="s">
        <v>277</v>
      </c>
      <c r="B7486" t="s">
        <v>740</v>
      </c>
      <c r="C7486" t="s">
        <v>88</v>
      </c>
      <c r="D7486" t="s">
        <v>6559</v>
      </c>
      <c r="E7486" t="s">
        <v>717</v>
      </c>
      <c r="F7486" t="s">
        <v>88</v>
      </c>
      <c r="G7486" t="s">
        <v>88</v>
      </c>
      <c r="H7486" t="s">
        <v>92</v>
      </c>
    </row>
    <row r="7487" spans="1:8" x14ac:dyDescent="0.25">
      <c r="A7487" t="s">
        <v>277</v>
      </c>
      <c r="B7487" t="s">
        <v>769</v>
      </c>
      <c r="C7487" t="s">
        <v>88</v>
      </c>
      <c r="D7487" t="s">
        <v>6566</v>
      </c>
      <c r="E7487" t="s">
        <v>825</v>
      </c>
      <c r="F7487" t="s">
        <v>88</v>
      </c>
      <c r="G7487" t="s">
        <v>88</v>
      </c>
      <c r="H7487" t="s">
        <v>92</v>
      </c>
    </row>
    <row r="7488" spans="1:8" x14ac:dyDescent="0.25">
      <c r="A7488" t="s">
        <v>277</v>
      </c>
      <c r="B7488" t="s">
        <v>915</v>
      </c>
      <c r="C7488" t="s">
        <v>88</v>
      </c>
      <c r="D7488" t="s">
        <v>6567</v>
      </c>
      <c r="E7488" t="s">
        <v>1259</v>
      </c>
      <c r="F7488" t="s">
        <v>88</v>
      </c>
      <c r="G7488" t="s">
        <v>88</v>
      </c>
      <c r="H7488" t="s">
        <v>92</v>
      </c>
    </row>
    <row r="7489" spans="1:8" x14ac:dyDescent="0.25">
      <c r="A7489" t="s">
        <v>277</v>
      </c>
      <c r="B7489" t="s">
        <v>736</v>
      </c>
      <c r="C7489" t="s">
        <v>88</v>
      </c>
      <c r="D7489" t="s">
        <v>6558</v>
      </c>
      <c r="E7489" t="s">
        <v>723</v>
      </c>
      <c r="F7489" t="s">
        <v>88</v>
      </c>
      <c r="G7489" t="s">
        <v>88</v>
      </c>
      <c r="H7489" t="s">
        <v>92</v>
      </c>
    </row>
    <row r="7490" spans="1:8" x14ac:dyDescent="0.25">
      <c r="A7490" t="s">
        <v>277</v>
      </c>
      <c r="B7490" t="s">
        <v>6568</v>
      </c>
      <c r="C7490" t="s">
        <v>88</v>
      </c>
      <c r="D7490" t="s">
        <v>6561</v>
      </c>
      <c r="E7490" t="s">
        <v>748</v>
      </c>
      <c r="F7490" t="s">
        <v>88</v>
      </c>
      <c r="G7490" t="s">
        <v>88</v>
      </c>
      <c r="H7490" t="s">
        <v>92</v>
      </c>
    </row>
    <row r="7491" spans="1:8" x14ac:dyDescent="0.25">
      <c r="A7491" t="s">
        <v>277</v>
      </c>
      <c r="B7491" t="s">
        <v>6569</v>
      </c>
      <c r="C7491" t="s">
        <v>88</v>
      </c>
      <c r="D7491" t="s">
        <v>6570</v>
      </c>
      <c r="E7491" t="s">
        <v>717</v>
      </c>
      <c r="F7491" t="s">
        <v>88</v>
      </c>
      <c r="G7491" t="s">
        <v>88</v>
      </c>
      <c r="H7491" t="s">
        <v>92</v>
      </c>
    </row>
    <row r="7492" spans="1:8" x14ac:dyDescent="0.25">
      <c r="A7492" t="s">
        <v>277</v>
      </c>
      <c r="B7492" t="s">
        <v>924</v>
      </c>
      <c r="C7492" t="s">
        <v>88</v>
      </c>
      <c r="D7492" t="s">
        <v>6558</v>
      </c>
      <c r="E7492" t="s">
        <v>679</v>
      </c>
      <c r="F7492" t="s">
        <v>88</v>
      </c>
      <c r="G7492" t="s">
        <v>88</v>
      </c>
      <c r="H7492" t="s">
        <v>92</v>
      </c>
    </row>
    <row r="7493" spans="1:8" x14ac:dyDescent="0.25">
      <c r="A7493" t="s">
        <v>277</v>
      </c>
      <c r="B7493" t="s">
        <v>776</v>
      </c>
      <c r="C7493" t="s">
        <v>88</v>
      </c>
      <c r="D7493" t="s">
        <v>6558</v>
      </c>
      <c r="E7493" t="s">
        <v>780</v>
      </c>
      <c r="F7493" t="s">
        <v>88</v>
      </c>
      <c r="G7493" t="s">
        <v>88</v>
      </c>
      <c r="H7493" t="s">
        <v>92</v>
      </c>
    </row>
    <row r="7494" spans="1:8" x14ac:dyDescent="0.25">
      <c r="A7494" t="s">
        <v>277</v>
      </c>
      <c r="B7494" t="s">
        <v>1395</v>
      </c>
      <c r="C7494" t="s">
        <v>88</v>
      </c>
      <c r="D7494" t="s">
        <v>6558</v>
      </c>
      <c r="E7494" t="s">
        <v>723</v>
      </c>
      <c r="F7494" t="s">
        <v>88</v>
      </c>
      <c r="G7494" t="s">
        <v>88</v>
      </c>
      <c r="H7494" t="s">
        <v>92</v>
      </c>
    </row>
    <row r="7495" spans="1:8" x14ac:dyDescent="0.25">
      <c r="A7495" t="s">
        <v>277</v>
      </c>
      <c r="B7495" t="s">
        <v>6571</v>
      </c>
      <c r="C7495" t="s">
        <v>88</v>
      </c>
      <c r="D7495" t="s">
        <v>6558</v>
      </c>
      <c r="E7495" t="s">
        <v>679</v>
      </c>
      <c r="F7495" t="s">
        <v>88</v>
      </c>
      <c r="G7495" t="s">
        <v>88</v>
      </c>
      <c r="H7495" t="s">
        <v>92</v>
      </c>
    </row>
    <row r="7496" spans="1:8" x14ac:dyDescent="0.25">
      <c r="A7496" t="s">
        <v>277</v>
      </c>
      <c r="B7496" t="s">
        <v>739</v>
      </c>
      <c r="C7496" t="s">
        <v>88</v>
      </c>
      <c r="D7496" t="s">
        <v>6558</v>
      </c>
      <c r="E7496" t="s">
        <v>738</v>
      </c>
      <c r="F7496" t="s">
        <v>88</v>
      </c>
      <c r="G7496" t="s">
        <v>88</v>
      </c>
      <c r="H7496" t="s">
        <v>92</v>
      </c>
    </row>
    <row r="7497" spans="1:8" x14ac:dyDescent="0.25">
      <c r="A7497" t="s">
        <v>277</v>
      </c>
      <c r="B7497" t="s">
        <v>6560</v>
      </c>
      <c r="C7497" t="s">
        <v>88</v>
      </c>
      <c r="D7497" t="s">
        <v>6561</v>
      </c>
      <c r="E7497" t="s">
        <v>780</v>
      </c>
      <c r="F7497" t="s">
        <v>88</v>
      </c>
      <c r="G7497" t="s">
        <v>88</v>
      </c>
      <c r="H7497" t="s">
        <v>92</v>
      </c>
    </row>
    <row r="7498" spans="1:8" x14ac:dyDescent="0.25">
      <c r="A7498" t="s">
        <v>277</v>
      </c>
      <c r="B7498" t="s">
        <v>5192</v>
      </c>
      <c r="C7498" t="s">
        <v>88</v>
      </c>
      <c r="D7498" t="s">
        <v>6572</v>
      </c>
      <c r="E7498" t="s">
        <v>663</v>
      </c>
      <c r="F7498" t="s">
        <v>88</v>
      </c>
      <c r="G7498" t="s">
        <v>88</v>
      </c>
      <c r="H7498" t="s">
        <v>92</v>
      </c>
    </row>
    <row r="7499" spans="1:8" x14ac:dyDescent="0.25">
      <c r="A7499" t="s">
        <v>277</v>
      </c>
      <c r="B7499" t="s">
        <v>6562</v>
      </c>
      <c r="C7499" t="s">
        <v>88</v>
      </c>
      <c r="D7499" t="s">
        <v>6561</v>
      </c>
      <c r="E7499" t="s">
        <v>658</v>
      </c>
      <c r="F7499" t="s">
        <v>88</v>
      </c>
      <c r="G7499" t="s">
        <v>88</v>
      </c>
      <c r="H7499" t="s">
        <v>92</v>
      </c>
    </row>
    <row r="7500" spans="1:8" x14ac:dyDescent="0.25">
      <c r="A7500" t="s">
        <v>277</v>
      </c>
      <c r="B7500" t="s">
        <v>6573</v>
      </c>
      <c r="C7500" t="s">
        <v>88</v>
      </c>
      <c r="D7500" t="s">
        <v>4819</v>
      </c>
      <c r="E7500" t="s">
        <v>658</v>
      </c>
      <c r="F7500" t="s">
        <v>88</v>
      </c>
      <c r="G7500" t="s">
        <v>88</v>
      </c>
      <c r="H7500" t="s">
        <v>92</v>
      </c>
    </row>
    <row r="7501" spans="1:8" x14ac:dyDescent="0.25">
      <c r="A7501" t="s">
        <v>277</v>
      </c>
      <c r="B7501" t="s">
        <v>6574</v>
      </c>
      <c r="C7501" t="s">
        <v>88</v>
      </c>
      <c r="D7501" t="s">
        <v>88</v>
      </c>
      <c r="E7501" t="s">
        <v>715</v>
      </c>
      <c r="F7501" t="s">
        <v>88</v>
      </c>
      <c r="G7501" t="s">
        <v>88</v>
      </c>
      <c r="H7501" t="s">
        <v>92</v>
      </c>
    </row>
    <row r="7502" spans="1:8" x14ac:dyDescent="0.25">
      <c r="A7502" t="s">
        <v>277</v>
      </c>
      <c r="B7502" t="s">
        <v>6575</v>
      </c>
      <c r="C7502" t="s">
        <v>88</v>
      </c>
      <c r="D7502" t="s">
        <v>88</v>
      </c>
      <c r="E7502" t="s">
        <v>715</v>
      </c>
      <c r="F7502" t="s">
        <v>88</v>
      </c>
      <c r="G7502" t="s">
        <v>88</v>
      </c>
      <c r="H7502" t="s">
        <v>92</v>
      </c>
    </row>
    <row r="7503" spans="1:8" x14ac:dyDescent="0.25">
      <c r="A7503" t="s">
        <v>277</v>
      </c>
      <c r="B7503" t="s">
        <v>2206</v>
      </c>
      <c r="C7503" t="s">
        <v>88</v>
      </c>
      <c r="D7503" t="s">
        <v>88</v>
      </c>
      <c r="E7503" t="s">
        <v>715</v>
      </c>
      <c r="F7503" t="s">
        <v>88</v>
      </c>
      <c r="G7503" t="s">
        <v>88</v>
      </c>
      <c r="H7503" t="s">
        <v>92</v>
      </c>
    </row>
    <row r="7504" spans="1:8" x14ac:dyDescent="0.25">
      <c r="A7504" t="s">
        <v>277</v>
      </c>
      <c r="B7504" t="s">
        <v>948</v>
      </c>
      <c r="C7504" t="s">
        <v>88</v>
      </c>
      <c r="D7504" t="s">
        <v>88</v>
      </c>
      <c r="E7504" t="s">
        <v>735</v>
      </c>
      <c r="F7504" t="s">
        <v>88</v>
      </c>
      <c r="G7504" t="s">
        <v>88</v>
      </c>
      <c r="H7504" t="s">
        <v>92</v>
      </c>
    </row>
    <row r="7505" spans="1:8" x14ac:dyDescent="0.25">
      <c r="A7505" t="s">
        <v>277</v>
      </c>
      <c r="B7505" t="s">
        <v>1072</v>
      </c>
      <c r="C7505" t="s">
        <v>88</v>
      </c>
      <c r="D7505" t="s">
        <v>88</v>
      </c>
      <c r="E7505" t="s">
        <v>734</v>
      </c>
      <c r="F7505" t="s">
        <v>88</v>
      </c>
      <c r="G7505" t="s">
        <v>88</v>
      </c>
      <c r="H7505" t="s">
        <v>92</v>
      </c>
    </row>
    <row r="7506" spans="1:8" x14ac:dyDescent="0.25">
      <c r="A7506" t="s">
        <v>277</v>
      </c>
      <c r="B7506" t="s">
        <v>701</v>
      </c>
      <c r="C7506" t="s">
        <v>88</v>
      </c>
      <c r="D7506" t="s">
        <v>88</v>
      </c>
      <c r="E7506" t="s">
        <v>734</v>
      </c>
      <c r="F7506" t="s">
        <v>88</v>
      </c>
      <c r="G7506" t="s">
        <v>88</v>
      </c>
      <c r="H7506" t="s">
        <v>92</v>
      </c>
    </row>
    <row r="7507" spans="1:8" x14ac:dyDescent="0.25">
      <c r="A7507" t="s">
        <v>277</v>
      </c>
      <c r="B7507" t="s">
        <v>705</v>
      </c>
      <c r="C7507" t="s">
        <v>88</v>
      </c>
      <c r="D7507" t="s">
        <v>88</v>
      </c>
      <c r="E7507" t="s">
        <v>734</v>
      </c>
      <c r="F7507" t="s">
        <v>88</v>
      </c>
      <c r="G7507" t="s">
        <v>88</v>
      </c>
      <c r="H7507" t="s">
        <v>92</v>
      </c>
    </row>
    <row r="7508" spans="1:8" x14ac:dyDescent="0.25">
      <c r="A7508" t="s">
        <v>277</v>
      </c>
      <c r="B7508" t="s">
        <v>706</v>
      </c>
      <c r="C7508" t="s">
        <v>88</v>
      </c>
      <c r="D7508" t="s">
        <v>88</v>
      </c>
      <c r="E7508" t="s">
        <v>734</v>
      </c>
      <c r="F7508" t="s">
        <v>88</v>
      </c>
      <c r="G7508" t="s">
        <v>88</v>
      </c>
      <c r="H7508" t="s">
        <v>92</v>
      </c>
    </row>
    <row r="7509" spans="1:8" x14ac:dyDescent="0.25">
      <c r="A7509" t="s">
        <v>277</v>
      </c>
      <c r="B7509" t="s">
        <v>707</v>
      </c>
      <c r="C7509" t="s">
        <v>88</v>
      </c>
      <c r="D7509" t="s">
        <v>88</v>
      </c>
      <c r="E7509" t="s">
        <v>734</v>
      </c>
      <c r="F7509" t="s">
        <v>88</v>
      </c>
      <c r="G7509" t="s">
        <v>88</v>
      </c>
      <c r="H7509" t="s">
        <v>92</v>
      </c>
    </row>
    <row r="7510" spans="1:8" x14ac:dyDescent="0.25">
      <c r="A7510" t="s">
        <v>277</v>
      </c>
      <c r="B7510" t="s">
        <v>708</v>
      </c>
      <c r="C7510" t="s">
        <v>88</v>
      </c>
      <c r="D7510" t="s">
        <v>88</v>
      </c>
      <c r="E7510" t="s">
        <v>734</v>
      </c>
      <c r="F7510" t="s">
        <v>88</v>
      </c>
      <c r="G7510" t="s">
        <v>88</v>
      </c>
      <c r="H7510" t="s">
        <v>92</v>
      </c>
    </row>
    <row r="7511" spans="1:8" x14ac:dyDescent="0.25">
      <c r="A7511" t="s">
        <v>277</v>
      </c>
      <c r="B7511" t="s">
        <v>612</v>
      </c>
      <c r="C7511" t="s">
        <v>88</v>
      </c>
      <c r="D7511" t="s">
        <v>88</v>
      </c>
      <c r="E7511" t="s">
        <v>734</v>
      </c>
      <c r="F7511" t="s">
        <v>88</v>
      </c>
      <c r="G7511" t="s">
        <v>88</v>
      </c>
      <c r="H7511" t="s">
        <v>92</v>
      </c>
    </row>
    <row r="7512" spans="1:8" x14ac:dyDescent="0.25">
      <c r="A7512" t="s">
        <v>277</v>
      </c>
      <c r="B7512" t="s">
        <v>614</v>
      </c>
      <c r="C7512" t="s">
        <v>88</v>
      </c>
      <c r="D7512" t="s">
        <v>88</v>
      </c>
      <c r="E7512" t="s">
        <v>734</v>
      </c>
      <c r="F7512" t="s">
        <v>88</v>
      </c>
      <c r="G7512" t="s">
        <v>88</v>
      </c>
      <c r="H7512" t="s">
        <v>92</v>
      </c>
    </row>
    <row r="7513" spans="1:8" x14ac:dyDescent="0.25">
      <c r="A7513" t="s">
        <v>277</v>
      </c>
      <c r="B7513" t="s">
        <v>615</v>
      </c>
      <c r="C7513" t="s">
        <v>88</v>
      </c>
      <c r="D7513" t="s">
        <v>88</v>
      </c>
      <c r="E7513" t="s">
        <v>734</v>
      </c>
      <c r="F7513" t="s">
        <v>88</v>
      </c>
      <c r="G7513" t="s">
        <v>88</v>
      </c>
      <c r="H7513" t="s">
        <v>92</v>
      </c>
    </row>
    <row r="7514" spans="1:8" x14ac:dyDescent="0.25">
      <c r="A7514" t="s">
        <v>277</v>
      </c>
      <c r="B7514" t="s">
        <v>616</v>
      </c>
      <c r="C7514" t="s">
        <v>88</v>
      </c>
      <c r="D7514" t="s">
        <v>88</v>
      </c>
      <c r="E7514" t="s">
        <v>734</v>
      </c>
      <c r="F7514" t="s">
        <v>88</v>
      </c>
      <c r="G7514" t="s">
        <v>88</v>
      </c>
      <c r="H7514" t="s">
        <v>92</v>
      </c>
    </row>
    <row r="7515" spans="1:8" x14ac:dyDescent="0.25">
      <c r="A7515" t="s">
        <v>277</v>
      </c>
      <c r="B7515" t="s">
        <v>4133</v>
      </c>
      <c r="C7515" t="s">
        <v>88</v>
      </c>
      <c r="D7515" t="s">
        <v>88</v>
      </c>
      <c r="E7515" t="s">
        <v>734</v>
      </c>
      <c r="F7515" t="s">
        <v>88</v>
      </c>
      <c r="G7515" t="s">
        <v>88</v>
      </c>
      <c r="H7515" t="s">
        <v>92</v>
      </c>
    </row>
    <row r="7516" spans="1:8" x14ac:dyDescent="0.25">
      <c r="A7516" t="s">
        <v>277</v>
      </c>
      <c r="B7516" t="s">
        <v>617</v>
      </c>
      <c r="C7516" t="s">
        <v>88</v>
      </c>
      <c r="D7516" t="s">
        <v>88</v>
      </c>
      <c r="E7516" t="s">
        <v>734</v>
      </c>
      <c r="F7516" t="s">
        <v>88</v>
      </c>
      <c r="G7516" t="s">
        <v>88</v>
      </c>
      <c r="H7516" t="s">
        <v>92</v>
      </c>
    </row>
    <row r="7517" spans="1:8" x14ac:dyDescent="0.25">
      <c r="A7517" t="s">
        <v>277</v>
      </c>
      <c r="B7517" t="s">
        <v>733</v>
      </c>
      <c r="C7517" t="s">
        <v>88</v>
      </c>
      <c r="D7517" t="s">
        <v>88</v>
      </c>
      <c r="E7517" t="s">
        <v>734</v>
      </c>
      <c r="F7517" t="s">
        <v>88</v>
      </c>
      <c r="G7517" t="s">
        <v>88</v>
      </c>
      <c r="H7517" t="s">
        <v>92</v>
      </c>
    </row>
    <row r="7518" spans="1:8" x14ac:dyDescent="0.25">
      <c r="A7518" t="s">
        <v>277</v>
      </c>
      <c r="B7518" t="s">
        <v>846</v>
      </c>
      <c r="C7518" t="s">
        <v>88</v>
      </c>
      <c r="D7518" t="s">
        <v>88</v>
      </c>
      <c r="E7518" t="s">
        <v>709</v>
      </c>
      <c r="F7518" t="s">
        <v>88</v>
      </c>
      <c r="G7518" t="s">
        <v>88</v>
      </c>
      <c r="H7518" t="s">
        <v>92</v>
      </c>
    </row>
    <row r="7519" spans="1:8" x14ac:dyDescent="0.25">
      <c r="A7519" t="s">
        <v>277</v>
      </c>
      <c r="B7519" t="s">
        <v>618</v>
      </c>
      <c r="C7519" t="s">
        <v>88</v>
      </c>
      <c r="D7519" t="s">
        <v>88</v>
      </c>
      <c r="E7519" t="s">
        <v>711</v>
      </c>
      <c r="F7519" t="s">
        <v>88</v>
      </c>
      <c r="G7519" t="s">
        <v>88</v>
      </c>
      <c r="H7519" t="s">
        <v>92</v>
      </c>
    </row>
    <row r="7520" spans="1:8" x14ac:dyDescent="0.25">
      <c r="A7520" t="s">
        <v>277</v>
      </c>
      <c r="B7520" t="s">
        <v>620</v>
      </c>
      <c r="C7520" t="s">
        <v>88</v>
      </c>
      <c r="D7520" t="s">
        <v>88</v>
      </c>
      <c r="E7520" t="s">
        <v>710</v>
      </c>
      <c r="F7520" t="s">
        <v>88</v>
      </c>
      <c r="G7520" t="s">
        <v>88</v>
      </c>
      <c r="H7520" t="s">
        <v>92</v>
      </c>
    </row>
    <row r="7521" spans="1:8" x14ac:dyDescent="0.25">
      <c r="A7521" t="s">
        <v>277</v>
      </c>
      <c r="B7521" t="s">
        <v>622</v>
      </c>
      <c r="C7521" t="s">
        <v>88</v>
      </c>
      <c r="D7521" t="s">
        <v>88</v>
      </c>
      <c r="E7521" t="s">
        <v>848</v>
      </c>
      <c r="F7521" t="s">
        <v>88</v>
      </c>
      <c r="G7521" t="s">
        <v>88</v>
      </c>
      <c r="H7521" t="s">
        <v>92</v>
      </c>
    </row>
    <row r="7522" spans="1:8" x14ac:dyDescent="0.25">
      <c r="A7522" t="s">
        <v>277</v>
      </c>
      <c r="B7522" t="s">
        <v>623</v>
      </c>
      <c r="C7522" t="s">
        <v>88</v>
      </c>
      <c r="D7522" t="s">
        <v>88</v>
      </c>
      <c r="E7522" t="s">
        <v>735</v>
      </c>
      <c r="F7522" t="s">
        <v>88</v>
      </c>
      <c r="G7522" t="s">
        <v>88</v>
      </c>
      <c r="H7522" t="s">
        <v>92</v>
      </c>
    </row>
    <row r="7523" spans="1:8" x14ac:dyDescent="0.25">
      <c r="A7523" t="s">
        <v>277</v>
      </c>
      <c r="B7523" t="s">
        <v>714</v>
      </c>
      <c r="C7523" t="s">
        <v>88</v>
      </c>
      <c r="D7523" t="s">
        <v>88</v>
      </c>
      <c r="E7523" t="s">
        <v>715</v>
      </c>
      <c r="F7523" t="s">
        <v>88</v>
      </c>
      <c r="G7523" t="s">
        <v>88</v>
      </c>
      <c r="H7523" t="s">
        <v>92</v>
      </c>
    </row>
    <row r="7524" spans="1:8" x14ac:dyDescent="0.25">
      <c r="A7524" t="s">
        <v>277</v>
      </c>
      <c r="B7524" t="s">
        <v>798</v>
      </c>
      <c r="C7524" t="s">
        <v>88</v>
      </c>
      <c r="D7524" t="s">
        <v>88</v>
      </c>
      <c r="E7524" t="s">
        <v>715</v>
      </c>
      <c r="F7524" t="s">
        <v>88</v>
      </c>
      <c r="G7524" t="s">
        <v>88</v>
      </c>
      <c r="H7524" t="s">
        <v>92</v>
      </c>
    </row>
    <row r="7525" spans="1:8" x14ac:dyDescent="0.25">
      <c r="A7525" t="s">
        <v>277</v>
      </c>
      <c r="B7525" t="s">
        <v>1989</v>
      </c>
      <c r="C7525" t="s">
        <v>88</v>
      </c>
      <c r="D7525" t="s">
        <v>88</v>
      </c>
      <c r="E7525" t="s">
        <v>780</v>
      </c>
      <c r="F7525" t="s">
        <v>88</v>
      </c>
      <c r="G7525" t="s">
        <v>88</v>
      </c>
      <c r="H7525" t="s">
        <v>92</v>
      </c>
    </row>
    <row r="7526" spans="1:8" x14ac:dyDescent="0.25">
      <c r="A7526" t="s">
        <v>277</v>
      </c>
      <c r="B7526" t="s">
        <v>852</v>
      </c>
      <c r="C7526" t="s">
        <v>88</v>
      </c>
      <c r="D7526" t="s">
        <v>88</v>
      </c>
      <c r="E7526" t="s">
        <v>780</v>
      </c>
      <c r="F7526" t="s">
        <v>88</v>
      </c>
      <c r="G7526" t="s">
        <v>88</v>
      </c>
      <c r="H7526" t="s">
        <v>92</v>
      </c>
    </row>
    <row r="7527" spans="1:8" x14ac:dyDescent="0.25">
      <c r="A7527" t="s">
        <v>279</v>
      </c>
      <c r="B7527" t="s">
        <v>6576</v>
      </c>
      <c r="C7527" t="s">
        <v>88</v>
      </c>
      <c r="D7527" t="s">
        <v>6577</v>
      </c>
      <c r="E7527" t="s">
        <v>721</v>
      </c>
      <c r="F7527" t="s">
        <v>88</v>
      </c>
      <c r="G7527" t="s">
        <v>88</v>
      </c>
      <c r="H7527" t="s">
        <v>92</v>
      </c>
    </row>
    <row r="7528" spans="1:8" x14ac:dyDescent="0.25">
      <c r="A7528" t="s">
        <v>279</v>
      </c>
      <c r="B7528" t="s">
        <v>2012</v>
      </c>
      <c r="C7528" t="s">
        <v>88</v>
      </c>
      <c r="D7528" t="s">
        <v>6578</v>
      </c>
      <c r="E7528" t="s">
        <v>2662</v>
      </c>
      <c r="F7528" t="s">
        <v>88</v>
      </c>
      <c r="G7528" t="s">
        <v>88</v>
      </c>
      <c r="H7528" t="s">
        <v>92</v>
      </c>
    </row>
    <row r="7529" spans="1:8" x14ac:dyDescent="0.25">
      <c r="A7529" t="s">
        <v>279</v>
      </c>
      <c r="B7529" t="s">
        <v>6579</v>
      </c>
      <c r="C7529" t="s">
        <v>88</v>
      </c>
      <c r="D7529" t="s">
        <v>6580</v>
      </c>
      <c r="E7529" t="s">
        <v>2662</v>
      </c>
      <c r="F7529" t="s">
        <v>88</v>
      </c>
      <c r="G7529" t="s">
        <v>88</v>
      </c>
      <c r="H7529" t="s">
        <v>92</v>
      </c>
    </row>
    <row r="7530" spans="1:8" x14ac:dyDescent="0.25">
      <c r="A7530" t="s">
        <v>279</v>
      </c>
      <c r="B7530" t="s">
        <v>6581</v>
      </c>
      <c r="C7530" t="s">
        <v>88</v>
      </c>
      <c r="D7530" t="s">
        <v>6582</v>
      </c>
      <c r="E7530" t="s">
        <v>780</v>
      </c>
      <c r="F7530" t="s">
        <v>88</v>
      </c>
      <c r="G7530" t="s">
        <v>88</v>
      </c>
      <c r="H7530" t="s">
        <v>92</v>
      </c>
    </row>
    <row r="7531" spans="1:8" x14ac:dyDescent="0.25">
      <c r="A7531" t="s">
        <v>279</v>
      </c>
      <c r="B7531" t="s">
        <v>6583</v>
      </c>
      <c r="C7531" t="s">
        <v>88</v>
      </c>
      <c r="D7531" t="s">
        <v>6584</v>
      </c>
      <c r="E7531" t="s">
        <v>679</v>
      </c>
      <c r="F7531" t="s">
        <v>88</v>
      </c>
      <c r="G7531" t="s">
        <v>88</v>
      </c>
      <c r="H7531" t="s">
        <v>92</v>
      </c>
    </row>
    <row r="7532" spans="1:8" x14ac:dyDescent="0.25">
      <c r="A7532" t="s">
        <v>279</v>
      </c>
      <c r="B7532" t="s">
        <v>6585</v>
      </c>
      <c r="C7532" t="s">
        <v>88</v>
      </c>
      <c r="D7532" t="s">
        <v>88</v>
      </c>
      <c r="E7532" t="s">
        <v>2757</v>
      </c>
      <c r="F7532" t="s">
        <v>88</v>
      </c>
      <c r="G7532" t="s">
        <v>88</v>
      </c>
      <c r="H7532" t="s">
        <v>92</v>
      </c>
    </row>
    <row r="7533" spans="1:8" x14ac:dyDescent="0.25">
      <c r="A7533" t="s">
        <v>279</v>
      </c>
      <c r="B7533" t="s">
        <v>612</v>
      </c>
      <c r="C7533" t="s">
        <v>88</v>
      </c>
      <c r="D7533" t="s">
        <v>88</v>
      </c>
      <c r="E7533" t="s">
        <v>1978</v>
      </c>
      <c r="F7533" t="s">
        <v>88</v>
      </c>
      <c r="G7533" t="s">
        <v>88</v>
      </c>
      <c r="H7533" t="s">
        <v>92</v>
      </c>
    </row>
    <row r="7534" spans="1:8" x14ac:dyDescent="0.25">
      <c r="A7534" t="s">
        <v>279</v>
      </c>
      <c r="B7534" t="s">
        <v>651</v>
      </c>
      <c r="C7534" t="s">
        <v>88</v>
      </c>
      <c r="D7534" t="s">
        <v>88</v>
      </c>
      <c r="E7534" t="s">
        <v>1978</v>
      </c>
      <c r="F7534" t="s">
        <v>88</v>
      </c>
      <c r="G7534" t="s">
        <v>88</v>
      </c>
      <c r="H7534" t="s">
        <v>92</v>
      </c>
    </row>
    <row r="7535" spans="1:8" x14ac:dyDescent="0.25">
      <c r="A7535" t="s">
        <v>279</v>
      </c>
      <c r="B7535" t="s">
        <v>614</v>
      </c>
      <c r="C7535" t="s">
        <v>88</v>
      </c>
      <c r="D7535" t="s">
        <v>88</v>
      </c>
      <c r="E7535" t="s">
        <v>1978</v>
      </c>
      <c r="F7535" t="s">
        <v>88</v>
      </c>
      <c r="G7535" t="s">
        <v>88</v>
      </c>
      <c r="H7535" t="s">
        <v>92</v>
      </c>
    </row>
    <row r="7536" spans="1:8" x14ac:dyDescent="0.25">
      <c r="A7536" t="s">
        <v>279</v>
      </c>
      <c r="B7536" t="s">
        <v>615</v>
      </c>
      <c r="C7536" t="s">
        <v>88</v>
      </c>
      <c r="D7536" t="s">
        <v>88</v>
      </c>
      <c r="E7536" t="s">
        <v>1978</v>
      </c>
      <c r="F7536" t="s">
        <v>88</v>
      </c>
      <c r="G7536" t="s">
        <v>88</v>
      </c>
      <c r="H7536" t="s">
        <v>92</v>
      </c>
    </row>
    <row r="7537" spans="1:8" x14ac:dyDescent="0.25">
      <c r="A7537" t="s">
        <v>279</v>
      </c>
      <c r="B7537" t="s">
        <v>705</v>
      </c>
      <c r="C7537" t="s">
        <v>88</v>
      </c>
      <c r="D7537" t="s">
        <v>88</v>
      </c>
      <c r="E7537" t="s">
        <v>1978</v>
      </c>
      <c r="F7537" t="s">
        <v>88</v>
      </c>
      <c r="G7537" t="s">
        <v>88</v>
      </c>
      <c r="H7537" t="s">
        <v>92</v>
      </c>
    </row>
    <row r="7538" spans="1:8" x14ac:dyDescent="0.25">
      <c r="A7538" t="s">
        <v>279</v>
      </c>
      <c r="B7538" t="s">
        <v>706</v>
      </c>
      <c r="C7538" t="s">
        <v>88</v>
      </c>
      <c r="D7538" t="s">
        <v>88</v>
      </c>
      <c r="E7538" t="s">
        <v>1978</v>
      </c>
      <c r="F7538" t="s">
        <v>88</v>
      </c>
      <c r="G7538" t="s">
        <v>88</v>
      </c>
      <c r="H7538" t="s">
        <v>92</v>
      </c>
    </row>
    <row r="7539" spans="1:8" x14ac:dyDescent="0.25">
      <c r="A7539" t="s">
        <v>279</v>
      </c>
      <c r="B7539" t="s">
        <v>4133</v>
      </c>
      <c r="C7539" t="s">
        <v>88</v>
      </c>
      <c r="D7539" t="s">
        <v>88</v>
      </c>
      <c r="E7539" t="s">
        <v>1978</v>
      </c>
      <c r="F7539" t="s">
        <v>88</v>
      </c>
      <c r="G7539" t="s">
        <v>88</v>
      </c>
      <c r="H7539" t="s">
        <v>92</v>
      </c>
    </row>
    <row r="7540" spans="1:8" x14ac:dyDescent="0.25">
      <c r="A7540" t="s">
        <v>279</v>
      </c>
      <c r="B7540" t="s">
        <v>733</v>
      </c>
      <c r="C7540" t="s">
        <v>88</v>
      </c>
      <c r="D7540" t="s">
        <v>88</v>
      </c>
      <c r="E7540" t="s">
        <v>1978</v>
      </c>
      <c r="F7540" t="s">
        <v>88</v>
      </c>
      <c r="G7540" t="s">
        <v>88</v>
      </c>
      <c r="H7540" t="s">
        <v>92</v>
      </c>
    </row>
    <row r="7541" spans="1:8" x14ac:dyDescent="0.25">
      <c r="A7541" t="s">
        <v>279</v>
      </c>
      <c r="B7541" t="s">
        <v>618</v>
      </c>
      <c r="C7541" t="s">
        <v>88</v>
      </c>
      <c r="D7541" t="s">
        <v>88</v>
      </c>
      <c r="E7541" t="s">
        <v>711</v>
      </c>
      <c r="F7541" t="s">
        <v>88</v>
      </c>
      <c r="G7541" t="s">
        <v>88</v>
      </c>
      <c r="H7541" t="s">
        <v>92</v>
      </c>
    </row>
    <row r="7542" spans="1:8" x14ac:dyDescent="0.25">
      <c r="A7542" t="s">
        <v>279</v>
      </c>
      <c r="B7542" t="s">
        <v>795</v>
      </c>
      <c r="C7542" t="s">
        <v>88</v>
      </c>
      <c r="D7542" t="s">
        <v>88</v>
      </c>
      <c r="E7542" t="s">
        <v>849</v>
      </c>
      <c r="F7542" t="s">
        <v>88</v>
      </c>
      <c r="G7542" t="s">
        <v>88</v>
      </c>
      <c r="H7542" t="s">
        <v>92</v>
      </c>
    </row>
    <row r="7543" spans="1:8" x14ac:dyDescent="0.25">
      <c r="A7543" t="s">
        <v>279</v>
      </c>
      <c r="B7543" t="s">
        <v>620</v>
      </c>
      <c r="C7543" t="s">
        <v>88</v>
      </c>
      <c r="D7543" t="s">
        <v>88</v>
      </c>
      <c r="E7543" t="s">
        <v>711</v>
      </c>
      <c r="F7543" t="s">
        <v>88</v>
      </c>
      <c r="G7543" t="s">
        <v>88</v>
      </c>
      <c r="H7543" t="s">
        <v>92</v>
      </c>
    </row>
    <row r="7544" spans="1:8" x14ac:dyDescent="0.25">
      <c r="A7544" t="s">
        <v>279</v>
      </c>
      <c r="B7544" t="s">
        <v>622</v>
      </c>
      <c r="C7544" t="s">
        <v>88</v>
      </c>
      <c r="D7544" t="s">
        <v>88</v>
      </c>
      <c r="E7544" t="s">
        <v>2753</v>
      </c>
      <c r="F7544" t="s">
        <v>88</v>
      </c>
      <c r="G7544" t="s">
        <v>88</v>
      </c>
      <c r="H7544" t="s">
        <v>92</v>
      </c>
    </row>
    <row r="7545" spans="1:8" x14ac:dyDescent="0.25">
      <c r="A7545" t="s">
        <v>279</v>
      </c>
      <c r="B7545" t="s">
        <v>623</v>
      </c>
      <c r="C7545" t="s">
        <v>88</v>
      </c>
      <c r="D7545" t="s">
        <v>88</v>
      </c>
      <c r="E7545" t="s">
        <v>849</v>
      </c>
      <c r="F7545" t="s">
        <v>88</v>
      </c>
      <c r="G7545" t="s">
        <v>88</v>
      </c>
      <c r="H7545" t="s">
        <v>92</v>
      </c>
    </row>
    <row r="7546" spans="1:8" x14ac:dyDescent="0.25">
      <c r="A7546" t="s">
        <v>279</v>
      </c>
      <c r="B7546" t="s">
        <v>625</v>
      </c>
      <c r="C7546" t="s">
        <v>88</v>
      </c>
      <c r="D7546" t="s">
        <v>88</v>
      </c>
      <c r="E7546" t="s">
        <v>626</v>
      </c>
      <c r="F7546" t="s">
        <v>88</v>
      </c>
      <c r="G7546" t="s">
        <v>88</v>
      </c>
      <c r="H7546" t="s">
        <v>92</v>
      </c>
    </row>
    <row r="7547" spans="1:8" x14ac:dyDescent="0.25">
      <c r="A7547" t="s">
        <v>280</v>
      </c>
      <c r="B7547" t="s">
        <v>736</v>
      </c>
      <c r="C7547" t="s">
        <v>88</v>
      </c>
      <c r="D7547" t="s">
        <v>6586</v>
      </c>
      <c r="E7547" t="s">
        <v>780</v>
      </c>
      <c r="F7547" t="s">
        <v>88</v>
      </c>
      <c r="G7547" t="s">
        <v>88</v>
      </c>
      <c r="H7547" t="s">
        <v>92</v>
      </c>
    </row>
    <row r="7548" spans="1:8" x14ac:dyDescent="0.25">
      <c r="A7548" t="s">
        <v>280</v>
      </c>
      <c r="B7548" t="s">
        <v>739</v>
      </c>
      <c r="C7548" t="s">
        <v>88</v>
      </c>
      <c r="D7548" t="s">
        <v>6587</v>
      </c>
      <c r="E7548" t="s">
        <v>959</v>
      </c>
      <c r="F7548" t="s">
        <v>88</v>
      </c>
      <c r="G7548" t="s">
        <v>88</v>
      </c>
      <c r="H7548" t="s">
        <v>92</v>
      </c>
    </row>
    <row r="7549" spans="1:8" x14ac:dyDescent="0.25">
      <c r="A7549" t="s">
        <v>280</v>
      </c>
      <c r="B7549" t="s">
        <v>2012</v>
      </c>
      <c r="C7549" t="s">
        <v>88</v>
      </c>
      <c r="D7549" t="s">
        <v>6588</v>
      </c>
      <c r="E7549" t="s">
        <v>780</v>
      </c>
      <c r="F7549" t="s">
        <v>88</v>
      </c>
      <c r="G7549" t="s">
        <v>88</v>
      </c>
      <c r="H7549" t="s">
        <v>92</v>
      </c>
    </row>
    <row r="7550" spans="1:8" x14ac:dyDescent="0.25">
      <c r="A7550" t="s">
        <v>280</v>
      </c>
      <c r="B7550" t="s">
        <v>6589</v>
      </c>
      <c r="C7550" t="s">
        <v>88</v>
      </c>
      <c r="D7550" t="s">
        <v>6590</v>
      </c>
      <c r="E7550" t="s">
        <v>780</v>
      </c>
      <c r="F7550" t="s">
        <v>88</v>
      </c>
      <c r="G7550" t="s">
        <v>88</v>
      </c>
      <c r="H7550" t="s">
        <v>92</v>
      </c>
    </row>
    <row r="7551" spans="1:8" x14ac:dyDescent="0.25">
      <c r="A7551" t="s">
        <v>280</v>
      </c>
      <c r="B7551" t="s">
        <v>768</v>
      </c>
      <c r="C7551" t="s">
        <v>88</v>
      </c>
      <c r="D7551" t="s">
        <v>6591</v>
      </c>
      <c r="E7551" t="s">
        <v>655</v>
      </c>
      <c r="F7551" t="s">
        <v>88</v>
      </c>
      <c r="G7551" t="s">
        <v>88</v>
      </c>
      <c r="H7551" t="s">
        <v>92</v>
      </c>
    </row>
    <row r="7552" spans="1:8" x14ac:dyDescent="0.25">
      <c r="A7552" t="s">
        <v>280</v>
      </c>
      <c r="B7552" t="s">
        <v>740</v>
      </c>
      <c r="C7552" t="s">
        <v>88</v>
      </c>
      <c r="D7552" t="s">
        <v>6592</v>
      </c>
      <c r="E7552" t="s">
        <v>717</v>
      </c>
      <c r="F7552" t="s">
        <v>88</v>
      </c>
      <c r="G7552" t="s">
        <v>88</v>
      </c>
      <c r="H7552" t="s">
        <v>92</v>
      </c>
    </row>
    <row r="7553" spans="1:8" x14ac:dyDescent="0.25">
      <c r="A7553" t="s">
        <v>280</v>
      </c>
      <c r="B7553" t="s">
        <v>6593</v>
      </c>
      <c r="C7553" t="s">
        <v>88</v>
      </c>
      <c r="D7553" t="s">
        <v>6594</v>
      </c>
      <c r="E7553" t="s">
        <v>6595</v>
      </c>
      <c r="F7553" t="s">
        <v>88</v>
      </c>
      <c r="G7553" t="s">
        <v>88</v>
      </c>
      <c r="H7553" t="s">
        <v>92</v>
      </c>
    </row>
    <row r="7554" spans="1:8" x14ac:dyDescent="0.25">
      <c r="A7554" t="s">
        <v>280</v>
      </c>
      <c r="B7554" t="s">
        <v>881</v>
      </c>
      <c r="C7554" t="s">
        <v>88</v>
      </c>
      <c r="D7554" t="s">
        <v>6596</v>
      </c>
      <c r="E7554" t="s">
        <v>655</v>
      </c>
      <c r="F7554" t="s">
        <v>88</v>
      </c>
      <c r="G7554" t="s">
        <v>88</v>
      </c>
      <c r="H7554" t="s">
        <v>92</v>
      </c>
    </row>
    <row r="7555" spans="1:8" x14ac:dyDescent="0.25">
      <c r="A7555" t="s">
        <v>280</v>
      </c>
      <c r="B7555" t="s">
        <v>764</v>
      </c>
      <c r="C7555" t="s">
        <v>88</v>
      </c>
      <c r="D7555" t="s">
        <v>6597</v>
      </c>
      <c r="E7555" t="s">
        <v>655</v>
      </c>
      <c r="F7555" t="s">
        <v>88</v>
      </c>
      <c r="G7555" t="s">
        <v>88</v>
      </c>
      <c r="H7555" t="s">
        <v>92</v>
      </c>
    </row>
    <row r="7556" spans="1:8" x14ac:dyDescent="0.25">
      <c r="A7556" t="s">
        <v>280</v>
      </c>
      <c r="B7556" t="s">
        <v>768</v>
      </c>
      <c r="C7556" t="s">
        <v>88</v>
      </c>
      <c r="D7556" t="s">
        <v>6591</v>
      </c>
      <c r="E7556" t="s">
        <v>655</v>
      </c>
      <c r="F7556" t="s">
        <v>88</v>
      </c>
      <c r="G7556" t="s">
        <v>88</v>
      </c>
      <c r="H7556" t="s">
        <v>92</v>
      </c>
    </row>
    <row r="7557" spans="1:8" x14ac:dyDescent="0.25">
      <c r="A7557" t="s">
        <v>280</v>
      </c>
      <c r="B7557" t="s">
        <v>876</v>
      </c>
      <c r="C7557" t="s">
        <v>88</v>
      </c>
      <c r="D7557" t="s">
        <v>6598</v>
      </c>
      <c r="E7557" t="s">
        <v>655</v>
      </c>
      <c r="F7557" t="s">
        <v>88</v>
      </c>
      <c r="G7557" t="s">
        <v>88</v>
      </c>
      <c r="H7557" t="s">
        <v>92</v>
      </c>
    </row>
    <row r="7558" spans="1:8" x14ac:dyDescent="0.25">
      <c r="A7558" t="s">
        <v>280</v>
      </c>
      <c r="B7558" t="s">
        <v>898</v>
      </c>
      <c r="C7558" t="s">
        <v>88</v>
      </c>
      <c r="D7558" t="s">
        <v>6599</v>
      </c>
      <c r="E7558" t="s">
        <v>692</v>
      </c>
      <c r="F7558" t="s">
        <v>88</v>
      </c>
      <c r="G7558" t="s">
        <v>88</v>
      </c>
      <c r="H7558" t="s">
        <v>92</v>
      </c>
    </row>
    <row r="7559" spans="1:8" x14ac:dyDescent="0.25">
      <c r="A7559" t="s">
        <v>280</v>
      </c>
      <c r="B7559" t="s">
        <v>6600</v>
      </c>
      <c r="C7559" t="s">
        <v>88</v>
      </c>
      <c r="D7559" t="s">
        <v>6601</v>
      </c>
      <c r="E7559" t="s">
        <v>964</v>
      </c>
      <c r="F7559" t="s">
        <v>88</v>
      </c>
      <c r="G7559" t="s">
        <v>88</v>
      </c>
      <c r="H7559" t="s">
        <v>92</v>
      </c>
    </row>
    <row r="7560" spans="1:8" x14ac:dyDescent="0.25">
      <c r="A7560" t="s">
        <v>280</v>
      </c>
      <c r="B7560" t="s">
        <v>2005</v>
      </c>
      <c r="C7560" t="s">
        <v>88</v>
      </c>
      <c r="D7560" t="s">
        <v>6602</v>
      </c>
      <c r="E7560" t="s">
        <v>1068</v>
      </c>
      <c r="F7560" t="s">
        <v>88</v>
      </c>
      <c r="G7560" t="s">
        <v>88</v>
      </c>
      <c r="H7560" t="s">
        <v>92</v>
      </c>
    </row>
    <row r="7561" spans="1:8" x14ac:dyDescent="0.25">
      <c r="A7561" t="s">
        <v>280</v>
      </c>
      <c r="B7561" t="s">
        <v>6603</v>
      </c>
      <c r="C7561" t="s">
        <v>88</v>
      </c>
      <c r="D7561" t="s">
        <v>6602</v>
      </c>
      <c r="E7561" t="s">
        <v>4614</v>
      </c>
      <c r="F7561" t="s">
        <v>88</v>
      </c>
      <c r="G7561" t="s">
        <v>88</v>
      </c>
      <c r="H7561" t="s">
        <v>92</v>
      </c>
    </row>
    <row r="7562" spans="1:8" x14ac:dyDescent="0.25">
      <c r="A7562" t="s">
        <v>280</v>
      </c>
      <c r="B7562" t="s">
        <v>6604</v>
      </c>
      <c r="C7562" t="s">
        <v>88</v>
      </c>
      <c r="D7562" t="s">
        <v>6602</v>
      </c>
      <c r="E7562" t="s">
        <v>6605</v>
      </c>
      <c r="F7562" t="s">
        <v>88</v>
      </c>
      <c r="G7562" t="s">
        <v>88</v>
      </c>
      <c r="H7562" t="s">
        <v>92</v>
      </c>
    </row>
    <row r="7563" spans="1:8" x14ac:dyDescent="0.25">
      <c r="A7563" t="s">
        <v>280</v>
      </c>
      <c r="B7563" t="s">
        <v>6589</v>
      </c>
      <c r="C7563" t="s">
        <v>88</v>
      </c>
      <c r="D7563" t="s">
        <v>6590</v>
      </c>
      <c r="E7563" t="s">
        <v>780</v>
      </c>
      <c r="F7563" t="s">
        <v>88</v>
      </c>
      <c r="G7563" t="s">
        <v>88</v>
      </c>
      <c r="H7563" t="s">
        <v>92</v>
      </c>
    </row>
    <row r="7564" spans="1:8" x14ac:dyDescent="0.25">
      <c r="A7564" t="s">
        <v>280</v>
      </c>
      <c r="B7564" t="s">
        <v>6606</v>
      </c>
      <c r="C7564" t="s">
        <v>88</v>
      </c>
      <c r="D7564" t="s">
        <v>6590</v>
      </c>
      <c r="E7564" t="s">
        <v>748</v>
      </c>
      <c r="F7564" t="s">
        <v>88</v>
      </c>
      <c r="G7564" t="s">
        <v>88</v>
      </c>
      <c r="H7564" t="s">
        <v>92</v>
      </c>
    </row>
    <row r="7565" spans="1:8" x14ac:dyDescent="0.25">
      <c r="A7565" t="s">
        <v>280</v>
      </c>
      <c r="B7565" t="s">
        <v>736</v>
      </c>
      <c r="C7565" t="s">
        <v>88</v>
      </c>
      <c r="D7565" t="s">
        <v>6586</v>
      </c>
      <c r="E7565" t="s">
        <v>780</v>
      </c>
      <c r="F7565" t="s">
        <v>88</v>
      </c>
      <c r="G7565" t="s">
        <v>88</v>
      </c>
      <c r="H7565" t="s">
        <v>92</v>
      </c>
    </row>
    <row r="7566" spans="1:8" x14ac:dyDescent="0.25">
      <c r="A7566" t="s">
        <v>280</v>
      </c>
      <c r="B7566" t="s">
        <v>6607</v>
      </c>
      <c r="C7566" t="s">
        <v>88</v>
      </c>
      <c r="D7566" t="s">
        <v>6608</v>
      </c>
      <c r="E7566" t="s">
        <v>762</v>
      </c>
      <c r="F7566" t="s">
        <v>88</v>
      </c>
      <c r="G7566" t="s">
        <v>88</v>
      </c>
      <c r="H7566" t="s">
        <v>92</v>
      </c>
    </row>
    <row r="7567" spans="1:8" x14ac:dyDescent="0.25">
      <c r="A7567" t="s">
        <v>280</v>
      </c>
      <c r="B7567" t="s">
        <v>6609</v>
      </c>
      <c r="C7567" t="s">
        <v>88</v>
      </c>
      <c r="D7567" t="s">
        <v>6610</v>
      </c>
      <c r="E7567" t="s">
        <v>762</v>
      </c>
      <c r="F7567" t="s">
        <v>88</v>
      </c>
      <c r="G7567" t="s">
        <v>88</v>
      </c>
      <c r="H7567" t="s">
        <v>92</v>
      </c>
    </row>
    <row r="7568" spans="1:8" x14ac:dyDescent="0.25">
      <c r="A7568" t="s">
        <v>280</v>
      </c>
      <c r="B7568" t="s">
        <v>777</v>
      </c>
      <c r="C7568" t="s">
        <v>88</v>
      </c>
      <c r="D7568" t="s">
        <v>6611</v>
      </c>
      <c r="E7568" t="s">
        <v>780</v>
      </c>
      <c r="F7568" t="s">
        <v>88</v>
      </c>
      <c r="G7568" t="s">
        <v>88</v>
      </c>
      <c r="H7568" t="s">
        <v>92</v>
      </c>
    </row>
    <row r="7569" spans="1:8" x14ac:dyDescent="0.25">
      <c r="A7569" t="s">
        <v>280</v>
      </c>
      <c r="B7569" t="s">
        <v>2012</v>
      </c>
      <c r="C7569" t="s">
        <v>88</v>
      </c>
      <c r="D7569" t="s">
        <v>6588</v>
      </c>
      <c r="E7569" t="s">
        <v>780</v>
      </c>
      <c r="F7569" t="s">
        <v>88</v>
      </c>
      <c r="G7569" t="s">
        <v>88</v>
      </c>
      <c r="H7569" t="s">
        <v>92</v>
      </c>
    </row>
    <row r="7570" spans="1:8" x14ac:dyDescent="0.25">
      <c r="A7570" t="s">
        <v>280</v>
      </c>
      <c r="B7570" t="s">
        <v>1396</v>
      </c>
      <c r="C7570" t="s">
        <v>88</v>
      </c>
      <c r="D7570" t="s">
        <v>6612</v>
      </c>
      <c r="E7570" t="s">
        <v>937</v>
      </c>
      <c r="F7570" t="s">
        <v>88</v>
      </c>
      <c r="G7570" t="s">
        <v>88</v>
      </c>
      <c r="H7570" t="s">
        <v>92</v>
      </c>
    </row>
    <row r="7571" spans="1:8" x14ac:dyDescent="0.25">
      <c r="A7571" t="s">
        <v>280</v>
      </c>
      <c r="B7571" t="s">
        <v>739</v>
      </c>
      <c r="C7571" t="s">
        <v>88</v>
      </c>
      <c r="D7571" t="s">
        <v>6587</v>
      </c>
      <c r="E7571" t="s">
        <v>959</v>
      </c>
      <c r="F7571" t="s">
        <v>88</v>
      </c>
      <c r="G7571" t="s">
        <v>88</v>
      </c>
      <c r="H7571" t="s">
        <v>92</v>
      </c>
    </row>
    <row r="7572" spans="1:8" x14ac:dyDescent="0.25">
      <c r="A7572" t="s">
        <v>280</v>
      </c>
      <c r="B7572" t="s">
        <v>6613</v>
      </c>
      <c r="C7572" t="s">
        <v>88</v>
      </c>
      <c r="D7572" t="s">
        <v>88</v>
      </c>
      <c r="E7572" t="s">
        <v>732</v>
      </c>
      <c r="F7572" t="s">
        <v>88</v>
      </c>
      <c r="G7572" t="s">
        <v>88</v>
      </c>
      <c r="H7572" t="s">
        <v>92</v>
      </c>
    </row>
    <row r="7573" spans="1:8" x14ac:dyDescent="0.25">
      <c r="A7573" t="s">
        <v>280</v>
      </c>
      <c r="B7573" t="s">
        <v>6614</v>
      </c>
      <c r="C7573" t="s">
        <v>88</v>
      </c>
      <c r="D7573" t="s">
        <v>88</v>
      </c>
      <c r="E7573" t="s">
        <v>709</v>
      </c>
      <c r="F7573" t="s">
        <v>88</v>
      </c>
      <c r="G7573" t="s">
        <v>88</v>
      </c>
      <c r="H7573" t="s">
        <v>92</v>
      </c>
    </row>
    <row r="7574" spans="1:8" x14ac:dyDescent="0.25">
      <c r="A7574" t="s">
        <v>280</v>
      </c>
      <c r="B7574" t="s">
        <v>1072</v>
      </c>
      <c r="C7574" t="s">
        <v>88</v>
      </c>
      <c r="D7574" t="s">
        <v>88</v>
      </c>
      <c r="E7574" t="s">
        <v>734</v>
      </c>
      <c r="F7574" t="s">
        <v>88</v>
      </c>
      <c r="G7574" t="s">
        <v>88</v>
      </c>
      <c r="H7574" t="s">
        <v>92</v>
      </c>
    </row>
    <row r="7575" spans="1:8" x14ac:dyDescent="0.25">
      <c r="A7575" t="s">
        <v>280</v>
      </c>
      <c r="B7575" t="s">
        <v>701</v>
      </c>
      <c r="C7575" t="s">
        <v>88</v>
      </c>
      <c r="D7575" t="s">
        <v>88</v>
      </c>
      <c r="E7575" t="s">
        <v>734</v>
      </c>
      <c r="F7575" t="s">
        <v>88</v>
      </c>
      <c r="G7575" t="s">
        <v>88</v>
      </c>
      <c r="H7575" t="s">
        <v>92</v>
      </c>
    </row>
    <row r="7576" spans="1:8" x14ac:dyDescent="0.25">
      <c r="A7576" t="s">
        <v>280</v>
      </c>
      <c r="B7576" t="s">
        <v>705</v>
      </c>
      <c r="C7576" t="s">
        <v>88</v>
      </c>
      <c r="D7576" t="s">
        <v>88</v>
      </c>
      <c r="E7576" t="s">
        <v>734</v>
      </c>
      <c r="F7576" t="s">
        <v>88</v>
      </c>
      <c r="G7576" t="s">
        <v>88</v>
      </c>
      <c r="H7576" t="s">
        <v>92</v>
      </c>
    </row>
    <row r="7577" spans="1:8" x14ac:dyDescent="0.25">
      <c r="A7577" t="s">
        <v>280</v>
      </c>
      <c r="B7577" t="s">
        <v>846</v>
      </c>
      <c r="C7577" t="s">
        <v>88</v>
      </c>
      <c r="D7577" t="s">
        <v>847</v>
      </c>
      <c r="E7577" t="s">
        <v>709</v>
      </c>
      <c r="F7577" t="s">
        <v>88</v>
      </c>
      <c r="G7577" t="s">
        <v>88</v>
      </c>
      <c r="H7577" t="s">
        <v>92</v>
      </c>
    </row>
    <row r="7578" spans="1:8" x14ac:dyDescent="0.25">
      <c r="A7578" t="s">
        <v>280</v>
      </c>
      <c r="B7578" t="s">
        <v>1821</v>
      </c>
      <c r="C7578" t="s">
        <v>88</v>
      </c>
      <c r="D7578" t="s">
        <v>88</v>
      </c>
      <c r="E7578" t="s">
        <v>711</v>
      </c>
      <c r="F7578" t="s">
        <v>88</v>
      </c>
      <c r="G7578" t="s">
        <v>88</v>
      </c>
      <c r="H7578" t="s">
        <v>92</v>
      </c>
    </row>
    <row r="7579" spans="1:8" x14ac:dyDescent="0.25">
      <c r="A7579" t="s">
        <v>280</v>
      </c>
      <c r="B7579" t="s">
        <v>6615</v>
      </c>
      <c r="C7579" t="s">
        <v>88</v>
      </c>
      <c r="D7579" t="s">
        <v>88</v>
      </c>
      <c r="E7579" t="s">
        <v>710</v>
      </c>
      <c r="F7579" t="s">
        <v>88</v>
      </c>
      <c r="G7579" t="s">
        <v>88</v>
      </c>
      <c r="H7579" t="s">
        <v>92</v>
      </c>
    </row>
    <row r="7580" spans="1:8" x14ac:dyDescent="0.25">
      <c r="A7580" t="s">
        <v>280</v>
      </c>
      <c r="B7580" t="s">
        <v>797</v>
      </c>
      <c r="C7580" t="s">
        <v>88</v>
      </c>
      <c r="D7580" t="s">
        <v>88</v>
      </c>
      <c r="E7580" t="s">
        <v>711</v>
      </c>
      <c r="F7580" t="s">
        <v>88</v>
      </c>
      <c r="G7580" t="s">
        <v>88</v>
      </c>
      <c r="H7580" t="s">
        <v>92</v>
      </c>
    </row>
    <row r="7581" spans="1:8" x14ac:dyDescent="0.25">
      <c r="A7581" t="s">
        <v>280</v>
      </c>
      <c r="B7581" t="s">
        <v>623</v>
      </c>
      <c r="C7581" t="s">
        <v>88</v>
      </c>
      <c r="D7581" t="s">
        <v>88</v>
      </c>
      <c r="E7581" t="s">
        <v>735</v>
      </c>
      <c r="F7581" t="s">
        <v>88</v>
      </c>
      <c r="G7581" t="s">
        <v>88</v>
      </c>
      <c r="H7581" t="s">
        <v>92</v>
      </c>
    </row>
    <row r="7582" spans="1:8" x14ac:dyDescent="0.25">
      <c r="A7582" t="s">
        <v>280</v>
      </c>
      <c r="B7582" t="s">
        <v>714</v>
      </c>
      <c r="C7582" t="s">
        <v>88</v>
      </c>
      <c r="D7582" t="s">
        <v>88</v>
      </c>
      <c r="E7582" t="s">
        <v>702</v>
      </c>
      <c r="F7582" t="s">
        <v>88</v>
      </c>
      <c r="G7582" t="s">
        <v>88</v>
      </c>
      <c r="H7582" t="s">
        <v>92</v>
      </c>
    </row>
    <row r="7583" spans="1:8" x14ac:dyDescent="0.25">
      <c r="A7583" t="s">
        <v>280</v>
      </c>
      <c r="B7583" t="s">
        <v>998</v>
      </c>
      <c r="C7583" t="s">
        <v>88</v>
      </c>
      <c r="D7583" t="s">
        <v>88</v>
      </c>
      <c r="E7583" t="s">
        <v>702</v>
      </c>
      <c r="F7583" t="s">
        <v>88</v>
      </c>
      <c r="G7583" t="s">
        <v>88</v>
      </c>
      <c r="H7583" t="s">
        <v>92</v>
      </c>
    </row>
    <row r="7584" spans="1:8" x14ac:dyDescent="0.25">
      <c r="A7584" t="s">
        <v>280</v>
      </c>
      <c r="B7584" t="s">
        <v>1989</v>
      </c>
      <c r="C7584" t="s">
        <v>88</v>
      </c>
      <c r="D7584" t="s">
        <v>88</v>
      </c>
      <c r="E7584" t="s">
        <v>715</v>
      </c>
      <c r="F7584" t="s">
        <v>88</v>
      </c>
      <c r="G7584" t="s">
        <v>88</v>
      </c>
      <c r="H7584" t="s">
        <v>92</v>
      </c>
    </row>
    <row r="7585" spans="1:8" x14ac:dyDescent="0.25">
      <c r="A7585" t="s">
        <v>280</v>
      </c>
      <c r="B7585" t="s">
        <v>1990</v>
      </c>
      <c r="C7585" t="s">
        <v>88</v>
      </c>
      <c r="D7585" t="s">
        <v>88</v>
      </c>
      <c r="E7585" t="s">
        <v>715</v>
      </c>
      <c r="F7585" t="s">
        <v>88</v>
      </c>
      <c r="G7585" t="s">
        <v>88</v>
      </c>
      <c r="H7585" t="s">
        <v>92</v>
      </c>
    </row>
    <row r="7586" spans="1:8" x14ac:dyDescent="0.25">
      <c r="A7586" t="s">
        <v>280</v>
      </c>
      <c r="B7586" t="s">
        <v>2419</v>
      </c>
      <c r="C7586" t="s">
        <v>88</v>
      </c>
      <c r="D7586" t="s">
        <v>6616</v>
      </c>
      <c r="E7586" t="s">
        <v>1171</v>
      </c>
      <c r="F7586" t="s">
        <v>88</v>
      </c>
      <c r="G7586" t="s">
        <v>88</v>
      </c>
      <c r="H7586" t="s">
        <v>92</v>
      </c>
    </row>
    <row r="7587" spans="1:8" x14ac:dyDescent="0.25">
      <c r="A7587" t="s">
        <v>280</v>
      </c>
      <c r="B7587" t="s">
        <v>2423</v>
      </c>
      <c r="C7587" t="s">
        <v>88</v>
      </c>
      <c r="D7587" t="s">
        <v>6616</v>
      </c>
      <c r="E7587" t="s">
        <v>1920</v>
      </c>
      <c r="F7587" t="s">
        <v>88</v>
      </c>
      <c r="G7587" t="s">
        <v>88</v>
      </c>
      <c r="H7587" t="s">
        <v>92</v>
      </c>
    </row>
    <row r="7588" spans="1:8" x14ac:dyDescent="0.25">
      <c r="A7588" t="s">
        <v>280</v>
      </c>
      <c r="B7588" t="s">
        <v>2019</v>
      </c>
      <c r="C7588" t="s">
        <v>88</v>
      </c>
      <c r="D7588" t="s">
        <v>6616</v>
      </c>
      <c r="E7588" t="s">
        <v>1171</v>
      </c>
      <c r="F7588" t="s">
        <v>88</v>
      </c>
      <c r="G7588" t="s">
        <v>88</v>
      </c>
      <c r="H7588" t="s">
        <v>92</v>
      </c>
    </row>
    <row r="7589" spans="1:8" x14ac:dyDescent="0.25">
      <c r="A7589" t="s">
        <v>280</v>
      </c>
      <c r="B7589" t="s">
        <v>2418</v>
      </c>
      <c r="C7589" t="s">
        <v>88</v>
      </c>
      <c r="D7589" t="s">
        <v>6616</v>
      </c>
      <c r="E7589" t="s">
        <v>1920</v>
      </c>
      <c r="F7589" t="s">
        <v>88</v>
      </c>
      <c r="G7589" t="s">
        <v>88</v>
      </c>
      <c r="H7589" t="s">
        <v>92</v>
      </c>
    </row>
    <row r="7590" spans="1:8" x14ac:dyDescent="0.25">
      <c r="A7590" t="s">
        <v>280</v>
      </c>
      <c r="B7590" t="s">
        <v>625</v>
      </c>
      <c r="C7590" t="s">
        <v>88</v>
      </c>
      <c r="D7590" t="s">
        <v>88</v>
      </c>
      <c r="E7590" t="s">
        <v>626</v>
      </c>
      <c r="F7590" t="s">
        <v>88</v>
      </c>
      <c r="G7590" t="s">
        <v>88</v>
      </c>
      <c r="H7590" t="s">
        <v>92</v>
      </c>
    </row>
    <row r="7591" spans="1:8" x14ac:dyDescent="0.25">
      <c r="A7591" t="s">
        <v>281</v>
      </c>
      <c r="B7591" t="s">
        <v>736</v>
      </c>
      <c r="C7591" t="s">
        <v>88</v>
      </c>
      <c r="D7591" t="s">
        <v>2183</v>
      </c>
      <c r="E7591" t="s">
        <v>780</v>
      </c>
      <c r="F7591" t="s">
        <v>88</v>
      </c>
      <c r="G7591" t="s">
        <v>88</v>
      </c>
      <c r="H7591" t="s">
        <v>92</v>
      </c>
    </row>
    <row r="7592" spans="1:8" x14ac:dyDescent="0.25">
      <c r="A7592" t="s">
        <v>281</v>
      </c>
      <c r="B7592" t="s">
        <v>6617</v>
      </c>
      <c r="C7592" t="s">
        <v>88</v>
      </c>
      <c r="D7592" t="s">
        <v>2183</v>
      </c>
      <c r="E7592" t="s">
        <v>959</v>
      </c>
      <c r="F7592" t="s">
        <v>88</v>
      </c>
      <c r="G7592" t="s">
        <v>88</v>
      </c>
      <c r="H7592" t="s">
        <v>92</v>
      </c>
    </row>
    <row r="7593" spans="1:8" x14ac:dyDescent="0.25">
      <c r="A7593" t="s">
        <v>281</v>
      </c>
      <c r="B7593" t="s">
        <v>876</v>
      </c>
      <c r="C7593" t="s">
        <v>88</v>
      </c>
      <c r="D7593" t="s">
        <v>6618</v>
      </c>
      <c r="E7593" t="s">
        <v>655</v>
      </c>
      <c r="F7593" t="s">
        <v>88</v>
      </c>
      <c r="G7593" t="s">
        <v>88</v>
      </c>
      <c r="H7593" t="s">
        <v>92</v>
      </c>
    </row>
    <row r="7594" spans="1:8" x14ac:dyDescent="0.25">
      <c r="A7594" t="s">
        <v>281</v>
      </c>
      <c r="B7594" t="s">
        <v>6619</v>
      </c>
      <c r="C7594" t="s">
        <v>88</v>
      </c>
      <c r="D7594" t="s">
        <v>6620</v>
      </c>
      <c r="E7594" t="s">
        <v>964</v>
      </c>
      <c r="F7594" t="s">
        <v>88</v>
      </c>
      <c r="G7594" t="s">
        <v>88</v>
      </c>
      <c r="H7594" t="s">
        <v>92</v>
      </c>
    </row>
    <row r="7595" spans="1:8" x14ac:dyDescent="0.25">
      <c r="A7595" t="s">
        <v>281</v>
      </c>
      <c r="B7595" t="s">
        <v>2758</v>
      </c>
      <c r="C7595" t="s">
        <v>88</v>
      </c>
      <c r="D7595" t="s">
        <v>6621</v>
      </c>
      <c r="E7595" t="s">
        <v>964</v>
      </c>
      <c r="F7595" t="s">
        <v>88</v>
      </c>
      <c r="G7595" t="s">
        <v>88</v>
      </c>
      <c r="H7595" t="s">
        <v>92</v>
      </c>
    </row>
    <row r="7596" spans="1:8" x14ac:dyDescent="0.25">
      <c r="A7596" t="s">
        <v>281</v>
      </c>
      <c r="B7596" t="s">
        <v>876</v>
      </c>
      <c r="C7596" t="s">
        <v>88</v>
      </c>
      <c r="D7596" t="s">
        <v>6618</v>
      </c>
      <c r="E7596" t="s">
        <v>655</v>
      </c>
      <c r="F7596" t="s">
        <v>88</v>
      </c>
      <c r="G7596" t="s">
        <v>88</v>
      </c>
      <c r="H7596" t="s">
        <v>92</v>
      </c>
    </row>
    <row r="7597" spans="1:8" x14ac:dyDescent="0.25">
      <c r="A7597" t="s">
        <v>281</v>
      </c>
      <c r="B7597" t="s">
        <v>759</v>
      </c>
      <c r="C7597" t="s">
        <v>88</v>
      </c>
      <c r="D7597" t="s">
        <v>6618</v>
      </c>
      <c r="E7597" t="s">
        <v>844</v>
      </c>
      <c r="F7597" t="s">
        <v>88</v>
      </c>
      <c r="G7597" t="s">
        <v>88</v>
      </c>
      <c r="H7597" t="s">
        <v>92</v>
      </c>
    </row>
    <row r="7598" spans="1:8" x14ac:dyDescent="0.25">
      <c r="A7598" t="s">
        <v>281</v>
      </c>
      <c r="B7598" t="s">
        <v>1677</v>
      </c>
      <c r="C7598" t="s">
        <v>88</v>
      </c>
      <c r="D7598" t="s">
        <v>6618</v>
      </c>
      <c r="E7598" t="s">
        <v>655</v>
      </c>
      <c r="F7598" t="s">
        <v>88</v>
      </c>
      <c r="G7598" t="s">
        <v>88</v>
      </c>
      <c r="H7598" t="s">
        <v>92</v>
      </c>
    </row>
    <row r="7599" spans="1:8" x14ac:dyDescent="0.25">
      <c r="A7599" t="s">
        <v>281</v>
      </c>
      <c r="B7599" t="s">
        <v>6622</v>
      </c>
      <c r="C7599" t="s">
        <v>88</v>
      </c>
      <c r="D7599" t="s">
        <v>6618</v>
      </c>
      <c r="E7599" t="s">
        <v>844</v>
      </c>
      <c r="F7599" t="s">
        <v>88</v>
      </c>
      <c r="G7599" t="s">
        <v>88</v>
      </c>
      <c r="H7599" t="s">
        <v>92</v>
      </c>
    </row>
    <row r="7600" spans="1:8" x14ac:dyDescent="0.25">
      <c r="A7600" t="s">
        <v>281</v>
      </c>
      <c r="B7600" t="s">
        <v>768</v>
      </c>
      <c r="C7600" t="s">
        <v>88</v>
      </c>
      <c r="D7600" t="s">
        <v>6618</v>
      </c>
      <c r="E7600" t="s">
        <v>655</v>
      </c>
      <c r="F7600" t="s">
        <v>88</v>
      </c>
      <c r="G7600" t="s">
        <v>88</v>
      </c>
      <c r="H7600" t="s">
        <v>92</v>
      </c>
    </row>
    <row r="7601" spans="1:8" x14ac:dyDescent="0.25">
      <c r="A7601" t="s">
        <v>281</v>
      </c>
      <c r="B7601" t="s">
        <v>6623</v>
      </c>
      <c r="C7601" t="s">
        <v>88</v>
      </c>
      <c r="D7601" t="s">
        <v>6618</v>
      </c>
      <c r="E7601" t="s">
        <v>692</v>
      </c>
      <c r="F7601" t="s">
        <v>88</v>
      </c>
      <c r="G7601" t="s">
        <v>88</v>
      </c>
      <c r="H7601" t="s">
        <v>92</v>
      </c>
    </row>
    <row r="7602" spans="1:8" x14ac:dyDescent="0.25">
      <c r="A7602" t="s">
        <v>281</v>
      </c>
      <c r="B7602" t="s">
        <v>6024</v>
      </c>
      <c r="C7602" t="s">
        <v>88</v>
      </c>
      <c r="D7602" t="s">
        <v>6618</v>
      </c>
      <c r="E7602" t="s">
        <v>760</v>
      </c>
      <c r="F7602" t="s">
        <v>88</v>
      </c>
      <c r="G7602" t="s">
        <v>88</v>
      </c>
      <c r="H7602" t="s">
        <v>92</v>
      </c>
    </row>
    <row r="7603" spans="1:8" x14ac:dyDescent="0.25">
      <c r="A7603" t="s">
        <v>281</v>
      </c>
      <c r="B7603" t="s">
        <v>764</v>
      </c>
      <c r="C7603" t="s">
        <v>88</v>
      </c>
      <c r="D7603" t="s">
        <v>6618</v>
      </c>
      <c r="E7603" t="s">
        <v>700</v>
      </c>
      <c r="F7603" t="s">
        <v>88</v>
      </c>
      <c r="G7603" t="s">
        <v>88</v>
      </c>
      <c r="H7603" t="s">
        <v>92</v>
      </c>
    </row>
    <row r="7604" spans="1:8" x14ac:dyDescent="0.25">
      <c r="A7604" t="s">
        <v>281</v>
      </c>
      <c r="B7604" t="s">
        <v>767</v>
      </c>
      <c r="C7604" t="s">
        <v>88</v>
      </c>
      <c r="D7604" t="s">
        <v>6618</v>
      </c>
      <c r="E7604" t="s">
        <v>700</v>
      </c>
      <c r="F7604" t="s">
        <v>88</v>
      </c>
      <c r="G7604" t="s">
        <v>88</v>
      </c>
      <c r="H7604" t="s">
        <v>92</v>
      </c>
    </row>
    <row r="7605" spans="1:8" x14ac:dyDescent="0.25">
      <c r="A7605" t="s">
        <v>281</v>
      </c>
      <c r="B7605" t="s">
        <v>6025</v>
      </c>
      <c r="C7605" t="s">
        <v>88</v>
      </c>
      <c r="D7605" t="s">
        <v>6618</v>
      </c>
      <c r="E7605" t="s">
        <v>700</v>
      </c>
      <c r="F7605" t="s">
        <v>88</v>
      </c>
      <c r="G7605" t="s">
        <v>88</v>
      </c>
      <c r="H7605" t="s">
        <v>92</v>
      </c>
    </row>
    <row r="7606" spans="1:8" x14ac:dyDescent="0.25">
      <c r="A7606" t="s">
        <v>281</v>
      </c>
      <c r="B7606" t="s">
        <v>743</v>
      </c>
      <c r="C7606" t="s">
        <v>88</v>
      </c>
      <c r="D7606" t="s">
        <v>6618</v>
      </c>
      <c r="E7606" t="s">
        <v>700</v>
      </c>
      <c r="F7606" t="s">
        <v>88</v>
      </c>
      <c r="G7606" t="s">
        <v>88</v>
      </c>
      <c r="H7606" t="s">
        <v>92</v>
      </c>
    </row>
    <row r="7607" spans="1:8" x14ac:dyDescent="0.25">
      <c r="A7607" t="s">
        <v>281</v>
      </c>
      <c r="B7607" t="s">
        <v>736</v>
      </c>
      <c r="C7607" t="s">
        <v>88</v>
      </c>
      <c r="D7607" t="s">
        <v>2183</v>
      </c>
      <c r="E7607" t="s">
        <v>780</v>
      </c>
      <c r="F7607" t="s">
        <v>88</v>
      </c>
      <c r="G7607" t="s">
        <v>88</v>
      </c>
      <c r="H7607" t="s">
        <v>92</v>
      </c>
    </row>
    <row r="7608" spans="1:8" x14ac:dyDescent="0.25">
      <c r="A7608" t="s">
        <v>281</v>
      </c>
      <c r="B7608" t="s">
        <v>1395</v>
      </c>
      <c r="C7608" t="s">
        <v>88</v>
      </c>
      <c r="D7608" t="s">
        <v>2183</v>
      </c>
      <c r="E7608" t="s">
        <v>780</v>
      </c>
      <c r="F7608" t="s">
        <v>88</v>
      </c>
      <c r="G7608" t="s">
        <v>88</v>
      </c>
      <c r="H7608" t="s">
        <v>92</v>
      </c>
    </row>
    <row r="7609" spans="1:8" x14ac:dyDescent="0.25">
      <c r="A7609" t="s">
        <v>281</v>
      </c>
      <c r="B7609" t="s">
        <v>6624</v>
      </c>
      <c r="C7609" t="s">
        <v>88</v>
      </c>
      <c r="D7609" t="s">
        <v>2183</v>
      </c>
      <c r="E7609" t="s">
        <v>937</v>
      </c>
      <c r="F7609" t="s">
        <v>88</v>
      </c>
      <c r="G7609" t="s">
        <v>88</v>
      </c>
      <c r="H7609" t="s">
        <v>92</v>
      </c>
    </row>
    <row r="7610" spans="1:8" x14ac:dyDescent="0.25">
      <c r="A7610" t="s">
        <v>281</v>
      </c>
      <c r="B7610" t="s">
        <v>6617</v>
      </c>
      <c r="C7610" t="s">
        <v>88</v>
      </c>
      <c r="D7610" t="s">
        <v>2183</v>
      </c>
      <c r="E7610" t="s">
        <v>959</v>
      </c>
      <c r="F7610" t="s">
        <v>88</v>
      </c>
      <c r="G7610" t="s">
        <v>88</v>
      </c>
      <c r="H7610" t="s">
        <v>92</v>
      </c>
    </row>
    <row r="7611" spans="1:8" x14ac:dyDescent="0.25">
      <c r="A7611" t="s">
        <v>281</v>
      </c>
      <c r="B7611" t="s">
        <v>2012</v>
      </c>
      <c r="C7611" t="s">
        <v>88</v>
      </c>
      <c r="D7611" t="s">
        <v>2183</v>
      </c>
      <c r="E7611" t="s">
        <v>780</v>
      </c>
      <c r="F7611" t="s">
        <v>88</v>
      </c>
      <c r="G7611" t="s">
        <v>88</v>
      </c>
      <c r="H7611" t="s">
        <v>92</v>
      </c>
    </row>
    <row r="7612" spans="1:8" x14ac:dyDescent="0.25">
      <c r="A7612" t="s">
        <v>281</v>
      </c>
      <c r="B7612" t="s">
        <v>2760</v>
      </c>
      <c r="C7612" t="s">
        <v>88</v>
      </c>
      <c r="D7612" t="s">
        <v>88</v>
      </c>
      <c r="E7612" t="s">
        <v>709</v>
      </c>
      <c r="F7612" t="s">
        <v>88</v>
      </c>
      <c r="G7612" t="s">
        <v>88</v>
      </c>
      <c r="H7612" t="s">
        <v>92</v>
      </c>
    </row>
    <row r="7613" spans="1:8" x14ac:dyDescent="0.25">
      <c r="A7613" t="s">
        <v>281</v>
      </c>
      <c r="B7613" t="s">
        <v>701</v>
      </c>
      <c r="C7613" t="s">
        <v>88</v>
      </c>
      <c r="D7613" t="s">
        <v>88</v>
      </c>
      <c r="E7613" t="s">
        <v>709</v>
      </c>
      <c r="F7613" t="s">
        <v>88</v>
      </c>
      <c r="G7613" t="s">
        <v>88</v>
      </c>
      <c r="H7613" t="s">
        <v>92</v>
      </c>
    </row>
    <row r="7614" spans="1:8" x14ac:dyDescent="0.25">
      <c r="A7614" t="s">
        <v>281</v>
      </c>
      <c r="B7614" t="s">
        <v>6625</v>
      </c>
      <c r="C7614" t="s">
        <v>88</v>
      </c>
      <c r="D7614" t="s">
        <v>88</v>
      </c>
      <c r="E7614" t="s">
        <v>709</v>
      </c>
      <c r="F7614" t="s">
        <v>88</v>
      </c>
      <c r="G7614" t="s">
        <v>88</v>
      </c>
      <c r="H7614" t="s">
        <v>92</v>
      </c>
    </row>
    <row r="7615" spans="1:8" x14ac:dyDescent="0.25">
      <c r="A7615" t="s">
        <v>281</v>
      </c>
      <c r="B7615" t="s">
        <v>705</v>
      </c>
      <c r="C7615" t="s">
        <v>88</v>
      </c>
      <c r="D7615" t="s">
        <v>88</v>
      </c>
      <c r="E7615" t="s">
        <v>709</v>
      </c>
      <c r="F7615" t="s">
        <v>88</v>
      </c>
      <c r="G7615" t="s">
        <v>88</v>
      </c>
      <c r="H7615" t="s">
        <v>92</v>
      </c>
    </row>
    <row r="7616" spans="1:8" x14ac:dyDescent="0.25">
      <c r="A7616" t="s">
        <v>281</v>
      </c>
      <c r="B7616" t="s">
        <v>926</v>
      </c>
      <c r="C7616" t="s">
        <v>88</v>
      </c>
      <c r="D7616" t="s">
        <v>88</v>
      </c>
      <c r="E7616" t="s">
        <v>711</v>
      </c>
      <c r="F7616" t="s">
        <v>88</v>
      </c>
      <c r="G7616" t="s">
        <v>88</v>
      </c>
      <c r="H7616" t="s">
        <v>92</v>
      </c>
    </row>
    <row r="7617" spans="1:8" x14ac:dyDescent="0.25">
      <c r="A7617" t="s">
        <v>281</v>
      </c>
      <c r="B7617" t="s">
        <v>795</v>
      </c>
      <c r="C7617" t="s">
        <v>88</v>
      </c>
      <c r="D7617" t="s">
        <v>88</v>
      </c>
      <c r="E7617" t="s">
        <v>713</v>
      </c>
      <c r="F7617" t="s">
        <v>88</v>
      </c>
      <c r="G7617" t="s">
        <v>88</v>
      </c>
      <c r="H7617" t="s">
        <v>92</v>
      </c>
    </row>
    <row r="7618" spans="1:8" x14ac:dyDescent="0.25">
      <c r="A7618" t="s">
        <v>281</v>
      </c>
      <c r="B7618" t="s">
        <v>928</v>
      </c>
      <c r="C7618" t="s">
        <v>88</v>
      </c>
      <c r="D7618" t="s">
        <v>88</v>
      </c>
      <c r="E7618" t="s">
        <v>735</v>
      </c>
      <c r="F7618" t="s">
        <v>88</v>
      </c>
      <c r="G7618" t="s">
        <v>88</v>
      </c>
      <c r="H7618" t="s">
        <v>92</v>
      </c>
    </row>
    <row r="7619" spans="1:8" x14ac:dyDescent="0.25">
      <c r="A7619" t="s">
        <v>281</v>
      </c>
      <c r="B7619" t="s">
        <v>929</v>
      </c>
      <c r="C7619" t="s">
        <v>88</v>
      </c>
      <c r="D7619" t="s">
        <v>88</v>
      </c>
      <c r="E7619" t="s">
        <v>849</v>
      </c>
      <c r="F7619" t="s">
        <v>88</v>
      </c>
      <c r="G7619" t="s">
        <v>88</v>
      </c>
      <c r="H7619" t="s">
        <v>92</v>
      </c>
    </row>
    <row r="7620" spans="1:8" x14ac:dyDescent="0.25">
      <c r="A7620" t="s">
        <v>281</v>
      </c>
      <c r="B7620" t="s">
        <v>714</v>
      </c>
      <c r="C7620" t="s">
        <v>88</v>
      </c>
      <c r="D7620" t="s">
        <v>88</v>
      </c>
      <c r="E7620" t="s">
        <v>732</v>
      </c>
      <c r="F7620" t="s">
        <v>88</v>
      </c>
      <c r="G7620" t="s">
        <v>88</v>
      </c>
      <c r="H7620" t="s">
        <v>92</v>
      </c>
    </row>
    <row r="7621" spans="1:8" x14ac:dyDescent="0.25">
      <c r="A7621" t="s">
        <v>281</v>
      </c>
      <c r="B7621" t="s">
        <v>998</v>
      </c>
      <c r="C7621" t="s">
        <v>88</v>
      </c>
      <c r="D7621" t="s">
        <v>88</v>
      </c>
      <c r="E7621" t="s">
        <v>732</v>
      </c>
      <c r="F7621" t="s">
        <v>88</v>
      </c>
      <c r="G7621" t="s">
        <v>88</v>
      </c>
      <c r="H7621" t="s">
        <v>92</v>
      </c>
    </row>
    <row r="7622" spans="1:8" x14ac:dyDescent="0.25">
      <c r="A7622" t="s">
        <v>281</v>
      </c>
      <c r="B7622" t="s">
        <v>798</v>
      </c>
      <c r="C7622" t="s">
        <v>88</v>
      </c>
      <c r="D7622" t="s">
        <v>88</v>
      </c>
      <c r="E7622" t="s">
        <v>732</v>
      </c>
      <c r="F7622" t="s">
        <v>88</v>
      </c>
      <c r="G7622" t="s">
        <v>88</v>
      </c>
      <c r="H7622" t="s">
        <v>92</v>
      </c>
    </row>
    <row r="7623" spans="1:8" x14ac:dyDescent="0.25">
      <c r="A7623" t="s">
        <v>281</v>
      </c>
      <c r="B7623" t="s">
        <v>852</v>
      </c>
      <c r="C7623" t="s">
        <v>88</v>
      </c>
      <c r="D7623" t="s">
        <v>88</v>
      </c>
      <c r="E7623" t="s">
        <v>1323</v>
      </c>
      <c r="F7623" t="s">
        <v>88</v>
      </c>
      <c r="G7623" t="s">
        <v>88</v>
      </c>
      <c r="H7623" t="s">
        <v>92</v>
      </c>
    </row>
    <row r="7624" spans="1:8" x14ac:dyDescent="0.25">
      <c r="A7624" t="s">
        <v>281</v>
      </c>
      <c r="B7624" t="s">
        <v>1989</v>
      </c>
      <c r="C7624" t="s">
        <v>88</v>
      </c>
      <c r="D7624" t="s">
        <v>88</v>
      </c>
      <c r="E7624" t="s">
        <v>1323</v>
      </c>
      <c r="F7624" t="s">
        <v>88</v>
      </c>
      <c r="G7624" t="s">
        <v>88</v>
      </c>
      <c r="H7624" t="s">
        <v>92</v>
      </c>
    </row>
    <row r="7625" spans="1:8" x14ac:dyDescent="0.25">
      <c r="A7625" t="s">
        <v>281</v>
      </c>
      <c r="B7625" t="s">
        <v>1990</v>
      </c>
      <c r="C7625" t="s">
        <v>88</v>
      </c>
      <c r="D7625" t="s">
        <v>88</v>
      </c>
      <c r="E7625" t="s">
        <v>1323</v>
      </c>
      <c r="F7625" t="s">
        <v>88</v>
      </c>
      <c r="G7625" t="s">
        <v>88</v>
      </c>
      <c r="H7625" t="s">
        <v>92</v>
      </c>
    </row>
    <row r="7626" spans="1:8" x14ac:dyDescent="0.25">
      <c r="A7626" t="s">
        <v>281</v>
      </c>
      <c r="B7626" t="s">
        <v>2017</v>
      </c>
      <c r="C7626" t="s">
        <v>88</v>
      </c>
      <c r="D7626" t="s">
        <v>6620</v>
      </c>
      <c r="E7626" t="s">
        <v>803</v>
      </c>
      <c r="F7626" t="s">
        <v>88</v>
      </c>
      <c r="G7626" t="s">
        <v>88</v>
      </c>
      <c r="H7626" t="s">
        <v>92</v>
      </c>
    </row>
    <row r="7627" spans="1:8" x14ac:dyDescent="0.25">
      <c r="A7627" t="s">
        <v>281</v>
      </c>
      <c r="B7627" t="s">
        <v>2758</v>
      </c>
      <c r="C7627" t="s">
        <v>88</v>
      </c>
      <c r="D7627" t="s">
        <v>6621</v>
      </c>
      <c r="E7627" t="s">
        <v>964</v>
      </c>
      <c r="F7627" t="s">
        <v>88</v>
      </c>
      <c r="G7627" t="s">
        <v>88</v>
      </c>
      <c r="H7627" t="s">
        <v>92</v>
      </c>
    </row>
    <row r="7628" spans="1:8" x14ac:dyDescent="0.25">
      <c r="A7628" t="s">
        <v>281</v>
      </c>
      <c r="B7628" t="s">
        <v>809</v>
      </c>
      <c r="C7628" t="s">
        <v>88</v>
      </c>
      <c r="D7628" t="s">
        <v>6620</v>
      </c>
      <c r="E7628" t="s">
        <v>807</v>
      </c>
      <c r="F7628" t="s">
        <v>88</v>
      </c>
      <c r="G7628" t="s">
        <v>88</v>
      </c>
      <c r="H7628" t="s">
        <v>92</v>
      </c>
    </row>
    <row r="7629" spans="1:8" x14ac:dyDescent="0.25">
      <c r="A7629" t="s">
        <v>281</v>
      </c>
      <c r="B7629" t="s">
        <v>6626</v>
      </c>
      <c r="C7629" t="s">
        <v>88</v>
      </c>
      <c r="D7629" t="s">
        <v>6620</v>
      </c>
      <c r="E7629" t="s">
        <v>803</v>
      </c>
      <c r="F7629" t="s">
        <v>88</v>
      </c>
      <c r="G7629" t="s">
        <v>88</v>
      </c>
      <c r="H7629" t="s">
        <v>92</v>
      </c>
    </row>
    <row r="7630" spans="1:8" x14ac:dyDescent="0.25">
      <c r="A7630" t="s">
        <v>281</v>
      </c>
      <c r="B7630" t="s">
        <v>6627</v>
      </c>
      <c r="C7630" t="s">
        <v>88</v>
      </c>
      <c r="D7630" t="s">
        <v>6620</v>
      </c>
      <c r="E7630" t="s">
        <v>803</v>
      </c>
      <c r="F7630" t="s">
        <v>88</v>
      </c>
      <c r="G7630" t="s">
        <v>88</v>
      </c>
      <c r="H7630" t="s">
        <v>92</v>
      </c>
    </row>
    <row r="7631" spans="1:8" x14ac:dyDescent="0.25">
      <c r="A7631" t="s">
        <v>281</v>
      </c>
      <c r="B7631" t="s">
        <v>6628</v>
      </c>
      <c r="C7631" t="s">
        <v>88</v>
      </c>
      <c r="D7631" t="s">
        <v>6620</v>
      </c>
      <c r="E7631" t="s">
        <v>964</v>
      </c>
      <c r="F7631" t="s">
        <v>88</v>
      </c>
      <c r="G7631" t="s">
        <v>88</v>
      </c>
      <c r="H7631" t="s">
        <v>92</v>
      </c>
    </row>
    <row r="7632" spans="1:8" x14ac:dyDescent="0.25">
      <c r="A7632" t="s">
        <v>281</v>
      </c>
      <c r="B7632" t="s">
        <v>6619</v>
      </c>
      <c r="C7632" t="s">
        <v>88</v>
      </c>
      <c r="D7632" t="s">
        <v>6620</v>
      </c>
      <c r="E7632" t="s">
        <v>964</v>
      </c>
      <c r="F7632" t="s">
        <v>88</v>
      </c>
      <c r="G7632" t="s">
        <v>88</v>
      </c>
      <c r="H7632" t="s">
        <v>92</v>
      </c>
    </row>
    <row r="7633" spans="1:8" x14ac:dyDescent="0.25">
      <c r="A7633" t="s">
        <v>281</v>
      </c>
      <c r="B7633" t="s">
        <v>6629</v>
      </c>
      <c r="C7633" t="s">
        <v>88</v>
      </c>
      <c r="D7633" t="s">
        <v>6620</v>
      </c>
      <c r="E7633" t="s">
        <v>964</v>
      </c>
      <c r="F7633" t="s">
        <v>88</v>
      </c>
      <c r="G7633" t="s">
        <v>88</v>
      </c>
      <c r="H7633" t="s">
        <v>92</v>
      </c>
    </row>
    <row r="7634" spans="1:8" x14ac:dyDescent="0.25">
      <c r="A7634" t="s">
        <v>281</v>
      </c>
      <c r="B7634" t="s">
        <v>6630</v>
      </c>
      <c r="C7634" t="s">
        <v>88</v>
      </c>
      <c r="D7634" t="s">
        <v>6620</v>
      </c>
      <c r="E7634" t="s">
        <v>964</v>
      </c>
      <c r="F7634" t="s">
        <v>88</v>
      </c>
      <c r="G7634" t="s">
        <v>88</v>
      </c>
      <c r="H7634" t="s">
        <v>92</v>
      </c>
    </row>
    <row r="7635" spans="1:8" x14ac:dyDescent="0.25">
      <c r="A7635" t="s">
        <v>281</v>
      </c>
      <c r="B7635" t="s">
        <v>625</v>
      </c>
      <c r="C7635" t="s">
        <v>88</v>
      </c>
      <c r="D7635" t="s">
        <v>88</v>
      </c>
      <c r="E7635" t="s">
        <v>626</v>
      </c>
      <c r="F7635" t="s">
        <v>88</v>
      </c>
      <c r="G7635" t="s">
        <v>88</v>
      </c>
      <c r="H7635" t="s">
        <v>92</v>
      </c>
    </row>
    <row r="7636" spans="1:8" x14ac:dyDescent="0.25">
      <c r="A7636" t="s">
        <v>283</v>
      </c>
      <c r="B7636" t="s">
        <v>739</v>
      </c>
      <c r="C7636" t="s">
        <v>88</v>
      </c>
      <c r="D7636" t="s">
        <v>2183</v>
      </c>
      <c r="E7636" t="s">
        <v>959</v>
      </c>
      <c r="F7636" t="s">
        <v>88</v>
      </c>
      <c r="G7636" t="s">
        <v>88</v>
      </c>
      <c r="H7636" t="s">
        <v>92</v>
      </c>
    </row>
    <row r="7637" spans="1:8" x14ac:dyDescent="0.25">
      <c r="A7637" t="s">
        <v>283</v>
      </c>
      <c r="B7637" t="s">
        <v>6619</v>
      </c>
      <c r="C7637" t="s">
        <v>88</v>
      </c>
      <c r="D7637" t="s">
        <v>6620</v>
      </c>
      <c r="E7637" t="s">
        <v>964</v>
      </c>
      <c r="F7637" t="s">
        <v>88</v>
      </c>
      <c r="G7637" t="s">
        <v>88</v>
      </c>
      <c r="H7637" t="s">
        <v>92</v>
      </c>
    </row>
    <row r="7638" spans="1:8" x14ac:dyDescent="0.25">
      <c r="A7638" t="s">
        <v>283</v>
      </c>
      <c r="B7638" t="s">
        <v>736</v>
      </c>
      <c r="C7638" t="s">
        <v>88</v>
      </c>
      <c r="D7638" t="s">
        <v>2183</v>
      </c>
      <c r="E7638" t="s">
        <v>780</v>
      </c>
      <c r="F7638" t="s">
        <v>88</v>
      </c>
      <c r="G7638" t="s">
        <v>88</v>
      </c>
      <c r="H7638" t="s">
        <v>92</v>
      </c>
    </row>
    <row r="7639" spans="1:8" x14ac:dyDescent="0.25">
      <c r="A7639" t="s">
        <v>283</v>
      </c>
      <c r="B7639" t="s">
        <v>6631</v>
      </c>
      <c r="C7639" t="s">
        <v>88</v>
      </c>
      <c r="D7639" t="s">
        <v>6620</v>
      </c>
      <c r="E7639" t="s">
        <v>964</v>
      </c>
      <c r="F7639" t="s">
        <v>88</v>
      </c>
      <c r="G7639" t="s">
        <v>88</v>
      </c>
      <c r="H7639" t="s">
        <v>92</v>
      </c>
    </row>
    <row r="7640" spans="1:8" x14ac:dyDescent="0.25">
      <c r="A7640" t="s">
        <v>283</v>
      </c>
      <c r="B7640" t="s">
        <v>876</v>
      </c>
      <c r="C7640" t="s">
        <v>88</v>
      </c>
      <c r="D7640" t="s">
        <v>6618</v>
      </c>
      <c r="E7640" t="s">
        <v>655</v>
      </c>
      <c r="F7640" t="s">
        <v>88</v>
      </c>
      <c r="G7640" t="s">
        <v>88</v>
      </c>
      <c r="H7640" t="s">
        <v>92</v>
      </c>
    </row>
    <row r="7641" spans="1:8" x14ac:dyDescent="0.25">
      <c r="A7641" t="s">
        <v>283</v>
      </c>
      <c r="B7641" t="s">
        <v>876</v>
      </c>
      <c r="C7641" t="s">
        <v>88</v>
      </c>
      <c r="D7641" t="s">
        <v>6618</v>
      </c>
      <c r="E7641" t="s">
        <v>655</v>
      </c>
      <c r="F7641" t="s">
        <v>88</v>
      </c>
      <c r="G7641" t="s">
        <v>88</v>
      </c>
      <c r="H7641" t="s">
        <v>92</v>
      </c>
    </row>
    <row r="7642" spans="1:8" x14ac:dyDescent="0.25">
      <c r="A7642" t="s">
        <v>283</v>
      </c>
      <c r="B7642" t="s">
        <v>897</v>
      </c>
      <c r="C7642" t="s">
        <v>88</v>
      </c>
      <c r="D7642" t="s">
        <v>6618</v>
      </c>
      <c r="E7642" t="s">
        <v>655</v>
      </c>
      <c r="F7642" t="s">
        <v>88</v>
      </c>
      <c r="G7642" t="s">
        <v>88</v>
      </c>
      <c r="H7642" t="s">
        <v>92</v>
      </c>
    </row>
    <row r="7643" spans="1:8" x14ac:dyDescent="0.25">
      <c r="A7643" t="s">
        <v>283</v>
      </c>
      <c r="B7643" t="s">
        <v>1385</v>
      </c>
      <c r="C7643" t="s">
        <v>88</v>
      </c>
      <c r="D7643" t="s">
        <v>6618</v>
      </c>
      <c r="E7643" t="s">
        <v>655</v>
      </c>
      <c r="F7643" t="s">
        <v>88</v>
      </c>
      <c r="G7643" t="s">
        <v>88</v>
      </c>
      <c r="H7643" t="s">
        <v>92</v>
      </c>
    </row>
    <row r="7644" spans="1:8" x14ac:dyDescent="0.25">
      <c r="A7644" t="s">
        <v>283</v>
      </c>
      <c r="B7644" t="s">
        <v>1675</v>
      </c>
      <c r="C7644" t="s">
        <v>88</v>
      </c>
      <c r="D7644" t="s">
        <v>6618</v>
      </c>
      <c r="E7644" t="s">
        <v>655</v>
      </c>
      <c r="F7644" t="s">
        <v>88</v>
      </c>
      <c r="G7644" t="s">
        <v>88</v>
      </c>
      <c r="H7644" t="s">
        <v>92</v>
      </c>
    </row>
    <row r="7645" spans="1:8" x14ac:dyDescent="0.25">
      <c r="A7645" t="s">
        <v>283</v>
      </c>
      <c r="B7645" t="s">
        <v>768</v>
      </c>
      <c r="C7645" t="s">
        <v>88</v>
      </c>
      <c r="D7645" t="s">
        <v>6618</v>
      </c>
      <c r="E7645" t="s">
        <v>762</v>
      </c>
      <c r="F7645" t="s">
        <v>88</v>
      </c>
      <c r="G7645" t="s">
        <v>88</v>
      </c>
      <c r="H7645" t="s">
        <v>92</v>
      </c>
    </row>
    <row r="7646" spans="1:8" x14ac:dyDescent="0.25">
      <c r="A7646" t="s">
        <v>283</v>
      </c>
      <c r="B7646" t="s">
        <v>6623</v>
      </c>
      <c r="C7646" t="s">
        <v>88</v>
      </c>
      <c r="D7646" t="s">
        <v>6618</v>
      </c>
      <c r="E7646" t="s">
        <v>692</v>
      </c>
      <c r="F7646" t="s">
        <v>88</v>
      </c>
      <c r="G7646" t="s">
        <v>88</v>
      </c>
      <c r="H7646" t="s">
        <v>92</v>
      </c>
    </row>
    <row r="7647" spans="1:8" x14ac:dyDescent="0.25">
      <c r="A7647" t="s">
        <v>283</v>
      </c>
      <c r="B7647" t="s">
        <v>6024</v>
      </c>
      <c r="C7647" t="s">
        <v>88</v>
      </c>
      <c r="D7647" t="s">
        <v>6618</v>
      </c>
      <c r="E7647" t="s">
        <v>692</v>
      </c>
      <c r="F7647" t="s">
        <v>88</v>
      </c>
      <c r="G7647" t="s">
        <v>88</v>
      </c>
      <c r="H7647" t="s">
        <v>92</v>
      </c>
    </row>
    <row r="7648" spans="1:8" x14ac:dyDescent="0.25">
      <c r="A7648" t="s">
        <v>283</v>
      </c>
      <c r="B7648" t="s">
        <v>764</v>
      </c>
      <c r="C7648" t="s">
        <v>88</v>
      </c>
      <c r="D7648" t="s">
        <v>6618</v>
      </c>
      <c r="E7648" t="s">
        <v>700</v>
      </c>
      <c r="F7648" t="s">
        <v>88</v>
      </c>
      <c r="G7648" t="s">
        <v>88</v>
      </c>
      <c r="H7648" t="s">
        <v>92</v>
      </c>
    </row>
    <row r="7649" spans="1:8" x14ac:dyDescent="0.25">
      <c r="A7649" t="s">
        <v>283</v>
      </c>
      <c r="B7649" t="s">
        <v>767</v>
      </c>
      <c r="C7649" t="s">
        <v>88</v>
      </c>
      <c r="D7649" t="s">
        <v>6618</v>
      </c>
      <c r="E7649" t="s">
        <v>700</v>
      </c>
      <c r="F7649" t="s">
        <v>88</v>
      </c>
      <c r="G7649" t="s">
        <v>88</v>
      </c>
      <c r="H7649" t="s">
        <v>92</v>
      </c>
    </row>
    <row r="7650" spans="1:8" x14ac:dyDescent="0.25">
      <c r="A7650" t="s">
        <v>283</v>
      </c>
      <c r="B7650" t="s">
        <v>740</v>
      </c>
      <c r="C7650" t="s">
        <v>88</v>
      </c>
      <c r="D7650" t="s">
        <v>6618</v>
      </c>
      <c r="E7650" t="s">
        <v>700</v>
      </c>
      <c r="F7650" t="s">
        <v>88</v>
      </c>
      <c r="G7650" t="s">
        <v>88</v>
      </c>
      <c r="H7650" t="s">
        <v>92</v>
      </c>
    </row>
    <row r="7651" spans="1:8" x14ac:dyDescent="0.25">
      <c r="A7651" t="s">
        <v>283</v>
      </c>
      <c r="B7651" t="s">
        <v>743</v>
      </c>
      <c r="C7651" t="s">
        <v>88</v>
      </c>
      <c r="D7651" t="s">
        <v>6618</v>
      </c>
      <c r="E7651" t="s">
        <v>700</v>
      </c>
      <c r="F7651" t="s">
        <v>88</v>
      </c>
      <c r="G7651" t="s">
        <v>88</v>
      </c>
      <c r="H7651" t="s">
        <v>92</v>
      </c>
    </row>
    <row r="7652" spans="1:8" x14ac:dyDescent="0.25">
      <c r="A7652" t="s">
        <v>283</v>
      </c>
      <c r="B7652" t="s">
        <v>6632</v>
      </c>
      <c r="C7652" t="s">
        <v>88</v>
      </c>
      <c r="D7652" t="s">
        <v>6633</v>
      </c>
      <c r="E7652" t="s">
        <v>700</v>
      </c>
      <c r="F7652" t="s">
        <v>88</v>
      </c>
      <c r="G7652" t="s">
        <v>88</v>
      </c>
      <c r="H7652" t="s">
        <v>92</v>
      </c>
    </row>
    <row r="7653" spans="1:8" x14ac:dyDescent="0.25">
      <c r="A7653" t="s">
        <v>283</v>
      </c>
      <c r="B7653" t="s">
        <v>736</v>
      </c>
      <c r="C7653" t="s">
        <v>88</v>
      </c>
      <c r="D7653" t="s">
        <v>2183</v>
      </c>
      <c r="E7653" t="s">
        <v>780</v>
      </c>
      <c r="F7653" t="s">
        <v>88</v>
      </c>
      <c r="G7653" t="s">
        <v>88</v>
      </c>
      <c r="H7653" t="s">
        <v>92</v>
      </c>
    </row>
    <row r="7654" spans="1:8" x14ac:dyDescent="0.25">
      <c r="A7654" t="s">
        <v>283</v>
      </c>
      <c r="B7654" t="s">
        <v>1395</v>
      </c>
      <c r="C7654" t="s">
        <v>88</v>
      </c>
      <c r="D7654" t="s">
        <v>2183</v>
      </c>
      <c r="E7654" t="s">
        <v>780</v>
      </c>
      <c r="F7654" t="s">
        <v>88</v>
      </c>
      <c r="G7654" t="s">
        <v>88</v>
      </c>
      <c r="H7654" t="s">
        <v>92</v>
      </c>
    </row>
    <row r="7655" spans="1:8" x14ac:dyDescent="0.25">
      <c r="A7655" t="s">
        <v>283</v>
      </c>
      <c r="B7655" t="s">
        <v>6634</v>
      </c>
      <c r="C7655" t="s">
        <v>88</v>
      </c>
      <c r="D7655" t="s">
        <v>2183</v>
      </c>
      <c r="E7655" t="s">
        <v>679</v>
      </c>
      <c r="F7655" t="s">
        <v>88</v>
      </c>
      <c r="G7655" t="s">
        <v>88</v>
      </c>
      <c r="H7655" t="s">
        <v>92</v>
      </c>
    </row>
    <row r="7656" spans="1:8" x14ac:dyDescent="0.25">
      <c r="A7656" t="s">
        <v>283</v>
      </c>
      <c r="B7656" t="s">
        <v>739</v>
      </c>
      <c r="C7656" t="s">
        <v>88</v>
      </c>
      <c r="D7656" t="s">
        <v>2183</v>
      </c>
      <c r="E7656" t="s">
        <v>959</v>
      </c>
      <c r="F7656" t="s">
        <v>88</v>
      </c>
      <c r="G7656" t="s">
        <v>88</v>
      </c>
      <c r="H7656" t="s">
        <v>92</v>
      </c>
    </row>
    <row r="7657" spans="1:8" x14ac:dyDescent="0.25">
      <c r="A7657" t="s">
        <v>283</v>
      </c>
      <c r="B7657" t="s">
        <v>6635</v>
      </c>
      <c r="C7657" t="s">
        <v>88</v>
      </c>
      <c r="D7657" t="s">
        <v>88</v>
      </c>
      <c r="E7657" t="s">
        <v>709</v>
      </c>
      <c r="F7657" t="s">
        <v>88</v>
      </c>
      <c r="G7657" t="s">
        <v>88</v>
      </c>
      <c r="H7657" t="s">
        <v>92</v>
      </c>
    </row>
    <row r="7658" spans="1:8" x14ac:dyDescent="0.25">
      <c r="A7658" t="s">
        <v>283</v>
      </c>
      <c r="B7658" t="s">
        <v>1369</v>
      </c>
      <c r="C7658" t="s">
        <v>88</v>
      </c>
      <c r="D7658" t="s">
        <v>88</v>
      </c>
      <c r="E7658" t="s">
        <v>710</v>
      </c>
      <c r="F7658" t="s">
        <v>88</v>
      </c>
      <c r="G7658" t="s">
        <v>88</v>
      </c>
      <c r="H7658" t="s">
        <v>92</v>
      </c>
    </row>
    <row r="7659" spans="1:8" x14ac:dyDescent="0.25">
      <c r="A7659" t="s">
        <v>283</v>
      </c>
      <c r="B7659" t="s">
        <v>846</v>
      </c>
      <c r="C7659" t="s">
        <v>88</v>
      </c>
      <c r="D7659" t="s">
        <v>88</v>
      </c>
      <c r="E7659" t="s">
        <v>711</v>
      </c>
      <c r="F7659" t="s">
        <v>88</v>
      </c>
      <c r="G7659" t="s">
        <v>88</v>
      </c>
      <c r="H7659" t="s">
        <v>92</v>
      </c>
    </row>
    <row r="7660" spans="1:8" x14ac:dyDescent="0.25">
      <c r="A7660" t="s">
        <v>283</v>
      </c>
      <c r="B7660" t="s">
        <v>926</v>
      </c>
      <c r="C7660" t="s">
        <v>88</v>
      </c>
      <c r="D7660" t="s">
        <v>88</v>
      </c>
      <c r="E7660" t="s">
        <v>711</v>
      </c>
      <c r="F7660" t="s">
        <v>88</v>
      </c>
      <c r="G7660" t="s">
        <v>88</v>
      </c>
      <c r="H7660" t="s">
        <v>92</v>
      </c>
    </row>
    <row r="7661" spans="1:8" x14ac:dyDescent="0.25">
      <c r="A7661" t="s">
        <v>283</v>
      </c>
      <c r="B7661" t="s">
        <v>795</v>
      </c>
      <c r="C7661" t="s">
        <v>88</v>
      </c>
      <c r="D7661" t="s">
        <v>88</v>
      </c>
      <c r="E7661" t="s">
        <v>735</v>
      </c>
      <c r="F7661" t="s">
        <v>88</v>
      </c>
      <c r="G7661" t="s">
        <v>88</v>
      </c>
      <c r="H7661" t="s">
        <v>92</v>
      </c>
    </row>
    <row r="7662" spans="1:8" x14ac:dyDescent="0.25">
      <c r="A7662" t="s">
        <v>283</v>
      </c>
      <c r="B7662" t="s">
        <v>622</v>
      </c>
      <c r="C7662" t="s">
        <v>88</v>
      </c>
      <c r="D7662" t="s">
        <v>88</v>
      </c>
      <c r="E7662" t="s">
        <v>713</v>
      </c>
      <c r="F7662" t="s">
        <v>88</v>
      </c>
      <c r="G7662" t="s">
        <v>88</v>
      </c>
      <c r="H7662" t="s">
        <v>92</v>
      </c>
    </row>
    <row r="7663" spans="1:8" x14ac:dyDescent="0.25">
      <c r="A7663" t="s">
        <v>283</v>
      </c>
      <c r="B7663" t="s">
        <v>623</v>
      </c>
      <c r="C7663" t="s">
        <v>88</v>
      </c>
      <c r="D7663" t="s">
        <v>88</v>
      </c>
      <c r="E7663" t="s">
        <v>849</v>
      </c>
      <c r="F7663" t="s">
        <v>88</v>
      </c>
      <c r="G7663" t="s">
        <v>88</v>
      </c>
      <c r="H7663" t="s">
        <v>92</v>
      </c>
    </row>
    <row r="7664" spans="1:8" x14ac:dyDescent="0.25">
      <c r="A7664" t="s">
        <v>283</v>
      </c>
      <c r="B7664" t="s">
        <v>2017</v>
      </c>
      <c r="C7664" t="s">
        <v>88</v>
      </c>
      <c r="D7664" t="s">
        <v>6620</v>
      </c>
      <c r="E7664" t="s">
        <v>803</v>
      </c>
      <c r="F7664" t="s">
        <v>88</v>
      </c>
      <c r="G7664" t="s">
        <v>88</v>
      </c>
      <c r="H7664" t="s">
        <v>92</v>
      </c>
    </row>
    <row r="7665" spans="1:8" x14ac:dyDescent="0.25">
      <c r="A7665" t="s">
        <v>283</v>
      </c>
      <c r="B7665" t="s">
        <v>809</v>
      </c>
      <c r="C7665" t="s">
        <v>88</v>
      </c>
      <c r="D7665" t="s">
        <v>6620</v>
      </c>
      <c r="E7665" t="s">
        <v>1171</v>
      </c>
      <c r="F7665" t="s">
        <v>88</v>
      </c>
      <c r="G7665" t="s">
        <v>88</v>
      </c>
      <c r="H7665" t="s">
        <v>92</v>
      </c>
    </row>
    <row r="7666" spans="1:8" x14ac:dyDescent="0.25">
      <c r="A7666" t="s">
        <v>283</v>
      </c>
      <c r="B7666" t="s">
        <v>6636</v>
      </c>
      <c r="C7666" t="s">
        <v>88</v>
      </c>
      <c r="D7666" t="s">
        <v>6620</v>
      </c>
      <c r="E7666" t="s">
        <v>803</v>
      </c>
      <c r="F7666" t="s">
        <v>88</v>
      </c>
      <c r="G7666" t="s">
        <v>88</v>
      </c>
      <c r="H7666" t="s">
        <v>92</v>
      </c>
    </row>
    <row r="7667" spans="1:8" x14ac:dyDescent="0.25">
      <c r="A7667" t="s">
        <v>283</v>
      </c>
      <c r="B7667" t="s">
        <v>6627</v>
      </c>
      <c r="C7667" t="s">
        <v>88</v>
      </c>
      <c r="D7667" t="s">
        <v>6620</v>
      </c>
      <c r="E7667" t="s">
        <v>803</v>
      </c>
      <c r="F7667" t="s">
        <v>88</v>
      </c>
      <c r="G7667" t="s">
        <v>88</v>
      </c>
      <c r="H7667" t="s">
        <v>92</v>
      </c>
    </row>
    <row r="7668" spans="1:8" x14ac:dyDescent="0.25">
      <c r="A7668" t="s">
        <v>283</v>
      </c>
      <c r="B7668" t="s">
        <v>6628</v>
      </c>
      <c r="C7668" t="s">
        <v>88</v>
      </c>
      <c r="D7668" t="s">
        <v>6620</v>
      </c>
      <c r="E7668" t="s">
        <v>964</v>
      </c>
      <c r="F7668" t="s">
        <v>88</v>
      </c>
      <c r="G7668" t="s">
        <v>88</v>
      </c>
      <c r="H7668" t="s">
        <v>92</v>
      </c>
    </row>
    <row r="7669" spans="1:8" x14ac:dyDescent="0.25">
      <c r="A7669" t="s">
        <v>283</v>
      </c>
      <c r="B7669" t="s">
        <v>6619</v>
      </c>
      <c r="C7669" t="s">
        <v>88</v>
      </c>
      <c r="D7669" t="s">
        <v>6620</v>
      </c>
      <c r="E7669" t="s">
        <v>964</v>
      </c>
      <c r="F7669" t="s">
        <v>88</v>
      </c>
      <c r="G7669" t="s">
        <v>88</v>
      </c>
      <c r="H7669" t="s">
        <v>92</v>
      </c>
    </row>
    <row r="7670" spans="1:8" x14ac:dyDescent="0.25">
      <c r="A7670" t="s">
        <v>283</v>
      </c>
      <c r="B7670" t="s">
        <v>6629</v>
      </c>
      <c r="C7670" t="s">
        <v>88</v>
      </c>
      <c r="D7670" t="s">
        <v>6620</v>
      </c>
      <c r="E7670" t="s">
        <v>964</v>
      </c>
      <c r="F7670" t="s">
        <v>88</v>
      </c>
      <c r="G7670" t="s">
        <v>88</v>
      </c>
      <c r="H7670" t="s">
        <v>92</v>
      </c>
    </row>
    <row r="7671" spans="1:8" x14ac:dyDescent="0.25">
      <c r="A7671" t="s">
        <v>283</v>
      </c>
      <c r="B7671" t="s">
        <v>6631</v>
      </c>
      <c r="C7671" t="s">
        <v>88</v>
      </c>
      <c r="D7671" t="s">
        <v>6620</v>
      </c>
      <c r="E7671" t="s">
        <v>964</v>
      </c>
      <c r="F7671" t="s">
        <v>88</v>
      </c>
      <c r="G7671" t="s">
        <v>88</v>
      </c>
      <c r="H7671" t="s">
        <v>92</v>
      </c>
    </row>
    <row r="7672" spans="1:8" x14ac:dyDescent="0.25">
      <c r="A7672" t="s">
        <v>283</v>
      </c>
      <c r="B7672" t="s">
        <v>6637</v>
      </c>
      <c r="C7672" t="s">
        <v>88</v>
      </c>
      <c r="D7672" t="s">
        <v>6638</v>
      </c>
      <c r="E7672" t="s">
        <v>964</v>
      </c>
      <c r="F7672" t="s">
        <v>88</v>
      </c>
      <c r="G7672" t="s">
        <v>88</v>
      </c>
      <c r="H7672" t="s">
        <v>92</v>
      </c>
    </row>
    <row r="7673" spans="1:8" x14ac:dyDescent="0.25">
      <c r="A7673" t="s">
        <v>283</v>
      </c>
      <c r="B7673" t="s">
        <v>625</v>
      </c>
      <c r="C7673" t="s">
        <v>88</v>
      </c>
      <c r="D7673" t="s">
        <v>88</v>
      </c>
      <c r="E7673" t="s">
        <v>626</v>
      </c>
      <c r="F7673" t="s">
        <v>88</v>
      </c>
      <c r="G7673" t="s">
        <v>88</v>
      </c>
      <c r="H7673" t="s">
        <v>92</v>
      </c>
    </row>
    <row r="7674" spans="1:8" x14ac:dyDescent="0.25">
      <c r="A7674" t="s">
        <v>284</v>
      </c>
      <c r="B7674" t="s">
        <v>789</v>
      </c>
      <c r="C7674" t="s">
        <v>88</v>
      </c>
      <c r="D7674" t="s">
        <v>6639</v>
      </c>
      <c r="E7674" t="s">
        <v>702</v>
      </c>
      <c r="F7674" t="s">
        <v>88</v>
      </c>
      <c r="G7674" t="s">
        <v>88</v>
      </c>
      <c r="H7674" t="s">
        <v>92</v>
      </c>
    </row>
    <row r="7675" spans="1:8" x14ac:dyDescent="0.25">
      <c r="A7675" t="s">
        <v>284</v>
      </c>
      <c r="B7675" t="s">
        <v>823</v>
      </c>
      <c r="C7675" t="s">
        <v>88</v>
      </c>
      <c r="D7675" t="s">
        <v>6640</v>
      </c>
      <c r="E7675" t="s">
        <v>964</v>
      </c>
      <c r="F7675" t="s">
        <v>88</v>
      </c>
      <c r="G7675" t="s">
        <v>88</v>
      </c>
      <c r="H7675" t="s">
        <v>92</v>
      </c>
    </row>
    <row r="7676" spans="1:8" x14ac:dyDescent="0.25">
      <c r="A7676" t="s">
        <v>284</v>
      </c>
      <c r="B7676" t="s">
        <v>935</v>
      </c>
      <c r="C7676" t="s">
        <v>88</v>
      </c>
      <c r="D7676" t="s">
        <v>6641</v>
      </c>
      <c r="E7676" t="s">
        <v>723</v>
      </c>
      <c r="F7676" t="s">
        <v>88</v>
      </c>
      <c r="G7676" t="s">
        <v>88</v>
      </c>
      <c r="H7676" t="s">
        <v>92</v>
      </c>
    </row>
    <row r="7677" spans="1:8" x14ac:dyDescent="0.25">
      <c r="A7677" t="s">
        <v>284</v>
      </c>
      <c r="B7677" t="s">
        <v>6642</v>
      </c>
      <c r="C7677" t="s">
        <v>88</v>
      </c>
      <c r="D7677" t="s">
        <v>6643</v>
      </c>
      <c r="E7677" t="s">
        <v>844</v>
      </c>
      <c r="F7677" t="s">
        <v>88</v>
      </c>
      <c r="G7677" t="s">
        <v>88</v>
      </c>
      <c r="H7677" t="s">
        <v>92</v>
      </c>
    </row>
    <row r="7678" spans="1:8" x14ac:dyDescent="0.25">
      <c r="A7678" t="s">
        <v>284</v>
      </c>
      <c r="B7678" t="s">
        <v>616</v>
      </c>
      <c r="C7678" t="s">
        <v>88</v>
      </c>
      <c r="D7678" t="s">
        <v>88</v>
      </c>
      <c r="E7678" t="s">
        <v>710</v>
      </c>
      <c r="F7678" t="s">
        <v>88</v>
      </c>
      <c r="G7678" t="s">
        <v>88</v>
      </c>
      <c r="H7678" t="s">
        <v>92</v>
      </c>
    </row>
    <row r="7679" spans="1:8" x14ac:dyDescent="0.25">
      <c r="A7679" t="s">
        <v>284</v>
      </c>
      <c r="B7679" t="s">
        <v>823</v>
      </c>
      <c r="C7679" t="s">
        <v>88</v>
      </c>
      <c r="D7679" t="s">
        <v>6640</v>
      </c>
      <c r="E7679" t="s">
        <v>964</v>
      </c>
      <c r="F7679" t="s">
        <v>88</v>
      </c>
      <c r="G7679" t="s">
        <v>88</v>
      </c>
      <c r="H7679" t="s">
        <v>92</v>
      </c>
    </row>
    <row r="7680" spans="1:8" x14ac:dyDescent="0.25">
      <c r="A7680" t="s">
        <v>284</v>
      </c>
      <c r="B7680" t="s">
        <v>944</v>
      </c>
      <c r="C7680" t="s">
        <v>88</v>
      </c>
      <c r="D7680" t="s">
        <v>88</v>
      </c>
      <c r="E7680" t="s">
        <v>655</v>
      </c>
      <c r="F7680" t="s">
        <v>88</v>
      </c>
      <c r="G7680" t="s">
        <v>88</v>
      </c>
      <c r="H7680" t="s">
        <v>92</v>
      </c>
    </row>
    <row r="7681" spans="1:8" x14ac:dyDescent="0.25">
      <c r="A7681" t="s">
        <v>284</v>
      </c>
      <c r="B7681" t="s">
        <v>6642</v>
      </c>
      <c r="C7681" t="s">
        <v>88</v>
      </c>
      <c r="D7681" t="s">
        <v>6643</v>
      </c>
      <c r="E7681" t="s">
        <v>844</v>
      </c>
      <c r="F7681" t="s">
        <v>88</v>
      </c>
      <c r="G7681" t="s">
        <v>88</v>
      </c>
      <c r="H7681" t="s">
        <v>92</v>
      </c>
    </row>
    <row r="7682" spans="1:8" x14ac:dyDescent="0.25">
      <c r="A7682" t="s">
        <v>284</v>
      </c>
      <c r="B7682" t="s">
        <v>935</v>
      </c>
      <c r="C7682" t="s">
        <v>88</v>
      </c>
      <c r="D7682" t="s">
        <v>6641</v>
      </c>
      <c r="E7682" t="s">
        <v>723</v>
      </c>
      <c r="F7682" t="s">
        <v>88</v>
      </c>
      <c r="G7682" t="s">
        <v>88</v>
      </c>
      <c r="H7682" t="s">
        <v>92</v>
      </c>
    </row>
    <row r="7683" spans="1:8" x14ac:dyDescent="0.25">
      <c r="A7683" t="s">
        <v>284</v>
      </c>
      <c r="B7683" t="s">
        <v>789</v>
      </c>
      <c r="C7683" t="s">
        <v>88</v>
      </c>
      <c r="D7683" t="s">
        <v>6639</v>
      </c>
      <c r="E7683" t="s">
        <v>702</v>
      </c>
      <c r="F7683" t="s">
        <v>88</v>
      </c>
      <c r="G7683" t="s">
        <v>88</v>
      </c>
      <c r="H7683" t="s">
        <v>92</v>
      </c>
    </row>
    <row r="7684" spans="1:8" x14ac:dyDescent="0.25">
      <c r="A7684" t="s">
        <v>284</v>
      </c>
      <c r="B7684" t="s">
        <v>701</v>
      </c>
      <c r="C7684" t="s">
        <v>88</v>
      </c>
      <c r="D7684" t="s">
        <v>88</v>
      </c>
      <c r="E7684" t="s">
        <v>710</v>
      </c>
      <c r="F7684" t="s">
        <v>88</v>
      </c>
      <c r="G7684" t="s">
        <v>88</v>
      </c>
      <c r="H7684" t="s">
        <v>92</v>
      </c>
    </row>
    <row r="7685" spans="1:8" x14ac:dyDescent="0.25">
      <c r="A7685" t="s">
        <v>284</v>
      </c>
      <c r="B7685" t="s">
        <v>612</v>
      </c>
      <c r="C7685" t="s">
        <v>88</v>
      </c>
      <c r="D7685" t="s">
        <v>88</v>
      </c>
      <c r="E7685" t="s">
        <v>710</v>
      </c>
      <c r="F7685" t="s">
        <v>88</v>
      </c>
      <c r="G7685" t="s">
        <v>88</v>
      </c>
      <c r="H7685" t="s">
        <v>92</v>
      </c>
    </row>
    <row r="7686" spans="1:8" x14ac:dyDescent="0.25">
      <c r="A7686" t="s">
        <v>284</v>
      </c>
      <c r="B7686" t="s">
        <v>614</v>
      </c>
      <c r="C7686" t="s">
        <v>88</v>
      </c>
      <c r="D7686" t="s">
        <v>88</v>
      </c>
      <c r="E7686" t="s">
        <v>710</v>
      </c>
      <c r="F7686" t="s">
        <v>88</v>
      </c>
      <c r="G7686" t="s">
        <v>88</v>
      </c>
      <c r="H7686" t="s">
        <v>92</v>
      </c>
    </row>
    <row r="7687" spans="1:8" x14ac:dyDescent="0.25">
      <c r="A7687" t="s">
        <v>284</v>
      </c>
      <c r="B7687" t="s">
        <v>616</v>
      </c>
      <c r="C7687" t="s">
        <v>88</v>
      </c>
      <c r="D7687" t="s">
        <v>88</v>
      </c>
      <c r="E7687" t="s">
        <v>710</v>
      </c>
      <c r="F7687" t="s">
        <v>88</v>
      </c>
      <c r="G7687" t="s">
        <v>88</v>
      </c>
      <c r="H7687" t="s">
        <v>92</v>
      </c>
    </row>
    <row r="7688" spans="1:8" x14ac:dyDescent="0.25">
      <c r="A7688" t="s">
        <v>284</v>
      </c>
      <c r="B7688" t="s">
        <v>733</v>
      </c>
      <c r="C7688" t="s">
        <v>88</v>
      </c>
      <c r="D7688" t="s">
        <v>88</v>
      </c>
      <c r="E7688" t="s">
        <v>710</v>
      </c>
      <c r="F7688" t="s">
        <v>88</v>
      </c>
      <c r="G7688" t="s">
        <v>88</v>
      </c>
      <c r="H7688" t="s">
        <v>92</v>
      </c>
    </row>
    <row r="7689" spans="1:8" x14ac:dyDescent="0.25">
      <c r="A7689" t="s">
        <v>284</v>
      </c>
      <c r="B7689" t="s">
        <v>846</v>
      </c>
      <c r="C7689" t="s">
        <v>88</v>
      </c>
      <c r="D7689" t="s">
        <v>88</v>
      </c>
      <c r="E7689" t="s">
        <v>711</v>
      </c>
      <c r="F7689" t="s">
        <v>88</v>
      </c>
      <c r="G7689" t="s">
        <v>88</v>
      </c>
      <c r="H7689" t="s">
        <v>92</v>
      </c>
    </row>
    <row r="7690" spans="1:8" x14ac:dyDescent="0.25">
      <c r="A7690" t="s">
        <v>284</v>
      </c>
      <c r="B7690" t="s">
        <v>6644</v>
      </c>
      <c r="C7690" t="s">
        <v>88</v>
      </c>
      <c r="D7690" t="s">
        <v>88</v>
      </c>
      <c r="E7690" t="s">
        <v>711</v>
      </c>
      <c r="F7690" t="s">
        <v>88</v>
      </c>
      <c r="G7690" t="s">
        <v>88</v>
      </c>
      <c r="H7690" t="s">
        <v>92</v>
      </c>
    </row>
    <row r="7691" spans="1:8" x14ac:dyDescent="0.25">
      <c r="A7691" t="s">
        <v>284</v>
      </c>
      <c r="B7691" t="s">
        <v>797</v>
      </c>
      <c r="C7691" t="s">
        <v>88</v>
      </c>
      <c r="D7691" t="s">
        <v>88</v>
      </c>
      <c r="E7691" t="s">
        <v>848</v>
      </c>
      <c r="F7691" t="s">
        <v>88</v>
      </c>
      <c r="G7691" t="s">
        <v>88</v>
      </c>
      <c r="H7691" t="s">
        <v>92</v>
      </c>
    </row>
    <row r="7692" spans="1:8" x14ac:dyDescent="0.25">
      <c r="A7692" t="s">
        <v>284</v>
      </c>
      <c r="B7692" t="s">
        <v>622</v>
      </c>
      <c r="C7692" t="s">
        <v>88</v>
      </c>
      <c r="D7692" t="s">
        <v>88</v>
      </c>
      <c r="E7692" t="s">
        <v>711</v>
      </c>
      <c r="F7692" t="s">
        <v>88</v>
      </c>
      <c r="G7692" t="s">
        <v>88</v>
      </c>
      <c r="H7692" t="s">
        <v>92</v>
      </c>
    </row>
    <row r="7693" spans="1:8" x14ac:dyDescent="0.25">
      <c r="A7693" t="s">
        <v>284</v>
      </c>
      <c r="B7693" t="s">
        <v>623</v>
      </c>
      <c r="C7693" t="s">
        <v>88</v>
      </c>
      <c r="D7693" t="s">
        <v>88</v>
      </c>
      <c r="E7693" t="s">
        <v>849</v>
      </c>
      <c r="F7693" t="s">
        <v>88</v>
      </c>
      <c r="G7693" t="s">
        <v>88</v>
      </c>
      <c r="H7693" t="s">
        <v>92</v>
      </c>
    </row>
    <row r="7694" spans="1:8" x14ac:dyDescent="0.25">
      <c r="A7694" t="s">
        <v>284</v>
      </c>
      <c r="B7694" t="s">
        <v>625</v>
      </c>
      <c r="C7694" t="s">
        <v>88</v>
      </c>
      <c r="D7694" t="s">
        <v>88</v>
      </c>
      <c r="E7694" t="s">
        <v>626</v>
      </c>
      <c r="F7694" t="s">
        <v>88</v>
      </c>
      <c r="G7694" t="s">
        <v>88</v>
      </c>
      <c r="H7694" t="s">
        <v>92</v>
      </c>
    </row>
    <row r="7695" spans="1:8" x14ac:dyDescent="0.25">
      <c r="A7695" t="s">
        <v>285</v>
      </c>
      <c r="B7695" t="s">
        <v>779</v>
      </c>
      <c r="C7695" t="s">
        <v>88</v>
      </c>
      <c r="D7695" t="s">
        <v>6645</v>
      </c>
      <c r="E7695" t="s">
        <v>663</v>
      </c>
      <c r="F7695" t="s">
        <v>88</v>
      </c>
      <c r="G7695" t="s">
        <v>88</v>
      </c>
      <c r="H7695" t="s">
        <v>92</v>
      </c>
    </row>
    <row r="7696" spans="1:8" x14ac:dyDescent="0.25">
      <c r="A7696" t="s">
        <v>285</v>
      </c>
      <c r="B7696" t="s">
        <v>736</v>
      </c>
      <c r="C7696" t="s">
        <v>88</v>
      </c>
      <c r="D7696" t="s">
        <v>6645</v>
      </c>
      <c r="E7696" t="s">
        <v>937</v>
      </c>
      <c r="F7696" t="s">
        <v>88</v>
      </c>
      <c r="G7696" t="s">
        <v>88</v>
      </c>
      <c r="H7696" t="s">
        <v>92</v>
      </c>
    </row>
    <row r="7697" spans="1:8" x14ac:dyDescent="0.25">
      <c r="A7697" t="s">
        <v>285</v>
      </c>
      <c r="B7697" t="s">
        <v>6646</v>
      </c>
      <c r="C7697" t="s">
        <v>88</v>
      </c>
      <c r="D7697" t="s">
        <v>6647</v>
      </c>
      <c r="E7697" t="s">
        <v>676</v>
      </c>
      <c r="F7697" t="s">
        <v>88</v>
      </c>
      <c r="G7697" t="s">
        <v>88</v>
      </c>
      <c r="H7697" t="s">
        <v>92</v>
      </c>
    </row>
    <row r="7698" spans="1:8" x14ac:dyDescent="0.25">
      <c r="A7698" t="s">
        <v>285</v>
      </c>
      <c r="B7698" t="s">
        <v>876</v>
      </c>
      <c r="C7698" t="s">
        <v>88</v>
      </c>
      <c r="D7698" t="s">
        <v>6648</v>
      </c>
      <c r="E7698" t="s">
        <v>655</v>
      </c>
      <c r="F7698" t="s">
        <v>88</v>
      </c>
      <c r="G7698" t="s">
        <v>88</v>
      </c>
      <c r="H7698" t="s">
        <v>92</v>
      </c>
    </row>
    <row r="7699" spans="1:8" x14ac:dyDescent="0.25">
      <c r="A7699" t="s">
        <v>285</v>
      </c>
      <c r="B7699" t="s">
        <v>6649</v>
      </c>
      <c r="C7699" t="s">
        <v>88</v>
      </c>
      <c r="D7699" t="s">
        <v>6647</v>
      </c>
      <c r="E7699" t="s">
        <v>676</v>
      </c>
      <c r="F7699" t="s">
        <v>88</v>
      </c>
      <c r="G7699" t="s">
        <v>88</v>
      </c>
      <c r="H7699" t="s">
        <v>92</v>
      </c>
    </row>
    <row r="7700" spans="1:8" x14ac:dyDescent="0.25">
      <c r="A7700" t="s">
        <v>285</v>
      </c>
      <c r="B7700" t="s">
        <v>881</v>
      </c>
      <c r="C7700" t="s">
        <v>88</v>
      </c>
      <c r="D7700" t="s">
        <v>6648</v>
      </c>
      <c r="E7700" t="s">
        <v>883</v>
      </c>
      <c r="F7700" t="s">
        <v>88</v>
      </c>
      <c r="G7700" t="s">
        <v>88</v>
      </c>
      <c r="H7700" t="s">
        <v>92</v>
      </c>
    </row>
    <row r="7701" spans="1:8" x14ac:dyDescent="0.25">
      <c r="A7701" t="s">
        <v>285</v>
      </c>
      <c r="B7701" t="s">
        <v>1682</v>
      </c>
      <c r="C7701" t="s">
        <v>88</v>
      </c>
      <c r="D7701" t="s">
        <v>6648</v>
      </c>
      <c r="E7701" t="s">
        <v>717</v>
      </c>
      <c r="F7701" t="s">
        <v>88</v>
      </c>
      <c r="G7701" t="s">
        <v>88</v>
      </c>
      <c r="H7701" t="s">
        <v>92</v>
      </c>
    </row>
    <row r="7702" spans="1:8" x14ac:dyDescent="0.25">
      <c r="A7702" t="s">
        <v>285</v>
      </c>
      <c r="B7702" t="s">
        <v>764</v>
      </c>
      <c r="C7702" t="s">
        <v>88</v>
      </c>
      <c r="D7702" t="s">
        <v>6648</v>
      </c>
      <c r="E7702" t="s">
        <v>717</v>
      </c>
      <c r="F7702" t="s">
        <v>88</v>
      </c>
      <c r="G7702" t="s">
        <v>88</v>
      </c>
      <c r="H7702" t="s">
        <v>92</v>
      </c>
    </row>
    <row r="7703" spans="1:8" x14ac:dyDescent="0.25">
      <c r="A7703" t="s">
        <v>285</v>
      </c>
      <c r="B7703" t="s">
        <v>4982</v>
      </c>
      <c r="C7703" t="s">
        <v>88</v>
      </c>
      <c r="D7703" t="s">
        <v>6648</v>
      </c>
      <c r="E7703" t="s">
        <v>717</v>
      </c>
      <c r="F7703" t="s">
        <v>88</v>
      </c>
      <c r="G7703" t="s">
        <v>88</v>
      </c>
      <c r="H7703" t="s">
        <v>92</v>
      </c>
    </row>
    <row r="7704" spans="1:8" x14ac:dyDescent="0.25">
      <c r="A7704" t="s">
        <v>285</v>
      </c>
      <c r="B7704" t="s">
        <v>740</v>
      </c>
      <c r="C7704" t="s">
        <v>88</v>
      </c>
      <c r="D7704" t="s">
        <v>6648</v>
      </c>
      <c r="E7704" t="s">
        <v>717</v>
      </c>
      <c r="F7704" t="s">
        <v>88</v>
      </c>
      <c r="G7704" t="s">
        <v>88</v>
      </c>
      <c r="H7704" t="s">
        <v>92</v>
      </c>
    </row>
    <row r="7705" spans="1:8" x14ac:dyDescent="0.25">
      <c r="A7705" t="s">
        <v>285</v>
      </c>
      <c r="B7705" t="s">
        <v>876</v>
      </c>
      <c r="C7705" t="s">
        <v>88</v>
      </c>
      <c r="D7705" t="s">
        <v>6648</v>
      </c>
      <c r="E7705" t="s">
        <v>655</v>
      </c>
      <c r="F7705" t="s">
        <v>88</v>
      </c>
      <c r="G7705" t="s">
        <v>88</v>
      </c>
      <c r="H7705" t="s">
        <v>92</v>
      </c>
    </row>
    <row r="7706" spans="1:8" x14ac:dyDescent="0.25">
      <c r="A7706" t="s">
        <v>285</v>
      </c>
      <c r="B7706" t="s">
        <v>897</v>
      </c>
      <c r="C7706" t="s">
        <v>88</v>
      </c>
      <c r="D7706" t="s">
        <v>6648</v>
      </c>
      <c r="E7706" t="s">
        <v>655</v>
      </c>
      <c r="F7706" t="s">
        <v>88</v>
      </c>
      <c r="G7706" t="s">
        <v>88</v>
      </c>
      <c r="H7706" t="s">
        <v>92</v>
      </c>
    </row>
    <row r="7707" spans="1:8" x14ac:dyDescent="0.25">
      <c r="A7707" t="s">
        <v>285</v>
      </c>
      <c r="B7707" t="s">
        <v>1678</v>
      </c>
      <c r="C7707" t="s">
        <v>88</v>
      </c>
      <c r="D7707" t="s">
        <v>6648</v>
      </c>
      <c r="E7707" t="s">
        <v>692</v>
      </c>
      <c r="F7707" t="s">
        <v>88</v>
      </c>
      <c r="G7707" t="s">
        <v>88</v>
      </c>
      <c r="H7707" t="s">
        <v>92</v>
      </c>
    </row>
    <row r="7708" spans="1:8" x14ac:dyDescent="0.25">
      <c r="A7708" t="s">
        <v>285</v>
      </c>
      <c r="B7708" t="s">
        <v>736</v>
      </c>
      <c r="C7708" t="s">
        <v>88</v>
      </c>
      <c r="D7708" t="s">
        <v>6645</v>
      </c>
      <c r="E7708" t="s">
        <v>937</v>
      </c>
      <c r="F7708" t="s">
        <v>88</v>
      </c>
      <c r="G7708" t="s">
        <v>88</v>
      </c>
      <c r="H7708" t="s">
        <v>92</v>
      </c>
    </row>
    <row r="7709" spans="1:8" x14ac:dyDescent="0.25">
      <c r="A7709" t="s">
        <v>285</v>
      </c>
      <c r="B7709" t="s">
        <v>925</v>
      </c>
      <c r="C7709" t="s">
        <v>88</v>
      </c>
      <c r="D7709" t="s">
        <v>6645</v>
      </c>
      <c r="E7709" t="s">
        <v>937</v>
      </c>
      <c r="F7709" t="s">
        <v>88</v>
      </c>
      <c r="G7709" t="s">
        <v>88</v>
      </c>
      <c r="H7709" t="s">
        <v>92</v>
      </c>
    </row>
    <row r="7710" spans="1:8" x14ac:dyDescent="0.25">
      <c r="A7710" t="s">
        <v>285</v>
      </c>
      <c r="B7710" t="s">
        <v>779</v>
      </c>
      <c r="C7710" t="s">
        <v>88</v>
      </c>
      <c r="D7710" t="s">
        <v>6645</v>
      </c>
      <c r="E7710" t="s">
        <v>663</v>
      </c>
      <c r="F7710" t="s">
        <v>88</v>
      </c>
      <c r="G7710" t="s">
        <v>88</v>
      </c>
      <c r="H7710" t="s">
        <v>92</v>
      </c>
    </row>
    <row r="7711" spans="1:8" x14ac:dyDescent="0.25">
      <c r="A7711" t="s">
        <v>285</v>
      </c>
      <c r="B7711" t="s">
        <v>777</v>
      </c>
      <c r="C7711" t="s">
        <v>88</v>
      </c>
      <c r="D7711" t="s">
        <v>6645</v>
      </c>
      <c r="E7711" t="s">
        <v>780</v>
      </c>
      <c r="F7711" t="s">
        <v>88</v>
      </c>
      <c r="G7711" t="s">
        <v>88</v>
      </c>
      <c r="H7711" t="s">
        <v>92</v>
      </c>
    </row>
    <row r="7712" spans="1:8" x14ac:dyDescent="0.25">
      <c r="A7712" t="s">
        <v>285</v>
      </c>
      <c r="B7712" t="s">
        <v>739</v>
      </c>
      <c r="C7712" t="s">
        <v>88</v>
      </c>
      <c r="D7712" t="s">
        <v>6645</v>
      </c>
      <c r="E7712" t="s">
        <v>780</v>
      </c>
      <c r="F7712" t="s">
        <v>88</v>
      </c>
      <c r="G7712" t="s">
        <v>88</v>
      </c>
      <c r="H7712" t="s">
        <v>92</v>
      </c>
    </row>
    <row r="7713" spans="1:8" x14ac:dyDescent="0.25">
      <c r="A7713" t="s">
        <v>285</v>
      </c>
      <c r="B7713" t="s">
        <v>4034</v>
      </c>
      <c r="C7713" t="s">
        <v>88</v>
      </c>
      <c r="D7713" t="s">
        <v>88</v>
      </c>
      <c r="E7713" t="s">
        <v>735</v>
      </c>
      <c r="F7713" t="s">
        <v>88</v>
      </c>
      <c r="G7713" t="s">
        <v>88</v>
      </c>
      <c r="H7713" t="s">
        <v>92</v>
      </c>
    </row>
    <row r="7714" spans="1:8" x14ac:dyDescent="0.25">
      <c r="A7714" t="s">
        <v>285</v>
      </c>
      <c r="B7714" t="s">
        <v>612</v>
      </c>
      <c r="C7714" t="s">
        <v>88</v>
      </c>
      <c r="D7714" t="s">
        <v>88</v>
      </c>
      <c r="E7714" t="s">
        <v>734</v>
      </c>
      <c r="F7714" t="s">
        <v>88</v>
      </c>
      <c r="G7714" t="s">
        <v>88</v>
      </c>
      <c r="H7714" t="s">
        <v>92</v>
      </c>
    </row>
    <row r="7715" spans="1:8" x14ac:dyDescent="0.25">
      <c r="A7715" t="s">
        <v>285</v>
      </c>
      <c r="B7715" t="s">
        <v>615</v>
      </c>
      <c r="C7715" t="s">
        <v>88</v>
      </c>
      <c r="D7715" t="s">
        <v>88</v>
      </c>
      <c r="E7715" t="s">
        <v>734</v>
      </c>
      <c r="F7715" t="s">
        <v>88</v>
      </c>
      <c r="G7715" t="s">
        <v>88</v>
      </c>
      <c r="H7715" t="s">
        <v>92</v>
      </c>
    </row>
    <row r="7716" spans="1:8" x14ac:dyDescent="0.25">
      <c r="A7716" t="s">
        <v>285</v>
      </c>
      <c r="B7716" t="s">
        <v>618</v>
      </c>
      <c r="C7716" t="s">
        <v>88</v>
      </c>
      <c r="D7716" t="s">
        <v>88</v>
      </c>
      <c r="E7716" t="s">
        <v>848</v>
      </c>
      <c r="F7716" t="s">
        <v>88</v>
      </c>
      <c r="G7716" t="s">
        <v>88</v>
      </c>
      <c r="H7716" t="s">
        <v>92</v>
      </c>
    </row>
    <row r="7717" spans="1:8" x14ac:dyDescent="0.25">
      <c r="A7717" t="s">
        <v>285</v>
      </c>
      <c r="B7717" t="s">
        <v>712</v>
      </c>
      <c r="C7717" t="s">
        <v>88</v>
      </c>
      <c r="D7717" t="s">
        <v>88</v>
      </c>
      <c r="E7717" t="s">
        <v>849</v>
      </c>
      <c r="F7717" t="s">
        <v>88</v>
      </c>
      <c r="G7717" t="s">
        <v>88</v>
      </c>
      <c r="H7717" t="s">
        <v>92</v>
      </c>
    </row>
    <row r="7718" spans="1:8" x14ac:dyDescent="0.25">
      <c r="A7718" t="s">
        <v>285</v>
      </c>
      <c r="B7718" t="s">
        <v>1906</v>
      </c>
      <c r="C7718" t="s">
        <v>88</v>
      </c>
      <c r="D7718" t="s">
        <v>88</v>
      </c>
      <c r="E7718" t="s">
        <v>702</v>
      </c>
      <c r="F7718" t="s">
        <v>88</v>
      </c>
      <c r="G7718" t="s">
        <v>88</v>
      </c>
      <c r="H7718" t="s">
        <v>92</v>
      </c>
    </row>
    <row r="7719" spans="1:8" x14ac:dyDescent="0.25">
      <c r="A7719" t="s">
        <v>285</v>
      </c>
      <c r="B7719" t="s">
        <v>982</v>
      </c>
      <c r="C7719" t="s">
        <v>88</v>
      </c>
      <c r="D7719" t="s">
        <v>88</v>
      </c>
      <c r="E7719" t="s">
        <v>702</v>
      </c>
      <c r="F7719" t="s">
        <v>88</v>
      </c>
      <c r="G7719" t="s">
        <v>88</v>
      </c>
      <c r="H7719" t="s">
        <v>92</v>
      </c>
    </row>
    <row r="7720" spans="1:8" x14ac:dyDescent="0.25">
      <c r="A7720" t="s">
        <v>285</v>
      </c>
      <c r="B7720" t="s">
        <v>852</v>
      </c>
      <c r="C7720" t="s">
        <v>88</v>
      </c>
      <c r="D7720" t="s">
        <v>88</v>
      </c>
      <c r="E7720" t="s">
        <v>6650</v>
      </c>
      <c r="F7720" t="s">
        <v>88</v>
      </c>
      <c r="G7720" t="s">
        <v>88</v>
      </c>
      <c r="H7720" t="s">
        <v>92</v>
      </c>
    </row>
    <row r="7721" spans="1:8" x14ac:dyDescent="0.25">
      <c r="A7721" t="s">
        <v>285</v>
      </c>
      <c r="B7721" t="s">
        <v>6646</v>
      </c>
      <c r="C7721" t="s">
        <v>88</v>
      </c>
      <c r="D7721" t="s">
        <v>6647</v>
      </c>
      <c r="E7721" t="s">
        <v>676</v>
      </c>
      <c r="F7721" t="s">
        <v>88</v>
      </c>
      <c r="G7721" t="s">
        <v>88</v>
      </c>
      <c r="H7721" t="s">
        <v>92</v>
      </c>
    </row>
    <row r="7722" spans="1:8" x14ac:dyDescent="0.25">
      <c r="A7722" t="s">
        <v>285</v>
      </c>
      <c r="B7722" t="s">
        <v>1237</v>
      </c>
      <c r="C7722" t="s">
        <v>88</v>
      </c>
      <c r="D7722" t="s">
        <v>6647</v>
      </c>
      <c r="E7722" t="s">
        <v>964</v>
      </c>
      <c r="F7722" t="s">
        <v>88</v>
      </c>
      <c r="G7722" t="s">
        <v>88</v>
      </c>
      <c r="H7722" t="s">
        <v>92</v>
      </c>
    </row>
    <row r="7723" spans="1:8" x14ac:dyDescent="0.25">
      <c r="A7723" t="s">
        <v>285</v>
      </c>
      <c r="B7723" t="s">
        <v>6649</v>
      </c>
      <c r="C7723" t="s">
        <v>88</v>
      </c>
      <c r="D7723" t="s">
        <v>6647</v>
      </c>
      <c r="E7723" t="s">
        <v>676</v>
      </c>
      <c r="F7723" t="s">
        <v>88</v>
      </c>
      <c r="G7723" t="s">
        <v>88</v>
      </c>
      <c r="H7723" t="s">
        <v>92</v>
      </c>
    </row>
    <row r="7724" spans="1:8" x14ac:dyDescent="0.25">
      <c r="A7724" t="s">
        <v>285</v>
      </c>
      <c r="B7724" t="s">
        <v>625</v>
      </c>
      <c r="C7724" t="s">
        <v>88</v>
      </c>
      <c r="D7724" t="s">
        <v>88</v>
      </c>
      <c r="E7724" t="s">
        <v>626</v>
      </c>
      <c r="F7724" t="s">
        <v>88</v>
      </c>
      <c r="G7724" t="s">
        <v>88</v>
      </c>
      <c r="H7724" t="s">
        <v>92</v>
      </c>
    </row>
    <row r="7725" spans="1:8" x14ac:dyDescent="0.25">
      <c r="A7725" t="s">
        <v>286</v>
      </c>
      <c r="B7725" t="s">
        <v>6651</v>
      </c>
      <c r="C7725" t="s">
        <v>88</v>
      </c>
      <c r="D7725" t="s">
        <v>88</v>
      </c>
      <c r="E7725" t="s">
        <v>893</v>
      </c>
      <c r="F7725" t="s">
        <v>88</v>
      </c>
      <c r="G7725" t="s">
        <v>88</v>
      </c>
      <c r="H7725" t="s">
        <v>92</v>
      </c>
    </row>
    <row r="7726" spans="1:8" x14ac:dyDescent="0.25">
      <c r="A7726" t="s">
        <v>286</v>
      </c>
      <c r="B7726" t="s">
        <v>6652</v>
      </c>
      <c r="C7726" t="s">
        <v>88</v>
      </c>
      <c r="D7726" t="s">
        <v>88</v>
      </c>
      <c r="E7726" t="s">
        <v>679</v>
      </c>
      <c r="F7726" t="s">
        <v>88</v>
      </c>
      <c r="G7726" t="s">
        <v>88</v>
      </c>
      <c r="H7726" t="s">
        <v>92</v>
      </c>
    </row>
    <row r="7727" spans="1:8" x14ac:dyDescent="0.25">
      <c r="A7727" t="s">
        <v>286</v>
      </c>
      <c r="B7727" t="s">
        <v>6653</v>
      </c>
      <c r="C7727" t="s">
        <v>88</v>
      </c>
      <c r="D7727" t="s">
        <v>88</v>
      </c>
      <c r="E7727" t="s">
        <v>717</v>
      </c>
      <c r="F7727" t="s">
        <v>88</v>
      </c>
      <c r="G7727" t="s">
        <v>88</v>
      </c>
      <c r="H7727" t="s">
        <v>92</v>
      </c>
    </row>
    <row r="7728" spans="1:8" x14ac:dyDescent="0.25">
      <c r="A7728" t="s">
        <v>286</v>
      </c>
      <c r="B7728" t="s">
        <v>4793</v>
      </c>
      <c r="C7728" t="s">
        <v>88</v>
      </c>
      <c r="D7728" t="s">
        <v>88</v>
      </c>
      <c r="E7728" t="s">
        <v>917</v>
      </c>
      <c r="F7728" t="s">
        <v>88</v>
      </c>
      <c r="G7728" t="s">
        <v>88</v>
      </c>
      <c r="H7728" t="s">
        <v>92</v>
      </c>
    </row>
    <row r="7729" spans="1:8" x14ac:dyDescent="0.25">
      <c r="A7729" t="s">
        <v>286</v>
      </c>
      <c r="B7729" t="s">
        <v>6654</v>
      </c>
      <c r="C7729" t="s">
        <v>88</v>
      </c>
      <c r="D7729" t="s">
        <v>88</v>
      </c>
      <c r="E7729" t="s">
        <v>655</v>
      </c>
      <c r="F7729" t="s">
        <v>88</v>
      </c>
      <c r="G7729" t="s">
        <v>88</v>
      </c>
      <c r="H7729" t="s">
        <v>92</v>
      </c>
    </row>
    <row r="7730" spans="1:8" x14ac:dyDescent="0.25">
      <c r="A7730" t="s">
        <v>286</v>
      </c>
      <c r="B7730" t="s">
        <v>6655</v>
      </c>
      <c r="C7730" t="s">
        <v>88</v>
      </c>
      <c r="D7730" t="s">
        <v>6656</v>
      </c>
      <c r="E7730" t="s">
        <v>692</v>
      </c>
      <c r="F7730" t="s">
        <v>88</v>
      </c>
      <c r="G7730" t="s">
        <v>88</v>
      </c>
      <c r="H7730" t="s">
        <v>92</v>
      </c>
    </row>
    <row r="7731" spans="1:8" x14ac:dyDescent="0.25">
      <c r="A7731" t="s">
        <v>286</v>
      </c>
      <c r="B7731" t="s">
        <v>6657</v>
      </c>
      <c r="C7731" t="s">
        <v>88</v>
      </c>
      <c r="D7731" t="s">
        <v>6658</v>
      </c>
      <c r="E7731" t="s">
        <v>6659</v>
      </c>
      <c r="F7731" t="s">
        <v>88</v>
      </c>
      <c r="G7731" t="s">
        <v>88</v>
      </c>
      <c r="H7731" t="s">
        <v>92</v>
      </c>
    </row>
    <row r="7732" spans="1:8" x14ac:dyDescent="0.25">
      <c r="A7732" t="s">
        <v>286</v>
      </c>
      <c r="B7732" t="s">
        <v>6660</v>
      </c>
      <c r="C7732" t="s">
        <v>88</v>
      </c>
      <c r="D7732" t="s">
        <v>6661</v>
      </c>
      <c r="E7732" t="s">
        <v>2470</v>
      </c>
      <c r="F7732" t="s">
        <v>88</v>
      </c>
      <c r="G7732" t="s">
        <v>88</v>
      </c>
      <c r="H7732" t="s">
        <v>92</v>
      </c>
    </row>
    <row r="7733" spans="1:8" x14ac:dyDescent="0.25">
      <c r="A7733" t="s">
        <v>286</v>
      </c>
      <c r="B7733" t="s">
        <v>6662</v>
      </c>
      <c r="C7733" t="s">
        <v>88</v>
      </c>
      <c r="D7733" t="s">
        <v>6663</v>
      </c>
      <c r="E7733" t="s">
        <v>5524</v>
      </c>
      <c r="F7733" t="s">
        <v>88</v>
      </c>
      <c r="G7733" t="s">
        <v>88</v>
      </c>
      <c r="H7733" t="s">
        <v>92</v>
      </c>
    </row>
    <row r="7734" spans="1:8" x14ac:dyDescent="0.25">
      <c r="A7734" t="s">
        <v>286</v>
      </c>
      <c r="B7734" t="s">
        <v>6664</v>
      </c>
      <c r="C7734" t="s">
        <v>88</v>
      </c>
      <c r="D7734" t="s">
        <v>6665</v>
      </c>
      <c r="E7734" t="s">
        <v>3598</v>
      </c>
      <c r="F7734" t="s">
        <v>88</v>
      </c>
      <c r="G7734" t="s">
        <v>88</v>
      </c>
      <c r="H7734" t="s">
        <v>92</v>
      </c>
    </row>
    <row r="7735" spans="1:8" x14ac:dyDescent="0.25">
      <c r="A7735" t="s">
        <v>286</v>
      </c>
      <c r="B7735" t="s">
        <v>6666</v>
      </c>
      <c r="C7735" t="s">
        <v>88</v>
      </c>
      <c r="D7735" t="s">
        <v>6667</v>
      </c>
      <c r="E7735" t="s">
        <v>4397</v>
      </c>
      <c r="F7735" t="s">
        <v>88</v>
      </c>
      <c r="G7735" t="s">
        <v>88</v>
      </c>
      <c r="H7735" t="s">
        <v>92</v>
      </c>
    </row>
    <row r="7736" spans="1:8" x14ac:dyDescent="0.25">
      <c r="A7736" t="s">
        <v>286</v>
      </c>
      <c r="B7736" t="s">
        <v>6668</v>
      </c>
      <c r="C7736" t="s">
        <v>88</v>
      </c>
      <c r="D7736" t="s">
        <v>6669</v>
      </c>
      <c r="E7736" t="s">
        <v>1153</v>
      </c>
      <c r="F7736" t="s">
        <v>88</v>
      </c>
      <c r="G7736" t="s">
        <v>88</v>
      </c>
      <c r="H7736" t="s">
        <v>92</v>
      </c>
    </row>
    <row r="7737" spans="1:8" x14ac:dyDescent="0.25">
      <c r="A7737" t="s">
        <v>286</v>
      </c>
      <c r="B7737" t="s">
        <v>6670</v>
      </c>
      <c r="C7737" t="s">
        <v>88</v>
      </c>
      <c r="D7737" t="s">
        <v>88</v>
      </c>
      <c r="E7737" t="s">
        <v>700</v>
      </c>
      <c r="F7737" t="s">
        <v>88</v>
      </c>
      <c r="G7737" t="s">
        <v>88</v>
      </c>
      <c r="H7737" t="s">
        <v>92</v>
      </c>
    </row>
    <row r="7738" spans="1:8" x14ac:dyDescent="0.25">
      <c r="A7738" t="s">
        <v>286</v>
      </c>
      <c r="B7738" t="s">
        <v>6671</v>
      </c>
      <c r="C7738" t="s">
        <v>88</v>
      </c>
      <c r="D7738" t="s">
        <v>88</v>
      </c>
      <c r="E7738" t="s">
        <v>721</v>
      </c>
      <c r="F7738" t="s">
        <v>88</v>
      </c>
      <c r="G7738" t="s">
        <v>88</v>
      </c>
      <c r="H7738" t="s">
        <v>92</v>
      </c>
    </row>
    <row r="7739" spans="1:8" x14ac:dyDescent="0.25">
      <c r="A7739" t="s">
        <v>286</v>
      </c>
      <c r="B7739" t="s">
        <v>6653</v>
      </c>
      <c r="C7739" t="s">
        <v>88</v>
      </c>
      <c r="D7739" t="s">
        <v>88</v>
      </c>
      <c r="E7739" t="s">
        <v>717</v>
      </c>
      <c r="F7739" t="s">
        <v>88</v>
      </c>
      <c r="G7739" t="s">
        <v>88</v>
      </c>
      <c r="H7739" t="s">
        <v>92</v>
      </c>
    </row>
    <row r="7740" spans="1:8" x14ac:dyDescent="0.25">
      <c r="A7740" t="s">
        <v>286</v>
      </c>
      <c r="B7740" t="s">
        <v>6672</v>
      </c>
      <c r="C7740" t="s">
        <v>88</v>
      </c>
      <c r="D7740" t="s">
        <v>88</v>
      </c>
      <c r="E7740" t="s">
        <v>655</v>
      </c>
      <c r="F7740" t="s">
        <v>88</v>
      </c>
      <c r="G7740" t="s">
        <v>88</v>
      </c>
      <c r="H7740" t="s">
        <v>92</v>
      </c>
    </row>
    <row r="7741" spans="1:8" x14ac:dyDescent="0.25">
      <c r="A7741" t="s">
        <v>286</v>
      </c>
      <c r="B7741" t="s">
        <v>6654</v>
      </c>
      <c r="C7741" t="s">
        <v>88</v>
      </c>
      <c r="D7741" t="s">
        <v>88</v>
      </c>
      <c r="E7741" t="s">
        <v>655</v>
      </c>
      <c r="F7741" t="s">
        <v>88</v>
      </c>
      <c r="G7741" t="s">
        <v>88</v>
      </c>
      <c r="H7741" t="s">
        <v>92</v>
      </c>
    </row>
    <row r="7742" spans="1:8" x14ac:dyDescent="0.25">
      <c r="A7742" t="s">
        <v>286</v>
      </c>
      <c r="B7742" t="s">
        <v>6673</v>
      </c>
      <c r="C7742" t="s">
        <v>88</v>
      </c>
      <c r="D7742" t="s">
        <v>88</v>
      </c>
      <c r="E7742" t="s">
        <v>679</v>
      </c>
      <c r="F7742" t="s">
        <v>88</v>
      </c>
      <c r="G7742" t="s">
        <v>88</v>
      </c>
      <c r="H7742" t="s">
        <v>92</v>
      </c>
    </row>
    <row r="7743" spans="1:8" x14ac:dyDescent="0.25">
      <c r="A7743" t="s">
        <v>286</v>
      </c>
      <c r="B7743" t="s">
        <v>6674</v>
      </c>
      <c r="C7743" t="s">
        <v>88</v>
      </c>
      <c r="D7743" t="s">
        <v>88</v>
      </c>
      <c r="E7743" t="s">
        <v>762</v>
      </c>
      <c r="F7743" t="s">
        <v>88</v>
      </c>
      <c r="G7743" t="s">
        <v>88</v>
      </c>
      <c r="H7743" t="s">
        <v>92</v>
      </c>
    </row>
    <row r="7744" spans="1:8" x14ac:dyDescent="0.25">
      <c r="A7744" t="s">
        <v>286</v>
      </c>
      <c r="B7744" t="s">
        <v>6652</v>
      </c>
      <c r="C7744" t="s">
        <v>88</v>
      </c>
      <c r="D7744" t="s">
        <v>88</v>
      </c>
      <c r="E7744" t="s">
        <v>679</v>
      </c>
      <c r="F7744" t="s">
        <v>88</v>
      </c>
      <c r="G7744" t="s">
        <v>88</v>
      </c>
      <c r="H7744" t="s">
        <v>92</v>
      </c>
    </row>
    <row r="7745" spans="1:8" x14ac:dyDescent="0.25">
      <c r="A7745" t="s">
        <v>286</v>
      </c>
      <c r="B7745" t="s">
        <v>6675</v>
      </c>
      <c r="C7745" t="s">
        <v>88</v>
      </c>
      <c r="D7745" t="s">
        <v>88</v>
      </c>
      <c r="E7745" t="s">
        <v>655</v>
      </c>
      <c r="F7745" t="s">
        <v>88</v>
      </c>
      <c r="G7745" t="s">
        <v>88</v>
      </c>
      <c r="H7745" t="s">
        <v>92</v>
      </c>
    </row>
    <row r="7746" spans="1:8" x14ac:dyDescent="0.25">
      <c r="A7746" t="s">
        <v>286</v>
      </c>
      <c r="B7746" t="s">
        <v>6676</v>
      </c>
      <c r="C7746" t="s">
        <v>88</v>
      </c>
      <c r="D7746" t="s">
        <v>88</v>
      </c>
      <c r="E7746" t="s">
        <v>937</v>
      </c>
      <c r="F7746" t="s">
        <v>88</v>
      </c>
      <c r="G7746" t="s">
        <v>88</v>
      </c>
      <c r="H7746" t="s">
        <v>92</v>
      </c>
    </row>
    <row r="7747" spans="1:8" x14ac:dyDescent="0.25">
      <c r="A7747" t="s">
        <v>286</v>
      </c>
      <c r="B7747" t="s">
        <v>6677</v>
      </c>
      <c r="C7747" t="s">
        <v>88</v>
      </c>
      <c r="D7747" t="s">
        <v>88</v>
      </c>
      <c r="E7747" t="s">
        <v>717</v>
      </c>
      <c r="F7747" t="s">
        <v>88</v>
      </c>
      <c r="G7747" t="s">
        <v>88</v>
      </c>
      <c r="H7747" t="s">
        <v>92</v>
      </c>
    </row>
    <row r="7748" spans="1:8" x14ac:dyDescent="0.25">
      <c r="A7748" t="s">
        <v>286</v>
      </c>
      <c r="B7748" t="s">
        <v>6678</v>
      </c>
      <c r="C7748" t="s">
        <v>88</v>
      </c>
      <c r="D7748" t="s">
        <v>88</v>
      </c>
      <c r="E7748" t="s">
        <v>2464</v>
      </c>
      <c r="F7748" t="s">
        <v>88</v>
      </c>
      <c r="G7748" t="s">
        <v>88</v>
      </c>
      <c r="H7748" t="s">
        <v>92</v>
      </c>
    </row>
    <row r="7749" spans="1:8" x14ac:dyDescent="0.25">
      <c r="A7749" t="s">
        <v>286</v>
      </c>
      <c r="B7749" t="s">
        <v>2328</v>
      </c>
      <c r="C7749" t="s">
        <v>88</v>
      </c>
      <c r="D7749" t="s">
        <v>88</v>
      </c>
      <c r="E7749" t="s">
        <v>2464</v>
      </c>
      <c r="F7749" t="s">
        <v>88</v>
      </c>
      <c r="G7749" t="s">
        <v>88</v>
      </c>
      <c r="H7749" t="s">
        <v>92</v>
      </c>
    </row>
    <row r="7750" spans="1:8" x14ac:dyDescent="0.25">
      <c r="A7750" t="s">
        <v>286</v>
      </c>
      <c r="B7750" t="s">
        <v>6679</v>
      </c>
      <c r="C7750" t="s">
        <v>88</v>
      </c>
      <c r="D7750" t="s">
        <v>88</v>
      </c>
      <c r="E7750" t="s">
        <v>4495</v>
      </c>
      <c r="F7750" t="s">
        <v>88</v>
      </c>
      <c r="G7750" t="s">
        <v>88</v>
      </c>
      <c r="H7750" t="s">
        <v>92</v>
      </c>
    </row>
    <row r="7751" spans="1:8" x14ac:dyDescent="0.25">
      <c r="A7751" t="s">
        <v>286</v>
      </c>
      <c r="B7751" t="s">
        <v>6680</v>
      </c>
      <c r="C7751" t="s">
        <v>88</v>
      </c>
      <c r="D7751" t="s">
        <v>88</v>
      </c>
      <c r="E7751" t="s">
        <v>2833</v>
      </c>
      <c r="F7751" t="s">
        <v>88</v>
      </c>
      <c r="G7751" t="s">
        <v>88</v>
      </c>
      <c r="H7751" t="s">
        <v>92</v>
      </c>
    </row>
    <row r="7752" spans="1:8" x14ac:dyDescent="0.25">
      <c r="A7752" t="s">
        <v>286</v>
      </c>
      <c r="B7752" t="s">
        <v>6681</v>
      </c>
      <c r="C7752" t="s">
        <v>88</v>
      </c>
      <c r="D7752" t="s">
        <v>88</v>
      </c>
      <c r="E7752" t="s">
        <v>6682</v>
      </c>
      <c r="F7752" t="s">
        <v>88</v>
      </c>
      <c r="G7752" t="s">
        <v>88</v>
      </c>
      <c r="H7752" t="s">
        <v>92</v>
      </c>
    </row>
    <row r="7753" spans="1:8" x14ac:dyDescent="0.25">
      <c r="A7753" t="s">
        <v>286</v>
      </c>
      <c r="B7753" t="s">
        <v>6683</v>
      </c>
      <c r="C7753" t="s">
        <v>88</v>
      </c>
      <c r="D7753" t="s">
        <v>88</v>
      </c>
      <c r="E7753" t="s">
        <v>1282</v>
      </c>
      <c r="F7753" t="s">
        <v>88</v>
      </c>
      <c r="G7753" t="s">
        <v>88</v>
      </c>
      <c r="H7753" t="s">
        <v>92</v>
      </c>
    </row>
    <row r="7754" spans="1:8" x14ac:dyDescent="0.25">
      <c r="A7754" t="s">
        <v>286</v>
      </c>
      <c r="B7754" t="s">
        <v>6684</v>
      </c>
      <c r="C7754" t="s">
        <v>88</v>
      </c>
      <c r="D7754" t="s">
        <v>88</v>
      </c>
      <c r="E7754" t="s">
        <v>1015</v>
      </c>
      <c r="F7754" t="s">
        <v>88</v>
      </c>
      <c r="G7754" t="s">
        <v>88</v>
      </c>
      <c r="H7754" t="s">
        <v>92</v>
      </c>
    </row>
    <row r="7755" spans="1:8" x14ac:dyDescent="0.25">
      <c r="A7755" t="s">
        <v>286</v>
      </c>
      <c r="B7755" t="s">
        <v>6685</v>
      </c>
      <c r="C7755" t="s">
        <v>88</v>
      </c>
      <c r="D7755" t="s">
        <v>88</v>
      </c>
      <c r="E7755" t="s">
        <v>917</v>
      </c>
      <c r="F7755" t="s">
        <v>88</v>
      </c>
      <c r="G7755" t="s">
        <v>88</v>
      </c>
      <c r="H7755" t="s">
        <v>92</v>
      </c>
    </row>
    <row r="7756" spans="1:8" x14ac:dyDescent="0.25">
      <c r="A7756" t="s">
        <v>286</v>
      </c>
      <c r="B7756" t="s">
        <v>6686</v>
      </c>
      <c r="C7756" t="s">
        <v>88</v>
      </c>
      <c r="D7756" t="s">
        <v>88</v>
      </c>
      <c r="E7756" t="s">
        <v>893</v>
      </c>
      <c r="F7756" t="s">
        <v>88</v>
      </c>
      <c r="G7756" t="s">
        <v>88</v>
      </c>
      <c r="H7756" t="s">
        <v>92</v>
      </c>
    </row>
    <row r="7757" spans="1:8" x14ac:dyDescent="0.25">
      <c r="A7757" t="s">
        <v>286</v>
      </c>
      <c r="B7757" t="s">
        <v>6687</v>
      </c>
      <c r="C7757" t="s">
        <v>88</v>
      </c>
      <c r="D7757" t="s">
        <v>88</v>
      </c>
      <c r="E7757" t="s">
        <v>5843</v>
      </c>
      <c r="F7757" t="s">
        <v>88</v>
      </c>
      <c r="G7757" t="s">
        <v>88</v>
      </c>
      <c r="H7757" t="s">
        <v>92</v>
      </c>
    </row>
    <row r="7758" spans="1:8" x14ac:dyDescent="0.25">
      <c r="A7758" t="s">
        <v>286</v>
      </c>
      <c r="B7758" t="s">
        <v>6688</v>
      </c>
      <c r="C7758" t="s">
        <v>88</v>
      </c>
      <c r="D7758" t="s">
        <v>88</v>
      </c>
      <c r="E7758" t="s">
        <v>902</v>
      </c>
      <c r="F7758" t="s">
        <v>88</v>
      </c>
      <c r="G7758" t="s">
        <v>88</v>
      </c>
      <c r="H7758" t="s">
        <v>92</v>
      </c>
    </row>
    <row r="7759" spans="1:8" x14ac:dyDescent="0.25">
      <c r="A7759" t="s">
        <v>286</v>
      </c>
      <c r="B7759" t="s">
        <v>6689</v>
      </c>
      <c r="C7759" t="s">
        <v>88</v>
      </c>
      <c r="D7759" t="s">
        <v>88</v>
      </c>
      <c r="E7759" t="s">
        <v>6682</v>
      </c>
      <c r="F7759" t="s">
        <v>88</v>
      </c>
      <c r="G7759" t="s">
        <v>88</v>
      </c>
      <c r="H7759" t="s">
        <v>92</v>
      </c>
    </row>
    <row r="7760" spans="1:8" x14ac:dyDescent="0.25">
      <c r="A7760" t="s">
        <v>286</v>
      </c>
      <c r="B7760" t="s">
        <v>6690</v>
      </c>
      <c r="C7760" t="s">
        <v>88</v>
      </c>
      <c r="D7760" t="s">
        <v>88</v>
      </c>
      <c r="E7760" t="s">
        <v>6691</v>
      </c>
      <c r="F7760" t="s">
        <v>88</v>
      </c>
      <c r="G7760" t="s">
        <v>88</v>
      </c>
      <c r="H7760" t="s">
        <v>92</v>
      </c>
    </row>
    <row r="7761" spans="1:8" x14ac:dyDescent="0.25">
      <c r="A7761" t="s">
        <v>286</v>
      </c>
      <c r="B7761" t="s">
        <v>6692</v>
      </c>
      <c r="C7761" t="s">
        <v>88</v>
      </c>
      <c r="D7761" t="s">
        <v>88</v>
      </c>
      <c r="E7761" t="s">
        <v>4495</v>
      </c>
      <c r="F7761" t="s">
        <v>88</v>
      </c>
      <c r="G7761" t="s">
        <v>88</v>
      </c>
      <c r="H7761" t="s">
        <v>92</v>
      </c>
    </row>
    <row r="7762" spans="1:8" x14ac:dyDescent="0.25">
      <c r="A7762" t="s">
        <v>286</v>
      </c>
      <c r="B7762" t="s">
        <v>6693</v>
      </c>
      <c r="C7762" t="s">
        <v>88</v>
      </c>
      <c r="D7762" t="s">
        <v>88</v>
      </c>
      <c r="E7762" t="s">
        <v>1015</v>
      </c>
      <c r="F7762" t="s">
        <v>88</v>
      </c>
      <c r="G7762" t="s">
        <v>88</v>
      </c>
      <c r="H7762" t="s">
        <v>92</v>
      </c>
    </row>
    <row r="7763" spans="1:8" x14ac:dyDescent="0.25">
      <c r="A7763" t="s">
        <v>286</v>
      </c>
      <c r="B7763" t="s">
        <v>6694</v>
      </c>
      <c r="C7763" t="s">
        <v>88</v>
      </c>
      <c r="D7763" t="s">
        <v>88</v>
      </c>
      <c r="E7763" t="s">
        <v>1015</v>
      </c>
      <c r="F7763" t="s">
        <v>88</v>
      </c>
      <c r="G7763" t="s">
        <v>88</v>
      </c>
      <c r="H7763" t="s">
        <v>92</v>
      </c>
    </row>
    <row r="7764" spans="1:8" x14ac:dyDescent="0.25">
      <c r="A7764" t="s">
        <v>286</v>
      </c>
      <c r="B7764" t="s">
        <v>6695</v>
      </c>
      <c r="C7764" t="s">
        <v>88</v>
      </c>
      <c r="D7764" t="s">
        <v>88</v>
      </c>
      <c r="E7764" t="s">
        <v>1241</v>
      </c>
      <c r="F7764" t="s">
        <v>88</v>
      </c>
      <c r="G7764" t="s">
        <v>88</v>
      </c>
      <c r="H7764" t="s">
        <v>92</v>
      </c>
    </row>
    <row r="7765" spans="1:8" x14ac:dyDescent="0.25">
      <c r="A7765" t="s">
        <v>286</v>
      </c>
      <c r="B7765" t="s">
        <v>4793</v>
      </c>
      <c r="C7765" t="s">
        <v>88</v>
      </c>
      <c r="D7765" t="s">
        <v>88</v>
      </c>
      <c r="E7765" t="s">
        <v>917</v>
      </c>
      <c r="F7765" t="s">
        <v>88</v>
      </c>
      <c r="G7765" t="s">
        <v>88</v>
      </c>
      <c r="H7765" t="s">
        <v>92</v>
      </c>
    </row>
    <row r="7766" spans="1:8" x14ac:dyDescent="0.25">
      <c r="A7766" t="s">
        <v>286</v>
      </c>
      <c r="B7766" t="s">
        <v>6696</v>
      </c>
      <c r="C7766" t="s">
        <v>88</v>
      </c>
      <c r="D7766" t="s">
        <v>88</v>
      </c>
      <c r="E7766" t="s">
        <v>803</v>
      </c>
      <c r="F7766" t="s">
        <v>88</v>
      </c>
      <c r="G7766" t="s">
        <v>88</v>
      </c>
      <c r="H7766" t="s">
        <v>92</v>
      </c>
    </row>
    <row r="7767" spans="1:8" x14ac:dyDescent="0.25">
      <c r="A7767" t="s">
        <v>286</v>
      </c>
      <c r="B7767" t="s">
        <v>6697</v>
      </c>
      <c r="C7767" t="s">
        <v>88</v>
      </c>
      <c r="D7767" t="s">
        <v>6698</v>
      </c>
      <c r="E7767" t="s">
        <v>6699</v>
      </c>
      <c r="F7767" t="s">
        <v>88</v>
      </c>
      <c r="G7767" t="s">
        <v>88</v>
      </c>
      <c r="H7767" t="s">
        <v>92</v>
      </c>
    </row>
    <row r="7768" spans="1:8" x14ac:dyDescent="0.25">
      <c r="A7768" t="s">
        <v>286</v>
      </c>
      <c r="B7768" t="s">
        <v>6700</v>
      </c>
      <c r="C7768" t="s">
        <v>88</v>
      </c>
      <c r="D7768" t="s">
        <v>6701</v>
      </c>
      <c r="E7768" t="s">
        <v>6702</v>
      </c>
      <c r="F7768" t="s">
        <v>88</v>
      </c>
      <c r="G7768" t="s">
        <v>88</v>
      </c>
      <c r="H7768" t="s">
        <v>92</v>
      </c>
    </row>
    <row r="7769" spans="1:8" x14ac:dyDescent="0.25">
      <c r="A7769" t="s">
        <v>286</v>
      </c>
      <c r="B7769" t="s">
        <v>6651</v>
      </c>
      <c r="C7769" t="s">
        <v>88</v>
      </c>
      <c r="D7769" t="s">
        <v>88</v>
      </c>
      <c r="E7769" t="s">
        <v>893</v>
      </c>
      <c r="F7769" t="s">
        <v>88</v>
      </c>
      <c r="G7769" t="s">
        <v>88</v>
      </c>
      <c r="H7769" t="s">
        <v>92</v>
      </c>
    </row>
    <row r="7770" spans="1:8" x14ac:dyDescent="0.25">
      <c r="A7770" t="s">
        <v>286</v>
      </c>
      <c r="B7770" t="s">
        <v>6703</v>
      </c>
      <c r="C7770" t="s">
        <v>88</v>
      </c>
      <c r="D7770" t="s">
        <v>88</v>
      </c>
      <c r="E7770" t="s">
        <v>1171</v>
      </c>
      <c r="F7770" t="s">
        <v>88</v>
      </c>
      <c r="G7770" t="s">
        <v>88</v>
      </c>
      <c r="H7770" t="s">
        <v>92</v>
      </c>
    </row>
    <row r="7771" spans="1:8" x14ac:dyDescent="0.25">
      <c r="A7771" t="s">
        <v>286</v>
      </c>
      <c r="B7771" t="s">
        <v>6704</v>
      </c>
      <c r="C7771" t="s">
        <v>88</v>
      </c>
      <c r="D7771" t="s">
        <v>6698</v>
      </c>
      <c r="E7771" t="s">
        <v>6705</v>
      </c>
      <c r="F7771" t="s">
        <v>88</v>
      </c>
      <c r="G7771" t="s">
        <v>88</v>
      </c>
      <c r="H7771" t="s">
        <v>92</v>
      </c>
    </row>
    <row r="7772" spans="1:8" x14ac:dyDescent="0.25">
      <c r="A7772" t="s">
        <v>286</v>
      </c>
      <c r="B7772" t="s">
        <v>6706</v>
      </c>
      <c r="C7772" t="s">
        <v>88</v>
      </c>
      <c r="D7772" t="s">
        <v>88</v>
      </c>
      <c r="E7772" t="s">
        <v>4495</v>
      </c>
      <c r="F7772" t="s">
        <v>88</v>
      </c>
      <c r="G7772" t="s">
        <v>88</v>
      </c>
      <c r="H7772" t="s">
        <v>92</v>
      </c>
    </row>
    <row r="7773" spans="1:8" x14ac:dyDescent="0.25">
      <c r="A7773" t="s">
        <v>286</v>
      </c>
      <c r="B7773" t="s">
        <v>6707</v>
      </c>
      <c r="C7773" t="s">
        <v>88</v>
      </c>
      <c r="D7773" t="s">
        <v>88</v>
      </c>
      <c r="E7773" t="s">
        <v>1015</v>
      </c>
      <c r="F7773" t="s">
        <v>88</v>
      </c>
      <c r="G7773" t="s">
        <v>88</v>
      </c>
      <c r="H7773" t="s">
        <v>92</v>
      </c>
    </row>
    <row r="7774" spans="1:8" x14ac:dyDescent="0.25">
      <c r="A7774" t="s">
        <v>286</v>
      </c>
      <c r="B7774" t="s">
        <v>6708</v>
      </c>
      <c r="C7774" t="s">
        <v>88</v>
      </c>
      <c r="D7774" t="s">
        <v>88</v>
      </c>
      <c r="E7774" t="s">
        <v>666</v>
      </c>
      <c r="F7774" t="s">
        <v>88</v>
      </c>
      <c r="G7774" t="s">
        <v>88</v>
      </c>
      <c r="H7774" t="s">
        <v>92</v>
      </c>
    </row>
    <row r="7775" spans="1:8" x14ac:dyDescent="0.25">
      <c r="A7775" t="s">
        <v>286</v>
      </c>
      <c r="B7775" t="s">
        <v>6709</v>
      </c>
      <c r="C7775" t="s">
        <v>88</v>
      </c>
      <c r="D7775" t="s">
        <v>88</v>
      </c>
      <c r="E7775" t="s">
        <v>791</v>
      </c>
      <c r="F7775" t="s">
        <v>88</v>
      </c>
      <c r="G7775" t="s">
        <v>88</v>
      </c>
      <c r="H7775" t="s">
        <v>92</v>
      </c>
    </row>
    <row r="7776" spans="1:8" x14ac:dyDescent="0.25">
      <c r="A7776" t="s">
        <v>286</v>
      </c>
      <c r="B7776" t="s">
        <v>6710</v>
      </c>
      <c r="C7776" t="s">
        <v>88</v>
      </c>
      <c r="D7776" t="s">
        <v>88</v>
      </c>
      <c r="E7776" t="s">
        <v>679</v>
      </c>
      <c r="F7776" t="s">
        <v>88</v>
      </c>
      <c r="G7776" t="s">
        <v>88</v>
      </c>
      <c r="H7776" t="s">
        <v>92</v>
      </c>
    </row>
    <row r="7777" spans="1:8" x14ac:dyDescent="0.25">
      <c r="A7777" t="s">
        <v>286</v>
      </c>
      <c r="B7777" t="s">
        <v>6711</v>
      </c>
      <c r="C7777" t="s">
        <v>88</v>
      </c>
      <c r="D7777" t="s">
        <v>88</v>
      </c>
      <c r="E7777" t="s">
        <v>715</v>
      </c>
      <c r="F7777" t="s">
        <v>88</v>
      </c>
      <c r="G7777" t="s">
        <v>88</v>
      </c>
      <c r="H7777" t="s">
        <v>92</v>
      </c>
    </row>
    <row r="7778" spans="1:8" x14ac:dyDescent="0.25">
      <c r="A7778" t="s">
        <v>286</v>
      </c>
      <c r="B7778" t="s">
        <v>6712</v>
      </c>
      <c r="C7778" t="s">
        <v>88</v>
      </c>
      <c r="D7778" t="s">
        <v>88</v>
      </c>
      <c r="E7778" t="s">
        <v>663</v>
      </c>
      <c r="F7778" t="s">
        <v>88</v>
      </c>
      <c r="G7778" t="s">
        <v>88</v>
      </c>
      <c r="H7778" t="s">
        <v>92</v>
      </c>
    </row>
    <row r="7779" spans="1:8" x14ac:dyDescent="0.25">
      <c r="A7779" t="s">
        <v>286</v>
      </c>
      <c r="B7779" t="s">
        <v>6713</v>
      </c>
      <c r="C7779" t="s">
        <v>88</v>
      </c>
      <c r="D7779" t="s">
        <v>88</v>
      </c>
      <c r="E7779" t="s">
        <v>937</v>
      </c>
      <c r="F7779" t="s">
        <v>88</v>
      </c>
      <c r="G7779" t="s">
        <v>88</v>
      </c>
      <c r="H7779" t="s">
        <v>92</v>
      </c>
    </row>
    <row r="7780" spans="1:8" x14ac:dyDescent="0.25">
      <c r="A7780" t="s">
        <v>286</v>
      </c>
      <c r="B7780" t="s">
        <v>6714</v>
      </c>
      <c r="C7780" t="s">
        <v>88</v>
      </c>
      <c r="D7780" t="s">
        <v>88</v>
      </c>
      <c r="E7780" t="s">
        <v>937</v>
      </c>
      <c r="F7780" t="s">
        <v>88</v>
      </c>
      <c r="G7780" t="s">
        <v>88</v>
      </c>
      <c r="H7780" t="s">
        <v>92</v>
      </c>
    </row>
    <row r="7781" spans="1:8" x14ac:dyDescent="0.25">
      <c r="A7781" t="s">
        <v>286</v>
      </c>
      <c r="B7781" t="s">
        <v>6715</v>
      </c>
      <c r="C7781" t="s">
        <v>88</v>
      </c>
      <c r="D7781" t="s">
        <v>88</v>
      </c>
      <c r="E7781" t="s">
        <v>937</v>
      </c>
      <c r="F7781" t="s">
        <v>88</v>
      </c>
      <c r="G7781" t="s">
        <v>88</v>
      </c>
      <c r="H7781" t="s">
        <v>92</v>
      </c>
    </row>
    <row r="7782" spans="1:8" x14ac:dyDescent="0.25">
      <c r="A7782" t="s">
        <v>286</v>
      </c>
      <c r="B7782" t="s">
        <v>6716</v>
      </c>
      <c r="C7782" t="s">
        <v>88</v>
      </c>
      <c r="D7782" t="s">
        <v>88</v>
      </c>
      <c r="E7782" t="s">
        <v>937</v>
      </c>
      <c r="F7782" t="s">
        <v>88</v>
      </c>
      <c r="G7782" t="s">
        <v>88</v>
      </c>
      <c r="H7782" t="s">
        <v>92</v>
      </c>
    </row>
    <row r="7783" spans="1:8" x14ac:dyDescent="0.25">
      <c r="A7783" t="s">
        <v>286</v>
      </c>
      <c r="B7783" t="s">
        <v>701</v>
      </c>
      <c r="C7783" t="s">
        <v>88</v>
      </c>
      <c r="D7783" t="s">
        <v>88</v>
      </c>
      <c r="E7783" t="s">
        <v>1596</v>
      </c>
      <c r="F7783" t="s">
        <v>88</v>
      </c>
      <c r="G7783" t="s">
        <v>88</v>
      </c>
      <c r="H7783" t="s">
        <v>92</v>
      </c>
    </row>
    <row r="7784" spans="1:8" x14ac:dyDescent="0.25">
      <c r="A7784" t="s">
        <v>286</v>
      </c>
      <c r="B7784" t="s">
        <v>704</v>
      </c>
      <c r="C7784" t="s">
        <v>88</v>
      </c>
      <c r="D7784" t="s">
        <v>88</v>
      </c>
      <c r="E7784" t="s">
        <v>1596</v>
      </c>
      <c r="F7784" t="s">
        <v>88</v>
      </c>
      <c r="G7784" t="s">
        <v>88</v>
      </c>
      <c r="H7784" t="s">
        <v>92</v>
      </c>
    </row>
    <row r="7785" spans="1:8" x14ac:dyDescent="0.25">
      <c r="A7785" t="s">
        <v>286</v>
      </c>
      <c r="B7785" t="s">
        <v>705</v>
      </c>
      <c r="C7785" t="s">
        <v>88</v>
      </c>
      <c r="D7785" t="s">
        <v>88</v>
      </c>
      <c r="E7785" t="s">
        <v>1596</v>
      </c>
      <c r="F7785" t="s">
        <v>88</v>
      </c>
      <c r="G7785" t="s">
        <v>88</v>
      </c>
      <c r="H7785" t="s">
        <v>92</v>
      </c>
    </row>
    <row r="7786" spans="1:8" x14ac:dyDescent="0.25">
      <c r="A7786" t="s">
        <v>286</v>
      </c>
      <c r="B7786" t="s">
        <v>706</v>
      </c>
      <c r="C7786" t="s">
        <v>88</v>
      </c>
      <c r="D7786" t="s">
        <v>88</v>
      </c>
      <c r="E7786" t="s">
        <v>1596</v>
      </c>
      <c r="F7786" t="s">
        <v>88</v>
      </c>
      <c r="G7786" t="s">
        <v>88</v>
      </c>
      <c r="H7786" t="s">
        <v>92</v>
      </c>
    </row>
    <row r="7787" spans="1:8" x14ac:dyDescent="0.25">
      <c r="A7787" t="s">
        <v>286</v>
      </c>
      <c r="B7787" t="s">
        <v>707</v>
      </c>
      <c r="C7787" t="s">
        <v>88</v>
      </c>
      <c r="D7787" t="s">
        <v>88</v>
      </c>
      <c r="E7787" t="s">
        <v>1596</v>
      </c>
      <c r="F7787" t="s">
        <v>88</v>
      </c>
      <c r="G7787" t="s">
        <v>88</v>
      </c>
      <c r="H7787" t="s">
        <v>92</v>
      </c>
    </row>
    <row r="7788" spans="1:8" x14ac:dyDescent="0.25">
      <c r="A7788" t="s">
        <v>286</v>
      </c>
      <c r="B7788" t="s">
        <v>708</v>
      </c>
      <c r="C7788" t="s">
        <v>88</v>
      </c>
      <c r="D7788" t="s">
        <v>88</v>
      </c>
      <c r="E7788" t="s">
        <v>1596</v>
      </c>
      <c r="F7788" t="s">
        <v>88</v>
      </c>
      <c r="G7788" t="s">
        <v>88</v>
      </c>
      <c r="H7788" t="s">
        <v>92</v>
      </c>
    </row>
    <row r="7789" spans="1:8" x14ac:dyDescent="0.25">
      <c r="A7789" t="s">
        <v>286</v>
      </c>
      <c r="B7789" t="s">
        <v>618</v>
      </c>
      <c r="C7789" t="s">
        <v>88</v>
      </c>
      <c r="D7789" t="s">
        <v>88</v>
      </c>
      <c r="E7789" t="s">
        <v>709</v>
      </c>
      <c r="F7789" t="s">
        <v>88</v>
      </c>
      <c r="G7789" t="s">
        <v>88</v>
      </c>
      <c r="H7789" t="s">
        <v>92</v>
      </c>
    </row>
    <row r="7790" spans="1:8" x14ac:dyDescent="0.25">
      <c r="A7790" t="s">
        <v>286</v>
      </c>
      <c r="B7790" t="s">
        <v>620</v>
      </c>
      <c r="C7790" t="s">
        <v>88</v>
      </c>
      <c r="D7790" t="s">
        <v>88</v>
      </c>
      <c r="E7790" t="s">
        <v>734</v>
      </c>
      <c r="F7790" t="s">
        <v>88</v>
      </c>
      <c r="G7790" t="s">
        <v>88</v>
      </c>
      <c r="H7790" t="s">
        <v>92</v>
      </c>
    </row>
    <row r="7791" spans="1:8" x14ac:dyDescent="0.25">
      <c r="A7791" t="s">
        <v>286</v>
      </c>
      <c r="B7791" t="s">
        <v>622</v>
      </c>
      <c r="C7791" t="s">
        <v>88</v>
      </c>
      <c r="D7791" t="s">
        <v>88</v>
      </c>
      <c r="E7791" t="s">
        <v>1978</v>
      </c>
      <c r="F7791" t="s">
        <v>88</v>
      </c>
      <c r="G7791" t="s">
        <v>88</v>
      </c>
      <c r="H7791" t="s">
        <v>92</v>
      </c>
    </row>
    <row r="7792" spans="1:8" x14ac:dyDescent="0.25">
      <c r="A7792" t="s">
        <v>286</v>
      </c>
      <c r="B7792" t="s">
        <v>623</v>
      </c>
      <c r="C7792" t="s">
        <v>88</v>
      </c>
      <c r="D7792" t="s">
        <v>88</v>
      </c>
      <c r="E7792" t="s">
        <v>710</v>
      </c>
      <c r="F7792" t="s">
        <v>88</v>
      </c>
      <c r="G7792" t="s">
        <v>88</v>
      </c>
      <c r="H7792" t="s">
        <v>92</v>
      </c>
    </row>
    <row r="7793" spans="1:8" x14ac:dyDescent="0.25">
      <c r="A7793" t="s">
        <v>286</v>
      </c>
      <c r="B7793" t="s">
        <v>1324</v>
      </c>
      <c r="C7793" t="s">
        <v>88</v>
      </c>
      <c r="D7793" t="s">
        <v>88</v>
      </c>
      <c r="E7793" t="s">
        <v>715</v>
      </c>
      <c r="F7793" t="s">
        <v>88</v>
      </c>
      <c r="G7793" t="s">
        <v>88</v>
      </c>
      <c r="H7793" t="s">
        <v>92</v>
      </c>
    </row>
    <row r="7794" spans="1:8" x14ac:dyDescent="0.25">
      <c r="A7794" t="s">
        <v>286</v>
      </c>
      <c r="B7794" t="s">
        <v>714</v>
      </c>
      <c r="C7794" t="s">
        <v>88</v>
      </c>
      <c r="D7794" t="s">
        <v>88</v>
      </c>
      <c r="E7794" t="s">
        <v>1598</v>
      </c>
      <c r="F7794" t="s">
        <v>88</v>
      </c>
      <c r="G7794" t="s">
        <v>88</v>
      </c>
      <c r="H7794" t="s">
        <v>92</v>
      </c>
    </row>
    <row r="7795" spans="1:8" x14ac:dyDescent="0.25">
      <c r="A7795" t="s">
        <v>286</v>
      </c>
      <c r="B7795" t="s">
        <v>3381</v>
      </c>
      <c r="C7795" t="s">
        <v>88</v>
      </c>
      <c r="D7795" t="s">
        <v>88</v>
      </c>
      <c r="E7795" t="s">
        <v>1323</v>
      </c>
      <c r="F7795" t="s">
        <v>88</v>
      </c>
      <c r="G7795" t="s">
        <v>88</v>
      </c>
      <c r="H7795" t="s">
        <v>92</v>
      </c>
    </row>
    <row r="7796" spans="1:8" x14ac:dyDescent="0.25">
      <c r="A7796" t="s">
        <v>286</v>
      </c>
      <c r="B7796" t="s">
        <v>1989</v>
      </c>
      <c r="C7796" t="s">
        <v>88</v>
      </c>
      <c r="D7796" t="s">
        <v>88</v>
      </c>
      <c r="E7796" t="s">
        <v>738</v>
      </c>
      <c r="F7796" t="s">
        <v>88</v>
      </c>
      <c r="G7796" t="s">
        <v>88</v>
      </c>
      <c r="H7796" t="s">
        <v>92</v>
      </c>
    </row>
    <row r="7797" spans="1:8" x14ac:dyDescent="0.25">
      <c r="A7797" t="s">
        <v>286</v>
      </c>
      <c r="B7797" t="s">
        <v>625</v>
      </c>
      <c r="C7797" t="s">
        <v>88</v>
      </c>
      <c r="D7797" t="s">
        <v>88</v>
      </c>
      <c r="E7797" t="s">
        <v>626</v>
      </c>
      <c r="F7797" t="s">
        <v>88</v>
      </c>
      <c r="G7797" t="s">
        <v>88</v>
      </c>
      <c r="H7797" t="s">
        <v>92</v>
      </c>
    </row>
    <row r="7798" spans="1:8" x14ac:dyDescent="0.25">
      <c r="A7798" t="s">
        <v>288</v>
      </c>
      <c r="B7798" t="s">
        <v>6629</v>
      </c>
      <c r="C7798" t="s">
        <v>88</v>
      </c>
      <c r="D7798" t="s">
        <v>6717</v>
      </c>
      <c r="E7798" t="s">
        <v>676</v>
      </c>
      <c r="F7798" t="s">
        <v>88</v>
      </c>
      <c r="G7798" t="s">
        <v>88</v>
      </c>
      <c r="H7798" t="s">
        <v>92</v>
      </c>
    </row>
    <row r="7799" spans="1:8" x14ac:dyDescent="0.25">
      <c r="A7799" t="s">
        <v>288</v>
      </c>
      <c r="B7799" t="s">
        <v>6637</v>
      </c>
      <c r="C7799" t="s">
        <v>88</v>
      </c>
      <c r="D7799" t="s">
        <v>6718</v>
      </c>
      <c r="E7799" t="s">
        <v>700</v>
      </c>
      <c r="F7799" t="s">
        <v>88</v>
      </c>
      <c r="G7799" t="s">
        <v>88</v>
      </c>
      <c r="H7799" t="s">
        <v>92</v>
      </c>
    </row>
    <row r="7800" spans="1:8" x14ac:dyDescent="0.25">
      <c r="A7800" t="s">
        <v>288</v>
      </c>
      <c r="B7800" t="s">
        <v>6719</v>
      </c>
      <c r="C7800" t="s">
        <v>88</v>
      </c>
      <c r="D7800" t="s">
        <v>6720</v>
      </c>
      <c r="E7800" t="s">
        <v>964</v>
      </c>
      <c r="F7800" t="s">
        <v>88</v>
      </c>
      <c r="G7800" t="s">
        <v>88</v>
      </c>
      <c r="H7800" t="s">
        <v>92</v>
      </c>
    </row>
    <row r="7801" spans="1:8" x14ac:dyDescent="0.25">
      <c r="A7801" t="s">
        <v>288</v>
      </c>
      <c r="B7801" t="s">
        <v>769</v>
      </c>
      <c r="C7801" t="s">
        <v>88</v>
      </c>
      <c r="D7801" t="s">
        <v>6721</v>
      </c>
      <c r="E7801" t="s">
        <v>841</v>
      </c>
      <c r="F7801" t="s">
        <v>88</v>
      </c>
      <c r="G7801" t="s">
        <v>88</v>
      </c>
      <c r="H7801" t="s">
        <v>92</v>
      </c>
    </row>
    <row r="7802" spans="1:8" x14ac:dyDescent="0.25">
      <c r="A7802" t="s">
        <v>288</v>
      </c>
      <c r="B7802" t="s">
        <v>876</v>
      </c>
      <c r="C7802" t="s">
        <v>88</v>
      </c>
      <c r="D7802" t="s">
        <v>6722</v>
      </c>
      <c r="E7802" t="s">
        <v>883</v>
      </c>
      <c r="F7802" t="s">
        <v>88</v>
      </c>
      <c r="G7802" t="s">
        <v>88</v>
      </c>
      <c r="H7802" t="s">
        <v>92</v>
      </c>
    </row>
    <row r="7803" spans="1:8" x14ac:dyDescent="0.25">
      <c r="A7803" t="s">
        <v>288</v>
      </c>
      <c r="B7803" t="s">
        <v>1776</v>
      </c>
      <c r="C7803" t="s">
        <v>88</v>
      </c>
      <c r="D7803" t="s">
        <v>6723</v>
      </c>
      <c r="E7803" t="s">
        <v>700</v>
      </c>
      <c r="F7803" t="s">
        <v>88</v>
      </c>
      <c r="G7803" t="s">
        <v>88</v>
      </c>
      <c r="H7803" t="s">
        <v>92</v>
      </c>
    </row>
    <row r="7804" spans="1:8" x14ac:dyDescent="0.25">
      <c r="A7804" t="s">
        <v>288</v>
      </c>
      <c r="B7804" t="s">
        <v>6719</v>
      </c>
      <c r="C7804" t="s">
        <v>88</v>
      </c>
      <c r="D7804" t="s">
        <v>6720</v>
      </c>
      <c r="E7804" t="s">
        <v>964</v>
      </c>
      <c r="F7804" t="s">
        <v>88</v>
      </c>
      <c r="G7804" t="s">
        <v>88</v>
      </c>
      <c r="H7804" t="s">
        <v>92</v>
      </c>
    </row>
    <row r="7805" spans="1:8" x14ac:dyDescent="0.25">
      <c r="A7805" t="s">
        <v>288</v>
      </c>
      <c r="B7805" t="s">
        <v>6005</v>
      </c>
      <c r="C7805" t="s">
        <v>88</v>
      </c>
      <c r="D7805" t="s">
        <v>88</v>
      </c>
      <c r="E7805" t="s">
        <v>791</v>
      </c>
      <c r="F7805" t="s">
        <v>88</v>
      </c>
      <c r="G7805" t="s">
        <v>88</v>
      </c>
      <c r="H7805" t="s">
        <v>92</v>
      </c>
    </row>
    <row r="7806" spans="1:8" x14ac:dyDescent="0.25">
      <c r="A7806" t="s">
        <v>288</v>
      </c>
      <c r="B7806" t="s">
        <v>4102</v>
      </c>
      <c r="C7806" t="s">
        <v>88</v>
      </c>
      <c r="D7806" t="s">
        <v>6724</v>
      </c>
      <c r="E7806" t="s">
        <v>700</v>
      </c>
      <c r="F7806" t="s">
        <v>88</v>
      </c>
      <c r="G7806" t="s">
        <v>88</v>
      </c>
      <c r="H7806" t="s">
        <v>92</v>
      </c>
    </row>
    <row r="7807" spans="1:8" x14ac:dyDescent="0.25">
      <c r="A7807" t="s">
        <v>288</v>
      </c>
      <c r="B7807" t="s">
        <v>6725</v>
      </c>
      <c r="C7807" t="s">
        <v>88</v>
      </c>
      <c r="D7807" t="s">
        <v>6726</v>
      </c>
      <c r="E7807" t="s">
        <v>883</v>
      </c>
      <c r="F7807" t="s">
        <v>88</v>
      </c>
      <c r="G7807" t="s">
        <v>88</v>
      </c>
      <c r="H7807" t="s">
        <v>92</v>
      </c>
    </row>
    <row r="7808" spans="1:8" x14ac:dyDescent="0.25">
      <c r="A7808" t="s">
        <v>288</v>
      </c>
      <c r="B7808" t="s">
        <v>876</v>
      </c>
      <c r="C7808" t="s">
        <v>88</v>
      </c>
      <c r="D7808" t="s">
        <v>6722</v>
      </c>
      <c r="E7808" t="s">
        <v>883</v>
      </c>
      <c r="F7808" t="s">
        <v>88</v>
      </c>
      <c r="G7808" t="s">
        <v>88</v>
      </c>
      <c r="H7808" t="s">
        <v>92</v>
      </c>
    </row>
    <row r="7809" spans="1:8" x14ac:dyDescent="0.25">
      <c r="A7809" t="s">
        <v>288</v>
      </c>
      <c r="B7809" t="s">
        <v>897</v>
      </c>
      <c r="C7809" t="s">
        <v>88</v>
      </c>
      <c r="D7809" t="s">
        <v>6722</v>
      </c>
      <c r="E7809" t="s">
        <v>883</v>
      </c>
      <c r="F7809" t="s">
        <v>88</v>
      </c>
      <c r="G7809" t="s">
        <v>88</v>
      </c>
      <c r="H7809" t="s">
        <v>92</v>
      </c>
    </row>
    <row r="7810" spans="1:8" x14ac:dyDescent="0.25">
      <c r="A7810" t="s">
        <v>288</v>
      </c>
      <c r="B7810" t="s">
        <v>759</v>
      </c>
      <c r="C7810" t="s">
        <v>88</v>
      </c>
      <c r="D7810" t="s">
        <v>6722</v>
      </c>
      <c r="E7810" t="s">
        <v>760</v>
      </c>
      <c r="F7810" t="s">
        <v>88</v>
      </c>
      <c r="G7810" t="s">
        <v>88</v>
      </c>
      <c r="H7810" t="s">
        <v>92</v>
      </c>
    </row>
    <row r="7811" spans="1:8" x14ac:dyDescent="0.25">
      <c r="A7811" t="s">
        <v>288</v>
      </c>
      <c r="B7811" t="s">
        <v>907</v>
      </c>
      <c r="C7811" t="s">
        <v>88</v>
      </c>
      <c r="D7811" t="s">
        <v>6722</v>
      </c>
      <c r="E7811" t="s">
        <v>760</v>
      </c>
      <c r="F7811" t="s">
        <v>88</v>
      </c>
      <c r="G7811" t="s">
        <v>88</v>
      </c>
      <c r="H7811" t="s">
        <v>92</v>
      </c>
    </row>
    <row r="7812" spans="1:8" x14ac:dyDescent="0.25">
      <c r="A7812" t="s">
        <v>288</v>
      </c>
      <c r="B7812" t="s">
        <v>6727</v>
      </c>
      <c r="C7812" t="s">
        <v>88</v>
      </c>
      <c r="D7812" t="s">
        <v>6722</v>
      </c>
      <c r="E7812" t="s">
        <v>760</v>
      </c>
      <c r="F7812" t="s">
        <v>88</v>
      </c>
      <c r="G7812" t="s">
        <v>88</v>
      </c>
      <c r="H7812" t="s">
        <v>92</v>
      </c>
    </row>
    <row r="7813" spans="1:8" x14ac:dyDescent="0.25">
      <c r="A7813" t="s">
        <v>288</v>
      </c>
      <c r="B7813" t="s">
        <v>1385</v>
      </c>
      <c r="C7813" t="s">
        <v>88</v>
      </c>
      <c r="D7813" t="s">
        <v>6722</v>
      </c>
      <c r="E7813" t="s">
        <v>883</v>
      </c>
      <c r="F7813" t="s">
        <v>88</v>
      </c>
      <c r="G7813" t="s">
        <v>88</v>
      </c>
      <c r="H7813" t="s">
        <v>92</v>
      </c>
    </row>
    <row r="7814" spans="1:8" x14ac:dyDescent="0.25">
      <c r="A7814" t="s">
        <v>288</v>
      </c>
      <c r="B7814" t="s">
        <v>765</v>
      </c>
      <c r="C7814" t="s">
        <v>88</v>
      </c>
      <c r="D7814" t="s">
        <v>6722</v>
      </c>
      <c r="E7814" t="s">
        <v>893</v>
      </c>
      <c r="F7814" t="s">
        <v>88</v>
      </c>
      <c r="G7814" t="s">
        <v>88</v>
      </c>
      <c r="H7814" t="s">
        <v>92</v>
      </c>
    </row>
    <row r="7815" spans="1:8" x14ac:dyDescent="0.25">
      <c r="A7815" t="s">
        <v>288</v>
      </c>
      <c r="B7815" t="s">
        <v>740</v>
      </c>
      <c r="C7815" t="s">
        <v>88</v>
      </c>
      <c r="D7815" t="s">
        <v>6722</v>
      </c>
      <c r="E7815" t="s">
        <v>700</v>
      </c>
      <c r="F7815" t="s">
        <v>88</v>
      </c>
      <c r="G7815" t="s">
        <v>88</v>
      </c>
      <c r="H7815" t="s">
        <v>92</v>
      </c>
    </row>
    <row r="7816" spans="1:8" x14ac:dyDescent="0.25">
      <c r="A7816" t="s">
        <v>288</v>
      </c>
      <c r="B7816" t="s">
        <v>764</v>
      </c>
      <c r="C7816" t="s">
        <v>88</v>
      </c>
      <c r="D7816" t="s">
        <v>6722</v>
      </c>
      <c r="E7816" t="s">
        <v>700</v>
      </c>
      <c r="F7816" t="s">
        <v>88</v>
      </c>
      <c r="G7816" t="s">
        <v>88</v>
      </c>
      <c r="H7816" t="s">
        <v>92</v>
      </c>
    </row>
    <row r="7817" spans="1:8" x14ac:dyDescent="0.25">
      <c r="A7817" t="s">
        <v>288</v>
      </c>
      <c r="B7817" t="s">
        <v>743</v>
      </c>
      <c r="C7817" t="s">
        <v>88</v>
      </c>
      <c r="D7817" t="s">
        <v>6722</v>
      </c>
      <c r="E7817" t="s">
        <v>700</v>
      </c>
      <c r="F7817" t="s">
        <v>88</v>
      </c>
      <c r="G7817" t="s">
        <v>88</v>
      </c>
      <c r="H7817" t="s">
        <v>92</v>
      </c>
    </row>
    <row r="7818" spans="1:8" x14ac:dyDescent="0.25">
      <c r="A7818" t="s">
        <v>288</v>
      </c>
      <c r="B7818" t="s">
        <v>2392</v>
      </c>
      <c r="C7818" t="s">
        <v>88</v>
      </c>
      <c r="D7818" t="s">
        <v>6722</v>
      </c>
      <c r="E7818" t="s">
        <v>700</v>
      </c>
      <c r="F7818" t="s">
        <v>88</v>
      </c>
      <c r="G7818" t="s">
        <v>88</v>
      </c>
      <c r="H7818" t="s">
        <v>92</v>
      </c>
    </row>
    <row r="7819" spans="1:8" x14ac:dyDescent="0.25">
      <c r="A7819" t="s">
        <v>288</v>
      </c>
      <c r="B7819" t="s">
        <v>768</v>
      </c>
      <c r="C7819" t="s">
        <v>88</v>
      </c>
      <c r="D7819" t="s">
        <v>6722</v>
      </c>
      <c r="E7819" t="s">
        <v>883</v>
      </c>
      <c r="F7819" t="s">
        <v>88</v>
      </c>
      <c r="G7819" t="s">
        <v>88</v>
      </c>
      <c r="H7819" t="s">
        <v>92</v>
      </c>
    </row>
    <row r="7820" spans="1:8" x14ac:dyDescent="0.25">
      <c r="A7820" t="s">
        <v>288</v>
      </c>
      <c r="B7820" t="s">
        <v>6728</v>
      </c>
      <c r="C7820" t="s">
        <v>88</v>
      </c>
      <c r="D7820" t="s">
        <v>6722</v>
      </c>
      <c r="E7820" t="s">
        <v>893</v>
      </c>
      <c r="F7820" t="s">
        <v>88</v>
      </c>
      <c r="G7820" t="s">
        <v>88</v>
      </c>
      <c r="H7820" t="s">
        <v>92</v>
      </c>
    </row>
    <row r="7821" spans="1:8" x14ac:dyDescent="0.25">
      <c r="A7821" t="s">
        <v>288</v>
      </c>
      <c r="B7821" t="s">
        <v>767</v>
      </c>
      <c r="C7821" t="s">
        <v>88</v>
      </c>
      <c r="D7821" t="s">
        <v>6722</v>
      </c>
      <c r="E7821" t="s">
        <v>700</v>
      </c>
      <c r="F7821" t="s">
        <v>88</v>
      </c>
      <c r="G7821" t="s">
        <v>88</v>
      </c>
      <c r="H7821" t="s">
        <v>92</v>
      </c>
    </row>
    <row r="7822" spans="1:8" x14ac:dyDescent="0.25">
      <c r="A7822" t="s">
        <v>288</v>
      </c>
      <c r="B7822" t="s">
        <v>881</v>
      </c>
      <c r="C7822" t="s">
        <v>88</v>
      </c>
      <c r="D7822" t="s">
        <v>6722</v>
      </c>
      <c r="E7822" t="s">
        <v>883</v>
      </c>
      <c r="F7822" t="s">
        <v>88</v>
      </c>
      <c r="G7822" t="s">
        <v>88</v>
      </c>
      <c r="H7822" t="s">
        <v>92</v>
      </c>
    </row>
    <row r="7823" spans="1:8" x14ac:dyDescent="0.25">
      <c r="A7823" t="s">
        <v>288</v>
      </c>
      <c r="B7823" t="s">
        <v>6729</v>
      </c>
      <c r="C7823" t="s">
        <v>88</v>
      </c>
      <c r="D7823" t="s">
        <v>6722</v>
      </c>
      <c r="E7823" t="s">
        <v>893</v>
      </c>
      <c r="F7823" t="s">
        <v>88</v>
      </c>
      <c r="G7823" t="s">
        <v>88</v>
      </c>
      <c r="H7823" t="s">
        <v>92</v>
      </c>
    </row>
    <row r="7824" spans="1:8" x14ac:dyDescent="0.25">
      <c r="A7824" t="s">
        <v>288</v>
      </c>
      <c r="B7824" t="s">
        <v>6637</v>
      </c>
      <c r="C7824" t="s">
        <v>88</v>
      </c>
      <c r="D7824" t="s">
        <v>6718</v>
      </c>
      <c r="E7824" t="s">
        <v>700</v>
      </c>
      <c r="F7824" t="s">
        <v>88</v>
      </c>
      <c r="G7824" t="s">
        <v>88</v>
      </c>
      <c r="H7824" t="s">
        <v>92</v>
      </c>
    </row>
    <row r="7825" spans="1:8" x14ac:dyDescent="0.25">
      <c r="A7825" t="s">
        <v>288</v>
      </c>
      <c r="B7825" t="s">
        <v>769</v>
      </c>
      <c r="C7825" t="s">
        <v>88</v>
      </c>
      <c r="D7825" t="s">
        <v>6721</v>
      </c>
      <c r="E7825" t="s">
        <v>841</v>
      </c>
      <c r="F7825" t="s">
        <v>88</v>
      </c>
      <c r="G7825" t="s">
        <v>88</v>
      </c>
      <c r="H7825" t="s">
        <v>92</v>
      </c>
    </row>
    <row r="7826" spans="1:8" x14ac:dyDescent="0.25">
      <c r="A7826" t="s">
        <v>288</v>
      </c>
      <c r="B7826" t="s">
        <v>736</v>
      </c>
      <c r="C7826" t="s">
        <v>88</v>
      </c>
      <c r="D7826" t="s">
        <v>88</v>
      </c>
      <c r="E7826" t="s">
        <v>780</v>
      </c>
      <c r="F7826" t="s">
        <v>88</v>
      </c>
      <c r="G7826" t="s">
        <v>88</v>
      </c>
      <c r="H7826" t="s">
        <v>92</v>
      </c>
    </row>
    <row r="7827" spans="1:8" x14ac:dyDescent="0.25">
      <c r="A7827" t="s">
        <v>288</v>
      </c>
      <c r="B7827" t="s">
        <v>739</v>
      </c>
      <c r="C7827" t="s">
        <v>88</v>
      </c>
      <c r="D7827" t="s">
        <v>88</v>
      </c>
      <c r="E7827" t="s">
        <v>959</v>
      </c>
      <c r="F7827" t="s">
        <v>88</v>
      </c>
      <c r="G7827" t="s">
        <v>88</v>
      </c>
      <c r="H7827" t="s">
        <v>92</v>
      </c>
    </row>
    <row r="7828" spans="1:8" x14ac:dyDescent="0.25">
      <c r="A7828" t="s">
        <v>288</v>
      </c>
      <c r="B7828" t="s">
        <v>2012</v>
      </c>
      <c r="C7828" t="s">
        <v>88</v>
      </c>
      <c r="D7828" t="s">
        <v>88</v>
      </c>
      <c r="E7828" t="s">
        <v>780</v>
      </c>
      <c r="F7828" t="s">
        <v>88</v>
      </c>
      <c r="G7828" t="s">
        <v>88</v>
      </c>
      <c r="H7828" t="s">
        <v>92</v>
      </c>
    </row>
    <row r="7829" spans="1:8" x14ac:dyDescent="0.25">
      <c r="A7829" t="s">
        <v>288</v>
      </c>
      <c r="B7829" t="s">
        <v>777</v>
      </c>
      <c r="C7829" t="s">
        <v>88</v>
      </c>
      <c r="D7829" t="s">
        <v>88</v>
      </c>
      <c r="E7829" t="s">
        <v>780</v>
      </c>
      <c r="F7829" t="s">
        <v>88</v>
      </c>
      <c r="G7829" t="s">
        <v>88</v>
      </c>
      <c r="H7829" t="s">
        <v>92</v>
      </c>
    </row>
    <row r="7830" spans="1:8" x14ac:dyDescent="0.25">
      <c r="A7830" t="s">
        <v>288</v>
      </c>
      <c r="B7830" t="s">
        <v>779</v>
      </c>
      <c r="C7830" t="s">
        <v>88</v>
      </c>
      <c r="D7830" t="s">
        <v>88</v>
      </c>
      <c r="E7830" t="s">
        <v>937</v>
      </c>
      <c r="F7830" t="s">
        <v>88</v>
      </c>
      <c r="G7830" t="s">
        <v>88</v>
      </c>
      <c r="H7830" t="s">
        <v>92</v>
      </c>
    </row>
    <row r="7831" spans="1:8" x14ac:dyDescent="0.25">
      <c r="A7831" t="s">
        <v>288</v>
      </c>
      <c r="B7831" t="s">
        <v>6730</v>
      </c>
      <c r="C7831" t="s">
        <v>88</v>
      </c>
      <c r="D7831" t="s">
        <v>6731</v>
      </c>
      <c r="E7831" t="s">
        <v>780</v>
      </c>
      <c r="F7831" t="s">
        <v>88</v>
      </c>
      <c r="G7831" t="s">
        <v>88</v>
      </c>
      <c r="H7831" t="s">
        <v>92</v>
      </c>
    </row>
    <row r="7832" spans="1:8" x14ac:dyDescent="0.25">
      <c r="A7832" t="s">
        <v>288</v>
      </c>
      <c r="B7832" t="s">
        <v>823</v>
      </c>
      <c r="C7832" t="s">
        <v>88</v>
      </c>
      <c r="D7832" t="s">
        <v>6731</v>
      </c>
      <c r="E7832" t="s">
        <v>676</v>
      </c>
      <c r="F7832" t="s">
        <v>88</v>
      </c>
      <c r="G7832" t="s">
        <v>88</v>
      </c>
      <c r="H7832" t="s">
        <v>92</v>
      </c>
    </row>
    <row r="7833" spans="1:8" x14ac:dyDescent="0.25">
      <c r="A7833" t="s">
        <v>288</v>
      </c>
      <c r="B7833" t="s">
        <v>789</v>
      </c>
      <c r="C7833" t="s">
        <v>88</v>
      </c>
      <c r="D7833" t="s">
        <v>88</v>
      </c>
      <c r="E7833" t="s">
        <v>702</v>
      </c>
      <c r="F7833" t="s">
        <v>88</v>
      </c>
      <c r="G7833" t="s">
        <v>88</v>
      </c>
      <c r="H7833" t="s">
        <v>92</v>
      </c>
    </row>
    <row r="7834" spans="1:8" x14ac:dyDescent="0.25">
      <c r="A7834" t="s">
        <v>288</v>
      </c>
      <c r="B7834" t="s">
        <v>6710</v>
      </c>
      <c r="C7834" t="s">
        <v>88</v>
      </c>
      <c r="D7834" t="s">
        <v>88</v>
      </c>
      <c r="E7834" t="s">
        <v>937</v>
      </c>
      <c r="F7834" t="s">
        <v>88</v>
      </c>
      <c r="G7834" t="s">
        <v>88</v>
      </c>
      <c r="H7834" t="s">
        <v>92</v>
      </c>
    </row>
    <row r="7835" spans="1:8" x14ac:dyDescent="0.25">
      <c r="A7835" t="s">
        <v>288</v>
      </c>
      <c r="B7835" t="s">
        <v>612</v>
      </c>
      <c r="C7835" t="s">
        <v>88</v>
      </c>
      <c r="D7835" t="s">
        <v>88</v>
      </c>
      <c r="E7835" t="s">
        <v>709</v>
      </c>
      <c r="F7835" t="s">
        <v>88</v>
      </c>
      <c r="G7835" t="s">
        <v>88</v>
      </c>
      <c r="H7835" t="s">
        <v>92</v>
      </c>
    </row>
    <row r="7836" spans="1:8" x14ac:dyDescent="0.25">
      <c r="A7836" t="s">
        <v>288</v>
      </c>
      <c r="B7836" t="s">
        <v>651</v>
      </c>
      <c r="C7836" t="s">
        <v>88</v>
      </c>
      <c r="D7836" t="s">
        <v>88</v>
      </c>
      <c r="E7836" t="s">
        <v>709</v>
      </c>
      <c r="F7836" t="s">
        <v>88</v>
      </c>
      <c r="G7836" t="s">
        <v>88</v>
      </c>
      <c r="H7836" t="s">
        <v>92</v>
      </c>
    </row>
    <row r="7837" spans="1:8" x14ac:dyDescent="0.25">
      <c r="A7837" t="s">
        <v>288</v>
      </c>
      <c r="B7837" t="s">
        <v>614</v>
      </c>
      <c r="C7837" t="s">
        <v>88</v>
      </c>
      <c r="D7837" t="s">
        <v>88</v>
      </c>
      <c r="E7837" t="s">
        <v>709</v>
      </c>
      <c r="F7837" t="s">
        <v>88</v>
      </c>
      <c r="G7837" t="s">
        <v>88</v>
      </c>
      <c r="H7837" t="s">
        <v>92</v>
      </c>
    </row>
    <row r="7838" spans="1:8" x14ac:dyDescent="0.25">
      <c r="A7838" t="s">
        <v>288</v>
      </c>
      <c r="B7838" t="s">
        <v>615</v>
      </c>
      <c r="C7838" t="s">
        <v>88</v>
      </c>
      <c r="D7838" t="s">
        <v>88</v>
      </c>
      <c r="E7838" t="s">
        <v>709</v>
      </c>
      <c r="F7838" t="s">
        <v>88</v>
      </c>
      <c r="G7838" t="s">
        <v>88</v>
      </c>
      <c r="H7838" t="s">
        <v>92</v>
      </c>
    </row>
    <row r="7839" spans="1:8" x14ac:dyDescent="0.25">
      <c r="A7839" t="s">
        <v>288</v>
      </c>
      <c r="B7839" t="s">
        <v>4133</v>
      </c>
      <c r="C7839" t="s">
        <v>88</v>
      </c>
      <c r="D7839" t="s">
        <v>88</v>
      </c>
      <c r="E7839" t="s">
        <v>709</v>
      </c>
      <c r="F7839" t="s">
        <v>88</v>
      </c>
      <c r="G7839" t="s">
        <v>88</v>
      </c>
      <c r="H7839" t="s">
        <v>92</v>
      </c>
    </row>
    <row r="7840" spans="1:8" x14ac:dyDescent="0.25">
      <c r="A7840" t="s">
        <v>288</v>
      </c>
      <c r="B7840" t="s">
        <v>846</v>
      </c>
      <c r="C7840" t="s">
        <v>88</v>
      </c>
      <c r="D7840" t="s">
        <v>88</v>
      </c>
      <c r="E7840" t="s">
        <v>709</v>
      </c>
      <c r="F7840" t="s">
        <v>88</v>
      </c>
      <c r="G7840" t="s">
        <v>88</v>
      </c>
      <c r="H7840" t="s">
        <v>92</v>
      </c>
    </row>
    <row r="7841" spans="1:8" x14ac:dyDescent="0.25">
      <c r="A7841" t="s">
        <v>288</v>
      </c>
      <c r="B7841" t="s">
        <v>6732</v>
      </c>
      <c r="C7841" t="s">
        <v>88</v>
      </c>
      <c r="D7841" t="s">
        <v>88</v>
      </c>
      <c r="E7841" t="s">
        <v>711</v>
      </c>
      <c r="F7841" t="s">
        <v>88</v>
      </c>
      <c r="G7841" t="s">
        <v>88</v>
      </c>
      <c r="H7841" t="s">
        <v>92</v>
      </c>
    </row>
    <row r="7842" spans="1:8" x14ac:dyDescent="0.25">
      <c r="A7842" t="s">
        <v>288</v>
      </c>
      <c r="B7842" t="s">
        <v>1399</v>
      </c>
      <c r="C7842" t="s">
        <v>88</v>
      </c>
      <c r="D7842" t="s">
        <v>88</v>
      </c>
      <c r="E7842" t="s">
        <v>711</v>
      </c>
      <c r="F7842" t="s">
        <v>88</v>
      </c>
      <c r="G7842" t="s">
        <v>88</v>
      </c>
      <c r="H7842" t="s">
        <v>92</v>
      </c>
    </row>
    <row r="7843" spans="1:8" x14ac:dyDescent="0.25">
      <c r="A7843" t="s">
        <v>288</v>
      </c>
      <c r="B7843" t="s">
        <v>623</v>
      </c>
      <c r="C7843" t="s">
        <v>88</v>
      </c>
      <c r="D7843" t="s">
        <v>88</v>
      </c>
      <c r="E7843" t="s">
        <v>849</v>
      </c>
      <c r="F7843" t="s">
        <v>88</v>
      </c>
      <c r="G7843" t="s">
        <v>88</v>
      </c>
      <c r="H7843" t="s">
        <v>92</v>
      </c>
    </row>
    <row r="7844" spans="1:8" x14ac:dyDescent="0.25">
      <c r="A7844" t="s">
        <v>288</v>
      </c>
      <c r="B7844" t="s">
        <v>1823</v>
      </c>
      <c r="C7844" t="s">
        <v>88</v>
      </c>
      <c r="D7844" t="s">
        <v>88</v>
      </c>
      <c r="E7844" t="s">
        <v>709</v>
      </c>
      <c r="F7844" t="s">
        <v>88</v>
      </c>
      <c r="G7844" t="s">
        <v>88</v>
      </c>
      <c r="H7844" t="s">
        <v>92</v>
      </c>
    </row>
    <row r="7845" spans="1:8" x14ac:dyDescent="0.25">
      <c r="A7845" t="s">
        <v>288</v>
      </c>
      <c r="B7845" t="s">
        <v>6733</v>
      </c>
      <c r="C7845" t="s">
        <v>88</v>
      </c>
      <c r="D7845" t="s">
        <v>6717</v>
      </c>
      <c r="E7845" t="s">
        <v>805</v>
      </c>
      <c r="F7845" t="s">
        <v>88</v>
      </c>
      <c r="G7845" t="s">
        <v>88</v>
      </c>
      <c r="H7845" t="s">
        <v>92</v>
      </c>
    </row>
    <row r="7846" spans="1:8" x14ac:dyDescent="0.25">
      <c r="A7846" t="s">
        <v>288</v>
      </c>
      <c r="B7846" t="s">
        <v>2017</v>
      </c>
      <c r="C7846" t="s">
        <v>88</v>
      </c>
      <c r="D7846" t="s">
        <v>6717</v>
      </c>
      <c r="E7846" t="s">
        <v>805</v>
      </c>
      <c r="F7846" t="s">
        <v>88</v>
      </c>
      <c r="G7846" t="s">
        <v>88</v>
      </c>
      <c r="H7846" t="s">
        <v>92</v>
      </c>
    </row>
    <row r="7847" spans="1:8" x14ac:dyDescent="0.25">
      <c r="A7847" t="s">
        <v>288</v>
      </c>
      <c r="B7847" t="s">
        <v>6734</v>
      </c>
      <c r="C7847" t="s">
        <v>88</v>
      </c>
      <c r="D7847" t="s">
        <v>6717</v>
      </c>
      <c r="E7847" t="s">
        <v>805</v>
      </c>
      <c r="F7847" t="s">
        <v>88</v>
      </c>
      <c r="G7847" t="s">
        <v>88</v>
      </c>
      <c r="H7847" t="s">
        <v>92</v>
      </c>
    </row>
    <row r="7848" spans="1:8" x14ac:dyDescent="0.25">
      <c r="A7848" t="s">
        <v>288</v>
      </c>
      <c r="B7848" t="s">
        <v>6735</v>
      </c>
      <c r="C7848" t="s">
        <v>88</v>
      </c>
      <c r="D7848" t="s">
        <v>6717</v>
      </c>
      <c r="E7848" t="s">
        <v>805</v>
      </c>
      <c r="F7848" t="s">
        <v>88</v>
      </c>
      <c r="G7848" t="s">
        <v>88</v>
      </c>
      <c r="H7848" t="s">
        <v>92</v>
      </c>
    </row>
    <row r="7849" spans="1:8" x14ac:dyDescent="0.25">
      <c r="A7849" t="s">
        <v>288</v>
      </c>
      <c r="B7849" t="s">
        <v>6736</v>
      </c>
      <c r="C7849" t="s">
        <v>88</v>
      </c>
      <c r="D7849" t="s">
        <v>6717</v>
      </c>
      <c r="E7849" t="s">
        <v>805</v>
      </c>
      <c r="F7849" t="s">
        <v>88</v>
      </c>
      <c r="G7849" t="s">
        <v>88</v>
      </c>
      <c r="H7849" t="s">
        <v>92</v>
      </c>
    </row>
    <row r="7850" spans="1:8" x14ac:dyDescent="0.25">
      <c r="A7850" t="s">
        <v>288</v>
      </c>
      <c r="B7850" t="s">
        <v>6737</v>
      </c>
      <c r="C7850" t="s">
        <v>88</v>
      </c>
      <c r="D7850" t="s">
        <v>6717</v>
      </c>
      <c r="E7850" t="s">
        <v>805</v>
      </c>
      <c r="F7850" t="s">
        <v>88</v>
      </c>
      <c r="G7850" t="s">
        <v>88</v>
      </c>
      <c r="H7850" t="s">
        <v>92</v>
      </c>
    </row>
    <row r="7851" spans="1:8" x14ac:dyDescent="0.25">
      <c r="A7851" t="s">
        <v>288</v>
      </c>
      <c r="B7851" t="s">
        <v>6738</v>
      </c>
      <c r="C7851" t="s">
        <v>88</v>
      </c>
      <c r="D7851" t="s">
        <v>6717</v>
      </c>
      <c r="E7851" t="s">
        <v>805</v>
      </c>
      <c r="F7851" t="s">
        <v>88</v>
      </c>
      <c r="G7851" t="s">
        <v>88</v>
      </c>
      <c r="H7851" t="s">
        <v>92</v>
      </c>
    </row>
    <row r="7852" spans="1:8" x14ac:dyDescent="0.25">
      <c r="A7852" t="s">
        <v>288</v>
      </c>
      <c r="B7852" t="s">
        <v>6739</v>
      </c>
      <c r="C7852" t="s">
        <v>88</v>
      </c>
      <c r="D7852" t="s">
        <v>6717</v>
      </c>
      <c r="E7852" t="s">
        <v>805</v>
      </c>
      <c r="F7852" t="s">
        <v>88</v>
      </c>
      <c r="G7852" t="s">
        <v>88</v>
      </c>
      <c r="H7852" t="s">
        <v>92</v>
      </c>
    </row>
    <row r="7853" spans="1:8" x14ac:dyDescent="0.25">
      <c r="A7853" t="s">
        <v>288</v>
      </c>
      <c r="B7853" t="s">
        <v>6740</v>
      </c>
      <c r="C7853" t="s">
        <v>88</v>
      </c>
      <c r="D7853" t="s">
        <v>6717</v>
      </c>
      <c r="E7853" t="s">
        <v>805</v>
      </c>
      <c r="F7853" t="s">
        <v>88</v>
      </c>
      <c r="G7853" t="s">
        <v>88</v>
      </c>
      <c r="H7853" t="s">
        <v>92</v>
      </c>
    </row>
    <row r="7854" spans="1:8" x14ac:dyDescent="0.25">
      <c r="A7854" t="s">
        <v>288</v>
      </c>
      <c r="B7854" t="s">
        <v>809</v>
      </c>
      <c r="C7854" t="s">
        <v>88</v>
      </c>
      <c r="D7854" t="s">
        <v>6717</v>
      </c>
      <c r="E7854" t="s">
        <v>641</v>
      </c>
      <c r="F7854" t="s">
        <v>88</v>
      </c>
      <c r="G7854" t="s">
        <v>88</v>
      </c>
      <c r="H7854" t="s">
        <v>92</v>
      </c>
    </row>
    <row r="7855" spans="1:8" x14ac:dyDescent="0.25">
      <c r="A7855" t="s">
        <v>288</v>
      </c>
      <c r="B7855" t="s">
        <v>6741</v>
      </c>
      <c r="C7855" t="s">
        <v>88</v>
      </c>
      <c r="D7855" t="s">
        <v>6717</v>
      </c>
      <c r="E7855" t="s">
        <v>641</v>
      </c>
      <c r="F7855" t="s">
        <v>88</v>
      </c>
      <c r="G7855" t="s">
        <v>88</v>
      </c>
      <c r="H7855" t="s">
        <v>92</v>
      </c>
    </row>
    <row r="7856" spans="1:8" x14ac:dyDescent="0.25">
      <c r="A7856" t="s">
        <v>288</v>
      </c>
      <c r="B7856" t="s">
        <v>6742</v>
      </c>
      <c r="C7856" t="s">
        <v>88</v>
      </c>
      <c r="D7856" t="s">
        <v>6743</v>
      </c>
      <c r="E7856" t="s">
        <v>805</v>
      </c>
      <c r="F7856" t="s">
        <v>88</v>
      </c>
      <c r="G7856" t="s">
        <v>88</v>
      </c>
      <c r="H7856" t="s">
        <v>92</v>
      </c>
    </row>
    <row r="7857" spans="1:8" x14ac:dyDescent="0.25">
      <c r="A7857" t="s">
        <v>288</v>
      </c>
      <c r="B7857" t="s">
        <v>6636</v>
      </c>
      <c r="C7857" t="s">
        <v>88</v>
      </c>
      <c r="D7857" t="s">
        <v>6717</v>
      </c>
      <c r="E7857" t="s">
        <v>805</v>
      </c>
      <c r="F7857" t="s">
        <v>88</v>
      </c>
      <c r="G7857" t="s">
        <v>88</v>
      </c>
      <c r="H7857" t="s">
        <v>92</v>
      </c>
    </row>
    <row r="7858" spans="1:8" x14ac:dyDescent="0.25">
      <c r="A7858" t="s">
        <v>288</v>
      </c>
      <c r="B7858" t="s">
        <v>6744</v>
      </c>
      <c r="C7858" t="s">
        <v>88</v>
      </c>
      <c r="D7858" t="s">
        <v>6717</v>
      </c>
      <c r="E7858" t="s">
        <v>805</v>
      </c>
      <c r="F7858" t="s">
        <v>88</v>
      </c>
      <c r="G7858" t="s">
        <v>88</v>
      </c>
      <c r="H7858" t="s">
        <v>92</v>
      </c>
    </row>
    <row r="7859" spans="1:8" x14ac:dyDescent="0.25">
      <c r="A7859" t="s">
        <v>288</v>
      </c>
      <c r="B7859" t="s">
        <v>6631</v>
      </c>
      <c r="C7859" t="s">
        <v>88</v>
      </c>
      <c r="D7859" t="s">
        <v>6717</v>
      </c>
      <c r="E7859" t="s">
        <v>676</v>
      </c>
      <c r="F7859" t="s">
        <v>88</v>
      </c>
      <c r="G7859" t="s">
        <v>88</v>
      </c>
      <c r="H7859" t="s">
        <v>92</v>
      </c>
    </row>
    <row r="7860" spans="1:8" x14ac:dyDescent="0.25">
      <c r="A7860" t="s">
        <v>288</v>
      </c>
      <c r="B7860" t="s">
        <v>6629</v>
      </c>
      <c r="C7860" t="s">
        <v>88</v>
      </c>
      <c r="D7860" t="s">
        <v>6717</v>
      </c>
      <c r="E7860" t="s">
        <v>676</v>
      </c>
      <c r="F7860" t="s">
        <v>88</v>
      </c>
      <c r="G7860" t="s">
        <v>88</v>
      </c>
      <c r="H7860" t="s">
        <v>92</v>
      </c>
    </row>
    <row r="7861" spans="1:8" x14ac:dyDescent="0.25">
      <c r="A7861" t="s">
        <v>288</v>
      </c>
      <c r="B7861" t="s">
        <v>6619</v>
      </c>
      <c r="C7861" t="s">
        <v>88</v>
      </c>
      <c r="D7861" t="s">
        <v>6717</v>
      </c>
      <c r="E7861" t="s">
        <v>676</v>
      </c>
      <c r="F7861" t="s">
        <v>88</v>
      </c>
      <c r="G7861" t="s">
        <v>88</v>
      </c>
      <c r="H7861" t="s">
        <v>92</v>
      </c>
    </row>
    <row r="7862" spans="1:8" x14ac:dyDescent="0.25">
      <c r="A7862" t="s">
        <v>288</v>
      </c>
      <c r="B7862" t="s">
        <v>6628</v>
      </c>
      <c r="C7862" t="s">
        <v>88</v>
      </c>
      <c r="D7862" t="s">
        <v>6717</v>
      </c>
      <c r="E7862" t="s">
        <v>676</v>
      </c>
      <c r="F7862" t="s">
        <v>88</v>
      </c>
      <c r="G7862" t="s">
        <v>88</v>
      </c>
      <c r="H7862" t="s">
        <v>92</v>
      </c>
    </row>
    <row r="7863" spans="1:8" x14ac:dyDescent="0.25">
      <c r="A7863" t="s">
        <v>288</v>
      </c>
      <c r="B7863" t="s">
        <v>6745</v>
      </c>
      <c r="C7863" t="s">
        <v>88</v>
      </c>
      <c r="D7863" t="s">
        <v>6717</v>
      </c>
      <c r="E7863" t="s">
        <v>964</v>
      </c>
      <c r="F7863" t="s">
        <v>88</v>
      </c>
      <c r="G7863" t="s">
        <v>88</v>
      </c>
      <c r="H7863" t="s">
        <v>92</v>
      </c>
    </row>
    <row r="7864" spans="1:8" x14ac:dyDescent="0.25">
      <c r="A7864" t="s">
        <v>288</v>
      </c>
      <c r="B7864" t="s">
        <v>6746</v>
      </c>
      <c r="C7864" t="s">
        <v>88</v>
      </c>
      <c r="D7864" t="s">
        <v>6747</v>
      </c>
      <c r="E7864" t="s">
        <v>1153</v>
      </c>
      <c r="F7864" t="s">
        <v>88</v>
      </c>
      <c r="G7864" t="s">
        <v>88</v>
      </c>
      <c r="H7864" t="s">
        <v>92</v>
      </c>
    </row>
    <row r="7865" spans="1:8" x14ac:dyDescent="0.25">
      <c r="A7865" t="s">
        <v>288</v>
      </c>
      <c r="B7865" t="s">
        <v>6748</v>
      </c>
      <c r="C7865" t="s">
        <v>88</v>
      </c>
      <c r="D7865" t="s">
        <v>6749</v>
      </c>
      <c r="E7865" t="s">
        <v>964</v>
      </c>
      <c r="F7865" t="s">
        <v>88</v>
      </c>
      <c r="G7865" t="s">
        <v>88</v>
      </c>
      <c r="H7865" t="s">
        <v>92</v>
      </c>
    </row>
    <row r="7866" spans="1:8" x14ac:dyDescent="0.25">
      <c r="A7866" t="s">
        <v>288</v>
      </c>
      <c r="B7866" t="s">
        <v>625</v>
      </c>
      <c r="C7866" t="s">
        <v>88</v>
      </c>
      <c r="D7866" t="s">
        <v>88</v>
      </c>
      <c r="E7866" t="s">
        <v>626</v>
      </c>
      <c r="F7866" t="s">
        <v>88</v>
      </c>
      <c r="G7866" t="s">
        <v>88</v>
      </c>
      <c r="H7866" t="s">
        <v>92</v>
      </c>
    </row>
    <row r="7867" spans="1:8" x14ac:dyDescent="0.25">
      <c r="A7867" t="s">
        <v>290</v>
      </c>
      <c r="B7867" t="s">
        <v>6750</v>
      </c>
      <c r="C7867" t="s">
        <v>88</v>
      </c>
      <c r="D7867" t="s">
        <v>6751</v>
      </c>
      <c r="E7867" t="s">
        <v>6752</v>
      </c>
      <c r="F7867" t="s">
        <v>88</v>
      </c>
      <c r="G7867" t="s">
        <v>88</v>
      </c>
      <c r="H7867" t="s">
        <v>92</v>
      </c>
    </row>
    <row r="7868" spans="1:8" x14ac:dyDescent="0.25">
      <c r="A7868" t="s">
        <v>290</v>
      </c>
      <c r="B7868" t="s">
        <v>6753</v>
      </c>
      <c r="C7868" t="s">
        <v>88</v>
      </c>
      <c r="D7868" t="s">
        <v>6754</v>
      </c>
      <c r="E7868" t="s">
        <v>825</v>
      </c>
      <c r="F7868" t="s">
        <v>88</v>
      </c>
      <c r="G7868" t="s">
        <v>88</v>
      </c>
      <c r="H7868" t="s">
        <v>92</v>
      </c>
    </row>
    <row r="7869" spans="1:8" x14ac:dyDescent="0.25">
      <c r="A7869" t="s">
        <v>290</v>
      </c>
      <c r="B7869" t="s">
        <v>6755</v>
      </c>
      <c r="C7869" t="s">
        <v>88</v>
      </c>
      <c r="D7869" t="s">
        <v>6756</v>
      </c>
      <c r="E7869" t="s">
        <v>3593</v>
      </c>
      <c r="F7869" t="s">
        <v>88</v>
      </c>
      <c r="G7869" t="s">
        <v>88</v>
      </c>
      <c r="H7869" t="s">
        <v>92</v>
      </c>
    </row>
    <row r="7870" spans="1:8" x14ac:dyDescent="0.25">
      <c r="A7870" t="s">
        <v>290</v>
      </c>
      <c r="B7870" t="s">
        <v>6757</v>
      </c>
      <c r="C7870" t="s">
        <v>88</v>
      </c>
      <c r="D7870" t="s">
        <v>6758</v>
      </c>
      <c r="E7870" t="s">
        <v>6759</v>
      </c>
      <c r="F7870" t="s">
        <v>88</v>
      </c>
      <c r="G7870" t="s">
        <v>88</v>
      </c>
      <c r="H7870" t="s">
        <v>92</v>
      </c>
    </row>
    <row r="7871" spans="1:8" x14ac:dyDescent="0.25">
      <c r="A7871" t="s">
        <v>290</v>
      </c>
      <c r="B7871" t="s">
        <v>6760</v>
      </c>
      <c r="C7871" t="s">
        <v>88</v>
      </c>
      <c r="D7871" t="s">
        <v>6761</v>
      </c>
      <c r="E7871" t="s">
        <v>6762</v>
      </c>
      <c r="F7871" t="s">
        <v>88</v>
      </c>
      <c r="G7871" t="s">
        <v>88</v>
      </c>
      <c r="H7871" t="s">
        <v>92</v>
      </c>
    </row>
    <row r="7872" spans="1:8" x14ac:dyDescent="0.25">
      <c r="A7872" t="s">
        <v>290</v>
      </c>
      <c r="B7872" t="s">
        <v>6763</v>
      </c>
      <c r="C7872" t="s">
        <v>88</v>
      </c>
      <c r="D7872" t="s">
        <v>6764</v>
      </c>
      <c r="E7872" t="s">
        <v>6765</v>
      </c>
      <c r="F7872" t="s">
        <v>88</v>
      </c>
      <c r="G7872" t="s">
        <v>88</v>
      </c>
      <c r="H7872" t="s">
        <v>92</v>
      </c>
    </row>
    <row r="7873" spans="1:8" x14ac:dyDescent="0.25">
      <c r="A7873" t="s">
        <v>290</v>
      </c>
      <c r="B7873" t="s">
        <v>6766</v>
      </c>
      <c r="C7873" t="s">
        <v>88</v>
      </c>
      <c r="D7873" t="s">
        <v>6767</v>
      </c>
      <c r="E7873" t="s">
        <v>6768</v>
      </c>
      <c r="F7873" t="s">
        <v>88</v>
      </c>
      <c r="G7873" t="s">
        <v>88</v>
      </c>
      <c r="H7873" t="s">
        <v>92</v>
      </c>
    </row>
    <row r="7874" spans="1:8" x14ac:dyDescent="0.25">
      <c r="A7874" t="s">
        <v>290</v>
      </c>
      <c r="B7874" t="s">
        <v>6769</v>
      </c>
      <c r="C7874" t="s">
        <v>88</v>
      </c>
      <c r="D7874" t="s">
        <v>6770</v>
      </c>
      <c r="E7874" t="s">
        <v>6771</v>
      </c>
      <c r="F7874" t="s">
        <v>88</v>
      </c>
      <c r="G7874" t="s">
        <v>88</v>
      </c>
      <c r="H7874" t="s">
        <v>92</v>
      </c>
    </row>
    <row r="7875" spans="1:8" x14ac:dyDescent="0.25">
      <c r="A7875" t="s">
        <v>290</v>
      </c>
      <c r="B7875" t="s">
        <v>6772</v>
      </c>
      <c r="C7875" t="s">
        <v>88</v>
      </c>
      <c r="D7875" t="s">
        <v>6773</v>
      </c>
      <c r="E7875" t="s">
        <v>807</v>
      </c>
      <c r="F7875" t="s">
        <v>88</v>
      </c>
      <c r="G7875" t="s">
        <v>88</v>
      </c>
      <c r="H7875" t="s">
        <v>92</v>
      </c>
    </row>
    <row r="7876" spans="1:8" x14ac:dyDescent="0.25">
      <c r="A7876" t="s">
        <v>290</v>
      </c>
      <c r="B7876" t="s">
        <v>6774</v>
      </c>
      <c r="C7876" t="s">
        <v>88</v>
      </c>
      <c r="D7876" t="s">
        <v>6775</v>
      </c>
      <c r="E7876" t="s">
        <v>1430</v>
      </c>
      <c r="F7876" t="s">
        <v>88</v>
      </c>
      <c r="G7876" t="s">
        <v>88</v>
      </c>
      <c r="H7876" t="s">
        <v>92</v>
      </c>
    </row>
    <row r="7877" spans="1:8" x14ac:dyDescent="0.25">
      <c r="A7877" t="s">
        <v>290</v>
      </c>
      <c r="B7877" t="s">
        <v>6776</v>
      </c>
      <c r="C7877" t="s">
        <v>88</v>
      </c>
      <c r="D7877" t="s">
        <v>6777</v>
      </c>
      <c r="E7877" t="s">
        <v>3056</v>
      </c>
      <c r="F7877" t="s">
        <v>88</v>
      </c>
      <c r="G7877" t="s">
        <v>88</v>
      </c>
      <c r="H7877" t="s">
        <v>92</v>
      </c>
    </row>
    <row r="7878" spans="1:8" x14ac:dyDescent="0.25">
      <c r="A7878" t="s">
        <v>290</v>
      </c>
      <c r="B7878" t="s">
        <v>6778</v>
      </c>
      <c r="C7878" t="s">
        <v>88</v>
      </c>
      <c r="D7878" t="s">
        <v>6779</v>
      </c>
      <c r="E7878" t="s">
        <v>2925</v>
      </c>
      <c r="F7878" t="s">
        <v>88</v>
      </c>
      <c r="G7878" t="s">
        <v>88</v>
      </c>
      <c r="H7878" t="s">
        <v>92</v>
      </c>
    </row>
    <row r="7879" spans="1:8" x14ac:dyDescent="0.25">
      <c r="A7879" t="s">
        <v>290</v>
      </c>
      <c r="B7879" t="s">
        <v>6780</v>
      </c>
      <c r="C7879" t="s">
        <v>88</v>
      </c>
      <c r="D7879" t="s">
        <v>6781</v>
      </c>
      <c r="E7879" t="s">
        <v>2925</v>
      </c>
      <c r="F7879" t="s">
        <v>88</v>
      </c>
      <c r="G7879" t="s">
        <v>88</v>
      </c>
      <c r="H7879" t="s">
        <v>92</v>
      </c>
    </row>
    <row r="7880" spans="1:8" x14ac:dyDescent="0.25">
      <c r="A7880" t="s">
        <v>290</v>
      </c>
      <c r="B7880" t="s">
        <v>6782</v>
      </c>
      <c r="C7880" t="s">
        <v>88</v>
      </c>
      <c r="D7880" t="s">
        <v>6783</v>
      </c>
      <c r="E7880" t="s">
        <v>1406</v>
      </c>
      <c r="F7880" t="s">
        <v>88</v>
      </c>
      <c r="G7880" t="s">
        <v>88</v>
      </c>
      <c r="H7880" t="s">
        <v>92</v>
      </c>
    </row>
    <row r="7881" spans="1:8" x14ac:dyDescent="0.25">
      <c r="A7881" t="s">
        <v>290</v>
      </c>
      <c r="B7881" t="s">
        <v>6784</v>
      </c>
      <c r="C7881" t="s">
        <v>88</v>
      </c>
      <c r="D7881" t="s">
        <v>6785</v>
      </c>
      <c r="E7881" t="s">
        <v>1406</v>
      </c>
      <c r="F7881" t="s">
        <v>88</v>
      </c>
      <c r="G7881" t="s">
        <v>88</v>
      </c>
      <c r="H7881" t="s">
        <v>92</v>
      </c>
    </row>
    <row r="7882" spans="1:8" x14ac:dyDescent="0.25">
      <c r="A7882" t="s">
        <v>290</v>
      </c>
      <c r="B7882" t="s">
        <v>6786</v>
      </c>
      <c r="C7882" t="s">
        <v>88</v>
      </c>
      <c r="D7882" t="s">
        <v>6787</v>
      </c>
      <c r="E7882" t="s">
        <v>2925</v>
      </c>
      <c r="F7882" t="s">
        <v>88</v>
      </c>
      <c r="G7882" t="s">
        <v>88</v>
      </c>
      <c r="H7882" t="s">
        <v>92</v>
      </c>
    </row>
    <row r="7883" spans="1:8" x14ac:dyDescent="0.25">
      <c r="A7883" t="s">
        <v>290</v>
      </c>
      <c r="B7883" t="s">
        <v>6788</v>
      </c>
      <c r="C7883" t="s">
        <v>88</v>
      </c>
      <c r="D7883" t="s">
        <v>6789</v>
      </c>
      <c r="E7883" t="s">
        <v>3867</v>
      </c>
      <c r="F7883" t="s">
        <v>88</v>
      </c>
      <c r="G7883" t="s">
        <v>88</v>
      </c>
      <c r="H7883" t="s">
        <v>92</v>
      </c>
    </row>
    <row r="7884" spans="1:8" x14ac:dyDescent="0.25">
      <c r="A7884" t="s">
        <v>290</v>
      </c>
      <c r="B7884" t="s">
        <v>6790</v>
      </c>
      <c r="C7884" t="s">
        <v>88</v>
      </c>
      <c r="D7884" t="s">
        <v>6791</v>
      </c>
      <c r="E7884" t="s">
        <v>6089</v>
      </c>
      <c r="F7884" t="s">
        <v>88</v>
      </c>
      <c r="G7884" t="s">
        <v>88</v>
      </c>
      <c r="H7884" t="s">
        <v>92</v>
      </c>
    </row>
    <row r="7885" spans="1:8" x14ac:dyDescent="0.25">
      <c r="A7885" t="s">
        <v>290</v>
      </c>
      <c r="B7885" t="s">
        <v>6792</v>
      </c>
      <c r="C7885" t="s">
        <v>88</v>
      </c>
      <c r="D7885" t="s">
        <v>6793</v>
      </c>
      <c r="E7885" t="s">
        <v>666</v>
      </c>
      <c r="F7885" t="s">
        <v>88</v>
      </c>
      <c r="G7885" t="s">
        <v>88</v>
      </c>
      <c r="H7885" t="s">
        <v>92</v>
      </c>
    </row>
    <row r="7886" spans="1:8" x14ac:dyDescent="0.25">
      <c r="A7886" t="s">
        <v>290</v>
      </c>
      <c r="B7886" t="s">
        <v>6794</v>
      </c>
      <c r="C7886" t="s">
        <v>88</v>
      </c>
      <c r="D7886" t="s">
        <v>6795</v>
      </c>
      <c r="E7886" t="s">
        <v>6123</v>
      </c>
      <c r="F7886" t="s">
        <v>88</v>
      </c>
      <c r="G7886" t="s">
        <v>88</v>
      </c>
      <c r="H7886" t="s">
        <v>92</v>
      </c>
    </row>
    <row r="7887" spans="1:8" x14ac:dyDescent="0.25">
      <c r="A7887" t="s">
        <v>290</v>
      </c>
      <c r="B7887" t="s">
        <v>6796</v>
      </c>
      <c r="C7887" t="s">
        <v>88</v>
      </c>
      <c r="D7887" t="s">
        <v>6797</v>
      </c>
      <c r="E7887" t="s">
        <v>4294</v>
      </c>
      <c r="F7887" t="s">
        <v>88</v>
      </c>
      <c r="G7887" t="s">
        <v>88</v>
      </c>
      <c r="H7887" t="s">
        <v>92</v>
      </c>
    </row>
    <row r="7888" spans="1:8" x14ac:dyDescent="0.25">
      <c r="A7888" t="s">
        <v>290</v>
      </c>
      <c r="B7888" t="s">
        <v>6798</v>
      </c>
      <c r="C7888" t="s">
        <v>88</v>
      </c>
      <c r="D7888" t="s">
        <v>6799</v>
      </c>
      <c r="E7888" t="s">
        <v>1459</v>
      </c>
      <c r="F7888" t="s">
        <v>88</v>
      </c>
      <c r="G7888" t="s">
        <v>88</v>
      </c>
      <c r="H7888" t="s">
        <v>92</v>
      </c>
    </row>
    <row r="7889" spans="1:8" x14ac:dyDescent="0.25">
      <c r="A7889" t="s">
        <v>290</v>
      </c>
      <c r="B7889" t="s">
        <v>6800</v>
      </c>
      <c r="C7889" t="s">
        <v>88</v>
      </c>
      <c r="D7889" t="s">
        <v>6801</v>
      </c>
      <c r="E7889" t="s">
        <v>1194</v>
      </c>
      <c r="F7889" t="s">
        <v>88</v>
      </c>
      <c r="G7889" t="s">
        <v>88</v>
      </c>
      <c r="H7889" t="s">
        <v>92</v>
      </c>
    </row>
    <row r="7890" spans="1:8" x14ac:dyDescent="0.25">
      <c r="A7890" t="s">
        <v>290</v>
      </c>
      <c r="B7890" t="s">
        <v>2965</v>
      </c>
      <c r="C7890" t="s">
        <v>88</v>
      </c>
      <c r="D7890" t="s">
        <v>6802</v>
      </c>
      <c r="E7890" t="s">
        <v>1459</v>
      </c>
      <c r="F7890" t="s">
        <v>88</v>
      </c>
      <c r="G7890" t="s">
        <v>88</v>
      </c>
      <c r="H7890" t="s">
        <v>92</v>
      </c>
    </row>
    <row r="7891" spans="1:8" x14ac:dyDescent="0.25">
      <c r="A7891" t="s">
        <v>290</v>
      </c>
      <c r="B7891" t="s">
        <v>6803</v>
      </c>
      <c r="C7891" t="s">
        <v>88</v>
      </c>
      <c r="D7891" t="s">
        <v>6804</v>
      </c>
      <c r="E7891" t="s">
        <v>6325</v>
      </c>
      <c r="F7891" t="s">
        <v>88</v>
      </c>
      <c r="G7891" t="s">
        <v>88</v>
      </c>
      <c r="H7891" t="s">
        <v>92</v>
      </c>
    </row>
    <row r="7892" spans="1:8" x14ac:dyDescent="0.25">
      <c r="A7892" t="s">
        <v>290</v>
      </c>
      <c r="B7892" t="s">
        <v>6805</v>
      </c>
      <c r="C7892" t="s">
        <v>88</v>
      </c>
      <c r="D7892" t="s">
        <v>6806</v>
      </c>
      <c r="E7892" t="s">
        <v>1462</v>
      </c>
      <c r="F7892" t="s">
        <v>88</v>
      </c>
      <c r="G7892" t="s">
        <v>88</v>
      </c>
      <c r="H7892" t="s">
        <v>92</v>
      </c>
    </row>
    <row r="7893" spans="1:8" x14ac:dyDescent="0.25">
      <c r="A7893" t="s">
        <v>290</v>
      </c>
      <c r="B7893" t="s">
        <v>6807</v>
      </c>
      <c r="C7893" t="s">
        <v>88</v>
      </c>
      <c r="D7893" t="s">
        <v>6808</v>
      </c>
      <c r="E7893" t="s">
        <v>1406</v>
      </c>
      <c r="F7893" t="s">
        <v>88</v>
      </c>
      <c r="G7893" t="s">
        <v>88</v>
      </c>
      <c r="H7893" t="s">
        <v>92</v>
      </c>
    </row>
    <row r="7894" spans="1:8" x14ac:dyDescent="0.25">
      <c r="A7894" t="s">
        <v>290</v>
      </c>
      <c r="B7894" t="s">
        <v>6809</v>
      </c>
      <c r="C7894" t="s">
        <v>88</v>
      </c>
      <c r="D7894" t="s">
        <v>6810</v>
      </c>
      <c r="E7894" t="s">
        <v>1459</v>
      </c>
      <c r="F7894" t="s">
        <v>88</v>
      </c>
      <c r="G7894" t="s">
        <v>88</v>
      </c>
      <c r="H7894" t="s">
        <v>92</v>
      </c>
    </row>
    <row r="7895" spans="1:8" x14ac:dyDescent="0.25">
      <c r="A7895" t="s">
        <v>290</v>
      </c>
      <c r="B7895" t="s">
        <v>6811</v>
      </c>
      <c r="C7895" t="s">
        <v>88</v>
      </c>
      <c r="D7895" t="s">
        <v>6812</v>
      </c>
      <c r="E7895" t="s">
        <v>1052</v>
      </c>
      <c r="F7895" t="s">
        <v>88</v>
      </c>
      <c r="G7895" t="s">
        <v>88</v>
      </c>
      <c r="H7895" t="s">
        <v>92</v>
      </c>
    </row>
    <row r="7896" spans="1:8" x14ac:dyDescent="0.25">
      <c r="A7896" t="s">
        <v>290</v>
      </c>
      <c r="B7896" t="s">
        <v>6813</v>
      </c>
      <c r="C7896" t="s">
        <v>88</v>
      </c>
      <c r="D7896" t="s">
        <v>6814</v>
      </c>
      <c r="E7896" t="s">
        <v>2805</v>
      </c>
      <c r="F7896" t="s">
        <v>88</v>
      </c>
      <c r="G7896" t="s">
        <v>88</v>
      </c>
      <c r="H7896" t="s">
        <v>92</v>
      </c>
    </row>
    <row r="7897" spans="1:8" x14ac:dyDescent="0.25">
      <c r="A7897" t="s">
        <v>290</v>
      </c>
      <c r="B7897" t="s">
        <v>6815</v>
      </c>
      <c r="C7897" t="s">
        <v>88</v>
      </c>
      <c r="D7897" t="s">
        <v>6816</v>
      </c>
      <c r="E7897" t="s">
        <v>1406</v>
      </c>
      <c r="F7897" t="s">
        <v>88</v>
      </c>
      <c r="G7897" t="s">
        <v>88</v>
      </c>
      <c r="H7897" t="s">
        <v>92</v>
      </c>
    </row>
    <row r="7898" spans="1:8" x14ac:dyDescent="0.25">
      <c r="A7898" t="s">
        <v>290</v>
      </c>
      <c r="B7898" t="s">
        <v>6817</v>
      </c>
      <c r="C7898" t="s">
        <v>88</v>
      </c>
      <c r="D7898" t="s">
        <v>6818</v>
      </c>
      <c r="E7898" t="s">
        <v>3724</v>
      </c>
      <c r="F7898" t="s">
        <v>88</v>
      </c>
      <c r="G7898" t="s">
        <v>88</v>
      </c>
      <c r="H7898" t="s">
        <v>92</v>
      </c>
    </row>
    <row r="7899" spans="1:8" x14ac:dyDescent="0.25">
      <c r="A7899" t="s">
        <v>290</v>
      </c>
      <c r="B7899" t="s">
        <v>6819</v>
      </c>
      <c r="C7899" t="s">
        <v>88</v>
      </c>
      <c r="D7899" t="s">
        <v>6820</v>
      </c>
      <c r="E7899" t="s">
        <v>2805</v>
      </c>
      <c r="F7899" t="s">
        <v>88</v>
      </c>
      <c r="G7899" t="s">
        <v>88</v>
      </c>
      <c r="H7899" t="s">
        <v>92</v>
      </c>
    </row>
    <row r="7900" spans="1:8" x14ac:dyDescent="0.25">
      <c r="A7900" t="s">
        <v>290</v>
      </c>
      <c r="B7900" t="s">
        <v>6821</v>
      </c>
      <c r="C7900" t="s">
        <v>88</v>
      </c>
      <c r="D7900" t="s">
        <v>6822</v>
      </c>
      <c r="E7900" t="s">
        <v>1484</v>
      </c>
      <c r="F7900" t="s">
        <v>88</v>
      </c>
      <c r="G7900" t="s">
        <v>88</v>
      </c>
      <c r="H7900" t="s">
        <v>92</v>
      </c>
    </row>
    <row r="7901" spans="1:8" x14ac:dyDescent="0.25">
      <c r="A7901" t="s">
        <v>290</v>
      </c>
      <c r="B7901" t="s">
        <v>671</v>
      </c>
      <c r="C7901" t="s">
        <v>88</v>
      </c>
      <c r="D7901" t="s">
        <v>6823</v>
      </c>
      <c r="E7901" t="s">
        <v>889</v>
      </c>
      <c r="F7901" t="s">
        <v>88</v>
      </c>
      <c r="G7901" t="s">
        <v>88</v>
      </c>
      <c r="H7901" t="s">
        <v>92</v>
      </c>
    </row>
    <row r="7902" spans="1:8" x14ac:dyDescent="0.25">
      <c r="A7902" t="s">
        <v>290</v>
      </c>
      <c r="B7902" t="s">
        <v>6824</v>
      </c>
      <c r="C7902" t="s">
        <v>88</v>
      </c>
      <c r="D7902" t="s">
        <v>6825</v>
      </c>
      <c r="E7902" t="s">
        <v>2895</v>
      </c>
      <c r="F7902" t="s">
        <v>88</v>
      </c>
      <c r="G7902" t="s">
        <v>88</v>
      </c>
      <c r="H7902" t="s">
        <v>92</v>
      </c>
    </row>
    <row r="7903" spans="1:8" x14ac:dyDescent="0.25">
      <c r="A7903" t="s">
        <v>290</v>
      </c>
      <c r="B7903" t="s">
        <v>6826</v>
      </c>
      <c r="C7903" t="s">
        <v>88</v>
      </c>
      <c r="D7903" t="s">
        <v>6827</v>
      </c>
      <c r="E7903" t="s">
        <v>1523</v>
      </c>
      <c r="F7903" t="s">
        <v>88</v>
      </c>
      <c r="G7903" t="s">
        <v>88</v>
      </c>
      <c r="H7903" t="s">
        <v>92</v>
      </c>
    </row>
    <row r="7904" spans="1:8" x14ac:dyDescent="0.25">
      <c r="A7904" t="s">
        <v>290</v>
      </c>
      <c r="B7904" t="s">
        <v>6828</v>
      </c>
      <c r="C7904" t="s">
        <v>88</v>
      </c>
      <c r="D7904" t="s">
        <v>6829</v>
      </c>
      <c r="E7904" t="s">
        <v>1490</v>
      </c>
      <c r="F7904" t="s">
        <v>88</v>
      </c>
      <c r="G7904" t="s">
        <v>88</v>
      </c>
      <c r="H7904" t="s">
        <v>92</v>
      </c>
    </row>
    <row r="7905" spans="1:8" x14ac:dyDescent="0.25">
      <c r="A7905" t="s">
        <v>290</v>
      </c>
      <c r="B7905" t="s">
        <v>6830</v>
      </c>
      <c r="C7905" t="s">
        <v>88</v>
      </c>
      <c r="D7905" t="s">
        <v>6831</v>
      </c>
      <c r="E7905" t="s">
        <v>1452</v>
      </c>
      <c r="F7905" t="s">
        <v>88</v>
      </c>
      <c r="G7905" t="s">
        <v>88</v>
      </c>
      <c r="H7905" t="s">
        <v>92</v>
      </c>
    </row>
    <row r="7906" spans="1:8" x14ac:dyDescent="0.25">
      <c r="A7906" t="s">
        <v>290</v>
      </c>
      <c r="B7906" t="s">
        <v>6832</v>
      </c>
      <c r="C7906" t="s">
        <v>88</v>
      </c>
      <c r="D7906" t="s">
        <v>6833</v>
      </c>
      <c r="E7906" t="s">
        <v>1526</v>
      </c>
      <c r="F7906" t="s">
        <v>88</v>
      </c>
      <c r="G7906" t="s">
        <v>88</v>
      </c>
      <c r="H7906" t="s">
        <v>92</v>
      </c>
    </row>
    <row r="7907" spans="1:8" x14ac:dyDescent="0.25">
      <c r="A7907" t="s">
        <v>290</v>
      </c>
      <c r="B7907" t="s">
        <v>6834</v>
      </c>
      <c r="C7907" t="s">
        <v>88</v>
      </c>
      <c r="D7907" t="s">
        <v>88</v>
      </c>
      <c r="E7907" t="s">
        <v>1484</v>
      </c>
      <c r="F7907" t="s">
        <v>88</v>
      </c>
      <c r="G7907" t="s">
        <v>88</v>
      </c>
      <c r="H7907" t="s">
        <v>92</v>
      </c>
    </row>
    <row r="7908" spans="1:8" x14ac:dyDescent="0.25">
      <c r="A7908" t="s">
        <v>290</v>
      </c>
      <c r="B7908" t="s">
        <v>6835</v>
      </c>
      <c r="C7908" t="s">
        <v>88</v>
      </c>
      <c r="D7908" t="s">
        <v>88</v>
      </c>
      <c r="E7908" t="s">
        <v>1526</v>
      </c>
      <c r="F7908" t="s">
        <v>88</v>
      </c>
      <c r="G7908" t="s">
        <v>88</v>
      </c>
      <c r="H7908" t="s">
        <v>92</v>
      </c>
    </row>
    <row r="7909" spans="1:8" x14ac:dyDescent="0.25">
      <c r="A7909" t="s">
        <v>290</v>
      </c>
      <c r="B7909" t="s">
        <v>6836</v>
      </c>
      <c r="C7909" t="s">
        <v>88</v>
      </c>
      <c r="D7909" t="s">
        <v>6837</v>
      </c>
      <c r="E7909" t="s">
        <v>1526</v>
      </c>
      <c r="F7909" t="s">
        <v>88</v>
      </c>
      <c r="G7909" t="s">
        <v>88</v>
      </c>
      <c r="H7909" t="s">
        <v>92</v>
      </c>
    </row>
    <row r="7910" spans="1:8" x14ac:dyDescent="0.25">
      <c r="A7910" t="s">
        <v>290</v>
      </c>
      <c r="B7910" t="s">
        <v>6838</v>
      </c>
      <c r="C7910" t="s">
        <v>88</v>
      </c>
      <c r="D7910" t="s">
        <v>88</v>
      </c>
      <c r="E7910" t="s">
        <v>1523</v>
      </c>
      <c r="F7910" t="s">
        <v>88</v>
      </c>
      <c r="G7910" t="s">
        <v>88</v>
      </c>
      <c r="H7910" t="s">
        <v>92</v>
      </c>
    </row>
    <row r="7911" spans="1:8" x14ac:dyDescent="0.25">
      <c r="A7911" t="s">
        <v>290</v>
      </c>
      <c r="B7911" t="s">
        <v>6839</v>
      </c>
      <c r="C7911" t="s">
        <v>88</v>
      </c>
      <c r="D7911" t="s">
        <v>88</v>
      </c>
      <c r="E7911" t="s">
        <v>6840</v>
      </c>
      <c r="F7911" t="s">
        <v>88</v>
      </c>
      <c r="G7911" t="s">
        <v>88</v>
      </c>
      <c r="H7911" t="s">
        <v>92</v>
      </c>
    </row>
    <row r="7912" spans="1:8" x14ac:dyDescent="0.25">
      <c r="A7912" t="s">
        <v>290</v>
      </c>
      <c r="B7912" t="s">
        <v>6841</v>
      </c>
      <c r="C7912" t="s">
        <v>88</v>
      </c>
      <c r="D7912" t="s">
        <v>88</v>
      </c>
      <c r="E7912" t="s">
        <v>1526</v>
      </c>
      <c r="F7912" t="s">
        <v>88</v>
      </c>
      <c r="G7912" t="s">
        <v>88</v>
      </c>
      <c r="H7912" t="s">
        <v>92</v>
      </c>
    </row>
    <row r="7913" spans="1:8" x14ac:dyDescent="0.25">
      <c r="A7913" t="s">
        <v>290</v>
      </c>
      <c r="B7913" t="s">
        <v>6842</v>
      </c>
      <c r="C7913" t="s">
        <v>88</v>
      </c>
      <c r="D7913" t="s">
        <v>88</v>
      </c>
      <c r="E7913" t="s">
        <v>1052</v>
      </c>
      <c r="F7913" t="s">
        <v>88</v>
      </c>
      <c r="G7913" t="s">
        <v>88</v>
      </c>
      <c r="H7913" t="s">
        <v>92</v>
      </c>
    </row>
    <row r="7914" spans="1:8" x14ac:dyDescent="0.25">
      <c r="A7914" t="s">
        <v>290</v>
      </c>
      <c r="B7914" t="s">
        <v>6843</v>
      </c>
      <c r="C7914" t="s">
        <v>88</v>
      </c>
      <c r="D7914" t="s">
        <v>88</v>
      </c>
      <c r="E7914" t="s">
        <v>1484</v>
      </c>
      <c r="F7914" t="s">
        <v>88</v>
      </c>
      <c r="G7914" t="s">
        <v>88</v>
      </c>
      <c r="H7914" t="s">
        <v>92</v>
      </c>
    </row>
    <row r="7915" spans="1:8" x14ac:dyDescent="0.25">
      <c r="A7915" t="s">
        <v>290</v>
      </c>
      <c r="B7915" t="s">
        <v>6844</v>
      </c>
      <c r="C7915" t="s">
        <v>88</v>
      </c>
      <c r="D7915" t="s">
        <v>88</v>
      </c>
      <c r="E7915" t="s">
        <v>1506</v>
      </c>
      <c r="F7915" t="s">
        <v>88</v>
      </c>
      <c r="G7915" t="s">
        <v>88</v>
      </c>
      <c r="H7915" t="s">
        <v>92</v>
      </c>
    </row>
    <row r="7916" spans="1:8" x14ac:dyDescent="0.25">
      <c r="A7916" t="s">
        <v>290</v>
      </c>
      <c r="B7916" t="s">
        <v>6845</v>
      </c>
      <c r="C7916" t="s">
        <v>88</v>
      </c>
      <c r="D7916" t="s">
        <v>88</v>
      </c>
      <c r="E7916" t="s">
        <v>1484</v>
      </c>
      <c r="F7916" t="s">
        <v>88</v>
      </c>
      <c r="G7916" t="s">
        <v>88</v>
      </c>
      <c r="H7916" t="s">
        <v>92</v>
      </c>
    </row>
    <row r="7917" spans="1:8" x14ac:dyDescent="0.25">
      <c r="A7917" t="s">
        <v>290</v>
      </c>
      <c r="B7917" t="s">
        <v>6846</v>
      </c>
      <c r="C7917" t="s">
        <v>88</v>
      </c>
      <c r="D7917" t="s">
        <v>88</v>
      </c>
      <c r="E7917" t="s">
        <v>1406</v>
      </c>
      <c r="F7917" t="s">
        <v>88</v>
      </c>
      <c r="G7917" t="s">
        <v>88</v>
      </c>
      <c r="H7917" t="s">
        <v>92</v>
      </c>
    </row>
    <row r="7918" spans="1:8" x14ac:dyDescent="0.25">
      <c r="A7918" t="s">
        <v>290</v>
      </c>
      <c r="B7918" t="s">
        <v>3052</v>
      </c>
      <c r="C7918" t="s">
        <v>88</v>
      </c>
      <c r="D7918" t="s">
        <v>88</v>
      </c>
      <c r="E7918" t="s">
        <v>1484</v>
      </c>
      <c r="F7918" t="s">
        <v>88</v>
      </c>
      <c r="G7918" t="s">
        <v>88</v>
      </c>
      <c r="H7918" t="s">
        <v>92</v>
      </c>
    </row>
    <row r="7919" spans="1:8" x14ac:dyDescent="0.25">
      <c r="A7919" t="s">
        <v>290</v>
      </c>
      <c r="B7919" t="s">
        <v>6847</v>
      </c>
      <c r="C7919" t="s">
        <v>88</v>
      </c>
      <c r="D7919" t="s">
        <v>88</v>
      </c>
      <c r="E7919" t="s">
        <v>1478</v>
      </c>
      <c r="F7919" t="s">
        <v>88</v>
      </c>
      <c r="G7919" t="s">
        <v>88</v>
      </c>
      <c r="H7919" t="s">
        <v>92</v>
      </c>
    </row>
    <row r="7920" spans="1:8" x14ac:dyDescent="0.25">
      <c r="A7920" t="s">
        <v>290</v>
      </c>
      <c r="B7920" t="s">
        <v>6848</v>
      </c>
      <c r="C7920" t="s">
        <v>88</v>
      </c>
      <c r="D7920" t="s">
        <v>88</v>
      </c>
      <c r="E7920" t="s">
        <v>1462</v>
      </c>
      <c r="F7920" t="s">
        <v>88</v>
      </c>
      <c r="G7920" t="s">
        <v>88</v>
      </c>
      <c r="H7920" t="s">
        <v>92</v>
      </c>
    </row>
    <row r="7921" spans="1:8" x14ac:dyDescent="0.25">
      <c r="A7921" t="s">
        <v>290</v>
      </c>
      <c r="B7921" t="s">
        <v>6849</v>
      </c>
      <c r="C7921" t="s">
        <v>88</v>
      </c>
      <c r="D7921" t="s">
        <v>88</v>
      </c>
      <c r="E7921" t="s">
        <v>1481</v>
      </c>
      <c r="F7921" t="s">
        <v>88</v>
      </c>
      <c r="G7921" t="s">
        <v>88</v>
      </c>
      <c r="H7921" t="s">
        <v>92</v>
      </c>
    </row>
    <row r="7922" spans="1:8" x14ac:dyDescent="0.25">
      <c r="A7922" t="s">
        <v>290</v>
      </c>
      <c r="B7922" t="s">
        <v>1868</v>
      </c>
      <c r="C7922" t="s">
        <v>88</v>
      </c>
      <c r="D7922" t="s">
        <v>88</v>
      </c>
      <c r="E7922" t="s">
        <v>1574</v>
      </c>
      <c r="F7922" t="s">
        <v>88</v>
      </c>
      <c r="G7922" t="s">
        <v>88</v>
      </c>
      <c r="H7922" t="s">
        <v>92</v>
      </c>
    </row>
    <row r="7923" spans="1:8" x14ac:dyDescent="0.25">
      <c r="A7923" t="s">
        <v>290</v>
      </c>
      <c r="B7923" t="s">
        <v>583</v>
      </c>
      <c r="C7923" t="s">
        <v>88</v>
      </c>
      <c r="D7923" t="s">
        <v>88</v>
      </c>
      <c r="E7923" t="s">
        <v>1487</v>
      </c>
      <c r="F7923" t="s">
        <v>88</v>
      </c>
      <c r="G7923" t="s">
        <v>88</v>
      </c>
      <c r="H7923" t="s">
        <v>92</v>
      </c>
    </row>
    <row r="7924" spans="1:8" x14ac:dyDescent="0.25">
      <c r="A7924" t="s">
        <v>290</v>
      </c>
      <c r="B7924" t="s">
        <v>6850</v>
      </c>
      <c r="C7924" t="s">
        <v>88</v>
      </c>
      <c r="D7924" t="s">
        <v>6851</v>
      </c>
      <c r="E7924" t="s">
        <v>1487</v>
      </c>
      <c r="F7924" t="s">
        <v>88</v>
      </c>
      <c r="G7924" t="s">
        <v>88</v>
      </c>
      <c r="H7924" t="s">
        <v>92</v>
      </c>
    </row>
    <row r="7925" spans="1:8" x14ac:dyDescent="0.25">
      <c r="A7925" t="s">
        <v>290</v>
      </c>
      <c r="B7925" t="s">
        <v>6852</v>
      </c>
      <c r="C7925" t="s">
        <v>88</v>
      </c>
      <c r="D7925" t="s">
        <v>88</v>
      </c>
      <c r="E7925" t="s">
        <v>1590</v>
      </c>
      <c r="F7925" t="s">
        <v>88</v>
      </c>
      <c r="G7925" t="s">
        <v>88</v>
      </c>
      <c r="H7925" t="s">
        <v>92</v>
      </c>
    </row>
    <row r="7926" spans="1:8" x14ac:dyDescent="0.25">
      <c r="A7926" t="s">
        <v>290</v>
      </c>
      <c r="B7926" t="s">
        <v>6853</v>
      </c>
      <c r="C7926" t="s">
        <v>88</v>
      </c>
      <c r="D7926" t="s">
        <v>88</v>
      </c>
      <c r="E7926" t="s">
        <v>1568</v>
      </c>
      <c r="F7926" t="s">
        <v>88</v>
      </c>
      <c r="G7926" t="s">
        <v>88</v>
      </c>
      <c r="H7926" t="s">
        <v>92</v>
      </c>
    </row>
    <row r="7927" spans="1:8" x14ac:dyDescent="0.25">
      <c r="A7927" t="s">
        <v>290</v>
      </c>
      <c r="B7927" t="s">
        <v>6854</v>
      </c>
      <c r="C7927" t="s">
        <v>88</v>
      </c>
      <c r="D7927" t="s">
        <v>88</v>
      </c>
      <c r="E7927" t="s">
        <v>6650</v>
      </c>
      <c r="F7927" t="s">
        <v>88</v>
      </c>
      <c r="G7927" t="s">
        <v>88</v>
      </c>
      <c r="H7927" t="s">
        <v>92</v>
      </c>
    </row>
    <row r="7928" spans="1:8" x14ac:dyDescent="0.25">
      <c r="A7928" t="s">
        <v>290</v>
      </c>
      <c r="B7928" t="s">
        <v>6855</v>
      </c>
      <c r="C7928" t="s">
        <v>88</v>
      </c>
      <c r="D7928" t="s">
        <v>88</v>
      </c>
      <c r="E7928" t="s">
        <v>791</v>
      </c>
      <c r="F7928" t="s">
        <v>88</v>
      </c>
      <c r="G7928" t="s">
        <v>88</v>
      </c>
      <c r="H7928" t="s">
        <v>92</v>
      </c>
    </row>
    <row r="7929" spans="1:8" x14ac:dyDescent="0.25">
      <c r="A7929" t="s">
        <v>290</v>
      </c>
      <c r="B7929" t="s">
        <v>608</v>
      </c>
      <c r="C7929" t="s">
        <v>88</v>
      </c>
      <c r="D7929" t="s">
        <v>88</v>
      </c>
      <c r="E7929" t="s">
        <v>799</v>
      </c>
      <c r="F7929" t="s">
        <v>88</v>
      </c>
      <c r="G7929" t="s">
        <v>88</v>
      </c>
      <c r="H7929" t="s">
        <v>92</v>
      </c>
    </row>
    <row r="7930" spans="1:8" x14ac:dyDescent="0.25">
      <c r="A7930" t="s">
        <v>290</v>
      </c>
      <c r="B7930" t="s">
        <v>2210</v>
      </c>
      <c r="C7930" t="s">
        <v>88</v>
      </c>
      <c r="D7930" t="s">
        <v>88</v>
      </c>
      <c r="E7930" t="s">
        <v>702</v>
      </c>
      <c r="F7930" t="s">
        <v>88</v>
      </c>
      <c r="G7930" t="s">
        <v>88</v>
      </c>
      <c r="H7930" t="s">
        <v>92</v>
      </c>
    </row>
    <row r="7931" spans="1:8" x14ac:dyDescent="0.25">
      <c r="A7931" t="s">
        <v>290</v>
      </c>
      <c r="B7931" t="s">
        <v>610</v>
      </c>
      <c r="C7931" t="s">
        <v>88</v>
      </c>
      <c r="D7931" t="s">
        <v>88</v>
      </c>
      <c r="E7931" t="s">
        <v>732</v>
      </c>
      <c r="F7931" t="s">
        <v>88</v>
      </c>
      <c r="G7931" t="s">
        <v>88</v>
      </c>
      <c r="H7931" t="s">
        <v>92</v>
      </c>
    </row>
    <row r="7932" spans="1:8" x14ac:dyDescent="0.25">
      <c r="A7932" t="s">
        <v>290</v>
      </c>
      <c r="B7932" t="s">
        <v>6856</v>
      </c>
      <c r="C7932" t="s">
        <v>88</v>
      </c>
      <c r="D7932" t="s">
        <v>88</v>
      </c>
      <c r="E7932" t="s">
        <v>3112</v>
      </c>
      <c r="F7932" t="s">
        <v>88</v>
      </c>
      <c r="G7932" t="s">
        <v>88</v>
      </c>
      <c r="H7932" t="s">
        <v>92</v>
      </c>
    </row>
    <row r="7933" spans="1:8" x14ac:dyDescent="0.25">
      <c r="A7933" t="s">
        <v>290</v>
      </c>
      <c r="B7933" t="s">
        <v>6857</v>
      </c>
      <c r="C7933" t="s">
        <v>88</v>
      </c>
      <c r="D7933" t="s">
        <v>88</v>
      </c>
      <c r="E7933" t="s">
        <v>1600</v>
      </c>
      <c r="F7933" t="s">
        <v>88</v>
      </c>
      <c r="G7933" t="s">
        <v>88</v>
      </c>
      <c r="H7933" t="s">
        <v>92</v>
      </c>
    </row>
    <row r="7934" spans="1:8" x14ac:dyDescent="0.25">
      <c r="A7934" t="s">
        <v>290</v>
      </c>
      <c r="B7934" t="s">
        <v>6858</v>
      </c>
      <c r="C7934" t="s">
        <v>88</v>
      </c>
      <c r="D7934" t="s">
        <v>88</v>
      </c>
      <c r="E7934" t="s">
        <v>1571</v>
      </c>
      <c r="F7934" t="s">
        <v>88</v>
      </c>
      <c r="G7934" t="s">
        <v>88</v>
      </c>
      <c r="H7934" t="s">
        <v>92</v>
      </c>
    </row>
    <row r="7935" spans="1:8" x14ac:dyDescent="0.25">
      <c r="A7935" t="s">
        <v>290</v>
      </c>
      <c r="B7935" t="s">
        <v>6859</v>
      </c>
      <c r="C7935" t="s">
        <v>88</v>
      </c>
      <c r="D7935" t="s">
        <v>88</v>
      </c>
      <c r="E7935" t="s">
        <v>1590</v>
      </c>
      <c r="F7935" t="s">
        <v>88</v>
      </c>
      <c r="G7935" t="s">
        <v>88</v>
      </c>
      <c r="H7935" t="s">
        <v>92</v>
      </c>
    </row>
    <row r="7936" spans="1:8" x14ac:dyDescent="0.25">
      <c r="A7936" t="s">
        <v>290</v>
      </c>
      <c r="B7936" t="s">
        <v>6860</v>
      </c>
      <c r="C7936" t="s">
        <v>88</v>
      </c>
      <c r="D7936" t="s">
        <v>6861</v>
      </c>
      <c r="E7936" t="s">
        <v>1598</v>
      </c>
      <c r="F7936" t="s">
        <v>88</v>
      </c>
      <c r="G7936" t="s">
        <v>88</v>
      </c>
      <c r="H7936" t="s">
        <v>92</v>
      </c>
    </row>
    <row r="7937" spans="1:8" x14ac:dyDescent="0.25">
      <c r="A7937" t="s">
        <v>290</v>
      </c>
      <c r="B7937" t="s">
        <v>6862</v>
      </c>
      <c r="C7937" t="s">
        <v>88</v>
      </c>
      <c r="D7937" t="s">
        <v>88</v>
      </c>
      <c r="E7937" t="s">
        <v>715</v>
      </c>
      <c r="F7937" t="s">
        <v>88</v>
      </c>
      <c r="G7937" t="s">
        <v>88</v>
      </c>
      <c r="H7937" t="s">
        <v>92</v>
      </c>
    </row>
    <row r="7938" spans="1:8" x14ac:dyDescent="0.25">
      <c r="A7938" t="s">
        <v>290</v>
      </c>
      <c r="B7938" t="s">
        <v>6863</v>
      </c>
      <c r="C7938" t="s">
        <v>88</v>
      </c>
      <c r="D7938" t="s">
        <v>88</v>
      </c>
      <c r="E7938" t="s">
        <v>1598</v>
      </c>
      <c r="F7938" t="s">
        <v>88</v>
      </c>
      <c r="G7938" t="s">
        <v>88</v>
      </c>
      <c r="H7938" t="s">
        <v>92</v>
      </c>
    </row>
    <row r="7939" spans="1:8" x14ac:dyDescent="0.25">
      <c r="A7939" t="s">
        <v>290</v>
      </c>
      <c r="B7939" t="s">
        <v>6864</v>
      </c>
      <c r="C7939" t="s">
        <v>88</v>
      </c>
      <c r="D7939" t="s">
        <v>88</v>
      </c>
      <c r="E7939" t="s">
        <v>1598</v>
      </c>
      <c r="F7939" t="s">
        <v>88</v>
      </c>
      <c r="G7939" t="s">
        <v>88</v>
      </c>
      <c r="H7939" t="s">
        <v>92</v>
      </c>
    </row>
    <row r="7940" spans="1:8" x14ac:dyDescent="0.25">
      <c r="A7940" t="s">
        <v>290</v>
      </c>
      <c r="B7940" t="s">
        <v>6865</v>
      </c>
      <c r="C7940" t="s">
        <v>88</v>
      </c>
      <c r="D7940" t="s">
        <v>88</v>
      </c>
      <c r="E7940" t="s">
        <v>1596</v>
      </c>
      <c r="F7940" t="s">
        <v>88</v>
      </c>
      <c r="G7940" t="s">
        <v>88</v>
      </c>
      <c r="H7940" t="s">
        <v>92</v>
      </c>
    </row>
    <row r="7941" spans="1:8" x14ac:dyDescent="0.25">
      <c r="A7941" t="s">
        <v>290</v>
      </c>
      <c r="B7941" t="s">
        <v>6208</v>
      </c>
      <c r="C7941" t="s">
        <v>88</v>
      </c>
      <c r="D7941" t="s">
        <v>88</v>
      </c>
      <c r="E7941" t="s">
        <v>1596</v>
      </c>
      <c r="F7941" t="s">
        <v>88</v>
      </c>
      <c r="G7941" t="s">
        <v>88</v>
      </c>
      <c r="H7941" t="s">
        <v>92</v>
      </c>
    </row>
    <row r="7942" spans="1:8" x14ac:dyDescent="0.25">
      <c r="A7942" t="s">
        <v>290</v>
      </c>
      <c r="B7942" t="s">
        <v>6866</v>
      </c>
      <c r="C7942" t="s">
        <v>88</v>
      </c>
      <c r="D7942" t="s">
        <v>88</v>
      </c>
      <c r="E7942" t="s">
        <v>6650</v>
      </c>
      <c r="F7942" t="s">
        <v>88</v>
      </c>
      <c r="G7942" t="s">
        <v>88</v>
      </c>
      <c r="H7942" t="s">
        <v>92</v>
      </c>
    </row>
    <row r="7943" spans="1:8" x14ac:dyDescent="0.25">
      <c r="A7943" t="s">
        <v>290</v>
      </c>
      <c r="B7943" t="s">
        <v>6867</v>
      </c>
      <c r="C7943" t="s">
        <v>88</v>
      </c>
      <c r="D7943" t="s">
        <v>88</v>
      </c>
      <c r="E7943" t="s">
        <v>6650</v>
      </c>
      <c r="F7943" t="s">
        <v>88</v>
      </c>
      <c r="G7943" t="s">
        <v>88</v>
      </c>
      <c r="H7943" t="s">
        <v>92</v>
      </c>
    </row>
    <row r="7944" spans="1:8" x14ac:dyDescent="0.25">
      <c r="A7944" t="s">
        <v>290</v>
      </c>
      <c r="B7944" t="s">
        <v>705</v>
      </c>
      <c r="C7944" t="s">
        <v>88</v>
      </c>
      <c r="D7944" t="s">
        <v>88</v>
      </c>
      <c r="E7944" t="s">
        <v>1636</v>
      </c>
      <c r="F7944" t="s">
        <v>88</v>
      </c>
      <c r="G7944" t="s">
        <v>88</v>
      </c>
      <c r="H7944" t="s">
        <v>92</v>
      </c>
    </row>
    <row r="7945" spans="1:8" x14ac:dyDescent="0.25">
      <c r="A7945" t="s">
        <v>290</v>
      </c>
      <c r="B7945" t="s">
        <v>706</v>
      </c>
      <c r="C7945" t="s">
        <v>88</v>
      </c>
      <c r="D7945" t="s">
        <v>88</v>
      </c>
      <c r="E7945" t="s">
        <v>1636</v>
      </c>
      <c r="F7945" t="s">
        <v>88</v>
      </c>
      <c r="G7945" t="s">
        <v>88</v>
      </c>
      <c r="H7945" t="s">
        <v>92</v>
      </c>
    </row>
    <row r="7946" spans="1:8" x14ac:dyDescent="0.25">
      <c r="A7946" t="s">
        <v>290</v>
      </c>
      <c r="B7946" t="s">
        <v>998</v>
      </c>
      <c r="C7946" t="s">
        <v>88</v>
      </c>
      <c r="D7946" t="s">
        <v>88</v>
      </c>
      <c r="E7946" t="s">
        <v>1653</v>
      </c>
      <c r="F7946" t="s">
        <v>88</v>
      </c>
      <c r="G7946" t="s">
        <v>88</v>
      </c>
      <c r="H7946" t="s">
        <v>92</v>
      </c>
    </row>
    <row r="7947" spans="1:8" x14ac:dyDescent="0.25">
      <c r="A7947" t="s">
        <v>290</v>
      </c>
      <c r="B7947" t="s">
        <v>1073</v>
      </c>
      <c r="C7947" t="s">
        <v>88</v>
      </c>
      <c r="D7947" t="s">
        <v>88</v>
      </c>
      <c r="E7947" t="s">
        <v>1653</v>
      </c>
      <c r="F7947" t="s">
        <v>88</v>
      </c>
      <c r="G7947" t="s">
        <v>88</v>
      </c>
      <c r="H7947" t="s">
        <v>92</v>
      </c>
    </row>
    <row r="7948" spans="1:8" x14ac:dyDescent="0.25">
      <c r="A7948" t="s">
        <v>290</v>
      </c>
      <c r="B7948" t="s">
        <v>6868</v>
      </c>
      <c r="C7948" t="s">
        <v>88</v>
      </c>
      <c r="D7948" t="s">
        <v>6869</v>
      </c>
      <c r="E7948" t="s">
        <v>6870</v>
      </c>
      <c r="F7948" t="s">
        <v>88</v>
      </c>
      <c r="G7948" t="s">
        <v>88</v>
      </c>
      <c r="H7948" t="s">
        <v>92</v>
      </c>
    </row>
    <row r="7949" spans="1:8" x14ac:dyDescent="0.25">
      <c r="A7949" t="s">
        <v>290</v>
      </c>
      <c r="B7949" t="s">
        <v>6871</v>
      </c>
      <c r="C7949" t="s">
        <v>88</v>
      </c>
      <c r="D7949" t="s">
        <v>6869</v>
      </c>
      <c r="E7949" t="s">
        <v>6870</v>
      </c>
      <c r="F7949" t="s">
        <v>88</v>
      </c>
      <c r="G7949" t="s">
        <v>88</v>
      </c>
      <c r="H7949" t="s">
        <v>92</v>
      </c>
    </row>
    <row r="7950" spans="1:8" x14ac:dyDescent="0.25">
      <c r="A7950" t="s">
        <v>290</v>
      </c>
      <c r="B7950" t="s">
        <v>6872</v>
      </c>
      <c r="C7950" t="s">
        <v>88</v>
      </c>
      <c r="D7950" t="s">
        <v>6869</v>
      </c>
      <c r="E7950" t="s">
        <v>6870</v>
      </c>
      <c r="F7950" t="s">
        <v>88</v>
      </c>
      <c r="G7950" t="s">
        <v>88</v>
      </c>
      <c r="H7950" t="s">
        <v>92</v>
      </c>
    </row>
    <row r="7951" spans="1:8" x14ac:dyDescent="0.25">
      <c r="A7951" t="s">
        <v>290</v>
      </c>
      <c r="B7951" t="s">
        <v>6873</v>
      </c>
      <c r="C7951" t="s">
        <v>88</v>
      </c>
      <c r="D7951" t="s">
        <v>6869</v>
      </c>
      <c r="E7951" t="s">
        <v>6870</v>
      </c>
      <c r="F7951" t="s">
        <v>88</v>
      </c>
      <c r="G7951" t="s">
        <v>88</v>
      </c>
      <c r="H7951" t="s">
        <v>92</v>
      </c>
    </row>
    <row r="7952" spans="1:8" x14ac:dyDescent="0.25">
      <c r="A7952" t="s">
        <v>290</v>
      </c>
      <c r="B7952" t="s">
        <v>6874</v>
      </c>
      <c r="C7952" t="s">
        <v>88</v>
      </c>
      <c r="D7952" t="s">
        <v>6875</v>
      </c>
      <c r="E7952" t="s">
        <v>6870</v>
      </c>
      <c r="F7952" t="s">
        <v>88</v>
      </c>
      <c r="G7952" t="s">
        <v>88</v>
      </c>
      <c r="H7952" t="s">
        <v>92</v>
      </c>
    </row>
    <row r="7953" spans="1:8" x14ac:dyDescent="0.25">
      <c r="A7953" t="s">
        <v>290</v>
      </c>
      <c r="B7953" t="s">
        <v>6876</v>
      </c>
      <c r="C7953" t="s">
        <v>88</v>
      </c>
      <c r="D7953" t="s">
        <v>6877</v>
      </c>
      <c r="E7953" t="s">
        <v>6878</v>
      </c>
      <c r="F7953" t="s">
        <v>88</v>
      </c>
      <c r="G7953" t="s">
        <v>88</v>
      </c>
      <c r="H7953" t="s">
        <v>92</v>
      </c>
    </row>
    <row r="7954" spans="1:8" x14ac:dyDescent="0.25">
      <c r="A7954" t="s">
        <v>290</v>
      </c>
      <c r="B7954" t="s">
        <v>3143</v>
      </c>
      <c r="C7954" t="s">
        <v>88</v>
      </c>
      <c r="D7954" t="s">
        <v>4661</v>
      </c>
      <c r="E7954" t="s">
        <v>1978</v>
      </c>
      <c r="F7954" t="s">
        <v>88</v>
      </c>
      <c r="G7954" t="s">
        <v>88</v>
      </c>
      <c r="H7954" t="s">
        <v>92</v>
      </c>
    </row>
    <row r="7955" spans="1:8" x14ac:dyDescent="0.25">
      <c r="A7955" t="s">
        <v>290</v>
      </c>
      <c r="B7955" t="s">
        <v>6879</v>
      </c>
      <c r="C7955" t="s">
        <v>88</v>
      </c>
      <c r="D7955" t="s">
        <v>6880</v>
      </c>
      <c r="E7955" t="s">
        <v>1625</v>
      </c>
      <c r="F7955" t="s">
        <v>88</v>
      </c>
      <c r="G7955" t="s">
        <v>88</v>
      </c>
      <c r="H7955" t="s">
        <v>92</v>
      </c>
    </row>
    <row r="7956" spans="1:8" x14ac:dyDescent="0.25">
      <c r="A7956" t="s">
        <v>290</v>
      </c>
      <c r="B7956" t="s">
        <v>929</v>
      </c>
      <c r="C7956" t="s">
        <v>88</v>
      </c>
      <c r="D7956" t="s">
        <v>6881</v>
      </c>
      <c r="E7956" t="s">
        <v>6382</v>
      </c>
      <c r="F7956" t="s">
        <v>88</v>
      </c>
      <c r="G7956" t="s">
        <v>88</v>
      </c>
      <c r="H7956" t="s">
        <v>92</v>
      </c>
    </row>
    <row r="7957" spans="1:8" x14ac:dyDescent="0.25">
      <c r="A7957" t="s">
        <v>290</v>
      </c>
      <c r="B7957" t="s">
        <v>6882</v>
      </c>
      <c r="C7957" t="s">
        <v>88</v>
      </c>
      <c r="D7957" t="s">
        <v>88</v>
      </c>
      <c r="E7957" t="s">
        <v>1978</v>
      </c>
      <c r="F7957" t="s">
        <v>88</v>
      </c>
      <c r="G7957" t="s">
        <v>88</v>
      </c>
      <c r="H7957" t="s">
        <v>92</v>
      </c>
    </row>
    <row r="7958" spans="1:8" x14ac:dyDescent="0.25">
      <c r="A7958" t="s">
        <v>290</v>
      </c>
      <c r="B7958" t="s">
        <v>1609</v>
      </c>
      <c r="C7958" t="s">
        <v>88</v>
      </c>
      <c r="D7958" t="s">
        <v>88</v>
      </c>
      <c r="E7958" t="s">
        <v>849</v>
      </c>
      <c r="F7958" t="s">
        <v>88</v>
      </c>
      <c r="G7958" t="s">
        <v>88</v>
      </c>
      <c r="H7958" t="s">
        <v>92</v>
      </c>
    </row>
    <row r="7959" spans="1:8" x14ac:dyDescent="0.25">
      <c r="A7959" t="s">
        <v>290</v>
      </c>
      <c r="B7959" t="s">
        <v>1611</v>
      </c>
      <c r="C7959" t="s">
        <v>88</v>
      </c>
      <c r="D7959" t="s">
        <v>88</v>
      </c>
      <c r="E7959" t="s">
        <v>849</v>
      </c>
      <c r="F7959" t="s">
        <v>88</v>
      </c>
      <c r="G7959" t="s">
        <v>88</v>
      </c>
      <c r="H7959" t="s">
        <v>92</v>
      </c>
    </row>
    <row r="7960" spans="1:8" x14ac:dyDescent="0.25">
      <c r="A7960" t="s">
        <v>290</v>
      </c>
      <c r="B7960" t="s">
        <v>6220</v>
      </c>
      <c r="C7960" t="s">
        <v>88</v>
      </c>
      <c r="D7960" t="s">
        <v>88</v>
      </c>
      <c r="E7960" t="s">
        <v>849</v>
      </c>
      <c r="F7960" t="s">
        <v>88</v>
      </c>
      <c r="G7960" t="s">
        <v>88</v>
      </c>
      <c r="H7960" t="s">
        <v>92</v>
      </c>
    </row>
    <row r="7961" spans="1:8" x14ac:dyDescent="0.25">
      <c r="A7961" t="s">
        <v>290</v>
      </c>
      <c r="B7961" t="s">
        <v>2573</v>
      </c>
      <c r="C7961" t="s">
        <v>88</v>
      </c>
      <c r="D7961" t="s">
        <v>88</v>
      </c>
      <c r="E7961" t="s">
        <v>849</v>
      </c>
      <c r="F7961" t="s">
        <v>88</v>
      </c>
      <c r="G7961" t="s">
        <v>88</v>
      </c>
      <c r="H7961" t="s">
        <v>92</v>
      </c>
    </row>
    <row r="7962" spans="1:8" x14ac:dyDescent="0.25">
      <c r="A7962" t="s">
        <v>290</v>
      </c>
      <c r="B7962" t="s">
        <v>1612</v>
      </c>
      <c r="C7962" t="s">
        <v>88</v>
      </c>
      <c r="D7962" t="s">
        <v>88</v>
      </c>
      <c r="E7962" t="s">
        <v>849</v>
      </c>
      <c r="F7962" t="s">
        <v>88</v>
      </c>
      <c r="G7962" t="s">
        <v>88</v>
      </c>
      <c r="H7962" t="s">
        <v>92</v>
      </c>
    </row>
    <row r="7963" spans="1:8" x14ac:dyDescent="0.25">
      <c r="A7963" t="s">
        <v>290</v>
      </c>
      <c r="B7963" t="s">
        <v>6883</v>
      </c>
      <c r="C7963" t="s">
        <v>88</v>
      </c>
      <c r="D7963" t="s">
        <v>88</v>
      </c>
      <c r="E7963" t="s">
        <v>849</v>
      </c>
      <c r="F7963" t="s">
        <v>88</v>
      </c>
      <c r="G7963" t="s">
        <v>88</v>
      </c>
      <c r="H7963" t="s">
        <v>92</v>
      </c>
    </row>
    <row r="7964" spans="1:8" x14ac:dyDescent="0.25">
      <c r="A7964" t="s">
        <v>290</v>
      </c>
      <c r="B7964" t="s">
        <v>2579</v>
      </c>
      <c r="C7964" t="s">
        <v>88</v>
      </c>
      <c r="D7964" t="s">
        <v>88</v>
      </c>
      <c r="E7964" t="s">
        <v>849</v>
      </c>
      <c r="F7964" t="s">
        <v>88</v>
      </c>
      <c r="G7964" t="s">
        <v>88</v>
      </c>
      <c r="H7964" t="s">
        <v>92</v>
      </c>
    </row>
    <row r="7965" spans="1:8" x14ac:dyDescent="0.25">
      <c r="A7965" t="s">
        <v>290</v>
      </c>
      <c r="B7965" t="s">
        <v>2578</v>
      </c>
      <c r="C7965" t="s">
        <v>88</v>
      </c>
      <c r="D7965" t="s">
        <v>88</v>
      </c>
      <c r="E7965" t="s">
        <v>849</v>
      </c>
      <c r="F7965" t="s">
        <v>88</v>
      </c>
      <c r="G7965" t="s">
        <v>88</v>
      </c>
      <c r="H7965" t="s">
        <v>92</v>
      </c>
    </row>
    <row r="7966" spans="1:8" x14ac:dyDescent="0.25">
      <c r="A7966" t="s">
        <v>292</v>
      </c>
      <c r="B7966" t="s">
        <v>1802</v>
      </c>
      <c r="C7966" t="s">
        <v>88</v>
      </c>
      <c r="D7966" t="s">
        <v>88</v>
      </c>
      <c r="E7966" t="s">
        <v>673</v>
      </c>
      <c r="F7966" t="s">
        <v>88</v>
      </c>
      <c r="G7966" t="s">
        <v>88</v>
      </c>
      <c r="H7966" t="s">
        <v>92</v>
      </c>
    </row>
    <row r="7967" spans="1:8" x14ac:dyDescent="0.25">
      <c r="A7967" t="s">
        <v>292</v>
      </c>
      <c r="B7967" t="s">
        <v>6884</v>
      </c>
      <c r="C7967" t="s">
        <v>88</v>
      </c>
      <c r="D7967" t="s">
        <v>88</v>
      </c>
      <c r="E7967" t="s">
        <v>1137</v>
      </c>
      <c r="F7967" t="s">
        <v>88</v>
      </c>
      <c r="G7967" t="s">
        <v>88</v>
      </c>
      <c r="H7967" t="s">
        <v>92</v>
      </c>
    </row>
    <row r="7968" spans="1:8" x14ac:dyDescent="0.25">
      <c r="A7968" t="s">
        <v>292</v>
      </c>
      <c r="B7968" t="s">
        <v>6885</v>
      </c>
      <c r="C7968" t="s">
        <v>88</v>
      </c>
      <c r="D7968" t="s">
        <v>88</v>
      </c>
      <c r="E7968" t="s">
        <v>658</v>
      </c>
      <c r="F7968" t="s">
        <v>88</v>
      </c>
      <c r="G7968" t="s">
        <v>88</v>
      </c>
      <c r="H7968" t="s">
        <v>92</v>
      </c>
    </row>
    <row r="7969" spans="1:8" x14ac:dyDescent="0.25">
      <c r="A7969" t="s">
        <v>292</v>
      </c>
      <c r="B7969" t="s">
        <v>6886</v>
      </c>
      <c r="C7969" t="s">
        <v>88</v>
      </c>
      <c r="D7969" t="s">
        <v>88</v>
      </c>
      <c r="E7969" t="s">
        <v>658</v>
      </c>
      <c r="F7969" t="s">
        <v>88</v>
      </c>
      <c r="G7969" t="s">
        <v>88</v>
      </c>
      <c r="H7969" t="s">
        <v>92</v>
      </c>
    </row>
    <row r="7970" spans="1:8" x14ac:dyDescent="0.25">
      <c r="A7970" t="s">
        <v>292</v>
      </c>
      <c r="B7970" t="s">
        <v>6887</v>
      </c>
      <c r="C7970" t="s">
        <v>88</v>
      </c>
      <c r="D7970" t="s">
        <v>88</v>
      </c>
      <c r="E7970" t="s">
        <v>658</v>
      </c>
      <c r="F7970" t="s">
        <v>88</v>
      </c>
      <c r="G7970" t="s">
        <v>88</v>
      </c>
      <c r="H7970" t="s">
        <v>92</v>
      </c>
    </row>
    <row r="7971" spans="1:8" x14ac:dyDescent="0.25">
      <c r="A7971" t="s">
        <v>292</v>
      </c>
      <c r="B7971" t="s">
        <v>1037</v>
      </c>
      <c r="C7971" t="s">
        <v>88</v>
      </c>
      <c r="D7971" t="s">
        <v>88</v>
      </c>
      <c r="E7971" t="s">
        <v>937</v>
      </c>
      <c r="F7971" t="s">
        <v>88</v>
      </c>
      <c r="G7971" t="s">
        <v>88</v>
      </c>
      <c r="H7971" t="s">
        <v>92</v>
      </c>
    </row>
    <row r="7972" spans="1:8" x14ac:dyDescent="0.25">
      <c r="A7972" t="s">
        <v>292</v>
      </c>
      <c r="B7972" t="s">
        <v>6888</v>
      </c>
      <c r="C7972" t="s">
        <v>88</v>
      </c>
      <c r="D7972" t="s">
        <v>88</v>
      </c>
      <c r="E7972" t="s">
        <v>658</v>
      </c>
      <c r="F7972" t="s">
        <v>88</v>
      </c>
      <c r="G7972" t="s">
        <v>88</v>
      </c>
      <c r="H7972" t="s">
        <v>92</v>
      </c>
    </row>
    <row r="7973" spans="1:8" x14ac:dyDescent="0.25">
      <c r="A7973" t="s">
        <v>292</v>
      </c>
      <c r="B7973" t="s">
        <v>6889</v>
      </c>
      <c r="C7973" t="s">
        <v>88</v>
      </c>
      <c r="D7973" t="s">
        <v>88</v>
      </c>
      <c r="E7973" t="s">
        <v>663</v>
      </c>
      <c r="F7973" t="s">
        <v>88</v>
      </c>
      <c r="G7973" t="s">
        <v>88</v>
      </c>
      <c r="H7973" t="s">
        <v>92</v>
      </c>
    </row>
    <row r="7974" spans="1:8" x14ac:dyDescent="0.25">
      <c r="A7974" t="s">
        <v>292</v>
      </c>
      <c r="B7974" t="s">
        <v>6890</v>
      </c>
      <c r="C7974" t="s">
        <v>88</v>
      </c>
      <c r="D7974" t="s">
        <v>88</v>
      </c>
      <c r="E7974" t="s">
        <v>700</v>
      </c>
      <c r="F7974" t="s">
        <v>88</v>
      </c>
      <c r="G7974" t="s">
        <v>88</v>
      </c>
      <c r="H7974" t="s">
        <v>92</v>
      </c>
    </row>
    <row r="7975" spans="1:8" x14ac:dyDescent="0.25">
      <c r="A7975" t="s">
        <v>292</v>
      </c>
      <c r="B7975" t="s">
        <v>6885</v>
      </c>
      <c r="C7975" t="s">
        <v>88</v>
      </c>
      <c r="D7975" t="s">
        <v>88</v>
      </c>
      <c r="E7975" t="s">
        <v>658</v>
      </c>
      <c r="F7975" t="s">
        <v>88</v>
      </c>
      <c r="G7975" t="s">
        <v>88</v>
      </c>
      <c r="H7975" t="s">
        <v>92</v>
      </c>
    </row>
    <row r="7976" spans="1:8" x14ac:dyDescent="0.25">
      <c r="A7976" t="s">
        <v>292</v>
      </c>
      <c r="B7976" t="s">
        <v>3189</v>
      </c>
      <c r="C7976" t="s">
        <v>88</v>
      </c>
      <c r="D7976" t="s">
        <v>88</v>
      </c>
      <c r="E7976" t="s">
        <v>1139</v>
      </c>
      <c r="F7976" t="s">
        <v>88</v>
      </c>
      <c r="G7976" t="s">
        <v>88</v>
      </c>
      <c r="H7976" t="s">
        <v>92</v>
      </c>
    </row>
    <row r="7977" spans="1:8" x14ac:dyDescent="0.25">
      <c r="A7977" t="s">
        <v>292</v>
      </c>
      <c r="B7977" t="s">
        <v>6891</v>
      </c>
      <c r="C7977" t="s">
        <v>88</v>
      </c>
      <c r="D7977" t="s">
        <v>88</v>
      </c>
      <c r="E7977" t="s">
        <v>2513</v>
      </c>
      <c r="F7977" t="s">
        <v>88</v>
      </c>
      <c r="G7977" t="s">
        <v>88</v>
      </c>
      <c r="H7977" t="s">
        <v>92</v>
      </c>
    </row>
    <row r="7978" spans="1:8" x14ac:dyDescent="0.25">
      <c r="A7978" t="s">
        <v>292</v>
      </c>
      <c r="B7978" t="s">
        <v>6892</v>
      </c>
      <c r="C7978" t="s">
        <v>88</v>
      </c>
      <c r="D7978" t="s">
        <v>88</v>
      </c>
      <c r="E7978" t="s">
        <v>844</v>
      </c>
      <c r="F7978" t="s">
        <v>88</v>
      </c>
      <c r="G7978" t="s">
        <v>88</v>
      </c>
      <c r="H7978" t="s">
        <v>92</v>
      </c>
    </row>
    <row r="7979" spans="1:8" x14ac:dyDescent="0.25">
      <c r="A7979" t="s">
        <v>292</v>
      </c>
      <c r="B7979" t="s">
        <v>6893</v>
      </c>
      <c r="C7979" t="s">
        <v>88</v>
      </c>
      <c r="D7979" t="s">
        <v>88</v>
      </c>
      <c r="E7979" t="s">
        <v>700</v>
      </c>
      <c r="F7979" t="s">
        <v>88</v>
      </c>
      <c r="G7979" t="s">
        <v>88</v>
      </c>
      <c r="H7979" t="s">
        <v>92</v>
      </c>
    </row>
    <row r="7980" spans="1:8" x14ac:dyDescent="0.25">
      <c r="A7980" t="s">
        <v>292</v>
      </c>
      <c r="B7980" t="s">
        <v>6894</v>
      </c>
      <c r="C7980" t="s">
        <v>88</v>
      </c>
      <c r="D7980" t="s">
        <v>88</v>
      </c>
      <c r="E7980" t="s">
        <v>889</v>
      </c>
      <c r="F7980" t="s">
        <v>88</v>
      </c>
      <c r="G7980" t="s">
        <v>88</v>
      </c>
      <c r="H7980" t="s">
        <v>92</v>
      </c>
    </row>
    <row r="7981" spans="1:8" x14ac:dyDescent="0.25">
      <c r="A7981" t="s">
        <v>292</v>
      </c>
      <c r="B7981" t="s">
        <v>6895</v>
      </c>
      <c r="C7981" t="s">
        <v>88</v>
      </c>
      <c r="D7981" t="s">
        <v>88</v>
      </c>
      <c r="E7981" t="s">
        <v>700</v>
      </c>
      <c r="F7981" t="s">
        <v>88</v>
      </c>
      <c r="G7981" t="s">
        <v>88</v>
      </c>
      <c r="H7981" t="s">
        <v>92</v>
      </c>
    </row>
    <row r="7982" spans="1:8" x14ac:dyDescent="0.25">
      <c r="A7982" t="s">
        <v>292</v>
      </c>
      <c r="B7982" t="s">
        <v>6896</v>
      </c>
      <c r="C7982" t="s">
        <v>88</v>
      </c>
      <c r="D7982" t="s">
        <v>88</v>
      </c>
      <c r="E7982" t="s">
        <v>762</v>
      </c>
      <c r="F7982" t="s">
        <v>88</v>
      </c>
      <c r="G7982" t="s">
        <v>88</v>
      </c>
      <c r="H7982" t="s">
        <v>92</v>
      </c>
    </row>
    <row r="7983" spans="1:8" x14ac:dyDescent="0.25">
      <c r="A7983" t="s">
        <v>292</v>
      </c>
      <c r="B7983" t="s">
        <v>1802</v>
      </c>
      <c r="C7983" t="s">
        <v>88</v>
      </c>
      <c r="D7983" t="s">
        <v>88</v>
      </c>
      <c r="E7983" t="s">
        <v>673</v>
      </c>
      <c r="F7983" t="s">
        <v>88</v>
      </c>
      <c r="G7983" t="s">
        <v>88</v>
      </c>
      <c r="H7983" t="s">
        <v>92</v>
      </c>
    </row>
    <row r="7984" spans="1:8" x14ac:dyDescent="0.25">
      <c r="A7984" t="s">
        <v>292</v>
      </c>
      <c r="B7984" t="s">
        <v>6897</v>
      </c>
      <c r="C7984" t="s">
        <v>88</v>
      </c>
      <c r="D7984" t="s">
        <v>88</v>
      </c>
      <c r="E7984" t="s">
        <v>658</v>
      </c>
      <c r="F7984" t="s">
        <v>88</v>
      </c>
      <c r="G7984" t="s">
        <v>88</v>
      </c>
      <c r="H7984" t="s">
        <v>92</v>
      </c>
    </row>
    <row r="7985" spans="1:8" x14ac:dyDescent="0.25">
      <c r="A7985" t="s">
        <v>292</v>
      </c>
      <c r="B7985" t="s">
        <v>1875</v>
      </c>
      <c r="C7985" t="s">
        <v>88</v>
      </c>
      <c r="D7985" t="s">
        <v>88</v>
      </c>
      <c r="E7985" t="s">
        <v>937</v>
      </c>
      <c r="F7985" t="s">
        <v>88</v>
      </c>
      <c r="G7985" t="s">
        <v>88</v>
      </c>
      <c r="H7985" t="s">
        <v>92</v>
      </c>
    </row>
    <row r="7986" spans="1:8" x14ac:dyDescent="0.25">
      <c r="A7986" t="s">
        <v>292</v>
      </c>
      <c r="B7986" t="s">
        <v>6887</v>
      </c>
      <c r="C7986" t="s">
        <v>88</v>
      </c>
      <c r="D7986" t="s">
        <v>88</v>
      </c>
      <c r="E7986" t="s">
        <v>658</v>
      </c>
      <c r="F7986" t="s">
        <v>88</v>
      </c>
      <c r="G7986" t="s">
        <v>88</v>
      </c>
      <c r="H7986" t="s">
        <v>92</v>
      </c>
    </row>
    <row r="7987" spans="1:8" x14ac:dyDescent="0.25">
      <c r="A7987" t="s">
        <v>292</v>
      </c>
      <c r="B7987" t="s">
        <v>1876</v>
      </c>
      <c r="C7987" t="s">
        <v>88</v>
      </c>
      <c r="D7987" t="s">
        <v>88</v>
      </c>
      <c r="E7987" t="s">
        <v>663</v>
      </c>
      <c r="F7987" t="s">
        <v>88</v>
      </c>
      <c r="G7987" t="s">
        <v>88</v>
      </c>
      <c r="H7987" t="s">
        <v>92</v>
      </c>
    </row>
    <row r="7988" spans="1:8" x14ac:dyDescent="0.25">
      <c r="A7988" t="s">
        <v>292</v>
      </c>
      <c r="B7988" t="s">
        <v>6898</v>
      </c>
      <c r="C7988" t="s">
        <v>88</v>
      </c>
      <c r="D7988" t="s">
        <v>88</v>
      </c>
      <c r="E7988" t="s">
        <v>658</v>
      </c>
      <c r="F7988" t="s">
        <v>88</v>
      </c>
      <c r="G7988" t="s">
        <v>88</v>
      </c>
      <c r="H7988" t="s">
        <v>92</v>
      </c>
    </row>
    <row r="7989" spans="1:8" x14ac:dyDescent="0.25">
      <c r="A7989" t="s">
        <v>292</v>
      </c>
      <c r="B7989" t="s">
        <v>6886</v>
      </c>
      <c r="C7989" t="s">
        <v>88</v>
      </c>
      <c r="D7989" t="s">
        <v>88</v>
      </c>
      <c r="E7989" t="s">
        <v>658</v>
      </c>
      <c r="F7989" t="s">
        <v>88</v>
      </c>
      <c r="G7989" t="s">
        <v>88</v>
      </c>
      <c r="H7989" t="s">
        <v>92</v>
      </c>
    </row>
    <row r="7990" spans="1:8" x14ac:dyDescent="0.25">
      <c r="A7990" t="s">
        <v>292</v>
      </c>
      <c r="B7990" t="s">
        <v>6899</v>
      </c>
      <c r="C7990" t="s">
        <v>88</v>
      </c>
      <c r="D7990" t="s">
        <v>88</v>
      </c>
      <c r="E7990" t="s">
        <v>658</v>
      </c>
      <c r="F7990" t="s">
        <v>88</v>
      </c>
      <c r="G7990" t="s">
        <v>88</v>
      </c>
      <c r="H7990" t="s">
        <v>92</v>
      </c>
    </row>
    <row r="7991" spans="1:8" x14ac:dyDescent="0.25">
      <c r="A7991" t="s">
        <v>292</v>
      </c>
      <c r="B7991" t="s">
        <v>6900</v>
      </c>
      <c r="C7991" t="s">
        <v>88</v>
      </c>
      <c r="D7991" t="s">
        <v>88</v>
      </c>
      <c r="E7991" t="s">
        <v>658</v>
      </c>
      <c r="F7991" t="s">
        <v>88</v>
      </c>
      <c r="G7991" t="s">
        <v>88</v>
      </c>
      <c r="H7991" t="s">
        <v>92</v>
      </c>
    </row>
    <row r="7992" spans="1:8" x14ac:dyDescent="0.25">
      <c r="A7992" t="s">
        <v>292</v>
      </c>
      <c r="B7992" t="s">
        <v>6901</v>
      </c>
      <c r="C7992" t="s">
        <v>88</v>
      </c>
      <c r="D7992" t="s">
        <v>88</v>
      </c>
      <c r="E7992" t="s">
        <v>658</v>
      </c>
      <c r="F7992" t="s">
        <v>88</v>
      </c>
      <c r="G7992" t="s">
        <v>88</v>
      </c>
      <c r="H7992" t="s">
        <v>92</v>
      </c>
    </row>
    <row r="7993" spans="1:8" x14ac:dyDescent="0.25">
      <c r="A7993" t="s">
        <v>292</v>
      </c>
      <c r="B7993" t="s">
        <v>6902</v>
      </c>
      <c r="C7993" t="s">
        <v>88</v>
      </c>
      <c r="D7993" t="s">
        <v>88</v>
      </c>
      <c r="E7993" t="s">
        <v>658</v>
      </c>
      <c r="F7993" t="s">
        <v>88</v>
      </c>
      <c r="G7993" t="s">
        <v>88</v>
      </c>
      <c r="H7993" t="s">
        <v>92</v>
      </c>
    </row>
    <row r="7994" spans="1:8" x14ac:dyDescent="0.25">
      <c r="A7994" t="s">
        <v>292</v>
      </c>
      <c r="B7994" t="s">
        <v>6903</v>
      </c>
      <c r="C7994" t="s">
        <v>88</v>
      </c>
      <c r="D7994" t="s">
        <v>88</v>
      </c>
      <c r="E7994" t="s">
        <v>658</v>
      </c>
      <c r="F7994" t="s">
        <v>88</v>
      </c>
      <c r="G7994" t="s">
        <v>88</v>
      </c>
      <c r="H7994" t="s">
        <v>92</v>
      </c>
    </row>
    <row r="7995" spans="1:8" x14ac:dyDescent="0.25">
      <c r="A7995" t="s">
        <v>292</v>
      </c>
      <c r="B7995" t="s">
        <v>6904</v>
      </c>
      <c r="C7995" t="s">
        <v>88</v>
      </c>
      <c r="D7995" t="s">
        <v>88</v>
      </c>
      <c r="E7995" t="s">
        <v>825</v>
      </c>
      <c r="F7995" t="s">
        <v>88</v>
      </c>
      <c r="G7995" t="s">
        <v>88</v>
      </c>
      <c r="H7995" t="s">
        <v>92</v>
      </c>
    </row>
    <row r="7996" spans="1:8" x14ac:dyDescent="0.25">
      <c r="A7996" t="s">
        <v>292</v>
      </c>
      <c r="B7996" t="s">
        <v>6905</v>
      </c>
      <c r="C7996" t="s">
        <v>88</v>
      </c>
      <c r="D7996" t="s">
        <v>88</v>
      </c>
      <c r="E7996" t="s">
        <v>658</v>
      </c>
      <c r="F7996" t="s">
        <v>88</v>
      </c>
      <c r="G7996" t="s">
        <v>88</v>
      </c>
      <c r="H7996" t="s">
        <v>92</v>
      </c>
    </row>
    <row r="7997" spans="1:8" x14ac:dyDescent="0.25">
      <c r="A7997" t="s">
        <v>292</v>
      </c>
      <c r="B7997" t="s">
        <v>6906</v>
      </c>
      <c r="C7997" t="s">
        <v>88</v>
      </c>
      <c r="D7997" t="s">
        <v>88</v>
      </c>
      <c r="E7997" t="s">
        <v>663</v>
      </c>
      <c r="F7997" t="s">
        <v>88</v>
      </c>
      <c r="G7997" t="s">
        <v>88</v>
      </c>
      <c r="H7997" t="s">
        <v>92</v>
      </c>
    </row>
    <row r="7998" spans="1:8" x14ac:dyDescent="0.25">
      <c r="A7998" t="s">
        <v>292</v>
      </c>
      <c r="B7998" t="s">
        <v>6907</v>
      </c>
      <c r="C7998" t="s">
        <v>88</v>
      </c>
      <c r="D7998" t="s">
        <v>88</v>
      </c>
      <c r="E7998" t="s">
        <v>663</v>
      </c>
      <c r="F7998" t="s">
        <v>88</v>
      </c>
      <c r="G7998" t="s">
        <v>88</v>
      </c>
      <c r="H7998" t="s">
        <v>92</v>
      </c>
    </row>
    <row r="7999" spans="1:8" x14ac:dyDescent="0.25">
      <c r="A7999" t="s">
        <v>292</v>
      </c>
      <c r="B7999" t="s">
        <v>1879</v>
      </c>
      <c r="C7999" t="s">
        <v>88</v>
      </c>
      <c r="D7999" t="s">
        <v>88</v>
      </c>
      <c r="E7999" t="s">
        <v>655</v>
      </c>
      <c r="F7999" t="s">
        <v>88</v>
      </c>
      <c r="G7999" t="s">
        <v>88</v>
      </c>
      <c r="H7999" t="s">
        <v>92</v>
      </c>
    </row>
    <row r="8000" spans="1:8" x14ac:dyDescent="0.25">
      <c r="A8000" t="s">
        <v>292</v>
      </c>
      <c r="B8000" t="s">
        <v>6908</v>
      </c>
      <c r="C8000" t="s">
        <v>88</v>
      </c>
      <c r="D8000" t="s">
        <v>88</v>
      </c>
      <c r="E8000" t="s">
        <v>658</v>
      </c>
      <c r="F8000" t="s">
        <v>88</v>
      </c>
      <c r="G8000" t="s">
        <v>88</v>
      </c>
      <c r="H8000" t="s">
        <v>92</v>
      </c>
    </row>
    <row r="8001" spans="1:8" x14ac:dyDescent="0.25">
      <c r="A8001" t="s">
        <v>292</v>
      </c>
      <c r="B8001" t="s">
        <v>6909</v>
      </c>
      <c r="C8001" t="s">
        <v>88</v>
      </c>
      <c r="D8001" t="s">
        <v>88</v>
      </c>
      <c r="E8001" t="s">
        <v>658</v>
      </c>
      <c r="F8001" t="s">
        <v>88</v>
      </c>
      <c r="G8001" t="s">
        <v>88</v>
      </c>
      <c r="H8001" t="s">
        <v>92</v>
      </c>
    </row>
    <row r="8002" spans="1:8" x14ac:dyDescent="0.25">
      <c r="A8002" t="s">
        <v>292</v>
      </c>
      <c r="B8002" t="s">
        <v>6910</v>
      </c>
      <c r="C8002" t="s">
        <v>88</v>
      </c>
      <c r="D8002" t="s">
        <v>88</v>
      </c>
      <c r="E8002" t="s">
        <v>658</v>
      </c>
      <c r="F8002" t="s">
        <v>88</v>
      </c>
      <c r="G8002" t="s">
        <v>88</v>
      </c>
      <c r="H8002" t="s">
        <v>92</v>
      </c>
    </row>
    <row r="8003" spans="1:8" x14ac:dyDescent="0.25">
      <c r="A8003" t="s">
        <v>292</v>
      </c>
      <c r="B8003" t="s">
        <v>4418</v>
      </c>
      <c r="C8003" t="s">
        <v>88</v>
      </c>
      <c r="D8003" t="s">
        <v>88</v>
      </c>
      <c r="E8003" t="s">
        <v>663</v>
      </c>
      <c r="F8003" t="s">
        <v>88</v>
      </c>
      <c r="G8003" t="s">
        <v>88</v>
      </c>
      <c r="H8003" t="s">
        <v>92</v>
      </c>
    </row>
    <row r="8004" spans="1:8" x14ac:dyDescent="0.25">
      <c r="A8004" t="s">
        <v>292</v>
      </c>
      <c r="B8004" t="s">
        <v>6911</v>
      </c>
      <c r="C8004" t="s">
        <v>88</v>
      </c>
      <c r="D8004" t="s">
        <v>88</v>
      </c>
      <c r="E8004" t="s">
        <v>709</v>
      </c>
      <c r="F8004" t="s">
        <v>88</v>
      </c>
      <c r="G8004" t="s">
        <v>88</v>
      </c>
      <c r="H8004" t="s">
        <v>92</v>
      </c>
    </row>
    <row r="8005" spans="1:8" x14ac:dyDescent="0.25">
      <c r="A8005" t="s">
        <v>292</v>
      </c>
      <c r="B8005" t="s">
        <v>6912</v>
      </c>
      <c r="C8005" t="s">
        <v>88</v>
      </c>
      <c r="D8005" t="s">
        <v>88</v>
      </c>
      <c r="E8005" t="s">
        <v>709</v>
      </c>
      <c r="F8005" t="s">
        <v>88</v>
      </c>
      <c r="G8005" t="s">
        <v>88</v>
      </c>
      <c r="H8005" t="s">
        <v>92</v>
      </c>
    </row>
    <row r="8006" spans="1:8" x14ac:dyDescent="0.25">
      <c r="A8006" t="s">
        <v>292</v>
      </c>
      <c r="B8006" t="s">
        <v>6913</v>
      </c>
      <c r="C8006" t="s">
        <v>88</v>
      </c>
      <c r="D8006" t="s">
        <v>88</v>
      </c>
      <c r="E8006" t="s">
        <v>709</v>
      </c>
      <c r="F8006" t="s">
        <v>88</v>
      </c>
      <c r="G8006" t="s">
        <v>88</v>
      </c>
      <c r="H8006" t="s">
        <v>92</v>
      </c>
    </row>
    <row r="8007" spans="1:8" x14ac:dyDescent="0.25">
      <c r="A8007" t="s">
        <v>292</v>
      </c>
      <c r="B8007" t="s">
        <v>6914</v>
      </c>
      <c r="C8007" t="s">
        <v>88</v>
      </c>
      <c r="D8007" t="s">
        <v>88</v>
      </c>
      <c r="E8007" t="s">
        <v>709</v>
      </c>
      <c r="F8007" t="s">
        <v>88</v>
      </c>
      <c r="G8007" t="s">
        <v>88</v>
      </c>
      <c r="H8007" t="s">
        <v>92</v>
      </c>
    </row>
    <row r="8008" spans="1:8" x14ac:dyDescent="0.25">
      <c r="A8008" t="s">
        <v>292</v>
      </c>
      <c r="B8008" t="s">
        <v>797</v>
      </c>
      <c r="C8008" t="s">
        <v>88</v>
      </c>
      <c r="D8008" t="s">
        <v>88</v>
      </c>
      <c r="E8008" t="s">
        <v>709</v>
      </c>
      <c r="F8008" t="s">
        <v>88</v>
      </c>
      <c r="G8008" t="s">
        <v>88</v>
      </c>
      <c r="H8008" t="s">
        <v>92</v>
      </c>
    </row>
    <row r="8009" spans="1:8" x14ac:dyDescent="0.25">
      <c r="A8009" t="s">
        <v>292</v>
      </c>
      <c r="B8009" t="s">
        <v>622</v>
      </c>
      <c r="C8009" t="s">
        <v>88</v>
      </c>
      <c r="D8009" t="s">
        <v>88</v>
      </c>
      <c r="E8009" t="s">
        <v>711</v>
      </c>
      <c r="F8009" t="s">
        <v>88</v>
      </c>
      <c r="G8009" t="s">
        <v>88</v>
      </c>
      <c r="H8009" t="s">
        <v>92</v>
      </c>
    </row>
    <row r="8010" spans="1:8" x14ac:dyDescent="0.25">
      <c r="A8010" t="s">
        <v>292</v>
      </c>
      <c r="B8010" t="s">
        <v>623</v>
      </c>
      <c r="C8010" t="s">
        <v>88</v>
      </c>
      <c r="D8010" t="s">
        <v>88</v>
      </c>
      <c r="E8010" t="s">
        <v>735</v>
      </c>
      <c r="F8010" t="s">
        <v>88</v>
      </c>
      <c r="G8010" t="s">
        <v>88</v>
      </c>
      <c r="H8010" t="s">
        <v>92</v>
      </c>
    </row>
    <row r="8011" spans="1:8" x14ac:dyDescent="0.25">
      <c r="A8011" t="s">
        <v>292</v>
      </c>
      <c r="B8011" t="s">
        <v>1055</v>
      </c>
      <c r="C8011" t="s">
        <v>88</v>
      </c>
      <c r="D8011" t="s">
        <v>88</v>
      </c>
      <c r="E8011" t="s">
        <v>812</v>
      </c>
      <c r="F8011" t="s">
        <v>88</v>
      </c>
      <c r="G8011" t="s">
        <v>88</v>
      </c>
      <c r="H8011" t="s">
        <v>92</v>
      </c>
    </row>
    <row r="8012" spans="1:8" x14ac:dyDescent="0.25">
      <c r="A8012" t="s">
        <v>292</v>
      </c>
      <c r="B8012" t="s">
        <v>6915</v>
      </c>
      <c r="C8012" t="s">
        <v>88</v>
      </c>
      <c r="D8012" t="s">
        <v>88</v>
      </c>
      <c r="E8012" t="s">
        <v>1137</v>
      </c>
      <c r="F8012" t="s">
        <v>88</v>
      </c>
      <c r="G8012" t="s">
        <v>88</v>
      </c>
      <c r="H8012" t="s">
        <v>92</v>
      </c>
    </row>
    <row r="8013" spans="1:8" x14ac:dyDescent="0.25">
      <c r="A8013" t="s">
        <v>292</v>
      </c>
      <c r="B8013" t="s">
        <v>6916</v>
      </c>
      <c r="C8013" t="s">
        <v>88</v>
      </c>
      <c r="D8013" t="s">
        <v>88</v>
      </c>
      <c r="E8013" t="s">
        <v>1171</v>
      </c>
      <c r="F8013" t="s">
        <v>88</v>
      </c>
      <c r="G8013" t="s">
        <v>88</v>
      </c>
      <c r="H8013" t="s">
        <v>92</v>
      </c>
    </row>
    <row r="8014" spans="1:8" x14ac:dyDescent="0.25">
      <c r="A8014" t="s">
        <v>292</v>
      </c>
      <c r="B8014" t="s">
        <v>6917</v>
      </c>
      <c r="C8014" t="s">
        <v>88</v>
      </c>
      <c r="D8014" t="s">
        <v>88</v>
      </c>
      <c r="E8014" t="s">
        <v>807</v>
      </c>
      <c r="F8014" t="s">
        <v>88</v>
      </c>
      <c r="G8014" t="s">
        <v>88</v>
      </c>
      <c r="H8014" t="s">
        <v>92</v>
      </c>
    </row>
    <row r="8015" spans="1:8" x14ac:dyDescent="0.25">
      <c r="A8015" t="s">
        <v>292</v>
      </c>
      <c r="B8015" t="s">
        <v>6918</v>
      </c>
      <c r="C8015" t="s">
        <v>88</v>
      </c>
      <c r="D8015" t="s">
        <v>88</v>
      </c>
      <c r="E8015" t="s">
        <v>1137</v>
      </c>
      <c r="F8015" t="s">
        <v>88</v>
      </c>
      <c r="G8015" t="s">
        <v>88</v>
      </c>
      <c r="H8015" t="s">
        <v>92</v>
      </c>
    </row>
    <row r="8016" spans="1:8" x14ac:dyDescent="0.25">
      <c r="A8016" t="s">
        <v>292</v>
      </c>
      <c r="B8016" t="s">
        <v>6919</v>
      </c>
      <c r="C8016" t="s">
        <v>88</v>
      </c>
      <c r="D8016" t="s">
        <v>88</v>
      </c>
      <c r="E8016" t="s">
        <v>1068</v>
      </c>
      <c r="F8016" t="s">
        <v>88</v>
      </c>
      <c r="G8016" t="s">
        <v>88</v>
      </c>
      <c r="H8016" t="s">
        <v>92</v>
      </c>
    </row>
    <row r="8017" spans="1:8" x14ac:dyDescent="0.25">
      <c r="A8017" t="s">
        <v>292</v>
      </c>
      <c r="B8017" t="s">
        <v>1046</v>
      </c>
      <c r="C8017" t="s">
        <v>88</v>
      </c>
      <c r="D8017" t="s">
        <v>88</v>
      </c>
      <c r="E8017" t="s">
        <v>812</v>
      </c>
      <c r="F8017" t="s">
        <v>88</v>
      </c>
      <c r="G8017" t="s">
        <v>88</v>
      </c>
      <c r="H8017" t="s">
        <v>92</v>
      </c>
    </row>
    <row r="8018" spans="1:8" x14ac:dyDescent="0.25">
      <c r="A8018" t="s">
        <v>292</v>
      </c>
      <c r="B8018" t="s">
        <v>6884</v>
      </c>
      <c r="C8018" t="s">
        <v>88</v>
      </c>
      <c r="D8018" t="s">
        <v>88</v>
      </c>
      <c r="E8018" t="s">
        <v>1137</v>
      </c>
      <c r="F8018" t="s">
        <v>88</v>
      </c>
      <c r="G8018" t="s">
        <v>88</v>
      </c>
      <c r="H8018" t="s">
        <v>92</v>
      </c>
    </row>
    <row r="8019" spans="1:8" x14ac:dyDescent="0.25">
      <c r="A8019" t="s">
        <v>292</v>
      </c>
      <c r="B8019" t="s">
        <v>1053</v>
      </c>
      <c r="C8019" t="s">
        <v>88</v>
      </c>
      <c r="D8019" t="s">
        <v>88</v>
      </c>
      <c r="E8019" t="s">
        <v>1171</v>
      </c>
      <c r="F8019" t="s">
        <v>88</v>
      </c>
      <c r="G8019" t="s">
        <v>88</v>
      </c>
      <c r="H8019" t="s">
        <v>92</v>
      </c>
    </row>
    <row r="8020" spans="1:8" x14ac:dyDescent="0.25">
      <c r="A8020" t="s">
        <v>292</v>
      </c>
      <c r="B8020" t="s">
        <v>6920</v>
      </c>
      <c r="C8020" t="s">
        <v>88</v>
      </c>
      <c r="D8020" t="s">
        <v>88</v>
      </c>
      <c r="E8020" t="s">
        <v>3179</v>
      </c>
      <c r="F8020" t="s">
        <v>88</v>
      </c>
      <c r="G8020" t="s">
        <v>88</v>
      </c>
      <c r="H8020" t="s">
        <v>92</v>
      </c>
    </row>
    <row r="8021" spans="1:8" x14ac:dyDescent="0.25">
      <c r="A8021" t="s">
        <v>292</v>
      </c>
      <c r="B8021" t="s">
        <v>6921</v>
      </c>
      <c r="C8021" t="s">
        <v>88</v>
      </c>
      <c r="D8021" t="s">
        <v>88</v>
      </c>
      <c r="E8021" t="s">
        <v>1068</v>
      </c>
      <c r="F8021" t="s">
        <v>88</v>
      </c>
      <c r="G8021" t="s">
        <v>88</v>
      </c>
      <c r="H8021" t="s">
        <v>92</v>
      </c>
    </row>
    <row r="8022" spans="1:8" x14ac:dyDescent="0.25">
      <c r="A8022" t="s">
        <v>292</v>
      </c>
      <c r="B8022" t="s">
        <v>6922</v>
      </c>
      <c r="C8022" t="s">
        <v>88</v>
      </c>
      <c r="D8022" t="s">
        <v>88</v>
      </c>
      <c r="E8022" t="s">
        <v>3179</v>
      </c>
      <c r="F8022" t="s">
        <v>88</v>
      </c>
      <c r="G8022" t="s">
        <v>88</v>
      </c>
      <c r="H8022" t="s">
        <v>92</v>
      </c>
    </row>
    <row r="8023" spans="1:8" x14ac:dyDescent="0.25">
      <c r="A8023" t="s">
        <v>292</v>
      </c>
      <c r="B8023" t="s">
        <v>1173</v>
      </c>
      <c r="C8023" t="s">
        <v>88</v>
      </c>
      <c r="D8023" t="s">
        <v>88</v>
      </c>
      <c r="E8023" t="s">
        <v>1717</v>
      </c>
      <c r="F8023" t="s">
        <v>88</v>
      </c>
      <c r="G8023" t="s">
        <v>88</v>
      </c>
      <c r="H8023" t="s">
        <v>92</v>
      </c>
    </row>
    <row r="8024" spans="1:8" x14ac:dyDescent="0.25">
      <c r="A8024" t="s">
        <v>292</v>
      </c>
      <c r="B8024" t="s">
        <v>6923</v>
      </c>
      <c r="C8024" t="s">
        <v>88</v>
      </c>
      <c r="D8024" t="s">
        <v>88</v>
      </c>
      <c r="E8024" t="s">
        <v>1068</v>
      </c>
      <c r="F8024" t="s">
        <v>88</v>
      </c>
      <c r="G8024" t="s">
        <v>88</v>
      </c>
      <c r="H8024" t="s">
        <v>92</v>
      </c>
    </row>
    <row r="8025" spans="1:8" x14ac:dyDescent="0.25">
      <c r="A8025" t="s">
        <v>292</v>
      </c>
      <c r="B8025" t="s">
        <v>6924</v>
      </c>
      <c r="C8025" t="s">
        <v>88</v>
      </c>
      <c r="D8025" t="s">
        <v>88</v>
      </c>
      <c r="E8025" t="s">
        <v>807</v>
      </c>
      <c r="F8025" t="s">
        <v>88</v>
      </c>
      <c r="G8025" t="s">
        <v>88</v>
      </c>
      <c r="H8025" t="s">
        <v>92</v>
      </c>
    </row>
    <row r="8026" spans="1:8" x14ac:dyDescent="0.25">
      <c r="A8026" t="s">
        <v>292</v>
      </c>
      <c r="B8026" t="s">
        <v>6925</v>
      </c>
      <c r="C8026" t="s">
        <v>88</v>
      </c>
      <c r="D8026" t="s">
        <v>88</v>
      </c>
      <c r="E8026" t="s">
        <v>1137</v>
      </c>
      <c r="F8026" t="s">
        <v>88</v>
      </c>
      <c r="G8026" t="s">
        <v>88</v>
      </c>
      <c r="H8026" t="s">
        <v>92</v>
      </c>
    </row>
    <row r="8027" spans="1:8" x14ac:dyDescent="0.25">
      <c r="A8027" t="s">
        <v>292</v>
      </c>
      <c r="B8027" t="s">
        <v>6926</v>
      </c>
      <c r="C8027" t="s">
        <v>88</v>
      </c>
      <c r="D8027" t="s">
        <v>88</v>
      </c>
      <c r="E8027" t="s">
        <v>1153</v>
      </c>
      <c r="F8027" t="s">
        <v>88</v>
      </c>
      <c r="G8027" t="s">
        <v>88</v>
      </c>
      <c r="H8027" t="s">
        <v>92</v>
      </c>
    </row>
    <row r="8028" spans="1:8" x14ac:dyDescent="0.25">
      <c r="A8028" t="s">
        <v>292</v>
      </c>
      <c r="B8028" t="s">
        <v>6927</v>
      </c>
      <c r="C8028" t="s">
        <v>88</v>
      </c>
      <c r="D8028" t="s">
        <v>88</v>
      </c>
      <c r="E8028" t="s">
        <v>3179</v>
      </c>
      <c r="F8028" t="s">
        <v>88</v>
      </c>
      <c r="G8028" t="s">
        <v>88</v>
      </c>
      <c r="H8028" t="s">
        <v>92</v>
      </c>
    </row>
    <row r="8029" spans="1:8" x14ac:dyDescent="0.25">
      <c r="A8029" t="s">
        <v>292</v>
      </c>
      <c r="B8029" t="s">
        <v>1923</v>
      </c>
      <c r="C8029" t="s">
        <v>88</v>
      </c>
      <c r="D8029" t="s">
        <v>88</v>
      </c>
      <c r="E8029" t="s">
        <v>2016</v>
      </c>
      <c r="F8029" t="s">
        <v>88</v>
      </c>
      <c r="G8029" t="s">
        <v>88</v>
      </c>
      <c r="H8029" t="s">
        <v>92</v>
      </c>
    </row>
    <row r="8030" spans="1:8" x14ac:dyDescent="0.25">
      <c r="A8030" t="s">
        <v>292</v>
      </c>
      <c r="B8030" t="s">
        <v>6928</v>
      </c>
      <c r="C8030" t="s">
        <v>88</v>
      </c>
      <c r="D8030" t="s">
        <v>88</v>
      </c>
      <c r="E8030" t="s">
        <v>3179</v>
      </c>
      <c r="F8030" t="s">
        <v>88</v>
      </c>
      <c r="G8030" t="s">
        <v>88</v>
      </c>
      <c r="H8030" t="s">
        <v>92</v>
      </c>
    </row>
    <row r="8031" spans="1:8" x14ac:dyDescent="0.25">
      <c r="A8031" t="s">
        <v>292</v>
      </c>
      <c r="B8031" t="s">
        <v>6929</v>
      </c>
      <c r="C8031" t="s">
        <v>88</v>
      </c>
      <c r="D8031" t="s">
        <v>88</v>
      </c>
      <c r="E8031" t="s">
        <v>3179</v>
      </c>
      <c r="F8031" t="s">
        <v>88</v>
      </c>
      <c r="G8031" t="s">
        <v>88</v>
      </c>
      <c r="H8031" t="s">
        <v>92</v>
      </c>
    </row>
    <row r="8032" spans="1:8" x14ac:dyDescent="0.25">
      <c r="A8032" t="s">
        <v>292</v>
      </c>
      <c r="B8032" t="s">
        <v>6930</v>
      </c>
      <c r="C8032" t="s">
        <v>88</v>
      </c>
      <c r="D8032" t="s">
        <v>88</v>
      </c>
      <c r="E8032" t="s">
        <v>1717</v>
      </c>
      <c r="F8032" t="s">
        <v>88</v>
      </c>
      <c r="G8032" t="s">
        <v>88</v>
      </c>
      <c r="H8032" t="s">
        <v>92</v>
      </c>
    </row>
    <row r="8033" spans="1:8" x14ac:dyDescent="0.25">
      <c r="A8033" t="s">
        <v>292</v>
      </c>
      <c r="B8033" t="s">
        <v>4646</v>
      </c>
      <c r="C8033" t="s">
        <v>88</v>
      </c>
      <c r="D8033" t="s">
        <v>88</v>
      </c>
      <c r="E8033" t="s">
        <v>1153</v>
      </c>
      <c r="F8033" t="s">
        <v>88</v>
      </c>
      <c r="G8033" t="s">
        <v>88</v>
      </c>
      <c r="H8033" t="s">
        <v>92</v>
      </c>
    </row>
    <row r="8034" spans="1:8" x14ac:dyDescent="0.25">
      <c r="A8034" t="s">
        <v>292</v>
      </c>
      <c r="B8034" t="s">
        <v>625</v>
      </c>
      <c r="C8034" t="s">
        <v>88</v>
      </c>
      <c r="D8034" t="s">
        <v>88</v>
      </c>
      <c r="E8034" t="s">
        <v>626</v>
      </c>
      <c r="F8034" t="s">
        <v>88</v>
      </c>
      <c r="G8034" t="s">
        <v>88</v>
      </c>
      <c r="H8034" t="s">
        <v>92</v>
      </c>
    </row>
    <row r="8035" spans="1:8" x14ac:dyDescent="0.25">
      <c r="A8035" t="s">
        <v>293</v>
      </c>
      <c r="B8035" t="s">
        <v>6931</v>
      </c>
      <c r="C8035" t="s">
        <v>88</v>
      </c>
      <c r="D8035" t="s">
        <v>6932</v>
      </c>
      <c r="E8035" t="s">
        <v>6044</v>
      </c>
      <c r="F8035" t="s">
        <v>88</v>
      </c>
      <c r="G8035" t="s">
        <v>88</v>
      </c>
      <c r="H8035" t="s">
        <v>92</v>
      </c>
    </row>
    <row r="8036" spans="1:8" x14ac:dyDescent="0.25">
      <c r="A8036" t="s">
        <v>293</v>
      </c>
      <c r="B8036" t="s">
        <v>6933</v>
      </c>
      <c r="C8036" t="s">
        <v>88</v>
      </c>
      <c r="D8036" t="s">
        <v>6934</v>
      </c>
      <c r="E8036" t="s">
        <v>655</v>
      </c>
      <c r="F8036" t="s">
        <v>88</v>
      </c>
      <c r="G8036" t="s">
        <v>88</v>
      </c>
      <c r="H8036" t="s">
        <v>92</v>
      </c>
    </row>
    <row r="8037" spans="1:8" x14ac:dyDescent="0.25">
      <c r="A8037" t="s">
        <v>293</v>
      </c>
      <c r="B8037" t="s">
        <v>1398</v>
      </c>
      <c r="C8037" t="s">
        <v>88</v>
      </c>
      <c r="D8037" t="s">
        <v>6935</v>
      </c>
      <c r="E8037" t="s">
        <v>700</v>
      </c>
      <c r="F8037" t="s">
        <v>88</v>
      </c>
      <c r="G8037" t="s">
        <v>88</v>
      </c>
      <c r="H8037" t="s">
        <v>92</v>
      </c>
    </row>
    <row r="8038" spans="1:8" x14ac:dyDescent="0.25">
      <c r="A8038" t="s">
        <v>293</v>
      </c>
      <c r="B8038" t="s">
        <v>6936</v>
      </c>
      <c r="C8038" t="s">
        <v>88</v>
      </c>
      <c r="D8038" t="s">
        <v>6937</v>
      </c>
      <c r="E8038" t="s">
        <v>825</v>
      </c>
      <c r="F8038" t="s">
        <v>88</v>
      </c>
      <c r="G8038" t="s">
        <v>88</v>
      </c>
      <c r="H8038" t="s">
        <v>92</v>
      </c>
    </row>
    <row r="8039" spans="1:8" x14ac:dyDescent="0.25">
      <c r="A8039" t="s">
        <v>293</v>
      </c>
      <c r="B8039" t="s">
        <v>6908</v>
      </c>
      <c r="C8039" t="s">
        <v>88</v>
      </c>
      <c r="D8039" t="s">
        <v>6938</v>
      </c>
      <c r="E8039" t="s">
        <v>655</v>
      </c>
      <c r="F8039" t="s">
        <v>88</v>
      </c>
      <c r="G8039" t="s">
        <v>88</v>
      </c>
      <c r="H8039" t="s">
        <v>92</v>
      </c>
    </row>
    <row r="8040" spans="1:8" x14ac:dyDescent="0.25">
      <c r="A8040" t="s">
        <v>293</v>
      </c>
      <c r="B8040" t="s">
        <v>6939</v>
      </c>
      <c r="C8040" t="s">
        <v>88</v>
      </c>
      <c r="D8040" t="s">
        <v>6940</v>
      </c>
      <c r="E8040" t="s">
        <v>841</v>
      </c>
      <c r="F8040" t="s">
        <v>88</v>
      </c>
      <c r="G8040" t="s">
        <v>88</v>
      </c>
      <c r="H8040" t="s">
        <v>92</v>
      </c>
    </row>
    <row r="8041" spans="1:8" x14ac:dyDescent="0.25">
      <c r="A8041" t="s">
        <v>293</v>
      </c>
      <c r="B8041" t="s">
        <v>6941</v>
      </c>
      <c r="C8041" t="s">
        <v>88</v>
      </c>
      <c r="D8041" t="s">
        <v>6942</v>
      </c>
      <c r="E8041" t="s">
        <v>825</v>
      </c>
      <c r="F8041" t="s">
        <v>88</v>
      </c>
      <c r="G8041" t="s">
        <v>88</v>
      </c>
      <c r="H8041" t="s">
        <v>92</v>
      </c>
    </row>
    <row r="8042" spans="1:8" x14ac:dyDescent="0.25">
      <c r="A8042" t="s">
        <v>293</v>
      </c>
      <c r="B8042" t="s">
        <v>6943</v>
      </c>
      <c r="C8042" t="s">
        <v>88</v>
      </c>
      <c r="D8042" t="s">
        <v>6944</v>
      </c>
      <c r="E8042" t="s">
        <v>825</v>
      </c>
      <c r="F8042" t="s">
        <v>88</v>
      </c>
      <c r="G8042" t="s">
        <v>88</v>
      </c>
      <c r="H8042" t="s">
        <v>92</v>
      </c>
    </row>
    <row r="8043" spans="1:8" x14ac:dyDescent="0.25">
      <c r="A8043" t="s">
        <v>293</v>
      </c>
      <c r="B8043" t="s">
        <v>1090</v>
      </c>
      <c r="C8043" t="s">
        <v>88</v>
      </c>
      <c r="D8043" t="s">
        <v>88</v>
      </c>
      <c r="E8043" t="s">
        <v>700</v>
      </c>
      <c r="F8043" t="s">
        <v>88</v>
      </c>
      <c r="G8043" t="s">
        <v>88</v>
      </c>
      <c r="H8043" t="s">
        <v>92</v>
      </c>
    </row>
    <row r="8044" spans="1:8" x14ac:dyDescent="0.25">
      <c r="A8044" t="s">
        <v>293</v>
      </c>
      <c r="B8044" t="s">
        <v>1092</v>
      </c>
      <c r="C8044" t="s">
        <v>88</v>
      </c>
      <c r="D8044" t="s">
        <v>88</v>
      </c>
      <c r="E8044" t="s">
        <v>663</v>
      </c>
      <c r="F8044" t="s">
        <v>88</v>
      </c>
      <c r="G8044" t="s">
        <v>88</v>
      </c>
      <c r="H8044" t="s">
        <v>92</v>
      </c>
    </row>
    <row r="8045" spans="1:8" x14ac:dyDescent="0.25">
      <c r="A8045" t="s">
        <v>293</v>
      </c>
      <c r="B8045" t="s">
        <v>6945</v>
      </c>
      <c r="C8045" t="s">
        <v>88</v>
      </c>
      <c r="D8045" t="s">
        <v>6946</v>
      </c>
      <c r="E8045" t="s">
        <v>655</v>
      </c>
      <c r="F8045" t="s">
        <v>88</v>
      </c>
      <c r="G8045" t="s">
        <v>88</v>
      </c>
      <c r="H8045" t="s">
        <v>92</v>
      </c>
    </row>
    <row r="8046" spans="1:8" x14ac:dyDescent="0.25">
      <c r="A8046" t="s">
        <v>293</v>
      </c>
      <c r="B8046" t="s">
        <v>6947</v>
      </c>
      <c r="C8046" t="s">
        <v>88</v>
      </c>
      <c r="D8046" t="s">
        <v>6948</v>
      </c>
      <c r="E8046" t="s">
        <v>780</v>
      </c>
      <c r="F8046" t="s">
        <v>88</v>
      </c>
      <c r="G8046" t="s">
        <v>88</v>
      </c>
      <c r="H8046" t="s">
        <v>92</v>
      </c>
    </row>
    <row r="8047" spans="1:8" x14ac:dyDescent="0.25">
      <c r="A8047" t="s">
        <v>293</v>
      </c>
      <c r="B8047" t="s">
        <v>6949</v>
      </c>
      <c r="C8047" t="s">
        <v>88</v>
      </c>
      <c r="D8047" t="s">
        <v>88</v>
      </c>
      <c r="E8047" t="s">
        <v>735</v>
      </c>
      <c r="F8047" t="s">
        <v>88</v>
      </c>
      <c r="G8047" t="s">
        <v>88</v>
      </c>
      <c r="H8047" t="s">
        <v>92</v>
      </c>
    </row>
    <row r="8048" spans="1:8" x14ac:dyDescent="0.25">
      <c r="A8048" t="s">
        <v>293</v>
      </c>
      <c r="B8048" t="s">
        <v>6950</v>
      </c>
      <c r="C8048" t="s">
        <v>88</v>
      </c>
      <c r="D8048" t="s">
        <v>88</v>
      </c>
      <c r="E8048" t="s">
        <v>679</v>
      </c>
      <c r="F8048" t="s">
        <v>88</v>
      </c>
      <c r="G8048" t="s">
        <v>88</v>
      </c>
      <c r="H8048" t="s">
        <v>92</v>
      </c>
    </row>
    <row r="8049" spans="1:8" x14ac:dyDescent="0.25">
      <c r="A8049" t="s">
        <v>293</v>
      </c>
      <c r="B8049" t="s">
        <v>701</v>
      </c>
      <c r="C8049" t="s">
        <v>88</v>
      </c>
      <c r="D8049" t="s">
        <v>88</v>
      </c>
      <c r="E8049" t="s">
        <v>1594</v>
      </c>
      <c r="F8049" t="s">
        <v>88</v>
      </c>
      <c r="G8049" t="s">
        <v>88</v>
      </c>
      <c r="H8049" t="s">
        <v>92</v>
      </c>
    </row>
    <row r="8050" spans="1:8" x14ac:dyDescent="0.25">
      <c r="A8050" t="s">
        <v>293</v>
      </c>
      <c r="B8050" t="s">
        <v>705</v>
      </c>
      <c r="C8050" t="s">
        <v>88</v>
      </c>
      <c r="D8050" t="s">
        <v>88</v>
      </c>
      <c r="E8050" t="s">
        <v>1594</v>
      </c>
      <c r="F8050" t="s">
        <v>88</v>
      </c>
      <c r="G8050" t="s">
        <v>88</v>
      </c>
      <c r="H8050" t="s">
        <v>92</v>
      </c>
    </row>
    <row r="8051" spans="1:8" x14ac:dyDescent="0.25">
      <c r="A8051" t="s">
        <v>293</v>
      </c>
      <c r="B8051" t="s">
        <v>706</v>
      </c>
      <c r="C8051" t="s">
        <v>88</v>
      </c>
      <c r="D8051" t="s">
        <v>88</v>
      </c>
      <c r="E8051" t="s">
        <v>1594</v>
      </c>
      <c r="F8051" t="s">
        <v>88</v>
      </c>
      <c r="G8051" t="s">
        <v>88</v>
      </c>
      <c r="H8051" t="s">
        <v>92</v>
      </c>
    </row>
    <row r="8052" spans="1:8" x14ac:dyDescent="0.25">
      <c r="A8052" t="s">
        <v>293</v>
      </c>
      <c r="B8052" t="s">
        <v>707</v>
      </c>
      <c r="C8052" t="s">
        <v>88</v>
      </c>
      <c r="D8052" t="s">
        <v>88</v>
      </c>
      <c r="E8052" t="s">
        <v>1594</v>
      </c>
      <c r="F8052" t="s">
        <v>88</v>
      </c>
      <c r="G8052" t="s">
        <v>88</v>
      </c>
      <c r="H8052" t="s">
        <v>92</v>
      </c>
    </row>
    <row r="8053" spans="1:8" x14ac:dyDescent="0.25">
      <c r="A8053" t="s">
        <v>293</v>
      </c>
      <c r="B8053" t="s">
        <v>708</v>
      </c>
      <c r="C8053" t="s">
        <v>88</v>
      </c>
      <c r="D8053" t="s">
        <v>88</v>
      </c>
      <c r="E8053" t="s">
        <v>1594</v>
      </c>
      <c r="F8053" t="s">
        <v>88</v>
      </c>
      <c r="G8053" t="s">
        <v>88</v>
      </c>
      <c r="H8053" t="s">
        <v>92</v>
      </c>
    </row>
    <row r="8054" spans="1:8" x14ac:dyDescent="0.25">
      <c r="A8054" t="s">
        <v>293</v>
      </c>
      <c r="B8054" t="s">
        <v>6951</v>
      </c>
      <c r="C8054" t="s">
        <v>88</v>
      </c>
      <c r="D8054" t="s">
        <v>88</v>
      </c>
      <c r="E8054" t="s">
        <v>711</v>
      </c>
      <c r="F8054" t="s">
        <v>88</v>
      </c>
      <c r="G8054" t="s">
        <v>88</v>
      </c>
      <c r="H8054" t="s">
        <v>92</v>
      </c>
    </row>
    <row r="8055" spans="1:8" x14ac:dyDescent="0.25">
      <c r="A8055" t="s">
        <v>293</v>
      </c>
      <c r="B8055" t="s">
        <v>623</v>
      </c>
      <c r="C8055" t="s">
        <v>88</v>
      </c>
      <c r="D8055" t="s">
        <v>88</v>
      </c>
      <c r="E8055" t="s">
        <v>735</v>
      </c>
      <c r="F8055" t="s">
        <v>88</v>
      </c>
      <c r="G8055" t="s">
        <v>88</v>
      </c>
      <c r="H8055" t="s">
        <v>92</v>
      </c>
    </row>
    <row r="8056" spans="1:8" x14ac:dyDescent="0.25">
      <c r="A8056" t="s">
        <v>293</v>
      </c>
      <c r="B8056" t="s">
        <v>4953</v>
      </c>
      <c r="C8056" t="s">
        <v>88</v>
      </c>
      <c r="D8056" t="s">
        <v>88</v>
      </c>
      <c r="E8056" t="s">
        <v>838</v>
      </c>
      <c r="F8056" t="s">
        <v>88</v>
      </c>
      <c r="G8056" t="s">
        <v>88</v>
      </c>
      <c r="H8056" t="s">
        <v>92</v>
      </c>
    </row>
    <row r="8057" spans="1:8" x14ac:dyDescent="0.25">
      <c r="A8057" t="s">
        <v>293</v>
      </c>
      <c r="B8057" t="s">
        <v>5222</v>
      </c>
      <c r="C8057" t="s">
        <v>88</v>
      </c>
      <c r="D8057" t="s">
        <v>88</v>
      </c>
      <c r="E8057" t="s">
        <v>844</v>
      </c>
      <c r="F8057" t="s">
        <v>88</v>
      </c>
      <c r="G8057" t="s">
        <v>88</v>
      </c>
      <c r="H8057" t="s">
        <v>92</v>
      </c>
    </row>
    <row r="8058" spans="1:8" x14ac:dyDescent="0.25">
      <c r="A8058" t="s">
        <v>293</v>
      </c>
      <c r="B8058" t="s">
        <v>6952</v>
      </c>
      <c r="C8058" t="s">
        <v>88</v>
      </c>
      <c r="D8058" t="s">
        <v>88</v>
      </c>
      <c r="E8058" t="s">
        <v>676</v>
      </c>
      <c r="F8058" t="s">
        <v>88</v>
      </c>
      <c r="G8058" t="s">
        <v>88</v>
      </c>
      <c r="H8058" t="s">
        <v>92</v>
      </c>
    </row>
    <row r="8059" spans="1:8" x14ac:dyDescent="0.25">
      <c r="A8059" t="s">
        <v>294</v>
      </c>
      <c r="B8059" t="s">
        <v>771</v>
      </c>
      <c r="C8059" t="s">
        <v>88</v>
      </c>
      <c r="D8059" t="s">
        <v>6953</v>
      </c>
      <c r="E8059" t="s">
        <v>780</v>
      </c>
      <c r="F8059" t="s">
        <v>88</v>
      </c>
      <c r="G8059" t="s">
        <v>88</v>
      </c>
      <c r="H8059" t="s">
        <v>92</v>
      </c>
    </row>
    <row r="8060" spans="1:8" x14ac:dyDescent="0.25">
      <c r="A8060" t="s">
        <v>294</v>
      </c>
      <c r="B8060" t="s">
        <v>1785</v>
      </c>
      <c r="C8060" t="s">
        <v>88</v>
      </c>
      <c r="D8060" t="s">
        <v>6953</v>
      </c>
      <c r="E8060" t="s">
        <v>663</v>
      </c>
      <c r="F8060" t="s">
        <v>88</v>
      </c>
      <c r="G8060" t="s">
        <v>88</v>
      </c>
      <c r="H8060" t="s">
        <v>92</v>
      </c>
    </row>
    <row r="8061" spans="1:8" x14ac:dyDescent="0.25">
      <c r="A8061" t="s">
        <v>294</v>
      </c>
      <c r="B8061" t="s">
        <v>2434</v>
      </c>
      <c r="C8061" t="s">
        <v>88</v>
      </c>
      <c r="D8061" t="s">
        <v>6953</v>
      </c>
      <c r="E8061" t="s">
        <v>780</v>
      </c>
      <c r="F8061" t="s">
        <v>88</v>
      </c>
      <c r="G8061" t="s">
        <v>88</v>
      </c>
      <c r="H8061" t="s">
        <v>92</v>
      </c>
    </row>
    <row r="8062" spans="1:8" x14ac:dyDescent="0.25">
      <c r="A8062" t="s">
        <v>294</v>
      </c>
      <c r="B8062" t="s">
        <v>2435</v>
      </c>
      <c r="C8062" t="s">
        <v>88</v>
      </c>
      <c r="D8062" t="s">
        <v>6953</v>
      </c>
      <c r="E8062" t="s">
        <v>663</v>
      </c>
      <c r="F8062" t="s">
        <v>88</v>
      </c>
      <c r="G8062" t="s">
        <v>88</v>
      </c>
      <c r="H8062" t="s">
        <v>92</v>
      </c>
    </row>
    <row r="8063" spans="1:8" x14ac:dyDescent="0.25">
      <c r="A8063" t="s">
        <v>294</v>
      </c>
      <c r="B8063" t="s">
        <v>2210</v>
      </c>
      <c r="C8063" t="s">
        <v>88</v>
      </c>
      <c r="D8063" t="s">
        <v>6954</v>
      </c>
      <c r="E8063" t="s">
        <v>1594</v>
      </c>
      <c r="F8063" t="s">
        <v>88</v>
      </c>
      <c r="G8063" t="s">
        <v>88</v>
      </c>
      <c r="H8063" t="s">
        <v>92</v>
      </c>
    </row>
    <row r="8064" spans="1:8" x14ac:dyDescent="0.25">
      <c r="A8064" t="s">
        <v>294</v>
      </c>
      <c r="B8064" t="s">
        <v>6955</v>
      </c>
      <c r="C8064" t="s">
        <v>88</v>
      </c>
      <c r="D8064" t="s">
        <v>6956</v>
      </c>
      <c r="E8064" t="s">
        <v>2989</v>
      </c>
      <c r="F8064" t="s">
        <v>88</v>
      </c>
      <c r="G8064" t="s">
        <v>88</v>
      </c>
      <c r="H8064" t="s">
        <v>92</v>
      </c>
    </row>
    <row r="8065" spans="1:8" x14ac:dyDescent="0.25">
      <c r="A8065" t="s">
        <v>294</v>
      </c>
      <c r="B8065" t="s">
        <v>2051</v>
      </c>
      <c r="C8065" t="s">
        <v>88</v>
      </c>
      <c r="D8065" t="s">
        <v>6957</v>
      </c>
      <c r="E8065" t="s">
        <v>2989</v>
      </c>
      <c r="F8065" t="s">
        <v>88</v>
      </c>
      <c r="G8065" t="s">
        <v>88</v>
      </c>
      <c r="H8065" t="s">
        <v>92</v>
      </c>
    </row>
    <row r="8066" spans="1:8" x14ac:dyDescent="0.25">
      <c r="A8066" t="s">
        <v>294</v>
      </c>
      <c r="B8066" t="s">
        <v>6958</v>
      </c>
      <c r="C8066" t="s">
        <v>88</v>
      </c>
      <c r="D8066" t="s">
        <v>6959</v>
      </c>
      <c r="E8066" t="s">
        <v>655</v>
      </c>
      <c r="F8066" t="s">
        <v>88</v>
      </c>
      <c r="G8066" t="s">
        <v>88</v>
      </c>
      <c r="H8066" t="s">
        <v>92</v>
      </c>
    </row>
    <row r="8067" spans="1:8" x14ac:dyDescent="0.25">
      <c r="A8067" t="s">
        <v>294</v>
      </c>
      <c r="B8067" t="s">
        <v>2049</v>
      </c>
      <c r="C8067" t="s">
        <v>88</v>
      </c>
      <c r="D8067" t="s">
        <v>6960</v>
      </c>
      <c r="E8067" t="s">
        <v>655</v>
      </c>
      <c r="F8067" t="s">
        <v>88</v>
      </c>
      <c r="G8067" t="s">
        <v>88</v>
      </c>
      <c r="H8067" t="s">
        <v>92</v>
      </c>
    </row>
    <row r="8068" spans="1:8" x14ac:dyDescent="0.25">
      <c r="A8068" t="s">
        <v>294</v>
      </c>
      <c r="B8068" t="s">
        <v>6961</v>
      </c>
      <c r="C8068" t="s">
        <v>88</v>
      </c>
      <c r="D8068" t="s">
        <v>6962</v>
      </c>
      <c r="E8068" t="s">
        <v>1068</v>
      </c>
      <c r="F8068" t="s">
        <v>88</v>
      </c>
      <c r="G8068" t="s">
        <v>88</v>
      </c>
      <c r="H8068" t="s">
        <v>92</v>
      </c>
    </row>
    <row r="8069" spans="1:8" x14ac:dyDescent="0.25">
      <c r="A8069" t="s">
        <v>294</v>
      </c>
      <c r="B8069" t="s">
        <v>6963</v>
      </c>
      <c r="C8069" t="s">
        <v>88</v>
      </c>
      <c r="D8069" t="s">
        <v>6964</v>
      </c>
      <c r="E8069" t="s">
        <v>814</v>
      </c>
      <c r="F8069" t="s">
        <v>88</v>
      </c>
      <c r="G8069" t="s">
        <v>88</v>
      </c>
      <c r="H8069" t="s">
        <v>92</v>
      </c>
    </row>
    <row r="8070" spans="1:8" x14ac:dyDescent="0.25">
      <c r="A8070" t="s">
        <v>294</v>
      </c>
      <c r="B8070" t="s">
        <v>4993</v>
      </c>
      <c r="C8070" t="s">
        <v>88</v>
      </c>
      <c r="D8070" t="s">
        <v>6965</v>
      </c>
      <c r="E8070" t="s">
        <v>658</v>
      </c>
      <c r="F8070" t="s">
        <v>88</v>
      </c>
      <c r="G8070" t="s">
        <v>88</v>
      </c>
      <c r="H8070" t="s">
        <v>92</v>
      </c>
    </row>
    <row r="8071" spans="1:8" x14ac:dyDescent="0.25">
      <c r="A8071" t="s">
        <v>294</v>
      </c>
      <c r="B8071" t="s">
        <v>6966</v>
      </c>
      <c r="C8071" t="s">
        <v>88</v>
      </c>
      <c r="D8071" t="s">
        <v>6965</v>
      </c>
      <c r="E8071" t="s">
        <v>658</v>
      </c>
      <c r="F8071" t="s">
        <v>88</v>
      </c>
      <c r="G8071" t="s">
        <v>88</v>
      </c>
      <c r="H8071" t="s">
        <v>92</v>
      </c>
    </row>
    <row r="8072" spans="1:8" x14ac:dyDescent="0.25">
      <c r="A8072" t="s">
        <v>294</v>
      </c>
      <c r="B8072" t="s">
        <v>6967</v>
      </c>
      <c r="C8072" t="s">
        <v>88</v>
      </c>
      <c r="D8072" t="s">
        <v>6953</v>
      </c>
      <c r="E8072" t="s">
        <v>762</v>
      </c>
      <c r="F8072" t="s">
        <v>88</v>
      </c>
      <c r="G8072" t="s">
        <v>88</v>
      </c>
      <c r="H8072" t="s">
        <v>92</v>
      </c>
    </row>
    <row r="8073" spans="1:8" x14ac:dyDescent="0.25">
      <c r="A8073" t="s">
        <v>294</v>
      </c>
      <c r="B8073" t="s">
        <v>1785</v>
      </c>
      <c r="C8073" t="s">
        <v>88</v>
      </c>
      <c r="D8073" t="s">
        <v>6953</v>
      </c>
      <c r="E8073" t="s">
        <v>663</v>
      </c>
      <c r="F8073" t="s">
        <v>88</v>
      </c>
      <c r="G8073" t="s">
        <v>88</v>
      </c>
      <c r="H8073" t="s">
        <v>92</v>
      </c>
    </row>
    <row r="8074" spans="1:8" x14ac:dyDescent="0.25">
      <c r="A8074" t="s">
        <v>294</v>
      </c>
      <c r="B8074" t="s">
        <v>2435</v>
      </c>
      <c r="C8074" t="s">
        <v>88</v>
      </c>
      <c r="D8074" t="s">
        <v>6953</v>
      </c>
      <c r="E8074" t="s">
        <v>663</v>
      </c>
      <c r="F8074" t="s">
        <v>88</v>
      </c>
      <c r="G8074" t="s">
        <v>88</v>
      </c>
      <c r="H8074" t="s">
        <v>92</v>
      </c>
    </row>
    <row r="8075" spans="1:8" x14ac:dyDescent="0.25">
      <c r="A8075" t="s">
        <v>294</v>
      </c>
      <c r="B8075" t="s">
        <v>1786</v>
      </c>
      <c r="C8075" t="s">
        <v>88</v>
      </c>
      <c r="D8075" t="s">
        <v>6953</v>
      </c>
      <c r="E8075" t="s">
        <v>700</v>
      </c>
      <c r="F8075" t="s">
        <v>88</v>
      </c>
      <c r="G8075" t="s">
        <v>88</v>
      </c>
      <c r="H8075" t="s">
        <v>92</v>
      </c>
    </row>
    <row r="8076" spans="1:8" x14ac:dyDescent="0.25">
      <c r="A8076" t="s">
        <v>294</v>
      </c>
      <c r="B8076" t="s">
        <v>4994</v>
      </c>
      <c r="C8076" t="s">
        <v>88</v>
      </c>
      <c r="D8076" t="s">
        <v>6965</v>
      </c>
      <c r="E8076" t="s">
        <v>663</v>
      </c>
      <c r="F8076" t="s">
        <v>88</v>
      </c>
      <c r="G8076" t="s">
        <v>88</v>
      </c>
      <c r="H8076" t="s">
        <v>92</v>
      </c>
    </row>
    <row r="8077" spans="1:8" x14ac:dyDescent="0.25">
      <c r="A8077" t="s">
        <v>294</v>
      </c>
      <c r="B8077" t="s">
        <v>6968</v>
      </c>
      <c r="C8077" t="s">
        <v>88</v>
      </c>
      <c r="D8077" t="s">
        <v>6953</v>
      </c>
      <c r="E8077" t="s">
        <v>673</v>
      </c>
      <c r="F8077" t="s">
        <v>88</v>
      </c>
      <c r="G8077" t="s">
        <v>88</v>
      </c>
      <c r="H8077" t="s">
        <v>92</v>
      </c>
    </row>
    <row r="8078" spans="1:8" x14ac:dyDescent="0.25">
      <c r="A8078" t="s">
        <v>294</v>
      </c>
      <c r="B8078" t="s">
        <v>771</v>
      </c>
      <c r="C8078" t="s">
        <v>88</v>
      </c>
      <c r="D8078" t="s">
        <v>6953</v>
      </c>
      <c r="E8078" t="s">
        <v>780</v>
      </c>
      <c r="F8078" t="s">
        <v>88</v>
      </c>
      <c r="G8078" t="s">
        <v>88</v>
      </c>
      <c r="H8078" t="s">
        <v>92</v>
      </c>
    </row>
    <row r="8079" spans="1:8" x14ac:dyDescent="0.25">
      <c r="A8079" t="s">
        <v>294</v>
      </c>
      <c r="B8079" t="s">
        <v>2434</v>
      </c>
      <c r="C8079" t="s">
        <v>88</v>
      </c>
      <c r="D8079" t="s">
        <v>6953</v>
      </c>
      <c r="E8079" t="s">
        <v>780</v>
      </c>
      <c r="F8079" t="s">
        <v>88</v>
      </c>
      <c r="G8079" t="s">
        <v>88</v>
      </c>
      <c r="H8079" t="s">
        <v>92</v>
      </c>
    </row>
    <row r="8080" spans="1:8" x14ac:dyDescent="0.25">
      <c r="A8080" t="s">
        <v>294</v>
      </c>
      <c r="B8080" t="s">
        <v>1790</v>
      </c>
      <c r="C8080" t="s">
        <v>88</v>
      </c>
      <c r="D8080" t="s">
        <v>6953</v>
      </c>
      <c r="E8080" t="s">
        <v>663</v>
      </c>
      <c r="F8080" t="s">
        <v>88</v>
      </c>
      <c r="G8080" t="s">
        <v>88</v>
      </c>
      <c r="H8080" t="s">
        <v>92</v>
      </c>
    </row>
    <row r="8081" spans="1:8" x14ac:dyDescent="0.25">
      <c r="A8081" t="s">
        <v>294</v>
      </c>
      <c r="B8081" t="s">
        <v>2210</v>
      </c>
      <c r="C8081" t="s">
        <v>88</v>
      </c>
      <c r="D8081" t="s">
        <v>6954</v>
      </c>
      <c r="E8081" t="s">
        <v>1594</v>
      </c>
      <c r="F8081" t="s">
        <v>88</v>
      </c>
      <c r="G8081" t="s">
        <v>88</v>
      </c>
      <c r="H8081" t="s">
        <v>92</v>
      </c>
    </row>
    <row r="8082" spans="1:8" x14ac:dyDescent="0.25">
      <c r="A8082" t="s">
        <v>294</v>
      </c>
      <c r="B8082" t="s">
        <v>608</v>
      </c>
      <c r="C8082" t="s">
        <v>88</v>
      </c>
      <c r="D8082" t="s">
        <v>6954</v>
      </c>
      <c r="E8082" t="s">
        <v>1323</v>
      </c>
      <c r="F8082" t="s">
        <v>88</v>
      </c>
      <c r="G8082" t="s">
        <v>88</v>
      </c>
      <c r="H8082" t="s">
        <v>92</v>
      </c>
    </row>
    <row r="8083" spans="1:8" x14ac:dyDescent="0.25">
      <c r="A8083" t="s">
        <v>294</v>
      </c>
      <c r="B8083" t="s">
        <v>612</v>
      </c>
      <c r="C8083" t="s">
        <v>88</v>
      </c>
      <c r="D8083" t="s">
        <v>88</v>
      </c>
      <c r="E8083" t="s">
        <v>709</v>
      </c>
      <c r="F8083" t="s">
        <v>88</v>
      </c>
      <c r="G8083" t="s">
        <v>88</v>
      </c>
      <c r="H8083" t="s">
        <v>92</v>
      </c>
    </row>
    <row r="8084" spans="1:8" x14ac:dyDescent="0.25">
      <c r="A8084" t="s">
        <v>294</v>
      </c>
      <c r="B8084" t="s">
        <v>615</v>
      </c>
      <c r="C8084" t="s">
        <v>88</v>
      </c>
      <c r="D8084" t="s">
        <v>88</v>
      </c>
      <c r="E8084" t="s">
        <v>709</v>
      </c>
      <c r="F8084" t="s">
        <v>88</v>
      </c>
      <c r="G8084" t="s">
        <v>88</v>
      </c>
      <c r="H8084" t="s">
        <v>92</v>
      </c>
    </row>
    <row r="8085" spans="1:8" x14ac:dyDescent="0.25">
      <c r="A8085" t="s">
        <v>294</v>
      </c>
      <c r="B8085" t="s">
        <v>733</v>
      </c>
      <c r="C8085" t="s">
        <v>88</v>
      </c>
      <c r="D8085" t="s">
        <v>88</v>
      </c>
      <c r="E8085" t="s">
        <v>709</v>
      </c>
      <c r="F8085" t="s">
        <v>88</v>
      </c>
      <c r="G8085" t="s">
        <v>88</v>
      </c>
      <c r="H8085" t="s">
        <v>92</v>
      </c>
    </row>
    <row r="8086" spans="1:8" x14ac:dyDescent="0.25">
      <c r="A8086" t="s">
        <v>294</v>
      </c>
      <c r="B8086" t="s">
        <v>846</v>
      </c>
      <c r="C8086" t="s">
        <v>88</v>
      </c>
      <c r="D8086" t="s">
        <v>88</v>
      </c>
      <c r="E8086" t="s">
        <v>709</v>
      </c>
      <c r="F8086" t="s">
        <v>88</v>
      </c>
      <c r="G8086" t="s">
        <v>88</v>
      </c>
      <c r="H8086" t="s">
        <v>92</v>
      </c>
    </row>
    <row r="8087" spans="1:8" x14ac:dyDescent="0.25">
      <c r="A8087" t="s">
        <v>294</v>
      </c>
      <c r="B8087" t="s">
        <v>618</v>
      </c>
      <c r="C8087" t="s">
        <v>88</v>
      </c>
      <c r="D8087" t="s">
        <v>88</v>
      </c>
      <c r="E8087" t="s">
        <v>711</v>
      </c>
      <c r="F8087" t="s">
        <v>88</v>
      </c>
      <c r="G8087" t="s">
        <v>88</v>
      </c>
      <c r="H8087" t="s">
        <v>92</v>
      </c>
    </row>
    <row r="8088" spans="1:8" x14ac:dyDescent="0.25">
      <c r="A8088" t="s">
        <v>294</v>
      </c>
      <c r="B8088" t="s">
        <v>623</v>
      </c>
      <c r="C8088" t="s">
        <v>88</v>
      </c>
      <c r="D8088" t="s">
        <v>88</v>
      </c>
      <c r="E8088" t="s">
        <v>735</v>
      </c>
      <c r="F8088" t="s">
        <v>88</v>
      </c>
      <c r="G8088" t="s">
        <v>88</v>
      </c>
      <c r="H8088" t="s">
        <v>92</v>
      </c>
    </row>
    <row r="8089" spans="1:8" x14ac:dyDescent="0.25">
      <c r="A8089" t="s">
        <v>294</v>
      </c>
      <c r="B8089" t="s">
        <v>798</v>
      </c>
      <c r="C8089" t="s">
        <v>88</v>
      </c>
      <c r="D8089" t="s">
        <v>88</v>
      </c>
      <c r="E8089" t="s">
        <v>702</v>
      </c>
      <c r="F8089" t="s">
        <v>88</v>
      </c>
      <c r="G8089" t="s">
        <v>88</v>
      </c>
      <c r="H8089" t="s">
        <v>92</v>
      </c>
    </row>
    <row r="8090" spans="1:8" x14ac:dyDescent="0.25">
      <c r="A8090" t="s">
        <v>294</v>
      </c>
      <c r="B8090" t="s">
        <v>625</v>
      </c>
      <c r="C8090" t="s">
        <v>88</v>
      </c>
      <c r="D8090" t="s">
        <v>88</v>
      </c>
      <c r="E8090" t="s">
        <v>626</v>
      </c>
      <c r="F8090" t="s">
        <v>88</v>
      </c>
      <c r="G8090" t="s">
        <v>88</v>
      </c>
      <c r="H8090" t="s">
        <v>92</v>
      </c>
    </row>
    <row r="8091" spans="1:8" x14ac:dyDescent="0.25">
      <c r="A8091" t="s">
        <v>295</v>
      </c>
      <c r="B8091" t="s">
        <v>6967</v>
      </c>
      <c r="C8091" t="s">
        <v>88</v>
      </c>
      <c r="D8091" t="s">
        <v>6953</v>
      </c>
      <c r="E8091" t="s">
        <v>762</v>
      </c>
      <c r="F8091" t="s">
        <v>88</v>
      </c>
      <c r="G8091" t="s">
        <v>88</v>
      </c>
      <c r="H8091" t="s">
        <v>92</v>
      </c>
    </row>
    <row r="8092" spans="1:8" x14ac:dyDescent="0.25">
      <c r="A8092" t="s">
        <v>295</v>
      </c>
      <c r="B8092" t="s">
        <v>1785</v>
      </c>
      <c r="C8092" t="s">
        <v>88</v>
      </c>
      <c r="D8092" t="s">
        <v>6953</v>
      </c>
      <c r="E8092" t="s">
        <v>663</v>
      </c>
      <c r="F8092" t="s">
        <v>88</v>
      </c>
      <c r="G8092" t="s">
        <v>88</v>
      </c>
      <c r="H8092" t="s">
        <v>92</v>
      </c>
    </row>
    <row r="8093" spans="1:8" x14ac:dyDescent="0.25">
      <c r="A8093" t="s">
        <v>295</v>
      </c>
      <c r="B8093" t="s">
        <v>2435</v>
      </c>
      <c r="C8093" t="s">
        <v>88</v>
      </c>
      <c r="D8093" t="s">
        <v>6953</v>
      </c>
      <c r="E8093" t="s">
        <v>663</v>
      </c>
      <c r="F8093" t="s">
        <v>88</v>
      </c>
      <c r="G8093" t="s">
        <v>88</v>
      </c>
      <c r="H8093" t="s">
        <v>92</v>
      </c>
    </row>
    <row r="8094" spans="1:8" x14ac:dyDescent="0.25">
      <c r="A8094" t="s">
        <v>295</v>
      </c>
      <c r="B8094" t="s">
        <v>1786</v>
      </c>
      <c r="C8094" t="s">
        <v>88</v>
      </c>
      <c r="D8094" t="s">
        <v>6953</v>
      </c>
      <c r="E8094" t="s">
        <v>700</v>
      </c>
      <c r="F8094" t="s">
        <v>88</v>
      </c>
      <c r="G8094" t="s">
        <v>88</v>
      </c>
      <c r="H8094" t="s">
        <v>92</v>
      </c>
    </row>
    <row r="8095" spans="1:8" x14ac:dyDescent="0.25">
      <c r="A8095" t="s">
        <v>295</v>
      </c>
      <c r="B8095" t="s">
        <v>771</v>
      </c>
      <c r="C8095" t="s">
        <v>88</v>
      </c>
      <c r="D8095" t="s">
        <v>6953</v>
      </c>
      <c r="E8095" t="s">
        <v>780</v>
      </c>
      <c r="F8095" t="s">
        <v>88</v>
      </c>
      <c r="G8095" t="s">
        <v>88</v>
      </c>
      <c r="H8095" t="s">
        <v>92</v>
      </c>
    </row>
    <row r="8096" spans="1:8" x14ac:dyDescent="0.25">
      <c r="A8096" t="s">
        <v>295</v>
      </c>
      <c r="B8096" t="s">
        <v>6968</v>
      </c>
      <c r="C8096" t="s">
        <v>88</v>
      </c>
      <c r="D8096" t="s">
        <v>6953</v>
      </c>
      <c r="E8096" t="s">
        <v>673</v>
      </c>
      <c r="F8096" t="s">
        <v>88</v>
      </c>
      <c r="G8096" t="s">
        <v>88</v>
      </c>
      <c r="H8096" t="s">
        <v>92</v>
      </c>
    </row>
    <row r="8097" spans="1:8" x14ac:dyDescent="0.25">
      <c r="A8097" t="s">
        <v>295</v>
      </c>
      <c r="B8097" t="s">
        <v>2434</v>
      </c>
      <c r="C8097" t="s">
        <v>88</v>
      </c>
      <c r="D8097" t="s">
        <v>6953</v>
      </c>
      <c r="E8097" t="s">
        <v>780</v>
      </c>
      <c r="F8097" t="s">
        <v>88</v>
      </c>
      <c r="G8097" t="s">
        <v>88</v>
      </c>
      <c r="H8097" t="s">
        <v>92</v>
      </c>
    </row>
    <row r="8098" spans="1:8" x14ac:dyDescent="0.25">
      <c r="A8098" t="s">
        <v>295</v>
      </c>
      <c r="B8098" t="s">
        <v>1790</v>
      </c>
      <c r="C8098" t="s">
        <v>88</v>
      </c>
      <c r="D8098" t="s">
        <v>6953</v>
      </c>
      <c r="E8098" t="s">
        <v>663</v>
      </c>
      <c r="F8098" t="s">
        <v>88</v>
      </c>
      <c r="G8098" t="s">
        <v>88</v>
      </c>
      <c r="H8098" t="s">
        <v>92</v>
      </c>
    </row>
    <row r="8099" spans="1:8" x14ac:dyDescent="0.25">
      <c r="A8099" t="s">
        <v>295</v>
      </c>
      <c r="B8099" t="s">
        <v>612</v>
      </c>
      <c r="C8099" t="s">
        <v>88</v>
      </c>
      <c r="D8099" t="s">
        <v>88</v>
      </c>
      <c r="E8099" t="s">
        <v>709</v>
      </c>
      <c r="F8099" t="s">
        <v>88</v>
      </c>
      <c r="G8099" t="s">
        <v>88</v>
      </c>
      <c r="H8099" t="s">
        <v>92</v>
      </c>
    </row>
    <row r="8100" spans="1:8" x14ac:dyDescent="0.25">
      <c r="A8100" t="s">
        <v>295</v>
      </c>
      <c r="B8100" t="s">
        <v>615</v>
      </c>
      <c r="C8100" t="s">
        <v>88</v>
      </c>
      <c r="D8100" t="s">
        <v>88</v>
      </c>
      <c r="E8100" t="s">
        <v>709</v>
      </c>
      <c r="F8100" t="s">
        <v>88</v>
      </c>
      <c r="G8100" t="s">
        <v>88</v>
      </c>
      <c r="H8100" t="s">
        <v>92</v>
      </c>
    </row>
    <row r="8101" spans="1:8" x14ac:dyDescent="0.25">
      <c r="A8101" t="s">
        <v>295</v>
      </c>
      <c r="B8101" t="s">
        <v>846</v>
      </c>
      <c r="C8101" t="s">
        <v>88</v>
      </c>
      <c r="D8101" t="s">
        <v>88</v>
      </c>
      <c r="E8101" t="s">
        <v>710</v>
      </c>
      <c r="F8101" t="s">
        <v>88</v>
      </c>
      <c r="G8101" t="s">
        <v>88</v>
      </c>
      <c r="H8101" t="s">
        <v>92</v>
      </c>
    </row>
    <row r="8102" spans="1:8" x14ac:dyDescent="0.25">
      <c r="A8102" t="s">
        <v>295</v>
      </c>
      <c r="B8102" t="s">
        <v>618</v>
      </c>
      <c r="C8102" t="s">
        <v>88</v>
      </c>
      <c r="D8102" t="s">
        <v>88</v>
      </c>
      <c r="E8102" t="s">
        <v>711</v>
      </c>
      <c r="F8102" t="s">
        <v>88</v>
      </c>
      <c r="G8102" t="s">
        <v>88</v>
      </c>
      <c r="H8102" t="s">
        <v>92</v>
      </c>
    </row>
    <row r="8103" spans="1:8" x14ac:dyDescent="0.25">
      <c r="A8103" t="s">
        <v>295</v>
      </c>
      <c r="B8103" t="s">
        <v>929</v>
      </c>
      <c r="C8103" t="s">
        <v>88</v>
      </c>
      <c r="D8103" t="s">
        <v>88</v>
      </c>
      <c r="E8103" t="s">
        <v>735</v>
      </c>
      <c r="F8103" t="s">
        <v>88</v>
      </c>
      <c r="G8103" t="s">
        <v>88</v>
      </c>
      <c r="H8103" t="s">
        <v>92</v>
      </c>
    </row>
    <row r="8104" spans="1:8" x14ac:dyDescent="0.25">
      <c r="A8104" t="s">
        <v>295</v>
      </c>
      <c r="B8104" t="s">
        <v>798</v>
      </c>
      <c r="C8104" t="s">
        <v>88</v>
      </c>
      <c r="D8104" t="s">
        <v>88</v>
      </c>
      <c r="E8104" t="s">
        <v>1594</v>
      </c>
      <c r="F8104" t="s">
        <v>88</v>
      </c>
      <c r="G8104" t="s">
        <v>88</v>
      </c>
      <c r="H8104" t="s">
        <v>92</v>
      </c>
    </row>
    <row r="8105" spans="1:8" x14ac:dyDescent="0.25">
      <c r="A8105" t="s">
        <v>296</v>
      </c>
      <c r="B8105" t="s">
        <v>771</v>
      </c>
      <c r="C8105" t="s">
        <v>88</v>
      </c>
      <c r="D8105" t="s">
        <v>6969</v>
      </c>
      <c r="E8105" t="s">
        <v>715</v>
      </c>
      <c r="F8105" t="s">
        <v>88</v>
      </c>
      <c r="G8105" t="s">
        <v>88</v>
      </c>
      <c r="H8105" t="s">
        <v>92</v>
      </c>
    </row>
    <row r="8106" spans="1:8" x14ac:dyDescent="0.25">
      <c r="A8106" t="s">
        <v>296</v>
      </c>
      <c r="B8106" t="s">
        <v>1785</v>
      </c>
      <c r="C8106" t="s">
        <v>88</v>
      </c>
      <c r="D8106" t="s">
        <v>6969</v>
      </c>
      <c r="E8106" t="s">
        <v>937</v>
      </c>
      <c r="F8106" t="s">
        <v>88</v>
      </c>
      <c r="G8106" t="s">
        <v>88</v>
      </c>
      <c r="H8106" t="s">
        <v>92</v>
      </c>
    </row>
    <row r="8107" spans="1:8" x14ac:dyDescent="0.25">
      <c r="A8107" t="s">
        <v>296</v>
      </c>
      <c r="B8107" t="s">
        <v>6970</v>
      </c>
      <c r="C8107" t="s">
        <v>88</v>
      </c>
      <c r="D8107" t="s">
        <v>6971</v>
      </c>
      <c r="E8107" t="s">
        <v>937</v>
      </c>
      <c r="F8107" t="s">
        <v>88</v>
      </c>
      <c r="G8107" t="s">
        <v>88</v>
      </c>
      <c r="H8107" t="s">
        <v>92</v>
      </c>
    </row>
    <row r="8108" spans="1:8" x14ac:dyDescent="0.25">
      <c r="A8108" t="s">
        <v>296</v>
      </c>
      <c r="B8108" t="s">
        <v>2434</v>
      </c>
      <c r="C8108" t="s">
        <v>88</v>
      </c>
      <c r="D8108" t="s">
        <v>6969</v>
      </c>
      <c r="E8108" t="s">
        <v>715</v>
      </c>
      <c r="F8108" t="s">
        <v>88</v>
      </c>
      <c r="G8108" t="s">
        <v>88</v>
      </c>
      <c r="H8108" t="s">
        <v>92</v>
      </c>
    </row>
    <row r="8109" spans="1:8" x14ac:dyDescent="0.25">
      <c r="A8109" t="s">
        <v>296</v>
      </c>
      <c r="B8109" t="s">
        <v>6972</v>
      </c>
      <c r="C8109" t="s">
        <v>88</v>
      </c>
      <c r="D8109" t="s">
        <v>88</v>
      </c>
      <c r="E8109" t="s">
        <v>702</v>
      </c>
      <c r="F8109" t="s">
        <v>88</v>
      </c>
      <c r="G8109" t="s">
        <v>88</v>
      </c>
      <c r="H8109" t="s">
        <v>92</v>
      </c>
    </row>
    <row r="8110" spans="1:8" x14ac:dyDescent="0.25">
      <c r="A8110" t="s">
        <v>296</v>
      </c>
      <c r="B8110" t="s">
        <v>6973</v>
      </c>
      <c r="C8110" t="s">
        <v>88</v>
      </c>
      <c r="D8110" t="s">
        <v>6974</v>
      </c>
      <c r="E8110" t="s">
        <v>886</v>
      </c>
      <c r="F8110" t="s">
        <v>88</v>
      </c>
      <c r="G8110" t="s">
        <v>88</v>
      </c>
      <c r="H8110" t="s">
        <v>92</v>
      </c>
    </row>
    <row r="8111" spans="1:8" x14ac:dyDescent="0.25">
      <c r="A8111" t="s">
        <v>296</v>
      </c>
      <c r="B8111" t="s">
        <v>6975</v>
      </c>
      <c r="C8111" t="s">
        <v>88</v>
      </c>
      <c r="D8111" t="s">
        <v>6976</v>
      </c>
      <c r="E8111" t="s">
        <v>2478</v>
      </c>
      <c r="F8111" t="s">
        <v>88</v>
      </c>
      <c r="G8111" t="s">
        <v>88</v>
      </c>
      <c r="H8111" t="s">
        <v>92</v>
      </c>
    </row>
    <row r="8112" spans="1:8" x14ac:dyDescent="0.25">
      <c r="A8112" t="s">
        <v>296</v>
      </c>
      <c r="B8112" t="s">
        <v>6977</v>
      </c>
      <c r="C8112" t="s">
        <v>88</v>
      </c>
      <c r="D8112" t="s">
        <v>6978</v>
      </c>
      <c r="E8112" t="s">
        <v>6682</v>
      </c>
      <c r="F8112" t="s">
        <v>88</v>
      </c>
      <c r="G8112" t="s">
        <v>88</v>
      </c>
      <c r="H8112" t="s">
        <v>92</v>
      </c>
    </row>
    <row r="8113" spans="1:8" x14ac:dyDescent="0.25">
      <c r="A8113" t="s">
        <v>296</v>
      </c>
      <c r="B8113" t="s">
        <v>6979</v>
      </c>
      <c r="C8113" t="s">
        <v>88</v>
      </c>
      <c r="D8113" t="s">
        <v>6980</v>
      </c>
      <c r="E8113" t="s">
        <v>4512</v>
      </c>
      <c r="F8113" t="s">
        <v>88</v>
      </c>
      <c r="G8113" t="s">
        <v>88</v>
      </c>
      <c r="H8113" t="s">
        <v>92</v>
      </c>
    </row>
    <row r="8114" spans="1:8" x14ac:dyDescent="0.25">
      <c r="A8114" t="s">
        <v>296</v>
      </c>
      <c r="B8114" t="s">
        <v>6981</v>
      </c>
      <c r="C8114" t="s">
        <v>88</v>
      </c>
      <c r="D8114" t="s">
        <v>6982</v>
      </c>
      <c r="E8114" t="s">
        <v>4275</v>
      </c>
      <c r="F8114" t="s">
        <v>88</v>
      </c>
      <c r="G8114" t="s">
        <v>88</v>
      </c>
      <c r="H8114" t="s">
        <v>92</v>
      </c>
    </row>
    <row r="8115" spans="1:8" x14ac:dyDescent="0.25">
      <c r="A8115" t="s">
        <v>296</v>
      </c>
      <c r="B8115" t="s">
        <v>6983</v>
      </c>
      <c r="C8115" t="s">
        <v>88</v>
      </c>
      <c r="D8115" t="s">
        <v>6984</v>
      </c>
      <c r="E8115" t="s">
        <v>673</v>
      </c>
      <c r="F8115" t="s">
        <v>88</v>
      </c>
      <c r="G8115" t="s">
        <v>88</v>
      </c>
      <c r="H8115" t="s">
        <v>92</v>
      </c>
    </row>
    <row r="8116" spans="1:8" x14ac:dyDescent="0.25">
      <c r="A8116" t="s">
        <v>296</v>
      </c>
      <c r="B8116" t="s">
        <v>6985</v>
      </c>
      <c r="C8116" t="s">
        <v>88</v>
      </c>
      <c r="D8116" t="s">
        <v>6986</v>
      </c>
      <c r="E8116" t="s">
        <v>4503</v>
      </c>
      <c r="F8116" t="s">
        <v>88</v>
      </c>
      <c r="G8116" t="s">
        <v>88</v>
      </c>
      <c r="H8116" t="s">
        <v>92</v>
      </c>
    </row>
    <row r="8117" spans="1:8" x14ac:dyDescent="0.25">
      <c r="A8117" t="s">
        <v>296</v>
      </c>
      <c r="B8117" t="s">
        <v>6987</v>
      </c>
      <c r="C8117" t="s">
        <v>88</v>
      </c>
      <c r="D8117" t="s">
        <v>6988</v>
      </c>
      <c r="E8117" t="s">
        <v>721</v>
      </c>
      <c r="F8117" t="s">
        <v>88</v>
      </c>
      <c r="G8117" t="s">
        <v>88</v>
      </c>
      <c r="H8117" t="s">
        <v>92</v>
      </c>
    </row>
    <row r="8118" spans="1:8" x14ac:dyDescent="0.25">
      <c r="A8118" t="s">
        <v>296</v>
      </c>
      <c r="B8118" t="s">
        <v>5210</v>
      </c>
      <c r="C8118" t="s">
        <v>88</v>
      </c>
      <c r="D8118" t="s">
        <v>6989</v>
      </c>
      <c r="E8118" t="s">
        <v>838</v>
      </c>
      <c r="F8118" t="s">
        <v>88</v>
      </c>
      <c r="G8118" t="s">
        <v>88</v>
      </c>
      <c r="H8118" t="s">
        <v>92</v>
      </c>
    </row>
    <row r="8119" spans="1:8" x14ac:dyDescent="0.25">
      <c r="A8119" t="s">
        <v>296</v>
      </c>
      <c r="B8119" t="s">
        <v>6970</v>
      </c>
      <c r="C8119" t="s">
        <v>88</v>
      </c>
      <c r="D8119" t="s">
        <v>6971</v>
      </c>
      <c r="E8119" t="s">
        <v>937</v>
      </c>
      <c r="F8119" t="s">
        <v>88</v>
      </c>
      <c r="G8119" t="s">
        <v>88</v>
      </c>
      <c r="H8119" t="s">
        <v>92</v>
      </c>
    </row>
    <row r="8120" spans="1:8" x14ac:dyDescent="0.25">
      <c r="A8120" t="s">
        <v>296</v>
      </c>
      <c r="B8120" t="s">
        <v>6990</v>
      </c>
      <c r="C8120" t="s">
        <v>88</v>
      </c>
      <c r="D8120" t="s">
        <v>6991</v>
      </c>
      <c r="E8120" t="s">
        <v>663</v>
      </c>
      <c r="F8120" t="s">
        <v>88</v>
      </c>
      <c r="G8120" t="s">
        <v>88</v>
      </c>
      <c r="H8120" t="s">
        <v>92</v>
      </c>
    </row>
    <row r="8121" spans="1:8" x14ac:dyDescent="0.25">
      <c r="A8121" t="s">
        <v>296</v>
      </c>
      <c r="B8121" t="s">
        <v>6992</v>
      </c>
      <c r="C8121" t="s">
        <v>88</v>
      </c>
      <c r="D8121" t="s">
        <v>6993</v>
      </c>
      <c r="E8121" t="s">
        <v>1714</v>
      </c>
      <c r="F8121" t="s">
        <v>88</v>
      </c>
      <c r="G8121" t="s">
        <v>88</v>
      </c>
      <c r="H8121" t="s">
        <v>92</v>
      </c>
    </row>
    <row r="8122" spans="1:8" x14ac:dyDescent="0.25">
      <c r="A8122" t="s">
        <v>296</v>
      </c>
      <c r="B8122" t="s">
        <v>6994</v>
      </c>
      <c r="C8122" t="s">
        <v>88</v>
      </c>
      <c r="D8122" t="s">
        <v>6995</v>
      </c>
      <c r="E8122" t="s">
        <v>1137</v>
      </c>
      <c r="F8122" t="s">
        <v>88</v>
      </c>
      <c r="G8122" t="s">
        <v>88</v>
      </c>
      <c r="H8122" t="s">
        <v>92</v>
      </c>
    </row>
    <row r="8123" spans="1:8" x14ac:dyDescent="0.25">
      <c r="A8123" t="s">
        <v>296</v>
      </c>
      <c r="B8123" t="s">
        <v>6996</v>
      </c>
      <c r="C8123" t="s">
        <v>88</v>
      </c>
      <c r="D8123" t="s">
        <v>6997</v>
      </c>
      <c r="E8123" t="s">
        <v>673</v>
      </c>
      <c r="F8123" t="s">
        <v>88</v>
      </c>
      <c r="G8123" t="s">
        <v>88</v>
      </c>
      <c r="H8123" t="s">
        <v>92</v>
      </c>
    </row>
    <row r="8124" spans="1:8" x14ac:dyDescent="0.25">
      <c r="A8124" t="s">
        <v>296</v>
      </c>
      <c r="B8124" t="s">
        <v>6998</v>
      </c>
      <c r="C8124" t="s">
        <v>88</v>
      </c>
      <c r="D8124" t="s">
        <v>4044</v>
      </c>
      <c r="E8124" t="s">
        <v>721</v>
      </c>
      <c r="F8124" t="s">
        <v>88</v>
      </c>
      <c r="G8124" t="s">
        <v>88</v>
      </c>
      <c r="H8124" t="s">
        <v>92</v>
      </c>
    </row>
    <row r="8125" spans="1:8" x14ac:dyDescent="0.25">
      <c r="A8125" t="s">
        <v>296</v>
      </c>
      <c r="B8125" t="s">
        <v>6999</v>
      </c>
      <c r="C8125" t="s">
        <v>88</v>
      </c>
      <c r="D8125" t="s">
        <v>7000</v>
      </c>
      <c r="E8125" t="s">
        <v>3573</v>
      </c>
      <c r="F8125" t="s">
        <v>88</v>
      </c>
      <c r="G8125" t="s">
        <v>88</v>
      </c>
      <c r="H8125" t="s">
        <v>92</v>
      </c>
    </row>
    <row r="8126" spans="1:8" x14ac:dyDescent="0.25">
      <c r="A8126" t="s">
        <v>296</v>
      </c>
      <c r="B8126" t="s">
        <v>7001</v>
      </c>
      <c r="C8126" t="s">
        <v>88</v>
      </c>
      <c r="D8126" t="s">
        <v>7002</v>
      </c>
      <c r="E8126" t="s">
        <v>655</v>
      </c>
      <c r="F8126" t="s">
        <v>88</v>
      </c>
      <c r="G8126" t="s">
        <v>88</v>
      </c>
      <c r="H8126" t="s">
        <v>92</v>
      </c>
    </row>
    <row r="8127" spans="1:8" x14ac:dyDescent="0.25">
      <c r="A8127" t="s">
        <v>296</v>
      </c>
      <c r="B8127" t="s">
        <v>7003</v>
      </c>
      <c r="C8127" t="s">
        <v>88</v>
      </c>
      <c r="D8127" t="s">
        <v>7004</v>
      </c>
      <c r="E8127" t="s">
        <v>1015</v>
      </c>
      <c r="F8127" t="s">
        <v>88</v>
      </c>
      <c r="G8127" t="s">
        <v>88</v>
      </c>
      <c r="H8127" t="s">
        <v>92</v>
      </c>
    </row>
    <row r="8128" spans="1:8" x14ac:dyDescent="0.25">
      <c r="A8128" t="s">
        <v>296</v>
      </c>
      <c r="B8128" t="s">
        <v>7005</v>
      </c>
      <c r="C8128" t="s">
        <v>88</v>
      </c>
      <c r="D8128" t="s">
        <v>7006</v>
      </c>
      <c r="E8128" t="s">
        <v>725</v>
      </c>
      <c r="F8128" t="s">
        <v>88</v>
      </c>
      <c r="G8128" t="s">
        <v>88</v>
      </c>
      <c r="H8128" t="s">
        <v>92</v>
      </c>
    </row>
    <row r="8129" spans="1:8" x14ac:dyDescent="0.25">
      <c r="A8129" t="s">
        <v>296</v>
      </c>
      <c r="B8129" t="s">
        <v>7007</v>
      </c>
      <c r="C8129" t="s">
        <v>88</v>
      </c>
      <c r="D8129" t="s">
        <v>7008</v>
      </c>
      <c r="E8129" t="s">
        <v>673</v>
      </c>
      <c r="F8129" t="s">
        <v>88</v>
      </c>
      <c r="G8129" t="s">
        <v>88</v>
      </c>
      <c r="H8129" t="s">
        <v>92</v>
      </c>
    </row>
    <row r="8130" spans="1:8" x14ac:dyDescent="0.25">
      <c r="A8130" t="s">
        <v>296</v>
      </c>
      <c r="B8130" t="s">
        <v>7009</v>
      </c>
      <c r="C8130" t="s">
        <v>88</v>
      </c>
      <c r="D8130" t="s">
        <v>7010</v>
      </c>
      <c r="E8130" t="s">
        <v>721</v>
      </c>
      <c r="F8130" t="s">
        <v>88</v>
      </c>
      <c r="G8130" t="s">
        <v>88</v>
      </c>
      <c r="H8130" t="s">
        <v>92</v>
      </c>
    </row>
    <row r="8131" spans="1:8" x14ac:dyDescent="0.25">
      <c r="A8131" t="s">
        <v>296</v>
      </c>
      <c r="B8131" t="s">
        <v>7011</v>
      </c>
      <c r="C8131" t="s">
        <v>88</v>
      </c>
      <c r="D8131" t="s">
        <v>7012</v>
      </c>
      <c r="E8131" t="s">
        <v>679</v>
      </c>
      <c r="F8131" t="s">
        <v>88</v>
      </c>
      <c r="G8131" t="s">
        <v>88</v>
      </c>
      <c r="H8131" t="s">
        <v>92</v>
      </c>
    </row>
    <row r="8132" spans="1:8" x14ac:dyDescent="0.25">
      <c r="A8132" t="s">
        <v>296</v>
      </c>
      <c r="B8132" t="s">
        <v>1785</v>
      </c>
      <c r="C8132" t="s">
        <v>88</v>
      </c>
      <c r="D8132" t="s">
        <v>6969</v>
      </c>
      <c r="E8132" t="s">
        <v>937</v>
      </c>
      <c r="F8132" t="s">
        <v>88</v>
      </c>
      <c r="G8132" t="s">
        <v>88</v>
      </c>
      <c r="H8132" t="s">
        <v>92</v>
      </c>
    </row>
    <row r="8133" spans="1:8" x14ac:dyDescent="0.25">
      <c r="A8133" t="s">
        <v>296</v>
      </c>
      <c r="B8133" t="s">
        <v>2435</v>
      </c>
      <c r="C8133" t="s">
        <v>88</v>
      </c>
      <c r="D8133" t="s">
        <v>6969</v>
      </c>
      <c r="E8133" t="s">
        <v>937</v>
      </c>
      <c r="F8133" t="s">
        <v>88</v>
      </c>
      <c r="G8133" t="s">
        <v>88</v>
      </c>
      <c r="H8133" t="s">
        <v>92</v>
      </c>
    </row>
    <row r="8134" spans="1:8" x14ac:dyDescent="0.25">
      <c r="A8134" t="s">
        <v>296</v>
      </c>
      <c r="B8134" t="s">
        <v>1786</v>
      </c>
      <c r="C8134" t="s">
        <v>88</v>
      </c>
      <c r="D8134" t="s">
        <v>6969</v>
      </c>
      <c r="E8134" t="s">
        <v>748</v>
      </c>
      <c r="F8134" t="s">
        <v>88</v>
      </c>
      <c r="G8134" t="s">
        <v>88</v>
      </c>
      <c r="H8134" t="s">
        <v>92</v>
      </c>
    </row>
    <row r="8135" spans="1:8" x14ac:dyDescent="0.25">
      <c r="A8135" t="s">
        <v>296</v>
      </c>
      <c r="B8135" t="s">
        <v>7013</v>
      </c>
      <c r="C8135" t="s">
        <v>88</v>
      </c>
      <c r="D8135" t="s">
        <v>7014</v>
      </c>
      <c r="E8135" t="s">
        <v>780</v>
      </c>
      <c r="F8135" t="s">
        <v>88</v>
      </c>
      <c r="G8135" t="s">
        <v>88</v>
      </c>
      <c r="H8135" t="s">
        <v>92</v>
      </c>
    </row>
    <row r="8136" spans="1:8" x14ac:dyDescent="0.25">
      <c r="A8136" t="s">
        <v>296</v>
      </c>
      <c r="B8136" t="s">
        <v>7015</v>
      </c>
      <c r="C8136" t="s">
        <v>88</v>
      </c>
      <c r="D8136" t="s">
        <v>7016</v>
      </c>
      <c r="E8136" t="s">
        <v>679</v>
      </c>
      <c r="F8136" t="s">
        <v>88</v>
      </c>
      <c r="G8136" t="s">
        <v>88</v>
      </c>
      <c r="H8136" t="s">
        <v>92</v>
      </c>
    </row>
    <row r="8137" spans="1:8" x14ac:dyDescent="0.25">
      <c r="A8137" t="s">
        <v>296</v>
      </c>
      <c r="B8137" t="s">
        <v>7017</v>
      </c>
      <c r="C8137" t="s">
        <v>88</v>
      </c>
      <c r="D8137" t="s">
        <v>7018</v>
      </c>
      <c r="E8137" t="s">
        <v>692</v>
      </c>
      <c r="F8137" t="s">
        <v>88</v>
      </c>
      <c r="G8137" t="s">
        <v>88</v>
      </c>
      <c r="H8137" t="s">
        <v>92</v>
      </c>
    </row>
    <row r="8138" spans="1:8" x14ac:dyDescent="0.25">
      <c r="A8138" t="s">
        <v>296</v>
      </c>
      <c r="B8138" t="s">
        <v>7019</v>
      </c>
      <c r="C8138" t="s">
        <v>88</v>
      </c>
      <c r="D8138" t="s">
        <v>7020</v>
      </c>
      <c r="E8138" t="s">
        <v>679</v>
      </c>
      <c r="F8138" t="s">
        <v>88</v>
      </c>
      <c r="G8138" t="s">
        <v>88</v>
      </c>
      <c r="H8138" t="s">
        <v>92</v>
      </c>
    </row>
    <row r="8139" spans="1:8" x14ac:dyDescent="0.25">
      <c r="A8139" t="s">
        <v>296</v>
      </c>
      <c r="B8139" t="s">
        <v>7021</v>
      </c>
      <c r="C8139" t="s">
        <v>88</v>
      </c>
      <c r="D8139" t="s">
        <v>7020</v>
      </c>
      <c r="E8139" t="s">
        <v>679</v>
      </c>
      <c r="F8139" t="s">
        <v>88</v>
      </c>
      <c r="G8139" t="s">
        <v>88</v>
      </c>
      <c r="H8139" t="s">
        <v>92</v>
      </c>
    </row>
    <row r="8140" spans="1:8" x14ac:dyDescent="0.25">
      <c r="A8140" t="s">
        <v>296</v>
      </c>
      <c r="B8140" t="s">
        <v>7022</v>
      </c>
      <c r="C8140" t="s">
        <v>88</v>
      </c>
      <c r="D8140" t="s">
        <v>772</v>
      </c>
      <c r="E8140" t="s">
        <v>673</v>
      </c>
      <c r="F8140" t="s">
        <v>88</v>
      </c>
      <c r="G8140" t="s">
        <v>88</v>
      </c>
      <c r="H8140" t="s">
        <v>92</v>
      </c>
    </row>
    <row r="8141" spans="1:8" x14ac:dyDescent="0.25">
      <c r="A8141" t="s">
        <v>296</v>
      </c>
      <c r="B8141" t="s">
        <v>771</v>
      </c>
      <c r="C8141" t="s">
        <v>88</v>
      </c>
      <c r="D8141" t="s">
        <v>6969</v>
      </c>
      <c r="E8141" t="s">
        <v>715</v>
      </c>
      <c r="F8141" t="s">
        <v>88</v>
      </c>
      <c r="G8141" t="s">
        <v>88</v>
      </c>
      <c r="H8141" t="s">
        <v>92</v>
      </c>
    </row>
    <row r="8142" spans="1:8" x14ac:dyDescent="0.25">
      <c r="A8142" t="s">
        <v>296</v>
      </c>
      <c r="B8142" t="s">
        <v>2434</v>
      </c>
      <c r="C8142" t="s">
        <v>88</v>
      </c>
      <c r="D8142" t="s">
        <v>6969</v>
      </c>
      <c r="E8142" t="s">
        <v>715</v>
      </c>
      <c r="F8142" t="s">
        <v>88</v>
      </c>
      <c r="G8142" t="s">
        <v>88</v>
      </c>
      <c r="H8142" t="s">
        <v>92</v>
      </c>
    </row>
    <row r="8143" spans="1:8" x14ac:dyDescent="0.25">
      <c r="A8143" t="s">
        <v>296</v>
      </c>
      <c r="B8143" t="s">
        <v>1790</v>
      </c>
      <c r="C8143" t="s">
        <v>88</v>
      </c>
      <c r="D8143" t="s">
        <v>6969</v>
      </c>
      <c r="E8143" t="s">
        <v>721</v>
      </c>
      <c r="F8143" t="s">
        <v>88</v>
      </c>
      <c r="G8143" t="s">
        <v>88</v>
      </c>
      <c r="H8143" t="s">
        <v>92</v>
      </c>
    </row>
    <row r="8144" spans="1:8" x14ac:dyDescent="0.25">
      <c r="A8144" t="s">
        <v>296</v>
      </c>
      <c r="B8144" t="s">
        <v>7023</v>
      </c>
      <c r="C8144" t="s">
        <v>88</v>
      </c>
      <c r="D8144" t="s">
        <v>7014</v>
      </c>
      <c r="E8144" t="s">
        <v>1323</v>
      </c>
      <c r="F8144" t="s">
        <v>88</v>
      </c>
      <c r="G8144" t="s">
        <v>88</v>
      </c>
      <c r="H8144" t="s">
        <v>92</v>
      </c>
    </row>
    <row r="8145" spans="1:8" x14ac:dyDescent="0.25">
      <c r="A8145" t="s">
        <v>296</v>
      </c>
      <c r="B8145" t="s">
        <v>7024</v>
      </c>
      <c r="C8145" t="s">
        <v>88</v>
      </c>
      <c r="D8145" t="s">
        <v>7016</v>
      </c>
      <c r="E8145" t="s">
        <v>738</v>
      </c>
      <c r="F8145" t="s">
        <v>88</v>
      </c>
      <c r="G8145" t="s">
        <v>88</v>
      </c>
      <c r="H8145" t="s">
        <v>92</v>
      </c>
    </row>
    <row r="8146" spans="1:8" x14ac:dyDescent="0.25">
      <c r="A8146" t="s">
        <v>296</v>
      </c>
      <c r="B8146" t="s">
        <v>7025</v>
      </c>
      <c r="C8146" t="s">
        <v>88</v>
      </c>
      <c r="D8146" t="s">
        <v>7026</v>
      </c>
      <c r="E8146" t="s">
        <v>700</v>
      </c>
      <c r="F8146" t="s">
        <v>88</v>
      </c>
      <c r="G8146" t="s">
        <v>88</v>
      </c>
      <c r="H8146" t="s">
        <v>92</v>
      </c>
    </row>
    <row r="8147" spans="1:8" x14ac:dyDescent="0.25">
      <c r="A8147" t="s">
        <v>296</v>
      </c>
      <c r="B8147" t="s">
        <v>7027</v>
      </c>
      <c r="C8147" t="s">
        <v>88</v>
      </c>
      <c r="D8147" t="s">
        <v>772</v>
      </c>
      <c r="E8147" t="s">
        <v>723</v>
      </c>
      <c r="F8147" t="s">
        <v>88</v>
      </c>
      <c r="G8147" t="s">
        <v>88</v>
      </c>
      <c r="H8147" t="s">
        <v>92</v>
      </c>
    </row>
    <row r="8148" spans="1:8" x14ac:dyDescent="0.25">
      <c r="A8148" t="s">
        <v>296</v>
      </c>
      <c r="B8148" t="s">
        <v>6972</v>
      </c>
      <c r="C8148" t="s">
        <v>88</v>
      </c>
      <c r="D8148" t="s">
        <v>88</v>
      </c>
      <c r="E8148" t="s">
        <v>702</v>
      </c>
      <c r="F8148" t="s">
        <v>88</v>
      </c>
      <c r="G8148" t="s">
        <v>88</v>
      </c>
      <c r="H8148" t="s">
        <v>92</v>
      </c>
    </row>
    <row r="8149" spans="1:8" x14ac:dyDescent="0.25">
      <c r="A8149" t="s">
        <v>296</v>
      </c>
      <c r="B8149" t="s">
        <v>2210</v>
      </c>
      <c r="C8149" t="s">
        <v>88</v>
      </c>
      <c r="D8149" t="s">
        <v>88</v>
      </c>
      <c r="E8149" t="s">
        <v>959</v>
      </c>
      <c r="F8149" t="s">
        <v>88</v>
      </c>
      <c r="G8149" t="s">
        <v>88</v>
      </c>
      <c r="H8149" t="s">
        <v>92</v>
      </c>
    </row>
    <row r="8150" spans="1:8" x14ac:dyDescent="0.25">
      <c r="A8150" t="s">
        <v>296</v>
      </c>
      <c r="B8150" t="s">
        <v>7028</v>
      </c>
      <c r="C8150" t="s">
        <v>88</v>
      </c>
      <c r="D8150" t="s">
        <v>88</v>
      </c>
      <c r="E8150" t="s">
        <v>780</v>
      </c>
      <c r="F8150" t="s">
        <v>88</v>
      </c>
      <c r="G8150" t="s">
        <v>88</v>
      </c>
      <c r="H8150" t="s">
        <v>92</v>
      </c>
    </row>
    <row r="8151" spans="1:8" x14ac:dyDescent="0.25">
      <c r="A8151" t="s">
        <v>296</v>
      </c>
      <c r="B8151" t="s">
        <v>7029</v>
      </c>
      <c r="C8151" t="s">
        <v>88</v>
      </c>
      <c r="D8151" t="s">
        <v>88</v>
      </c>
      <c r="E8151" t="s">
        <v>791</v>
      </c>
      <c r="F8151" t="s">
        <v>88</v>
      </c>
      <c r="G8151" t="s">
        <v>88</v>
      </c>
      <c r="H8151" t="s">
        <v>92</v>
      </c>
    </row>
    <row r="8152" spans="1:8" x14ac:dyDescent="0.25">
      <c r="A8152" t="s">
        <v>296</v>
      </c>
      <c r="B8152" t="s">
        <v>612</v>
      </c>
      <c r="C8152" t="s">
        <v>88</v>
      </c>
      <c r="D8152" t="s">
        <v>88</v>
      </c>
      <c r="E8152" t="s">
        <v>732</v>
      </c>
      <c r="F8152" t="s">
        <v>88</v>
      </c>
      <c r="G8152" t="s">
        <v>88</v>
      </c>
      <c r="H8152" t="s">
        <v>92</v>
      </c>
    </row>
    <row r="8153" spans="1:8" x14ac:dyDescent="0.25">
      <c r="A8153" t="s">
        <v>296</v>
      </c>
      <c r="B8153" t="s">
        <v>615</v>
      </c>
      <c r="C8153" t="s">
        <v>88</v>
      </c>
      <c r="D8153" t="s">
        <v>88</v>
      </c>
      <c r="E8153" t="s">
        <v>732</v>
      </c>
      <c r="F8153" t="s">
        <v>88</v>
      </c>
      <c r="G8153" t="s">
        <v>88</v>
      </c>
      <c r="H8153" t="s">
        <v>92</v>
      </c>
    </row>
    <row r="8154" spans="1:8" x14ac:dyDescent="0.25">
      <c r="A8154" t="s">
        <v>296</v>
      </c>
      <c r="B8154" t="s">
        <v>733</v>
      </c>
      <c r="C8154" t="s">
        <v>88</v>
      </c>
      <c r="D8154" t="s">
        <v>88</v>
      </c>
      <c r="E8154" t="s">
        <v>732</v>
      </c>
      <c r="F8154" t="s">
        <v>88</v>
      </c>
      <c r="G8154" t="s">
        <v>88</v>
      </c>
      <c r="H8154" t="s">
        <v>92</v>
      </c>
    </row>
    <row r="8155" spans="1:8" x14ac:dyDescent="0.25">
      <c r="A8155" t="s">
        <v>296</v>
      </c>
      <c r="B8155" t="s">
        <v>617</v>
      </c>
      <c r="C8155" t="s">
        <v>88</v>
      </c>
      <c r="D8155" t="s">
        <v>88</v>
      </c>
      <c r="E8155" t="s">
        <v>732</v>
      </c>
      <c r="F8155" t="s">
        <v>88</v>
      </c>
      <c r="G8155" t="s">
        <v>88</v>
      </c>
      <c r="H8155" t="s">
        <v>92</v>
      </c>
    </row>
    <row r="8156" spans="1:8" x14ac:dyDescent="0.25">
      <c r="A8156" t="s">
        <v>296</v>
      </c>
      <c r="B8156" t="s">
        <v>846</v>
      </c>
      <c r="C8156" t="s">
        <v>88</v>
      </c>
      <c r="D8156" t="s">
        <v>88</v>
      </c>
      <c r="E8156" t="s">
        <v>734</v>
      </c>
      <c r="F8156" t="s">
        <v>88</v>
      </c>
      <c r="G8156" t="s">
        <v>88</v>
      </c>
      <c r="H8156" t="s">
        <v>92</v>
      </c>
    </row>
    <row r="8157" spans="1:8" x14ac:dyDescent="0.25">
      <c r="A8157" t="s">
        <v>296</v>
      </c>
      <c r="B8157" t="s">
        <v>618</v>
      </c>
      <c r="C8157" t="s">
        <v>88</v>
      </c>
      <c r="D8157" t="s">
        <v>88</v>
      </c>
      <c r="E8157" t="s">
        <v>709</v>
      </c>
      <c r="F8157" t="s">
        <v>88</v>
      </c>
      <c r="G8157" t="s">
        <v>88</v>
      </c>
      <c r="H8157" t="s">
        <v>92</v>
      </c>
    </row>
    <row r="8158" spans="1:8" x14ac:dyDescent="0.25">
      <c r="A8158" t="s">
        <v>296</v>
      </c>
      <c r="B8158" t="s">
        <v>1399</v>
      </c>
      <c r="C8158" t="s">
        <v>88</v>
      </c>
      <c r="D8158" t="s">
        <v>88</v>
      </c>
      <c r="E8158" t="s">
        <v>710</v>
      </c>
      <c r="F8158" t="s">
        <v>88</v>
      </c>
      <c r="G8158" t="s">
        <v>88</v>
      </c>
      <c r="H8158" t="s">
        <v>92</v>
      </c>
    </row>
    <row r="8159" spans="1:8" x14ac:dyDescent="0.25">
      <c r="A8159" t="s">
        <v>296</v>
      </c>
      <c r="B8159" t="s">
        <v>622</v>
      </c>
      <c r="C8159" t="s">
        <v>88</v>
      </c>
      <c r="D8159" t="s">
        <v>88</v>
      </c>
      <c r="E8159" t="s">
        <v>711</v>
      </c>
      <c r="F8159" t="s">
        <v>88</v>
      </c>
      <c r="G8159" t="s">
        <v>88</v>
      </c>
      <c r="H8159" t="s">
        <v>92</v>
      </c>
    </row>
    <row r="8160" spans="1:8" x14ac:dyDescent="0.25">
      <c r="A8160" t="s">
        <v>296</v>
      </c>
      <c r="B8160" t="s">
        <v>797</v>
      </c>
      <c r="C8160" t="s">
        <v>88</v>
      </c>
      <c r="D8160" t="s">
        <v>88</v>
      </c>
      <c r="E8160" t="s">
        <v>848</v>
      </c>
      <c r="F8160" t="s">
        <v>88</v>
      </c>
      <c r="G8160" t="s">
        <v>88</v>
      </c>
      <c r="H8160" t="s">
        <v>92</v>
      </c>
    </row>
    <row r="8161" spans="1:8" x14ac:dyDescent="0.25">
      <c r="A8161" t="s">
        <v>296</v>
      </c>
      <c r="B8161" t="s">
        <v>623</v>
      </c>
      <c r="C8161" t="s">
        <v>88</v>
      </c>
      <c r="D8161" t="s">
        <v>88</v>
      </c>
      <c r="E8161" t="s">
        <v>735</v>
      </c>
      <c r="F8161" t="s">
        <v>88</v>
      </c>
      <c r="G8161" t="s">
        <v>88</v>
      </c>
      <c r="H8161" t="s">
        <v>92</v>
      </c>
    </row>
    <row r="8162" spans="1:8" x14ac:dyDescent="0.25">
      <c r="A8162" t="s">
        <v>296</v>
      </c>
      <c r="B8162" t="s">
        <v>798</v>
      </c>
      <c r="C8162" t="s">
        <v>88</v>
      </c>
      <c r="D8162" t="s">
        <v>88</v>
      </c>
      <c r="E8162" t="s">
        <v>791</v>
      </c>
      <c r="F8162" t="s">
        <v>88</v>
      </c>
      <c r="G8162" t="s">
        <v>88</v>
      </c>
      <c r="H8162" t="s">
        <v>92</v>
      </c>
    </row>
    <row r="8163" spans="1:8" x14ac:dyDescent="0.25">
      <c r="A8163" t="s">
        <v>296</v>
      </c>
      <c r="B8163" t="s">
        <v>7030</v>
      </c>
      <c r="C8163" t="s">
        <v>88</v>
      </c>
      <c r="D8163" t="s">
        <v>7031</v>
      </c>
      <c r="E8163" t="s">
        <v>735</v>
      </c>
      <c r="F8163" t="s">
        <v>88</v>
      </c>
      <c r="G8163" t="s">
        <v>88</v>
      </c>
      <c r="H8163" t="s">
        <v>92</v>
      </c>
    </row>
    <row r="8164" spans="1:8" x14ac:dyDescent="0.25">
      <c r="A8164" t="s">
        <v>296</v>
      </c>
      <c r="B8164" t="s">
        <v>7032</v>
      </c>
      <c r="C8164" t="s">
        <v>88</v>
      </c>
      <c r="D8164" t="s">
        <v>7033</v>
      </c>
      <c r="E8164" t="s">
        <v>735</v>
      </c>
      <c r="F8164" t="s">
        <v>88</v>
      </c>
      <c r="G8164" t="s">
        <v>88</v>
      </c>
      <c r="H8164" t="s">
        <v>92</v>
      </c>
    </row>
    <row r="8165" spans="1:8" x14ac:dyDescent="0.25">
      <c r="A8165" t="s">
        <v>296</v>
      </c>
      <c r="B8165" t="s">
        <v>625</v>
      </c>
      <c r="C8165" t="s">
        <v>88</v>
      </c>
      <c r="D8165" t="s">
        <v>88</v>
      </c>
      <c r="E8165" t="s">
        <v>626</v>
      </c>
      <c r="F8165" t="s">
        <v>88</v>
      </c>
      <c r="G8165" t="s">
        <v>88</v>
      </c>
      <c r="H8165" t="s">
        <v>92</v>
      </c>
    </row>
    <row r="8166" spans="1:8" x14ac:dyDescent="0.25">
      <c r="A8166" t="s">
        <v>297</v>
      </c>
      <c r="B8166" t="s">
        <v>771</v>
      </c>
      <c r="C8166" t="s">
        <v>88</v>
      </c>
      <c r="D8166" t="s">
        <v>7034</v>
      </c>
      <c r="E8166" t="s">
        <v>738</v>
      </c>
      <c r="F8166" t="s">
        <v>88</v>
      </c>
      <c r="G8166" t="s">
        <v>88</v>
      </c>
      <c r="H8166" t="s">
        <v>92</v>
      </c>
    </row>
    <row r="8167" spans="1:8" x14ac:dyDescent="0.25">
      <c r="A8167" t="s">
        <v>297</v>
      </c>
      <c r="B8167" t="s">
        <v>7035</v>
      </c>
      <c r="C8167" t="s">
        <v>88</v>
      </c>
      <c r="D8167" t="s">
        <v>7034</v>
      </c>
      <c r="E8167" t="s">
        <v>738</v>
      </c>
      <c r="F8167" t="s">
        <v>88</v>
      </c>
      <c r="G8167" t="s">
        <v>88</v>
      </c>
      <c r="H8167" t="s">
        <v>92</v>
      </c>
    </row>
    <row r="8168" spans="1:8" x14ac:dyDescent="0.25">
      <c r="A8168" t="s">
        <v>297</v>
      </c>
      <c r="B8168" t="s">
        <v>1785</v>
      </c>
      <c r="C8168" t="s">
        <v>88</v>
      </c>
      <c r="D8168" t="s">
        <v>7034</v>
      </c>
      <c r="E8168" t="s">
        <v>937</v>
      </c>
      <c r="F8168" t="s">
        <v>88</v>
      </c>
      <c r="G8168" t="s">
        <v>88</v>
      </c>
      <c r="H8168" t="s">
        <v>92</v>
      </c>
    </row>
    <row r="8169" spans="1:8" x14ac:dyDescent="0.25">
      <c r="A8169" t="s">
        <v>297</v>
      </c>
      <c r="B8169" t="s">
        <v>2435</v>
      </c>
      <c r="C8169" t="s">
        <v>88</v>
      </c>
      <c r="D8169" t="s">
        <v>7034</v>
      </c>
      <c r="E8169" t="s">
        <v>937</v>
      </c>
      <c r="F8169" t="s">
        <v>88</v>
      </c>
      <c r="G8169" t="s">
        <v>88</v>
      </c>
      <c r="H8169" t="s">
        <v>92</v>
      </c>
    </row>
    <row r="8170" spans="1:8" x14ac:dyDescent="0.25">
      <c r="A8170" t="s">
        <v>297</v>
      </c>
      <c r="B8170" t="s">
        <v>2049</v>
      </c>
      <c r="C8170" t="s">
        <v>88</v>
      </c>
      <c r="D8170" t="s">
        <v>2050</v>
      </c>
      <c r="E8170" t="s">
        <v>883</v>
      </c>
      <c r="F8170" t="s">
        <v>88</v>
      </c>
      <c r="G8170" t="s">
        <v>88</v>
      </c>
      <c r="H8170" t="s">
        <v>92</v>
      </c>
    </row>
    <row r="8171" spans="1:8" x14ac:dyDescent="0.25">
      <c r="A8171" t="s">
        <v>297</v>
      </c>
      <c r="B8171" t="s">
        <v>2051</v>
      </c>
      <c r="C8171" t="s">
        <v>88</v>
      </c>
      <c r="D8171" t="s">
        <v>2052</v>
      </c>
      <c r="E8171" t="s">
        <v>748</v>
      </c>
      <c r="F8171" t="s">
        <v>88</v>
      </c>
      <c r="G8171" t="s">
        <v>88</v>
      </c>
      <c r="H8171" t="s">
        <v>92</v>
      </c>
    </row>
    <row r="8172" spans="1:8" x14ac:dyDescent="0.25">
      <c r="A8172" t="s">
        <v>297</v>
      </c>
      <c r="B8172" t="s">
        <v>2049</v>
      </c>
      <c r="C8172" t="s">
        <v>88</v>
      </c>
      <c r="D8172" t="s">
        <v>2050</v>
      </c>
      <c r="E8172" t="s">
        <v>883</v>
      </c>
      <c r="F8172" t="s">
        <v>88</v>
      </c>
      <c r="G8172" t="s">
        <v>88</v>
      </c>
      <c r="H8172" t="s">
        <v>92</v>
      </c>
    </row>
    <row r="8173" spans="1:8" x14ac:dyDescent="0.25">
      <c r="A8173" t="s">
        <v>297</v>
      </c>
      <c r="B8173" t="s">
        <v>1785</v>
      </c>
      <c r="C8173" t="s">
        <v>88</v>
      </c>
      <c r="D8173" t="s">
        <v>7034</v>
      </c>
      <c r="E8173" t="s">
        <v>937</v>
      </c>
      <c r="F8173" t="s">
        <v>88</v>
      </c>
      <c r="G8173" t="s">
        <v>88</v>
      </c>
      <c r="H8173" t="s">
        <v>92</v>
      </c>
    </row>
    <row r="8174" spans="1:8" x14ac:dyDescent="0.25">
      <c r="A8174" t="s">
        <v>297</v>
      </c>
      <c r="B8174" t="s">
        <v>2435</v>
      </c>
      <c r="C8174" t="s">
        <v>88</v>
      </c>
      <c r="D8174" t="s">
        <v>7034</v>
      </c>
      <c r="E8174" t="s">
        <v>937</v>
      </c>
      <c r="F8174" t="s">
        <v>88</v>
      </c>
      <c r="G8174" t="s">
        <v>88</v>
      </c>
      <c r="H8174" t="s">
        <v>92</v>
      </c>
    </row>
    <row r="8175" spans="1:8" x14ac:dyDescent="0.25">
      <c r="A8175" t="s">
        <v>297</v>
      </c>
      <c r="B8175" t="s">
        <v>1786</v>
      </c>
      <c r="C8175" t="s">
        <v>88</v>
      </c>
      <c r="D8175" t="s">
        <v>88</v>
      </c>
      <c r="E8175" t="s">
        <v>663</v>
      </c>
      <c r="F8175" t="s">
        <v>88</v>
      </c>
      <c r="G8175" t="s">
        <v>88</v>
      </c>
      <c r="H8175" t="s">
        <v>92</v>
      </c>
    </row>
    <row r="8176" spans="1:8" x14ac:dyDescent="0.25">
      <c r="A8176" t="s">
        <v>297</v>
      </c>
      <c r="B8176" t="s">
        <v>771</v>
      </c>
      <c r="C8176" t="s">
        <v>88</v>
      </c>
      <c r="D8176" t="s">
        <v>7034</v>
      </c>
      <c r="E8176" t="s">
        <v>738</v>
      </c>
      <c r="F8176" t="s">
        <v>88</v>
      </c>
      <c r="G8176" t="s">
        <v>88</v>
      </c>
      <c r="H8176" t="s">
        <v>92</v>
      </c>
    </row>
    <row r="8177" spans="1:8" x14ac:dyDescent="0.25">
      <c r="A8177" t="s">
        <v>297</v>
      </c>
      <c r="B8177" t="s">
        <v>7035</v>
      </c>
      <c r="C8177" t="s">
        <v>88</v>
      </c>
      <c r="D8177" t="s">
        <v>7034</v>
      </c>
      <c r="E8177" t="s">
        <v>738</v>
      </c>
      <c r="F8177" t="s">
        <v>88</v>
      </c>
      <c r="G8177" t="s">
        <v>88</v>
      </c>
      <c r="H8177" t="s">
        <v>92</v>
      </c>
    </row>
    <row r="8178" spans="1:8" x14ac:dyDescent="0.25">
      <c r="A8178" t="s">
        <v>297</v>
      </c>
      <c r="B8178" t="s">
        <v>1790</v>
      </c>
      <c r="C8178" t="s">
        <v>88</v>
      </c>
      <c r="D8178" t="s">
        <v>88</v>
      </c>
      <c r="E8178" t="s">
        <v>937</v>
      </c>
      <c r="F8178" t="s">
        <v>88</v>
      </c>
      <c r="G8178" t="s">
        <v>88</v>
      </c>
      <c r="H8178" t="s">
        <v>92</v>
      </c>
    </row>
    <row r="8179" spans="1:8" x14ac:dyDescent="0.25">
      <c r="A8179" t="s">
        <v>297</v>
      </c>
      <c r="B8179" t="s">
        <v>1322</v>
      </c>
      <c r="C8179" t="s">
        <v>88</v>
      </c>
      <c r="D8179" t="s">
        <v>88</v>
      </c>
      <c r="E8179" t="s">
        <v>702</v>
      </c>
      <c r="F8179" t="s">
        <v>88</v>
      </c>
      <c r="G8179" t="s">
        <v>88</v>
      </c>
      <c r="H8179" t="s">
        <v>92</v>
      </c>
    </row>
    <row r="8180" spans="1:8" x14ac:dyDescent="0.25">
      <c r="A8180" t="s">
        <v>297</v>
      </c>
      <c r="B8180" t="s">
        <v>706</v>
      </c>
      <c r="C8180" t="s">
        <v>88</v>
      </c>
      <c r="D8180" t="s">
        <v>88</v>
      </c>
      <c r="E8180" t="s">
        <v>709</v>
      </c>
      <c r="F8180" t="s">
        <v>88</v>
      </c>
      <c r="G8180" t="s">
        <v>88</v>
      </c>
      <c r="H8180" t="s">
        <v>92</v>
      </c>
    </row>
    <row r="8181" spans="1:8" x14ac:dyDescent="0.25">
      <c r="A8181" t="s">
        <v>297</v>
      </c>
      <c r="B8181" t="s">
        <v>612</v>
      </c>
      <c r="C8181" t="s">
        <v>88</v>
      </c>
      <c r="D8181" t="s">
        <v>88</v>
      </c>
      <c r="E8181" t="s">
        <v>709</v>
      </c>
      <c r="F8181" t="s">
        <v>88</v>
      </c>
      <c r="G8181" t="s">
        <v>88</v>
      </c>
      <c r="H8181" t="s">
        <v>92</v>
      </c>
    </row>
    <row r="8182" spans="1:8" x14ac:dyDescent="0.25">
      <c r="A8182" t="s">
        <v>297</v>
      </c>
      <c r="B8182" t="s">
        <v>651</v>
      </c>
      <c r="C8182" t="s">
        <v>88</v>
      </c>
      <c r="D8182" t="s">
        <v>88</v>
      </c>
      <c r="E8182" t="s">
        <v>709</v>
      </c>
      <c r="F8182" t="s">
        <v>88</v>
      </c>
      <c r="G8182" t="s">
        <v>88</v>
      </c>
      <c r="H8182" t="s">
        <v>92</v>
      </c>
    </row>
    <row r="8183" spans="1:8" x14ac:dyDescent="0.25">
      <c r="A8183" t="s">
        <v>297</v>
      </c>
      <c r="B8183" t="s">
        <v>614</v>
      </c>
      <c r="C8183" t="s">
        <v>88</v>
      </c>
      <c r="D8183" t="s">
        <v>88</v>
      </c>
      <c r="E8183" t="s">
        <v>709</v>
      </c>
      <c r="F8183" t="s">
        <v>88</v>
      </c>
      <c r="G8183" t="s">
        <v>88</v>
      </c>
      <c r="H8183" t="s">
        <v>92</v>
      </c>
    </row>
    <row r="8184" spans="1:8" x14ac:dyDescent="0.25">
      <c r="A8184" t="s">
        <v>297</v>
      </c>
      <c r="B8184" t="s">
        <v>615</v>
      </c>
      <c r="C8184" t="s">
        <v>88</v>
      </c>
      <c r="D8184" t="s">
        <v>88</v>
      </c>
      <c r="E8184" t="s">
        <v>709</v>
      </c>
      <c r="F8184" t="s">
        <v>88</v>
      </c>
      <c r="G8184" t="s">
        <v>88</v>
      </c>
      <c r="H8184" t="s">
        <v>92</v>
      </c>
    </row>
    <row r="8185" spans="1:8" x14ac:dyDescent="0.25">
      <c r="A8185" t="s">
        <v>297</v>
      </c>
      <c r="B8185" t="s">
        <v>733</v>
      </c>
      <c r="C8185" t="s">
        <v>88</v>
      </c>
      <c r="D8185" t="s">
        <v>88</v>
      </c>
      <c r="E8185" t="s">
        <v>709</v>
      </c>
      <c r="F8185" t="s">
        <v>88</v>
      </c>
      <c r="G8185" t="s">
        <v>88</v>
      </c>
      <c r="H8185" t="s">
        <v>92</v>
      </c>
    </row>
    <row r="8186" spans="1:8" x14ac:dyDescent="0.25">
      <c r="A8186" t="s">
        <v>297</v>
      </c>
      <c r="B8186" t="s">
        <v>794</v>
      </c>
      <c r="C8186" t="s">
        <v>88</v>
      </c>
      <c r="D8186" t="s">
        <v>88</v>
      </c>
      <c r="E8186" t="s">
        <v>710</v>
      </c>
      <c r="F8186" t="s">
        <v>88</v>
      </c>
      <c r="G8186" t="s">
        <v>88</v>
      </c>
      <c r="H8186" t="s">
        <v>92</v>
      </c>
    </row>
    <row r="8187" spans="1:8" x14ac:dyDescent="0.25">
      <c r="A8187" t="s">
        <v>297</v>
      </c>
      <c r="B8187" t="s">
        <v>618</v>
      </c>
      <c r="C8187" t="s">
        <v>88</v>
      </c>
      <c r="D8187" t="s">
        <v>88</v>
      </c>
      <c r="E8187" t="s">
        <v>711</v>
      </c>
      <c r="F8187" t="s">
        <v>88</v>
      </c>
      <c r="G8187" t="s">
        <v>88</v>
      </c>
      <c r="H8187" t="s">
        <v>92</v>
      </c>
    </row>
    <row r="8188" spans="1:8" x14ac:dyDescent="0.25">
      <c r="A8188" t="s">
        <v>297</v>
      </c>
      <c r="B8188" t="s">
        <v>620</v>
      </c>
      <c r="C8188" t="s">
        <v>88</v>
      </c>
      <c r="D8188" t="s">
        <v>88</v>
      </c>
      <c r="E8188" t="s">
        <v>711</v>
      </c>
      <c r="F8188" t="s">
        <v>88</v>
      </c>
      <c r="G8188" t="s">
        <v>88</v>
      </c>
      <c r="H8188" t="s">
        <v>92</v>
      </c>
    </row>
    <row r="8189" spans="1:8" x14ac:dyDescent="0.25">
      <c r="A8189" t="s">
        <v>297</v>
      </c>
      <c r="B8189" t="s">
        <v>623</v>
      </c>
      <c r="C8189" t="s">
        <v>88</v>
      </c>
      <c r="D8189" t="s">
        <v>88</v>
      </c>
      <c r="E8189" t="s">
        <v>849</v>
      </c>
      <c r="F8189" t="s">
        <v>88</v>
      </c>
      <c r="G8189" t="s">
        <v>88</v>
      </c>
      <c r="H8189" t="s">
        <v>92</v>
      </c>
    </row>
    <row r="8190" spans="1:8" x14ac:dyDescent="0.25">
      <c r="A8190" t="s">
        <v>297</v>
      </c>
      <c r="B8190" t="s">
        <v>798</v>
      </c>
      <c r="C8190" t="s">
        <v>88</v>
      </c>
      <c r="D8190" t="s">
        <v>88</v>
      </c>
      <c r="E8190" t="s">
        <v>1594</v>
      </c>
      <c r="F8190" t="s">
        <v>88</v>
      </c>
      <c r="G8190" t="s">
        <v>88</v>
      </c>
      <c r="H8190" t="s">
        <v>92</v>
      </c>
    </row>
    <row r="8191" spans="1:8" x14ac:dyDescent="0.25">
      <c r="A8191" t="s">
        <v>297</v>
      </c>
      <c r="B8191" t="s">
        <v>982</v>
      </c>
      <c r="C8191" t="s">
        <v>88</v>
      </c>
      <c r="D8191" t="s">
        <v>88</v>
      </c>
      <c r="E8191" t="s">
        <v>1594</v>
      </c>
      <c r="F8191" t="s">
        <v>88</v>
      </c>
      <c r="G8191" t="s">
        <v>88</v>
      </c>
      <c r="H8191" t="s">
        <v>92</v>
      </c>
    </row>
    <row r="8192" spans="1:8" x14ac:dyDescent="0.25">
      <c r="A8192" t="s">
        <v>297</v>
      </c>
      <c r="B8192" t="s">
        <v>625</v>
      </c>
      <c r="C8192" t="s">
        <v>88</v>
      </c>
      <c r="D8192" t="s">
        <v>88</v>
      </c>
      <c r="E8192" t="s">
        <v>626</v>
      </c>
      <c r="F8192" t="s">
        <v>88</v>
      </c>
      <c r="G8192" t="s">
        <v>88</v>
      </c>
      <c r="H8192" t="s">
        <v>92</v>
      </c>
    </row>
    <row r="8193" spans="1:8" x14ac:dyDescent="0.25">
      <c r="A8193" t="s">
        <v>298</v>
      </c>
      <c r="B8193" t="s">
        <v>7036</v>
      </c>
      <c r="C8193" t="s">
        <v>88</v>
      </c>
      <c r="D8193" t="s">
        <v>7037</v>
      </c>
      <c r="E8193" t="s">
        <v>1353</v>
      </c>
      <c r="F8193" t="s">
        <v>88</v>
      </c>
      <c r="G8193" t="s">
        <v>88</v>
      </c>
      <c r="H8193" t="s">
        <v>92</v>
      </c>
    </row>
    <row r="8194" spans="1:8" x14ac:dyDescent="0.25">
      <c r="A8194" t="s">
        <v>298</v>
      </c>
      <c r="B8194" t="s">
        <v>7038</v>
      </c>
      <c r="C8194" t="s">
        <v>88</v>
      </c>
      <c r="D8194" t="s">
        <v>7039</v>
      </c>
      <c r="E8194" t="s">
        <v>6044</v>
      </c>
      <c r="F8194" t="s">
        <v>88</v>
      </c>
      <c r="G8194" t="s">
        <v>88</v>
      </c>
      <c r="H8194" t="s">
        <v>92</v>
      </c>
    </row>
    <row r="8195" spans="1:8" x14ac:dyDescent="0.25">
      <c r="A8195" t="s">
        <v>298</v>
      </c>
      <c r="B8195" t="s">
        <v>789</v>
      </c>
      <c r="C8195" t="s">
        <v>88</v>
      </c>
      <c r="D8195" t="s">
        <v>966</v>
      </c>
      <c r="E8195" t="s">
        <v>702</v>
      </c>
      <c r="F8195" t="s">
        <v>88</v>
      </c>
      <c r="G8195" t="s">
        <v>88</v>
      </c>
      <c r="H8195" t="s">
        <v>92</v>
      </c>
    </row>
    <row r="8196" spans="1:8" x14ac:dyDescent="0.25">
      <c r="A8196" t="s">
        <v>298</v>
      </c>
      <c r="B8196" t="s">
        <v>968</v>
      </c>
      <c r="C8196" t="s">
        <v>88</v>
      </c>
      <c r="D8196" t="s">
        <v>969</v>
      </c>
      <c r="E8196" t="s">
        <v>799</v>
      </c>
      <c r="F8196" t="s">
        <v>88</v>
      </c>
      <c r="G8196" t="s">
        <v>88</v>
      </c>
      <c r="H8196" t="s">
        <v>92</v>
      </c>
    </row>
    <row r="8197" spans="1:8" x14ac:dyDescent="0.25">
      <c r="A8197" t="s">
        <v>298</v>
      </c>
      <c r="B8197" t="s">
        <v>7040</v>
      </c>
      <c r="C8197" t="s">
        <v>88</v>
      </c>
      <c r="D8197" t="s">
        <v>973</v>
      </c>
      <c r="E8197" t="s">
        <v>791</v>
      </c>
      <c r="F8197" t="s">
        <v>88</v>
      </c>
      <c r="G8197" t="s">
        <v>88</v>
      </c>
      <c r="H8197" t="s">
        <v>92</v>
      </c>
    </row>
    <row r="8198" spans="1:8" x14ac:dyDescent="0.25">
      <c r="A8198" t="s">
        <v>298</v>
      </c>
      <c r="B8198" t="s">
        <v>935</v>
      </c>
      <c r="C8198" t="s">
        <v>88</v>
      </c>
      <c r="D8198" t="s">
        <v>971</v>
      </c>
      <c r="E8198" t="s">
        <v>738</v>
      </c>
      <c r="F8198" t="s">
        <v>88</v>
      </c>
      <c r="G8198" t="s">
        <v>88</v>
      </c>
      <c r="H8198" t="s">
        <v>92</v>
      </c>
    </row>
    <row r="8199" spans="1:8" x14ac:dyDescent="0.25">
      <c r="A8199" t="s">
        <v>298</v>
      </c>
      <c r="B8199" t="s">
        <v>974</v>
      </c>
      <c r="C8199" t="s">
        <v>88</v>
      </c>
      <c r="D8199" t="s">
        <v>975</v>
      </c>
      <c r="E8199" t="s">
        <v>886</v>
      </c>
      <c r="F8199" t="s">
        <v>88</v>
      </c>
      <c r="G8199" t="s">
        <v>88</v>
      </c>
      <c r="H8199" t="s">
        <v>92</v>
      </c>
    </row>
    <row r="8200" spans="1:8" x14ac:dyDescent="0.25">
      <c r="A8200" t="s">
        <v>298</v>
      </c>
      <c r="B8200" t="s">
        <v>816</v>
      </c>
      <c r="C8200" t="s">
        <v>88</v>
      </c>
      <c r="D8200" t="s">
        <v>970</v>
      </c>
      <c r="E8200" t="s">
        <v>1139</v>
      </c>
      <c r="F8200" t="s">
        <v>88</v>
      </c>
      <c r="G8200" t="s">
        <v>88</v>
      </c>
      <c r="H8200" t="s">
        <v>92</v>
      </c>
    </row>
    <row r="8201" spans="1:8" x14ac:dyDescent="0.25">
      <c r="A8201" t="s">
        <v>298</v>
      </c>
      <c r="B8201" t="s">
        <v>976</v>
      </c>
      <c r="C8201" t="s">
        <v>88</v>
      </c>
      <c r="D8201" t="s">
        <v>977</v>
      </c>
      <c r="E8201" t="s">
        <v>655</v>
      </c>
      <c r="F8201" t="s">
        <v>88</v>
      </c>
      <c r="G8201" t="s">
        <v>88</v>
      </c>
      <c r="H8201" t="s">
        <v>92</v>
      </c>
    </row>
    <row r="8202" spans="1:8" x14ac:dyDescent="0.25">
      <c r="A8202" t="s">
        <v>298</v>
      </c>
      <c r="B8202" t="s">
        <v>942</v>
      </c>
      <c r="C8202" t="s">
        <v>88</v>
      </c>
      <c r="D8202" t="s">
        <v>978</v>
      </c>
      <c r="E8202" t="s">
        <v>692</v>
      </c>
      <c r="F8202" t="s">
        <v>88</v>
      </c>
      <c r="G8202" t="s">
        <v>88</v>
      </c>
      <c r="H8202" t="s">
        <v>92</v>
      </c>
    </row>
    <row r="8203" spans="1:8" x14ac:dyDescent="0.25">
      <c r="A8203" t="s">
        <v>298</v>
      </c>
      <c r="B8203" t="s">
        <v>823</v>
      </c>
      <c r="C8203" t="s">
        <v>88</v>
      </c>
      <c r="D8203" t="s">
        <v>967</v>
      </c>
      <c r="E8203" t="s">
        <v>676</v>
      </c>
      <c r="F8203" t="s">
        <v>88</v>
      </c>
      <c r="G8203" t="s">
        <v>88</v>
      </c>
      <c r="H8203" t="s">
        <v>92</v>
      </c>
    </row>
    <row r="8204" spans="1:8" x14ac:dyDescent="0.25">
      <c r="A8204" t="s">
        <v>298</v>
      </c>
      <c r="B8204" t="s">
        <v>944</v>
      </c>
      <c r="C8204" t="s">
        <v>88</v>
      </c>
      <c r="D8204" t="s">
        <v>88</v>
      </c>
      <c r="E8204" t="s">
        <v>655</v>
      </c>
      <c r="F8204" t="s">
        <v>88</v>
      </c>
      <c r="G8204" t="s">
        <v>88</v>
      </c>
      <c r="H8204" t="s">
        <v>92</v>
      </c>
    </row>
    <row r="8205" spans="1:8" x14ac:dyDescent="0.25">
      <c r="A8205" t="s">
        <v>298</v>
      </c>
      <c r="B8205" t="s">
        <v>612</v>
      </c>
      <c r="C8205" t="s">
        <v>88</v>
      </c>
      <c r="D8205" t="s">
        <v>88</v>
      </c>
      <c r="E8205" t="s">
        <v>710</v>
      </c>
      <c r="F8205" t="s">
        <v>88</v>
      </c>
      <c r="G8205" t="s">
        <v>88</v>
      </c>
      <c r="H8205" t="s">
        <v>92</v>
      </c>
    </row>
    <row r="8206" spans="1:8" x14ac:dyDescent="0.25">
      <c r="A8206" t="s">
        <v>298</v>
      </c>
      <c r="B8206" t="s">
        <v>794</v>
      </c>
      <c r="C8206" t="s">
        <v>88</v>
      </c>
      <c r="D8206" t="s">
        <v>88</v>
      </c>
      <c r="E8206" t="s">
        <v>848</v>
      </c>
      <c r="F8206" t="s">
        <v>88</v>
      </c>
      <c r="G8206" t="s">
        <v>88</v>
      </c>
      <c r="H8206" t="s">
        <v>92</v>
      </c>
    </row>
    <row r="8207" spans="1:8" x14ac:dyDescent="0.25">
      <c r="A8207" t="s">
        <v>298</v>
      </c>
      <c r="B8207" t="s">
        <v>926</v>
      </c>
      <c r="C8207" t="s">
        <v>88</v>
      </c>
      <c r="D8207" t="s">
        <v>88</v>
      </c>
      <c r="E8207" t="s">
        <v>711</v>
      </c>
      <c r="F8207" t="s">
        <v>88</v>
      </c>
      <c r="G8207" t="s">
        <v>88</v>
      </c>
      <c r="H8207" t="s">
        <v>92</v>
      </c>
    </row>
    <row r="8208" spans="1:8" x14ac:dyDescent="0.25">
      <c r="A8208" t="s">
        <v>298</v>
      </c>
      <c r="B8208" t="s">
        <v>618</v>
      </c>
      <c r="C8208" t="s">
        <v>88</v>
      </c>
      <c r="D8208" t="s">
        <v>88</v>
      </c>
      <c r="E8208" t="s">
        <v>711</v>
      </c>
      <c r="F8208" t="s">
        <v>88</v>
      </c>
      <c r="G8208" t="s">
        <v>88</v>
      </c>
      <c r="H8208" t="s">
        <v>92</v>
      </c>
    </row>
    <row r="8209" spans="1:8" x14ac:dyDescent="0.25">
      <c r="A8209" t="s">
        <v>298</v>
      </c>
      <c r="B8209" t="s">
        <v>795</v>
      </c>
      <c r="C8209" t="s">
        <v>88</v>
      </c>
      <c r="D8209" t="s">
        <v>88</v>
      </c>
      <c r="E8209" t="s">
        <v>713</v>
      </c>
      <c r="F8209" t="s">
        <v>88</v>
      </c>
      <c r="G8209" t="s">
        <v>88</v>
      </c>
      <c r="H8209" t="s">
        <v>92</v>
      </c>
    </row>
    <row r="8210" spans="1:8" x14ac:dyDescent="0.25">
      <c r="A8210" t="s">
        <v>298</v>
      </c>
      <c r="B8210" t="s">
        <v>797</v>
      </c>
      <c r="C8210" t="s">
        <v>88</v>
      </c>
      <c r="D8210" t="s">
        <v>88</v>
      </c>
      <c r="E8210" t="s">
        <v>711</v>
      </c>
      <c r="F8210" t="s">
        <v>88</v>
      </c>
      <c r="G8210" t="s">
        <v>88</v>
      </c>
      <c r="H8210" t="s">
        <v>92</v>
      </c>
    </row>
    <row r="8211" spans="1:8" x14ac:dyDescent="0.25">
      <c r="A8211" t="s">
        <v>298</v>
      </c>
      <c r="B8211" t="s">
        <v>622</v>
      </c>
      <c r="C8211" t="s">
        <v>88</v>
      </c>
      <c r="D8211" t="s">
        <v>88</v>
      </c>
      <c r="E8211" t="s">
        <v>713</v>
      </c>
      <c r="F8211" t="s">
        <v>88</v>
      </c>
      <c r="G8211" t="s">
        <v>88</v>
      </c>
      <c r="H8211" t="s">
        <v>92</v>
      </c>
    </row>
    <row r="8212" spans="1:8" x14ac:dyDescent="0.25">
      <c r="A8212" t="s">
        <v>298</v>
      </c>
      <c r="B8212" t="s">
        <v>623</v>
      </c>
      <c r="C8212" t="s">
        <v>88</v>
      </c>
      <c r="D8212" t="s">
        <v>88</v>
      </c>
      <c r="E8212" t="s">
        <v>735</v>
      </c>
      <c r="F8212" t="s">
        <v>88</v>
      </c>
      <c r="G8212" t="s">
        <v>88</v>
      </c>
      <c r="H8212" t="s">
        <v>92</v>
      </c>
    </row>
    <row r="8213" spans="1:8" x14ac:dyDescent="0.25">
      <c r="A8213" t="s">
        <v>298</v>
      </c>
      <c r="B8213" t="s">
        <v>798</v>
      </c>
      <c r="C8213" t="s">
        <v>88</v>
      </c>
      <c r="D8213" t="s">
        <v>88</v>
      </c>
      <c r="E8213" t="s">
        <v>732</v>
      </c>
      <c r="F8213" t="s">
        <v>88</v>
      </c>
      <c r="G8213" t="s">
        <v>88</v>
      </c>
      <c r="H8213" t="s">
        <v>92</v>
      </c>
    </row>
    <row r="8214" spans="1:8" x14ac:dyDescent="0.25">
      <c r="A8214" t="s">
        <v>298</v>
      </c>
      <c r="B8214" t="s">
        <v>625</v>
      </c>
      <c r="C8214" t="s">
        <v>88</v>
      </c>
      <c r="D8214" t="s">
        <v>88</v>
      </c>
      <c r="E8214" t="s">
        <v>626</v>
      </c>
      <c r="F8214" t="s">
        <v>88</v>
      </c>
      <c r="G8214" t="s">
        <v>88</v>
      </c>
      <c r="H8214" t="s">
        <v>92</v>
      </c>
    </row>
    <row r="8215" spans="1:8" x14ac:dyDescent="0.25">
      <c r="A8215" t="s">
        <v>300</v>
      </c>
      <c r="B8215" t="s">
        <v>7040</v>
      </c>
      <c r="C8215" t="s">
        <v>88</v>
      </c>
      <c r="D8215" t="s">
        <v>7041</v>
      </c>
      <c r="E8215" t="s">
        <v>1323</v>
      </c>
      <c r="F8215" t="s">
        <v>88</v>
      </c>
      <c r="G8215" t="s">
        <v>88</v>
      </c>
      <c r="H8215" t="s">
        <v>92</v>
      </c>
    </row>
    <row r="8216" spans="1:8" x14ac:dyDescent="0.25">
      <c r="A8216" t="s">
        <v>300</v>
      </c>
      <c r="B8216" t="s">
        <v>968</v>
      </c>
      <c r="C8216" t="s">
        <v>88</v>
      </c>
      <c r="D8216" t="s">
        <v>7042</v>
      </c>
      <c r="E8216" t="s">
        <v>791</v>
      </c>
      <c r="F8216" t="s">
        <v>88</v>
      </c>
      <c r="G8216" t="s">
        <v>88</v>
      </c>
      <c r="H8216" t="s">
        <v>92</v>
      </c>
    </row>
    <row r="8217" spans="1:8" x14ac:dyDescent="0.25">
      <c r="A8217" t="s">
        <v>300</v>
      </c>
      <c r="B8217" t="s">
        <v>816</v>
      </c>
      <c r="C8217" t="s">
        <v>88</v>
      </c>
      <c r="D8217" t="s">
        <v>975</v>
      </c>
      <c r="E8217" t="s">
        <v>1139</v>
      </c>
      <c r="F8217" t="s">
        <v>88</v>
      </c>
      <c r="G8217" t="s">
        <v>88</v>
      </c>
      <c r="H8217" t="s">
        <v>92</v>
      </c>
    </row>
    <row r="8218" spans="1:8" x14ac:dyDescent="0.25">
      <c r="A8218" t="s">
        <v>300</v>
      </c>
      <c r="B8218" t="s">
        <v>789</v>
      </c>
      <c r="C8218" t="s">
        <v>88</v>
      </c>
      <c r="D8218" t="s">
        <v>7043</v>
      </c>
      <c r="E8218" t="s">
        <v>702</v>
      </c>
      <c r="F8218" t="s">
        <v>88</v>
      </c>
      <c r="G8218" t="s">
        <v>88</v>
      </c>
      <c r="H8218" t="s">
        <v>92</v>
      </c>
    </row>
    <row r="8219" spans="1:8" x14ac:dyDescent="0.25">
      <c r="A8219" t="s">
        <v>300</v>
      </c>
      <c r="B8219" t="s">
        <v>976</v>
      </c>
      <c r="C8219" t="s">
        <v>88</v>
      </c>
      <c r="D8219" t="s">
        <v>970</v>
      </c>
      <c r="E8219" t="s">
        <v>692</v>
      </c>
      <c r="F8219" t="s">
        <v>88</v>
      </c>
      <c r="G8219" t="s">
        <v>88</v>
      </c>
      <c r="H8219" t="s">
        <v>92</v>
      </c>
    </row>
    <row r="8220" spans="1:8" x14ac:dyDescent="0.25">
      <c r="A8220" t="s">
        <v>300</v>
      </c>
      <c r="B8220" t="s">
        <v>789</v>
      </c>
      <c r="C8220" t="s">
        <v>88</v>
      </c>
      <c r="D8220" t="s">
        <v>7043</v>
      </c>
      <c r="E8220" t="s">
        <v>702</v>
      </c>
      <c r="F8220" t="s">
        <v>88</v>
      </c>
      <c r="G8220" t="s">
        <v>88</v>
      </c>
      <c r="H8220" t="s">
        <v>92</v>
      </c>
    </row>
    <row r="8221" spans="1:8" x14ac:dyDescent="0.25">
      <c r="A8221" t="s">
        <v>300</v>
      </c>
      <c r="B8221" t="s">
        <v>968</v>
      </c>
      <c r="C8221" t="s">
        <v>88</v>
      </c>
      <c r="D8221" t="s">
        <v>7042</v>
      </c>
      <c r="E8221" t="s">
        <v>791</v>
      </c>
      <c r="F8221" t="s">
        <v>88</v>
      </c>
      <c r="G8221" t="s">
        <v>88</v>
      </c>
      <c r="H8221" t="s">
        <v>92</v>
      </c>
    </row>
    <row r="8222" spans="1:8" x14ac:dyDescent="0.25">
      <c r="A8222" t="s">
        <v>300</v>
      </c>
      <c r="B8222" t="s">
        <v>7040</v>
      </c>
      <c r="C8222" t="s">
        <v>88</v>
      </c>
      <c r="D8222" t="s">
        <v>7041</v>
      </c>
      <c r="E8222" t="s">
        <v>1323</v>
      </c>
      <c r="F8222" t="s">
        <v>88</v>
      </c>
      <c r="G8222" t="s">
        <v>88</v>
      </c>
      <c r="H8222" t="s">
        <v>92</v>
      </c>
    </row>
    <row r="8223" spans="1:8" x14ac:dyDescent="0.25">
      <c r="A8223" t="s">
        <v>300</v>
      </c>
      <c r="B8223" t="s">
        <v>935</v>
      </c>
      <c r="C8223" t="s">
        <v>88</v>
      </c>
      <c r="D8223" t="s">
        <v>7044</v>
      </c>
      <c r="E8223" t="s">
        <v>723</v>
      </c>
      <c r="F8223" t="s">
        <v>88</v>
      </c>
      <c r="G8223" t="s">
        <v>88</v>
      </c>
      <c r="H8223" t="s">
        <v>92</v>
      </c>
    </row>
    <row r="8224" spans="1:8" x14ac:dyDescent="0.25">
      <c r="A8224" t="s">
        <v>300</v>
      </c>
      <c r="B8224" t="s">
        <v>974</v>
      </c>
      <c r="C8224" t="s">
        <v>88</v>
      </c>
      <c r="D8224" t="s">
        <v>971</v>
      </c>
      <c r="E8224" t="s">
        <v>663</v>
      </c>
      <c r="F8224" t="s">
        <v>88</v>
      </c>
      <c r="G8224" t="s">
        <v>88</v>
      </c>
      <c r="H8224" t="s">
        <v>92</v>
      </c>
    </row>
    <row r="8225" spans="1:8" x14ac:dyDescent="0.25">
      <c r="A8225" t="s">
        <v>300</v>
      </c>
      <c r="B8225" t="s">
        <v>816</v>
      </c>
      <c r="C8225" t="s">
        <v>88</v>
      </c>
      <c r="D8225" t="s">
        <v>975</v>
      </c>
      <c r="E8225" t="s">
        <v>1139</v>
      </c>
      <c r="F8225" t="s">
        <v>88</v>
      </c>
      <c r="G8225" t="s">
        <v>88</v>
      </c>
      <c r="H8225" t="s">
        <v>92</v>
      </c>
    </row>
    <row r="8226" spans="1:8" x14ac:dyDescent="0.25">
      <c r="A8226" t="s">
        <v>300</v>
      </c>
      <c r="B8226" t="s">
        <v>976</v>
      </c>
      <c r="C8226" t="s">
        <v>88</v>
      </c>
      <c r="D8226" t="s">
        <v>970</v>
      </c>
      <c r="E8226" t="s">
        <v>692</v>
      </c>
      <c r="F8226" t="s">
        <v>88</v>
      </c>
      <c r="G8226" t="s">
        <v>88</v>
      </c>
      <c r="H8226" t="s">
        <v>92</v>
      </c>
    </row>
    <row r="8227" spans="1:8" x14ac:dyDescent="0.25">
      <c r="A8227" t="s">
        <v>300</v>
      </c>
      <c r="B8227" t="s">
        <v>942</v>
      </c>
      <c r="C8227" t="s">
        <v>88</v>
      </c>
      <c r="D8227" t="s">
        <v>7045</v>
      </c>
      <c r="E8227" t="s">
        <v>844</v>
      </c>
      <c r="F8227" t="s">
        <v>88</v>
      </c>
      <c r="G8227" t="s">
        <v>88</v>
      </c>
      <c r="H8227" t="s">
        <v>92</v>
      </c>
    </row>
    <row r="8228" spans="1:8" x14ac:dyDescent="0.25">
      <c r="A8228" t="s">
        <v>300</v>
      </c>
      <c r="B8228" t="s">
        <v>823</v>
      </c>
      <c r="C8228" t="s">
        <v>88</v>
      </c>
      <c r="D8228" t="s">
        <v>7046</v>
      </c>
      <c r="E8228" t="s">
        <v>964</v>
      </c>
      <c r="F8228" t="s">
        <v>88</v>
      </c>
      <c r="G8228" t="s">
        <v>88</v>
      </c>
      <c r="H8228" t="s">
        <v>92</v>
      </c>
    </row>
    <row r="8229" spans="1:8" x14ac:dyDescent="0.25">
      <c r="A8229" t="s">
        <v>300</v>
      </c>
      <c r="B8229" t="s">
        <v>618</v>
      </c>
      <c r="C8229" t="s">
        <v>88</v>
      </c>
      <c r="D8229" t="s">
        <v>88</v>
      </c>
      <c r="E8229" t="s">
        <v>713</v>
      </c>
      <c r="F8229" t="s">
        <v>88</v>
      </c>
      <c r="G8229" t="s">
        <v>88</v>
      </c>
      <c r="H8229" t="s">
        <v>92</v>
      </c>
    </row>
    <row r="8230" spans="1:8" x14ac:dyDescent="0.25">
      <c r="A8230" t="s">
        <v>300</v>
      </c>
      <c r="B8230" t="s">
        <v>623</v>
      </c>
      <c r="C8230" t="s">
        <v>88</v>
      </c>
      <c r="D8230" t="s">
        <v>88</v>
      </c>
      <c r="E8230" t="s">
        <v>849</v>
      </c>
      <c r="F8230" t="s">
        <v>88</v>
      </c>
      <c r="G8230" t="s">
        <v>88</v>
      </c>
      <c r="H8230" t="s">
        <v>92</v>
      </c>
    </row>
    <row r="8231" spans="1:8" x14ac:dyDescent="0.25">
      <c r="A8231" t="s">
        <v>300</v>
      </c>
      <c r="B8231" t="s">
        <v>1952</v>
      </c>
      <c r="C8231" t="s">
        <v>88</v>
      </c>
      <c r="D8231" t="s">
        <v>88</v>
      </c>
      <c r="E8231" t="s">
        <v>738</v>
      </c>
      <c r="F8231" t="s">
        <v>88</v>
      </c>
      <c r="G8231" t="s">
        <v>88</v>
      </c>
      <c r="H8231" t="s">
        <v>92</v>
      </c>
    </row>
    <row r="8232" spans="1:8" x14ac:dyDescent="0.25">
      <c r="A8232" t="s">
        <v>300</v>
      </c>
      <c r="B8232" t="s">
        <v>625</v>
      </c>
      <c r="C8232" t="s">
        <v>88</v>
      </c>
      <c r="D8232" t="s">
        <v>88</v>
      </c>
      <c r="E8232" t="s">
        <v>626</v>
      </c>
      <c r="F8232" t="s">
        <v>88</v>
      </c>
      <c r="G8232" t="s">
        <v>88</v>
      </c>
      <c r="H8232" t="s">
        <v>92</v>
      </c>
    </row>
    <row r="8233" spans="1:8" x14ac:dyDescent="0.25">
      <c r="A8233" t="s">
        <v>301</v>
      </c>
      <c r="B8233" t="s">
        <v>7047</v>
      </c>
      <c r="C8233" t="s">
        <v>88</v>
      </c>
      <c r="D8233" t="s">
        <v>88</v>
      </c>
      <c r="E8233" t="s">
        <v>710</v>
      </c>
      <c r="F8233" t="s">
        <v>88</v>
      </c>
      <c r="G8233" t="s">
        <v>88</v>
      </c>
      <c r="H8233" t="s">
        <v>92</v>
      </c>
    </row>
    <row r="8234" spans="1:8" x14ac:dyDescent="0.25">
      <c r="A8234" t="s">
        <v>301</v>
      </c>
      <c r="B8234" t="s">
        <v>7048</v>
      </c>
      <c r="C8234" t="s">
        <v>88</v>
      </c>
      <c r="D8234" t="s">
        <v>88</v>
      </c>
      <c r="E8234" t="s">
        <v>709</v>
      </c>
      <c r="F8234" t="s">
        <v>88</v>
      </c>
      <c r="G8234" t="s">
        <v>88</v>
      </c>
      <c r="H8234" t="s">
        <v>92</v>
      </c>
    </row>
    <row r="8235" spans="1:8" x14ac:dyDescent="0.25">
      <c r="A8235" t="s">
        <v>301</v>
      </c>
      <c r="B8235" t="s">
        <v>1082</v>
      </c>
      <c r="C8235" t="s">
        <v>88</v>
      </c>
      <c r="D8235" t="s">
        <v>88</v>
      </c>
      <c r="E8235" t="s">
        <v>715</v>
      </c>
      <c r="F8235" t="s">
        <v>88</v>
      </c>
      <c r="G8235" t="s">
        <v>88</v>
      </c>
      <c r="H8235" t="s">
        <v>92</v>
      </c>
    </row>
    <row r="8236" spans="1:8" x14ac:dyDescent="0.25">
      <c r="A8236" t="s">
        <v>301</v>
      </c>
      <c r="B8236" t="s">
        <v>4951</v>
      </c>
      <c r="C8236" t="s">
        <v>88</v>
      </c>
      <c r="D8236" t="s">
        <v>88</v>
      </c>
      <c r="E8236" t="s">
        <v>1714</v>
      </c>
      <c r="F8236" t="s">
        <v>88</v>
      </c>
      <c r="G8236" t="s">
        <v>88</v>
      </c>
      <c r="H8236" t="s">
        <v>92</v>
      </c>
    </row>
    <row r="8237" spans="1:8" x14ac:dyDescent="0.25">
      <c r="A8237" t="s">
        <v>301</v>
      </c>
      <c r="B8237" t="s">
        <v>7049</v>
      </c>
      <c r="C8237" t="s">
        <v>88</v>
      </c>
      <c r="D8237" t="s">
        <v>88</v>
      </c>
      <c r="E8237" t="s">
        <v>1171</v>
      </c>
      <c r="F8237" t="s">
        <v>88</v>
      </c>
      <c r="G8237" t="s">
        <v>88</v>
      </c>
      <c r="H8237" t="s">
        <v>92</v>
      </c>
    </row>
    <row r="8238" spans="1:8" x14ac:dyDescent="0.25">
      <c r="A8238" t="s">
        <v>301</v>
      </c>
      <c r="B8238" t="s">
        <v>7047</v>
      </c>
      <c r="C8238" t="s">
        <v>88</v>
      </c>
      <c r="D8238" t="s">
        <v>88</v>
      </c>
      <c r="E8238" t="s">
        <v>710</v>
      </c>
      <c r="F8238" t="s">
        <v>88</v>
      </c>
      <c r="G8238" t="s">
        <v>88</v>
      </c>
      <c r="H8238" t="s">
        <v>92</v>
      </c>
    </row>
    <row r="8239" spans="1:8" x14ac:dyDescent="0.25">
      <c r="A8239" t="s">
        <v>301</v>
      </c>
      <c r="B8239" t="s">
        <v>7050</v>
      </c>
      <c r="C8239" t="s">
        <v>88</v>
      </c>
      <c r="D8239" t="s">
        <v>660</v>
      </c>
      <c r="E8239" t="s">
        <v>937</v>
      </c>
      <c r="F8239" t="s">
        <v>88</v>
      </c>
      <c r="G8239" t="s">
        <v>88</v>
      </c>
      <c r="H8239" t="s">
        <v>92</v>
      </c>
    </row>
    <row r="8240" spans="1:8" x14ac:dyDescent="0.25">
      <c r="A8240" t="s">
        <v>301</v>
      </c>
      <c r="B8240" t="s">
        <v>1082</v>
      </c>
      <c r="C8240" t="s">
        <v>88</v>
      </c>
      <c r="D8240" t="s">
        <v>88</v>
      </c>
      <c r="E8240" t="s">
        <v>715</v>
      </c>
      <c r="F8240" t="s">
        <v>88</v>
      </c>
      <c r="G8240" t="s">
        <v>88</v>
      </c>
      <c r="H8240" t="s">
        <v>92</v>
      </c>
    </row>
    <row r="8241" spans="1:8" x14ac:dyDescent="0.25">
      <c r="A8241" t="s">
        <v>301</v>
      </c>
      <c r="B8241" t="s">
        <v>2241</v>
      </c>
      <c r="C8241" t="s">
        <v>88</v>
      </c>
      <c r="D8241" t="s">
        <v>88</v>
      </c>
      <c r="E8241" t="s">
        <v>715</v>
      </c>
      <c r="F8241" t="s">
        <v>88</v>
      </c>
      <c r="G8241" t="s">
        <v>88</v>
      </c>
      <c r="H8241" t="s">
        <v>92</v>
      </c>
    </row>
    <row r="8242" spans="1:8" x14ac:dyDescent="0.25">
      <c r="A8242" t="s">
        <v>301</v>
      </c>
      <c r="B8242" t="s">
        <v>5046</v>
      </c>
      <c r="C8242" t="s">
        <v>88</v>
      </c>
      <c r="D8242" t="s">
        <v>88</v>
      </c>
      <c r="E8242" t="s">
        <v>715</v>
      </c>
      <c r="F8242" t="s">
        <v>88</v>
      </c>
      <c r="G8242" t="s">
        <v>88</v>
      </c>
      <c r="H8242" t="s">
        <v>92</v>
      </c>
    </row>
    <row r="8243" spans="1:8" x14ac:dyDescent="0.25">
      <c r="A8243" t="s">
        <v>301</v>
      </c>
      <c r="B8243" t="s">
        <v>7051</v>
      </c>
      <c r="C8243" t="s">
        <v>88</v>
      </c>
      <c r="D8243" t="s">
        <v>88</v>
      </c>
      <c r="E8243" t="s">
        <v>715</v>
      </c>
      <c r="F8243" t="s">
        <v>88</v>
      </c>
      <c r="G8243" t="s">
        <v>88</v>
      </c>
      <c r="H8243" t="s">
        <v>92</v>
      </c>
    </row>
    <row r="8244" spans="1:8" x14ac:dyDescent="0.25">
      <c r="A8244" t="s">
        <v>301</v>
      </c>
      <c r="B8244" t="s">
        <v>7048</v>
      </c>
      <c r="C8244" t="s">
        <v>88</v>
      </c>
      <c r="D8244" t="s">
        <v>88</v>
      </c>
      <c r="E8244" t="s">
        <v>709</v>
      </c>
      <c r="F8244" t="s">
        <v>88</v>
      </c>
      <c r="G8244" t="s">
        <v>88</v>
      </c>
      <c r="H8244" t="s">
        <v>92</v>
      </c>
    </row>
    <row r="8245" spans="1:8" x14ac:dyDescent="0.25">
      <c r="A8245" t="s">
        <v>301</v>
      </c>
      <c r="B8245" t="s">
        <v>7052</v>
      </c>
      <c r="C8245" t="s">
        <v>88</v>
      </c>
      <c r="D8245" t="s">
        <v>88</v>
      </c>
      <c r="E8245" t="s">
        <v>710</v>
      </c>
      <c r="F8245" t="s">
        <v>88</v>
      </c>
      <c r="G8245" t="s">
        <v>88</v>
      </c>
      <c r="H8245" t="s">
        <v>92</v>
      </c>
    </row>
    <row r="8246" spans="1:8" x14ac:dyDescent="0.25">
      <c r="A8246" t="s">
        <v>301</v>
      </c>
      <c r="B8246" t="s">
        <v>7053</v>
      </c>
      <c r="C8246" t="s">
        <v>88</v>
      </c>
      <c r="D8246" t="s">
        <v>88</v>
      </c>
      <c r="E8246" t="s">
        <v>655</v>
      </c>
      <c r="F8246" t="s">
        <v>88</v>
      </c>
      <c r="G8246" t="s">
        <v>88</v>
      </c>
      <c r="H8246" t="s">
        <v>92</v>
      </c>
    </row>
    <row r="8247" spans="1:8" x14ac:dyDescent="0.25">
      <c r="A8247" t="s">
        <v>301</v>
      </c>
      <c r="B8247" t="s">
        <v>7054</v>
      </c>
      <c r="C8247" t="s">
        <v>88</v>
      </c>
      <c r="D8247" t="s">
        <v>88</v>
      </c>
      <c r="E8247" t="s">
        <v>692</v>
      </c>
      <c r="F8247" t="s">
        <v>88</v>
      </c>
      <c r="G8247" t="s">
        <v>88</v>
      </c>
      <c r="H8247" t="s">
        <v>92</v>
      </c>
    </row>
    <row r="8248" spans="1:8" x14ac:dyDescent="0.25">
      <c r="A8248" t="s">
        <v>301</v>
      </c>
      <c r="B8248" t="s">
        <v>7055</v>
      </c>
      <c r="C8248" t="s">
        <v>88</v>
      </c>
      <c r="D8248" t="s">
        <v>7056</v>
      </c>
      <c r="E8248" t="s">
        <v>692</v>
      </c>
      <c r="F8248" t="s">
        <v>88</v>
      </c>
      <c r="G8248" t="s">
        <v>88</v>
      </c>
      <c r="H8248" t="s">
        <v>92</v>
      </c>
    </row>
    <row r="8249" spans="1:8" x14ac:dyDescent="0.25">
      <c r="A8249" t="s">
        <v>301</v>
      </c>
      <c r="B8249" t="s">
        <v>7057</v>
      </c>
      <c r="C8249" t="s">
        <v>88</v>
      </c>
      <c r="D8249" t="s">
        <v>88</v>
      </c>
      <c r="E8249" t="s">
        <v>1221</v>
      </c>
      <c r="F8249" t="s">
        <v>88</v>
      </c>
      <c r="G8249" t="s">
        <v>88</v>
      </c>
      <c r="H8249" t="s">
        <v>92</v>
      </c>
    </row>
    <row r="8250" spans="1:8" x14ac:dyDescent="0.25">
      <c r="A8250" t="s">
        <v>301</v>
      </c>
      <c r="B8250" t="s">
        <v>7058</v>
      </c>
      <c r="C8250" t="s">
        <v>88</v>
      </c>
      <c r="D8250" t="s">
        <v>88</v>
      </c>
      <c r="E8250" t="s">
        <v>1221</v>
      </c>
      <c r="F8250" t="s">
        <v>88</v>
      </c>
      <c r="G8250" t="s">
        <v>88</v>
      </c>
      <c r="H8250" t="s">
        <v>92</v>
      </c>
    </row>
    <row r="8251" spans="1:8" x14ac:dyDescent="0.25">
      <c r="A8251" t="s">
        <v>301</v>
      </c>
      <c r="B8251" t="s">
        <v>7059</v>
      </c>
      <c r="C8251" t="s">
        <v>88</v>
      </c>
      <c r="D8251" t="s">
        <v>88</v>
      </c>
      <c r="E8251" t="s">
        <v>780</v>
      </c>
      <c r="F8251" t="s">
        <v>88</v>
      </c>
      <c r="G8251" t="s">
        <v>88</v>
      </c>
      <c r="H8251" t="s">
        <v>92</v>
      </c>
    </row>
    <row r="8252" spans="1:8" x14ac:dyDescent="0.25">
      <c r="A8252" t="s">
        <v>301</v>
      </c>
      <c r="B8252" t="s">
        <v>7060</v>
      </c>
      <c r="C8252" t="s">
        <v>88</v>
      </c>
      <c r="D8252" t="s">
        <v>660</v>
      </c>
      <c r="E8252" t="s">
        <v>964</v>
      </c>
      <c r="F8252" t="s">
        <v>88</v>
      </c>
      <c r="G8252" t="s">
        <v>88</v>
      </c>
      <c r="H8252" t="s">
        <v>92</v>
      </c>
    </row>
    <row r="8253" spans="1:8" x14ac:dyDescent="0.25">
      <c r="A8253" t="s">
        <v>301</v>
      </c>
      <c r="B8253" t="s">
        <v>7061</v>
      </c>
      <c r="C8253" t="s">
        <v>88</v>
      </c>
      <c r="D8253" t="s">
        <v>660</v>
      </c>
      <c r="E8253" t="s">
        <v>655</v>
      </c>
      <c r="F8253" t="s">
        <v>88</v>
      </c>
      <c r="G8253" t="s">
        <v>88</v>
      </c>
      <c r="H8253" t="s">
        <v>92</v>
      </c>
    </row>
    <row r="8254" spans="1:8" x14ac:dyDescent="0.25">
      <c r="A8254" t="s">
        <v>301</v>
      </c>
      <c r="B8254" t="s">
        <v>1694</v>
      </c>
      <c r="C8254" t="s">
        <v>88</v>
      </c>
      <c r="D8254" t="s">
        <v>88</v>
      </c>
      <c r="E8254" t="s">
        <v>937</v>
      </c>
      <c r="F8254" t="s">
        <v>88</v>
      </c>
      <c r="G8254" t="s">
        <v>88</v>
      </c>
      <c r="H8254" t="s">
        <v>92</v>
      </c>
    </row>
    <row r="8255" spans="1:8" x14ac:dyDescent="0.25">
      <c r="A8255" t="s">
        <v>301</v>
      </c>
      <c r="B8255" t="s">
        <v>7062</v>
      </c>
      <c r="C8255" t="s">
        <v>88</v>
      </c>
      <c r="D8255" t="s">
        <v>7063</v>
      </c>
      <c r="E8255" t="s">
        <v>692</v>
      </c>
      <c r="F8255" t="s">
        <v>88</v>
      </c>
      <c r="G8255" t="s">
        <v>88</v>
      </c>
      <c r="H8255" t="s">
        <v>92</v>
      </c>
    </row>
    <row r="8256" spans="1:8" x14ac:dyDescent="0.25">
      <c r="A8256" t="s">
        <v>301</v>
      </c>
      <c r="B8256" t="s">
        <v>1868</v>
      </c>
      <c r="C8256" t="s">
        <v>88</v>
      </c>
      <c r="D8256" t="s">
        <v>7064</v>
      </c>
      <c r="E8256" t="s">
        <v>692</v>
      </c>
      <c r="F8256" t="s">
        <v>88</v>
      </c>
      <c r="G8256" t="s">
        <v>88</v>
      </c>
      <c r="H8256" t="s">
        <v>92</v>
      </c>
    </row>
    <row r="8257" spans="1:8" x14ac:dyDescent="0.25">
      <c r="A8257" t="s">
        <v>301</v>
      </c>
      <c r="B8257" t="s">
        <v>603</v>
      </c>
      <c r="C8257" t="s">
        <v>88</v>
      </c>
      <c r="D8257" t="s">
        <v>7065</v>
      </c>
      <c r="E8257" t="s">
        <v>655</v>
      </c>
      <c r="F8257" t="s">
        <v>88</v>
      </c>
      <c r="G8257" t="s">
        <v>88</v>
      </c>
      <c r="H8257" t="s">
        <v>92</v>
      </c>
    </row>
    <row r="8258" spans="1:8" x14ac:dyDescent="0.25">
      <c r="A8258" t="s">
        <v>301</v>
      </c>
      <c r="B8258" t="s">
        <v>7066</v>
      </c>
      <c r="C8258" t="s">
        <v>88</v>
      </c>
      <c r="D8258" t="s">
        <v>4821</v>
      </c>
      <c r="E8258" t="s">
        <v>1139</v>
      </c>
      <c r="F8258" t="s">
        <v>88</v>
      </c>
      <c r="G8258" t="s">
        <v>88</v>
      </c>
      <c r="H8258" t="s">
        <v>92</v>
      </c>
    </row>
    <row r="8259" spans="1:8" x14ac:dyDescent="0.25">
      <c r="A8259" t="s">
        <v>301</v>
      </c>
      <c r="B8259" t="s">
        <v>1322</v>
      </c>
      <c r="C8259" t="s">
        <v>88</v>
      </c>
      <c r="D8259" t="s">
        <v>88</v>
      </c>
      <c r="E8259" t="s">
        <v>1221</v>
      </c>
      <c r="F8259" t="s">
        <v>88</v>
      </c>
      <c r="G8259" t="s">
        <v>88</v>
      </c>
      <c r="H8259" t="s">
        <v>92</v>
      </c>
    </row>
    <row r="8260" spans="1:8" x14ac:dyDescent="0.25">
      <c r="A8260" t="s">
        <v>301</v>
      </c>
      <c r="B8260" t="s">
        <v>7067</v>
      </c>
      <c r="C8260" t="s">
        <v>88</v>
      </c>
      <c r="D8260" t="s">
        <v>7068</v>
      </c>
      <c r="E8260" t="s">
        <v>1139</v>
      </c>
      <c r="F8260" t="s">
        <v>88</v>
      </c>
      <c r="G8260" t="s">
        <v>88</v>
      </c>
      <c r="H8260" t="s">
        <v>92</v>
      </c>
    </row>
    <row r="8261" spans="1:8" x14ac:dyDescent="0.25">
      <c r="A8261" t="s">
        <v>301</v>
      </c>
      <c r="B8261" t="s">
        <v>5369</v>
      </c>
      <c r="C8261" t="s">
        <v>88</v>
      </c>
      <c r="D8261" t="s">
        <v>88</v>
      </c>
      <c r="E8261" t="s">
        <v>1221</v>
      </c>
      <c r="F8261" t="s">
        <v>88</v>
      </c>
      <c r="G8261" t="s">
        <v>88</v>
      </c>
      <c r="H8261" t="s">
        <v>92</v>
      </c>
    </row>
    <row r="8262" spans="1:8" x14ac:dyDescent="0.25">
      <c r="A8262" t="s">
        <v>301</v>
      </c>
      <c r="B8262" t="s">
        <v>1081</v>
      </c>
      <c r="C8262" t="s">
        <v>88</v>
      </c>
      <c r="D8262" t="s">
        <v>660</v>
      </c>
      <c r="E8262" t="s">
        <v>825</v>
      </c>
      <c r="F8262" t="s">
        <v>88</v>
      </c>
      <c r="G8262" t="s">
        <v>88</v>
      </c>
      <c r="H8262" t="s">
        <v>92</v>
      </c>
    </row>
    <row r="8263" spans="1:8" x14ac:dyDescent="0.25">
      <c r="A8263" t="s">
        <v>301</v>
      </c>
      <c r="B8263" t="s">
        <v>1134</v>
      </c>
      <c r="C8263" t="s">
        <v>88</v>
      </c>
      <c r="D8263" t="s">
        <v>660</v>
      </c>
      <c r="E8263" t="s">
        <v>1714</v>
      </c>
      <c r="F8263" t="s">
        <v>88</v>
      </c>
      <c r="G8263" t="s">
        <v>88</v>
      </c>
      <c r="H8263" t="s">
        <v>92</v>
      </c>
    </row>
    <row r="8264" spans="1:8" x14ac:dyDescent="0.25">
      <c r="A8264" t="s">
        <v>301</v>
      </c>
      <c r="B8264" t="s">
        <v>1136</v>
      </c>
      <c r="C8264" t="s">
        <v>88</v>
      </c>
      <c r="D8264" t="s">
        <v>660</v>
      </c>
      <c r="E8264" t="s">
        <v>812</v>
      </c>
      <c r="F8264" t="s">
        <v>88</v>
      </c>
      <c r="G8264" t="s">
        <v>88</v>
      </c>
      <c r="H8264" t="s">
        <v>92</v>
      </c>
    </row>
    <row r="8265" spans="1:8" x14ac:dyDescent="0.25">
      <c r="A8265" t="s">
        <v>301</v>
      </c>
      <c r="B8265" t="s">
        <v>7069</v>
      </c>
      <c r="C8265" t="s">
        <v>88</v>
      </c>
      <c r="D8265" t="s">
        <v>660</v>
      </c>
      <c r="E8265" t="s">
        <v>814</v>
      </c>
      <c r="F8265" t="s">
        <v>88</v>
      </c>
      <c r="G8265" t="s">
        <v>88</v>
      </c>
      <c r="H8265" t="s">
        <v>92</v>
      </c>
    </row>
    <row r="8266" spans="1:8" x14ac:dyDescent="0.25">
      <c r="A8266" t="s">
        <v>301</v>
      </c>
      <c r="B8266" t="s">
        <v>7070</v>
      </c>
      <c r="C8266" t="s">
        <v>88</v>
      </c>
      <c r="D8266" t="s">
        <v>88</v>
      </c>
      <c r="E8266" t="s">
        <v>692</v>
      </c>
      <c r="F8266" t="s">
        <v>88</v>
      </c>
      <c r="G8266" t="s">
        <v>88</v>
      </c>
      <c r="H8266" t="s">
        <v>92</v>
      </c>
    </row>
    <row r="8267" spans="1:8" x14ac:dyDescent="0.25">
      <c r="A8267" t="s">
        <v>301</v>
      </c>
      <c r="B8267" t="s">
        <v>7071</v>
      </c>
      <c r="C8267" t="s">
        <v>88</v>
      </c>
      <c r="D8267" t="s">
        <v>88</v>
      </c>
      <c r="E8267" t="s">
        <v>844</v>
      </c>
      <c r="F8267" t="s">
        <v>88</v>
      </c>
      <c r="G8267" t="s">
        <v>88</v>
      </c>
      <c r="H8267" t="s">
        <v>92</v>
      </c>
    </row>
    <row r="8268" spans="1:8" x14ac:dyDescent="0.25">
      <c r="A8268" t="s">
        <v>301</v>
      </c>
      <c r="B8268" t="s">
        <v>7072</v>
      </c>
      <c r="C8268" t="s">
        <v>88</v>
      </c>
      <c r="D8268" t="s">
        <v>88</v>
      </c>
      <c r="E8268" t="s">
        <v>692</v>
      </c>
      <c r="F8268" t="s">
        <v>88</v>
      </c>
      <c r="G8268" t="s">
        <v>88</v>
      </c>
      <c r="H8268" t="s">
        <v>92</v>
      </c>
    </row>
    <row r="8269" spans="1:8" x14ac:dyDescent="0.25">
      <c r="A8269" t="s">
        <v>301</v>
      </c>
      <c r="B8269" t="s">
        <v>7073</v>
      </c>
      <c r="C8269" t="s">
        <v>88</v>
      </c>
      <c r="D8269" t="s">
        <v>88</v>
      </c>
      <c r="E8269" t="s">
        <v>889</v>
      </c>
      <c r="F8269" t="s">
        <v>88</v>
      </c>
      <c r="G8269" t="s">
        <v>88</v>
      </c>
      <c r="H8269" t="s">
        <v>92</v>
      </c>
    </row>
    <row r="8270" spans="1:8" x14ac:dyDescent="0.25">
      <c r="A8270" t="s">
        <v>301</v>
      </c>
      <c r="B8270" t="s">
        <v>7074</v>
      </c>
      <c r="C8270" t="s">
        <v>88</v>
      </c>
      <c r="D8270" t="s">
        <v>88</v>
      </c>
      <c r="E8270" t="s">
        <v>889</v>
      </c>
      <c r="F8270" t="s">
        <v>88</v>
      </c>
      <c r="G8270" t="s">
        <v>88</v>
      </c>
      <c r="H8270" t="s">
        <v>92</v>
      </c>
    </row>
    <row r="8271" spans="1:8" x14ac:dyDescent="0.25">
      <c r="A8271" t="s">
        <v>301</v>
      </c>
      <c r="B8271" t="s">
        <v>7075</v>
      </c>
      <c r="C8271" t="s">
        <v>88</v>
      </c>
      <c r="D8271" t="s">
        <v>88</v>
      </c>
      <c r="E8271" t="s">
        <v>1139</v>
      </c>
      <c r="F8271" t="s">
        <v>88</v>
      </c>
      <c r="G8271" t="s">
        <v>88</v>
      </c>
      <c r="H8271" t="s">
        <v>92</v>
      </c>
    </row>
    <row r="8272" spans="1:8" x14ac:dyDescent="0.25">
      <c r="A8272" t="s">
        <v>301</v>
      </c>
      <c r="B8272" t="s">
        <v>7076</v>
      </c>
      <c r="C8272" t="s">
        <v>88</v>
      </c>
      <c r="D8272" t="s">
        <v>88</v>
      </c>
      <c r="E8272" t="s">
        <v>893</v>
      </c>
      <c r="F8272" t="s">
        <v>88</v>
      </c>
      <c r="G8272" t="s">
        <v>88</v>
      </c>
      <c r="H8272" t="s">
        <v>92</v>
      </c>
    </row>
    <row r="8273" spans="1:8" x14ac:dyDescent="0.25">
      <c r="A8273" t="s">
        <v>301</v>
      </c>
      <c r="B8273" t="s">
        <v>7077</v>
      </c>
      <c r="C8273" t="s">
        <v>88</v>
      </c>
      <c r="D8273" t="s">
        <v>88</v>
      </c>
      <c r="E8273" t="s">
        <v>1139</v>
      </c>
      <c r="F8273" t="s">
        <v>88</v>
      </c>
      <c r="G8273" t="s">
        <v>88</v>
      </c>
      <c r="H8273" t="s">
        <v>92</v>
      </c>
    </row>
    <row r="8274" spans="1:8" x14ac:dyDescent="0.25">
      <c r="A8274" t="s">
        <v>301</v>
      </c>
      <c r="B8274" t="s">
        <v>7078</v>
      </c>
      <c r="C8274" t="s">
        <v>88</v>
      </c>
      <c r="D8274" t="s">
        <v>88</v>
      </c>
      <c r="E8274" t="s">
        <v>1714</v>
      </c>
      <c r="F8274" t="s">
        <v>88</v>
      </c>
      <c r="G8274" t="s">
        <v>88</v>
      </c>
      <c r="H8274" t="s">
        <v>92</v>
      </c>
    </row>
    <row r="8275" spans="1:8" x14ac:dyDescent="0.25">
      <c r="A8275" t="s">
        <v>301</v>
      </c>
      <c r="B8275" t="s">
        <v>7079</v>
      </c>
      <c r="C8275" t="s">
        <v>88</v>
      </c>
      <c r="D8275" t="s">
        <v>88</v>
      </c>
      <c r="E8275" t="s">
        <v>1714</v>
      </c>
      <c r="F8275" t="s">
        <v>88</v>
      </c>
      <c r="G8275" t="s">
        <v>88</v>
      </c>
      <c r="H8275" t="s">
        <v>92</v>
      </c>
    </row>
    <row r="8276" spans="1:8" x14ac:dyDescent="0.25">
      <c r="A8276" t="s">
        <v>301</v>
      </c>
      <c r="B8276" t="s">
        <v>6936</v>
      </c>
      <c r="C8276" t="s">
        <v>88</v>
      </c>
      <c r="D8276" t="s">
        <v>88</v>
      </c>
      <c r="E8276" t="s">
        <v>1714</v>
      </c>
      <c r="F8276" t="s">
        <v>88</v>
      </c>
      <c r="G8276" t="s">
        <v>88</v>
      </c>
      <c r="H8276" t="s">
        <v>92</v>
      </c>
    </row>
    <row r="8277" spans="1:8" x14ac:dyDescent="0.25">
      <c r="A8277" t="s">
        <v>301</v>
      </c>
      <c r="B8277" t="s">
        <v>7080</v>
      </c>
      <c r="C8277" t="s">
        <v>88</v>
      </c>
      <c r="D8277" t="s">
        <v>88</v>
      </c>
      <c r="E8277" t="s">
        <v>841</v>
      </c>
      <c r="F8277" t="s">
        <v>88</v>
      </c>
      <c r="G8277" t="s">
        <v>88</v>
      </c>
      <c r="H8277" t="s">
        <v>92</v>
      </c>
    </row>
    <row r="8278" spans="1:8" x14ac:dyDescent="0.25">
      <c r="A8278" t="s">
        <v>301</v>
      </c>
      <c r="B8278" t="s">
        <v>7081</v>
      </c>
      <c r="C8278" t="s">
        <v>88</v>
      </c>
      <c r="D8278" t="s">
        <v>88</v>
      </c>
      <c r="E8278" t="s">
        <v>841</v>
      </c>
      <c r="F8278" t="s">
        <v>88</v>
      </c>
      <c r="G8278" t="s">
        <v>88</v>
      </c>
      <c r="H8278" t="s">
        <v>92</v>
      </c>
    </row>
    <row r="8279" spans="1:8" x14ac:dyDescent="0.25">
      <c r="A8279" t="s">
        <v>301</v>
      </c>
      <c r="B8279" t="s">
        <v>7082</v>
      </c>
      <c r="C8279" t="s">
        <v>88</v>
      </c>
      <c r="D8279" t="s">
        <v>88</v>
      </c>
      <c r="E8279" t="s">
        <v>676</v>
      </c>
      <c r="F8279" t="s">
        <v>88</v>
      </c>
      <c r="G8279" t="s">
        <v>88</v>
      </c>
      <c r="H8279" t="s">
        <v>92</v>
      </c>
    </row>
    <row r="8280" spans="1:8" x14ac:dyDescent="0.25">
      <c r="A8280" t="s">
        <v>301</v>
      </c>
      <c r="B8280" t="s">
        <v>7083</v>
      </c>
      <c r="C8280" t="s">
        <v>88</v>
      </c>
      <c r="D8280" t="s">
        <v>88</v>
      </c>
      <c r="E8280" t="s">
        <v>1714</v>
      </c>
      <c r="F8280" t="s">
        <v>88</v>
      </c>
      <c r="G8280" t="s">
        <v>88</v>
      </c>
      <c r="H8280" t="s">
        <v>92</v>
      </c>
    </row>
    <row r="8281" spans="1:8" x14ac:dyDescent="0.25">
      <c r="A8281" t="s">
        <v>301</v>
      </c>
      <c r="B8281" t="s">
        <v>7084</v>
      </c>
      <c r="C8281" t="s">
        <v>88</v>
      </c>
      <c r="D8281" t="s">
        <v>88</v>
      </c>
      <c r="E8281" t="s">
        <v>1714</v>
      </c>
      <c r="F8281" t="s">
        <v>88</v>
      </c>
      <c r="G8281" t="s">
        <v>88</v>
      </c>
      <c r="H8281" t="s">
        <v>92</v>
      </c>
    </row>
    <row r="8282" spans="1:8" x14ac:dyDescent="0.25">
      <c r="A8282" t="s">
        <v>301</v>
      </c>
      <c r="B8282" t="s">
        <v>7085</v>
      </c>
      <c r="C8282" t="s">
        <v>88</v>
      </c>
      <c r="D8282" t="s">
        <v>88</v>
      </c>
      <c r="E8282" t="s">
        <v>676</v>
      </c>
      <c r="F8282" t="s">
        <v>88</v>
      </c>
      <c r="G8282" t="s">
        <v>88</v>
      </c>
      <c r="H8282" t="s">
        <v>92</v>
      </c>
    </row>
    <row r="8283" spans="1:8" x14ac:dyDescent="0.25">
      <c r="A8283" t="s">
        <v>301</v>
      </c>
      <c r="B8283" t="s">
        <v>7086</v>
      </c>
      <c r="C8283" t="s">
        <v>88</v>
      </c>
      <c r="D8283" t="s">
        <v>88</v>
      </c>
      <c r="E8283" t="s">
        <v>841</v>
      </c>
      <c r="F8283" t="s">
        <v>88</v>
      </c>
      <c r="G8283" t="s">
        <v>88</v>
      </c>
      <c r="H8283" t="s">
        <v>92</v>
      </c>
    </row>
    <row r="8284" spans="1:8" x14ac:dyDescent="0.25">
      <c r="A8284" t="s">
        <v>301</v>
      </c>
      <c r="B8284" t="s">
        <v>7087</v>
      </c>
      <c r="C8284" t="s">
        <v>88</v>
      </c>
      <c r="D8284" t="s">
        <v>88</v>
      </c>
      <c r="E8284" t="s">
        <v>1068</v>
      </c>
      <c r="F8284" t="s">
        <v>88</v>
      </c>
      <c r="G8284" t="s">
        <v>88</v>
      </c>
      <c r="H8284" t="s">
        <v>92</v>
      </c>
    </row>
    <row r="8285" spans="1:8" x14ac:dyDescent="0.25">
      <c r="A8285" t="s">
        <v>301</v>
      </c>
      <c r="B8285" t="s">
        <v>7088</v>
      </c>
      <c r="C8285" t="s">
        <v>88</v>
      </c>
      <c r="D8285" t="s">
        <v>88</v>
      </c>
      <c r="E8285" t="s">
        <v>1068</v>
      </c>
      <c r="F8285" t="s">
        <v>88</v>
      </c>
      <c r="G8285" t="s">
        <v>88</v>
      </c>
      <c r="H8285" t="s">
        <v>92</v>
      </c>
    </row>
    <row r="8286" spans="1:8" x14ac:dyDescent="0.25">
      <c r="A8286" t="s">
        <v>301</v>
      </c>
      <c r="B8286" t="s">
        <v>7089</v>
      </c>
      <c r="C8286" t="s">
        <v>88</v>
      </c>
      <c r="D8286" t="s">
        <v>88</v>
      </c>
      <c r="E8286" t="s">
        <v>807</v>
      </c>
      <c r="F8286" t="s">
        <v>88</v>
      </c>
      <c r="G8286" t="s">
        <v>88</v>
      </c>
      <c r="H8286" t="s">
        <v>92</v>
      </c>
    </row>
    <row r="8287" spans="1:8" x14ac:dyDescent="0.25">
      <c r="A8287" t="s">
        <v>301</v>
      </c>
      <c r="B8287" t="s">
        <v>7090</v>
      </c>
      <c r="C8287" t="s">
        <v>88</v>
      </c>
      <c r="D8287" t="s">
        <v>88</v>
      </c>
      <c r="E8287" t="s">
        <v>1068</v>
      </c>
      <c r="F8287" t="s">
        <v>88</v>
      </c>
      <c r="G8287" t="s">
        <v>88</v>
      </c>
      <c r="H8287" t="s">
        <v>92</v>
      </c>
    </row>
    <row r="8288" spans="1:8" x14ac:dyDescent="0.25">
      <c r="A8288" t="s">
        <v>301</v>
      </c>
      <c r="B8288" t="s">
        <v>7091</v>
      </c>
      <c r="C8288" t="s">
        <v>88</v>
      </c>
      <c r="D8288" t="s">
        <v>88</v>
      </c>
      <c r="E8288" t="s">
        <v>1137</v>
      </c>
      <c r="F8288" t="s">
        <v>88</v>
      </c>
      <c r="G8288" t="s">
        <v>88</v>
      </c>
      <c r="H8288" t="s">
        <v>92</v>
      </c>
    </row>
    <row r="8289" spans="1:8" x14ac:dyDescent="0.25">
      <c r="A8289" t="s">
        <v>301</v>
      </c>
      <c r="B8289" t="s">
        <v>7092</v>
      </c>
      <c r="C8289" t="s">
        <v>88</v>
      </c>
      <c r="D8289" t="s">
        <v>88</v>
      </c>
      <c r="E8289" t="s">
        <v>1171</v>
      </c>
      <c r="F8289" t="s">
        <v>88</v>
      </c>
      <c r="G8289" t="s">
        <v>88</v>
      </c>
      <c r="H8289" t="s">
        <v>92</v>
      </c>
    </row>
    <row r="8290" spans="1:8" x14ac:dyDescent="0.25">
      <c r="A8290" t="s">
        <v>301</v>
      </c>
      <c r="B8290" t="s">
        <v>7093</v>
      </c>
      <c r="C8290" t="s">
        <v>88</v>
      </c>
      <c r="D8290" t="s">
        <v>88</v>
      </c>
      <c r="E8290" t="s">
        <v>1153</v>
      </c>
      <c r="F8290" t="s">
        <v>88</v>
      </c>
      <c r="G8290" t="s">
        <v>88</v>
      </c>
      <c r="H8290" t="s">
        <v>92</v>
      </c>
    </row>
    <row r="8291" spans="1:8" x14ac:dyDescent="0.25">
      <c r="A8291" t="s">
        <v>301</v>
      </c>
      <c r="B8291" t="s">
        <v>7094</v>
      </c>
      <c r="C8291" t="s">
        <v>88</v>
      </c>
      <c r="D8291" t="s">
        <v>88</v>
      </c>
      <c r="E8291" t="s">
        <v>1068</v>
      </c>
      <c r="F8291" t="s">
        <v>88</v>
      </c>
      <c r="G8291" t="s">
        <v>88</v>
      </c>
      <c r="H8291" t="s">
        <v>92</v>
      </c>
    </row>
    <row r="8292" spans="1:8" x14ac:dyDescent="0.25">
      <c r="A8292" t="s">
        <v>301</v>
      </c>
      <c r="B8292" t="s">
        <v>7095</v>
      </c>
      <c r="C8292" t="s">
        <v>88</v>
      </c>
      <c r="D8292" t="s">
        <v>88</v>
      </c>
      <c r="E8292" t="s">
        <v>1068</v>
      </c>
      <c r="F8292" t="s">
        <v>88</v>
      </c>
      <c r="G8292" t="s">
        <v>88</v>
      </c>
      <c r="H8292" t="s">
        <v>92</v>
      </c>
    </row>
    <row r="8293" spans="1:8" x14ac:dyDescent="0.25">
      <c r="A8293" t="s">
        <v>301</v>
      </c>
      <c r="B8293" t="s">
        <v>7096</v>
      </c>
      <c r="C8293" t="s">
        <v>88</v>
      </c>
      <c r="D8293" t="s">
        <v>88</v>
      </c>
      <c r="E8293" t="s">
        <v>1153</v>
      </c>
      <c r="F8293" t="s">
        <v>88</v>
      </c>
      <c r="G8293" t="s">
        <v>88</v>
      </c>
      <c r="H8293" t="s">
        <v>92</v>
      </c>
    </row>
    <row r="8294" spans="1:8" x14ac:dyDescent="0.25">
      <c r="A8294" t="s">
        <v>301</v>
      </c>
      <c r="B8294" t="s">
        <v>7097</v>
      </c>
      <c r="C8294" t="s">
        <v>88</v>
      </c>
      <c r="D8294" t="s">
        <v>88</v>
      </c>
      <c r="E8294" t="s">
        <v>1171</v>
      </c>
      <c r="F8294" t="s">
        <v>88</v>
      </c>
      <c r="G8294" t="s">
        <v>88</v>
      </c>
      <c r="H8294" t="s">
        <v>92</v>
      </c>
    </row>
    <row r="8295" spans="1:8" x14ac:dyDescent="0.25">
      <c r="A8295" t="s">
        <v>301</v>
      </c>
      <c r="B8295" t="s">
        <v>7098</v>
      </c>
      <c r="C8295" t="s">
        <v>88</v>
      </c>
      <c r="D8295" t="s">
        <v>88</v>
      </c>
      <c r="E8295" t="s">
        <v>641</v>
      </c>
      <c r="F8295" t="s">
        <v>88</v>
      </c>
      <c r="G8295" t="s">
        <v>88</v>
      </c>
      <c r="H8295" t="s">
        <v>92</v>
      </c>
    </row>
    <row r="8296" spans="1:8" x14ac:dyDescent="0.25">
      <c r="A8296" t="s">
        <v>301</v>
      </c>
      <c r="B8296" t="s">
        <v>7099</v>
      </c>
      <c r="C8296" t="s">
        <v>88</v>
      </c>
      <c r="D8296" t="s">
        <v>88</v>
      </c>
      <c r="E8296" t="s">
        <v>641</v>
      </c>
      <c r="F8296" t="s">
        <v>88</v>
      </c>
      <c r="G8296" t="s">
        <v>88</v>
      </c>
      <c r="H8296" t="s">
        <v>92</v>
      </c>
    </row>
    <row r="8297" spans="1:8" x14ac:dyDescent="0.25">
      <c r="A8297" t="s">
        <v>301</v>
      </c>
      <c r="B8297" t="s">
        <v>7100</v>
      </c>
      <c r="C8297" t="s">
        <v>88</v>
      </c>
      <c r="D8297" t="s">
        <v>88</v>
      </c>
      <c r="E8297" t="s">
        <v>805</v>
      </c>
      <c r="F8297" t="s">
        <v>88</v>
      </c>
      <c r="G8297" t="s">
        <v>88</v>
      </c>
      <c r="H8297" t="s">
        <v>92</v>
      </c>
    </row>
    <row r="8298" spans="1:8" x14ac:dyDescent="0.25">
      <c r="A8298" t="s">
        <v>301</v>
      </c>
      <c r="B8298" t="s">
        <v>7101</v>
      </c>
      <c r="C8298" t="s">
        <v>88</v>
      </c>
      <c r="D8298" t="s">
        <v>88</v>
      </c>
      <c r="E8298" t="s">
        <v>803</v>
      </c>
      <c r="F8298" t="s">
        <v>88</v>
      </c>
      <c r="G8298" t="s">
        <v>88</v>
      </c>
      <c r="H8298" t="s">
        <v>92</v>
      </c>
    </row>
    <row r="8299" spans="1:8" x14ac:dyDescent="0.25">
      <c r="A8299" t="s">
        <v>301</v>
      </c>
      <c r="B8299" t="s">
        <v>7102</v>
      </c>
      <c r="C8299" t="s">
        <v>88</v>
      </c>
      <c r="D8299" t="s">
        <v>88</v>
      </c>
      <c r="E8299" t="s">
        <v>641</v>
      </c>
      <c r="F8299" t="s">
        <v>88</v>
      </c>
      <c r="G8299" t="s">
        <v>88</v>
      </c>
      <c r="H8299" t="s">
        <v>92</v>
      </c>
    </row>
    <row r="8300" spans="1:8" x14ac:dyDescent="0.25">
      <c r="A8300" t="s">
        <v>301</v>
      </c>
      <c r="B8300" t="s">
        <v>7103</v>
      </c>
      <c r="C8300" t="s">
        <v>88</v>
      </c>
      <c r="D8300" t="s">
        <v>88</v>
      </c>
      <c r="E8300" t="s">
        <v>641</v>
      </c>
      <c r="F8300" t="s">
        <v>88</v>
      </c>
      <c r="G8300" t="s">
        <v>88</v>
      </c>
      <c r="H8300" t="s">
        <v>92</v>
      </c>
    </row>
    <row r="8301" spans="1:8" x14ac:dyDescent="0.25">
      <c r="A8301" t="s">
        <v>301</v>
      </c>
      <c r="B8301" t="s">
        <v>7104</v>
      </c>
      <c r="C8301" t="s">
        <v>88</v>
      </c>
      <c r="D8301" t="s">
        <v>88</v>
      </c>
      <c r="E8301" t="s">
        <v>1068</v>
      </c>
      <c r="F8301" t="s">
        <v>88</v>
      </c>
      <c r="G8301" t="s">
        <v>88</v>
      </c>
      <c r="H8301" t="s">
        <v>92</v>
      </c>
    </row>
    <row r="8302" spans="1:8" x14ac:dyDescent="0.25">
      <c r="A8302" t="s">
        <v>301</v>
      </c>
      <c r="B8302" t="s">
        <v>7105</v>
      </c>
      <c r="C8302" t="s">
        <v>88</v>
      </c>
      <c r="D8302" t="s">
        <v>88</v>
      </c>
      <c r="E8302" t="s">
        <v>4796</v>
      </c>
      <c r="F8302" t="s">
        <v>88</v>
      </c>
      <c r="G8302" t="s">
        <v>88</v>
      </c>
      <c r="H8302" t="s">
        <v>92</v>
      </c>
    </row>
    <row r="8303" spans="1:8" x14ac:dyDescent="0.25">
      <c r="A8303" t="s">
        <v>301</v>
      </c>
      <c r="B8303" t="s">
        <v>7106</v>
      </c>
      <c r="C8303" t="s">
        <v>88</v>
      </c>
      <c r="D8303" t="s">
        <v>88</v>
      </c>
      <c r="E8303" t="s">
        <v>641</v>
      </c>
      <c r="F8303" t="s">
        <v>88</v>
      </c>
      <c r="G8303" t="s">
        <v>88</v>
      </c>
      <c r="H8303" t="s">
        <v>92</v>
      </c>
    </row>
    <row r="8304" spans="1:8" x14ac:dyDescent="0.25">
      <c r="A8304" t="s">
        <v>301</v>
      </c>
      <c r="B8304" t="s">
        <v>7107</v>
      </c>
      <c r="C8304" t="s">
        <v>88</v>
      </c>
      <c r="D8304" t="s">
        <v>88</v>
      </c>
      <c r="E8304" t="s">
        <v>1068</v>
      </c>
      <c r="F8304" t="s">
        <v>88</v>
      </c>
      <c r="G8304" t="s">
        <v>88</v>
      </c>
      <c r="H8304" t="s">
        <v>92</v>
      </c>
    </row>
    <row r="8305" spans="1:8" x14ac:dyDescent="0.25">
      <c r="A8305" t="s">
        <v>301</v>
      </c>
      <c r="B8305" t="s">
        <v>7108</v>
      </c>
      <c r="C8305" t="s">
        <v>88</v>
      </c>
      <c r="D8305" t="s">
        <v>88</v>
      </c>
      <c r="E8305" t="s">
        <v>641</v>
      </c>
      <c r="F8305" t="s">
        <v>88</v>
      </c>
      <c r="G8305" t="s">
        <v>88</v>
      </c>
      <c r="H8305" t="s">
        <v>92</v>
      </c>
    </row>
    <row r="8306" spans="1:8" x14ac:dyDescent="0.25">
      <c r="A8306" t="s">
        <v>301</v>
      </c>
      <c r="B8306" t="s">
        <v>7109</v>
      </c>
      <c r="C8306" t="s">
        <v>88</v>
      </c>
      <c r="D8306" t="s">
        <v>88</v>
      </c>
      <c r="E8306" t="s">
        <v>937</v>
      </c>
      <c r="F8306" t="s">
        <v>88</v>
      </c>
      <c r="G8306" t="s">
        <v>88</v>
      </c>
      <c r="H8306" t="s">
        <v>92</v>
      </c>
    </row>
    <row r="8307" spans="1:8" x14ac:dyDescent="0.25">
      <c r="A8307" t="s">
        <v>301</v>
      </c>
      <c r="B8307" t="s">
        <v>7110</v>
      </c>
      <c r="C8307" t="s">
        <v>88</v>
      </c>
      <c r="D8307" t="s">
        <v>88</v>
      </c>
      <c r="E8307" t="s">
        <v>655</v>
      </c>
      <c r="F8307" t="s">
        <v>88</v>
      </c>
      <c r="G8307" t="s">
        <v>88</v>
      </c>
      <c r="H8307" t="s">
        <v>92</v>
      </c>
    </row>
    <row r="8308" spans="1:8" x14ac:dyDescent="0.25">
      <c r="A8308" t="s">
        <v>301</v>
      </c>
      <c r="B8308" t="s">
        <v>7111</v>
      </c>
      <c r="C8308" t="s">
        <v>88</v>
      </c>
      <c r="D8308" t="s">
        <v>88</v>
      </c>
      <c r="E8308" t="s">
        <v>658</v>
      </c>
      <c r="F8308" t="s">
        <v>88</v>
      </c>
      <c r="G8308" t="s">
        <v>88</v>
      </c>
      <c r="H8308" t="s">
        <v>92</v>
      </c>
    </row>
    <row r="8309" spans="1:8" x14ac:dyDescent="0.25">
      <c r="A8309" t="s">
        <v>301</v>
      </c>
      <c r="B8309" t="s">
        <v>7112</v>
      </c>
      <c r="C8309" t="s">
        <v>88</v>
      </c>
      <c r="D8309" t="s">
        <v>88</v>
      </c>
      <c r="E8309" t="s">
        <v>692</v>
      </c>
      <c r="F8309" t="s">
        <v>88</v>
      </c>
      <c r="G8309" t="s">
        <v>88</v>
      </c>
      <c r="H8309" t="s">
        <v>92</v>
      </c>
    </row>
    <row r="8310" spans="1:8" x14ac:dyDescent="0.25">
      <c r="A8310" t="s">
        <v>301</v>
      </c>
      <c r="B8310" t="s">
        <v>612</v>
      </c>
      <c r="C8310" t="s">
        <v>88</v>
      </c>
      <c r="D8310" t="s">
        <v>88</v>
      </c>
      <c r="E8310" t="s">
        <v>1596</v>
      </c>
      <c r="F8310" t="s">
        <v>88</v>
      </c>
      <c r="G8310" t="s">
        <v>88</v>
      </c>
      <c r="H8310" t="s">
        <v>92</v>
      </c>
    </row>
    <row r="8311" spans="1:8" x14ac:dyDescent="0.25">
      <c r="A8311" t="s">
        <v>301</v>
      </c>
      <c r="B8311" t="s">
        <v>615</v>
      </c>
      <c r="C8311" t="s">
        <v>88</v>
      </c>
      <c r="D8311" t="s">
        <v>88</v>
      </c>
      <c r="E8311" t="s">
        <v>1596</v>
      </c>
      <c r="F8311" t="s">
        <v>88</v>
      </c>
      <c r="G8311" t="s">
        <v>88</v>
      </c>
      <c r="H8311" t="s">
        <v>92</v>
      </c>
    </row>
    <row r="8312" spans="1:8" x14ac:dyDescent="0.25">
      <c r="A8312" t="s">
        <v>301</v>
      </c>
      <c r="B8312" t="s">
        <v>616</v>
      </c>
      <c r="C8312" t="s">
        <v>88</v>
      </c>
      <c r="D8312" t="s">
        <v>88</v>
      </c>
      <c r="E8312" t="s">
        <v>1596</v>
      </c>
      <c r="F8312" t="s">
        <v>88</v>
      </c>
      <c r="G8312" t="s">
        <v>88</v>
      </c>
      <c r="H8312" t="s">
        <v>92</v>
      </c>
    </row>
    <row r="8313" spans="1:8" x14ac:dyDescent="0.25">
      <c r="A8313" t="s">
        <v>301</v>
      </c>
      <c r="B8313" t="s">
        <v>7113</v>
      </c>
      <c r="C8313" t="s">
        <v>88</v>
      </c>
      <c r="D8313" t="s">
        <v>88</v>
      </c>
      <c r="E8313" t="s">
        <v>1221</v>
      </c>
      <c r="F8313" t="s">
        <v>88</v>
      </c>
      <c r="G8313" t="s">
        <v>88</v>
      </c>
      <c r="H8313" t="s">
        <v>92</v>
      </c>
    </row>
    <row r="8314" spans="1:8" x14ac:dyDescent="0.25">
      <c r="A8314" t="s">
        <v>301</v>
      </c>
      <c r="B8314" t="s">
        <v>7114</v>
      </c>
      <c r="C8314" t="s">
        <v>88</v>
      </c>
      <c r="D8314" t="s">
        <v>88</v>
      </c>
      <c r="E8314" t="s">
        <v>2513</v>
      </c>
      <c r="F8314" t="s">
        <v>88</v>
      </c>
      <c r="G8314" t="s">
        <v>88</v>
      </c>
      <c r="H8314" t="s">
        <v>92</v>
      </c>
    </row>
    <row r="8315" spans="1:8" x14ac:dyDescent="0.25">
      <c r="A8315" t="s">
        <v>301</v>
      </c>
      <c r="B8315" t="s">
        <v>7115</v>
      </c>
      <c r="C8315" t="s">
        <v>88</v>
      </c>
      <c r="D8315" t="s">
        <v>88</v>
      </c>
      <c r="E8315" t="s">
        <v>1221</v>
      </c>
      <c r="F8315" t="s">
        <v>88</v>
      </c>
      <c r="G8315" t="s">
        <v>88</v>
      </c>
      <c r="H8315" t="s">
        <v>92</v>
      </c>
    </row>
    <row r="8316" spans="1:8" x14ac:dyDescent="0.25">
      <c r="A8316" t="s">
        <v>301</v>
      </c>
      <c r="B8316" t="s">
        <v>7116</v>
      </c>
      <c r="C8316" t="s">
        <v>88</v>
      </c>
      <c r="D8316" t="s">
        <v>88</v>
      </c>
      <c r="E8316" t="s">
        <v>641</v>
      </c>
      <c r="F8316" t="s">
        <v>88</v>
      </c>
      <c r="G8316" t="s">
        <v>88</v>
      </c>
      <c r="H8316" t="s">
        <v>92</v>
      </c>
    </row>
    <row r="8317" spans="1:8" x14ac:dyDescent="0.25">
      <c r="A8317" t="s">
        <v>301</v>
      </c>
      <c r="B8317" t="s">
        <v>7117</v>
      </c>
      <c r="C8317" t="s">
        <v>88</v>
      </c>
      <c r="D8317" t="s">
        <v>88</v>
      </c>
      <c r="E8317" t="s">
        <v>1714</v>
      </c>
      <c r="F8317" t="s">
        <v>88</v>
      </c>
      <c r="G8317" t="s">
        <v>88</v>
      </c>
      <c r="H8317" t="s">
        <v>92</v>
      </c>
    </row>
    <row r="8318" spans="1:8" x14ac:dyDescent="0.25">
      <c r="A8318" t="s">
        <v>301</v>
      </c>
      <c r="B8318" t="s">
        <v>1046</v>
      </c>
      <c r="C8318" t="s">
        <v>88</v>
      </c>
      <c r="D8318" t="s">
        <v>88</v>
      </c>
      <c r="E8318" t="s">
        <v>841</v>
      </c>
      <c r="F8318" t="s">
        <v>88</v>
      </c>
      <c r="G8318" t="s">
        <v>88</v>
      </c>
      <c r="H8318" t="s">
        <v>92</v>
      </c>
    </row>
    <row r="8319" spans="1:8" x14ac:dyDescent="0.25">
      <c r="A8319" t="s">
        <v>301</v>
      </c>
      <c r="B8319" t="s">
        <v>4951</v>
      </c>
      <c r="C8319" t="s">
        <v>88</v>
      </c>
      <c r="D8319" t="s">
        <v>88</v>
      </c>
      <c r="E8319" t="s">
        <v>1714</v>
      </c>
      <c r="F8319" t="s">
        <v>88</v>
      </c>
      <c r="G8319" t="s">
        <v>88</v>
      </c>
      <c r="H8319" t="s">
        <v>92</v>
      </c>
    </row>
    <row r="8320" spans="1:8" x14ac:dyDescent="0.25">
      <c r="A8320" t="s">
        <v>301</v>
      </c>
      <c r="B8320" t="s">
        <v>4977</v>
      </c>
      <c r="C8320" t="s">
        <v>88</v>
      </c>
      <c r="D8320" t="s">
        <v>88</v>
      </c>
      <c r="E8320" t="s">
        <v>1714</v>
      </c>
      <c r="F8320" t="s">
        <v>88</v>
      </c>
      <c r="G8320" t="s">
        <v>88</v>
      </c>
      <c r="H8320" t="s">
        <v>92</v>
      </c>
    </row>
    <row r="8321" spans="1:8" x14ac:dyDescent="0.25">
      <c r="A8321" t="s">
        <v>301</v>
      </c>
      <c r="B8321" t="s">
        <v>7118</v>
      </c>
      <c r="C8321" t="s">
        <v>88</v>
      </c>
      <c r="D8321" t="s">
        <v>88</v>
      </c>
      <c r="E8321" t="s">
        <v>1714</v>
      </c>
      <c r="F8321" t="s">
        <v>88</v>
      </c>
      <c r="G8321" t="s">
        <v>88</v>
      </c>
      <c r="H8321" t="s">
        <v>92</v>
      </c>
    </row>
    <row r="8322" spans="1:8" x14ac:dyDescent="0.25">
      <c r="A8322" t="s">
        <v>301</v>
      </c>
      <c r="B8322" t="s">
        <v>7119</v>
      </c>
      <c r="C8322" t="s">
        <v>88</v>
      </c>
      <c r="D8322" t="s">
        <v>88</v>
      </c>
      <c r="E8322" t="s">
        <v>1714</v>
      </c>
      <c r="F8322" t="s">
        <v>88</v>
      </c>
      <c r="G8322" t="s">
        <v>88</v>
      </c>
      <c r="H8322" t="s">
        <v>92</v>
      </c>
    </row>
    <row r="8323" spans="1:8" x14ac:dyDescent="0.25">
      <c r="A8323" t="s">
        <v>301</v>
      </c>
      <c r="B8323" t="s">
        <v>7120</v>
      </c>
      <c r="C8323" t="s">
        <v>88</v>
      </c>
      <c r="D8323" t="s">
        <v>88</v>
      </c>
      <c r="E8323" t="s">
        <v>1714</v>
      </c>
      <c r="F8323" t="s">
        <v>88</v>
      </c>
      <c r="G8323" t="s">
        <v>88</v>
      </c>
      <c r="H8323" t="s">
        <v>92</v>
      </c>
    </row>
    <row r="8324" spans="1:8" x14ac:dyDescent="0.25">
      <c r="A8324" t="s">
        <v>301</v>
      </c>
      <c r="B8324" t="s">
        <v>1049</v>
      </c>
      <c r="C8324" t="s">
        <v>88</v>
      </c>
      <c r="D8324" t="s">
        <v>88</v>
      </c>
      <c r="E8324" t="s">
        <v>812</v>
      </c>
      <c r="F8324" t="s">
        <v>88</v>
      </c>
      <c r="G8324" t="s">
        <v>88</v>
      </c>
      <c r="H8324" t="s">
        <v>92</v>
      </c>
    </row>
    <row r="8325" spans="1:8" x14ac:dyDescent="0.25">
      <c r="A8325" t="s">
        <v>301</v>
      </c>
      <c r="B8325" t="s">
        <v>7121</v>
      </c>
      <c r="C8325" t="s">
        <v>88</v>
      </c>
      <c r="D8325" t="s">
        <v>88</v>
      </c>
      <c r="E8325" t="s">
        <v>1714</v>
      </c>
      <c r="F8325" t="s">
        <v>88</v>
      </c>
      <c r="G8325" t="s">
        <v>88</v>
      </c>
      <c r="H8325" t="s">
        <v>92</v>
      </c>
    </row>
    <row r="8326" spans="1:8" x14ac:dyDescent="0.25">
      <c r="A8326" t="s">
        <v>301</v>
      </c>
      <c r="B8326" t="s">
        <v>7122</v>
      </c>
      <c r="C8326" t="s">
        <v>88</v>
      </c>
      <c r="D8326" t="s">
        <v>88</v>
      </c>
      <c r="E8326" t="s">
        <v>1714</v>
      </c>
      <c r="F8326" t="s">
        <v>88</v>
      </c>
      <c r="G8326" t="s">
        <v>88</v>
      </c>
      <c r="H8326" t="s">
        <v>92</v>
      </c>
    </row>
    <row r="8327" spans="1:8" x14ac:dyDescent="0.25">
      <c r="A8327" t="s">
        <v>301</v>
      </c>
      <c r="B8327" t="s">
        <v>7123</v>
      </c>
      <c r="C8327" t="s">
        <v>88</v>
      </c>
      <c r="D8327" t="s">
        <v>88</v>
      </c>
      <c r="E8327" t="s">
        <v>841</v>
      </c>
      <c r="F8327" t="s">
        <v>88</v>
      </c>
      <c r="G8327" t="s">
        <v>88</v>
      </c>
      <c r="H8327" t="s">
        <v>92</v>
      </c>
    </row>
    <row r="8328" spans="1:8" x14ac:dyDescent="0.25">
      <c r="A8328" t="s">
        <v>301</v>
      </c>
      <c r="B8328" t="s">
        <v>7124</v>
      </c>
      <c r="C8328" t="s">
        <v>88</v>
      </c>
      <c r="D8328" t="s">
        <v>88</v>
      </c>
      <c r="E8328" t="s">
        <v>641</v>
      </c>
      <c r="F8328" t="s">
        <v>88</v>
      </c>
      <c r="G8328" t="s">
        <v>88</v>
      </c>
      <c r="H8328" t="s">
        <v>92</v>
      </c>
    </row>
    <row r="8329" spans="1:8" x14ac:dyDescent="0.25">
      <c r="A8329" t="s">
        <v>301</v>
      </c>
      <c r="B8329" t="s">
        <v>7125</v>
      </c>
      <c r="C8329" t="s">
        <v>88</v>
      </c>
      <c r="D8329" t="s">
        <v>88</v>
      </c>
      <c r="E8329" t="s">
        <v>825</v>
      </c>
      <c r="F8329" t="s">
        <v>88</v>
      </c>
      <c r="G8329" t="s">
        <v>88</v>
      </c>
      <c r="H8329" t="s">
        <v>92</v>
      </c>
    </row>
    <row r="8330" spans="1:8" x14ac:dyDescent="0.25">
      <c r="A8330" t="s">
        <v>301</v>
      </c>
      <c r="B8330" t="s">
        <v>4960</v>
      </c>
      <c r="C8330" t="s">
        <v>88</v>
      </c>
      <c r="D8330" t="s">
        <v>88</v>
      </c>
      <c r="E8330" t="s">
        <v>7126</v>
      </c>
      <c r="F8330" t="s">
        <v>88</v>
      </c>
      <c r="G8330" t="s">
        <v>88</v>
      </c>
      <c r="H8330" t="s">
        <v>92</v>
      </c>
    </row>
    <row r="8331" spans="1:8" x14ac:dyDescent="0.25">
      <c r="A8331" t="s">
        <v>301</v>
      </c>
      <c r="B8331" t="s">
        <v>1053</v>
      </c>
      <c r="C8331" t="s">
        <v>88</v>
      </c>
      <c r="D8331" t="s">
        <v>88</v>
      </c>
      <c r="E8331" t="s">
        <v>1135</v>
      </c>
      <c r="F8331" t="s">
        <v>88</v>
      </c>
      <c r="G8331" t="s">
        <v>88</v>
      </c>
      <c r="H8331" t="s">
        <v>92</v>
      </c>
    </row>
    <row r="8332" spans="1:8" x14ac:dyDescent="0.25">
      <c r="A8332" t="s">
        <v>301</v>
      </c>
      <c r="B8332" t="s">
        <v>4962</v>
      </c>
      <c r="C8332" t="s">
        <v>88</v>
      </c>
      <c r="D8332" t="s">
        <v>88</v>
      </c>
      <c r="E8332" t="s">
        <v>1137</v>
      </c>
      <c r="F8332" t="s">
        <v>88</v>
      </c>
      <c r="G8332" t="s">
        <v>88</v>
      </c>
      <c r="H8332" t="s">
        <v>92</v>
      </c>
    </row>
    <row r="8333" spans="1:8" x14ac:dyDescent="0.25">
      <c r="A8333" t="s">
        <v>301</v>
      </c>
      <c r="B8333" t="s">
        <v>3187</v>
      </c>
      <c r="C8333" t="s">
        <v>88</v>
      </c>
      <c r="D8333" t="s">
        <v>88</v>
      </c>
      <c r="E8333" t="s">
        <v>1137</v>
      </c>
      <c r="F8333" t="s">
        <v>88</v>
      </c>
      <c r="G8333" t="s">
        <v>88</v>
      </c>
      <c r="H8333" t="s">
        <v>92</v>
      </c>
    </row>
    <row r="8334" spans="1:8" x14ac:dyDescent="0.25">
      <c r="A8334" t="s">
        <v>301</v>
      </c>
      <c r="B8334" t="s">
        <v>7127</v>
      </c>
      <c r="C8334" t="s">
        <v>88</v>
      </c>
      <c r="D8334" t="s">
        <v>88</v>
      </c>
      <c r="E8334" t="s">
        <v>1137</v>
      </c>
      <c r="F8334" t="s">
        <v>88</v>
      </c>
      <c r="G8334" t="s">
        <v>88</v>
      </c>
      <c r="H8334" t="s">
        <v>92</v>
      </c>
    </row>
    <row r="8335" spans="1:8" x14ac:dyDescent="0.25">
      <c r="A8335" t="s">
        <v>301</v>
      </c>
      <c r="B8335" t="s">
        <v>7128</v>
      </c>
      <c r="C8335" t="s">
        <v>88</v>
      </c>
      <c r="D8335" t="s">
        <v>88</v>
      </c>
      <c r="E8335" t="s">
        <v>1137</v>
      </c>
      <c r="F8335" t="s">
        <v>88</v>
      </c>
      <c r="G8335" t="s">
        <v>88</v>
      </c>
      <c r="H8335" t="s">
        <v>92</v>
      </c>
    </row>
    <row r="8336" spans="1:8" x14ac:dyDescent="0.25">
      <c r="A8336" t="s">
        <v>301</v>
      </c>
      <c r="B8336" t="s">
        <v>7049</v>
      </c>
      <c r="C8336" t="s">
        <v>88</v>
      </c>
      <c r="D8336" t="s">
        <v>88</v>
      </c>
      <c r="E8336" t="s">
        <v>1171</v>
      </c>
      <c r="F8336" t="s">
        <v>88</v>
      </c>
      <c r="G8336" t="s">
        <v>88</v>
      </c>
      <c r="H8336" t="s">
        <v>92</v>
      </c>
    </row>
    <row r="8337" spans="1:8" x14ac:dyDescent="0.25">
      <c r="A8337" t="s">
        <v>301</v>
      </c>
      <c r="B8337" t="s">
        <v>7129</v>
      </c>
      <c r="C8337" t="s">
        <v>88</v>
      </c>
      <c r="D8337" t="s">
        <v>88</v>
      </c>
      <c r="E8337" t="s">
        <v>1137</v>
      </c>
      <c r="F8337" t="s">
        <v>88</v>
      </c>
      <c r="G8337" t="s">
        <v>88</v>
      </c>
      <c r="H8337" t="s">
        <v>92</v>
      </c>
    </row>
    <row r="8338" spans="1:8" x14ac:dyDescent="0.25">
      <c r="A8338" t="s">
        <v>301</v>
      </c>
      <c r="B8338" t="s">
        <v>7130</v>
      </c>
      <c r="C8338" t="s">
        <v>88</v>
      </c>
      <c r="D8338" t="s">
        <v>88</v>
      </c>
      <c r="E8338" t="s">
        <v>1135</v>
      </c>
      <c r="F8338" t="s">
        <v>88</v>
      </c>
      <c r="G8338" t="s">
        <v>88</v>
      </c>
      <c r="H8338" t="s">
        <v>92</v>
      </c>
    </row>
    <row r="8339" spans="1:8" x14ac:dyDescent="0.25">
      <c r="A8339" t="s">
        <v>301</v>
      </c>
      <c r="B8339" t="s">
        <v>7131</v>
      </c>
      <c r="C8339" t="s">
        <v>88</v>
      </c>
      <c r="D8339" t="s">
        <v>88</v>
      </c>
      <c r="E8339" t="s">
        <v>1135</v>
      </c>
      <c r="F8339" t="s">
        <v>88</v>
      </c>
      <c r="G8339" t="s">
        <v>88</v>
      </c>
      <c r="H8339" t="s">
        <v>92</v>
      </c>
    </row>
    <row r="8340" spans="1:8" x14ac:dyDescent="0.25">
      <c r="A8340" t="s">
        <v>301</v>
      </c>
      <c r="B8340" t="s">
        <v>1172</v>
      </c>
      <c r="C8340" t="s">
        <v>88</v>
      </c>
      <c r="D8340" t="s">
        <v>88</v>
      </c>
      <c r="E8340" t="s">
        <v>1135</v>
      </c>
      <c r="F8340" t="s">
        <v>88</v>
      </c>
      <c r="G8340" t="s">
        <v>88</v>
      </c>
      <c r="H8340" t="s">
        <v>92</v>
      </c>
    </row>
    <row r="8341" spans="1:8" x14ac:dyDescent="0.25">
      <c r="A8341" t="s">
        <v>301</v>
      </c>
      <c r="B8341" t="s">
        <v>7132</v>
      </c>
      <c r="C8341" t="s">
        <v>88</v>
      </c>
      <c r="D8341" t="s">
        <v>88</v>
      </c>
      <c r="E8341" t="s">
        <v>1714</v>
      </c>
      <c r="F8341" t="s">
        <v>88</v>
      </c>
      <c r="G8341" t="s">
        <v>88</v>
      </c>
      <c r="H8341" t="s">
        <v>92</v>
      </c>
    </row>
    <row r="8342" spans="1:8" x14ac:dyDescent="0.25">
      <c r="A8342" t="s">
        <v>301</v>
      </c>
      <c r="B8342" t="s">
        <v>7133</v>
      </c>
      <c r="C8342" t="s">
        <v>88</v>
      </c>
      <c r="D8342" t="s">
        <v>88</v>
      </c>
      <c r="E8342" t="s">
        <v>807</v>
      </c>
      <c r="F8342" t="s">
        <v>88</v>
      </c>
      <c r="G8342" t="s">
        <v>88</v>
      </c>
      <c r="H8342" t="s">
        <v>92</v>
      </c>
    </row>
    <row r="8343" spans="1:8" x14ac:dyDescent="0.25">
      <c r="A8343" t="s">
        <v>301</v>
      </c>
      <c r="B8343" t="s">
        <v>7134</v>
      </c>
      <c r="C8343" t="s">
        <v>88</v>
      </c>
      <c r="D8343" t="s">
        <v>88</v>
      </c>
      <c r="E8343" t="s">
        <v>762</v>
      </c>
      <c r="F8343" t="s">
        <v>88</v>
      </c>
      <c r="G8343" t="s">
        <v>88</v>
      </c>
      <c r="H8343" t="s">
        <v>92</v>
      </c>
    </row>
    <row r="8344" spans="1:8" x14ac:dyDescent="0.25">
      <c r="A8344" t="s">
        <v>301</v>
      </c>
      <c r="B8344" t="s">
        <v>7135</v>
      </c>
      <c r="C8344" t="s">
        <v>88</v>
      </c>
      <c r="D8344" t="s">
        <v>88</v>
      </c>
      <c r="E8344" t="s">
        <v>641</v>
      </c>
      <c r="F8344" t="s">
        <v>88</v>
      </c>
      <c r="G8344" t="s">
        <v>88</v>
      </c>
      <c r="H8344" t="s">
        <v>92</v>
      </c>
    </row>
    <row r="8345" spans="1:8" x14ac:dyDescent="0.25">
      <c r="A8345" t="s">
        <v>301</v>
      </c>
      <c r="B8345" t="s">
        <v>7136</v>
      </c>
      <c r="C8345" t="s">
        <v>88</v>
      </c>
      <c r="D8345" t="s">
        <v>88</v>
      </c>
      <c r="E8345" t="s">
        <v>3172</v>
      </c>
      <c r="F8345" t="s">
        <v>88</v>
      </c>
      <c r="G8345" t="s">
        <v>88</v>
      </c>
      <c r="H8345" t="s">
        <v>92</v>
      </c>
    </row>
    <row r="8346" spans="1:8" x14ac:dyDescent="0.25">
      <c r="A8346" t="s">
        <v>301</v>
      </c>
      <c r="B8346" t="s">
        <v>7137</v>
      </c>
      <c r="C8346" t="s">
        <v>88</v>
      </c>
      <c r="D8346" t="s">
        <v>88</v>
      </c>
      <c r="E8346" t="s">
        <v>3172</v>
      </c>
      <c r="F8346" t="s">
        <v>88</v>
      </c>
      <c r="G8346" t="s">
        <v>88</v>
      </c>
      <c r="H8346" t="s">
        <v>92</v>
      </c>
    </row>
    <row r="8347" spans="1:8" x14ac:dyDescent="0.25">
      <c r="A8347" t="s">
        <v>301</v>
      </c>
      <c r="B8347" t="s">
        <v>7138</v>
      </c>
      <c r="C8347" t="s">
        <v>88</v>
      </c>
      <c r="D8347" t="s">
        <v>88</v>
      </c>
      <c r="E8347" t="s">
        <v>676</v>
      </c>
      <c r="F8347" t="s">
        <v>88</v>
      </c>
      <c r="G8347" t="s">
        <v>88</v>
      </c>
      <c r="H8347" t="s">
        <v>92</v>
      </c>
    </row>
    <row r="8348" spans="1:8" x14ac:dyDescent="0.25">
      <c r="A8348" t="s">
        <v>301</v>
      </c>
      <c r="B8348" t="s">
        <v>7139</v>
      </c>
      <c r="C8348" t="s">
        <v>88</v>
      </c>
      <c r="D8348" t="s">
        <v>88</v>
      </c>
      <c r="E8348" t="s">
        <v>893</v>
      </c>
      <c r="F8348" t="s">
        <v>88</v>
      </c>
      <c r="G8348" t="s">
        <v>88</v>
      </c>
      <c r="H8348" t="s">
        <v>92</v>
      </c>
    </row>
    <row r="8349" spans="1:8" x14ac:dyDescent="0.25">
      <c r="A8349" t="s">
        <v>301</v>
      </c>
      <c r="B8349" t="s">
        <v>7140</v>
      </c>
      <c r="C8349" t="s">
        <v>88</v>
      </c>
      <c r="D8349" t="s">
        <v>88</v>
      </c>
      <c r="E8349" t="s">
        <v>2814</v>
      </c>
      <c r="F8349" t="s">
        <v>88</v>
      </c>
      <c r="G8349" t="s">
        <v>88</v>
      </c>
      <c r="H8349" t="s">
        <v>92</v>
      </c>
    </row>
    <row r="8350" spans="1:8" x14ac:dyDescent="0.25">
      <c r="A8350" t="s">
        <v>301</v>
      </c>
      <c r="B8350" t="s">
        <v>7141</v>
      </c>
      <c r="C8350" t="s">
        <v>88</v>
      </c>
      <c r="D8350" t="s">
        <v>88</v>
      </c>
      <c r="E8350" t="s">
        <v>964</v>
      </c>
      <c r="F8350" t="s">
        <v>88</v>
      </c>
      <c r="G8350" t="s">
        <v>88</v>
      </c>
      <c r="H8350" t="s">
        <v>92</v>
      </c>
    </row>
    <row r="8351" spans="1:8" x14ac:dyDescent="0.25">
      <c r="A8351" t="s">
        <v>301</v>
      </c>
      <c r="B8351" t="s">
        <v>1709</v>
      </c>
      <c r="C8351" t="s">
        <v>88</v>
      </c>
      <c r="D8351" t="s">
        <v>88</v>
      </c>
      <c r="E8351" t="s">
        <v>838</v>
      </c>
      <c r="F8351" t="s">
        <v>88</v>
      </c>
      <c r="G8351" t="s">
        <v>88</v>
      </c>
      <c r="H8351" t="s">
        <v>92</v>
      </c>
    </row>
    <row r="8352" spans="1:8" x14ac:dyDescent="0.25">
      <c r="A8352" t="s">
        <v>301</v>
      </c>
      <c r="B8352" t="s">
        <v>625</v>
      </c>
      <c r="C8352" t="s">
        <v>88</v>
      </c>
      <c r="D8352" t="s">
        <v>88</v>
      </c>
      <c r="E8352" t="s">
        <v>626</v>
      </c>
      <c r="F8352" t="s">
        <v>88</v>
      </c>
      <c r="G8352" t="s">
        <v>88</v>
      </c>
      <c r="H8352" t="s">
        <v>92</v>
      </c>
    </row>
    <row r="8353" spans="1:8" x14ac:dyDescent="0.25">
      <c r="A8353" t="s">
        <v>302</v>
      </c>
      <c r="B8353" t="s">
        <v>7142</v>
      </c>
      <c r="C8353" t="s">
        <v>88</v>
      </c>
      <c r="D8353" t="s">
        <v>88</v>
      </c>
      <c r="E8353" t="s">
        <v>710</v>
      </c>
      <c r="F8353" t="s">
        <v>88</v>
      </c>
      <c r="G8353" t="s">
        <v>88</v>
      </c>
      <c r="H8353" t="s">
        <v>92</v>
      </c>
    </row>
    <row r="8354" spans="1:8" x14ac:dyDescent="0.25">
      <c r="A8354" t="s">
        <v>302</v>
      </c>
      <c r="B8354" t="s">
        <v>7143</v>
      </c>
      <c r="C8354" t="s">
        <v>88</v>
      </c>
      <c r="D8354" t="s">
        <v>88</v>
      </c>
      <c r="E8354" t="s">
        <v>655</v>
      </c>
      <c r="F8354" t="s">
        <v>88</v>
      </c>
      <c r="G8354" t="s">
        <v>88</v>
      </c>
      <c r="H8354" t="s">
        <v>92</v>
      </c>
    </row>
    <row r="8355" spans="1:8" x14ac:dyDescent="0.25">
      <c r="A8355" t="s">
        <v>302</v>
      </c>
      <c r="B8355" t="s">
        <v>7077</v>
      </c>
      <c r="C8355" t="s">
        <v>88</v>
      </c>
      <c r="D8355" t="s">
        <v>88</v>
      </c>
      <c r="E8355" t="s">
        <v>1139</v>
      </c>
      <c r="F8355" t="s">
        <v>88</v>
      </c>
      <c r="G8355" t="s">
        <v>88</v>
      </c>
      <c r="H8355" t="s">
        <v>92</v>
      </c>
    </row>
    <row r="8356" spans="1:8" x14ac:dyDescent="0.25">
      <c r="A8356" t="s">
        <v>302</v>
      </c>
      <c r="B8356" t="s">
        <v>7144</v>
      </c>
      <c r="C8356" t="s">
        <v>88</v>
      </c>
      <c r="D8356" t="s">
        <v>7145</v>
      </c>
      <c r="E8356" t="s">
        <v>692</v>
      </c>
      <c r="F8356" t="s">
        <v>88</v>
      </c>
      <c r="G8356" t="s">
        <v>88</v>
      </c>
      <c r="H8356" t="s">
        <v>92</v>
      </c>
    </row>
    <row r="8357" spans="1:8" x14ac:dyDescent="0.25">
      <c r="A8357" t="s">
        <v>302</v>
      </c>
      <c r="B8357" t="s">
        <v>7057</v>
      </c>
      <c r="C8357" t="s">
        <v>88</v>
      </c>
      <c r="D8357" t="s">
        <v>88</v>
      </c>
      <c r="E8357" t="s">
        <v>1221</v>
      </c>
      <c r="F8357" t="s">
        <v>88</v>
      </c>
      <c r="G8357" t="s">
        <v>88</v>
      </c>
      <c r="H8357" t="s">
        <v>92</v>
      </c>
    </row>
    <row r="8358" spans="1:8" x14ac:dyDescent="0.25">
      <c r="A8358" t="s">
        <v>302</v>
      </c>
      <c r="B8358" t="s">
        <v>7146</v>
      </c>
      <c r="C8358" t="s">
        <v>88</v>
      </c>
      <c r="D8358" t="s">
        <v>7147</v>
      </c>
      <c r="E8358" t="s">
        <v>7148</v>
      </c>
      <c r="F8358" t="s">
        <v>88</v>
      </c>
      <c r="G8358" t="s">
        <v>88</v>
      </c>
      <c r="H8358" t="s">
        <v>92</v>
      </c>
    </row>
    <row r="8359" spans="1:8" x14ac:dyDescent="0.25">
      <c r="A8359" t="s">
        <v>302</v>
      </c>
      <c r="B8359" t="s">
        <v>7144</v>
      </c>
      <c r="C8359" t="s">
        <v>88</v>
      </c>
      <c r="D8359" t="s">
        <v>7145</v>
      </c>
      <c r="E8359" t="s">
        <v>692</v>
      </c>
      <c r="F8359" t="s">
        <v>88</v>
      </c>
      <c r="G8359" t="s">
        <v>88</v>
      </c>
      <c r="H8359" t="s">
        <v>92</v>
      </c>
    </row>
    <row r="8360" spans="1:8" x14ac:dyDescent="0.25">
      <c r="A8360" t="s">
        <v>302</v>
      </c>
      <c r="B8360" t="s">
        <v>603</v>
      </c>
      <c r="C8360" t="s">
        <v>88</v>
      </c>
      <c r="D8360" t="s">
        <v>7149</v>
      </c>
      <c r="E8360" t="s">
        <v>655</v>
      </c>
      <c r="F8360" t="s">
        <v>88</v>
      </c>
      <c r="G8360" t="s">
        <v>88</v>
      </c>
      <c r="H8360" t="s">
        <v>92</v>
      </c>
    </row>
    <row r="8361" spans="1:8" x14ac:dyDescent="0.25">
      <c r="A8361" t="s">
        <v>302</v>
      </c>
      <c r="B8361" t="s">
        <v>1868</v>
      </c>
      <c r="C8361" t="s">
        <v>88</v>
      </c>
      <c r="D8361" t="s">
        <v>7149</v>
      </c>
      <c r="E8361" t="s">
        <v>692</v>
      </c>
      <c r="F8361" t="s">
        <v>88</v>
      </c>
      <c r="G8361" t="s">
        <v>88</v>
      </c>
      <c r="H8361" t="s">
        <v>92</v>
      </c>
    </row>
    <row r="8362" spans="1:8" x14ac:dyDescent="0.25">
      <c r="A8362" t="s">
        <v>302</v>
      </c>
      <c r="B8362" t="s">
        <v>7067</v>
      </c>
      <c r="C8362" t="s">
        <v>88</v>
      </c>
      <c r="D8362" t="s">
        <v>7068</v>
      </c>
      <c r="E8362" t="s">
        <v>1139</v>
      </c>
      <c r="F8362" t="s">
        <v>88</v>
      </c>
      <c r="G8362" t="s">
        <v>88</v>
      </c>
      <c r="H8362" t="s">
        <v>92</v>
      </c>
    </row>
    <row r="8363" spans="1:8" x14ac:dyDescent="0.25">
      <c r="A8363" t="s">
        <v>302</v>
      </c>
      <c r="B8363" t="s">
        <v>7066</v>
      </c>
      <c r="C8363" t="s">
        <v>88</v>
      </c>
      <c r="D8363" t="s">
        <v>4821</v>
      </c>
      <c r="E8363" t="s">
        <v>1139</v>
      </c>
      <c r="F8363" t="s">
        <v>88</v>
      </c>
      <c r="G8363" t="s">
        <v>88</v>
      </c>
      <c r="H8363" t="s">
        <v>92</v>
      </c>
    </row>
    <row r="8364" spans="1:8" x14ac:dyDescent="0.25">
      <c r="A8364" t="s">
        <v>302</v>
      </c>
      <c r="B8364" t="s">
        <v>1322</v>
      </c>
      <c r="C8364" t="s">
        <v>88</v>
      </c>
      <c r="D8364" t="s">
        <v>88</v>
      </c>
      <c r="E8364" t="s">
        <v>1221</v>
      </c>
      <c r="F8364" t="s">
        <v>88</v>
      </c>
      <c r="G8364" t="s">
        <v>88</v>
      </c>
      <c r="H8364" t="s">
        <v>92</v>
      </c>
    </row>
    <row r="8365" spans="1:8" x14ac:dyDescent="0.25">
      <c r="A8365" t="s">
        <v>302</v>
      </c>
      <c r="B8365" t="s">
        <v>5369</v>
      </c>
      <c r="C8365" t="s">
        <v>88</v>
      </c>
      <c r="D8365" t="s">
        <v>88</v>
      </c>
      <c r="E8365" t="s">
        <v>1221</v>
      </c>
      <c r="F8365" t="s">
        <v>88</v>
      </c>
      <c r="G8365" t="s">
        <v>88</v>
      </c>
      <c r="H8365" t="s">
        <v>92</v>
      </c>
    </row>
    <row r="8366" spans="1:8" x14ac:dyDescent="0.25">
      <c r="A8366" t="s">
        <v>302</v>
      </c>
      <c r="B8366" t="s">
        <v>7150</v>
      </c>
      <c r="C8366" t="s">
        <v>88</v>
      </c>
      <c r="D8366" t="s">
        <v>88</v>
      </c>
      <c r="E8366" t="s">
        <v>663</v>
      </c>
      <c r="F8366" t="s">
        <v>88</v>
      </c>
      <c r="G8366" t="s">
        <v>88</v>
      </c>
      <c r="H8366" t="s">
        <v>92</v>
      </c>
    </row>
    <row r="8367" spans="1:8" x14ac:dyDescent="0.25">
      <c r="A8367" t="s">
        <v>302</v>
      </c>
      <c r="B8367" t="s">
        <v>7112</v>
      </c>
      <c r="C8367" t="s">
        <v>88</v>
      </c>
      <c r="D8367" t="s">
        <v>88</v>
      </c>
      <c r="E8367" t="s">
        <v>692</v>
      </c>
      <c r="F8367" t="s">
        <v>88</v>
      </c>
      <c r="G8367" t="s">
        <v>88</v>
      </c>
      <c r="H8367" t="s">
        <v>92</v>
      </c>
    </row>
    <row r="8368" spans="1:8" x14ac:dyDescent="0.25">
      <c r="A8368" t="s">
        <v>302</v>
      </c>
      <c r="B8368" t="s">
        <v>7151</v>
      </c>
      <c r="C8368" t="s">
        <v>88</v>
      </c>
      <c r="D8368" t="s">
        <v>88</v>
      </c>
      <c r="E8368" t="s">
        <v>663</v>
      </c>
      <c r="F8368" t="s">
        <v>88</v>
      </c>
      <c r="G8368" t="s">
        <v>88</v>
      </c>
      <c r="H8368" t="s">
        <v>92</v>
      </c>
    </row>
    <row r="8369" spans="1:8" x14ac:dyDescent="0.25">
      <c r="A8369" t="s">
        <v>302</v>
      </c>
      <c r="B8369" t="s">
        <v>7152</v>
      </c>
      <c r="C8369" t="s">
        <v>88</v>
      </c>
      <c r="D8369" t="s">
        <v>88</v>
      </c>
      <c r="E8369" t="s">
        <v>700</v>
      </c>
      <c r="F8369" t="s">
        <v>88</v>
      </c>
      <c r="G8369" t="s">
        <v>88</v>
      </c>
      <c r="H8369" t="s">
        <v>92</v>
      </c>
    </row>
    <row r="8370" spans="1:8" x14ac:dyDescent="0.25">
      <c r="A8370" t="s">
        <v>302</v>
      </c>
      <c r="B8370" t="s">
        <v>7110</v>
      </c>
      <c r="C8370" t="s">
        <v>88</v>
      </c>
      <c r="D8370" t="s">
        <v>88</v>
      </c>
      <c r="E8370" t="s">
        <v>655</v>
      </c>
      <c r="F8370" t="s">
        <v>88</v>
      </c>
      <c r="G8370" t="s">
        <v>88</v>
      </c>
      <c r="H8370" t="s">
        <v>92</v>
      </c>
    </row>
    <row r="8371" spans="1:8" x14ac:dyDescent="0.25">
      <c r="A8371" t="s">
        <v>302</v>
      </c>
      <c r="B8371" t="s">
        <v>7153</v>
      </c>
      <c r="C8371" t="s">
        <v>88</v>
      </c>
      <c r="D8371" t="s">
        <v>88</v>
      </c>
      <c r="E8371" t="s">
        <v>692</v>
      </c>
      <c r="F8371" t="s">
        <v>88</v>
      </c>
      <c r="G8371" t="s">
        <v>88</v>
      </c>
      <c r="H8371" t="s">
        <v>92</v>
      </c>
    </row>
    <row r="8372" spans="1:8" x14ac:dyDescent="0.25">
      <c r="A8372" t="s">
        <v>302</v>
      </c>
      <c r="B8372" t="s">
        <v>7111</v>
      </c>
      <c r="C8372" t="s">
        <v>88</v>
      </c>
      <c r="D8372" t="s">
        <v>88</v>
      </c>
      <c r="E8372" t="s">
        <v>658</v>
      </c>
      <c r="F8372" t="s">
        <v>88</v>
      </c>
      <c r="G8372" t="s">
        <v>88</v>
      </c>
      <c r="H8372" t="s">
        <v>92</v>
      </c>
    </row>
    <row r="8373" spans="1:8" x14ac:dyDescent="0.25">
      <c r="A8373" t="s">
        <v>302</v>
      </c>
      <c r="B8373" t="s">
        <v>7154</v>
      </c>
      <c r="C8373" t="s">
        <v>88</v>
      </c>
      <c r="D8373" t="s">
        <v>88</v>
      </c>
      <c r="E8373" t="s">
        <v>780</v>
      </c>
      <c r="F8373" t="s">
        <v>88</v>
      </c>
      <c r="G8373" t="s">
        <v>88</v>
      </c>
      <c r="H8373" t="s">
        <v>92</v>
      </c>
    </row>
    <row r="8374" spans="1:8" x14ac:dyDescent="0.25">
      <c r="A8374" t="s">
        <v>302</v>
      </c>
      <c r="B8374" t="s">
        <v>7155</v>
      </c>
      <c r="C8374" t="s">
        <v>88</v>
      </c>
      <c r="D8374" t="s">
        <v>88</v>
      </c>
      <c r="E8374" t="s">
        <v>937</v>
      </c>
      <c r="F8374" t="s">
        <v>88</v>
      </c>
      <c r="G8374" t="s">
        <v>88</v>
      </c>
      <c r="H8374" t="s">
        <v>92</v>
      </c>
    </row>
    <row r="8375" spans="1:8" x14ac:dyDescent="0.25">
      <c r="A8375" t="s">
        <v>302</v>
      </c>
      <c r="B8375" t="s">
        <v>7156</v>
      </c>
      <c r="C8375" t="s">
        <v>88</v>
      </c>
      <c r="D8375" t="s">
        <v>88</v>
      </c>
      <c r="E8375" t="s">
        <v>663</v>
      </c>
      <c r="F8375" t="s">
        <v>88</v>
      </c>
      <c r="G8375" t="s">
        <v>88</v>
      </c>
      <c r="H8375" t="s">
        <v>92</v>
      </c>
    </row>
    <row r="8376" spans="1:8" x14ac:dyDescent="0.25">
      <c r="A8376" t="s">
        <v>302</v>
      </c>
      <c r="B8376" t="s">
        <v>7157</v>
      </c>
      <c r="C8376" t="s">
        <v>88</v>
      </c>
      <c r="D8376" t="s">
        <v>88</v>
      </c>
      <c r="E8376" t="s">
        <v>663</v>
      </c>
      <c r="F8376" t="s">
        <v>88</v>
      </c>
      <c r="G8376" t="s">
        <v>88</v>
      </c>
      <c r="H8376" t="s">
        <v>92</v>
      </c>
    </row>
    <row r="8377" spans="1:8" x14ac:dyDescent="0.25">
      <c r="A8377" t="s">
        <v>302</v>
      </c>
      <c r="B8377" t="s">
        <v>7158</v>
      </c>
      <c r="C8377" t="s">
        <v>88</v>
      </c>
      <c r="D8377" t="s">
        <v>88</v>
      </c>
      <c r="E8377" t="s">
        <v>663</v>
      </c>
      <c r="F8377" t="s">
        <v>88</v>
      </c>
      <c r="G8377" t="s">
        <v>88</v>
      </c>
      <c r="H8377" t="s">
        <v>92</v>
      </c>
    </row>
    <row r="8378" spans="1:8" x14ac:dyDescent="0.25">
      <c r="A8378" t="s">
        <v>302</v>
      </c>
      <c r="B8378" t="s">
        <v>7159</v>
      </c>
      <c r="C8378" t="s">
        <v>88</v>
      </c>
      <c r="D8378" t="s">
        <v>88</v>
      </c>
      <c r="E8378" t="s">
        <v>780</v>
      </c>
      <c r="F8378" t="s">
        <v>88</v>
      </c>
      <c r="G8378" t="s">
        <v>88</v>
      </c>
      <c r="H8378" t="s">
        <v>92</v>
      </c>
    </row>
    <row r="8379" spans="1:8" x14ac:dyDescent="0.25">
      <c r="A8379" t="s">
        <v>302</v>
      </c>
      <c r="B8379" t="s">
        <v>7109</v>
      </c>
      <c r="C8379" t="s">
        <v>88</v>
      </c>
      <c r="D8379" t="s">
        <v>88</v>
      </c>
      <c r="E8379" t="s">
        <v>937</v>
      </c>
      <c r="F8379" t="s">
        <v>88</v>
      </c>
      <c r="G8379" t="s">
        <v>88</v>
      </c>
      <c r="H8379" t="s">
        <v>92</v>
      </c>
    </row>
    <row r="8380" spans="1:8" x14ac:dyDescent="0.25">
      <c r="A8380" t="s">
        <v>302</v>
      </c>
      <c r="B8380" t="s">
        <v>5226</v>
      </c>
      <c r="C8380" t="s">
        <v>88</v>
      </c>
      <c r="D8380" t="s">
        <v>88</v>
      </c>
      <c r="E8380" t="s">
        <v>780</v>
      </c>
      <c r="F8380" t="s">
        <v>88</v>
      </c>
      <c r="G8380" t="s">
        <v>88</v>
      </c>
      <c r="H8380" t="s">
        <v>92</v>
      </c>
    </row>
    <row r="8381" spans="1:8" x14ac:dyDescent="0.25">
      <c r="A8381" t="s">
        <v>302</v>
      </c>
      <c r="B8381" t="s">
        <v>7160</v>
      </c>
      <c r="C8381" t="s">
        <v>88</v>
      </c>
      <c r="D8381" t="s">
        <v>88</v>
      </c>
      <c r="E8381" t="s">
        <v>780</v>
      </c>
      <c r="F8381" t="s">
        <v>88</v>
      </c>
      <c r="G8381" t="s">
        <v>88</v>
      </c>
      <c r="H8381" t="s">
        <v>92</v>
      </c>
    </row>
    <row r="8382" spans="1:8" x14ac:dyDescent="0.25">
      <c r="A8382" t="s">
        <v>302</v>
      </c>
      <c r="B8382" t="s">
        <v>7161</v>
      </c>
      <c r="C8382" t="s">
        <v>88</v>
      </c>
      <c r="D8382" t="s">
        <v>88</v>
      </c>
      <c r="E8382" t="s">
        <v>715</v>
      </c>
      <c r="F8382" t="s">
        <v>88</v>
      </c>
      <c r="G8382" t="s">
        <v>88</v>
      </c>
      <c r="H8382" t="s">
        <v>92</v>
      </c>
    </row>
    <row r="8383" spans="1:8" x14ac:dyDescent="0.25">
      <c r="A8383" t="s">
        <v>302</v>
      </c>
      <c r="B8383" t="s">
        <v>7142</v>
      </c>
      <c r="C8383" t="s">
        <v>88</v>
      </c>
      <c r="D8383" t="s">
        <v>88</v>
      </c>
      <c r="E8383" t="s">
        <v>710</v>
      </c>
      <c r="F8383" t="s">
        <v>88</v>
      </c>
      <c r="G8383" t="s">
        <v>88</v>
      </c>
      <c r="H8383" t="s">
        <v>92</v>
      </c>
    </row>
    <row r="8384" spans="1:8" x14ac:dyDescent="0.25">
      <c r="A8384" t="s">
        <v>302</v>
      </c>
      <c r="B8384" t="s">
        <v>7162</v>
      </c>
      <c r="C8384" t="s">
        <v>88</v>
      </c>
      <c r="D8384" t="s">
        <v>88</v>
      </c>
      <c r="E8384" t="s">
        <v>964</v>
      </c>
      <c r="F8384" t="s">
        <v>88</v>
      </c>
      <c r="G8384" t="s">
        <v>88</v>
      </c>
      <c r="H8384" t="s">
        <v>92</v>
      </c>
    </row>
    <row r="8385" spans="1:8" x14ac:dyDescent="0.25">
      <c r="A8385" t="s">
        <v>302</v>
      </c>
      <c r="B8385" t="s">
        <v>7163</v>
      </c>
      <c r="C8385" t="s">
        <v>88</v>
      </c>
      <c r="D8385" t="s">
        <v>1109</v>
      </c>
      <c r="E8385" t="s">
        <v>964</v>
      </c>
      <c r="F8385" t="s">
        <v>88</v>
      </c>
      <c r="G8385" t="s">
        <v>88</v>
      </c>
      <c r="H8385" t="s">
        <v>92</v>
      </c>
    </row>
    <row r="8386" spans="1:8" x14ac:dyDescent="0.25">
      <c r="A8386" t="s">
        <v>302</v>
      </c>
      <c r="B8386" t="s">
        <v>7114</v>
      </c>
      <c r="C8386" t="s">
        <v>88</v>
      </c>
      <c r="D8386" t="s">
        <v>88</v>
      </c>
      <c r="E8386" t="s">
        <v>2513</v>
      </c>
      <c r="F8386" t="s">
        <v>88</v>
      </c>
      <c r="G8386" t="s">
        <v>88</v>
      </c>
      <c r="H8386" t="s">
        <v>92</v>
      </c>
    </row>
    <row r="8387" spans="1:8" x14ac:dyDescent="0.25">
      <c r="A8387" t="s">
        <v>302</v>
      </c>
      <c r="B8387" t="s">
        <v>7115</v>
      </c>
      <c r="C8387" t="s">
        <v>88</v>
      </c>
      <c r="D8387" t="s">
        <v>88</v>
      </c>
      <c r="E8387" t="s">
        <v>1221</v>
      </c>
      <c r="F8387" t="s">
        <v>88</v>
      </c>
      <c r="G8387" t="s">
        <v>88</v>
      </c>
      <c r="H8387" t="s">
        <v>92</v>
      </c>
    </row>
    <row r="8388" spans="1:8" x14ac:dyDescent="0.25">
      <c r="A8388" t="s">
        <v>302</v>
      </c>
      <c r="B8388" t="s">
        <v>7113</v>
      </c>
      <c r="C8388" t="s">
        <v>88</v>
      </c>
      <c r="D8388" t="s">
        <v>88</v>
      </c>
      <c r="E8388" t="s">
        <v>1221</v>
      </c>
      <c r="F8388" t="s">
        <v>88</v>
      </c>
      <c r="G8388" t="s">
        <v>88</v>
      </c>
      <c r="H8388" t="s">
        <v>92</v>
      </c>
    </row>
    <row r="8389" spans="1:8" x14ac:dyDescent="0.25">
      <c r="A8389" t="s">
        <v>302</v>
      </c>
      <c r="B8389" t="s">
        <v>7059</v>
      </c>
      <c r="C8389" t="s">
        <v>88</v>
      </c>
      <c r="D8389" t="s">
        <v>88</v>
      </c>
      <c r="E8389" t="s">
        <v>780</v>
      </c>
      <c r="F8389" t="s">
        <v>88</v>
      </c>
      <c r="G8389" t="s">
        <v>88</v>
      </c>
      <c r="H8389" t="s">
        <v>92</v>
      </c>
    </row>
    <row r="8390" spans="1:8" x14ac:dyDescent="0.25">
      <c r="A8390" t="s">
        <v>302</v>
      </c>
      <c r="B8390" t="s">
        <v>7057</v>
      </c>
      <c r="C8390" t="s">
        <v>88</v>
      </c>
      <c r="D8390" t="s">
        <v>88</v>
      </c>
      <c r="E8390" t="s">
        <v>1221</v>
      </c>
      <c r="F8390" t="s">
        <v>88</v>
      </c>
      <c r="G8390" t="s">
        <v>88</v>
      </c>
      <c r="H8390" t="s">
        <v>92</v>
      </c>
    </row>
    <row r="8391" spans="1:8" x14ac:dyDescent="0.25">
      <c r="A8391" t="s">
        <v>302</v>
      </c>
      <c r="B8391" t="s">
        <v>7058</v>
      </c>
      <c r="C8391" t="s">
        <v>88</v>
      </c>
      <c r="D8391" t="s">
        <v>88</v>
      </c>
      <c r="E8391" t="s">
        <v>1221</v>
      </c>
      <c r="F8391" t="s">
        <v>88</v>
      </c>
      <c r="G8391" t="s">
        <v>88</v>
      </c>
      <c r="H8391" t="s">
        <v>92</v>
      </c>
    </row>
    <row r="8392" spans="1:8" x14ac:dyDescent="0.25">
      <c r="A8392" t="s">
        <v>302</v>
      </c>
      <c r="B8392" t="s">
        <v>7164</v>
      </c>
      <c r="C8392" t="s">
        <v>88</v>
      </c>
      <c r="D8392" t="s">
        <v>88</v>
      </c>
      <c r="E8392" t="s">
        <v>692</v>
      </c>
      <c r="F8392" t="s">
        <v>88</v>
      </c>
      <c r="G8392" t="s">
        <v>88</v>
      </c>
      <c r="H8392" t="s">
        <v>92</v>
      </c>
    </row>
    <row r="8393" spans="1:8" x14ac:dyDescent="0.25">
      <c r="A8393" t="s">
        <v>302</v>
      </c>
      <c r="B8393" t="s">
        <v>7055</v>
      </c>
      <c r="C8393" t="s">
        <v>88</v>
      </c>
      <c r="D8393" t="s">
        <v>7056</v>
      </c>
      <c r="E8393" t="s">
        <v>844</v>
      </c>
      <c r="F8393" t="s">
        <v>88</v>
      </c>
      <c r="G8393" t="s">
        <v>88</v>
      </c>
      <c r="H8393" t="s">
        <v>92</v>
      </c>
    </row>
    <row r="8394" spans="1:8" x14ac:dyDescent="0.25">
      <c r="A8394" t="s">
        <v>302</v>
      </c>
      <c r="B8394" t="s">
        <v>7143</v>
      </c>
      <c r="C8394" t="s">
        <v>88</v>
      </c>
      <c r="D8394" t="s">
        <v>88</v>
      </c>
      <c r="E8394" t="s">
        <v>655</v>
      </c>
      <c r="F8394" t="s">
        <v>88</v>
      </c>
      <c r="G8394" t="s">
        <v>88</v>
      </c>
      <c r="H8394" t="s">
        <v>92</v>
      </c>
    </row>
    <row r="8395" spans="1:8" x14ac:dyDescent="0.25">
      <c r="A8395" t="s">
        <v>302</v>
      </c>
      <c r="B8395" t="s">
        <v>7165</v>
      </c>
      <c r="C8395" t="s">
        <v>88</v>
      </c>
      <c r="D8395" t="s">
        <v>88</v>
      </c>
      <c r="E8395" t="s">
        <v>825</v>
      </c>
      <c r="F8395" t="s">
        <v>88</v>
      </c>
      <c r="G8395" t="s">
        <v>88</v>
      </c>
      <c r="H8395" t="s">
        <v>92</v>
      </c>
    </row>
    <row r="8396" spans="1:8" x14ac:dyDescent="0.25">
      <c r="A8396" t="s">
        <v>302</v>
      </c>
      <c r="B8396" t="s">
        <v>7166</v>
      </c>
      <c r="C8396" t="s">
        <v>88</v>
      </c>
      <c r="D8396" t="s">
        <v>1109</v>
      </c>
      <c r="E8396" t="s">
        <v>825</v>
      </c>
      <c r="F8396" t="s">
        <v>88</v>
      </c>
      <c r="G8396" t="s">
        <v>88</v>
      </c>
      <c r="H8396" t="s">
        <v>92</v>
      </c>
    </row>
    <row r="8397" spans="1:8" x14ac:dyDescent="0.25">
      <c r="A8397" t="s">
        <v>302</v>
      </c>
      <c r="B8397" t="s">
        <v>7167</v>
      </c>
      <c r="C8397" t="s">
        <v>88</v>
      </c>
      <c r="D8397" t="s">
        <v>88</v>
      </c>
      <c r="E8397" t="s">
        <v>1714</v>
      </c>
      <c r="F8397" t="s">
        <v>88</v>
      </c>
      <c r="G8397" t="s">
        <v>88</v>
      </c>
      <c r="H8397" t="s">
        <v>92</v>
      </c>
    </row>
    <row r="8398" spans="1:8" x14ac:dyDescent="0.25">
      <c r="A8398" t="s">
        <v>302</v>
      </c>
      <c r="B8398" t="s">
        <v>7168</v>
      </c>
      <c r="C8398" t="s">
        <v>88</v>
      </c>
      <c r="D8398" t="s">
        <v>1109</v>
      </c>
      <c r="E8398" t="s">
        <v>1714</v>
      </c>
      <c r="F8398" t="s">
        <v>88</v>
      </c>
      <c r="G8398" t="s">
        <v>88</v>
      </c>
      <c r="H8398" t="s">
        <v>92</v>
      </c>
    </row>
    <row r="8399" spans="1:8" x14ac:dyDescent="0.25">
      <c r="A8399" t="s">
        <v>302</v>
      </c>
      <c r="B8399" t="s">
        <v>7169</v>
      </c>
      <c r="C8399" t="s">
        <v>88</v>
      </c>
      <c r="D8399" t="s">
        <v>88</v>
      </c>
      <c r="E8399" t="s">
        <v>812</v>
      </c>
      <c r="F8399" t="s">
        <v>88</v>
      </c>
      <c r="G8399" t="s">
        <v>88</v>
      </c>
      <c r="H8399" t="s">
        <v>92</v>
      </c>
    </row>
    <row r="8400" spans="1:8" x14ac:dyDescent="0.25">
      <c r="A8400" t="s">
        <v>302</v>
      </c>
      <c r="B8400" t="s">
        <v>7170</v>
      </c>
      <c r="C8400" t="s">
        <v>88</v>
      </c>
      <c r="D8400" t="s">
        <v>1109</v>
      </c>
      <c r="E8400" t="s">
        <v>812</v>
      </c>
      <c r="F8400" t="s">
        <v>88</v>
      </c>
      <c r="G8400" t="s">
        <v>88</v>
      </c>
      <c r="H8400" t="s">
        <v>92</v>
      </c>
    </row>
    <row r="8401" spans="1:8" x14ac:dyDescent="0.25">
      <c r="A8401" t="s">
        <v>302</v>
      </c>
      <c r="B8401" t="s">
        <v>7171</v>
      </c>
      <c r="C8401" t="s">
        <v>88</v>
      </c>
      <c r="D8401" t="s">
        <v>1109</v>
      </c>
      <c r="E8401" t="s">
        <v>814</v>
      </c>
      <c r="F8401" t="s">
        <v>88</v>
      </c>
      <c r="G8401" t="s">
        <v>88</v>
      </c>
      <c r="H8401" t="s">
        <v>92</v>
      </c>
    </row>
    <row r="8402" spans="1:8" x14ac:dyDescent="0.25">
      <c r="A8402" t="s">
        <v>302</v>
      </c>
      <c r="B8402" t="s">
        <v>7172</v>
      </c>
      <c r="C8402" t="s">
        <v>88</v>
      </c>
      <c r="D8402" t="s">
        <v>88</v>
      </c>
      <c r="E8402" t="s">
        <v>814</v>
      </c>
      <c r="F8402" t="s">
        <v>88</v>
      </c>
      <c r="G8402" t="s">
        <v>88</v>
      </c>
      <c r="H8402" t="s">
        <v>92</v>
      </c>
    </row>
    <row r="8403" spans="1:8" x14ac:dyDescent="0.25">
      <c r="A8403" t="s">
        <v>302</v>
      </c>
      <c r="B8403" t="s">
        <v>7107</v>
      </c>
      <c r="C8403" t="s">
        <v>88</v>
      </c>
      <c r="D8403" t="s">
        <v>88</v>
      </c>
      <c r="E8403" t="s">
        <v>1068</v>
      </c>
      <c r="F8403" t="s">
        <v>88</v>
      </c>
      <c r="G8403" t="s">
        <v>88</v>
      </c>
      <c r="H8403" t="s">
        <v>92</v>
      </c>
    </row>
    <row r="8404" spans="1:8" x14ac:dyDescent="0.25">
      <c r="A8404" t="s">
        <v>302</v>
      </c>
      <c r="B8404" t="s">
        <v>7104</v>
      </c>
      <c r="C8404" t="s">
        <v>88</v>
      </c>
      <c r="D8404" t="s">
        <v>88</v>
      </c>
      <c r="E8404" t="s">
        <v>1068</v>
      </c>
      <c r="F8404" t="s">
        <v>88</v>
      </c>
      <c r="G8404" t="s">
        <v>88</v>
      </c>
      <c r="H8404" t="s">
        <v>92</v>
      </c>
    </row>
    <row r="8405" spans="1:8" x14ac:dyDescent="0.25">
      <c r="A8405" t="s">
        <v>302</v>
      </c>
      <c r="B8405" t="s">
        <v>7108</v>
      </c>
      <c r="C8405" t="s">
        <v>88</v>
      </c>
      <c r="D8405" t="s">
        <v>7173</v>
      </c>
      <c r="E8405" t="s">
        <v>641</v>
      </c>
      <c r="F8405" t="s">
        <v>88</v>
      </c>
      <c r="G8405" t="s">
        <v>88</v>
      </c>
      <c r="H8405" t="s">
        <v>92</v>
      </c>
    </row>
    <row r="8406" spans="1:8" x14ac:dyDescent="0.25">
      <c r="A8406" t="s">
        <v>302</v>
      </c>
      <c r="B8406" t="s">
        <v>7103</v>
      </c>
      <c r="C8406" t="s">
        <v>88</v>
      </c>
      <c r="D8406" t="s">
        <v>88</v>
      </c>
      <c r="E8406" t="s">
        <v>641</v>
      </c>
      <c r="F8406" t="s">
        <v>88</v>
      </c>
      <c r="G8406" t="s">
        <v>88</v>
      </c>
      <c r="H8406" t="s">
        <v>92</v>
      </c>
    </row>
    <row r="8407" spans="1:8" x14ac:dyDescent="0.25">
      <c r="A8407" t="s">
        <v>302</v>
      </c>
      <c r="B8407" t="s">
        <v>7099</v>
      </c>
      <c r="C8407" t="s">
        <v>88</v>
      </c>
      <c r="D8407" t="s">
        <v>88</v>
      </c>
      <c r="E8407" t="s">
        <v>641</v>
      </c>
      <c r="F8407" t="s">
        <v>88</v>
      </c>
      <c r="G8407" t="s">
        <v>88</v>
      </c>
      <c r="H8407" t="s">
        <v>92</v>
      </c>
    </row>
    <row r="8408" spans="1:8" x14ac:dyDescent="0.25">
      <c r="A8408" t="s">
        <v>302</v>
      </c>
      <c r="B8408" t="s">
        <v>7100</v>
      </c>
      <c r="C8408" t="s">
        <v>88</v>
      </c>
      <c r="D8408" t="s">
        <v>88</v>
      </c>
      <c r="E8408" t="s">
        <v>805</v>
      </c>
      <c r="F8408" t="s">
        <v>88</v>
      </c>
      <c r="G8408" t="s">
        <v>88</v>
      </c>
      <c r="H8408" t="s">
        <v>92</v>
      </c>
    </row>
    <row r="8409" spans="1:8" x14ac:dyDescent="0.25">
      <c r="A8409" t="s">
        <v>302</v>
      </c>
      <c r="B8409" t="s">
        <v>7174</v>
      </c>
      <c r="C8409" t="s">
        <v>88</v>
      </c>
      <c r="D8409" t="s">
        <v>88</v>
      </c>
      <c r="E8409" t="s">
        <v>641</v>
      </c>
      <c r="F8409" t="s">
        <v>88</v>
      </c>
      <c r="G8409" t="s">
        <v>88</v>
      </c>
      <c r="H8409" t="s">
        <v>92</v>
      </c>
    </row>
    <row r="8410" spans="1:8" x14ac:dyDescent="0.25">
      <c r="A8410" t="s">
        <v>302</v>
      </c>
      <c r="B8410" t="s">
        <v>7102</v>
      </c>
      <c r="C8410" t="s">
        <v>88</v>
      </c>
      <c r="D8410" t="s">
        <v>88</v>
      </c>
      <c r="E8410" t="s">
        <v>641</v>
      </c>
      <c r="F8410" t="s">
        <v>88</v>
      </c>
      <c r="G8410" t="s">
        <v>88</v>
      </c>
      <c r="H8410" t="s">
        <v>92</v>
      </c>
    </row>
    <row r="8411" spans="1:8" x14ac:dyDescent="0.25">
      <c r="A8411" t="s">
        <v>302</v>
      </c>
      <c r="B8411" t="s">
        <v>7105</v>
      </c>
      <c r="C8411" t="s">
        <v>88</v>
      </c>
      <c r="D8411" t="s">
        <v>7175</v>
      </c>
      <c r="E8411" t="s">
        <v>4796</v>
      </c>
      <c r="F8411" t="s">
        <v>88</v>
      </c>
      <c r="G8411" t="s">
        <v>88</v>
      </c>
      <c r="H8411" t="s">
        <v>92</v>
      </c>
    </row>
    <row r="8412" spans="1:8" x14ac:dyDescent="0.25">
      <c r="A8412" t="s">
        <v>302</v>
      </c>
      <c r="B8412" t="s">
        <v>7098</v>
      </c>
      <c r="C8412" t="s">
        <v>88</v>
      </c>
      <c r="D8412" t="s">
        <v>7176</v>
      </c>
      <c r="E8412" t="s">
        <v>641</v>
      </c>
      <c r="F8412" t="s">
        <v>88</v>
      </c>
      <c r="G8412" t="s">
        <v>88</v>
      </c>
      <c r="H8412" t="s">
        <v>92</v>
      </c>
    </row>
    <row r="8413" spans="1:8" x14ac:dyDescent="0.25">
      <c r="A8413" t="s">
        <v>302</v>
      </c>
      <c r="B8413" t="s">
        <v>7101</v>
      </c>
      <c r="C8413" t="s">
        <v>88</v>
      </c>
      <c r="D8413" t="s">
        <v>88</v>
      </c>
      <c r="E8413" t="s">
        <v>641</v>
      </c>
      <c r="F8413" t="s">
        <v>88</v>
      </c>
      <c r="G8413" t="s">
        <v>88</v>
      </c>
      <c r="H8413" t="s">
        <v>92</v>
      </c>
    </row>
    <row r="8414" spans="1:8" x14ac:dyDescent="0.25">
      <c r="A8414" t="s">
        <v>302</v>
      </c>
      <c r="B8414" t="s">
        <v>7177</v>
      </c>
      <c r="C8414" t="s">
        <v>88</v>
      </c>
      <c r="D8414" t="s">
        <v>7178</v>
      </c>
      <c r="E8414" t="s">
        <v>803</v>
      </c>
      <c r="F8414" t="s">
        <v>88</v>
      </c>
      <c r="G8414" t="s">
        <v>88</v>
      </c>
      <c r="H8414" t="s">
        <v>92</v>
      </c>
    </row>
    <row r="8415" spans="1:8" x14ac:dyDescent="0.25">
      <c r="A8415" t="s">
        <v>302</v>
      </c>
      <c r="B8415" t="s">
        <v>7096</v>
      </c>
      <c r="C8415" t="s">
        <v>88</v>
      </c>
      <c r="D8415" t="s">
        <v>88</v>
      </c>
      <c r="E8415" t="s">
        <v>814</v>
      </c>
      <c r="F8415" t="s">
        <v>88</v>
      </c>
      <c r="G8415" t="s">
        <v>88</v>
      </c>
      <c r="H8415" t="s">
        <v>92</v>
      </c>
    </row>
    <row r="8416" spans="1:8" x14ac:dyDescent="0.25">
      <c r="A8416" t="s">
        <v>302</v>
      </c>
      <c r="B8416" t="s">
        <v>7093</v>
      </c>
      <c r="C8416" t="s">
        <v>88</v>
      </c>
      <c r="D8416" t="s">
        <v>88</v>
      </c>
      <c r="E8416" t="s">
        <v>812</v>
      </c>
      <c r="F8416" t="s">
        <v>88</v>
      </c>
      <c r="G8416" t="s">
        <v>88</v>
      </c>
      <c r="H8416" t="s">
        <v>92</v>
      </c>
    </row>
    <row r="8417" spans="1:8" x14ac:dyDescent="0.25">
      <c r="A8417" t="s">
        <v>302</v>
      </c>
      <c r="B8417" t="s">
        <v>7097</v>
      </c>
      <c r="C8417" t="s">
        <v>88</v>
      </c>
      <c r="D8417" t="s">
        <v>7173</v>
      </c>
      <c r="E8417" t="s">
        <v>1171</v>
      </c>
      <c r="F8417" t="s">
        <v>88</v>
      </c>
      <c r="G8417" t="s">
        <v>88</v>
      </c>
      <c r="H8417" t="s">
        <v>92</v>
      </c>
    </row>
    <row r="8418" spans="1:8" x14ac:dyDescent="0.25">
      <c r="A8418" t="s">
        <v>302</v>
      </c>
      <c r="B8418" t="s">
        <v>7092</v>
      </c>
      <c r="C8418" t="s">
        <v>88</v>
      </c>
      <c r="D8418" t="s">
        <v>88</v>
      </c>
      <c r="E8418" t="s">
        <v>1171</v>
      </c>
      <c r="F8418" t="s">
        <v>88</v>
      </c>
      <c r="G8418" t="s">
        <v>88</v>
      </c>
      <c r="H8418" t="s">
        <v>92</v>
      </c>
    </row>
    <row r="8419" spans="1:8" x14ac:dyDescent="0.25">
      <c r="A8419" t="s">
        <v>302</v>
      </c>
      <c r="B8419" t="s">
        <v>7088</v>
      </c>
      <c r="C8419" t="s">
        <v>88</v>
      </c>
      <c r="D8419" t="s">
        <v>88</v>
      </c>
      <c r="E8419" t="s">
        <v>1068</v>
      </c>
      <c r="F8419" t="s">
        <v>88</v>
      </c>
      <c r="G8419" t="s">
        <v>88</v>
      </c>
      <c r="H8419" t="s">
        <v>92</v>
      </c>
    </row>
    <row r="8420" spans="1:8" x14ac:dyDescent="0.25">
      <c r="A8420" t="s">
        <v>302</v>
      </c>
      <c r="B8420" t="s">
        <v>7089</v>
      </c>
      <c r="C8420" t="s">
        <v>88</v>
      </c>
      <c r="D8420" t="s">
        <v>88</v>
      </c>
      <c r="E8420" t="s">
        <v>807</v>
      </c>
      <c r="F8420" t="s">
        <v>88</v>
      </c>
      <c r="G8420" t="s">
        <v>88</v>
      </c>
      <c r="H8420" t="s">
        <v>92</v>
      </c>
    </row>
    <row r="8421" spans="1:8" x14ac:dyDescent="0.25">
      <c r="A8421" t="s">
        <v>302</v>
      </c>
      <c r="B8421" t="s">
        <v>7095</v>
      </c>
      <c r="C8421" t="s">
        <v>88</v>
      </c>
      <c r="D8421" t="s">
        <v>88</v>
      </c>
      <c r="E8421" t="s">
        <v>1068</v>
      </c>
      <c r="F8421" t="s">
        <v>88</v>
      </c>
      <c r="G8421" t="s">
        <v>88</v>
      </c>
      <c r="H8421" t="s">
        <v>92</v>
      </c>
    </row>
    <row r="8422" spans="1:8" x14ac:dyDescent="0.25">
      <c r="A8422" t="s">
        <v>302</v>
      </c>
      <c r="B8422" t="s">
        <v>7091</v>
      </c>
      <c r="C8422" t="s">
        <v>88</v>
      </c>
      <c r="D8422" t="s">
        <v>88</v>
      </c>
      <c r="E8422" t="s">
        <v>1137</v>
      </c>
      <c r="F8422" t="s">
        <v>88</v>
      </c>
      <c r="G8422" t="s">
        <v>88</v>
      </c>
      <c r="H8422" t="s">
        <v>92</v>
      </c>
    </row>
    <row r="8423" spans="1:8" x14ac:dyDescent="0.25">
      <c r="A8423" t="s">
        <v>302</v>
      </c>
      <c r="B8423" t="s">
        <v>7094</v>
      </c>
      <c r="C8423" t="s">
        <v>88</v>
      </c>
      <c r="D8423" t="s">
        <v>7175</v>
      </c>
      <c r="E8423" t="s">
        <v>1068</v>
      </c>
      <c r="F8423" t="s">
        <v>88</v>
      </c>
      <c r="G8423" t="s">
        <v>88</v>
      </c>
      <c r="H8423" t="s">
        <v>92</v>
      </c>
    </row>
    <row r="8424" spans="1:8" x14ac:dyDescent="0.25">
      <c r="A8424" t="s">
        <v>302</v>
      </c>
      <c r="B8424" t="s">
        <v>7087</v>
      </c>
      <c r="C8424" t="s">
        <v>88</v>
      </c>
      <c r="D8424" t="s">
        <v>7176</v>
      </c>
      <c r="E8424" t="s">
        <v>1068</v>
      </c>
      <c r="F8424" t="s">
        <v>88</v>
      </c>
      <c r="G8424" t="s">
        <v>88</v>
      </c>
      <c r="H8424" t="s">
        <v>92</v>
      </c>
    </row>
    <row r="8425" spans="1:8" x14ac:dyDescent="0.25">
      <c r="A8425" t="s">
        <v>302</v>
      </c>
      <c r="B8425" t="s">
        <v>7090</v>
      </c>
      <c r="C8425" t="s">
        <v>88</v>
      </c>
      <c r="D8425" t="s">
        <v>88</v>
      </c>
      <c r="E8425" t="s">
        <v>1068</v>
      </c>
      <c r="F8425" t="s">
        <v>88</v>
      </c>
      <c r="G8425" t="s">
        <v>88</v>
      </c>
      <c r="H8425" t="s">
        <v>92</v>
      </c>
    </row>
    <row r="8426" spans="1:8" x14ac:dyDescent="0.25">
      <c r="A8426" t="s">
        <v>302</v>
      </c>
      <c r="B8426" t="s">
        <v>7179</v>
      </c>
      <c r="C8426" t="s">
        <v>88</v>
      </c>
      <c r="D8426" t="s">
        <v>7180</v>
      </c>
      <c r="E8426" t="s">
        <v>1068</v>
      </c>
      <c r="F8426" t="s">
        <v>88</v>
      </c>
      <c r="G8426" t="s">
        <v>88</v>
      </c>
      <c r="H8426" t="s">
        <v>92</v>
      </c>
    </row>
    <row r="8427" spans="1:8" x14ac:dyDescent="0.25">
      <c r="A8427" t="s">
        <v>302</v>
      </c>
      <c r="B8427" t="s">
        <v>7085</v>
      </c>
      <c r="C8427" t="s">
        <v>88</v>
      </c>
      <c r="D8427" t="s">
        <v>88</v>
      </c>
      <c r="E8427" t="s">
        <v>676</v>
      </c>
      <c r="F8427" t="s">
        <v>88</v>
      </c>
      <c r="G8427" t="s">
        <v>88</v>
      </c>
      <c r="H8427" t="s">
        <v>92</v>
      </c>
    </row>
    <row r="8428" spans="1:8" x14ac:dyDescent="0.25">
      <c r="A8428" t="s">
        <v>302</v>
      </c>
      <c r="B8428" t="s">
        <v>7082</v>
      </c>
      <c r="C8428" t="s">
        <v>88</v>
      </c>
      <c r="D8428" t="s">
        <v>88</v>
      </c>
      <c r="E8428" t="s">
        <v>676</v>
      </c>
      <c r="F8428" t="s">
        <v>88</v>
      </c>
      <c r="G8428" t="s">
        <v>88</v>
      </c>
      <c r="H8428" t="s">
        <v>92</v>
      </c>
    </row>
    <row r="8429" spans="1:8" x14ac:dyDescent="0.25">
      <c r="A8429" t="s">
        <v>302</v>
      </c>
      <c r="B8429" t="s">
        <v>7086</v>
      </c>
      <c r="C8429" t="s">
        <v>88</v>
      </c>
      <c r="D8429" t="s">
        <v>7173</v>
      </c>
      <c r="E8429" t="s">
        <v>841</v>
      </c>
      <c r="F8429" t="s">
        <v>88</v>
      </c>
      <c r="G8429" t="s">
        <v>88</v>
      </c>
      <c r="H8429" t="s">
        <v>92</v>
      </c>
    </row>
    <row r="8430" spans="1:8" x14ac:dyDescent="0.25">
      <c r="A8430" t="s">
        <v>302</v>
      </c>
      <c r="B8430" t="s">
        <v>7081</v>
      </c>
      <c r="C8430" t="s">
        <v>88</v>
      </c>
      <c r="D8430" t="s">
        <v>88</v>
      </c>
      <c r="E8430" t="s">
        <v>841</v>
      </c>
      <c r="F8430" t="s">
        <v>88</v>
      </c>
      <c r="G8430" t="s">
        <v>88</v>
      </c>
      <c r="H8430" t="s">
        <v>92</v>
      </c>
    </row>
    <row r="8431" spans="1:8" x14ac:dyDescent="0.25">
      <c r="A8431" t="s">
        <v>302</v>
      </c>
      <c r="B8431" t="s">
        <v>7078</v>
      </c>
      <c r="C8431" t="s">
        <v>88</v>
      </c>
      <c r="D8431" t="s">
        <v>88</v>
      </c>
      <c r="E8431" t="s">
        <v>1714</v>
      </c>
      <c r="F8431" t="s">
        <v>88</v>
      </c>
      <c r="G8431" t="s">
        <v>88</v>
      </c>
      <c r="H8431" t="s">
        <v>92</v>
      </c>
    </row>
    <row r="8432" spans="1:8" x14ac:dyDescent="0.25">
      <c r="A8432" t="s">
        <v>302</v>
      </c>
      <c r="B8432" t="s">
        <v>7079</v>
      </c>
      <c r="C8432" t="s">
        <v>88</v>
      </c>
      <c r="D8432" t="s">
        <v>88</v>
      </c>
      <c r="E8432" t="s">
        <v>1714</v>
      </c>
      <c r="F8432" t="s">
        <v>88</v>
      </c>
      <c r="G8432" t="s">
        <v>88</v>
      </c>
      <c r="H8432" t="s">
        <v>92</v>
      </c>
    </row>
    <row r="8433" spans="1:8" x14ac:dyDescent="0.25">
      <c r="A8433" t="s">
        <v>302</v>
      </c>
      <c r="B8433" t="s">
        <v>7084</v>
      </c>
      <c r="C8433" t="s">
        <v>88</v>
      </c>
      <c r="D8433" t="s">
        <v>88</v>
      </c>
      <c r="E8433" t="s">
        <v>1714</v>
      </c>
      <c r="F8433" t="s">
        <v>88</v>
      </c>
      <c r="G8433" t="s">
        <v>88</v>
      </c>
      <c r="H8433" t="s">
        <v>92</v>
      </c>
    </row>
    <row r="8434" spans="1:8" x14ac:dyDescent="0.25">
      <c r="A8434" t="s">
        <v>302</v>
      </c>
      <c r="B8434" t="s">
        <v>7080</v>
      </c>
      <c r="C8434" t="s">
        <v>88</v>
      </c>
      <c r="D8434" t="s">
        <v>88</v>
      </c>
      <c r="E8434" t="s">
        <v>841</v>
      </c>
      <c r="F8434" t="s">
        <v>88</v>
      </c>
      <c r="G8434" t="s">
        <v>88</v>
      </c>
      <c r="H8434" t="s">
        <v>92</v>
      </c>
    </row>
    <row r="8435" spans="1:8" x14ac:dyDescent="0.25">
      <c r="A8435" t="s">
        <v>302</v>
      </c>
      <c r="B8435" t="s">
        <v>7083</v>
      </c>
      <c r="C8435" t="s">
        <v>88</v>
      </c>
      <c r="D8435" t="s">
        <v>7175</v>
      </c>
      <c r="E8435" t="s">
        <v>1714</v>
      </c>
      <c r="F8435" t="s">
        <v>88</v>
      </c>
      <c r="G8435" t="s">
        <v>88</v>
      </c>
      <c r="H8435" t="s">
        <v>92</v>
      </c>
    </row>
    <row r="8436" spans="1:8" x14ac:dyDescent="0.25">
      <c r="A8436" t="s">
        <v>302</v>
      </c>
      <c r="B8436" t="s">
        <v>6936</v>
      </c>
      <c r="C8436" t="s">
        <v>88</v>
      </c>
      <c r="D8436" t="s">
        <v>88</v>
      </c>
      <c r="E8436" t="s">
        <v>1714</v>
      </c>
      <c r="F8436" t="s">
        <v>88</v>
      </c>
      <c r="G8436" t="s">
        <v>88</v>
      </c>
      <c r="H8436" t="s">
        <v>92</v>
      </c>
    </row>
    <row r="8437" spans="1:8" x14ac:dyDescent="0.25">
      <c r="A8437" t="s">
        <v>302</v>
      </c>
      <c r="B8437" t="s">
        <v>7181</v>
      </c>
      <c r="C8437" t="s">
        <v>88</v>
      </c>
      <c r="D8437" t="s">
        <v>7180</v>
      </c>
      <c r="E8437" t="s">
        <v>812</v>
      </c>
      <c r="F8437" t="s">
        <v>88</v>
      </c>
      <c r="G8437" t="s">
        <v>88</v>
      </c>
      <c r="H8437" t="s">
        <v>92</v>
      </c>
    </row>
    <row r="8438" spans="1:8" x14ac:dyDescent="0.25">
      <c r="A8438" t="s">
        <v>302</v>
      </c>
      <c r="B8438" t="s">
        <v>7077</v>
      </c>
      <c r="C8438" t="s">
        <v>88</v>
      </c>
      <c r="D8438" t="s">
        <v>88</v>
      </c>
      <c r="E8438" t="s">
        <v>1139</v>
      </c>
      <c r="F8438" t="s">
        <v>88</v>
      </c>
      <c r="G8438" t="s">
        <v>88</v>
      </c>
      <c r="H8438" t="s">
        <v>92</v>
      </c>
    </row>
    <row r="8439" spans="1:8" x14ac:dyDescent="0.25">
      <c r="A8439" t="s">
        <v>302</v>
      </c>
      <c r="B8439" t="s">
        <v>7075</v>
      </c>
      <c r="C8439" t="s">
        <v>88</v>
      </c>
      <c r="D8439" t="s">
        <v>88</v>
      </c>
      <c r="E8439" t="s">
        <v>1139</v>
      </c>
      <c r="F8439" t="s">
        <v>88</v>
      </c>
      <c r="G8439" t="s">
        <v>88</v>
      </c>
      <c r="H8439" t="s">
        <v>92</v>
      </c>
    </row>
    <row r="8440" spans="1:8" x14ac:dyDescent="0.25">
      <c r="A8440" t="s">
        <v>302</v>
      </c>
      <c r="B8440" t="s">
        <v>7073</v>
      </c>
      <c r="C8440" t="s">
        <v>88</v>
      </c>
      <c r="D8440" t="s">
        <v>7173</v>
      </c>
      <c r="E8440" t="s">
        <v>889</v>
      </c>
      <c r="F8440" t="s">
        <v>88</v>
      </c>
      <c r="G8440" t="s">
        <v>88</v>
      </c>
      <c r="H8440" t="s">
        <v>92</v>
      </c>
    </row>
    <row r="8441" spans="1:8" x14ac:dyDescent="0.25">
      <c r="A8441" t="s">
        <v>302</v>
      </c>
      <c r="B8441" t="s">
        <v>7074</v>
      </c>
      <c r="C8441" t="s">
        <v>88</v>
      </c>
      <c r="D8441" t="s">
        <v>88</v>
      </c>
      <c r="E8441" t="s">
        <v>889</v>
      </c>
      <c r="F8441" t="s">
        <v>88</v>
      </c>
      <c r="G8441" t="s">
        <v>88</v>
      </c>
      <c r="H8441" t="s">
        <v>92</v>
      </c>
    </row>
    <row r="8442" spans="1:8" x14ac:dyDescent="0.25">
      <c r="A8442" t="s">
        <v>302</v>
      </c>
      <c r="B8442" t="s">
        <v>7070</v>
      </c>
      <c r="C8442" t="s">
        <v>88</v>
      </c>
      <c r="D8442" t="s">
        <v>88</v>
      </c>
      <c r="E8442" t="s">
        <v>692</v>
      </c>
      <c r="F8442" t="s">
        <v>88</v>
      </c>
      <c r="G8442" t="s">
        <v>88</v>
      </c>
      <c r="H8442" t="s">
        <v>92</v>
      </c>
    </row>
    <row r="8443" spans="1:8" x14ac:dyDescent="0.25">
      <c r="A8443" t="s">
        <v>302</v>
      </c>
      <c r="B8443" t="s">
        <v>7071</v>
      </c>
      <c r="C8443" t="s">
        <v>88</v>
      </c>
      <c r="D8443" t="s">
        <v>88</v>
      </c>
      <c r="E8443" t="s">
        <v>844</v>
      </c>
      <c r="F8443" t="s">
        <v>88</v>
      </c>
      <c r="G8443" t="s">
        <v>88</v>
      </c>
      <c r="H8443" t="s">
        <v>92</v>
      </c>
    </row>
    <row r="8444" spans="1:8" x14ac:dyDescent="0.25">
      <c r="A8444" t="s">
        <v>302</v>
      </c>
      <c r="B8444" t="s">
        <v>7076</v>
      </c>
      <c r="C8444" t="s">
        <v>88</v>
      </c>
      <c r="D8444" t="s">
        <v>88</v>
      </c>
      <c r="E8444" t="s">
        <v>893</v>
      </c>
      <c r="F8444" t="s">
        <v>88</v>
      </c>
      <c r="G8444" t="s">
        <v>88</v>
      </c>
      <c r="H8444" t="s">
        <v>92</v>
      </c>
    </row>
    <row r="8445" spans="1:8" x14ac:dyDescent="0.25">
      <c r="A8445" t="s">
        <v>302</v>
      </c>
      <c r="B8445" t="s">
        <v>7182</v>
      </c>
      <c r="C8445" t="s">
        <v>88</v>
      </c>
      <c r="D8445" t="s">
        <v>88</v>
      </c>
      <c r="E8445" t="s">
        <v>889</v>
      </c>
      <c r="F8445" t="s">
        <v>88</v>
      </c>
      <c r="G8445" t="s">
        <v>88</v>
      </c>
      <c r="H8445" t="s">
        <v>92</v>
      </c>
    </row>
    <row r="8446" spans="1:8" x14ac:dyDescent="0.25">
      <c r="A8446" t="s">
        <v>302</v>
      </c>
      <c r="B8446" t="s">
        <v>7072</v>
      </c>
      <c r="C8446" t="s">
        <v>88</v>
      </c>
      <c r="D8446" t="s">
        <v>88</v>
      </c>
      <c r="E8446" t="s">
        <v>692</v>
      </c>
      <c r="F8446" t="s">
        <v>88</v>
      </c>
      <c r="G8446" t="s">
        <v>88</v>
      </c>
      <c r="H8446" t="s">
        <v>92</v>
      </c>
    </row>
    <row r="8447" spans="1:8" x14ac:dyDescent="0.25">
      <c r="A8447" t="s">
        <v>302</v>
      </c>
      <c r="B8447" t="s">
        <v>612</v>
      </c>
      <c r="C8447" t="s">
        <v>88</v>
      </c>
      <c r="D8447" t="s">
        <v>88</v>
      </c>
      <c r="E8447" t="s">
        <v>1596</v>
      </c>
      <c r="F8447" t="s">
        <v>88</v>
      </c>
      <c r="G8447" t="s">
        <v>88</v>
      </c>
      <c r="H8447" t="s">
        <v>92</v>
      </c>
    </row>
    <row r="8448" spans="1:8" x14ac:dyDescent="0.25">
      <c r="A8448" t="s">
        <v>302</v>
      </c>
      <c r="B8448" t="s">
        <v>615</v>
      </c>
      <c r="C8448" t="s">
        <v>88</v>
      </c>
      <c r="D8448" t="s">
        <v>88</v>
      </c>
      <c r="E8448" t="s">
        <v>1596</v>
      </c>
      <c r="F8448" t="s">
        <v>88</v>
      </c>
      <c r="G8448" t="s">
        <v>88</v>
      </c>
      <c r="H8448" t="s">
        <v>92</v>
      </c>
    </row>
    <row r="8449" spans="1:8" x14ac:dyDescent="0.25">
      <c r="A8449" t="s">
        <v>302</v>
      </c>
      <c r="B8449" t="s">
        <v>616</v>
      </c>
      <c r="C8449" t="s">
        <v>88</v>
      </c>
      <c r="D8449" t="s">
        <v>88</v>
      </c>
      <c r="E8449" t="s">
        <v>1596</v>
      </c>
      <c r="F8449" t="s">
        <v>88</v>
      </c>
      <c r="G8449" t="s">
        <v>88</v>
      </c>
      <c r="H8449" t="s">
        <v>92</v>
      </c>
    </row>
    <row r="8450" spans="1:8" x14ac:dyDescent="0.25">
      <c r="A8450" t="s">
        <v>302</v>
      </c>
      <c r="B8450" t="s">
        <v>1046</v>
      </c>
      <c r="C8450" t="s">
        <v>88</v>
      </c>
      <c r="D8450" t="s">
        <v>88</v>
      </c>
      <c r="E8450" t="s">
        <v>841</v>
      </c>
      <c r="F8450" t="s">
        <v>88</v>
      </c>
      <c r="G8450" t="s">
        <v>88</v>
      </c>
      <c r="H8450" t="s">
        <v>92</v>
      </c>
    </row>
    <row r="8451" spans="1:8" x14ac:dyDescent="0.25">
      <c r="A8451" t="s">
        <v>302</v>
      </c>
      <c r="B8451" t="s">
        <v>7183</v>
      </c>
      <c r="C8451" t="s">
        <v>88</v>
      </c>
      <c r="D8451" t="s">
        <v>88</v>
      </c>
      <c r="E8451" t="s">
        <v>1137</v>
      </c>
      <c r="F8451" t="s">
        <v>88</v>
      </c>
      <c r="G8451" t="s">
        <v>88</v>
      </c>
      <c r="H8451" t="s">
        <v>92</v>
      </c>
    </row>
    <row r="8452" spans="1:8" x14ac:dyDescent="0.25">
      <c r="A8452" t="s">
        <v>302</v>
      </c>
      <c r="B8452" t="s">
        <v>7135</v>
      </c>
      <c r="C8452" t="s">
        <v>88</v>
      </c>
      <c r="D8452" t="s">
        <v>88</v>
      </c>
      <c r="E8452" t="s">
        <v>641</v>
      </c>
      <c r="F8452" t="s">
        <v>88</v>
      </c>
      <c r="G8452" t="s">
        <v>88</v>
      </c>
      <c r="H8452" t="s">
        <v>92</v>
      </c>
    </row>
    <row r="8453" spans="1:8" x14ac:dyDescent="0.25">
      <c r="A8453" t="s">
        <v>302</v>
      </c>
      <c r="B8453" t="s">
        <v>4958</v>
      </c>
      <c r="C8453" t="s">
        <v>88</v>
      </c>
      <c r="D8453" t="s">
        <v>88</v>
      </c>
      <c r="E8453" t="s">
        <v>1137</v>
      </c>
      <c r="F8453" t="s">
        <v>88</v>
      </c>
      <c r="G8453" t="s">
        <v>88</v>
      </c>
      <c r="H8453" t="s">
        <v>92</v>
      </c>
    </row>
    <row r="8454" spans="1:8" x14ac:dyDescent="0.25">
      <c r="A8454" t="s">
        <v>302</v>
      </c>
      <c r="B8454" t="s">
        <v>7184</v>
      </c>
      <c r="C8454" t="s">
        <v>88</v>
      </c>
      <c r="D8454" t="s">
        <v>88</v>
      </c>
      <c r="E8454" t="s">
        <v>1137</v>
      </c>
      <c r="F8454" t="s">
        <v>88</v>
      </c>
      <c r="G8454" t="s">
        <v>88</v>
      </c>
      <c r="H8454" t="s">
        <v>92</v>
      </c>
    </row>
    <row r="8455" spans="1:8" x14ac:dyDescent="0.25">
      <c r="A8455" t="s">
        <v>302</v>
      </c>
      <c r="B8455" t="s">
        <v>7185</v>
      </c>
      <c r="C8455" t="s">
        <v>88</v>
      </c>
      <c r="D8455" t="s">
        <v>88</v>
      </c>
      <c r="E8455" t="s">
        <v>641</v>
      </c>
      <c r="F8455" t="s">
        <v>88</v>
      </c>
      <c r="G8455" t="s">
        <v>88</v>
      </c>
      <c r="H8455" t="s">
        <v>92</v>
      </c>
    </row>
    <row r="8456" spans="1:8" x14ac:dyDescent="0.25">
      <c r="A8456" t="s">
        <v>302</v>
      </c>
      <c r="B8456" t="s">
        <v>1923</v>
      </c>
      <c r="C8456" t="s">
        <v>88</v>
      </c>
      <c r="D8456" t="s">
        <v>88</v>
      </c>
      <c r="E8456" t="s">
        <v>805</v>
      </c>
      <c r="F8456" t="s">
        <v>88</v>
      </c>
      <c r="G8456" t="s">
        <v>88</v>
      </c>
      <c r="H8456" t="s">
        <v>92</v>
      </c>
    </row>
    <row r="8457" spans="1:8" x14ac:dyDescent="0.25">
      <c r="A8457" t="s">
        <v>302</v>
      </c>
      <c r="B8457" t="s">
        <v>7186</v>
      </c>
      <c r="C8457" t="s">
        <v>88</v>
      </c>
      <c r="D8457" t="s">
        <v>88</v>
      </c>
      <c r="E8457" t="s">
        <v>1714</v>
      </c>
      <c r="F8457" t="s">
        <v>88</v>
      </c>
      <c r="G8457" t="s">
        <v>88</v>
      </c>
      <c r="H8457" t="s">
        <v>92</v>
      </c>
    </row>
    <row r="8458" spans="1:8" x14ac:dyDescent="0.25">
      <c r="A8458" t="s">
        <v>302</v>
      </c>
      <c r="B8458" t="s">
        <v>7119</v>
      </c>
      <c r="C8458" t="s">
        <v>88</v>
      </c>
      <c r="D8458" t="s">
        <v>88</v>
      </c>
      <c r="E8458" t="s">
        <v>1714</v>
      </c>
      <c r="F8458" t="s">
        <v>88</v>
      </c>
      <c r="G8458" t="s">
        <v>88</v>
      </c>
      <c r="H8458" t="s">
        <v>92</v>
      </c>
    </row>
    <row r="8459" spans="1:8" x14ac:dyDescent="0.25">
      <c r="A8459" t="s">
        <v>302</v>
      </c>
      <c r="B8459" t="s">
        <v>7187</v>
      </c>
      <c r="C8459" t="s">
        <v>88</v>
      </c>
      <c r="D8459" t="s">
        <v>88</v>
      </c>
      <c r="E8459" t="s">
        <v>1135</v>
      </c>
      <c r="F8459" t="s">
        <v>88</v>
      </c>
      <c r="G8459" t="s">
        <v>88</v>
      </c>
      <c r="H8459" t="s">
        <v>92</v>
      </c>
    </row>
    <row r="8460" spans="1:8" x14ac:dyDescent="0.25">
      <c r="A8460" t="s">
        <v>302</v>
      </c>
      <c r="B8460" t="s">
        <v>7188</v>
      </c>
      <c r="C8460" t="s">
        <v>88</v>
      </c>
      <c r="D8460" t="s">
        <v>88</v>
      </c>
      <c r="E8460" t="s">
        <v>1137</v>
      </c>
      <c r="F8460" t="s">
        <v>88</v>
      </c>
      <c r="G8460" t="s">
        <v>88</v>
      </c>
      <c r="H8460" t="s">
        <v>92</v>
      </c>
    </row>
    <row r="8461" spans="1:8" x14ac:dyDescent="0.25">
      <c r="A8461" t="s">
        <v>302</v>
      </c>
      <c r="B8461" t="s">
        <v>7189</v>
      </c>
      <c r="C8461" t="s">
        <v>88</v>
      </c>
      <c r="D8461" t="s">
        <v>88</v>
      </c>
      <c r="E8461" t="s">
        <v>812</v>
      </c>
      <c r="F8461" t="s">
        <v>88</v>
      </c>
      <c r="G8461" t="s">
        <v>88</v>
      </c>
      <c r="H8461" t="s">
        <v>92</v>
      </c>
    </row>
    <row r="8462" spans="1:8" x14ac:dyDescent="0.25">
      <c r="A8462" t="s">
        <v>302</v>
      </c>
      <c r="B8462" t="s">
        <v>1712</v>
      </c>
      <c r="C8462" t="s">
        <v>88</v>
      </c>
      <c r="D8462" t="s">
        <v>88</v>
      </c>
      <c r="E8462" t="s">
        <v>825</v>
      </c>
      <c r="F8462" t="s">
        <v>88</v>
      </c>
      <c r="G8462" t="s">
        <v>88</v>
      </c>
      <c r="H8462" t="s">
        <v>92</v>
      </c>
    </row>
    <row r="8463" spans="1:8" x14ac:dyDescent="0.25">
      <c r="A8463" t="s">
        <v>302</v>
      </c>
      <c r="B8463" t="s">
        <v>7127</v>
      </c>
      <c r="C8463" t="s">
        <v>88</v>
      </c>
      <c r="D8463" t="s">
        <v>88</v>
      </c>
      <c r="E8463" t="s">
        <v>1137</v>
      </c>
      <c r="F8463" t="s">
        <v>88</v>
      </c>
      <c r="G8463" t="s">
        <v>88</v>
      </c>
      <c r="H8463" t="s">
        <v>92</v>
      </c>
    </row>
    <row r="8464" spans="1:8" x14ac:dyDescent="0.25">
      <c r="A8464" t="s">
        <v>302</v>
      </c>
      <c r="B8464" t="s">
        <v>7133</v>
      </c>
      <c r="C8464" t="s">
        <v>88</v>
      </c>
      <c r="D8464" t="s">
        <v>88</v>
      </c>
      <c r="E8464" t="s">
        <v>807</v>
      </c>
      <c r="F8464" t="s">
        <v>88</v>
      </c>
      <c r="G8464" t="s">
        <v>88</v>
      </c>
      <c r="H8464" t="s">
        <v>92</v>
      </c>
    </row>
    <row r="8465" spans="1:8" x14ac:dyDescent="0.25">
      <c r="A8465" t="s">
        <v>302</v>
      </c>
      <c r="B8465" t="s">
        <v>4975</v>
      </c>
      <c r="C8465" t="s">
        <v>88</v>
      </c>
      <c r="D8465" t="s">
        <v>88</v>
      </c>
      <c r="E8465" t="s">
        <v>1714</v>
      </c>
      <c r="F8465" t="s">
        <v>88</v>
      </c>
      <c r="G8465" t="s">
        <v>88</v>
      </c>
      <c r="H8465" t="s">
        <v>92</v>
      </c>
    </row>
    <row r="8466" spans="1:8" x14ac:dyDescent="0.25">
      <c r="A8466" t="s">
        <v>302</v>
      </c>
      <c r="B8466" t="s">
        <v>7190</v>
      </c>
      <c r="C8466" t="s">
        <v>88</v>
      </c>
      <c r="D8466" t="s">
        <v>88</v>
      </c>
      <c r="E8466" t="s">
        <v>1137</v>
      </c>
      <c r="F8466" t="s">
        <v>88</v>
      </c>
      <c r="G8466" t="s">
        <v>88</v>
      </c>
      <c r="H8466" t="s">
        <v>92</v>
      </c>
    </row>
    <row r="8467" spans="1:8" x14ac:dyDescent="0.25">
      <c r="A8467" t="s">
        <v>302</v>
      </c>
      <c r="B8467" t="s">
        <v>4951</v>
      </c>
      <c r="C8467" t="s">
        <v>88</v>
      </c>
      <c r="D8467" t="s">
        <v>88</v>
      </c>
      <c r="E8467" t="s">
        <v>1714</v>
      </c>
      <c r="F8467" t="s">
        <v>88</v>
      </c>
      <c r="G8467" t="s">
        <v>88</v>
      </c>
      <c r="H8467" t="s">
        <v>92</v>
      </c>
    </row>
    <row r="8468" spans="1:8" x14ac:dyDescent="0.25">
      <c r="A8468" t="s">
        <v>302</v>
      </c>
      <c r="B8468" t="s">
        <v>7123</v>
      </c>
      <c r="C8468" t="s">
        <v>88</v>
      </c>
      <c r="D8468" t="s">
        <v>88</v>
      </c>
      <c r="E8468" t="s">
        <v>841</v>
      </c>
      <c r="F8468" t="s">
        <v>88</v>
      </c>
      <c r="G8468" t="s">
        <v>88</v>
      </c>
      <c r="H8468" t="s">
        <v>92</v>
      </c>
    </row>
    <row r="8469" spans="1:8" x14ac:dyDescent="0.25">
      <c r="A8469" t="s">
        <v>302</v>
      </c>
      <c r="B8469" t="s">
        <v>7132</v>
      </c>
      <c r="C8469" t="s">
        <v>88</v>
      </c>
      <c r="D8469" t="s">
        <v>88</v>
      </c>
      <c r="E8469" t="s">
        <v>1714</v>
      </c>
      <c r="F8469" t="s">
        <v>88</v>
      </c>
      <c r="G8469" t="s">
        <v>88</v>
      </c>
      <c r="H8469" t="s">
        <v>92</v>
      </c>
    </row>
    <row r="8470" spans="1:8" x14ac:dyDescent="0.25">
      <c r="A8470" t="s">
        <v>302</v>
      </c>
      <c r="B8470" t="s">
        <v>7191</v>
      </c>
      <c r="C8470" t="s">
        <v>88</v>
      </c>
      <c r="D8470" t="s">
        <v>88</v>
      </c>
      <c r="E8470" t="s">
        <v>1714</v>
      </c>
      <c r="F8470" t="s">
        <v>88</v>
      </c>
      <c r="G8470" t="s">
        <v>88</v>
      </c>
      <c r="H8470" t="s">
        <v>92</v>
      </c>
    </row>
    <row r="8471" spans="1:8" x14ac:dyDescent="0.25">
      <c r="A8471" t="s">
        <v>302</v>
      </c>
      <c r="B8471" t="s">
        <v>4646</v>
      </c>
      <c r="C8471" t="s">
        <v>88</v>
      </c>
      <c r="D8471" t="s">
        <v>88</v>
      </c>
      <c r="E8471" t="s">
        <v>1714</v>
      </c>
      <c r="F8471" t="s">
        <v>88</v>
      </c>
      <c r="G8471" t="s">
        <v>88</v>
      </c>
      <c r="H8471" t="s">
        <v>92</v>
      </c>
    </row>
    <row r="8472" spans="1:8" x14ac:dyDescent="0.25">
      <c r="A8472" t="s">
        <v>302</v>
      </c>
      <c r="B8472" t="s">
        <v>7049</v>
      </c>
      <c r="C8472" t="s">
        <v>88</v>
      </c>
      <c r="D8472" t="s">
        <v>88</v>
      </c>
      <c r="E8472" t="s">
        <v>1135</v>
      </c>
      <c r="F8472" t="s">
        <v>88</v>
      </c>
      <c r="G8472" t="s">
        <v>88</v>
      </c>
      <c r="H8472" t="s">
        <v>92</v>
      </c>
    </row>
    <row r="8473" spans="1:8" x14ac:dyDescent="0.25">
      <c r="A8473" t="s">
        <v>302</v>
      </c>
      <c r="B8473" t="s">
        <v>7192</v>
      </c>
      <c r="C8473" t="s">
        <v>88</v>
      </c>
      <c r="D8473" t="s">
        <v>88</v>
      </c>
      <c r="E8473" t="s">
        <v>1714</v>
      </c>
      <c r="F8473" t="s">
        <v>88</v>
      </c>
      <c r="G8473" t="s">
        <v>88</v>
      </c>
      <c r="H8473" t="s">
        <v>92</v>
      </c>
    </row>
    <row r="8474" spans="1:8" x14ac:dyDescent="0.25">
      <c r="A8474" t="s">
        <v>302</v>
      </c>
      <c r="B8474" t="s">
        <v>7193</v>
      </c>
      <c r="C8474" t="s">
        <v>88</v>
      </c>
      <c r="D8474" t="s">
        <v>88</v>
      </c>
      <c r="E8474" t="s">
        <v>1137</v>
      </c>
      <c r="F8474" t="s">
        <v>88</v>
      </c>
      <c r="G8474" t="s">
        <v>88</v>
      </c>
      <c r="H8474" t="s">
        <v>92</v>
      </c>
    </row>
    <row r="8475" spans="1:8" x14ac:dyDescent="0.25">
      <c r="A8475" t="s">
        <v>302</v>
      </c>
      <c r="B8475" t="s">
        <v>7134</v>
      </c>
      <c r="C8475" t="s">
        <v>88</v>
      </c>
      <c r="D8475" t="s">
        <v>88</v>
      </c>
      <c r="E8475" t="s">
        <v>762</v>
      </c>
      <c r="F8475" t="s">
        <v>88</v>
      </c>
      <c r="G8475" t="s">
        <v>88</v>
      </c>
      <c r="H8475" t="s">
        <v>92</v>
      </c>
    </row>
    <row r="8476" spans="1:8" x14ac:dyDescent="0.25">
      <c r="A8476" t="s">
        <v>302</v>
      </c>
      <c r="B8476" t="s">
        <v>7194</v>
      </c>
      <c r="C8476" t="s">
        <v>88</v>
      </c>
      <c r="D8476" t="s">
        <v>88</v>
      </c>
      <c r="E8476" t="s">
        <v>641</v>
      </c>
      <c r="F8476" t="s">
        <v>88</v>
      </c>
      <c r="G8476" t="s">
        <v>88</v>
      </c>
      <c r="H8476" t="s">
        <v>92</v>
      </c>
    </row>
    <row r="8477" spans="1:8" x14ac:dyDescent="0.25">
      <c r="A8477" t="s">
        <v>302</v>
      </c>
      <c r="B8477" t="s">
        <v>1172</v>
      </c>
      <c r="C8477" t="s">
        <v>88</v>
      </c>
      <c r="D8477" t="s">
        <v>88</v>
      </c>
      <c r="E8477" t="s">
        <v>1135</v>
      </c>
      <c r="F8477" t="s">
        <v>88</v>
      </c>
      <c r="G8477" t="s">
        <v>88</v>
      </c>
      <c r="H8477" t="s">
        <v>92</v>
      </c>
    </row>
    <row r="8478" spans="1:8" x14ac:dyDescent="0.25">
      <c r="A8478" t="s">
        <v>302</v>
      </c>
      <c r="B8478" t="s">
        <v>1053</v>
      </c>
      <c r="C8478" t="s">
        <v>88</v>
      </c>
      <c r="D8478" t="s">
        <v>88</v>
      </c>
      <c r="E8478" t="s">
        <v>1135</v>
      </c>
      <c r="F8478" t="s">
        <v>88</v>
      </c>
      <c r="G8478" t="s">
        <v>88</v>
      </c>
      <c r="H8478" t="s">
        <v>92</v>
      </c>
    </row>
    <row r="8479" spans="1:8" x14ac:dyDescent="0.25">
      <c r="A8479" t="s">
        <v>302</v>
      </c>
      <c r="B8479" t="s">
        <v>7195</v>
      </c>
      <c r="C8479" t="s">
        <v>88</v>
      </c>
      <c r="D8479" t="s">
        <v>88</v>
      </c>
      <c r="E8479" t="s">
        <v>3179</v>
      </c>
      <c r="F8479" t="s">
        <v>88</v>
      </c>
      <c r="G8479" t="s">
        <v>88</v>
      </c>
      <c r="H8479" t="s">
        <v>92</v>
      </c>
    </row>
    <row r="8480" spans="1:8" x14ac:dyDescent="0.25">
      <c r="A8480" t="s">
        <v>302</v>
      </c>
      <c r="B8480" t="s">
        <v>1050</v>
      </c>
      <c r="C8480" t="s">
        <v>88</v>
      </c>
      <c r="D8480" t="s">
        <v>88</v>
      </c>
      <c r="E8480" t="s">
        <v>1714</v>
      </c>
      <c r="F8480" t="s">
        <v>88</v>
      </c>
      <c r="G8480" t="s">
        <v>88</v>
      </c>
      <c r="H8480" t="s">
        <v>92</v>
      </c>
    </row>
    <row r="8481" spans="1:8" x14ac:dyDescent="0.25">
      <c r="A8481" t="s">
        <v>302</v>
      </c>
      <c r="B8481" t="s">
        <v>7122</v>
      </c>
      <c r="C8481" t="s">
        <v>88</v>
      </c>
      <c r="D8481" t="s">
        <v>88</v>
      </c>
      <c r="E8481" t="s">
        <v>1714</v>
      </c>
      <c r="F8481" t="s">
        <v>88</v>
      </c>
      <c r="G8481" t="s">
        <v>88</v>
      </c>
      <c r="H8481" t="s">
        <v>92</v>
      </c>
    </row>
    <row r="8482" spans="1:8" x14ac:dyDescent="0.25">
      <c r="A8482" t="s">
        <v>302</v>
      </c>
      <c r="B8482" t="s">
        <v>7196</v>
      </c>
      <c r="C8482" t="s">
        <v>88</v>
      </c>
      <c r="D8482" t="s">
        <v>88</v>
      </c>
      <c r="E8482" t="s">
        <v>1137</v>
      </c>
      <c r="F8482" t="s">
        <v>88</v>
      </c>
      <c r="G8482" t="s">
        <v>88</v>
      </c>
      <c r="H8482" t="s">
        <v>92</v>
      </c>
    </row>
    <row r="8483" spans="1:8" x14ac:dyDescent="0.25">
      <c r="A8483" t="s">
        <v>302</v>
      </c>
      <c r="B8483" t="s">
        <v>7124</v>
      </c>
      <c r="C8483" t="s">
        <v>88</v>
      </c>
      <c r="D8483" t="s">
        <v>88</v>
      </c>
      <c r="E8483" t="s">
        <v>641</v>
      </c>
      <c r="F8483" t="s">
        <v>88</v>
      </c>
      <c r="G8483" t="s">
        <v>88</v>
      </c>
      <c r="H8483" t="s">
        <v>92</v>
      </c>
    </row>
    <row r="8484" spans="1:8" x14ac:dyDescent="0.25">
      <c r="A8484" t="s">
        <v>302</v>
      </c>
      <c r="B8484" t="s">
        <v>1709</v>
      </c>
      <c r="C8484" t="s">
        <v>88</v>
      </c>
      <c r="D8484" t="s">
        <v>88</v>
      </c>
      <c r="E8484" t="s">
        <v>838</v>
      </c>
      <c r="F8484" t="s">
        <v>88</v>
      </c>
      <c r="G8484" t="s">
        <v>88</v>
      </c>
      <c r="H8484" t="s">
        <v>92</v>
      </c>
    </row>
    <row r="8485" spans="1:8" x14ac:dyDescent="0.25">
      <c r="A8485" t="s">
        <v>302</v>
      </c>
      <c r="B8485" t="s">
        <v>7197</v>
      </c>
      <c r="C8485" t="s">
        <v>88</v>
      </c>
      <c r="D8485" t="s">
        <v>88</v>
      </c>
      <c r="E8485" t="s">
        <v>2814</v>
      </c>
      <c r="F8485" t="s">
        <v>88</v>
      </c>
      <c r="G8485" t="s">
        <v>88</v>
      </c>
      <c r="H8485" t="s">
        <v>92</v>
      </c>
    </row>
    <row r="8486" spans="1:8" x14ac:dyDescent="0.25">
      <c r="A8486" t="s">
        <v>302</v>
      </c>
      <c r="B8486" t="s">
        <v>7139</v>
      </c>
      <c r="C8486" t="s">
        <v>88</v>
      </c>
      <c r="D8486" t="s">
        <v>88</v>
      </c>
      <c r="E8486" t="s">
        <v>893</v>
      </c>
      <c r="F8486" t="s">
        <v>88</v>
      </c>
      <c r="G8486" t="s">
        <v>88</v>
      </c>
      <c r="H8486" t="s">
        <v>92</v>
      </c>
    </row>
    <row r="8487" spans="1:8" x14ac:dyDescent="0.25">
      <c r="A8487" t="s">
        <v>302</v>
      </c>
      <c r="B8487" t="s">
        <v>7198</v>
      </c>
      <c r="C8487" t="s">
        <v>88</v>
      </c>
      <c r="D8487" t="s">
        <v>88</v>
      </c>
      <c r="E8487" t="s">
        <v>3172</v>
      </c>
      <c r="F8487" t="s">
        <v>88</v>
      </c>
      <c r="G8487" t="s">
        <v>88</v>
      </c>
      <c r="H8487" t="s">
        <v>92</v>
      </c>
    </row>
    <row r="8488" spans="1:8" x14ac:dyDescent="0.25">
      <c r="A8488" t="s">
        <v>302</v>
      </c>
      <c r="B8488" t="s">
        <v>7199</v>
      </c>
      <c r="C8488" t="s">
        <v>88</v>
      </c>
      <c r="D8488" t="s">
        <v>88</v>
      </c>
      <c r="E8488" t="s">
        <v>676</v>
      </c>
      <c r="F8488" t="s">
        <v>88</v>
      </c>
      <c r="G8488" t="s">
        <v>88</v>
      </c>
      <c r="H8488" t="s">
        <v>92</v>
      </c>
    </row>
    <row r="8489" spans="1:8" x14ac:dyDescent="0.25">
      <c r="A8489" t="s">
        <v>302</v>
      </c>
      <c r="B8489" t="s">
        <v>7141</v>
      </c>
      <c r="C8489" t="s">
        <v>88</v>
      </c>
      <c r="D8489" t="s">
        <v>88</v>
      </c>
      <c r="E8489" t="s">
        <v>964</v>
      </c>
      <c r="F8489" t="s">
        <v>88</v>
      </c>
      <c r="G8489" t="s">
        <v>88</v>
      </c>
      <c r="H8489" t="s">
        <v>92</v>
      </c>
    </row>
    <row r="8490" spans="1:8" x14ac:dyDescent="0.25">
      <c r="A8490" t="s">
        <v>302</v>
      </c>
      <c r="B8490" t="s">
        <v>7200</v>
      </c>
      <c r="C8490" t="s">
        <v>88</v>
      </c>
      <c r="D8490" t="s">
        <v>88</v>
      </c>
      <c r="E8490" t="s">
        <v>3172</v>
      </c>
      <c r="F8490" t="s">
        <v>88</v>
      </c>
      <c r="G8490" t="s">
        <v>88</v>
      </c>
      <c r="H8490" t="s">
        <v>92</v>
      </c>
    </row>
    <row r="8491" spans="1:8" x14ac:dyDescent="0.25">
      <c r="A8491" t="s">
        <v>302</v>
      </c>
      <c r="B8491" t="s">
        <v>625</v>
      </c>
      <c r="C8491" t="s">
        <v>88</v>
      </c>
      <c r="D8491" t="s">
        <v>88</v>
      </c>
      <c r="E8491" t="s">
        <v>626</v>
      </c>
      <c r="F8491" t="s">
        <v>88</v>
      </c>
      <c r="G8491" t="s">
        <v>88</v>
      </c>
      <c r="H8491" t="s">
        <v>92</v>
      </c>
    </row>
    <row r="8492" spans="1:8" x14ac:dyDescent="0.25">
      <c r="A8492" t="s">
        <v>303</v>
      </c>
      <c r="B8492" t="s">
        <v>7048</v>
      </c>
      <c r="C8492" t="s">
        <v>88</v>
      </c>
      <c r="D8492" t="s">
        <v>88</v>
      </c>
      <c r="E8492" t="s">
        <v>709</v>
      </c>
      <c r="F8492" t="s">
        <v>88</v>
      </c>
      <c r="G8492" t="s">
        <v>88</v>
      </c>
      <c r="H8492" t="s">
        <v>92</v>
      </c>
    </row>
    <row r="8493" spans="1:8" x14ac:dyDescent="0.25">
      <c r="A8493" t="s">
        <v>303</v>
      </c>
      <c r="B8493" t="s">
        <v>7052</v>
      </c>
      <c r="C8493" t="s">
        <v>88</v>
      </c>
      <c r="D8493" t="s">
        <v>88</v>
      </c>
      <c r="E8493" t="s">
        <v>710</v>
      </c>
      <c r="F8493" t="s">
        <v>88</v>
      </c>
      <c r="G8493" t="s">
        <v>88</v>
      </c>
      <c r="H8493" t="s">
        <v>92</v>
      </c>
    </row>
    <row r="8494" spans="1:8" x14ac:dyDescent="0.25">
      <c r="A8494" t="s">
        <v>303</v>
      </c>
      <c r="B8494" t="s">
        <v>7201</v>
      </c>
      <c r="C8494" t="s">
        <v>88</v>
      </c>
      <c r="D8494" t="s">
        <v>88</v>
      </c>
      <c r="E8494" t="s">
        <v>710</v>
      </c>
      <c r="F8494" t="s">
        <v>88</v>
      </c>
      <c r="G8494" t="s">
        <v>88</v>
      </c>
      <c r="H8494" t="s">
        <v>92</v>
      </c>
    </row>
    <row r="8495" spans="1:8" x14ac:dyDescent="0.25">
      <c r="A8495" t="s">
        <v>303</v>
      </c>
      <c r="B8495" t="s">
        <v>5046</v>
      </c>
      <c r="C8495" t="s">
        <v>88</v>
      </c>
      <c r="D8495" t="s">
        <v>88</v>
      </c>
      <c r="E8495" t="s">
        <v>715</v>
      </c>
      <c r="F8495" t="s">
        <v>88</v>
      </c>
      <c r="G8495" t="s">
        <v>88</v>
      </c>
      <c r="H8495" t="s">
        <v>92</v>
      </c>
    </row>
    <row r="8496" spans="1:8" x14ac:dyDescent="0.25">
      <c r="A8496" t="s">
        <v>303</v>
      </c>
      <c r="B8496" t="s">
        <v>1144</v>
      </c>
      <c r="C8496" t="s">
        <v>88</v>
      </c>
      <c r="D8496" t="s">
        <v>88</v>
      </c>
      <c r="E8496" t="s">
        <v>780</v>
      </c>
      <c r="F8496" t="s">
        <v>88</v>
      </c>
      <c r="G8496" t="s">
        <v>88</v>
      </c>
      <c r="H8496" t="s">
        <v>92</v>
      </c>
    </row>
    <row r="8497" spans="1:8" x14ac:dyDescent="0.25">
      <c r="A8497" t="s">
        <v>303</v>
      </c>
      <c r="B8497" t="s">
        <v>7201</v>
      </c>
      <c r="C8497" t="s">
        <v>88</v>
      </c>
      <c r="D8497" t="s">
        <v>88</v>
      </c>
      <c r="E8497" t="s">
        <v>710</v>
      </c>
      <c r="F8497" t="s">
        <v>88</v>
      </c>
      <c r="G8497" t="s">
        <v>88</v>
      </c>
      <c r="H8497" t="s">
        <v>92</v>
      </c>
    </row>
    <row r="8498" spans="1:8" x14ac:dyDescent="0.25">
      <c r="A8498" t="s">
        <v>303</v>
      </c>
      <c r="B8498" t="s">
        <v>1691</v>
      </c>
      <c r="C8498" t="s">
        <v>88</v>
      </c>
      <c r="D8498" t="s">
        <v>88</v>
      </c>
      <c r="E8498" t="s">
        <v>964</v>
      </c>
      <c r="F8498" t="s">
        <v>88</v>
      </c>
      <c r="G8498" t="s">
        <v>88</v>
      </c>
      <c r="H8498" t="s">
        <v>92</v>
      </c>
    </row>
    <row r="8499" spans="1:8" x14ac:dyDescent="0.25">
      <c r="A8499" t="s">
        <v>303</v>
      </c>
      <c r="B8499" t="s">
        <v>7202</v>
      </c>
      <c r="C8499" t="s">
        <v>88</v>
      </c>
      <c r="D8499" t="s">
        <v>88</v>
      </c>
      <c r="E8499" t="s">
        <v>825</v>
      </c>
      <c r="F8499" t="s">
        <v>88</v>
      </c>
      <c r="G8499" t="s">
        <v>88</v>
      </c>
      <c r="H8499" t="s">
        <v>92</v>
      </c>
    </row>
    <row r="8500" spans="1:8" x14ac:dyDescent="0.25">
      <c r="A8500" t="s">
        <v>303</v>
      </c>
      <c r="B8500" t="s">
        <v>1144</v>
      </c>
      <c r="C8500" t="s">
        <v>88</v>
      </c>
      <c r="D8500" t="s">
        <v>88</v>
      </c>
      <c r="E8500" t="s">
        <v>780</v>
      </c>
      <c r="F8500" t="s">
        <v>88</v>
      </c>
      <c r="G8500" t="s">
        <v>88</v>
      </c>
      <c r="H8500" t="s">
        <v>92</v>
      </c>
    </row>
    <row r="8501" spans="1:8" x14ac:dyDescent="0.25">
      <c r="A8501" t="s">
        <v>303</v>
      </c>
      <c r="B8501" t="s">
        <v>1082</v>
      </c>
      <c r="C8501" t="s">
        <v>88</v>
      </c>
      <c r="D8501" t="s">
        <v>88</v>
      </c>
      <c r="E8501" t="s">
        <v>715</v>
      </c>
      <c r="F8501" t="s">
        <v>88</v>
      </c>
      <c r="G8501" t="s">
        <v>88</v>
      </c>
      <c r="H8501" t="s">
        <v>92</v>
      </c>
    </row>
    <row r="8502" spans="1:8" x14ac:dyDescent="0.25">
      <c r="A8502" t="s">
        <v>303</v>
      </c>
      <c r="B8502" t="s">
        <v>2241</v>
      </c>
      <c r="C8502" t="s">
        <v>88</v>
      </c>
      <c r="D8502" t="s">
        <v>88</v>
      </c>
      <c r="E8502" t="s">
        <v>715</v>
      </c>
      <c r="F8502" t="s">
        <v>88</v>
      </c>
      <c r="G8502" t="s">
        <v>88</v>
      </c>
      <c r="H8502" t="s">
        <v>92</v>
      </c>
    </row>
    <row r="8503" spans="1:8" x14ac:dyDescent="0.25">
      <c r="A8503" t="s">
        <v>303</v>
      </c>
      <c r="B8503" t="s">
        <v>5046</v>
      </c>
      <c r="C8503" t="s">
        <v>88</v>
      </c>
      <c r="D8503" t="s">
        <v>88</v>
      </c>
      <c r="E8503" t="s">
        <v>715</v>
      </c>
      <c r="F8503" t="s">
        <v>88</v>
      </c>
      <c r="G8503" t="s">
        <v>88</v>
      </c>
      <c r="H8503" t="s">
        <v>92</v>
      </c>
    </row>
    <row r="8504" spans="1:8" x14ac:dyDescent="0.25">
      <c r="A8504" t="s">
        <v>303</v>
      </c>
      <c r="B8504" t="s">
        <v>7203</v>
      </c>
      <c r="C8504" t="s">
        <v>88</v>
      </c>
      <c r="D8504" t="s">
        <v>88</v>
      </c>
      <c r="E8504" t="s">
        <v>937</v>
      </c>
      <c r="F8504" t="s">
        <v>88</v>
      </c>
      <c r="G8504" t="s">
        <v>88</v>
      </c>
      <c r="H8504" t="s">
        <v>92</v>
      </c>
    </row>
    <row r="8505" spans="1:8" x14ac:dyDescent="0.25">
      <c r="A8505" t="s">
        <v>303</v>
      </c>
      <c r="B8505" t="s">
        <v>7048</v>
      </c>
      <c r="C8505" t="s">
        <v>88</v>
      </c>
      <c r="D8505" t="s">
        <v>88</v>
      </c>
      <c r="E8505" t="s">
        <v>709</v>
      </c>
      <c r="F8505" t="s">
        <v>88</v>
      </c>
      <c r="G8505" t="s">
        <v>88</v>
      </c>
      <c r="H8505" t="s">
        <v>92</v>
      </c>
    </row>
    <row r="8506" spans="1:8" x14ac:dyDescent="0.25">
      <c r="A8506" t="s">
        <v>303</v>
      </c>
      <c r="B8506" t="s">
        <v>7052</v>
      </c>
      <c r="C8506" t="s">
        <v>88</v>
      </c>
      <c r="D8506" t="s">
        <v>88</v>
      </c>
      <c r="E8506" t="s">
        <v>710</v>
      </c>
      <c r="F8506" t="s">
        <v>88</v>
      </c>
      <c r="G8506" t="s">
        <v>88</v>
      </c>
      <c r="H8506" t="s">
        <v>92</v>
      </c>
    </row>
    <row r="8507" spans="1:8" x14ac:dyDescent="0.25">
      <c r="A8507" t="s">
        <v>303</v>
      </c>
      <c r="B8507" t="s">
        <v>3470</v>
      </c>
      <c r="C8507" t="s">
        <v>88</v>
      </c>
      <c r="D8507" t="s">
        <v>88</v>
      </c>
      <c r="E8507" t="s">
        <v>715</v>
      </c>
      <c r="F8507" t="s">
        <v>88</v>
      </c>
      <c r="G8507" t="s">
        <v>88</v>
      </c>
      <c r="H8507" t="s">
        <v>92</v>
      </c>
    </row>
    <row r="8508" spans="1:8" x14ac:dyDescent="0.25">
      <c r="A8508" t="s">
        <v>303</v>
      </c>
      <c r="B8508" t="s">
        <v>1695</v>
      </c>
      <c r="C8508" t="s">
        <v>88</v>
      </c>
      <c r="D8508" t="s">
        <v>1109</v>
      </c>
      <c r="E8508" t="s">
        <v>964</v>
      </c>
      <c r="F8508" t="s">
        <v>88</v>
      </c>
      <c r="G8508" t="s">
        <v>88</v>
      </c>
      <c r="H8508" t="s">
        <v>92</v>
      </c>
    </row>
    <row r="8509" spans="1:8" x14ac:dyDescent="0.25">
      <c r="A8509" t="s">
        <v>303</v>
      </c>
      <c r="B8509" t="s">
        <v>7204</v>
      </c>
      <c r="C8509" t="s">
        <v>88</v>
      </c>
      <c r="D8509" t="s">
        <v>1109</v>
      </c>
      <c r="E8509" t="s">
        <v>825</v>
      </c>
      <c r="F8509" t="s">
        <v>88</v>
      </c>
      <c r="G8509" t="s">
        <v>88</v>
      </c>
      <c r="H8509" t="s">
        <v>92</v>
      </c>
    </row>
    <row r="8510" spans="1:8" x14ac:dyDescent="0.25">
      <c r="A8510" t="s">
        <v>303</v>
      </c>
      <c r="B8510" t="s">
        <v>7205</v>
      </c>
      <c r="C8510" t="s">
        <v>88</v>
      </c>
      <c r="D8510" t="s">
        <v>1109</v>
      </c>
      <c r="E8510" t="s">
        <v>937</v>
      </c>
      <c r="F8510" t="s">
        <v>88</v>
      </c>
      <c r="G8510" t="s">
        <v>88</v>
      </c>
      <c r="H8510" t="s">
        <v>92</v>
      </c>
    </row>
    <row r="8511" spans="1:8" x14ac:dyDescent="0.25">
      <c r="A8511" t="s">
        <v>303</v>
      </c>
      <c r="B8511" t="s">
        <v>7085</v>
      </c>
      <c r="C8511" t="s">
        <v>88</v>
      </c>
      <c r="D8511" t="s">
        <v>88</v>
      </c>
      <c r="E8511" t="s">
        <v>676</v>
      </c>
      <c r="F8511" t="s">
        <v>88</v>
      </c>
      <c r="G8511" t="s">
        <v>88</v>
      </c>
      <c r="H8511" t="s">
        <v>92</v>
      </c>
    </row>
    <row r="8512" spans="1:8" x14ac:dyDescent="0.25">
      <c r="A8512" t="s">
        <v>303</v>
      </c>
      <c r="B8512" t="s">
        <v>7097</v>
      </c>
      <c r="C8512" t="s">
        <v>88</v>
      </c>
      <c r="D8512" t="s">
        <v>88</v>
      </c>
      <c r="E8512" t="s">
        <v>1171</v>
      </c>
      <c r="F8512" t="s">
        <v>88</v>
      </c>
      <c r="G8512" t="s">
        <v>88</v>
      </c>
      <c r="H8512" t="s">
        <v>92</v>
      </c>
    </row>
    <row r="8513" spans="1:8" x14ac:dyDescent="0.25">
      <c r="A8513" t="s">
        <v>303</v>
      </c>
      <c r="B8513" t="s">
        <v>7086</v>
      </c>
      <c r="C8513" t="s">
        <v>88</v>
      </c>
      <c r="D8513" t="s">
        <v>88</v>
      </c>
      <c r="E8513" t="s">
        <v>841</v>
      </c>
      <c r="F8513" t="s">
        <v>88</v>
      </c>
      <c r="G8513" t="s">
        <v>88</v>
      </c>
      <c r="H8513" t="s">
        <v>92</v>
      </c>
    </row>
    <row r="8514" spans="1:8" x14ac:dyDescent="0.25">
      <c r="A8514" t="s">
        <v>303</v>
      </c>
      <c r="B8514" t="s">
        <v>7078</v>
      </c>
      <c r="C8514" t="s">
        <v>88</v>
      </c>
      <c r="D8514" t="s">
        <v>88</v>
      </c>
      <c r="E8514" t="s">
        <v>1714</v>
      </c>
      <c r="F8514" t="s">
        <v>88</v>
      </c>
      <c r="G8514" t="s">
        <v>88</v>
      </c>
      <c r="H8514" t="s">
        <v>92</v>
      </c>
    </row>
    <row r="8515" spans="1:8" x14ac:dyDescent="0.25">
      <c r="A8515" t="s">
        <v>303</v>
      </c>
      <c r="B8515" t="s">
        <v>6936</v>
      </c>
      <c r="C8515" t="s">
        <v>88</v>
      </c>
      <c r="D8515" t="s">
        <v>88</v>
      </c>
      <c r="E8515" t="s">
        <v>1714</v>
      </c>
      <c r="F8515" t="s">
        <v>88</v>
      </c>
      <c r="G8515" t="s">
        <v>88</v>
      </c>
      <c r="H8515" t="s">
        <v>92</v>
      </c>
    </row>
    <row r="8516" spans="1:8" x14ac:dyDescent="0.25">
      <c r="A8516" t="s">
        <v>303</v>
      </c>
      <c r="B8516" t="s">
        <v>7079</v>
      </c>
      <c r="C8516" t="s">
        <v>88</v>
      </c>
      <c r="D8516" t="s">
        <v>88</v>
      </c>
      <c r="E8516" t="s">
        <v>1714</v>
      </c>
      <c r="F8516" t="s">
        <v>88</v>
      </c>
      <c r="G8516" t="s">
        <v>88</v>
      </c>
      <c r="H8516" t="s">
        <v>92</v>
      </c>
    </row>
    <row r="8517" spans="1:8" x14ac:dyDescent="0.25">
      <c r="A8517" t="s">
        <v>303</v>
      </c>
      <c r="B8517" t="s">
        <v>7080</v>
      </c>
      <c r="C8517" t="s">
        <v>88</v>
      </c>
      <c r="D8517" t="s">
        <v>88</v>
      </c>
      <c r="E8517" t="s">
        <v>841</v>
      </c>
      <c r="F8517" t="s">
        <v>88</v>
      </c>
      <c r="G8517" t="s">
        <v>88</v>
      </c>
      <c r="H8517" t="s">
        <v>92</v>
      </c>
    </row>
    <row r="8518" spans="1:8" x14ac:dyDescent="0.25">
      <c r="A8518" t="s">
        <v>303</v>
      </c>
      <c r="B8518" t="s">
        <v>7081</v>
      </c>
      <c r="C8518" t="s">
        <v>88</v>
      </c>
      <c r="D8518" t="s">
        <v>88</v>
      </c>
      <c r="E8518" t="s">
        <v>841</v>
      </c>
      <c r="F8518" t="s">
        <v>88</v>
      </c>
      <c r="G8518" t="s">
        <v>88</v>
      </c>
      <c r="H8518" t="s">
        <v>92</v>
      </c>
    </row>
    <row r="8519" spans="1:8" x14ac:dyDescent="0.25">
      <c r="A8519" t="s">
        <v>303</v>
      </c>
      <c r="B8519" t="s">
        <v>7070</v>
      </c>
      <c r="C8519" t="s">
        <v>88</v>
      </c>
      <c r="D8519" t="s">
        <v>88</v>
      </c>
      <c r="E8519" t="s">
        <v>692</v>
      </c>
      <c r="F8519" t="s">
        <v>88</v>
      </c>
      <c r="G8519" t="s">
        <v>88</v>
      </c>
      <c r="H8519" t="s">
        <v>92</v>
      </c>
    </row>
    <row r="8520" spans="1:8" x14ac:dyDescent="0.25">
      <c r="A8520" t="s">
        <v>303</v>
      </c>
      <c r="B8520" t="s">
        <v>7082</v>
      </c>
      <c r="C8520" t="s">
        <v>88</v>
      </c>
      <c r="D8520" t="s">
        <v>88</v>
      </c>
      <c r="E8520" t="s">
        <v>676</v>
      </c>
      <c r="F8520" t="s">
        <v>88</v>
      </c>
      <c r="G8520" t="s">
        <v>88</v>
      </c>
      <c r="H8520" t="s">
        <v>92</v>
      </c>
    </row>
    <row r="8521" spans="1:8" x14ac:dyDescent="0.25">
      <c r="A8521" t="s">
        <v>303</v>
      </c>
      <c r="B8521" t="s">
        <v>7084</v>
      </c>
      <c r="C8521" t="s">
        <v>88</v>
      </c>
      <c r="D8521" t="s">
        <v>88</v>
      </c>
      <c r="E8521" t="s">
        <v>1714</v>
      </c>
      <c r="F8521" t="s">
        <v>88</v>
      </c>
      <c r="G8521" t="s">
        <v>88</v>
      </c>
      <c r="H8521" t="s">
        <v>92</v>
      </c>
    </row>
    <row r="8522" spans="1:8" x14ac:dyDescent="0.25">
      <c r="A8522" t="s">
        <v>303</v>
      </c>
      <c r="B8522" t="s">
        <v>7072</v>
      </c>
      <c r="C8522" t="s">
        <v>88</v>
      </c>
      <c r="D8522" t="s">
        <v>88</v>
      </c>
      <c r="E8522" t="s">
        <v>692</v>
      </c>
      <c r="F8522" t="s">
        <v>88</v>
      </c>
      <c r="G8522" t="s">
        <v>88</v>
      </c>
      <c r="H8522" t="s">
        <v>92</v>
      </c>
    </row>
    <row r="8523" spans="1:8" x14ac:dyDescent="0.25">
      <c r="A8523" t="s">
        <v>303</v>
      </c>
      <c r="B8523" t="s">
        <v>7071</v>
      </c>
      <c r="C8523" t="s">
        <v>88</v>
      </c>
      <c r="D8523" t="s">
        <v>88</v>
      </c>
      <c r="E8523" t="s">
        <v>844</v>
      </c>
      <c r="F8523" t="s">
        <v>88</v>
      </c>
      <c r="G8523" t="s">
        <v>88</v>
      </c>
      <c r="H8523" t="s">
        <v>92</v>
      </c>
    </row>
    <row r="8524" spans="1:8" x14ac:dyDescent="0.25">
      <c r="A8524" t="s">
        <v>303</v>
      </c>
      <c r="B8524" t="s">
        <v>7074</v>
      </c>
      <c r="C8524" t="s">
        <v>88</v>
      </c>
      <c r="D8524" t="s">
        <v>88</v>
      </c>
      <c r="E8524" t="s">
        <v>889</v>
      </c>
      <c r="F8524" t="s">
        <v>88</v>
      </c>
      <c r="G8524" t="s">
        <v>88</v>
      </c>
      <c r="H8524" t="s">
        <v>92</v>
      </c>
    </row>
    <row r="8525" spans="1:8" x14ac:dyDescent="0.25">
      <c r="A8525" t="s">
        <v>303</v>
      </c>
      <c r="B8525" t="s">
        <v>7075</v>
      </c>
      <c r="C8525" t="s">
        <v>88</v>
      </c>
      <c r="D8525" t="s">
        <v>88</v>
      </c>
      <c r="E8525" t="s">
        <v>1139</v>
      </c>
      <c r="F8525" t="s">
        <v>88</v>
      </c>
      <c r="G8525" t="s">
        <v>88</v>
      </c>
      <c r="H8525" t="s">
        <v>92</v>
      </c>
    </row>
    <row r="8526" spans="1:8" x14ac:dyDescent="0.25">
      <c r="A8526" t="s">
        <v>303</v>
      </c>
      <c r="B8526" t="s">
        <v>7076</v>
      </c>
      <c r="C8526" t="s">
        <v>88</v>
      </c>
      <c r="D8526" t="s">
        <v>88</v>
      </c>
      <c r="E8526" t="s">
        <v>893</v>
      </c>
      <c r="F8526" t="s">
        <v>88</v>
      </c>
      <c r="G8526" t="s">
        <v>88</v>
      </c>
      <c r="H8526" t="s">
        <v>92</v>
      </c>
    </row>
    <row r="8527" spans="1:8" x14ac:dyDescent="0.25">
      <c r="A8527" t="s">
        <v>303</v>
      </c>
      <c r="B8527" t="s">
        <v>7077</v>
      </c>
      <c r="C8527" t="s">
        <v>88</v>
      </c>
      <c r="D8527" t="s">
        <v>88</v>
      </c>
      <c r="E8527" t="s">
        <v>1139</v>
      </c>
      <c r="F8527" t="s">
        <v>88</v>
      </c>
      <c r="G8527" t="s">
        <v>88</v>
      </c>
      <c r="H8527" t="s">
        <v>92</v>
      </c>
    </row>
    <row r="8528" spans="1:8" x14ac:dyDescent="0.25">
      <c r="A8528" t="s">
        <v>303</v>
      </c>
      <c r="B8528" t="s">
        <v>7073</v>
      </c>
      <c r="C8528" t="s">
        <v>88</v>
      </c>
      <c r="D8528" t="s">
        <v>88</v>
      </c>
      <c r="E8528" t="s">
        <v>889</v>
      </c>
      <c r="F8528" t="s">
        <v>88</v>
      </c>
      <c r="G8528" t="s">
        <v>88</v>
      </c>
      <c r="H8528" t="s">
        <v>92</v>
      </c>
    </row>
    <row r="8529" spans="1:8" x14ac:dyDescent="0.25">
      <c r="A8529" t="s">
        <v>303</v>
      </c>
      <c r="B8529" t="s">
        <v>7087</v>
      </c>
      <c r="C8529" t="s">
        <v>88</v>
      </c>
      <c r="D8529" t="s">
        <v>7176</v>
      </c>
      <c r="E8529" t="s">
        <v>1068</v>
      </c>
      <c r="F8529" t="s">
        <v>88</v>
      </c>
      <c r="G8529" t="s">
        <v>88</v>
      </c>
      <c r="H8529" t="s">
        <v>92</v>
      </c>
    </row>
    <row r="8530" spans="1:8" x14ac:dyDescent="0.25">
      <c r="A8530" t="s">
        <v>303</v>
      </c>
      <c r="B8530" t="s">
        <v>7088</v>
      </c>
      <c r="C8530" t="s">
        <v>88</v>
      </c>
      <c r="D8530" t="s">
        <v>88</v>
      </c>
      <c r="E8530" t="s">
        <v>1068</v>
      </c>
      <c r="F8530" t="s">
        <v>88</v>
      </c>
      <c r="G8530" t="s">
        <v>88</v>
      </c>
      <c r="H8530" t="s">
        <v>92</v>
      </c>
    </row>
    <row r="8531" spans="1:8" x14ac:dyDescent="0.25">
      <c r="A8531" t="s">
        <v>303</v>
      </c>
      <c r="B8531" t="s">
        <v>7089</v>
      </c>
      <c r="C8531" t="s">
        <v>88</v>
      </c>
      <c r="D8531" t="s">
        <v>88</v>
      </c>
      <c r="E8531" t="s">
        <v>807</v>
      </c>
      <c r="F8531" t="s">
        <v>88</v>
      </c>
      <c r="G8531" t="s">
        <v>88</v>
      </c>
      <c r="H8531" t="s">
        <v>92</v>
      </c>
    </row>
    <row r="8532" spans="1:8" x14ac:dyDescent="0.25">
      <c r="A8532" t="s">
        <v>303</v>
      </c>
      <c r="B8532" t="s">
        <v>7090</v>
      </c>
      <c r="C8532" t="s">
        <v>88</v>
      </c>
      <c r="D8532" t="s">
        <v>88</v>
      </c>
      <c r="E8532" t="s">
        <v>1068</v>
      </c>
      <c r="F8532" t="s">
        <v>88</v>
      </c>
      <c r="G8532" t="s">
        <v>88</v>
      </c>
      <c r="H8532" t="s">
        <v>92</v>
      </c>
    </row>
    <row r="8533" spans="1:8" x14ac:dyDescent="0.25">
      <c r="A8533" t="s">
        <v>303</v>
      </c>
      <c r="B8533" t="s">
        <v>7091</v>
      </c>
      <c r="C8533" t="s">
        <v>88</v>
      </c>
      <c r="D8533" t="s">
        <v>88</v>
      </c>
      <c r="E8533" t="s">
        <v>1137</v>
      </c>
      <c r="F8533" t="s">
        <v>88</v>
      </c>
      <c r="G8533" t="s">
        <v>88</v>
      </c>
      <c r="H8533" t="s">
        <v>92</v>
      </c>
    </row>
    <row r="8534" spans="1:8" x14ac:dyDescent="0.25">
      <c r="A8534" t="s">
        <v>303</v>
      </c>
      <c r="B8534" t="s">
        <v>7179</v>
      </c>
      <c r="C8534" t="s">
        <v>88</v>
      </c>
      <c r="D8534" t="s">
        <v>88</v>
      </c>
      <c r="E8534" t="s">
        <v>1068</v>
      </c>
      <c r="F8534" t="s">
        <v>88</v>
      </c>
      <c r="G8534" t="s">
        <v>88</v>
      </c>
      <c r="H8534" t="s">
        <v>92</v>
      </c>
    </row>
    <row r="8535" spans="1:8" x14ac:dyDescent="0.25">
      <c r="A8535" t="s">
        <v>303</v>
      </c>
      <c r="B8535" t="s">
        <v>7093</v>
      </c>
      <c r="C8535" t="s">
        <v>88</v>
      </c>
      <c r="D8535" t="s">
        <v>88</v>
      </c>
      <c r="E8535" t="s">
        <v>812</v>
      </c>
      <c r="F8535" t="s">
        <v>88</v>
      </c>
      <c r="G8535" t="s">
        <v>88</v>
      </c>
      <c r="H8535" t="s">
        <v>92</v>
      </c>
    </row>
    <row r="8536" spans="1:8" x14ac:dyDescent="0.25">
      <c r="A8536" t="s">
        <v>303</v>
      </c>
      <c r="B8536" t="s">
        <v>7095</v>
      </c>
      <c r="C8536" t="s">
        <v>88</v>
      </c>
      <c r="D8536" t="s">
        <v>88</v>
      </c>
      <c r="E8536" t="s">
        <v>1068</v>
      </c>
      <c r="F8536" t="s">
        <v>88</v>
      </c>
      <c r="G8536" t="s">
        <v>88</v>
      </c>
      <c r="H8536" t="s">
        <v>92</v>
      </c>
    </row>
    <row r="8537" spans="1:8" x14ac:dyDescent="0.25">
      <c r="A8537" t="s">
        <v>303</v>
      </c>
      <c r="B8537" t="s">
        <v>7096</v>
      </c>
      <c r="C8537" t="s">
        <v>88</v>
      </c>
      <c r="D8537" t="s">
        <v>88</v>
      </c>
      <c r="E8537" t="s">
        <v>814</v>
      </c>
      <c r="F8537" t="s">
        <v>88</v>
      </c>
      <c r="G8537" t="s">
        <v>88</v>
      </c>
      <c r="H8537" t="s">
        <v>92</v>
      </c>
    </row>
    <row r="8538" spans="1:8" x14ac:dyDescent="0.25">
      <c r="A8538" t="s">
        <v>303</v>
      </c>
      <c r="B8538" t="s">
        <v>7098</v>
      </c>
      <c r="C8538" t="s">
        <v>88</v>
      </c>
      <c r="D8538" t="s">
        <v>7206</v>
      </c>
      <c r="E8538" t="s">
        <v>641</v>
      </c>
      <c r="F8538" t="s">
        <v>88</v>
      </c>
      <c r="G8538" t="s">
        <v>88</v>
      </c>
      <c r="H8538" t="s">
        <v>92</v>
      </c>
    </row>
    <row r="8539" spans="1:8" x14ac:dyDescent="0.25">
      <c r="A8539" t="s">
        <v>303</v>
      </c>
      <c r="B8539" t="s">
        <v>7099</v>
      </c>
      <c r="C8539" t="s">
        <v>88</v>
      </c>
      <c r="D8539" t="s">
        <v>88</v>
      </c>
      <c r="E8539" t="s">
        <v>641</v>
      </c>
      <c r="F8539" t="s">
        <v>88</v>
      </c>
      <c r="G8539" t="s">
        <v>88</v>
      </c>
      <c r="H8539" t="s">
        <v>92</v>
      </c>
    </row>
    <row r="8540" spans="1:8" x14ac:dyDescent="0.25">
      <c r="A8540" t="s">
        <v>303</v>
      </c>
      <c r="B8540" t="s">
        <v>7100</v>
      </c>
      <c r="C8540" t="s">
        <v>88</v>
      </c>
      <c r="D8540" t="s">
        <v>88</v>
      </c>
      <c r="E8540" t="s">
        <v>805</v>
      </c>
      <c r="F8540" t="s">
        <v>88</v>
      </c>
      <c r="G8540" t="s">
        <v>88</v>
      </c>
      <c r="H8540" t="s">
        <v>92</v>
      </c>
    </row>
    <row r="8541" spans="1:8" x14ac:dyDescent="0.25">
      <c r="A8541" t="s">
        <v>303</v>
      </c>
      <c r="B8541" t="s">
        <v>7101</v>
      </c>
      <c r="C8541" t="s">
        <v>88</v>
      </c>
      <c r="D8541" t="s">
        <v>88</v>
      </c>
      <c r="E8541" t="s">
        <v>641</v>
      </c>
      <c r="F8541" t="s">
        <v>88</v>
      </c>
      <c r="G8541" t="s">
        <v>88</v>
      </c>
      <c r="H8541" t="s">
        <v>92</v>
      </c>
    </row>
    <row r="8542" spans="1:8" x14ac:dyDescent="0.25">
      <c r="A8542" t="s">
        <v>303</v>
      </c>
      <c r="B8542" t="s">
        <v>7102</v>
      </c>
      <c r="C8542" t="s">
        <v>88</v>
      </c>
      <c r="D8542" t="s">
        <v>88</v>
      </c>
      <c r="E8542" t="s">
        <v>641</v>
      </c>
      <c r="F8542" t="s">
        <v>88</v>
      </c>
      <c r="G8542" t="s">
        <v>88</v>
      </c>
      <c r="H8542" t="s">
        <v>92</v>
      </c>
    </row>
    <row r="8543" spans="1:8" x14ac:dyDescent="0.25">
      <c r="A8543" t="s">
        <v>303</v>
      </c>
      <c r="B8543" t="s">
        <v>7103</v>
      </c>
      <c r="C8543" t="s">
        <v>88</v>
      </c>
      <c r="D8543" t="s">
        <v>88</v>
      </c>
      <c r="E8543" t="s">
        <v>641</v>
      </c>
      <c r="F8543" t="s">
        <v>88</v>
      </c>
      <c r="G8543" t="s">
        <v>88</v>
      </c>
      <c r="H8543" t="s">
        <v>92</v>
      </c>
    </row>
    <row r="8544" spans="1:8" x14ac:dyDescent="0.25">
      <c r="A8544" t="s">
        <v>303</v>
      </c>
      <c r="B8544" t="s">
        <v>7177</v>
      </c>
      <c r="C8544" t="s">
        <v>88</v>
      </c>
      <c r="D8544" t="s">
        <v>7178</v>
      </c>
      <c r="E8544" t="s">
        <v>803</v>
      </c>
      <c r="F8544" t="s">
        <v>88</v>
      </c>
      <c r="G8544" t="s">
        <v>88</v>
      </c>
      <c r="H8544" t="s">
        <v>92</v>
      </c>
    </row>
    <row r="8545" spans="1:8" x14ac:dyDescent="0.25">
      <c r="A8545" t="s">
        <v>303</v>
      </c>
      <c r="B8545" t="s">
        <v>7104</v>
      </c>
      <c r="C8545" t="s">
        <v>88</v>
      </c>
      <c r="D8545" t="s">
        <v>88</v>
      </c>
      <c r="E8545" t="s">
        <v>1068</v>
      </c>
      <c r="F8545" t="s">
        <v>88</v>
      </c>
      <c r="G8545" t="s">
        <v>88</v>
      </c>
      <c r="H8545" t="s">
        <v>92</v>
      </c>
    </row>
    <row r="8546" spans="1:8" x14ac:dyDescent="0.25">
      <c r="A8546" t="s">
        <v>303</v>
      </c>
      <c r="B8546" t="s">
        <v>7174</v>
      </c>
      <c r="C8546" t="s">
        <v>88</v>
      </c>
      <c r="D8546" t="s">
        <v>88</v>
      </c>
      <c r="E8546" t="s">
        <v>641</v>
      </c>
      <c r="F8546" t="s">
        <v>88</v>
      </c>
      <c r="G8546" t="s">
        <v>88</v>
      </c>
      <c r="H8546" t="s">
        <v>92</v>
      </c>
    </row>
    <row r="8547" spans="1:8" x14ac:dyDescent="0.25">
      <c r="A8547" t="s">
        <v>303</v>
      </c>
      <c r="B8547" t="s">
        <v>7107</v>
      </c>
      <c r="C8547" t="s">
        <v>88</v>
      </c>
      <c r="D8547" t="s">
        <v>88</v>
      </c>
      <c r="E8547" t="s">
        <v>1068</v>
      </c>
      <c r="F8547" t="s">
        <v>88</v>
      </c>
      <c r="G8547" t="s">
        <v>88</v>
      </c>
      <c r="H8547" t="s">
        <v>92</v>
      </c>
    </row>
    <row r="8548" spans="1:8" x14ac:dyDescent="0.25">
      <c r="A8548" t="s">
        <v>303</v>
      </c>
      <c r="B8548" t="s">
        <v>7108</v>
      </c>
      <c r="C8548" t="s">
        <v>88</v>
      </c>
      <c r="D8548" t="s">
        <v>88</v>
      </c>
      <c r="E8548" t="s">
        <v>641</v>
      </c>
      <c r="F8548" t="s">
        <v>88</v>
      </c>
      <c r="G8548" t="s">
        <v>88</v>
      </c>
      <c r="H8548" t="s">
        <v>92</v>
      </c>
    </row>
    <row r="8549" spans="1:8" x14ac:dyDescent="0.25">
      <c r="A8549" t="s">
        <v>303</v>
      </c>
      <c r="B8549" t="s">
        <v>1868</v>
      </c>
      <c r="C8549" t="s">
        <v>88</v>
      </c>
      <c r="D8549" t="s">
        <v>7207</v>
      </c>
      <c r="E8549" t="s">
        <v>692</v>
      </c>
      <c r="F8549" t="s">
        <v>88</v>
      </c>
      <c r="G8549" t="s">
        <v>88</v>
      </c>
      <c r="H8549" t="s">
        <v>92</v>
      </c>
    </row>
    <row r="8550" spans="1:8" x14ac:dyDescent="0.25">
      <c r="A8550" t="s">
        <v>303</v>
      </c>
      <c r="B8550" t="s">
        <v>603</v>
      </c>
      <c r="C8550" t="s">
        <v>88</v>
      </c>
      <c r="D8550" t="s">
        <v>7207</v>
      </c>
      <c r="E8550" t="s">
        <v>655</v>
      </c>
      <c r="F8550" t="s">
        <v>88</v>
      </c>
      <c r="G8550" t="s">
        <v>88</v>
      </c>
      <c r="H8550" t="s">
        <v>92</v>
      </c>
    </row>
    <row r="8551" spans="1:8" x14ac:dyDescent="0.25">
      <c r="A8551" t="s">
        <v>303</v>
      </c>
      <c r="B8551" t="s">
        <v>7208</v>
      </c>
      <c r="C8551" t="s">
        <v>88</v>
      </c>
      <c r="D8551" t="s">
        <v>88</v>
      </c>
      <c r="E8551" t="s">
        <v>841</v>
      </c>
      <c r="F8551" t="s">
        <v>88</v>
      </c>
      <c r="G8551" t="s">
        <v>88</v>
      </c>
      <c r="H8551" t="s">
        <v>92</v>
      </c>
    </row>
    <row r="8552" spans="1:8" x14ac:dyDescent="0.25">
      <c r="A8552" t="s">
        <v>303</v>
      </c>
      <c r="B8552" t="s">
        <v>7209</v>
      </c>
      <c r="C8552" t="s">
        <v>88</v>
      </c>
      <c r="D8552" t="s">
        <v>1109</v>
      </c>
      <c r="E8552" t="s">
        <v>841</v>
      </c>
      <c r="F8552" t="s">
        <v>88</v>
      </c>
      <c r="G8552" t="s">
        <v>88</v>
      </c>
      <c r="H8552" t="s">
        <v>92</v>
      </c>
    </row>
    <row r="8553" spans="1:8" x14ac:dyDescent="0.25">
      <c r="A8553" t="s">
        <v>303</v>
      </c>
      <c r="B8553" t="s">
        <v>7210</v>
      </c>
      <c r="C8553" t="s">
        <v>88</v>
      </c>
      <c r="D8553" t="s">
        <v>88</v>
      </c>
      <c r="E8553" t="s">
        <v>1714</v>
      </c>
      <c r="F8553" t="s">
        <v>88</v>
      </c>
      <c r="G8553" t="s">
        <v>88</v>
      </c>
      <c r="H8553" t="s">
        <v>92</v>
      </c>
    </row>
    <row r="8554" spans="1:8" x14ac:dyDescent="0.25">
      <c r="A8554" t="s">
        <v>303</v>
      </c>
      <c r="B8554" t="s">
        <v>7211</v>
      </c>
      <c r="C8554" t="s">
        <v>88</v>
      </c>
      <c r="D8554" t="s">
        <v>1109</v>
      </c>
      <c r="E8554" t="s">
        <v>1714</v>
      </c>
      <c r="F8554" t="s">
        <v>88</v>
      </c>
      <c r="G8554" t="s">
        <v>88</v>
      </c>
      <c r="H8554" t="s">
        <v>92</v>
      </c>
    </row>
    <row r="8555" spans="1:8" x14ac:dyDescent="0.25">
      <c r="A8555" t="s">
        <v>303</v>
      </c>
      <c r="B8555" t="s">
        <v>7212</v>
      </c>
      <c r="C8555" t="s">
        <v>88</v>
      </c>
      <c r="D8555" t="s">
        <v>88</v>
      </c>
      <c r="E8555" t="s">
        <v>812</v>
      </c>
      <c r="F8555" t="s">
        <v>88</v>
      </c>
      <c r="G8555" t="s">
        <v>88</v>
      </c>
      <c r="H8555" t="s">
        <v>92</v>
      </c>
    </row>
    <row r="8556" spans="1:8" x14ac:dyDescent="0.25">
      <c r="A8556" t="s">
        <v>303</v>
      </c>
      <c r="B8556" t="s">
        <v>7213</v>
      </c>
      <c r="C8556" t="s">
        <v>88</v>
      </c>
      <c r="D8556" t="s">
        <v>1109</v>
      </c>
      <c r="E8556" t="s">
        <v>812</v>
      </c>
      <c r="F8556" t="s">
        <v>88</v>
      </c>
      <c r="G8556" t="s">
        <v>88</v>
      </c>
      <c r="H8556" t="s">
        <v>92</v>
      </c>
    </row>
    <row r="8557" spans="1:8" x14ac:dyDescent="0.25">
      <c r="A8557" t="s">
        <v>303</v>
      </c>
      <c r="B8557" t="s">
        <v>7214</v>
      </c>
      <c r="C8557" t="s">
        <v>88</v>
      </c>
      <c r="D8557" t="s">
        <v>88</v>
      </c>
      <c r="E8557" t="s">
        <v>814</v>
      </c>
      <c r="F8557" t="s">
        <v>88</v>
      </c>
      <c r="G8557" t="s">
        <v>88</v>
      </c>
      <c r="H8557" t="s">
        <v>92</v>
      </c>
    </row>
    <row r="8558" spans="1:8" x14ac:dyDescent="0.25">
      <c r="A8558" t="s">
        <v>303</v>
      </c>
      <c r="B8558" t="s">
        <v>7215</v>
      </c>
      <c r="C8558" t="s">
        <v>88</v>
      </c>
      <c r="D8558" t="s">
        <v>1109</v>
      </c>
      <c r="E8558" t="s">
        <v>814</v>
      </c>
      <c r="F8558" t="s">
        <v>88</v>
      </c>
      <c r="G8558" t="s">
        <v>88</v>
      </c>
      <c r="H8558" t="s">
        <v>92</v>
      </c>
    </row>
    <row r="8559" spans="1:8" x14ac:dyDescent="0.25">
      <c r="A8559" t="s">
        <v>303</v>
      </c>
      <c r="B8559" t="s">
        <v>1072</v>
      </c>
      <c r="C8559" t="s">
        <v>88</v>
      </c>
      <c r="D8559" t="s">
        <v>88</v>
      </c>
      <c r="E8559" t="s">
        <v>1596</v>
      </c>
      <c r="F8559" t="s">
        <v>88</v>
      </c>
      <c r="G8559" t="s">
        <v>88</v>
      </c>
      <c r="H8559" t="s">
        <v>92</v>
      </c>
    </row>
    <row r="8560" spans="1:8" x14ac:dyDescent="0.25">
      <c r="A8560" t="s">
        <v>303</v>
      </c>
      <c r="B8560" t="s">
        <v>612</v>
      </c>
      <c r="C8560" t="s">
        <v>88</v>
      </c>
      <c r="D8560" t="s">
        <v>88</v>
      </c>
      <c r="E8560" t="s">
        <v>1596</v>
      </c>
      <c r="F8560" t="s">
        <v>88</v>
      </c>
      <c r="G8560" t="s">
        <v>88</v>
      </c>
      <c r="H8560" t="s">
        <v>92</v>
      </c>
    </row>
    <row r="8561" spans="1:8" x14ac:dyDescent="0.25">
      <c r="A8561" t="s">
        <v>303</v>
      </c>
      <c r="B8561" t="s">
        <v>615</v>
      </c>
      <c r="C8561" t="s">
        <v>88</v>
      </c>
      <c r="D8561" t="s">
        <v>88</v>
      </c>
      <c r="E8561" t="s">
        <v>1596</v>
      </c>
      <c r="F8561" t="s">
        <v>88</v>
      </c>
      <c r="G8561" t="s">
        <v>88</v>
      </c>
      <c r="H8561" t="s">
        <v>92</v>
      </c>
    </row>
    <row r="8562" spans="1:8" x14ac:dyDescent="0.25">
      <c r="A8562" t="s">
        <v>303</v>
      </c>
      <c r="B8562" t="s">
        <v>616</v>
      </c>
      <c r="C8562" t="s">
        <v>88</v>
      </c>
      <c r="D8562" t="s">
        <v>88</v>
      </c>
      <c r="E8562" t="s">
        <v>1596</v>
      </c>
      <c r="F8562" t="s">
        <v>88</v>
      </c>
      <c r="G8562" t="s">
        <v>88</v>
      </c>
      <c r="H8562" t="s">
        <v>92</v>
      </c>
    </row>
    <row r="8563" spans="1:8" x14ac:dyDescent="0.25">
      <c r="A8563" t="s">
        <v>303</v>
      </c>
      <c r="B8563" t="s">
        <v>7138</v>
      </c>
      <c r="C8563" t="s">
        <v>88</v>
      </c>
      <c r="D8563" t="s">
        <v>88</v>
      </c>
      <c r="E8563" t="s">
        <v>676</v>
      </c>
      <c r="F8563" t="s">
        <v>88</v>
      </c>
      <c r="G8563" t="s">
        <v>88</v>
      </c>
      <c r="H8563" t="s">
        <v>92</v>
      </c>
    </row>
    <row r="8564" spans="1:8" x14ac:dyDescent="0.25">
      <c r="A8564" t="s">
        <v>303</v>
      </c>
      <c r="B8564" t="s">
        <v>7139</v>
      </c>
      <c r="C8564" t="s">
        <v>88</v>
      </c>
      <c r="D8564" t="s">
        <v>88</v>
      </c>
      <c r="E8564" t="s">
        <v>893</v>
      </c>
      <c r="F8564" t="s">
        <v>88</v>
      </c>
      <c r="G8564" t="s">
        <v>88</v>
      </c>
      <c r="H8564" t="s">
        <v>92</v>
      </c>
    </row>
    <row r="8565" spans="1:8" x14ac:dyDescent="0.25">
      <c r="A8565" t="s">
        <v>303</v>
      </c>
      <c r="B8565" t="s">
        <v>7216</v>
      </c>
      <c r="C8565" t="s">
        <v>88</v>
      </c>
      <c r="D8565" t="s">
        <v>7217</v>
      </c>
      <c r="E8565" t="s">
        <v>964</v>
      </c>
      <c r="F8565" t="s">
        <v>88</v>
      </c>
      <c r="G8565" t="s">
        <v>88</v>
      </c>
      <c r="H8565" t="s">
        <v>92</v>
      </c>
    </row>
    <row r="8566" spans="1:8" x14ac:dyDescent="0.25">
      <c r="A8566" t="s">
        <v>303</v>
      </c>
      <c r="B8566" t="s">
        <v>7141</v>
      </c>
      <c r="C8566" t="s">
        <v>88</v>
      </c>
      <c r="D8566" t="s">
        <v>88</v>
      </c>
      <c r="E8566" t="s">
        <v>2814</v>
      </c>
      <c r="F8566" t="s">
        <v>88</v>
      </c>
      <c r="G8566" t="s">
        <v>88</v>
      </c>
      <c r="H8566" t="s">
        <v>92</v>
      </c>
    </row>
    <row r="8567" spans="1:8" x14ac:dyDescent="0.25">
      <c r="A8567" t="s">
        <v>303</v>
      </c>
      <c r="B8567" t="s">
        <v>7200</v>
      </c>
      <c r="C8567" t="s">
        <v>88</v>
      </c>
      <c r="D8567" t="s">
        <v>88</v>
      </c>
      <c r="E8567" t="s">
        <v>3172</v>
      </c>
      <c r="F8567" t="s">
        <v>88</v>
      </c>
      <c r="G8567" t="s">
        <v>88</v>
      </c>
      <c r="H8567" t="s">
        <v>92</v>
      </c>
    </row>
    <row r="8568" spans="1:8" x14ac:dyDescent="0.25">
      <c r="A8568" t="s">
        <v>303</v>
      </c>
      <c r="B8568" t="s">
        <v>7218</v>
      </c>
      <c r="C8568" t="s">
        <v>88</v>
      </c>
      <c r="D8568" t="s">
        <v>88</v>
      </c>
      <c r="E8568" t="s">
        <v>3172</v>
      </c>
      <c r="F8568" t="s">
        <v>88</v>
      </c>
      <c r="G8568" t="s">
        <v>88</v>
      </c>
      <c r="H8568" t="s">
        <v>92</v>
      </c>
    </row>
    <row r="8569" spans="1:8" x14ac:dyDescent="0.25">
      <c r="A8569" t="s">
        <v>303</v>
      </c>
      <c r="B8569" t="s">
        <v>1709</v>
      </c>
      <c r="C8569" t="s">
        <v>88</v>
      </c>
      <c r="D8569" t="s">
        <v>88</v>
      </c>
      <c r="E8569" t="s">
        <v>838</v>
      </c>
      <c r="F8569" t="s">
        <v>88</v>
      </c>
      <c r="G8569" t="s">
        <v>88</v>
      </c>
      <c r="H8569" t="s">
        <v>92</v>
      </c>
    </row>
    <row r="8570" spans="1:8" x14ac:dyDescent="0.25">
      <c r="A8570" t="s">
        <v>303</v>
      </c>
      <c r="B8570" t="s">
        <v>7116</v>
      </c>
      <c r="C8570" t="s">
        <v>88</v>
      </c>
      <c r="D8570" t="s">
        <v>88</v>
      </c>
      <c r="E8570" t="s">
        <v>641</v>
      </c>
      <c r="F8570" t="s">
        <v>88</v>
      </c>
      <c r="G8570" t="s">
        <v>88</v>
      </c>
      <c r="H8570" t="s">
        <v>92</v>
      </c>
    </row>
    <row r="8571" spans="1:8" x14ac:dyDescent="0.25">
      <c r="A8571" t="s">
        <v>303</v>
      </c>
      <c r="B8571" t="s">
        <v>1050</v>
      </c>
      <c r="C8571" t="s">
        <v>88</v>
      </c>
      <c r="D8571" t="s">
        <v>88</v>
      </c>
      <c r="E8571" t="s">
        <v>1714</v>
      </c>
      <c r="F8571" t="s">
        <v>88</v>
      </c>
      <c r="G8571" t="s">
        <v>88</v>
      </c>
      <c r="H8571" t="s">
        <v>92</v>
      </c>
    </row>
    <row r="8572" spans="1:8" x14ac:dyDescent="0.25">
      <c r="A8572" t="s">
        <v>303</v>
      </c>
      <c r="B8572" t="s">
        <v>1046</v>
      </c>
      <c r="C8572" t="s">
        <v>88</v>
      </c>
      <c r="D8572" t="s">
        <v>88</v>
      </c>
      <c r="E8572" t="s">
        <v>841</v>
      </c>
      <c r="F8572" t="s">
        <v>88</v>
      </c>
      <c r="G8572" t="s">
        <v>88</v>
      </c>
      <c r="H8572" t="s">
        <v>92</v>
      </c>
    </row>
    <row r="8573" spans="1:8" x14ac:dyDescent="0.25">
      <c r="A8573" t="s">
        <v>303</v>
      </c>
      <c r="B8573" t="s">
        <v>4977</v>
      </c>
      <c r="C8573" t="s">
        <v>88</v>
      </c>
      <c r="D8573" t="s">
        <v>88</v>
      </c>
      <c r="E8573" t="s">
        <v>1714</v>
      </c>
      <c r="F8573" t="s">
        <v>88</v>
      </c>
      <c r="G8573" t="s">
        <v>88</v>
      </c>
      <c r="H8573" t="s">
        <v>92</v>
      </c>
    </row>
    <row r="8574" spans="1:8" x14ac:dyDescent="0.25">
      <c r="A8574" t="s">
        <v>303</v>
      </c>
      <c r="B8574" t="s">
        <v>4975</v>
      </c>
      <c r="C8574" t="s">
        <v>88</v>
      </c>
      <c r="D8574" t="s">
        <v>88</v>
      </c>
      <c r="E8574" t="s">
        <v>1714</v>
      </c>
      <c r="F8574" t="s">
        <v>88</v>
      </c>
      <c r="G8574" t="s">
        <v>88</v>
      </c>
      <c r="H8574" t="s">
        <v>92</v>
      </c>
    </row>
    <row r="8575" spans="1:8" x14ac:dyDescent="0.25">
      <c r="A8575" t="s">
        <v>303</v>
      </c>
      <c r="B8575" t="s">
        <v>7119</v>
      </c>
      <c r="C8575" t="s">
        <v>88</v>
      </c>
      <c r="D8575" t="s">
        <v>88</v>
      </c>
      <c r="E8575" t="s">
        <v>1714</v>
      </c>
      <c r="F8575" t="s">
        <v>88</v>
      </c>
      <c r="G8575" t="s">
        <v>88</v>
      </c>
      <c r="H8575" t="s">
        <v>92</v>
      </c>
    </row>
    <row r="8576" spans="1:8" x14ac:dyDescent="0.25">
      <c r="A8576" t="s">
        <v>303</v>
      </c>
      <c r="B8576" t="s">
        <v>7120</v>
      </c>
      <c r="C8576" t="s">
        <v>88</v>
      </c>
      <c r="D8576" t="s">
        <v>88</v>
      </c>
      <c r="E8576" t="s">
        <v>1714</v>
      </c>
      <c r="F8576" t="s">
        <v>88</v>
      </c>
      <c r="G8576" t="s">
        <v>88</v>
      </c>
      <c r="H8576" t="s">
        <v>92</v>
      </c>
    </row>
    <row r="8577" spans="1:8" x14ac:dyDescent="0.25">
      <c r="A8577" t="s">
        <v>303</v>
      </c>
      <c r="B8577" t="s">
        <v>7122</v>
      </c>
      <c r="C8577" t="s">
        <v>88</v>
      </c>
      <c r="D8577" t="s">
        <v>88</v>
      </c>
      <c r="E8577" t="s">
        <v>1714</v>
      </c>
      <c r="F8577" t="s">
        <v>88</v>
      </c>
      <c r="G8577" t="s">
        <v>88</v>
      </c>
      <c r="H8577" t="s">
        <v>92</v>
      </c>
    </row>
    <row r="8578" spans="1:8" x14ac:dyDescent="0.25">
      <c r="A8578" t="s">
        <v>303</v>
      </c>
      <c r="B8578" t="s">
        <v>7123</v>
      </c>
      <c r="C8578" t="s">
        <v>88</v>
      </c>
      <c r="D8578" t="s">
        <v>88</v>
      </c>
      <c r="E8578" t="s">
        <v>825</v>
      </c>
      <c r="F8578" t="s">
        <v>88</v>
      </c>
      <c r="G8578" t="s">
        <v>88</v>
      </c>
      <c r="H8578" t="s">
        <v>92</v>
      </c>
    </row>
    <row r="8579" spans="1:8" x14ac:dyDescent="0.25">
      <c r="A8579" t="s">
        <v>303</v>
      </c>
      <c r="B8579" t="s">
        <v>7219</v>
      </c>
      <c r="C8579" t="s">
        <v>88</v>
      </c>
      <c r="D8579" t="s">
        <v>88</v>
      </c>
      <c r="E8579" t="s">
        <v>641</v>
      </c>
      <c r="F8579" t="s">
        <v>88</v>
      </c>
      <c r="G8579" t="s">
        <v>88</v>
      </c>
      <c r="H8579" t="s">
        <v>92</v>
      </c>
    </row>
    <row r="8580" spans="1:8" x14ac:dyDescent="0.25">
      <c r="A8580" t="s">
        <v>303</v>
      </c>
      <c r="B8580" t="s">
        <v>7125</v>
      </c>
      <c r="C8580" t="s">
        <v>88</v>
      </c>
      <c r="D8580" t="s">
        <v>88</v>
      </c>
      <c r="E8580" t="s">
        <v>1714</v>
      </c>
      <c r="F8580" t="s">
        <v>88</v>
      </c>
      <c r="G8580" t="s">
        <v>88</v>
      </c>
      <c r="H8580" t="s">
        <v>92</v>
      </c>
    </row>
    <row r="8581" spans="1:8" x14ac:dyDescent="0.25">
      <c r="A8581" t="s">
        <v>303</v>
      </c>
      <c r="B8581" t="s">
        <v>4960</v>
      </c>
      <c r="C8581" t="s">
        <v>88</v>
      </c>
      <c r="D8581" t="s">
        <v>88</v>
      </c>
      <c r="E8581" t="s">
        <v>805</v>
      </c>
      <c r="F8581" t="s">
        <v>88</v>
      </c>
      <c r="G8581" t="s">
        <v>88</v>
      </c>
      <c r="H8581" t="s">
        <v>92</v>
      </c>
    </row>
    <row r="8582" spans="1:8" x14ac:dyDescent="0.25">
      <c r="A8582" t="s">
        <v>303</v>
      </c>
      <c r="B8582" t="s">
        <v>1053</v>
      </c>
      <c r="C8582" t="s">
        <v>88</v>
      </c>
      <c r="D8582" t="s">
        <v>88</v>
      </c>
      <c r="E8582" t="s">
        <v>1171</v>
      </c>
      <c r="F8582" t="s">
        <v>88</v>
      </c>
      <c r="G8582" t="s">
        <v>88</v>
      </c>
      <c r="H8582" t="s">
        <v>92</v>
      </c>
    </row>
    <row r="8583" spans="1:8" x14ac:dyDescent="0.25">
      <c r="A8583" t="s">
        <v>303</v>
      </c>
      <c r="B8583" t="s">
        <v>4962</v>
      </c>
      <c r="C8583" t="s">
        <v>88</v>
      </c>
      <c r="D8583" t="s">
        <v>88</v>
      </c>
      <c r="E8583" t="s">
        <v>1137</v>
      </c>
      <c r="F8583" t="s">
        <v>88</v>
      </c>
      <c r="G8583" t="s">
        <v>88</v>
      </c>
      <c r="H8583" t="s">
        <v>92</v>
      </c>
    </row>
    <row r="8584" spans="1:8" x14ac:dyDescent="0.25">
      <c r="A8584" t="s">
        <v>303</v>
      </c>
      <c r="B8584" t="s">
        <v>4958</v>
      </c>
      <c r="C8584" t="s">
        <v>88</v>
      </c>
      <c r="D8584" t="s">
        <v>88</v>
      </c>
      <c r="E8584" t="s">
        <v>1137</v>
      </c>
      <c r="F8584" t="s">
        <v>88</v>
      </c>
      <c r="G8584" t="s">
        <v>88</v>
      </c>
      <c r="H8584" t="s">
        <v>92</v>
      </c>
    </row>
    <row r="8585" spans="1:8" x14ac:dyDescent="0.25">
      <c r="A8585" t="s">
        <v>303</v>
      </c>
      <c r="B8585" t="s">
        <v>7127</v>
      </c>
      <c r="C8585" t="s">
        <v>88</v>
      </c>
      <c r="D8585" t="s">
        <v>88</v>
      </c>
      <c r="E8585" t="s">
        <v>1137</v>
      </c>
      <c r="F8585" t="s">
        <v>88</v>
      </c>
      <c r="G8585" t="s">
        <v>88</v>
      </c>
      <c r="H8585" t="s">
        <v>92</v>
      </c>
    </row>
    <row r="8586" spans="1:8" x14ac:dyDescent="0.25">
      <c r="A8586" t="s">
        <v>303</v>
      </c>
      <c r="B8586" t="s">
        <v>7128</v>
      </c>
      <c r="C8586" t="s">
        <v>88</v>
      </c>
      <c r="D8586" t="s">
        <v>88</v>
      </c>
      <c r="E8586" t="s">
        <v>1137</v>
      </c>
      <c r="F8586" t="s">
        <v>88</v>
      </c>
      <c r="G8586" t="s">
        <v>88</v>
      </c>
      <c r="H8586" t="s">
        <v>92</v>
      </c>
    </row>
    <row r="8587" spans="1:8" x14ac:dyDescent="0.25">
      <c r="A8587" t="s">
        <v>303</v>
      </c>
      <c r="B8587" t="s">
        <v>7187</v>
      </c>
      <c r="C8587" t="s">
        <v>88</v>
      </c>
      <c r="D8587" t="s">
        <v>88</v>
      </c>
      <c r="E8587" t="s">
        <v>1171</v>
      </c>
      <c r="F8587" t="s">
        <v>88</v>
      </c>
      <c r="G8587" t="s">
        <v>88</v>
      </c>
      <c r="H8587" t="s">
        <v>92</v>
      </c>
    </row>
    <row r="8588" spans="1:8" x14ac:dyDescent="0.25">
      <c r="A8588" t="s">
        <v>303</v>
      </c>
      <c r="B8588" t="s">
        <v>1172</v>
      </c>
      <c r="C8588" t="s">
        <v>88</v>
      </c>
      <c r="D8588" t="s">
        <v>88</v>
      </c>
      <c r="E8588" t="s">
        <v>1135</v>
      </c>
      <c r="F8588" t="s">
        <v>88</v>
      </c>
      <c r="G8588" t="s">
        <v>88</v>
      </c>
      <c r="H8588" t="s">
        <v>92</v>
      </c>
    </row>
    <row r="8589" spans="1:8" x14ac:dyDescent="0.25">
      <c r="A8589" t="s">
        <v>303</v>
      </c>
      <c r="B8589" t="s">
        <v>7132</v>
      </c>
      <c r="C8589" t="s">
        <v>88</v>
      </c>
      <c r="D8589" t="s">
        <v>88</v>
      </c>
      <c r="E8589" t="s">
        <v>1714</v>
      </c>
      <c r="F8589" t="s">
        <v>88</v>
      </c>
      <c r="G8589" t="s">
        <v>88</v>
      </c>
      <c r="H8589" t="s">
        <v>92</v>
      </c>
    </row>
    <row r="8590" spans="1:8" x14ac:dyDescent="0.25">
      <c r="A8590" t="s">
        <v>303</v>
      </c>
      <c r="B8590" t="s">
        <v>7133</v>
      </c>
      <c r="C8590" t="s">
        <v>88</v>
      </c>
      <c r="D8590" t="s">
        <v>88</v>
      </c>
      <c r="E8590" t="s">
        <v>807</v>
      </c>
      <c r="F8590" t="s">
        <v>88</v>
      </c>
      <c r="G8590" t="s">
        <v>88</v>
      </c>
      <c r="H8590" t="s">
        <v>92</v>
      </c>
    </row>
    <row r="8591" spans="1:8" x14ac:dyDescent="0.25">
      <c r="A8591" t="s">
        <v>303</v>
      </c>
      <c r="B8591" t="s">
        <v>7188</v>
      </c>
      <c r="C8591" t="s">
        <v>88</v>
      </c>
      <c r="D8591" t="s">
        <v>88</v>
      </c>
      <c r="E8591" t="s">
        <v>1137</v>
      </c>
      <c r="F8591" t="s">
        <v>88</v>
      </c>
      <c r="G8591" t="s">
        <v>88</v>
      </c>
      <c r="H8591" t="s">
        <v>92</v>
      </c>
    </row>
    <row r="8592" spans="1:8" x14ac:dyDescent="0.25">
      <c r="A8592" t="s">
        <v>303</v>
      </c>
      <c r="B8592" t="s">
        <v>7134</v>
      </c>
      <c r="C8592" t="s">
        <v>88</v>
      </c>
      <c r="D8592" t="s">
        <v>88</v>
      </c>
      <c r="E8592" t="s">
        <v>762</v>
      </c>
      <c r="F8592" t="s">
        <v>88</v>
      </c>
      <c r="G8592" t="s">
        <v>88</v>
      </c>
      <c r="H8592" t="s">
        <v>92</v>
      </c>
    </row>
    <row r="8593" spans="1:8" x14ac:dyDescent="0.25">
      <c r="A8593" t="s">
        <v>303</v>
      </c>
      <c r="B8593" t="s">
        <v>625</v>
      </c>
      <c r="C8593" t="s">
        <v>88</v>
      </c>
      <c r="D8593" t="s">
        <v>88</v>
      </c>
      <c r="E8593" t="s">
        <v>626</v>
      </c>
      <c r="F8593" t="s">
        <v>88</v>
      </c>
      <c r="G8593" t="s">
        <v>88</v>
      </c>
      <c r="H8593" t="s">
        <v>92</v>
      </c>
    </row>
    <row r="8594" spans="1:8" x14ac:dyDescent="0.25">
      <c r="A8594" t="s">
        <v>305</v>
      </c>
      <c r="B8594" t="s">
        <v>4158</v>
      </c>
      <c r="C8594" t="s">
        <v>88</v>
      </c>
      <c r="D8594" t="s">
        <v>7220</v>
      </c>
      <c r="E8594" t="s">
        <v>663</v>
      </c>
      <c r="F8594" t="s">
        <v>88</v>
      </c>
      <c r="G8594" t="s">
        <v>88</v>
      </c>
      <c r="H8594" t="s">
        <v>92</v>
      </c>
    </row>
    <row r="8595" spans="1:8" x14ac:dyDescent="0.25">
      <c r="A8595" t="s">
        <v>305</v>
      </c>
      <c r="B8595" t="s">
        <v>7221</v>
      </c>
      <c r="C8595" t="s">
        <v>88</v>
      </c>
      <c r="D8595" t="s">
        <v>7222</v>
      </c>
      <c r="E8595" t="s">
        <v>676</v>
      </c>
      <c r="F8595" t="s">
        <v>88</v>
      </c>
      <c r="G8595" t="s">
        <v>88</v>
      </c>
      <c r="H8595" t="s">
        <v>92</v>
      </c>
    </row>
    <row r="8596" spans="1:8" x14ac:dyDescent="0.25">
      <c r="A8596" t="s">
        <v>305</v>
      </c>
      <c r="B8596" t="s">
        <v>7223</v>
      </c>
      <c r="C8596" t="s">
        <v>88</v>
      </c>
      <c r="D8596" t="s">
        <v>7224</v>
      </c>
      <c r="E8596" t="s">
        <v>717</v>
      </c>
      <c r="F8596" t="s">
        <v>88</v>
      </c>
      <c r="G8596" t="s">
        <v>88</v>
      </c>
      <c r="H8596" t="s">
        <v>92</v>
      </c>
    </row>
    <row r="8597" spans="1:8" x14ac:dyDescent="0.25">
      <c r="A8597" t="s">
        <v>305</v>
      </c>
      <c r="B8597" t="s">
        <v>4177</v>
      </c>
      <c r="C8597" t="s">
        <v>88</v>
      </c>
      <c r="D8597" t="s">
        <v>7225</v>
      </c>
      <c r="E8597" t="s">
        <v>748</v>
      </c>
      <c r="F8597" t="s">
        <v>88</v>
      </c>
      <c r="G8597" t="s">
        <v>88</v>
      </c>
      <c r="H8597" t="s">
        <v>92</v>
      </c>
    </row>
    <row r="8598" spans="1:8" x14ac:dyDescent="0.25">
      <c r="A8598" t="s">
        <v>305</v>
      </c>
      <c r="B8598" t="s">
        <v>4192</v>
      </c>
      <c r="C8598" t="s">
        <v>88</v>
      </c>
      <c r="D8598" t="s">
        <v>7226</v>
      </c>
      <c r="E8598" t="s">
        <v>663</v>
      </c>
      <c r="F8598" t="s">
        <v>88</v>
      </c>
      <c r="G8598" t="s">
        <v>88</v>
      </c>
      <c r="H8598" t="s">
        <v>92</v>
      </c>
    </row>
    <row r="8599" spans="1:8" x14ac:dyDescent="0.25">
      <c r="A8599" t="s">
        <v>305</v>
      </c>
      <c r="B8599" t="s">
        <v>7227</v>
      </c>
      <c r="C8599" t="s">
        <v>88</v>
      </c>
      <c r="D8599" t="s">
        <v>7228</v>
      </c>
      <c r="E8599" t="s">
        <v>7229</v>
      </c>
      <c r="F8599" t="s">
        <v>88</v>
      </c>
      <c r="G8599" t="s">
        <v>88</v>
      </c>
      <c r="H8599" t="s">
        <v>92</v>
      </c>
    </row>
    <row r="8600" spans="1:8" x14ac:dyDescent="0.25">
      <c r="A8600" t="s">
        <v>305</v>
      </c>
      <c r="B8600" t="s">
        <v>7230</v>
      </c>
      <c r="C8600" t="s">
        <v>88</v>
      </c>
      <c r="D8600" t="s">
        <v>7231</v>
      </c>
      <c r="E8600" t="s">
        <v>748</v>
      </c>
      <c r="F8600" t="s">
        <v>88</v>
      </c>
      <c r="G8600" t="s">
        <v>88</v>
      </c>
      <c r="H8600" t="s">
        <v>92</v>
      </c>
    </row>
    <row r="8601" spans="1:8" x14ac:dyDescent="0.25">
      <c r="A8601" t="s">
        <v>305</v>
      </c>
      <c r="B8601" t="s">
        <v>4156</v>
      </c>
      <c r="C8601" t="s">
        <v>88</v>
      </c>
      <c r="D8601" t="s">
        <v>7232</v>
      </c>
      <c r="E8601" t="s">
        <v>676</v>
      </c>
      <c r="F8601" t="s">
        <v>88</v>
      </c>
      <c r="G8601" t="s">
        <v>88</v>
      </c>
      <c r="H8601" t="s">
        <v>92</v>
      </c>
    </row>
    <row r="8602" spans="1:8" x14ac:dyDescent="0.25">
      <c r="A8602" t="s">
        <v>305</v>
      </c>
      <c r="B8602" t="s">
        <v>3587</v>
      </c>
      <c r="C8602" t="s">
        <v>88</v>
      </c>
      <c r="D8602" t="s">
        <v>7233</v>
      </c>
      <c r="E8602" t="s">
        <v>844</v>
      </c>
      <c r="F8602" t="s">
        <v>88</v>
      </c>
      <c r="G8602" t="s">
        <v>88</v>
      </c>
      <c r="H8602" t="s">
        <v>92</v>
      </c>
    </row>
    <row r="8603" spans="1:8" x14ac:dyDescent="0.25">
      <c r="A8603" t="s">
        <v>305</v>
      </c>
      <c r="B8603" t="s">
        <v>4058</v>
      </c>
      <c r="C8603" t="s">
        <v>88</v>
      </c>
      <c r="D8603" t="s">
        <v>7234</v>
      </c>
      <c r="E8603" t="s">
        <v>964</v>
      </c>
      <c r="F8603" t="s">
        <v>88</v>
      </c>
      <c r="G8603" t="s">
        <v>88</v>
      </c>
      <c r="H8603" t="s">
        <v>92</v>
      </c>
    </row>
    <row r="8604" spans="1:8" x14ac:dyDescent="0.25">
      <c r="A8604" t="s">
        <v>305</v>
      </c>
      <c r="B8604" t="s">
        <v>7221</v>
      </c>
      <c r="C8604" t="s">
        <v>88</v>
      </c>
      <c r="D8604" t="s">
        <v>7222</v>
      </c>
      <c r="E8604" t="s">
        <v>676</v>
      </c>
      <c r="F8604" t="s">
        <v>88</v>
      </c>
      <c r="G8604" t="s">
        <v>88</v>
      </c>
      <c r="H8604" t="s">
        <v>92</v>
      </c>
    </row>
    <row r="8605" spans="1:8" x14ac:dyDescent="0.25">
      <c r="A8605" t="s">
        <v>305</v>
      </c>
      <c r="B8605" t="s">
        <v>7235</v>
      </c>
      <c r="C8605" t="s">
        <v>88</v>
      </c>
      <c r="D8605" t="s">
        <v>7236</v>
      </c>
      <c r="E8605" t="s">
        <v>964</v>
      </c>
      <c r="F8605" t="s">
        <v>88</v>
      </c>
      <c r="G8605" t="s">
        <v>88</v>
      </c>
      <c r="H8605" t="s">
        <v>92</v>
      </c>
    </row>
    <row r="8606" spans="1:8" x14ac:dyDescent="0.25">
      <c r="A8606" t="s">
        <v>305</v>
      </c>
      <c r="B8606" t="s">
        <v>7237</v>
      </c>
      <c r="C8606" t="s">
        <v>88</v>
      </c>
      <c r="D8606" t="s">
        <v>7238</v>
      </c>
      <c r="E8606" t="s">
        <v>692</v>
      </c>
      <c r="F8606" t="s">
        <v>88</v>
      </c>
      <c r="G8606" t="s">
        <v>88</v>
      </c>
      <c r="H8606" t="s">
        <v>92</v>
      </c>
    </row>
    <row r="8607" spans="1:8" x14ac:dyDescent="0.25">
      <c r="A8607" t="s">
        <v>305</v>
      </c>
      <c r="B8607" t="s">
        <v>7239</v>
      </c>
      <c r="C8607" t="s">
        <v>88</v>
      </c>
      <c r="D8607" t="s">
        <v>7240</v>
      </c>
      <c r="E8607" t="s">
        <v>1171</v>
      </c>
      <c r="F8607" t="s">
        <v>88</v>
      </c>
      <c r="G8607" t="s">
        <v>88</v>
      </c>
      <c r="H8607" t="s">
        <v>92</v>
      </c>
    </row>
    <row r="8608" spans="1:8" x14ac:dyDescent="0.25">
      <c r="A8608" t="s">
        <v>305</v>
      </c>
      <c r="B8608" t="s">
        <v>4160</v>
      </c>
      <c r="C8608" t="s">
        <v>88</v>
      </c>
      <c r="D8608" t="s">
        <v>7241</v>
      </c>
      <c r="E8608" t="s">
        <v>700</v>
      </c>
      <c r="F8608" t="s">
        <v>88</v>
      </c>
      <c r="G8608" t="s">
        <v>88</v>
      </c>
      <c r="H8608" t="s">
        <v>92</v>
      </c>
    </row>
    <row r="8609" spans="1:8" x14ac:dyDescent="0.25">
      <c r="A8609" t="s">
        <v>305</v>
      </c>
      <c r="B8609" t="s">
        <v>4177</v>
      </c>
      <c r="C8609" t="s">
        <v>88</v>
      </c>
      <c r="D8609" t="s">
        <v>7225</v>
      </c>
      <c r="E8609" t="s">
        <v>748</v>
      </c>
      <c r="F8609" t="s">
        <v>88</v>
      </c>
      <c r="G8609" t="s">
        <v>88</v>
      </c>
      <c r="H8609" t="s">
        <v>92</v>
      </c>
    </row>
    <row r="8610" spans="1:8" x14ac:dyDescent="0.25">
      <c r="A8610" t="s">
        <v>305</v>
      </c>
      <c r="B8610" t="s">
        <v>4158</v>
      </c>
      <c r="C8610" t="s">
        <v>88</v>
      </c>
      <c r="D8610" t="s">
        <v>7220</v>
      </c>
      <c r="E8610" t="s">
        <v>663</v>
      </c>
      <c r="F8610" t="s">
        <v>88</v>
      </c>
      <c r="G8610" t="s">
        <v>88</v>
      </c>
      <c r="H8610" t="s">
        <v>92</v>
      </c>
    </row>
    <row r="8611" spans="1:8" x14ac:dyDescent="0.25">
      <c r="A8611" t="s">
        <v>305</v>
      </c>
      <c r="B8611" t="s">
        <v>4179</v>
      </c>
      <c r="C8611" t="s">
        <v>88</v>
      </c>
      <c r="D8611" t="s">
        <v>7242</v>
      </c>
      <c r="E8611" t="s">
        <v>655</v>
      </c>
      <c r="F8611" t="s">
        <v>88</v>
      </c>
      <c r="G8611" t="s">
        <v>88</v>
      </c>
      <c r="H8611" t="s">
        <v>92</v>
      </c>
    </row>
    <row r="8612" spans="1:8" x14ac:dyDescent="0.25">
      <c r="A8612" t="s">
        <v>305</v>
      </c>
      <c r="B8612" t="s">
        <v>7223</v>
      </c>
      <c r="C8612" t="s">
        <v>88</v>
      </c>
      <c r="D8612" t="s">
        <v>7224</v>
      </c>
      <c r="E8612" t="s">
        <v>717</v>
      </c>
      <c r="F8612" t="s">
        <v>88</v>
      </c>
      <c r="G8612" t="s">
        <v>88</v>
      </c>
      <c r="H8612" t="s">
        <v>92</v>
      </c>
    </row>
    <row r="8613" spans="1:8" x14ac:dyDescent="0.25">
      <c r="A8613" t="s">
        <v>305</v>
      </c>
      <c r="B8613" t="s">
        <v>4181</v>
      </c>
      <c r="C8613" t="s">
        <v>88</v>
      </c>
      <c r="D8613" t="s">
        <v>7243</v>
      </c>
      <c r="E8613" t="s">
        <v>700</v>
      </c>
      <c r="F8613" t="s">
        <v>88</v>
      </c>
      <c r="G8613" t="s">
        <v>88</v>
      </c>
      <c r="H8613" t="s">
        <v>92</v>
      </c>
    </row>
    <row r="8614" spans="1:8" x14ac:dyDescent="0.25">
      <c r="A8614" t="s">
        <v>305</v>
      </c>
      <c r="B8614" t="s">
        <v>4164</v>
      </c>
      <c r="C8614" t="s">
        <v>88</v>
      </c>
      <c r="D8614" t="s">
        <v>7242</v>
      </c>
      <c r="E8614" t="s">
        <v>700</v>
      </c>
      <c r="F8614" t="s">
        <v>88</v>
      </c>
      <c r="G8614" t="s">
        <v>88</v>
      </c>
      <c r="H8614" t="s">
        <v>92</v>
      </c>
    </row>
    <row r="8615" spans="1:8" x14ac:dyDescent="0.25">
      <c r="A8615" t="s">
        <v>305</v>
      </c>
      <c r="B8615" t="s">
        <v>4162</v>
      </c>
      <c r="C8615" t="s">
        <v>88</v>
      </c>
      <c r="D8615" t="s">
        <v>7244</v>
      </c>
      <c r="E8615" t="s">
        <v>717</v>
      </c>
      <c r="F8615" t="s">
        <v>88</v>
      </c>
      <c r="G8615" t="s">
        <v>88</v>
      </c>
      <c r="H8615" t="s">
        <v>92</v>
      </c>
    </row>
    <row r="8616" spans="1:8" x14ac:dyDescent="0.25">
      <c r="A8616" t="s">
        <v>305</v>
      </c>
      <c r="B8616" t="s">
        <v>4172</v>
      </c>
      <c r="C8616" t="s">
        <v>88</v>
      </c>
      <c r="D8616" t="s">
        <v>7245</v>
      </c>
      <c r="E8616" t="s">
        <v>760</v>
      </c>
      <c r="F8616" t="s">
        <v>88</v>
      </c>
      <c r="G8616" t="s">
        <v>88</v>
      </c>
      <c r="H8616" t="s">
        <v>92</v>
      </c>
    </row>
    <row r="8617" spans="1:8" x14ac:dyDescent="0.25">
      <c r="A8617" t="s">
        <v>305</v>
      </c>
      <c r="B8617" t="s">
        <v>7246</v>
      </c>
      <c r="C8617" t="s">
        <v>88</v>
      </c>
      <c r="D8617" t="s">
        <v>7247</v>
      </c>
      <c r="E8617" t="s">
        <v>676</v>
      </c>
      <c r="F8617" t="s">
        <v>88</v>
      </c>
      <c r="G8617" t="s">
        <v>88</v>
      </c>
      <c r="H8617" t="s">
        <v>92</v>
      </c>
    </row>
    <row r="8618" spans="1:8" x14ac:dyDescent="0.25">
      <c r="A8618" t="s">
        <v>305</v>
      </c>
      <c r="B8618" t="s">
        <v>7248</v>
      </c>
      <c r="C8618" t="s">
        <v>88</v>
      </c>
      <c r="D8618" t="s">
        <v>7249</v>
      </c>
      <c r="E8618" t="s">
        <v>1714</v>
      </c>
      <c r="F8618" t="s">
        <v>88</v>
      </c>
      <c r="G8618" t="s">
        <v>88</v>
      </c>
      <c r="H8618" t="s">
        <v>92</v>
      </c>
    </row>
    <row r="8619" spans="1:8" x14ac:dyDescent="0.25">
      <c r="A8619" t="s">
        <v>305</v>
      </c>
      <c r="B8619" t="s">
        <v>7250</v>
      </c>
      <c r="C8619" t="s">
        <v>88</v>
      </c>
      <c r="D8619" t="s">
        <v>7251</v>
      </c>
      <c r="E8619" t="s">
        <v>762</v>
      </c>
      <c r="F8619" t="s">
        <v>88</v>
      </c>
      <c r="G8619" t="s">
        <v>88</v>
      </c>
      <c r="H8619" t="s">
        <v>92</v>
      </c>
    </row>
    <row r="8620" spans="1:8" x14ac:dyDescent="0.25">
      <c r="A8620" t="s">
        <v>305</v>
      </c>
      <c r="B8620" t="s">
        <v>4196</v>
      </c>
      <c r="C8620" t="s">
        <v>88</v>
      </c>
      <c r="D8620" t="s">
        <v>7252</v>
      </c>
      <c r="E8620" t="s">
        <v>658</v>
      </c>
      <c r="F8620" t="s">
        <v>88</v>
      </c>
      <c r="G8620" t="s">
        <v>88</v>
      </c>
      <c r="H8620" t="s">
        <v>92</v>
      </c>
    </row>
    <row r="8621" spans="1:8" x14ac:dyDescent="0.25">
      <c r="A8621" t="s">
        <v>305</v>
      </c>
      <c r="B8621" t="s">
        <v>7253</v>
      </c>
      <c r="C8621" t="s">
        <v>88</v>
      </c>
      <c r="D8621" t="s">
        <v>7254</v>
      </c>
      <c r="E8621" t="s">
        <v>717</v>
      </c>
      <c r="F8621" t="s">
        <v>88</v>
      </c>
      <c r="G8621" t="s">
        <v>88</v>
      </c>
      <c r="H8621" t="s">
        <v>92</v>
      </c>
    </row>
    <row r="8622" spans="1:8" x14ac:dyDescent="0.25">
      <c r="A8622" t="s">
        <v>305</v>
      </c>
      <c r="B8622" t="s">
        <v>671</v>
      </c>
      <c r="C8622" t="s">
        <v>88</v>
      </c>
      <c r="D8622" t="s">
        <v>7255</v>
      </c>
      <c r="E8622" t="s">
        <v>663</v>
      </c>
      <c r="F8622" t="s">
        <v>88</v>
      </c>
      <c r="G8622" t="s">
        <v>88</v>
      </c>
      <c r="H8622" t="s">
        <v>92</v>
      </c>
    </row>
    <row r="8623" spans="1:8" x14ac:dyDescent="0.25">
      <c r="A8623" t="s">
        <v>305</v>
      </c>
      <c r="B8623" t="s">
        <v>4190</v>
      </c>
      <c r="C8623" t="s">
        <v>88</v>
      </c>
      <c r="D8623" t="s">
        <v>7256</v>
      </c>
      <c r="E8623" t="s">
        <v>717</v>
      </c>
      <c r="F8623" t="s">
        <v>88</v>
      </c>
      <c r="G8623" t="s">
        <v>88</v>
      </c>
      <c r="H8623" t="s">
        <v>92</v>
      </c>
    </row>
    <row r="8624" spans="1:8" x14ac:dyDescent="0.25">
      <c r="A8624" t="s">
        <v>305</v>
      </c>
      <c r="B8624" t="s">
        <v>4192</v>
      </c>
      <c r="C8624" t="s">
        <v>88</v>
      </c>
      <c r="D8624" t="s">
        <v>7226</v>
      </c>
      <c r="E8624" t="s">
        <v>663</v>
      </c>
      <c r="F8624" t="s">
        <v>88</v>
      </c>
      <c r="G8624" t="s">
        <v>88</v>
      </c>
      <c r="H8624" t="s">
        <v>92</v>
      </c>
    </row>
    <row r="8625" spans="1:8" x14ac:dyDescent="0.25">
      <c r="A8625" t="s">
        <v>305</v>
      </c>
      <c r="B8625" t="s">
        <v>4215</v>
      </c>
      <c r="C8625" t="s">
        <v>88</v>
      </c>
      <c r="D8625" t="s">
        <v>7257</v>
      </c>
      <c r="E8625" t="s">
        <v>1221</v>
      </c>
      <c r="F8625" t="s">
        <v>88</v>
      </c>
      <c r="G8625" t="s">
        <v>88</v>
      </c>
      <c r="H8625" t="s">
        <v>92</v>
      </c>
    </row>
    <row r="8626" spans="1:8" x14ac:dyDescent="0.25">
      <c r="A8626" t="s">
        <v>305</v>
      </c>
      <c r="B8626" t="s">
        <v>7258</v>
      </c>
      <c r="C8626" t="s">
        <v>88</v>
      </c>
      <c r="D8626" t="s">
        <v>7259</v>
      </c>
      <c r="E8626" t="s">
        <v>1839</v>
      </c>
      <c r="F8626" t="s">
        <v>88</v>
      </c>
      <c r="G8626" t="s">
        <v>88</v>
      </c>
      <c r="H8626" t="s">
        <v>92</v>
      </c>
    </row>
    <row r="8627" spans="1:8" x14ac:dyDescent="0.25">
      <c r="A8627" t="s">
        <v>305</v>
      </c>
      <c r="B8627" t="s">
        <v>4233</v>
      </c>
      <c r="C8627" t="s">
        <v>88</v>
      </c>
      <c r="D8627" t="s">
        <v>4234</v>
      </c>
      <c r="E8627" t="s">
        <v>679</v>
      </c>
      <c r="F8627" t="s">
        <v>88</v>
      </c>
      <c r="G8627" t="s">
        <v>88</v>
      </c>
      <c r="H8627" t="s">
        <v>92</v>
      </c>
    </row>
    <row r="8628" spans="1:8" x14ac:dyDescent="0.25">
      <c r="A8628" t="s">
        <v>305</v>
      </c>
      <c r="B8628" t="s">
        <v>4217</v>
      </c>
      <c r="C8628" t="s">
        <v>88</v>
      </c>
      <c r="D8628" t="s">
        <v>7260</v>
      </c>
      <c r="E8628" t="s">
        <v>673</v>
      </c>
      <c r="F8628" t="s">
        <v>88</v>
      </c>
      <c r="G8628" t="s">
        <v>88</v>
      </c>
      <c r="H8628" t="s">
        <v>92</v>
      </c>
    </row>
    <row r="8629" spans="1:8" x14ac:dyDescent="0.25">
      <c r="A8629" t="s">
        <v>305</v>
      </c>
      <c r="B8629" t="s">
        <v>4205</v>
      </c>
      <c r="C8629" t="s">
        <v>88</v>
      </c>
      <c r="D8629" t="s">
        <v>7261</v>
      </c>
      <c r="E8629" t="s">
        <v>1839</v>
      </c>
      <c r="F8629" t="s">
        <v>88</v>
      </c>
      <c r="G8629" t="s">
        <v>88</v>
      </c>
      <c r="H8629" t="s">
        <v>92</v>
      </c>
    </row>
    <row r="8630" spans="1:8" x14ac:dyDescent="0.25">
      <c r="A8630" t="s">
        <v>305</v>
      </c>
      <c r="B8630" t="s">
        <v>7262</v>
      </c>
      <c r="C8630" t="s">
        <v>88</v>
      </c>
      <c r="D8630" t="s">
        <v>4210</v>
      </c>
      <c r="E8630" t="s">
        <v>886</v>
      </c>
      <c r="F8630" t="s">
        <v>88</v>
      </c>
      <c r="G8630" t="s">
        <v>88</v>
      </c>
      <c r="H8630" t="s">
        <v>92</v>
      </c>
    </row>
    <row r="8631" spans="1:8" x14ac:dyDescent="0.25">
      <c r="A8631" t="s">
        <v>305</v>
      </c>
      <c r="B8631" t="s">
        <v>4203</v>
      </c>
      <c r="C8631" t="s">
        <v>88</v>
      </c>
      <c r="D8631" t="s">
        <v>4204</v>
      </c>
      <c r="E8631" t="s">
        <v>1839</v>
      </c>
      <c r="F8631" t="s">
        <v>88</v>
      </c>
      <c r="G8631" t="s">
        <v>88</v>
      </c>
      <c r="H8631" t="s">
        <v>92</v>
      </c>
    </row>
    <row r="8632" spans="1:8" x14ac:dyDescent="0.25">
      <c r="A8632" t="s">
        <v>305</v>
      </c>
      <c r="B8632" t="s">
        <v>7263</v>
      </c>
      <c r="C8632" t="s">
        <v>88</v>
      </c>
      <c r="D8632" t="s">
        <v>4226</v>
      </c>
      <c r="E8632" t="s">
        <v>886</v>
      </c>
      <c r="F8632" t="s">
        <v>88</v>
      </c>
      <c r="G8632" t="s">
        <v>88</v>
      </c>
      <c r="H8632" t="s">
        <v>92</v>
      </c>
    </row>
    <row r="8633" spans="1:8" x14ac:dyDescent="0.25">
      <c r="A8633" t="s">
        <v>305</v>
      </c>
      <c r="B8633" t="s">
        <v>4207</v>
      </c>
      <c r="C8633" t="s">
        <v>88</v>
      </c>
      <c r="D8633" t="s">
        <v>4208</v>
      </c>
      <c r="E8633" t="s">
        <v>1839</v>
      </c>
      <c r="F8633" t="s">
        <v>88</v>
      </c>
      <c r="G8633" t="s">
        <v>88</v>
      </c>
      <c r="H8633" t="s">
        <v>92</v>
      </c>
    </row>
    <row r="8634" spans="1:8" x14ac:dyDescent="0.25">
      <c r="A8634" t="s">
        <v>305</v>
      </c>
      <c r="B8634" t="s">
        <v>4229</v>
      </c>
      <c r="C8634" t="s">
        <v>88</v>
      </c>
      <c r="D8634" t="s">
        <v>7264</v>
      </c>
      <c r="E8634" t="s">
        <v>1971</v>
      </c>
      <c r="F8634" t="s">
        <v>88</v>
      </c>
      <c r="G8634" t="s">
        <v>88</v>
      </c>
      <c r="H8634" t="s">
        <v>92</v>
      </c>
    </row>
    <row r="8635" spans="1:8" x14ac:dyDescent="0.25">
      <c r="A8635" t="s">
        <v>305</v>
      </c>
      <c r="B8635" t="s">
        <v>4201</v>
      </c>
      <c r="C8635" t="s">
        <v>88</v>
      </c>
      <c r="D8635" t="s">
        <v>4202</v>
      </c>
      <c r="E8635" t="s">
        <v>886</v>
      </c>
      <c r="F8635" t="s">
        <v>88</v>
      </c>
      <c r="G8635" t="s">
        <v>88</v>
      </c>
      <c r="H8635" t="s">
        <v>92</v>
      </c>
    </row>
    <row r="8636" spans="1:8" x14ac:dyDescent="0.25">
      <c r="A8636" t="s">
        <v>305</v>
      </c>
      <c r="B8636" t="s">
        <v>7265</v>
      </c>
      <c r="C8636" t="s">
        <v>88</v>
      </c>
      <c r="D8636" t="s">
        <v>7266</v>
      </c>
      <c r="E8636" t="s">
        <v>1221</v>
      </c>
      <c r="F8636" t="s">
        <v>88</v>
      </c>
      <c r="G8636" t="s">
        <v>88</v>
      </c>
      <c r="H8636" t="s">
        <v>92</v>
      </c>
    </row>
    <row r="8637" spans="1:8" x14ac:dyDescent="0.25">
      <c r="A8637" t="s">
        <v>305</v>
      </c>
      <c r="B8637" t="s">
        <v>4223</v>
      </c>
      <c r="C8637" t="s">
        <v>88</v>
      </c>
      <c r="D8637" t="s">
        <v>7267</v>
      </c>
      <c r="E8637" t="s">
        <v>721</v>
      </c>
      <c r="F8637" t="s">
        <v>88</v>
      </c>
      <c r="G8637" t="s">
        <v>88</v>
      </c>
      <c r="H8637" t="s">
        <v>92</v>
      </c>
    </row>
    <row r="8638" spans="1:8" x14ac:dyDescent="0.25">
      <c r="A8638" t="s">
        <v>305</v>
      </c>
      <c r="B8638" t="s">
        <v>4227</v>
      </c>
      <c r="C8638" t="s">
        <v>88</v>
      </c>
      <c r="D8638" t="s">
        <v>7268</v>
      </c>
      <c r="E8638" t="s">
        <v>663</v>
      </c>
      <c r="F8638" t="s">
        <v>88</v>
      </c>
      <c r="G8638" t="s">
        <v>88</v>
      </c>
      <c r="H8638" t="s">
        <v>92</v>
      </c>
    </row>
    <row r="8639" spans="1:8" x14ac:dyDescent="0.25">
      <c r="A8639" t="s">
        <v>305</v>
      </c>
      <c r="B8639" t="s">
        <v>4239</v>
      </c>
      <c r="C8639" t="s">
        <v>88</v>
      </c>
      <c r="D8639" t="s">
        <v>7257</v>
      </c>
      <c r="E8639" t="s">
        <v>762</v>
      </c>
      <c r="F8639" t="s">
        <v>88</v>
      </c>
      <c r="G8639" t="s">
        <v>88</v>
      </c>
      <c r="H8639" t="s">
        <v>92</v>
      </c>
    </row>
    <row r="8640" spans="1:8" x14ac:dyDescent="0.25">
      <c r="A8640" t="s">
        <v>305</v>
      </c>
      <c r="B8640" t="s">
        <v>7269</v>
      </c>
      <c r="C8640" t="s">
        <v>88</v>
      </c>
      <c r="D8640" t="s">
        <v>7259</v>
      </c>
      <c r="E8640" t="s">
        <v>889</v>
      </c>
      <c r="F8640" t="s">
        <v>88</v>
      </c>
      <c r="G8640" t="s">
        <v>88</v>
      </c>
      <c r="H8640" t="s">
        <v>92</v>
      </c>
    </row>
    <row r="8641" spans="1:8" x14ac:dyDescent="0.25">
      <c r="A8641" t="s">
        <v>305</v>
      </c>
      <c r="B8641" t="s">
        <v>4236</v>
      </c>
      <c r="C8641" t="s">
        <v>88</v>
      </c>
      <c r="D8641" t="s">
        <v>4234</v>
      </c>
      <c r="E8641" t="s">
        <v>883</v>
      </c>
      <c r="F8641" t="s">
        <v>88</v>
      </c>
      <c r="G8641" t="s">
        <v>88</v>
      </c>
      <c r="H8641" t="s">
        <v>92</v>
      </c>
    </row>
    <row r="8642" spans="1:8" x14ac:dyDescent="0.25">
      <c r="A8642" t="s">
        <v>305</v>
      </c>
      <c r="B8642" t="s">
        <v>4240</v>
      </c>
      <c r="C8642" t="s">
        <v>88</v>
      </c>
      <c r="D8642" t="s">
        <v>7260</v>
      </c>
      <c r="E8642" t="s">
        <v>2800</v>
      </c>
      <c r="F8642" t="s">
        <v>88</v>
      </c>
      <c r="G8642" t="s">
        <v>88</v>
      </c>
      <c r="H8642" t="s">
        <v>92</v>
      </c>
    </row>
    <row r="8643" spans="1:8" x14ac:dyDescent="0.25">
      <c r="A8643" t="s">
        <v>305</v>
      </c>
      <c r="B8643" t="s">
        <v>4245</v>
      </c>
      <c r="C8643" t="s">
        <v>88</v>
      </c>
      <c r="D8643" t="s">
        <v>7261</v>
      </c>
      <c r="E8643" t="s">
        <v>762</v>
      </c>
      <c r="F8643" t="s">
        <v>88</v>
      </c>
      <c r="G8643" t="s">
        <v>88</v>
      </c>
      <c r="H8643" t="s">
        <v>92</v>
      </c>
    </row>
    <row r="8644" spans="1:8" x14ac:dyDescent="0.25">
      <c r="A8644" t="s">
        <v>305</v>
      </c>
      <c r="B8644" t="s">
        <v>7270</v>
      </c>
      <c r="C8644" t="s">
        <v>88</v>
      </c>
      <c r="D8644" t="s">
        <v>4210</v>
      </c>
      <c r="E8644" t="s">
        <v>889</v>
      </c>
      <c r="F8644" t="s">
        <v>88</v>
      </c>
      <c r="G8644" t="s">
        <v>88</v>
      </c>
      <c r="H8644" t="s">
        <v>92</v>
      </c>
    </row>
    <row r="8645" spans="1:8" x14ac:dyDescent="0.25">
      <c r="A8645" t="s">
        <v>305</v>
      </c>
      <c r="B8645" t="s">
        <v>4235</v>
      </c>
      <c r="C8645" t="s">
        <v>88</v>
      </c>
      <c r="D8645" t="s">
        <v>4204</v>
      </c>
      <c r="E8645" t="s">
        <v>762</v>
      </c>
      <c r="F8645" t="s">
        <v>88</v>
      </c>
      <c r="G8645" t="s">
        <v>88</v>
      </c>
      <c r="H8645" t="s">
        <v>92</v>
      </c>
    </row>
    <row r="8646" spans="1:8" x14ac:dyDescent="0.25">
      <c r="A8646" t="s">
        <v>305</v>
      </c>
      <c r="B8646" t="s">
        <v>7271</v>
      </c>
      <c r="C8646" t="s">
        <v>88</v>
      </c>
      <c r="D8646" t="s">
        <v>4226</v>
      </c>
      <c r="E8646" t="s">
        <v>700</v>
      </c>
      <c r="F8646" t="s">
        <v>88</v>
      </c>
      <c r="G8646" t="s">
        <v>88</v>
      </c>
      <c r="H8646" t="s">
        <v>92</v>
      </c>
    </row>
    <row r="8647" spans="1:8" x14ac:dyDescent="0.25">
      <c r="A8647" t="s">
        <v>305</v>
      </c>
      <c r="B8647" t="s">
        <v>4244</v>
      </c>
      <c r="C8647" t="s">
        <v>88</v>
      </c>
      <c r="D8647" t="s">
        <v>4208</v>
      </c>
      <c r="E8647" t="s">
        <v>2464</v>
      </c>
      <c r="F8647" t="s">
        <v>88</v>
      </c>
      <c r="G8647" t="s">
        <v>88</v>
      </c>
      <c r="H8647" t="s">
        <v>92</v>
      </c>
    </row>
    <row r="8648" spans="1:8" x14ac:dyDescent="0.25">
      <c r="A8648" t="s">
        <v>305</v>
      </c>
      <c r="B8648" t="s">
        <v>4249</v>
      </c>
      <c r="C8648" t="s">
        <v>88</v>
      </c>
      <c r="D8648" t="s">
        <v>7264</v>
      </c>
      <c r="E8648" t="s">
        <v>3015</v>
      </c>
      <c r="F8648" t="s">
        <v>88</v>
      </c>
      <c r="G8648" t="s">
        <v>88</v>
      </c>
      <c r="H8648" t="s">
        <v>92</v>
      </c>
    </row>
    <row r="8649" spans="1:8" x14ac:dyDescent="0.25">
      <c r="A8649" t="s">
        <v>305</v>
      </c>
      <c r="B8649" t="s">
        <v>4238</v>
      </c>
      <c r="C8649" t="s">
        <v>88</v>
      </c>
      <c r="D8649" t="s">
        <v>4202</v>
      </c>
      <c r="E8649" t="s">
        <v>5256</v>
      </c>
      <c r="F8649" t="s">
        <v>88</v>
      </c>
      <c r="G8649" t="s">
        <v>88</v>
      </c>
      <c r="H8649" t="s">
        <v>92</v>
      </c>
    </row>
    <row r="8650" spans="1:8" x14ac:dyDescent="0.25">
      <c r="A8650" t="s">
        <v>305</v>
      </c>
      <c r="B8650" t="s">
        <v>7272</v>
      </c>
      <c r="C8650" t="s">
        <v>88</v>
      </c>
      <c r="D8650" t="s">
        <v>7266</v>
      </c>
      <c r="E8650" t="s">
        <v>762</v>
      </c>
      <c r="F8650" t="s">
        <v>88</v>
      </c>
      <c r="G8650" t="s">
        <v>88</v>
      </c>
      <c r="H8650" t="s">
        <v>92</v>
      </c>
    </row>
    <row r="8651" spans="1:8" x14ac:dyDescent="0.25">
      <c r="A8651" t="s">
        <v>305</v>
      </c>
      <c r="B8651" t="s">
        <v>4247</v>
      </c>
      <c r="C8651" t="s">
        <v>88</v>
      </c>
      <c r="D8651" t="s">
        <v>7267</v>
      </c>
      <c r="E8651" t="s">
        <v>762</v>
      </c>
      <c r="F8651" t="s">
        <v>88</v>
      </c>
      <c r="G8651" t="s">
        <v>88</v>
      </c>
      <c r="H8651" t="s">
        <v>92</v>
      </c>
    </row>
    <row r="8652" spans="1:8" x14ac:dyDescent="0.25">
      <c r="A8652" t="s">
        <v>305</v>
      </c>
      <c r="B8652" t="s">
        <v>4248</v>
      </c>
      <c r="C8652" t="s">
        <v>88</v>
      </c>
      <c r="D8652" t="s">
        <v>7268</v>
      </c>
      <c r="E8652" t="s">
        <v>655</v>
      </c>
      <c r="F8652" t="s">
        <v>88</v>
      </c>
      <c r="G8652" t="s">
        <v>88</v>
      </c>
      <c r="H8652" t="s">
        <v>92</v>
      </c>
    </row>
    <row r="8653" spans="1:8" x14ac:dyDescent="0.25">
      <c r="A8653" t="s">
        <v>305</v>
      </c>
      <c r="B8653" t="s">
        <v>4256</v>
      </c>
      <c r="C8653" t="s">
        <v>88</v>
      </c>
      <c r="D8653" t="s">
        <v>7257</v>
      </c>
      <c r="E8653" t="s">
        <v>2467</v>
      </c>
      <c r="F8653" t="s">
        <v>88</v>
      </c>
      <c r="G8653" t="s">
        <v>88</v>
      </c>
      <c r="H8653" t="s">
        <v>92</v>
      </c>
    </row>
    <row r="8654" spans="1:8" x14ac:dyDescent="0.25">
      <c r="A8654" t="s">
        <v>305</v>
      </c>
      <c r="B8654" t="s">
        <v>7273</v>
      </c>
      <c r="C8654" t="s">
        <v>88</v>
      </c>
      <c r="D8654" t="s">
        <v>7259</v>
      </c>
      <c r="E8654" t="s">
        <v>836</v>
      </c>
      <c r="F8654" t="s">
        <v>88</v>
      </c>
      <c r="G8654" t="s">
        <v>88</v>
      </c>
      <c r="H8654" t="s">
        <v>92</v>
      </c>
    </row>
    <row r="8655" spans="1:8" x14ac:dyDescent="0.25">
      <c r="A8655" t="s">
        <v>305</v>
      </c>
      <c r="B8655" t="s">
        <v>4252</v>
      </c>
      <c r="C8655" t="s">
        <v>88</v>
      </c>
      <c r="D8655" t="s">
        <v>4234</v>
      </c>
      <c r="E8655" t="s">
        <v>2289</v>
      </c>
      <c r="F8655" t="s">
        <v>88</v>
      </c>
      <c r="G8655" t="s">
        <v>88</v>
      </c>
      <c r="H8655" t="s">
        <v>92</v>
      </c>
    </row>
    <row r="8656" spans="1:8" x14ac:dyDescent="0.25">
      <c r="A8656" t="s">
        <v>305</v>
      </c>
      <c r="B8656" t="s">
        <v>4258</v>
      </c>
      <c r="C8656" t="s">
        <v>88</v>
      </c>
      <c r="D8656" t="s">
        <v>7260</v>
      </c>
      <c r="E8656" t="s">
        <v>3593</v>
      </c>
      <c r="F8656" t="s">
        <v>88</v>
      </c>
      <c r="G8656" t="s">
        <v>88</v>
      </c>
      <c r="H8656" t="s">
        <v>92</v>
      </c>
    </row>
    <row r="8657" spans="1:8" x14ac:dyDescent="0.25">
      <c r="A8657" t="s">
        <v>305</v>
      </c>
      <c r="B8657" t="s">
        <v>4264</v>
      </c>
      <c r="C8657" t="s">
        <v>88</v>
      </c>
      <c r="D8657" t="s">
        <v>7261</v>
      </c>
      <c r="E8657" t="s">
        <v>836</v>
      </c>
      <c r="F8657" t="s">
        <v>88</v>
      </c>
      <c r="G8657" t="s">
        <v>88</v>
      </c>
      <c r="H8657" t="s">
        <v>92</v>
      </c>
    </row>
    <row r="8658" spans="1:8" x14ac:dyDescent="0.25">
      <c r="A8658" t="s">
        <v>305</v>
      </c>
      <c r="B8658" t="s">
        <v>7274</v>
      </c>
      <c r="C8658" t="s">
        <v>88</v>
      </c>
      <c r="D8658" t="s">
        <v>4210</v>
      </c>
      <c r="E8658" t="s">
        <v>836</v>
      </c>
      <c r="F8658" t="s">
        <v>88</v>
      </c>
      <c r="G8658" t="s">
        <v>88</v>
      </c>
      <c r="H8658" t="s">
        <v>92</v>
      </c>
    </row>
    <row r="8659" spans="1:8" x14ac:dyDescent="0.25">
      <c r="A8659" t="s">
        <v>305</v>
      </c>
      <c r="B8659" t="s">
        <v>4263</v>
      </c>
      <c r="C8659" t="s">
        <v>88</v>
      </c>
      <c r="D8659" t="s">
        <v>4204</v>
      </c>
      <c r="E8659" t="s">
        <v>836</v>
      </c>
      <c r="F8659" t="s">
        <v>88</v>
      </c>
      <c r="G8659" t="s">
        <v>88</v>
      </c>
      <c r="H8659" t="s">
        <v>92</v>
      </c>
    </row>
    <row r="8660" spans="1:8" x14ac:dyDescent="0.25">
      <c r="A8660" t="s">
        <v>305</v>
      </c>
      <c r="B8660" t="s">
        <v>7275</v>
      </c>
      <c r="C8660" t="s">
        <v>88</v>
      </c>
      <c r="D8660" t="s">
        <v>4226</v>
      </c>
      <c r="E8660" t="s">
        <v>1006</v>
      </c>
      <c r="F8660" t="s">
        <v>88</v>
      </c>
      <c r="G8660" t="s">
        <v>88</v>
      </c>
      <c r="H8660" t="s">
        <v>92</v>
      </c>
    </row>
    <row r="8661" spans="1:8" x14ac:dyDescent="0.25">
      <c r="A8661" t="s">
        <v>305</v>
      </c>
      <c r="B8661" t="s">
        <v>4253</v>
      </c>
      <c r="C8661" t="s">
        <v>88</v>
      </c>
      <c r="D8661" t="s">
        <v>4208</v>
      </c>
      <c r="E8661" t="s">
        <v>836</v>
      </c>
      <c r="F8661" t="s">
        <v>88</v>
      </c>
      <c r="G8661" t="s">
        <v>88</v>
      </c>
      <c r="H8661" t="s">
        <v>92</v>
      </c>
    </row>
    <row r="8662" spans="1:8" x14ac:dyDescent="0.25">
      <c r="A8662" t="s">
        <v>305</v>
      </c>
      <c r="B8662" t="s">
        <v>4269</v>
      </c>
      <c r="C8662" t="s">
        <v>88</v>
      </c>
      <c r="D8662" t="s">
        <v>7264</v>
      </c>
      <c r="E8662" t="s">
        <v>7148</v>
      </c>
      <c r="F8662" t="s">
        <v>88</v>
      </c>
      <c r="G8662" t="s">
        <v>88</v>
      </c>
      <c r="H8662" t="s">
        <v>92</v>
      </c>
    </row>
    <row r="8663" spans="1:8" x14ac:dyDescent="0.25">
      <c r="A8663" t="s">
        <v>305</v>
      </c>
      <c r="B8663" t="s">
        <v>4257</v>
      </c>
      <c r="C8663" t="s">
        <v>88</v>
      </c>
      <c r="D8663" t="s">
        <v>4202</v>
      </c>
      <c r="E8663" t="s">
        <v>1006</v>
      </c>
      <c r="F8663" t="s">
        <v>88</v>
      </c>
      <c r="G8663" t="s">
        <v>88</v>
      </c>
      <c r="H8663" t="s">
        <v>92</v>
      </c>
    </row>
    <row r="8664" spans="1:8" x14ac:dyDescent="0.25">
      <c r="A8664" t="s">
        <v>305</v>
      </c>
      <c r="B8664" t="s">
        <v>7276</v>
      </c>
      <c r="C8664" t="s">
        <v>88</v>
      </c>
      <c r="D8664" t="s">
        <v>7266</v>
      </c>
      <c r="E8664" t="s">
        <v>844</v>
      </c>
      <c r="F8664" t="s">
        <v>88</v>
      </c>
      <c r="G8664" t="s">
        <v>88</v>
      </c>
      <c r="H8664" t="s">
        <v>92</v>
      </c>
    </row>
    <row r="8665" spans="1:8" x14ac:dyDescent="0.25">
      <c r="A8665" t="s">
        <v>305</v>
      </c>
      <c r="B8665" t="s">
        <v>4267</v>
      </c>
      <c r="C8665" t="s">
        <v>88</v>
      </c>
      <c r="D8665" t="s">
        <v>7267</v>
      </c>
      <c r="E8665" t="s">
        <v>1756</v>
      </c>
      <c r="F8665" t="s">
        <v>88</v>
      </c>
      <c r="G8665" t="s">
        <v>88</v>
      </c>
      <c r="H8665" t="s">
        <v>92</v>
      </c>
    </row>
    <row r="8666" spans="1:8" x14ac:dyDescent="0.25">
      <c r="A8666" t="s">
        <v>305</v>
      </c>
      <c r="B8666" t="s">
        <v>4265</v>
      </c>
      <c r="C8666" t="s">
        <v>88</v>
      </c>
      <c r="D8666" t="s">
        <v>7268</v>
      </c>
      <c r="E8666" t="s">
        <v>676</v>
      </c>
      <c r="F8666" t="s">
        <v>88</v>
      </c>
      <c r="G8666" t="s">
        <v>88</v>
      </c>
      <c r="H8666" t="s">
        <v>92</v>
      </c>
    </row>
    <row r="8667" spans="1:8" x14ac:dyDescent="0.25">
      <c r="A8667" t="s">
        <v>305</v>
      </c>
      <c r="B8667" t="s">
        <v>7277</v>
      </c>
      <c r="C8667" t="s">
        <v>88</v>
      </c>
      <c r="D8667" t="s">
        <v>7257</v>
      </c>
      <c r="E8667" t="s">
        <v>1015</v>
      </c>
      <c r="F8667" t="s">
        <v>88</v>
      </c>
      <c r="G8667" t="s">
        <v>88</v>
      </c>
      <c r="H8667" t="s">
        <v>92</v>
      </c>
    </row>
    <row r="8668" spans="1:8" x14ac:dyDescent="0.25">
      <c r="A8668" t="s">
        <v>305</v>
      </c>
      <c r="B8668" t="s">
        <v>7278</v>
      </c>
      <c r="C8668" t="s">
        <v>88</v>
      </c>
      <c r="D8668" t="s">
        <v>7259</v>
      </c>
      <c r="E8668" t="s">
        <v>825</v>
      </c>
      <c r="F8668" t="s">
        <v>88</v>
      </c>
      <c r="G8668" t="s">
        <v>88</v>
      </c>
      <c r="H8668" t="s">
        <v>92</v>
      </c>
    </row>
    <row r="8669" spans="1:8" x14ac:dyDescent="0.25">
      <c r="A8669" t="s">
        <v>305</v>
      </c>
      <c r="B8669" t="s">
        <v>7279</v>
      </c>
      <c r="C8669" t="s">
        <v>88</v>
      </c>
      <c r="D8669" t="s">
        <v>4234</v>
      </c>
      <c r="E8669" t="s">
        <v>825</v>
      </c>
      <c r="F8669" t="s">
        <v>88</v>
      </c>
      <c r="G8669" t="s">
        <v>88</v>
      </c>
      <c r="H8669" t="s">
        <v>92</v>
      </c>
    </row>
    <row r="8670" spans="1:8" x14ac:dyDescent="0.25">
      <c r="A8670" t="s">
        <v>305</v>
      </c>
      <c r="B8670" t="s">
        <v>7280</v>
      </c>
      <c r="C8670" t="s">
        <v>88</v>
      </c>
      <c r="D8670" t="s">
        <v>7260</v>
      </c>
      <c r="E8670" t="s">
        <v>814</v>
      </c>
      <c r="F8670" t="s">
        <v>88</v>
      </c>
      <c r="G8670" t="s">
        <v>88</v>
      </c>
      <c r="H8670" t="s">
        <v>92</v>
      </c>
    </row>
    <row r="8671" spans="1:8" x14ac:dyDescent="0.25">
      <c r="A8671" t="s">
        <v>305</v>
      </c>
      <c r="B8671" t="s">
        <v>7281</v>
      </c>
      <c r="C8671" t="s">
        <v>88</v>
      </c>
      <c r="D8671" t="s">
        <v>7261</v>
      </c>
      <c r="E8671" t="s">
        <v>825</v>
      </c>
      <c r="F8671" t="s">
        <v>88</v>
      </c>
      <c r="G8671" t="s">
        <v>88</v>
      </c>
      <c r="H8671" t="s">
        <v>92</v>
      </c>
    </row>
    <row r="8672" spans="1:8" x14ac:dyDescent="0.25">
      <c r="A8672" t="s">
        <v>305</v>
      </c>
      <c r="B8672" t="s">
        <v>7282</v>
      </c>
      <c r="C8672" t="s">
        <v>88</v>
      </c>
      <c r="D8672" t="s">
        <v>4210</v>
      </c>
      <c r="E8672" t="s">
        <v>825</v>
      </c>
      <c r="F8672" t="s">
        <v>88</v>
      </c>
      <c r="G8672" t="s">
        <v>88</v>
      </c>
      <c r="H8672" t="s">
        <v>92</v>
      </c>
    </row>
    <row r="8673" spans="1:8" x14ac:dyDescent="0.25">
      <c r="A8673" t="s">
        <v>305</v>
      </c>
      <c r="B8673" t="s">
        <v>7283</v>
      </c>
      <c r="C8673" t="s">
        <v>88</v>
      </c>
      <c r="D8673" t="s">
        <v>4204</v>
      </c>
      <c r="E8673" t="s">
        <v>825</v>
      </c>
      <c r="F8673" t="s">
        <v>88</v>
      </c>
      <c r="G8673" t="s">
        <v>88</v>
      </c>
      <c r="H8673" t="s">
        <v>92</v>
      </c>
    </row>
    <row r="8674" spans="1:8" x14ac:dyDescent="0.25">
      <c r="A8674" t="s">
        <v>305</v>
      </c>
      <c r="B8674" t="s">
        <v>7284</v>
      </c>
      <c r="C8674" t="s">
        <v>88</v>
      </c>
      <c r="D8674" t="s">
        <v>4226</v>
      </c>
      <c r="E8674" t="s">
        <v>2378</v>
      </c>
      <c r="F8674" t="s">
        <v>88</v>
      </c>
      <c r="G8674" t="s">
        <v>88</v>
      </c>
      <c r="H8674" t="s">
        <v>92</v>
      </c>
    </row>
    <row r="8675" spans="1:8" x14ac:dyDescent="0.25">
      <c r="A8675" t="s">
        <v>305</v>
      </c>
      <c r="B8675" t="s">
        <v>7285</v>
      </c>
      <c r="C8675" t="s">
        <v>88</v>
      </c>
      <c r="D8675" t="s">
        <v>4208</v>
      </c>
      <c r="E8675" t="s">
        <v>825</v>
      </c>
      <c r="F8675" t="s">
        <v>88</v>
      </c>
      <c r="G8675" t="s">
        <v>88</v>
      </c>
      <c r="H8675" t="s">
        <v>92</v>
      </c>
    </row>
    <row r="8676" spans="1:8" x14ac:dyDescent="0.25">
      <c r="A8676" t="s">
        <v>305</v>
      </c>
      <c r="B8676" t="s">
        <v>7286</v>
      </c>
      <c r="C8676" t="s">
        <v>88</v>
      </c>
      <c r="D8676" t="s">
        <v>7264</v>
      </c>
      <c r="E8676" t="s">
        <v>3663</v>
      </c>
      <c r="F8676" t="s">
        <v>88</v>
      </c>
      <c r="G8676" t="s">
        <v>88</v>
      </c>
      <c r="H8676" t="s">
        <v>92</v>
      </c>
    </row>
    <row r="8677" spans="1:8" x14ac:dyDescent="0.25">
      <c r="A8677" t="s">
        <v>305</v>
      </c>
      <c r="B8677" t="s">
        <v>7287</v>
      </c>
      <c r="C8677" t="s">
        <v>88</v>
      </c>
      <c r="D8677" t="s">
        <v>4202</v>
      </c>
      <c r="E8677" t="s">
        <v>2378</v>
      </c>
      <c r="F8677" t="s">
        <v>88</v>
      </c>
      <c r="G8677" t="s">
        <v>88</v>
      </c>
      <c r="H8677" t="s">
        <v>92</v>
      </c>
    </row>
    <row r="8678" spans="1:8" x14ac:dyDescent="0.25">
      <c r="A8678" t="s">
        <v>305</v>
      </c>
      <c r="B8678" t="s">
        <v>7288</v>
      </c>
      <c r="C8678" t="s">
        <v>88</v>
      </c>
      <c r="D8678" t="s">
        <v>7266</v>
      </c>
      <c r="E8678" t="s">
        <v>825</v>
      </c>
      <c r="F8678" t="s">
        <v>88</v>
      </c>
      <c r="G8678" t="s">
        <v>88</v>
      </c>
      <c r="H8678" t="s">
        <v>92</v>
      </c>
    </row>
    <row r="8679" spans="1:8" x14ac:dyDescent="0.25">
      <c r="A8679" t="s">
        <v>305</v>
      </c>
      <c r="B8679" t="s">
        <v>7289</v>
      </c>
      <c r="C8679" t="s">
        <v>88</v>
      </c>
      <c r="D8679" t="s">
        <v>7267</v>
      </c>
      <c r="E8679" t="s">
        <v>7290</v>
      </c>
      <c r="F8679" t="s">
        <v>88</v>
      </c>
      <c r="G8679" t="s">
        <v>88</v>
      </c>
      <c r="H8679" t="s">
        <v>92</v>
      </c>
    </row>
    <row r="8680" spans="1:8" x14ac:dyDescent="0.25">
      <c r="A8680" t="s">
        <v>305</v>
      </c>
      <c r="B8680" t="s">
        <v>7291</v>
      </c>
      <c r="C8680" t="s">
        <v>88</v>
      </c>
      <c r="D8680" t="s">
        <v>7268</v>
      </c>
      <c r="E8680" t="s">
        <v>1714</v>
      </c>
      <c r="F8680" t="s">
        <v>88</v>
      </c>
      <c r="G8680" t="s">
        <v>88</v>
      </c>
      <c r="H8680" t="s">
        <v>92</v>
      </c>
    </row>
    <row r="8681" spans="1:8" x14ac:dyDescent="0.25">
      <c r="A8681" t="s">
        <v>305</v>
      </c>
      <c r="B8681" t="s">
        <v>4312</v>
      </c>
      <c r="C8681" t="s">
        <v>88</v>
      </c>
      <c r="D8681" t="s">
        <v>7257</v>
      </c>
      <c r="E8681" t="s">
        <v>7292</v>
      </c>
      <c r="F8681" t="s">
        <v>88</v>
      </c>
      <c r="G8681" t="s">
        <v>88</v>
      </c>
      <c r="H8681" t="s">
        <v>92</v>
      </c>
    </row>
    <row r="8682" spans="1:8" x14ac:dyDescent="0.25">
      <c r="A8682" t="s">
        <v>305</v>
      </c>
      <c r="B8682" t="s">
        <v>7293</v>
      </c>
      <c r="C8682" t="s">
        <v>88</v>
      </c>
      <c r="D8682" t="s">
        <v>7259</v>
      </c>
      <c r="E8682" t="s">
        <v>814</v>
      </c>
      <c r="F8682" t="s">
        <v>88</v>
      </c>
      <c r="G8682" t="s">
        <v>88</v>
      </c>
      <c r="H8682" t="s">
        <v>92</v>
      </c>
    </row>
    <row r="8683" spans="1:8" x14ac:dyDescent="0.25">
      <c r="A8683" t="s">
        <v>305</v>
      </c>
      <c r="B8683" t="s">
        <v>4298</v>
      </c>
      <c r="C8683" t="s">
        <v>88</v>
      </c>
      <c r="D8683" t="s">
        <v>4234</v>
      </c>
      <c r="E8683" t="s">
        <v>814</v>
      </c>
      <c r="F8683" t="s">
        <v>88</v>
      </c>
      <c r="G8683" t="s">
        <v>88</v>
      </c>
      <c r="H8683" t="s">
        <v>92</v>
      </c>
    </row>
    <row r="8684" spans="1:8" x14ac:dyDescent="0.25">
      <c r="A8684" t="s">
        <v>305</v>
      </c>
      <c r="B8684" t="s">
        <v>4306</v>
      </c>
      <c r="C8684" t="s">
        <v>88</v>
      </c>
      <c r="D8684" t="s">
        <v>7260</v>
      </c>
      <c r="E8684" t="s">
        <v>5831</v>
      </c>
      <c r="F8684" t="s">
        <v>88</v>
      </c>
      <c r="G8684" t="s">
        <v>88</v>
      </c>
      <c r="H8684" t="s">
        <v>92</v>
      </c>
    </row>
    <row r="8685" spans="1:8" x14ac:dyDescent="0.25">
      <c r="A8685" t="s">
        <v>305</v>
      </c>
      <c r="B8685" t="s">
        <v>4302</v>
      </c>
      <c r="C8685" t="s">
        <v>88</v>
      </c>
      <c r="D8685" t="s">
        <v>7261</v>
      </c>
      <c r="E8685" t="s">
        <v>814</v>
      </c>
      <c r="F8685" t="s">
        <v>88</v>
      </c>
      <c r="G8685" t="s">
        <v>88</v>
      </c>
      <c r="H8685" t="s">
        <v>92</v>
      </c>
    </row>
    <row r="8686" spans="1:8" x14ac:dyDescent="0.25">
      <c r="A8686" t="s">
        <v>305</v>
      </c>
      <c r="B8686" t="s">
        <v>7294</v>
      </c>
      <c r="C8686" t="s">
        <v>88</v>
      </c>
      <c r="D8686" t="s">
        <v>4210</v>
      </c>
      <c r="E8686" t="s">
        <v>814</v>
      </c>
      <c r="F8686" t="s">
        <v>88</v>
      </c>
      <c r="G8686" t="s">
        <v>88</v>
      </c>
      <c r="H8686" t="s">
        <v>92</v>
      </c>
    </row>
    <row r="8687" spans="1:8" x14ac:dyDescent="0.25">
      <c r="A8687" t="s">
        <v>305</v>
      </c>
      <c r="B8687" t="s">
        <v>4295</v>
      </c>
      <c r="C8687" t="s">
        <v>88</v>
      </c>
      <c r="D8687" t="s">
        <v>4204</v>
      </c>
      <c r="E8687" t="s">
        <v>814</v>
      </c>
      <c r="F8687" t="s">
        <v>88</v>
      </c>
      <c r="G8687" t="s">
        <v>88</v>
      </c>
      <c r="H8687" t="s">
        <v>92</v>
      </c>
    </row>
    <row r="8688" spans="1:8" x14ac:dyDescent="0.25">
      <c r="A8688" t="s">
        <v>305</v>
      </c>
      <c r="B8688" t="s">
        <v>7295</v>
      </c>
      <c r="C8688" t="s">
        <v>88</v>
      </c>
      <c r="D8688" t="s">
        <v>4226</v>
      </c>
      <c r="E8688" t="s">
        <v>812</v>
      </c>
      <c r="F8688" t="s">
        <v>88</v>
      </c>
      <c r="G8688" t="s">
        <v>88</v>
      </c>
      <c r="H8688" t="s">
        <v>92</v>
      </c>
    </row>
    <row r="8689" spans="1:8" x14ac:dyDescent="0.25">
      <c r="A8689" t="s">
        <v>305</v>
      </c>
      <c r="B8689" t="s">
        <v>4316</v>
      </c>
      <c r="C8689" t="s">
        <v>88</v>
      </c>
      <c r="D8689" t="s">
        <v>4208</v>
      </c>
      <c r="E8689" t="s">
        <v>814</v>
      </c>
      <c r="F8689" t="s">
        <v>88</v>
      </c>
      <c r="G8689" t="s">
        <v>88</v>
      </c>
      <c r="H8689" t="s">
        <v>92</v>
      </c>
    </row>
    <row r="8690" spans="1:8" x14ac:dyDescent="0.25">
      <c r="A8690" t="s">
        <v>305</v>
      </c>
      <c r="B8690" t="s">
        <v>4320</v>
      </c>
      <c r="C8690" t="s">
        <v>88</v>
      </c>
      <c r="D8690" t="s">
        <v>7264</v>
      </c>
      <c r="E8690" t="s">
        <v>4510</v>
      </c>
      <c r="F8690" t="s">
        <v>88</v>
      </c>
      <c r="G8690" t="s">
        <v>88</v>
      </c>
      <c r="H8690" t="s">
        <v>92</v>
      </c>
    </row>
    <row r="8691" spans="1:8" x14ac:dyDescent="0.25">
      <c r="A8691" t="s">
        <v>305</v>
      </c>
      <c r="B8691" t="s">
        <v>4304</v>
      </c>
      <c r="C8691" t="s">
        <v>88</v>
      </c>
      <c r="D8691" t="s">
        <v>4202</v>
      </c>
      <c r="E8691" t="s">
        <v>812</v>
      </c>
      <c r="F8691" t="s">
        <v>88</v>
      </c>
      <c r="G8691" t="s">
        <v>88</v>
      </c>
      <c r="H8691" t="s">
        <v>92</v>
      </c>
    </row>
    <row r="8692" spans="1:8" x14ac:dyDescent="0.25">
      <c r="A8692" t="s">
        <v>305</v>
      </c>
      <c r="B8692" t="s">
        <v>7296</v>
      </c>
      <c r="C8692" t="s">
        <v>88</v>
      </c>
      <c r="D8692" t="s">
        <v>7266</v>
      </c>
      <c r="E8692" t="s">
        <v>814</v>
      </c>
      <c r="F8692" t="s">
        <v>88</v>
      </c>
      <c r="G8692" t="s">
        <v>88</v>
      </c>
      <c r="H8692" t="s">
        <v>92</v>
      </c>
    </row>
    <row r="8693" spans="1:8" x14ac:dyDescent="0.25">
      <c r="A8693" t="s">
        <v>305</v>
      </c>
      <c r="B8693" t="s">
        <v>4318</v>
      </c>
      <c r="C8693" t="s">
        <v>88</v>
      </c>
      <c r="D8693" t="s">
        <v>7267</v>
      </c>
      <c r="E8693" t="s">
        <v>4510</v>
      </c>
      <c r="F8693" t="s">
        <v>88</v>
      </c>
      <c r="G8693" t="s">
        <v>88</v>
      </c>
      <c r="H8693" t="s">
        <v>92</v>
      </c>
    </row>
    <row r="8694" spans="1:8" x14ac:dyDescent="0.25">
      <c r="A8694" t="s">
        <v>305</v>
      </c>
      <c r="B8694" t="s">
        <v>4300</v>
      </c>
      <c r="C8694" t="s">
        <v>88</v>
      </c>
      <c r="D8694" t="s">
        <v>7268</v>
      </c>
      <c r="E8694" t="s">
        <v>1153</v>
      </c>
      <c r="F8694" t="s">
        <v>88</v>
      </c>
      <c r="G8694" t="s">
        <v>88</v>
      </c>
      <c r="H8694" t="s">
        <v>92</v>
      </c>
    </row>
    <row r="8695" spans="1:8" x14ac:dyDescent="0.25">
      <c r="A8695" t="s">
        <v>305</v>
      </c>
      <c r="B8695" t="s">
        <v>768</v>
      </c>
      <c r="C8695" t="s">
        <v>88</v>
      </c>
      <c r="D8695" t="s">
        <v>88</v>
      </c>
      <c r="E8695" t="s">
        <v>791</v>
      </c>
      <c r="F8695" t="s">
        <v>88</v>
      </c>
      <c r="G8695" t="s">
        <v>88</v>
      </c>
      <c r="H8695" t="s">
        <v>92</v>
      </c>
    </row>
    <row r="8696" spans="1:8" x14ac:dyDescent="0.25">
      <c r="A8696" t="s">
        <v>305</v>
      </c>
      <c r="B8696" t="s">
        <v>7297</v>
      </c>
      <c r="C8696" t="s">
        <v>88</v>
      </c>
      <c r="D8696" t="s">
        <v>88</v>
      </c>
      <c r="E8696" t="s">
        <v>709</v>
      </c>
      <c r="F8696" t="s">
        <v>88</v>
      </c>
      <c r="G8696" t="s">
        <v>88</v>
      </c>
      <c r="H8696" t="s">
        <v>92</v>
      </c>
    </row>
    <row r="8697" spans="1:8" x14ac:dyDescent="0.25">
      <c r="A8697" t="s">
        <v>305</v>
      </c>
      <c r="B8697" t="s">
        <v>1874</v>
      </c>
      <c r="C8697" t="s">
        <v>88</v>
      </c>
      <c r="D8697" t="s">
        <v>88</v>
      </c>
      <c r="E8697" t="s">
        <v>702</v>
      </c>
      <c r="F8697" t="s">
        <v>88</v>
      </c>
      <c r="G8697" t="s">
        <v>88</v>
      </c>
      <c r="H8697" t="s">
        <v>92</v>
      </c>
    </row>
    <row r="8698" spans="1:8" x14ac:dyDescent="0.25">
      <c r="A8698" t="s">
        <v>305</v>
      </c>
      <c r="B8698" t="s">
        <v>2863</v>
      </c>
      <c r="C8698" t="s">
        <v>88</v>
      </c>
      <c r="D8698" t="s">
        <v>88</v>
      </c>
      <c r="E8698" t="s">
        <v>1598</v>
      </c>
      <c r="F8698" t="s">
        <v>88</v>
      </c>
      <c r="G8698" t="s">
        <v>88</v>
      </c>
      <c r="H8698" t="s">
        <v>92</v>
      </c>
    </row>
    <row r="8699" spans="1:8" x14ac:dyDescent="0.25">
      <c r="A8699" t="s">
        <v>305</v>
      </c>
      <c r="B8699" t="s">
        <v>608</v>
      </c>
      <c r="C8699" t="s">
        <v>88</v>
      </c>
      <c r="D8699" t="s">
        <v>88</v>
      </c>
      <c r="E8699" t="s">
        <v>715</v>
      </c>
      <c r="F8699" t="s">
        <v>88</v>
      </c>
      <c r="G8699" t="s">
        <v>88</v>
      </c>
      <c r="H8699" t="s">
        <v>92</v>
      </c>
    </row>
    <row r="8700" spans="1:8" x14ac:dyDescent="0.25">
      <c r="A8700" t="s">
        <v>305</v>
      </c>
      <c r="B8700" t="s">
        <v>610</v>
      </c>
      <c r="C8700" t="s">
        <v>88</v>
      </c>
      <c r="D8700" t="s">
        <v>88</v>
      </c>
      <c r="E8700" t="s">
        <v>702</v>
      </c>
      <c r="F8700" t="s">
        <v>88</v>
      </c>
      <c r="G8700" t="s">
        <v>88</v>
      </c>
      <c r="H8700" t="s">
        <v>92</v>
      </c>
    </row>
    <row r="8701" spans="1:8" x14ac:dyDescent="0.25">
      <c r="A8701" t="s">
        <v>305</v>
      </c>
      <c r="B8701" t="s">
        <v>7298</v>
      </c>
      <c r="C8701" t="s">
        <v>88</v>
      </c>
      <c r="D8701" t="s">
        <v>88</v>
      </c>
      <c r="E8701" t="s">
        <v>715</v>
      </c>
      <c r="F8701" t="s">
        <v>88</v>
      </c>
      <c r="G8701" t="s">
        <v>88</v>
      </c>
      <c r="H8701" t="s">
        <v>92</v>
      </c>
    </row>
    <row r="8702" spans="1:8" x14ac:dyDescent="0.25">
      <c r="A8702" t="s">
        <v>305</v>
      </c>
      <c r="B8702" t="s">
        <v>7299</v>
      </c>
      <c r="C8702" t="s">
        <v>88</v>
      </c>
      <c r="D8702" t="s">
        <v>88</v>
      </c>
      <c r="E8702" t="s">
        <v>725</v>
      </c>
      <c r="F8702" t="s">
        <v>88</v>
      </c>
      <c r="G8702" t="s">
        <v>88</v>
      </c>
      <c r="H8702" t="s">
        <v>92</v>
      </c>
    </row>
    <row r="8703" spans="1:8" x14ac:dyDescent="0.25">
      <c r="A8703" t="s">
        <v>305</v>
      </c>
      <c r="B8703" t="s">
        <v>7300</v>
      </c>
      <c r="C8703" t="s">
        <v>88</v>
      </c>
      <c r="D8703" t="s">
        <v>88</v>
      </c>
      <c r="E8703" t="s">
        <v>762</v>
      </c>
      <c r="F8703" t="s">
        <v>88</v>
      </c>
      <c r="G8703" t="s">
        <v>88</v>
      </c>
      <c r="H8703" t="s">
        <v>92</v>
      </c>
    </row>
    <row r="8704" spans="1:8" x14ac:dyDescent="0.25">
      <c r="A8704" t="s">
        <v>305</v>
      </c>
      <c r="B8704" t="s">
        <v>7301</v>
      </c>
      <c r="C8704" t="s">
        <v>88</v>
      </c>
      <c r="D8704" t="s">
        <v>88</v>
      </c>
      <c r="E8704" t="s">
        <v>734</v>
      </c>
      <c r="F8704" t="s">
        <v>88</v>
      </c>
      <c r="G8704" t="s">
        <v>88</v>
      </c>
      <c r="H8704" t="s">
        <v>92</v>
      </c>
    </row>
    <row r="8705" spans="1:8" x14ac:dyDescent="0.25">
      <c r="A8705" t="s">
        <v>305</v>
      </c>
      <c r="B8705" t="s">
        <v>1873</v>
      </c>
      <c r="C8705" t="s">
        <v>88</v>
      </c>
      <c r="D8705" t="s">
        <v>88</v>
      </c>
      <c r="E8705" t="s">
        <v>791</v>
      </c>
      <c r="F8705" t="s">
        <v>88</v>
      </c>
      <c r="G8705" t="s">
        <v>88</v>
      </c>
      <c r="H8705" t="s">
        <v>92</v>
      </c>
    </row>
    <row r="8706" spans="1:8" x14ac:dyDescent="0.25">
      <c r="A8706" t="s">
        <v>305</v>
      </c>
      <c r="B8706" t="s">
        <v>7302</v>
      </c>
      <c r="C8706" t="s">
        <v>88</v>
      </c>
      <c r="D8706" t="s">
        <v>88</v>
      </c>
      <c r="E8706" t="s">
        <v>959</v>
      </c>
      <c r="F8706" t="s">
        <v>88</v>
      </c>
      <c r="G8706" t="s">
        <v>88</v>
      </c>
      <c r="H8706" t="s">
        <v>92</v>
      </c>
    </row>
    <row r="8707" spans="1:8" x14ac:dyDescent="0.25">
      <c r="A8707" t="s">
        <v>305</v>
      </c>
      <c r="B8707" t="s">
        <v>701</v>
      </c>
      <c r="C8707" t="s">
        <v>88</v>
      </c>
      <c r="D8707" t="s">
        <v>88</v>
      </c>
      <c r="E8707" t="s">
        <v>3397</v>
      </c>
      <c r="F8707" t="s">
        <v>88</v>
      </c>
      <c r="G8707" t="s">
        <v>88</v>
      </c>
      <c r="H8707" t="s">
        <v>92</v>
      </c>
    </row>
    <row r="8708" spans="1:8" x14ac:dyDescent="0.25">
      <c r="A8708" t="s">
        <v>305</v>
      </c>
      <c r="B8708" t="s">
        <v>705</v>
      </c>
      <c r="C8708" t="s">
        <v>88</v>
      </c>
      <c r="D8708" t="s">
        <v>88</v>
      </c>
      <c r="E8708" t="s">
        <v>3397</v>
      </c>
      <c r="F8708" t="s">
        <v>88</v>
      </c>
      <c r="G8708" t="s">
        <v>88</v>
      </c>
      <c r="H8708" t="s">
        <v>92</v>
      </c>
    </row>
    <row r="8709" spans="1:8" x14ac:dyDescent="0.25">
      <c r="A8709" t="s">
        <v>305</v>
      </c>
      <c r="B8709" t="s">
        <v>706</v>
      </c>
      <c r="C8709" t="s">
        <v>88</v>
      </c>
      <c r="D8709" t="s">
        <v>88</v>
      </c>
      <c r="E8709" t="s">
        <v>3397</v>
      </c>
      <c r="F8709" t="s">
        <v>88</v>
      </c>
      <c r="G8709" t="s">
        <v>88</v>
      </c>
      <c r="H8709" t="s">
        <v>92</v>
      </c>
    </row>
    <row r="8710" spans="1:8" x14ac:dyDescent="0.25">
      <c r="A8710" t="s">
        <v>305</v>
      </c>
      <c r="B8710" t="s">
        <v>707</v>
      </c>
      <c r="C8710" t="s">
        <v>88</v>
      </c>
      <c r="D8710" t="s">
        <v>88</v>
      </c>
      <c r="E8710" t="s">
        <v>3397</v>
      </c>
      <c r="F8710" t="s">
        <v>88</v>
      </c>
      <c r="G8710" t="s">
        <v>88</v>
      </c>
      <c r="H8710" t="s">
        <v>92</v>
      </c>
    </row>
    <row r="8711" spans="1:8" x14ac:dyDescent="0.25">
      <c r="A8711" t="s">
        <v>305</v>
      </c>
      <c r="B8711" t="s">
        <v>618</v>
      </c>
      <c r="C8711" t="s">
        <v>88</v>
      </c>
      <c r="D8711" t="s">
        <v>88</v>
      </c>
      <c r="E8711" t="s">
        <v>711</v>
      </c>
      <c r="F8711" t="s">
        <v>88</v>
      </c>
      <c r="G8711" t="s">
        <v>88</v>
      </c>
      <c r="H8711" t="s">
        <v>92</v>
      </c>
    </row>
    <row r="8712" spans="1:8" x14ac:dyDescent="0.25">
      <c r="A8712" t="s">
        <v>305</v>
      </c>
      <c r="B8712" t="s">
        <v>623</v>
      </c>
      <c r="C8712" t="s">
        <v>88</v>
      </c>
      <c r="D8712" t="s">
        <v>88</v>
      </c>
      <c r="E8712" t="s">
        <v>849</v>
      </c>
      <c r="F8712" t="s">
        <v>88</v>
      </c>
      <c r="G8712" t="s">
        <v>88</v>
      </c>
      <c r="H8712" t="s">
        <v>92</v>
      </c>
    </row>
    <row r="8713" spans="1:8" x14ac:dyDescent="0.25">
      <c r="A8713" t="s">
        <v>305</v>
      </c>
      <c r="B8713" t="s">
        <v>714</v>
      </c>
      <c r="C8713" t="s">
        <v>88</v>
      </c>
      <c r="D8713" t="s">
        <v>88</v>
      </c>
      <c r="E8713" t="s">
        <v>702</v>
      </c>
      <c r="F8713" t="s">
        <v>88</v>
      </c>
      <c r="G8713" t="s">
        <v>88</v>
      </c>
      <c r="H8713" t="s">
        <v>92</v>
      </c>
    </row>
    <row r="8714" spans="1:8" x14ac:dyDescent="0.25">
      <c r="A8714" t="s">
        <v>305</v>
      </c>
      <c r="B8714" t="s">
        <v>625</v>
      </c>
      <c r="C8714" t="s">
        <v>88</v>
      </c>
      <c r="D8714" t="s">
        <v>88</v>
      </c>
      <c r="E8714" t="s">
        <v>626</v>
      </c>
      <c r="F8714" t="s">
        <v>88</v>
      </c>
      <c r="G8714" t="s">
        <v>88</v>
      </c>
      <c r="H8714" t="s">
        <v>92</v>
      </c>
    </row>
    <row r="8715" spans="1:8" x14ac:dyDescent="0.25">
      <c r="A8715" t="s">
        <v>307</v>
      </c>
      <c r="B8715" t="s">
        <v>736</v>
      </c>
      <c r="C8715" t="s">
        <v>88</v>
      </c>
      <c r="D8715" t="s">
        <v>7303</v>
      </c>
      <c r="E8715" t="s">
        <v>780</v>
      </c>
      <c r="F8715" t="s">
        <v>88</v>
      </c>
      <c r="G8715" t="s">
        <v>88</v>
      </c>
      <c r="H8715" t="s">
        <v>92</v>
      </c>
    </row>
    <row r="8716" spans="1:8" x14ac:dyDescent="0.25">
      <c r="A8716" t="s">
        <v>307</v>
      </c>
      <c r="B8716" t="s">
        <v>1234</v>
      </c>
      <c r="C8716" t="s">
        <v>88</v>
      </c>
      <c r="D8716" t="s">
        <v>2759</v>
      </c>
      <c r="E8716" t="s">
        <v>676</v>
      </c>
      <c r="F8716" t="s">
        <v>88</v>
      </c>
      <c r="G8716" t="s">
        <v>88</v>
      </c>
      <c r="H8716" t="s">
        <v>92</v>
      </c>
    </row>
    <row r="8717" spans="1:8" x14ac:dyDescent="0.25">
      <c r="A8717" t="s">
        <v>307</v>
      </c>
      <c r="B8717" t="s">
        <v>876</v>
      </c>
      <c r="C8717" t="s">
        <v>88</v>
      </c>
      <c r="D8717" t="s">
        <v>7304</v>
      </c>
      <c r="E8717" t="s">
        <v>762</v>
      </c>
      <c r="F8717" t="s">
        <v>88</v>
      </c>
      <c r="G8717" t="s">
        <v>88</v>
      </c>
      <c r="H8717" t="s">
        <v>92</v>
      </c>
    </row>
    <row r="8718" spans="1:8" x14ac:dyDescent="0.25">
      <c r="A8718" t="s">
        <v>307</v>
      </c>
      <c r="B8718" t="s">
        <v>739</v>
      </c>
      <c r="C8718" t="s">
        <v>88</v>
      </c>
      <c r="D8718" t="s">
        <v>7305</v>
      </c>
      <c r="E8718" t="s">
        <v>738</v>
      </c>
      <c r="F8718" t="s">
        <v>88</v>
      </c>
      <c r="G8718" t="s">
        <v>88</v>
      </c>
      <c r="H8718" t="s">
        <v>92</v>
      </c>
    </row>
    <row r="8719" spans="1:8" x14ac:dyDescent="0.25">
      <c r="A8719" t="s">
        <v>307</v>
      </c>
      <c r="B8719" t="s">
        <v>1237</v>
      </c>
      <c r="C8719" t="s">
        <v>88</v>
      </c>
      <c r="D8719" t="s">
        <v>2759</v>
      </c>
      <c r="E8719" t="s">
        <v>676</v>
      </c>
      <c r="F8719" t="s">
        <v>88</v>
      </c>
      <c r="G8719" t="s">
        <v>88</v>
      </c>
      <c r="H8719" t="s">
        <v>92</v>
      </c>
    </row>
    <row r="8720" spans="1:8" x14ac:dyDescent="0.25">
      <c r="A8720" t="s">
        <v>307</v>
      </c>
      <c r="B8720" t="s">
        <v>876</v>
      </c>
      <c r="C8720" t="s">
        <v>88</v>
      </c>
      <c r="D8720" t="s">
        <v>7304</v>
      </c>
      <c r="E8720" t="s">
        <v>762</v>
      </c>
      <c r="F8720" t="s">
        <v>88</v>
      </c>
      <c r="G8720" t="s">
        <v>88</v>
      </c>
      <c r="H8720" t="s">
        <v>92</v>
      </c>
    </row>
    <row r="8721" spans="1:8" x14ac:dyDescent="0.25">
      <c r="A8721" t="s">
        <v>307</v>
      </c>
      <c r="B8721" t="s">
        <v>759</v>
      </c>
      <c r="C8721" t="s">
        <v>88</v>
      </c>
      <c r="D8721" t="s">
        <v>7304</v>
      </c>
      <c r="E8721" t="s">
        <v>760</v>
      </c>
      <c r="F8721" t="s">
        <v>88</v>
      </c>
      <c r="G8721" t="s">
        <v>88</v>
      </c>
      <c r="H8721" t="s">
        <v>92</v>
      </c>
    </row>
    <row r="8722" spans="1:8" x14ac:dyDescent="0.25">
      <c r="A8722" t="s">
        <v>307</v>
      </c>
      <c r="B8722" t="s">
        <v>7306</v>
      </c>
      <c r="C8722" t="s">
        <v>88</v>
      </c>
      <c r="D8722" t="s">
        <v>7304</v>
      </c>
      <c r="E8722" t="s">
        <v>655</v>
      </c>
      <c r="F8722" t="s">
        <v>88</v>
      </c>
      <c r="G8722" t="s">
        <v>88</v>
      </c>
      <c r="H8722" t="s">
        <v>92</v>
      </c>
    </row>
    <row r="8723" spans="1:8" x14ac:dyDescent="0.25">
      <c r="A8723" t="s">
        <v>307</v>
      </c>
      <c r="B8723" t="s">
        <v>1385</v>
      </c>
      <c r="C8723" t="s">
        <v>88</v>
      </c>
      <c r="D8723" t="s">
        <v>7304</v>
      </c>
      <c r="E8723" t="s">
        <v>762</v>
      </c>
      <c r="F8723" t="s">
        <v>88</v>
      </c>
      <c r="G8723" t="s">
        <v>88</v>
      </c>
      <c r="H8723" t="s">
        <v>92</v>
      </c>
    </row>
    <row r="8724" spans="1:8" x14ac:dyDescent="0.25">
      <c r="A8724" t="s">
        <v>307</v>
      </c>
      <c r="B8724" t="s">
        <v>1678</v>
      </c>
      <c r="C8724" t="s">
        <v>88</v>
      </c>
      <c r="D8724" t="s">
        <v>7304</v>
      </c>
      <c r="E8724" t="s">
        <v>1006</v>
      </c>
      <c r="F8724" t="s">
        <v>88</v>
      </c>
      <c r="G8724" t="s">
        <v>88</v>
      </c>
      <c r="H8724" t="s">
        <v>92</v>
      </c>
    </row>
    <row r="8725" spans="1:8" x14ac:dyDescent="0.25">
      <c r="A8725" t="s">
        <v>307</v>
      </c>
      <c r="B8725" t="s">
        <v>7307</v>
      </c>
      <c r="C8725" t="s">
        <v>88</v>
      </c>
      <c r="D8725" t="s">
        <v>7304</v>
      </c>
      <c r="E8725" t="s">
        <v>692</v>
      </c>
      <c r="F8725" t="s">
        <v>88</v>
      </c>
      <c r="G8725" t="s">
        <v>88</v>
      </c>
      <c r="H8725" t="s">
        <v>92</v>
      </c>
    </row>
    <row r="8726" spans="1:8" x14ac:dyDescent="0.25">
      <c r="A8726" t="s">
        <v>307</v>
      </c>
      <c r="B8726" t="s">
        <v>881</v>
      </c>
      <c r="C8726" t="s">
        <v>88</v>
      </c>
      <c r="D8726" t="s">
        <v>7304</v>
      </c>
      <c r="E8726" t="s">
        <v>762</v>
      </c>
      <c r="F8726" t="s">
        <v>88</v>
      </c>
      <c r="G8726" t="s">
        <v>88</v>
      </c>
      <c r="H8726" t="s">
        <v>92</v>
      </c>
    </row>
    <row r="8727" spans="1:8" x14ac:dyDescent="0.25">
      <c r="A8727" t="s">
        <v>307</v>
      </c>
      <c r="B8727" t="s">
        <v>765</v>
      </c>
      <c r="C8727" t="s">
        <v>88</v>
      </c>
      <c r="D8727" t="s">
        <v>7304</v>
      </c>
      <c r="E8727" t="s">
        <v>1006</v>
      </c>
      <c r="F8727" t="s">
        <v>88</v>
      </c>
      <c r="G8727" t="s">
        <v>88</v>
      </c>
      <c r="H8727" t="s">
        <v>92</v>
      </c>
    </row>
    <row r="8728" spans="1:8" x14ac:dyDescent="0.25">
      <c r="A8728" t="s">
        <v>307</v>
      </c>
      <c r="B8728" t="s">
        <v>7308</v>
      </c>
      <c r="C8728" t="s">
        <v>88</v>
      </c>
      <c r="D8728" t="s">
        <v>7304</v>
      </c>
      <c r="E8728" t="s">
        <v>1006</v>
      </c>
      <c r="F8728" t="s">
        <v>88</v>
      </c>
      <c r="G8728" t="s">
        <v>88</v>
      </c>
      <c r="H8728" t="s">
        <v>92</v>
      </c>
    </row>
    <row r="8729" spans="1:8" x14ac:dyDescent="0.25">
      <c r="A8729" t="s">
        <v>307</v>
      </c>
      <c r="B8729" t="s">
        <v>768</v>
      </c>
      <c r="C8729" t="s">
        <v>88</v>
      </c>
      <c r="D8729" t="s">
        <v>7304</v>
      </c>
      <c r="E8729" t="s">
        <v>655</v>
      </c>
      <c r="F8729" t="s">
        <v>88</v>
      </c>
      <c r="G8729" t="s">
        <v>88</v>
      </c>
      <c r="H8729" t="s">
        <v>92</v>
      </c>
    </row>
    <row r="8730" spans="1:8" x14ac:dyDescent="0.25">
      <c r="A8730" t="s">
        <v>307</v>
      </c>
      <c r="B8730" t="s">
        <v>764</v>
      </c>
      <c r="C8730" t="s">
        <v>88</v>
      </c>
      <c r="D8730" t="s">
        <v>7309</v>
      </c>
      <c r="E8730" t="s">
        <v>717</v>
      </c>
      <c r="F8730" t="s">
        <v>88</v>
      </c>
      <c r="G8730" t="s">
        <v>88</v>
      </c>
      <c r="H8730" t="s">
        <v>92</v>
      </c>
    </row>
    <row r="8731" spans="1:8" x14ac:dyDescent="0.25">
      <c r="A8731" t="s">
        <v>307</v>
      </c>
      <c r="B8731" t="s">
        <v>740</v>
      </c>
      <c r="C8731" t="s">
        <v>88</v>
      </c>
      <c r="D8731" t="s">
        <v>7310</v>
      </c>
      <c r="E8731" t="s">
        <v>700</v>
      </c>
      <c r="F8731" t="s">
        <v>88</v>
      </c>
      <c r="G8731" t="s">
        <v>88</v>
      </c>
      <c r="H8731" t="s">
        <v>92</v>
      </c>
    </row>
    <row r="8732" spans="1:8" x14ac:dyDescent="0.25">
      <c r="A8732" t="s">
        <v>307</v>
      </c>
      <c r="B8732" t="s">
        <v>743</v>
      </c>
      <c r="C8732" t="s">
        <v>88</v>
      </c>
      <c r="D8732" t="s">
        <v>7311</v>
      </c>
      <c r="E8732" t="s">
        <v>700</v>
      </c>
      <c r="F8732" t="s">
        <v>88</v>
      </c>
      <c r="G8732" t="s">
        <v>88</v>
      </c>
      <c r="H8732" t="s">
        <v>92</v>
      </c>
    </row>
    <row r="8733" spans="1:8" x14ac:dyDescent="0.25">
      <c r="A8733" t="s">
        <v>307</v>
      </c>
      <c r="B8733" t="s">
        <v>767</v>
      </c>
      <c r="C8733" t="s">
        <v>88</v>
      </c>
      <c r="D8733" t="s">
        <v>7312</v>
      </c>
      <c r="E8733" t="s">
        <v>700</v>
      </c>
      <c r="F8733" t="s">
        <v>88</v>
      </c>
      <c r="G8733" t="s">
        <v>88</v>
      </c>
      <c r="H8733" t="s">
        <v>92</v>
      </c>
    </row>
    <row r="8734" spans="1:8" x14ac:dyDescent="0.25">
      <c r="A8734" t="s">
        <v>307</v>
      </c>
      <c r="B8734" t="s">
        <v>6535</v>
      </c>
      <c r="C8734" t="s">
        <v>88</v>
      </c>
      <c r="D8734" t="s">
        <v>7313</v>
      </c>
      <c r="E8734" t="s">
        <v>700</v>
      </c>
      <c r="F8734" t="s">
        <v>88</v>
      </c>
      <c r="G8734" t="s">
        <v>88</v>
      </c>
      <c r="H8734" t="s">
        <v>92</v>
      </c>
    </row>
    <row r="8735" spans="1:8" x14ac:dyDescent="0.25">
      <c r="A8735" t="s">
        <v>307</v>
      </c>
      <c r="B8735" t="s">
        <v>736</v>
      </c>
      <c r="C8735" t="s">
        <v>88</v>
      </c>
      <c r="D8735" t="s">
        <v>7303</v>
      </c>
      <c r="E8735" t="s">
        <v>780</v>
      </c>
      <c r="F8735" t="s">
        <v>88</v>
      </c>
      <c r="G8735" t="s">
        <v>88</v>
      </c>
      <c r="H8735" t="s">
        <v>92</v>
      </c>
    </row>
    <row r="8736" spans="1:8" x14ac:dyDescent="0.25">
      <c r="A8736" t="s">
        <v>307</v>
      </c>
      <c r="B8736" t="s">
        <v>777</v>
      </c>
      <c r="C8736" t="s">
        <v>88</v>
      </c>
      <c r="D8736" t="s">
        <v>7314</v>
      </c>
      <c r="E8736" t="s">
        <v>780</v>
      </c>
      <c r="F8736" t="s">
        <v>88</v>
      </c>
      <c r="G8736" t="s">
        <v>88</v>
      </c>
      <c r="H8736" t="s">
        <v>92</v>
      </c>
    </row>
    <row r="8737" spans="1:8" x14ac:dyDescent="0.25">
      <c r="A8737" t="s">
        <v>307</v>
      </c>
      <c r="B8737" t="s">
        <v>925</v>
      </c>
      <c r="C8737" t="s">
        <v>88</v>
      </c>
      <c r="D8737" t="s">
        <v>7315</v>
      </c>
      <c r="E8737" t="s">
        <v>780</v>
      </c>
      <c r="F8737" t="s">
        <v>88</v>
      </c>
      <c r="G8737" t="s">
        <v>88</v>
      </c>
      <c r="H8737" t="s">
        <v>92</v>
      </c>
    </row>
    <row r="8738" spans="1:8" x14ac:dyDescent="0.25">
      <c r="A8738" t="s">
        <v>307</v>
      </c>
      <c r="B8738" t="s">
        <v>6607</v>
      </c>
      <c r="C8738" t="s">
        <v>88</v>
      </c>
      <c r="D8738" t="s">
        <v>7316</v>
      </c>
      <c r="E8738" t="s">
        <v>658</v>
      </c>
      <c r="F8738" t="s">
        <v>88</v>
      </c>
      <c r="G8738" t="s">
        <v>88</v>
      </c>
      <c r="H8738" t="s">
        <v>92</v>
      </c>
    </row>
    <row r="8739" spans="1:8" x14ac:dyDescent="0.25">
      <c r="A8739" t="s">
        <v>307</v>
      </c>
      <c r="B8739" t="s">
        <v>7317</v>
      </c>
      <c r="C8739" t="s">
        <v>88</v>
      </c>
      <c r="D8739" t="s">
        <v>7318</v>
      </c>
      <c r="E8739" t="s">
        <v>658</v>
      </c>
      <c r="F8739" t="s">
        <v>88</v>
      </c>
      <c r="G8739" t="s">
        <v>88</v>
      </c>
      <c r="H8739" t="s">
        <v>92</v>
      </c>
    </row>
    <row r="8740" spans="1:8" x14ac:dyDescent="0.25">
      <c r="A8740" t="s">
        <v>307</v>
      </c>
      <c r="B8740" t="s">
        <v>739</v>
      </c>
      <c r="C8740" t="s">
        <v>88</v>
      </c>
      <c r="D8740" t="s">
        <v>7305</v>
      </c>
      <c r="E8740" t="s">
        <v>738</v>
      </c>
      <c r="F8740" t="s">
        <v>88</v>
      </c>
      <c r="G8740" t="s">
        <v>88</v>
      </c>
      <c r="H8740" t="s">
        <v>92</v>
      </c>
    </row>
    <row r="8741" spans="1:8" x14ac:dyDescent="0.25">
      <c r="A8741" t="s">
        <v>307</v>
      </c>
      <c r="B8741" t="s">
        <v>779</v>
      </c>
      <c r="C8741" t="s">
        <v>88</v>
      </c>
      <c r="D8741" t="s">
        <v>7319</v>
      </c>
      <c r="E8741" t="s">
        <v>679</v>
      </c>
      <c r="F8741" t="s">
        <v>88</v>
      </c>
      <c r="G8741" t="s">
        <v>88</v>
      </c>
      <c r="H8741" t="s">
        <v>92</v>
      </c>
    </row>
    <row r="8742" spans="1:8" x14ac:dyDescent="0.25">
      <c r="A8742" t="s">
        <v>307</v>
      </c>
      <c r="B8742" t="s">
        <v>776</v>
      </c>
      <c r="C8742" t="s">
        <v>88</v>
      </c>
      <c r="D8742" t="s">
        <v>7320</v>
      </c>
      <c r="E8742" t="s">
        <v>723</v>
      </c>
      <c r="F8742" t="s">
        <v>88</v>
      </c>
      <c r="G8742" t="s">
        <v>88</v>
      </c>
      <c r="H8742" t="s">
        <v>92</v>
      </c>
    </row>
    <row r="8743" spans="1:8" x14ac:dyDescent="0.25">
      <c r="A8743" t="s">
        <v>307</v>
      </c>
      <c r="B8743" t="s">
        <v>948</v>
      </c>
      <c r="C8743" t="s">
        <v>88</v>
      </c>
      <c r="D8743" t="s">
        <v>88</v>
      </c>
      <c r="E8743" t="s">
        <v>735</v>
      </c>
      <c r="F8743" t="s">
        <v>88</v>
      </c>
      <c r="G8743" t="s">
        <v>88</v>
      </c>
      <c r="H8743" t="s">
        <v>92</v>
      </c>
    </row>
    <row r="8744" spans="1:8" x14ac:dyDescent="0.25">
      <c r="A8744" t="s">
        <v>307</v>
      </c>
      <c r="B8744" t="s">
        <v>7321</v>
      </c>
      <c r="C8744" t="s">
        <v>88</v>
      </c>
      <c r="D8744" t="s">
        <v>88</v>
      </c>
      <c r="E8744" t="s">
        <v>791</v>
      </c>
      <c r="F8744" t="s">
        <v>88</v>
      </c>
      <c r="G8744" t="s">
        <v>88</v>
      </c>
      <c r="H8744" t="s">
        <v>92</v>
      </c>
    </row>
    <row r="8745" spans="1:8" x14ac:dyDescent="0.25">
      <c r="A8745" t="s">
        <v>307</v>
      </c>
      <c r="B8745" t="s">
        <v>7322</v>
      </c>
      <c r="C8745" t="s">
        <v>88</v>
      </c>
      <c r="D8745" t="s">
        <v>88</v>
      </c>
      <c r="E8745" t="s">
        <v>791</v>
      </c>
      <c r="F8745" t="s">
        <v>88</v>
      </c>
      <c r="G8745" t="s">
        <v>88</v>
      </c>
      <c r="H8745" t="s">
        <v>92</v>
      </c>
    </row>
    <row r="8746" spans="1:8" x14ac:dyDescent="0.25">
      <c r="A8746" t="s">
        <v>307</v>
      </c>
      <c r="B8746" t="s">
        <v>612</v>
      </c>
      <c r="C8746" t="s">
        <v>88</v>
      </c>
      <c r="D8746" t="s">
        <v>88</v>
      </c>
      <c r="E8746" t="s">
        <v>709</v>
      </c>
      <c r="F8746" t="s">
        <v>88</v>
      </c>
      <c r="G8746" t="s">
        <v>88</v>
      </c>
      <c r="H8746" t="s">
        <v>92</v>
      </c>
    </row>
    <row r="8747" spans="1:8" x14ac:dyDescent="0.25">
      <c r="A8747" t="s">
        <v>307</v>
      </c>
      <c r="B8747" t="s">
        <v>615</v>
      </c>
      <c r="C8747" t="s">
        <v>88</v>
      </c>
      <c r="D8747" t="s">
        <v>88</v>
      </c>
      <c r="E8747" t="s">
        <v>709</v>
      </c>
      <c r="F8747" t="s">
        <v>88</v>
      </c>
      <c r="G8747" t="s">
        <v>88</v>
      </c>
      <c r="H8747" t="s">
        <v>92</v>
      </c>
    </row>
    <row r="8748" spans="1:8" x14ac:dyDescent="0.25">
      <c r="A8748" t="s">
        <v>307</v>
      </c>
      <c r="B8748" t="s">
        <v>846</v>
      </c>
      <c r="C8748" t="s">
        <v>88</v>
      </c>
      <c r="D8748" t="s">
        <v>847</v>
      </c>
      <c r="E8748" t="s">
        <v>709</v>
      </c>
      <c r="F8748" t="s">
        <v>88</v>
      </c>
      <c r="G8748" t="s">
        <v>88</v>
      </c>
      <c r="H8748" t="s">
        <v>92</v>
      </c>
    </row>
    <row r="8749" spans="1:8" x14ac:dyDescent="0.25">
      <c r="A8749" t="s">
        <v>307</v>
      </c>
      <c r="B8749" t="s">
        <v>926</v>
      </c>
      <c r="C8749" t="s">
        <v>88</v>
      </c>
      <c r="D8749" t="s">
        <v>88</v>
      </c>
      <c r="E8749" t="s">
        <v>711</v>
      </c>
      <c r="F8749" t="s">
        <v>88</v>
      </c>
      <c r="G8749" t="s">
        <v>88</v>
      </c>
      <c r="H8749" t="s">
        <v>92</v>
      </c>
    </row>
    <row r="8750" spans="1:8" x14ac:dyDescent="0.25">
      <c r="A8750" t="s">
        <v>307</v>
      </c>
      <c r="B8750" t="s">
        <v>623</v>
      </c>
      <c r="C8750" t="s">
        <v>88</v>
      </c>
      <c r="D8750" t="s">
        <v>88</v>
      </c>
      <c r="E8750" t="s">
        <v>849</v>
      </c>
      <c r="F8750" t="s">
        <v>88</v>
      </c>
      <c r="G8750" t="s">
        <v>88</v>
      </c>
      <c r="H8750" t="s">
        <v>92</v>
      </c>
    </row>
    <row r="8751" spans="1:8" x14ac:dyDescent="0.25">
      <c r="A8751" t="s">
        <v>307</v>
      </c>
      <c r="B8751" t="s">
        <v>798</v>
      </c>
      <c r="C8751" t="s">
        <v>88</v>
      </c>
      <c r="D8751" t="s">
        <v>88</v>
      </c>
      <c r="E8751" t="s">
        <v>702</v>
      </c>
      <c r="F8751" t="s">
        <v>88</v>
      </c>
      <c r="G8751" t="s">
        <v>88</v>
      </c>
      <c r="H8751" t="s">
        <v>92</v>
      </c>
    </row>
    <row r="8752" spans="1:8" x14ac:dyDescent="0.25">
      <c r="A8752" t="s">
        <v>307</v>
      </c>
      <c r="B8752" t="s">
        <v>982</v>
      </c>
      <c r="C8752" t="s">
        <v>88</v>
      </c>
      <c r="D8752" t="s">
        <v>88</v>
      </c>
      <c r="E8752" t="s">
        <v>702</v>
      </c>
      <c r="F8752" t="s">
        <v>88</v>
      </c>
      <c r="G8752" t="s">
        <v>88</v>
      </c>
      <c r="H8752" t="s">
        <v>92</v>
      </c>
    </row>
    <row r="8753" spans="1:8" x14ac:dyDescent="0.25">
      <c r="A8753" t="s">
        <v>307</v>
      </c>
      <c r="B8753" t="s">
        <v>852</v>
      </c>
      <c r="C8753" t="s">
        <v>88</v>
      </c>
      <c r="D8753" t="s">
        <v>88</v>
      </c>
      <c r="E8753" t="s">
        <v>715</v>
      </c>
      <c r="F8753" t="s">
        <v>88</v>
      </c>
      <c r="G8753" t="s">
        <v>88</v>
      </c>
      <c r="H8753" t="s">
        <v>92</v>
      </c>
    </row>
    <row r="8754" spans="1:8" x14ac:dyDescent="0.25">
      <c r="A8754" t="s">
        <v>307</v>
      </c>
      <c r="B8754" t="s">
        <v>3213</v>
      </c>
      <c r="C8754" t="s">
        <v>88</v>
      </c>
      <c r="D8754" t="s">
        <v>88</v>
      </c>
      <c r="E8754" t="s">
        <v>715</v>
      </c>
      <c r="F8754" t="s">
        <v>88</v>
      </c>
      <c r="G8754" t="s">
        <v>88</v>
      </c>
      <c r="H8754" t="s">
        <v>92</v>
      </c>
    </row>
    <row r="8755" spans="1:8" x14ac:dyDescent="0.25">
      <c r="A8755" t="s">
        <v>307</v>
      </c>
      <c r="B8755" t="s">
        <v>2418</v>
      </c>
      <c r="C8755" t="s">
        <v>88</v>
      </c>
      <c r="D8755" t="s">
        <v>2759</v>
      </c>
      <c r="E8755" t="s">
        <v>3179</v>
      </c>
      <c r="F8755" t="s">
        <v>88</v>
      </c>
      <c r="G8755" t="s">
        <v>88</v>
      </c>
      <c r="H8755" t="s">
        <v>92</v>
      </c>
    </row>
    <row r="8756" spans="1:8" x14ac:dyDescent="0.25">
      <c r="A8756" t="s">
        <v>307</v>
      </c>
      <c r="B8756" t="s">
        <v>7323</v>
      </c>
      <c r="C8756" t="s">
        <v>88</v>
      </c>
      <c r="D8756" t="s">
        <v>88</v>
      </c>
      <c r="E8756" t="s">
        <v>812</v>
      </c>
      <c r="F8756" t="s">
        <v>88</v>
      </c>
      <c r="G8756" t="s">
        <v>88</v>
      </c>
      <c r="H8756" t="s">
        <v>92</v>
      </c>
    </row>
    <row r="8757" spans="1:8" x14ac:dyDescent="0.25">
      <c r="A8757" t="s">
        <v>307</v>
      </c>
      <c r="B8757" t="s">
        <v>4120</v>
      </c>
      <c r="C8757" t="s">
        <v>88</v>
      </c>
      <c r="D8757" t="s">
        <v>2759</v>
      </c>
      <c r="E8757" t="s">
        <v>3179</v>
      </c>
      <c r="F8757" t="s">
        <v>88</v>
      </c>
      <c r="G8757" t="s">
        <v>88</v>
      </c>
      <c r="H8757" t="s">
        <v>92</v>
      </c>
    </row>
    <row r="8758" spans="1:8" x14ac:dyDescent="0.25">
      <c r="A8758" t="s">
        <v>307</v>
      </c>
      <c r="B8758" t="s">
        <v>7324</v>
      </c>
      <c r="C8758" t="s">
        <v>88</v>
      </c>
      <c r="D8758" t="s">
        <v>2759</v>
      </c>
      <c r="E8758" t="s">
        <v>3179</v>
      </c>
      <c r="F8758" t="s">
        <v>88</v>
      </c>
      <c r="G8758" t="s">
        <v>88</v>
      </c>
      <c r="H8758" t="s">
        <v>92</v>
      </c>
    </row>
    <row r="8759" spans="1:8" x14ac:dyDescent="0.25">
      <c r="A8759" t="s">
        <v>307</v>
      </c>
      <c r="B8759" t="s">
        <v>1237</v>
      </c>
      <c r="C8759" t="s">
        <v>88</v>
      </c>
      <c r="D8759" t="s">
        <v>2759</v>
      </c>
      <c r="E8759" t="s">
        <v>676</v>
      </c>
      <c r="F8759" t="s">
        <v>88</v>
      </c>
      <c r="G8759" t="s">
        <v>88</v>
      </c>
      <c r="H8759" t="s">
        <v>92</v>
      </c>
    </row>
    <row r="8760" spans="1:8" x14ac:dyDescent="0.25">
      <c r="A8760" t="s">
        <v>307</v>
      </c>
      <c r="B8760" t="s">
        <v>1238</v>
      </c>
      <c r="C8760" t="s">
        <v>88</v>
      </c>
      <c r="D8760" t="s">
        <v>2759</v>
      </c>
      <c r="E8760" t="s">
        <v>676</v>
      </c>
      <c r="F8760" t="s">
        <v>88</v>
      </c>
      <c r="G8760" t="s">
        <v>88</v>
      </c>
      <c r="H8760" t="s">
        <v>92</v>
      </c>
    </row>
    <row r="8761" spans="1:8" x14ac:dyDescent="0.25">
      <c r="A8761" t="s">
        <v>307</v>
      </c>
      <c r="B8761" t="s">
        <v>1400</v>
      </c>
      <c r="C8761" t="s">
        <v>88</v>
      </c>
      <c r="D8761" t="s">
        <v>2759</v>
      </c>
      <c r="E8761" t="s">
        <v>676</v>
      </c>
      <c r="F8761" t="s">
        <v>88</v>
      </c>
      <c r="G8761" t="s">
        <v>88</v>
      </c>
      <c r="H8761" t="s">
        <v>92</v>
      </c>
    </row>
    <row r="8762" spans="1:8" x14ac:dyDescent="0.25">
      <c r="A8762" t="s">
        <v>307</v>
      </c>
      <c r="B8762" t="s">
        <v>1234</v>
      </c>
      <c r="C8762" t="s">
        <v>88</v>
      </c>
      <c r="D8762" t="s">
        <v>2759</v>
      </c>
      <c r="E8762" t="s">
        <v>676</v>
      </c>
      <c r="F8762" t="s">
        <v>88</v>
      </c>
      <c r="G8762" t="s">
        <v>88</v>
      </c>
      <c r="H8762" t="s">
        <v>92</v>
      </c>
    </row>
    <row r="8763" spans="1:8" x14ac:dyDescent="0.25">
      <c r="A8763" t="s">
        <v>307</v>
      </c>
      <c r="B8763" t="s">
        <v>7325</v>
      </c>
      <c r="C8763" t="s">
        <v>88</v>
      </c>
      <c r="D8763" t="s">
        <v>7326</v>
      </c>
      <c r="E8763" t="s">
        <v>676</v>
      </c>
      <c r="F8763" t="s">
        <v>88</v>
      </c>
      <c r="G8763" t="s">
        <v>88</v>
      </c>
      <c r="H8763" t="s">
        <v>92</v>
      </c>
    </row>
    <row r="8764" spans="1:8" x14ac:dyDescent="0.25">
      <c r="A8764" t="s">
        <v>307</v>
      </c>
      <c r="B8764" t="s">
        <v>2423</v>
      </c>
      <c r="C8764" t="s">
        <v>88</v>
      </c>
      <c r="D8764" t="s">
        <v>2759</v>
      </c>
      <c r="E8764" t="s">
        <v>807</v>
      </c>
      <c r="F8764" t="s">
        <v>88</v>
      </c>
      <c r="G8764" t="s">
        <v>88</v>
      </c>
      <c r="H8764" t="s">
        <v>92</v>
      </c>
    </row>
    <row r="8765" spans="1:8" x14ac:dyDescent="0.25">
      <c r="A8765" t="s">
        <v>307</v>
      </c>
      <c r="B8765" t="s">
        <v>7327</v>
      </c>
      <c r="C8765" t="s">
        <v>88</v>
      </c>
      <c r="D8765" t="s">
        <v>2759</v>
      </c>
      <c r="E8765" t="s">
        <v>812</v>
      </c>
      <c r="F8765" t="s">
        <v>88</v>
      </c>
      <c r="G8765" t="s">
        <v>88</v>
      </c>
      <c r="H8765" t="s">
        <v>92</v>
      </c>
    </row>
    <row r="8766" spans="1:8" x14ac:dyDescent="0.25">
      <c r="A8766" t="s">
        <v>307</v>
      </c>
      <c r="B8766" t="s">
        <v>625</v>
      </c>
      <c r="C8766" t="s">
        <v>88</v>
      </c>
      <c r="D8766" t="s">
        <v>88</v>
      </c>
      <c r="E8766" t="s">
        <v>626</v>
      </c>
      <c r="F8766" t="s">
        <v>88</v>
      </c>
      <c r="G8766" t="s">
        <v>88</v>
      </c>
      <c r="H8766" t="s">
        <v>92</v>
      </c>
    </row>
    <row r="8767" spans="1:8" x14ac:dyDescent="0.25">
      <c r="A8767" t="s">
        <v>308</v>
      </c>
      <c r="B8767" t="s">
        <v>7328</v>
      </c>
      <c r="C8767" t="s">
        <v>88</v>
      </c>
      <c r="D8767" t="s">
        <v>7329</v>
      </c>
      <c r="E8767" t="s">
        <v>883</v>
      </c>
      <c r="F8767" t="s">
        <v>88</v>
      </c>
      <c r="G8767" t="s">
        <v>88</v>
      </c>
      <c r="H8767" t="s">
        <v>92</v>
      </c>
    </row>
    <row r="8768" spans="1:8" x14ac:dyDescent="0.25">
      <c r="A8768" t="s">
        <v>308</v>
      </c>
      <c r="B8768" t="s">
        <v>7330</v>
      </c>
      <c r="C8768" t="s">
        <v>88</v>
      </c>
      <c r="D8768" t="s">
        <v>7331</v>
      </c>
      <c r="E8768" t="s">
        <v>679</v>
      </c>
      <c r="F8768" t="s">
        <v>88</v>
      </c>
      <c r="G8768" t="s">
        <v>88</v>
      </c>
      <c r="H8768" t="s">
        <v>92</v>
      </c>
    </row>
    <row r="8769" spans="1:8" x14ac:dyDescent="0.25">
      <c r="A8769" t="s">
        <v>308</v>
      </c>
      <c r="B8769" t="s">
        <v>7332</v>
      </c>
      <c r="C8769" t="s">
        <v>88</v>
      </c>
      <c r="D8769" t="s">
        <v>7331</v>
      </c>
      <c r="E8769" t="s">
        <v>679</v>
      </c>
      <c r="F8769" t="s">
        <v>88</v>
      </c>
      <c r="G8769" t="s">
        <v>88</v>
      </c>
      <c r="H8769" t="s">
        <v>92</v>
      </c>
    </row>
    <row r="8770" spans="1:8" x14ac:dyDescent="0.25">
      <c r="A8770" t="s">
        <v>308</v>
      </c>
      <c r="B8770" t="s">
        <v>7333</v>
      </c>
      <c r="C8770" t="s">
        <v>88</v>
      </c>
      <c r="D8770" t="s">
        <v>88</v>
      </c>
      <c r="E8770" t="s">
        <v>723</v>
      </c>
      <c r="F8770" t="s">
        <v>88</v>
      </c>
      <c r="G8770" t="s">
        <v>88</v>
      </c>
      <c r="H8770" t="s">
        <v>92</v>
      </c>
    </row>
    <row r="8771" spans="1:8" x14ac:dyDescent="0.25">
      <c r="A8771" t="s">
        <v>308</v>
      </c>
      <c r="B8771" t="s">
        <v>7334</v>
      </c>
      <c r="C8771" t="s">
        <v>88</v>
      </c>
      <c r="D8771" t="s">
        <v>7331</v>
      </c>
      <c r="E8771" t="s">
        <v>679</v>
      </c>
      <c r="F8771" t="s">
        <v>88</v>
      </c>
      <c r="G8771" t="s">
        <v>88</v>
      </c>
      <c r="H8771" t="s">
        <v>92</v>
      </c>
    </row>
    <row r="8772" spans="1:8" x14ac:dyDescent="0.25">
      <c r="A8772" t="s">
        <v>308</v>
      </c>
      <c r="B8772" t="s">
        <v>7335</v>
      </c>
      <c r="C8772" t="s">
        <v>88</v>
      </c>
      <c r="D8772" t="s">
        <v>7336</v>
      </c>
      <c r="E8772" t="s">
        <v>679</v>
      </c>
      <c r="F8772" t="s">
        <v>88</v>
      </c>
      <c r="G8772" t="s">
        <v>88</v>
      </c>
      <c r="H8772" t="s">
        <v>92</v>
      </c>
    </row>
    <row r="8773" spans="1:8" x14ac:dyDescent="0.25">
      <c r="A8773" t="s">
        <v>308</v>
      </c>
      <c r="B8773" t="s">
        <v>7337</v>
      </c>
      <c r="C8773" t="s">
        <v>88</v>
      </c>
      <c r="D8773" t="s">
        <v>7338</v>
      </c>
      <c r="E8773" t="s">
        <v>673</v>
      </c>
      <c r="F8773" t="s">
        <v>88</v>
      </c>
      <c r="G8773" t="s">
        <v>88</v>
      </c>
      <c r="H8773" t="s">
        <v>92</v>
      </c>
    </row>
    <row r="8774" spans="1:8" x14ac:dyDescent="0.25">
      <c r="A8774" t="s">
        <v>308</v>
      </c>
      <c r="B8774" t="s">
        <v>7339</v>
      </c>
      <c r="C8774" t="s">
        <v>88</v>
      </c>
      <c r="D8774" t="s">
        <v>7331</v>
      </c>
      <c r="E8774" t="s">
        <v>673</v>
      </c>
      <c r="F8774" t="s">
        <v>88</v>
      </c>
      <c r="G8774" t="s">
        <v>88</v>
      </c>
      <c r="H8774" t="s">
        <v>92</v>
      </c>
    </row>
    <row r="8775" spans="1:8" x14ac:dyDescent="0.25">
      <c r="A8775" t="s">
        <v>308</v>
      </c>
      <c r="B8775" t="s">
        <v>7340</v>
      </c>
      <c r="C8775" t="s">
        <v>88</v>
      </c>
      <c r="D8775" t="s">
        <v>7331</v>
      </c>
      <c r="E8775" t="s">
        <v>673</v>
      </c>
      <c r="F8775" t="s">
        <v>88</v>
      </c>
      <c r="G8775" t="s">
        <v>88</v>
      </c>
      <c r="H8775" t="s">
        <v>92</v>
      </c>
    </row>
    <row r="8776" spans="1:8" x14ac:dyDescent="0.25">
      <c r="A8776" t="s">
        <v>308</v>
      </c>
      <c r="B8776" t="s">
        <v>7341</v>
      </c>
      <c r="C8776" t="s">
        <v>88</v>
      </c>
      <c r="D8776" t="s">
        <v>7338</v>
      </c>
      <c r="E8776" t="s">
        <v>679</v>
      </c>
      <c r="F8776" t="s">
        <v>88</v>
      </c>
      <c r="G8776" t="s">
        <v>88</v>
      </c>
      <c r="H8776" t="s">
        <v>92</v>
      </c>
    </row>
    <row r="8777" spans="1:8" x14ac:dyDescent="0.25">
      <c r="A8777" t="s">
        <v>308</v>
      </c>
      <c r="B8777" t="s">
        <v>7342</v>
      </c>
      <c r="C8777" t="s">
        <v>88</v>
      </c>
      <c r="D8777" t="s">
        <v>7338</v>
      </c>
      <c r="E8777" t="s">
        <v>679</v>
      </c>
      <c r="F8777" t="s">
        <v>88</v>
      </c>
      <c r="G8777" t="s">
        <v>88</v>
      </c>
      <c r="H8777" t="s">
        <v>92</v>
      </c>
    </row>
    <row r="8778" spans="1:8" x14ac:dyDescent="0.25">
      <c r="A8778" t="s">
        <v>308</v>
      </c>
      <c r="B8778" t="s">
        <v>7343</v>
      </c>
      <c r="C8778" t="s">
        <v>88</v>
      </c>
      <c r="D8778" t="s">
        <v>7344</v>
      </c>
      <c r="E8778" t="s">
        <v>679</v>
      </c>
      <c r="F8778" t="s">
        <v>88</v>
      </c>
      <c r="G8778" t="s">
        <v>88</v>
      </c>
      <c r="H8778" t="s">
        <v>92</v>
      </c>
    </row>
    <row r="8779" spans="1:8" x14ac:dyDescent="0.25">
      <c r="A8779" t="s">
        <v>308</v>
      </c>
      <c r="B8779" t="s">
        <v>7345</v>
      </c>
      <c r="C8779" t="s">
        <v>88</v>
      </c>
      <c r="D8779" t="s">
        <v>7331</v>
      </c>
      <c r="E8779" t="s">
        <v>673</v>
      </c>
      <c r="F8779" t="s">
        <v>88</v>
      </c>
      <c r="G8779" t="s">
        <v>88</v>
      </c>
      <c r="H8779" t="s">
        <v>92</v>
      </c>
    </row>
    <row r="8780" spans="1:8" x14ac:dyDescent="0.25">
      <c r="A8780" t="s">
        <v>308</v>
      </c>
      <c r="B8780" t="s">
        <v>7346</v>
      </c>
      <c r="C8780" t="s">
        <v>88</v>
      </c>
      <c r="D8780" t="s">
        <v>7331</v>
      </c>
      <c r="E8780" t="s">
        <v>673</v>
      </c>
      <c r="F8780" t="s">
        <v>88</v>
      </c>
      <c r="G8780" t="s">
        <v>88</v>
      </c>
      <c r="H8780" t="s">
        <v>92</v>
      </c>
    </row>
    <row r="8781" spans="1:8" x14ac:dyDescent="0.25">
      <c r="A8781" t="s">
        <v>308</v>
      </c>
      <c r="B8781" t="s">
        <v>7347</v>
      </c>
      <c r="C8781" t="s">
        <v>88</v>
      </c>
      <c r="D8781" t="s">
        <v>7331</v>
      </c>
      <c r="E8781" t="s">
        <v>673</v>
      </c>
      <c r="F8781" t="s">
        <v>88</v>
      </c>
      <c r="G8781" t="s">
        <v>88</v>
      </c>
      <c r="H8781" t="s">
        <v>92</v>
      </c>
    </row>
    <row r="8782" spans="1:8" x14ac:dyDescent="0.25">
      <c r="A8782" t="s">
        <v>308</v>
      </c>
      <c r="B8782" t="s">
        <v>7348</v>
      </c>
      <c r="C8782" t="s">
        <v>88</v>
      </c>
      <c r="D8782" t="s">
        <v>660</v>
      </c>
      <c r="E8782" t="s">
        <v>717</v>
      </c>
      <c r="F8782" t="s">
        <v>88</v>
      </c>
      <c r="G8782" t="s">
        <v>88</v>
      </c>
      <c r="H8782" t="s">
        <v>92</v>
      </c>
    </row>
    <row r="8783" spans="1:8" x14ac:dyDescent="0.25">
      <c r="A8783" t="s">
        <v>308</v>
      </c>
      <c r="B8783" t="s">
        <v>7349</v>
      </c>
      <c r="C8783" t="s">
        <v>88</v>
      </c>
      <c r="D8783" t="s">
        <v>660</v>
      </c>
      <c r="E8783" t="s">
        <v>717</v>
      </c>
      <c r="F8783" t="s">
        <v>88</v>
      </c>
      <c r="G8783" t="s">
        <v>88</v>
      </c>
      <c r="H8783" t="s">
        <v>92</v>
      </c>
    </row>
    <row r="8784" spans="1:8" x14ac:dyDescent="0.25">
      <c r="A8784" t="s">
        <v>308</v>
      </c>
      <c r="B8784" t="s">
        <v>7350</v>
      </c>
      <c r="C8784" t="s">
        <v>88</v>
      </c>
      <c r="D8784" t="s">
        <v>660</v>
      </c>
      <c r="E8784" t="s">
        <v>717</v>
      </c>
      <c r="F8784" t="s">
        <v>88</v>
      </c>
      <c r="G8784" t="s">
        <v>88</v>
      </c>
      <c r="H8784" t="s">
        <v>92</v>
      </c>
    </row>
    <row r="8785" spans="1:8" x14ac:dyDescent="0.25">
      <c r="A8785" t="s">
        <v>308</v>
      </c>
      <c r="B8785" t="s">
        <v>7351</v>
      </c>
      <c r="C8785" t="s">
        <v>88</v>
      </c>
      <c r="D8785" t="s">
        <v>660</v>
      </c>
      <c r="E8785" t="s">
        <v>717</v>
      </c>
      <c r="F8785" t="s">
        <v>88</v>
      </c>
      <c r="G8785" t="s">
        <v>88</v>
      </c>
      <c r="H8785" t="s">
        <v>92</v>
      </c>
    </row>
    <row r="8786" spans="1:8" x14ac:dyDescent="0.25">
      <c r="A8786" t="s">
        <v>308</v>
      </c>
      <c r="B8786" t="s">
        <v>7352</v>
      </c>
      <c r="C8786" t="s">
        <v>88</v>
      </c>
      <c r="D8786" t="s">
        <v>660</v>
      </c>
      <c r="E8786" t="s">
        <v>717</v>
      </c>
      <c r="F8786" t="s">
        <v>88</v>
      </c>
      <c r="G8786" t="s">
        <v>88</v>
      </c>
      <c r="H8786" t="s">
        <v>92</v>
      </c>
    </row>
    <row r="8787" spans="1:8" x14ac:dyDescent="0.25">
      <c r="A8787" t="s">
        <v>308</v>
      </c>
      <c r="B8787" t="s">
        <v>7353</v>
      </c>
      <c r="C8787" t="s">
        <v>88</v>
      </c>
      <c r="D8787" t="s">
        <v>660</v>
      </c>
      <c r="E8787" t="s">
        <v>717</v>
      </c>
      <c r="F8787" t="s">
        <v>88</v>
      </c>
      <c r="G8787" t="s">
        <v>88</v>
      </c>
      <c r="H8787" t="s">
        <v>92</v>
      </c>
    </row>
    <row r="8788" spans="1:8" x14ac:dyDescent="0.25">
      <c r="A8788" t="s">
        <v>308</v>
      </c>
      <c r="B8788" t="s">
        <v>7354</v>
      </c>
      <c r="C8788" t="s">
        <v>88</v>
      </c>
      <c r="D8788" t="s">
        <v>660</v>
      </c>
      <c r="E8788" t="s">
        <v>717</v>
      </c>
      <c r="F8788" t="s">
        <v>88</v>
      </c>
      <c r="G8788" t="s">
        <v>88</v>
      </c>
      <c r="H8788" t="s">
        <v>92</v>
      </c>
    </row>
    <row r="8789" spans="1:8" x14ac:dyDescent="0.25">
      <c r="A8789" t="s">
        <v>308</v>
      </c>
      <c r="B8789" t="s">
        <v>7355</v>
      </c>
      <c r="C8789" t="s">
        <v>88</v>
      </c>
      <c r="D8789" t="s">
        <v>660</v>
      </c>
      <c r="E8789" t="s">
        <v>717</v>
      </c>
      <c r="F8789" t="s">
        <v>88</v>
      </c>
      <c r="G8789" t="s">
        <v>88</v>
      </c>
      <c r="H8789" t="s">
        <v>92</v>
      </c>
    </row>
    <row r="8790" spans="1:8" x14ac:dyDescent="0.25">
      <c r="A8790" t="s">
        <v>308</v>
      </c>
      <c r="B8790" t="s">
        <v>7356</v>
      </c>
      <c r="C8790" t="s">
        <v>88</v>
      </c>
      <c r="D8790" t="s">
        <v>660</v>
      </c>
      <c r="E8790" t="s">
        <v>844</v>
      </c>
      <c r="F8790" t="s">
        <v>88</v>
      </c>
      <c r="G8790" t="s">
        <v>88</v>
      </c>
      <c r="H8790" t="s">
        <v>92</v>
      </c>
    </row>
    <row r="8791" spans="1:8" x14ac:dyDescent="0.25">
      <c r="A8791" t="s">
        <v>308</v>
      </c>
      <c r="B8791" t="s">
        <v>7357</v>
      </c>
      <c r="C8791" t="s">
        <v>88</v>
      </c>
      <c r="D8791" t="s">
        <v>660</v>
      </c>
      <c r="E8791" t="s">
        <v>717</v>
      </c>
      <c r="F8791" t="s">
        <v>88</v>
      </c>
      <c r="G8791" t="s">
        <v>88</v>
      </c>
      <c r="H8791" t="s">
        <v>92</v>
      </c>
    </row>
    <row r="8792" spans="1:8" x14ac:dyDescent="0.25">
      <c r="A8792" t="s">
        <v>308</v>
      </c>
      <c r="B8792" t="s">
        <v>7358</v>
      </c>
      <c r="C8792" t="s">
        <v>88</v>
      </c>
      <c r="D8792" t="s">
        <v>660</v>
      </c>
      <c r="E8792" t="s">
        <v>663</v>
      </c>
      <c r="F8792" t="s">
        <v>88</v>
      </c>
      <c r="G8792" t="s">
        <v>88</v>
      </c>
      <c r="H8792" t="s">
        <v>92</v>
      </c>
    </row>
    <row r="8793" spans="1:8" x14ac:dyDescent="0.25">
      <c r="A8793" t="s">
        <v>308</v>
      </c>
      <c r="B8793" t="s">
        <v>7359</v>
      </c>
      <c r="C8793" t="s">
        <v>88</v>
      </c>
      <c r="D8793" t="s">
        <v>660</v>
      </c>
      <c r="E8793" t="s">
        <v>762</v>
      </c>
      <c r="F8793" t="s">
        <v>88</v>
      </c>
      <c r="G8793" t="s">
        <v>88</v>
      </c>
      <c r="H8793" t="s">
        <v>92</v>
      </c>
    </row>
    <row r="8794" spans="1:8" x14ac:dyDescent="0.25">
      <c r="A8794" t="s">
        <v>308</v>
      </c>
      <c r="B8794" t="s">
        <v>7360</v>
      </c>
      <c r="C8794" t="s">
        <v>88</v>
      </c>
      <c r="D8794" t="s">
        <v>660</v>
      </c>
      <c r="E8794" t="s">
        <v>723</v>
      </c>
      <c r="F8794" t="s">
        <v>88</v>
      </c>
      <c r="G8794" t="s">
        <v>88</v>
      </c>
      <c r="H8794" t="s">
        <v>92</v>
      </c>
    </row>
    <row r="8795" spans="1:8" x14ac:dyDescent="0.25">
      <c r="A8795" t="s">
        <v>308</v>
      </c>
      <c r="B8795" t="s">
        <v>7361</v>
      </c>
      <c r="C8795" t="s">
        <v>88</v>
      </c>
      <c r="D8795" t="s">
        <v>660</v>
      </c>
      <c r="E8795" t="s">
        <v>723</v>
      </c>
      <c r="F8795" t="s">
        <v>88</v>
      </c>
      <c r="G8795" t="s">
        <v>88</v>
      </c>
      <c r="H8795" t="s">
        <v>92</v>
      </c>
    </row>
    <row r="8796" spans="1:8" x14ac:dyDescent="0.25">
      <c r="A8796" t="s">
        <v>308</v>
      </c>
      <c r="B8796" t="s">
        <v>7362</v>
      </c>
      <c r="C8796" t="s">
        <v>88</v>
      </c>
      <c r="D8796" t="s">
        <v>660</v>
      </c>
      <c r="E8796" t="s">
        <v>723</v>
      </c>
      <c r="F8796" t="s">
        <v>88</v>
      </c>
      <c r="G8796" t="s">
        <v>88</v>
      </c>
      <c r="H8796" t="s">
        <v>92</v>
      </c>
    </row>
    <row r="8797" spans="1:8" x14ac:dyDescent="0.25">
      <c r="A8797" t="s">
        <v>308</v>
      </c>
      <c r="B8797" t="s">
        <v>7363</v>
      </c>
      <c r="C8797" t="s">
        <v>88</v>
      </c>
      <c r="D8797" t="s">
        <v>660</v>
      </c>
      <c r="E8797" t="s">
        <v>723</v>
      </c>
      <c r="F8797" t="s">
        <v>88</v>
      </c>
      <c r="G8797" t="s">
        <v>88</v>
      </c>
      <c r="H8797" t="s">
        <v>92</v>
      </c>
    </row>
    <row r="8798" spans="1:8" x14ac:dyDescent="0.25">
      <c r="A8798" t="s">
        <v>308</v>
      </c>
      <c r="B8798" t="s">
        <v>7364</v>
      </c>
      <c r="C8798" t="s">
        <v>88</v>
      </c>
      <c r="D8798" t="s">
        <v>660</v>
      </c>
      <c r="E8798" t="s">
        <v>723</v>
      </c>
      <c r="F8798" t="s">
        <v>88</v>
      </c>
      <c r="G8798" t="s">
        <v>88</v>
      </c>
      <c r="H8798" t="s">
        <v>92</v>
      </c>
    </row>
    <row r="8799" spans="1:8" x14ac:dyDescent="0.25">
      <c r="A8799" t="s">
        <v>308</v>
      </c>
      <c r="B8799" t="s">
        <v>7365</v>
      </c>
      <c r="C8799" t="s">
        <v>88</v>
      </c>
      <c r="D8799" t="s">
        <v>660</v>
      </c>
      <c r="E8799" t="s">
        <v>723</v>
      </c>
      <c r="F8799" t="s">
        <v>88</v>
      </c>
      <c r="G8799" t="s">
        <v>88</v>
      </c>
      <c r="H8799" t="s">
        <v>92</v>
      </c>
    </row>
    <row r="8800" spans="1:8" x14ac:dyDescent="0.25">
      <c r="A8800" t="s">
        <v>308</v>
      </c>
      <c r="B8800" t="s">
        <v>7366</v>
      </c>
      <c r="C8800" t="s">
        <v>88</v>
      </c>
      <c r="D8800" t="s">
        <v>660</v>
      </c>
      <c r="E8800" t="s">
        <v>723</v>
      </c>
      <c r="F8800" t="s">
        <v>88</v>
      </c>
      <c r="G8800" t="s">
        <v>88</v>
      </c>
      <c r="H8800" t="s">
        <v>92</v>
      </c>
    </row>
    <row r="8801" spans="1:8" x14ac:dyDescent="0.25">
      <c r="A8801" t="s">
        <v>308</v>
      </c>
      <c r="B8801" t="s">
        <v>7367</v>
      </c>
      <c r="C8801" t="s">
        <v>88</v>
      </c>
      <c r="D8801" t="s">
        <v>660</v>
      </c>
      <c r="E8801" t="s">
        <v>723</v>
      </c>
      <c r="F8801" t="s">
        <v>88</v>
      </c>
      <c r="G8801" t="s">
        <v>88</v>
      </c>
      <c r="H8801" t="s">
        <v>92</v>
      </c>
    </row>
    <row r="8802" spans="1:8" x14ac:dyDescent="0.25">
      <c r="A8802" t="s">
        <v>308</v>
      </c>
      <c r="B8802" t="s">
        <v>7368</v>
      </c>
      <c r="C8802" t="s">
        <v>88</v>
      </c>
      <c r="D8802" t="s">
        <v>660</v>
      </c>
      <c r="E8802" t="s">
        <v>723</v>
      </c>
      <c r="F8802" t="s">
        <v>88</v>
      </c>
      <c r="G8802" t="s">
        <v>88</v>
      </c>
      <c r="H8802" t="s">
        <v>92</v>
      </c>
    </row>
    <row r="8803" spans="1:8" x14ac:dyDescent="0.25">
      <c r="A8803" t="s">
        <v>308</v>
      </c>
      <c r="B8803" t="s">
        <v>7369</v>
      </c>
      <c r="C8803" t="s">
        <v>88</v>
      </c>
      <c r="D8803" t="s">
        <v>660</v>
      </c>
      <c r="E8803" t="s">
        <v>679</v>
      </c>
      <c r="F8803" t="s">
        <v>88</v>
      </c>
      <c r="G8803" t="s">
        <v>88</v>
      </c>
      <c r="H8803" t="s">
        <v>92</v>
      </c>
    </row>
    <row r="8804" spans="1:8" x14ac:dyDescent="0.25">
      <c r="A8804" t="s">
        <v>308</v>
      </c>
      <c r="B8804" t="s">
        <v>701</v>
      </c>
      <c r="C8804" t="s">
        <v>88</v>
      </c>
      <c r="D8804" t="s">
        <v>88</v>
      </c>
      <c r="E8804" t="s">
        <v>702</v>
      </c>
      <c r="F8804" t="s">
        <v>88</v>
      </c>
      <c r="G8804" t="s">
        <v>88</v>
      </c>
      <c r="H8804" t="s">
        <v>92</v>
      </c>
    </row>
    <row r="8805" spans="1:8" x14ac:dyDescent="0.25">
      <c r="A8805" t="s">
        <v>308</v>
      </c>
      <c r="B8805" t="s">
        <v>705</v>
      </c>
      <c r="C8805" t="s">
        <v>88</v>
      </c>
      <c r="D8805" t="s">
        <v>88</v>
      </c>
      <c r="E8805" t="s">
        <v>702</v>
      </c>
      <c r="F8805" t="s">
        <v>88</v>
      </c>
      <c r="G8805" t="s">
        <v>88</v>
      </c>
      <c r="H8805" t="s">
        <v>92</v>
      </c>
    </row>
    <row r="8806" spans="1:8" x14ac:dyDescent="0.25">
      <c r="A8806" t="s">
        <v>308</v>
      </c>
      <c r="B8806" t="s">
        <v>707</v>
      </c>
      <c r="C8806" t="s">
        <v>88</v>
      </c>
      <c r="D8806" t="s">
        <v>88</v>
      </c>
      <c r="E8806" t="s">
        <v>702</v>
      </c>
      <c r="F8806" t="s">
        <v>88</v>
      </c>
      <c r="G8806" t="s">
        <v>88</v>
      </c>
      <c r="H8806" t="s">
        <v>92</v>
      </c>
    </row>
    <row r="8807" spans="1:8" x14ac:dyDescent="0.25">
      <c r="A8807" t="s">
        <v>308</v>
      </c>
      <c r="B8807" t="s">
        <v>708</v>
      </c>
      <c r="C8807" t="s">
        <v>88</v>
      </c>
      <c r="D8807" t="s">
        <v>88</v>
      </c>
      <c r="E8807" t="s">
        <v>702</v>
      </c>
      <c r="F8807" t="s">
        <v>88</v>
      </c>
      <c r="G8807" t="s">
        <v>88</v>
      </c>
      <c r="H8807" t="s">
        <v>92</v>
      </c>
    </row>
    <row r="8808" spans="1:8" x14ac:dyDescent="0.25">
      <c r="A8808" t="s">
        <v>308</v>
      </c>
      <c r="B8808" t="s">
        <v>7370</v>
      </c>
      <c r="C8808" t="s">
        <v>88</v>
      </c>
      <c r="D8808" t="s">
        <v>88</v>
      </c>
      <c r="E8808" t="s">
        <v>734</v>
      </c>
      <c r="F8808" t="s">
        <v>88</v>
      </c>
      <c r="G8808" t="s">
        <v>88</v>
      </c>
      <c r="H8808" t="s">
        <v>92</v>
      </c>
    </row>
    <row r="8809" spans="1:8" x14ac:dyDescent="0.25">
      <c r="A8809" t="s">
        <v>308</v>
      </c>
      <c r="B8809" t="s">
        <v>7371</v>
      </c>
      <c r="C8809" t="s">
        <v>88</v>
      </c>
      <c r="D8809" t="s">
        <v>88</v>
      </c>
      <c r="E8809" t="s">
        <v>709</v>
      </c>
      <c r="F8809" t="s">
        <v>88</v>
      </c>
      <c r="G8809" t="s">
        <v>88</v>
      </c>
      <c r="H8809" t="s">
        <v>92</v>
      </c>
    </row>
    <row r="8810" spans="1:8" x14ac:dyDescent="0.25">
      <c r="A8810" t="s">
        <v>308</v>
      </c>
      <c r="B8810" t="s">
        <v>623</v>
      </c>
      <c r="C8810" t="s">
        <v>88</v>
      </c>
      <c r="D8810" t="s">
        <v>88</v>
      </c>
      <c r="E8810" t="s">
        <v>735</v>
      </c>
      <c r="F8810" t="s">
        <v>88</v>
      </c>
      <c r="G8810" t="s">
        <v>88</v>
      </c>
      <c r="H8810" t="s">
        <v>92</v>
      </c>
    </row>
    <row r="8811" spans="1:8" x14ac:dyDescent="0.25">
      <c r="A8811" t="s">
        <v>308</v>
      </c>
      <c r="B8811" t="s">
        <v>625</v>
      </c>
      <c r="C8811" t="s">
        <v>88</v>
      </c>
      <c r="D8811" t="s">
        <v>88</v>
      </c>
      <c r="E8811" t="s">
        <v>626</v>
      </c>
      <c r="F8811" t="s">
        <v>88</v>
      </c>
      <c r="G8811" t="s">
        <v>88</v>
      </c>
      <c r="H8811" t="s">
        <v>92</v>
      </c>
    </row>
    <row r="8812" spans="1:8" x14ac:dyDescent="0.25">
      <c r="A8812" t="s">
        <v>309</v>
      </c>
      <c r="B8812" t="s">
        <v>2424</v>
      </c>
      <c r="C8812" t="s">
        <v>88</v>
      </c>
      <c r="D8812" t="s">
        <v>7372</v>
      </c>
      <c r="E8812" t="s">
        <v>838</v>
      </c>
      <c r="F8812" t="s">
        <v>88</v>
      </c>
      <c r="G8812" t="s">
        <v>88</v>
      </c>
      <c r="H8812" t="s">
        <v>92</v>
      </c>
    </row>
    <row r="8813" spans="1:8" x14ac:dyDescent="0.25">
      <c r="A8813" t="s">
        <v>309</v>
      </c>
      <c r="B8813" t="s">
        <v>876</v>
      </c>
      <c r="C8813" t="s">
        <v>88</v>
      </c>
      <c r="D8813" t="s">
        <v>7373</v>
      </c>
      <c r="E8813" t="s">
        <v>883</v>
      </c>
      <c r="F8813" t="s">
        <v>88</v>
      </c>
      <c r="G8813" t="s">
        <v>88</v>
      </c>
      <c r="H8813" t="s">
        <v>92</v>
      </c>
    </row>
    <row r="8814" spans="1:8" x14ac:dyDescent="0.25">
      <c r="A8814" t="s">
        <v>309</v>
      </c>
      <c r="B8814" t="s">
        <v>736</v>
      </c>
      <c r="C8814" t="s">
        <v>88</v>
      </c>
      <c r="D8814" t="s">
        <v>7374</v>
      </c>
      <c r="E8814" t="s">
        <v>780</v>
      </c>
      <c r="F8814" t="s">
        <v>88</v>
      </c>
      <c r="G8814" t="s">
        <v>88</v>
      </c>
      <c r="H8814" t="s">
        <v>92</v>
      </c>
    </row>
    <row r="8815" spans="1:8" x14ac:dyDescent="0.25">
      <c r="A8815" t="s">
        <v>309</v>
      </c>
      <c r="B8815" t="s">
        <v>1234</v>
      </c>
      <c r="C8815" t="s">
        <v>88</v>
      </c>
      <c r="D8815" t="s">
        <v>7375</v>
      </c>
      <c r="E8815" t="s">
        <v>2833</v>
      </c>
      <c r="F8815" t="s">
        <v>88</v>
      </c>
      <c r="G8815" t="s">
        <v>88</v>
      </c>
      <c r="H8815" t="s">
        <v>92</v>
      </c>
    </row>
    <row r="8816" spans="1:8" x14ac:dyDescent="0.25">
      <c r="A8816" t="s">
        <v>309</v>
      </c>
      <c r="B8816" t="s">
        <v>907</v>
      </c>
      <c r="C8816" t="s">
        <v>88</v>
      </c>
      <c r="D8816" t="s">
        <v>7376</v>
      </c>
      <c r="E8816" t="s">
        <v>1282</v>
      </c>
      <c r="F8816" t="s">
        <v>88</v>
      </c>
      <c r="G8816" t="s">
        <v>88</v>
      </c>
      <c r="H8816" t="s">
        <v>92</v>
      </c>
    </row>
    <row r="8817" spans="1:8" x14ac:dyDescent="0.25">
      <c r="A8817" t="s">
        <v>309</v>
      </c>
      <c r="B8817" t="s">
        <v>876</v>
      </c>
      <c r="C8817" t="s">
        <v>88</v>
      </c>
      <c r="D8817" t="s">
        <v>7373</v>
      </c>
      <c r="E8817" t="s">
        <v>883</v>
      </c>
      <c r="F8817" t="s">
        <v>88</v>
      </c>
      <c r="G8817" t="s">
        <v>88</v>
      </c>
      <c r="H8817" t="s">
        <v>92</v>
      </c>
    </row>
    <row r="8818" spans="1:8" x14ac:dyDescent="0.25">
      <c r="A8818" t="s">
        <v>309</v>
      </c>
      <c r="B8818" t="s">
        <v>897</v>
      </c>
      <c r="C8818" t="s">
        <v>88</v>
      </c>
      <c r="D8818" t="s">
        <v>7373</v>
      </c>
      <c r="E8818" t="s">
        <v>883</v>
      </c>
      <c r="F8818" t="s">
        <v>88</v>
      </c>
      <c r="G8818" t="s">
        <v>88</v>
      </c>
      <c r="H8818" t="s">
        <v>92</v>
      </c>
    </row>
    <row r="8819" spans="1:8" x14ac:dyDescent="0.25">
      <c r="A8819" t="s">
        <v>309</v>
      </c>
      <c r="B8819" t="s">
        <v>6024</v>
      </c>
      <c r="C8819" t="s">
        <v>88</v>
      </c>
      <c r="D8819" t="s">
        <v>7373</v>
      </c>
      <c r="E8819" t="s">
        <v>762</v>
      </c>
      <c r="F8819" t="s">
        <v>88</v>
      </c>
      <c r="G8819" t="s">
        <v>88</v>
      </c>
      <c r="H8819" t="s">
        <v>92</v>
      </c>
    </row>
    <row r="8820" spans="1:8" x14ac:dyDescent="0.25">
      <c r="A8820" t="s">
        <v>309</v>
      </c>
      <c r="B8820" t="s">
        <v>881</v>
      </c>
      <c r="C8820" t="s">
        <v>88</v>
      </c>
      <c r="D8820" t="s">
        <v>7373</v>
      </c>
      <c r="E8820" t="s">
        <v>883</v>
      </c>
      <c r="F8820" t="s">
        <v>88</v>
      </c>
      <c r="G8820" t="s">
        <v>88</v>
      </c>
      <c r="H8820" t="s">
        <v>92</v>
      </c>
    </row>
    <row r="8821" spans="1:8" x14ac:dyDescent="0.25">
      <c r="A8821" t="s">
        <v>309</v>
      </c>
      <c r="B8821" t="s">
        <v>765</v>
      </c>
      <c r="C8821" t="s">
        <v>88</v>
      </c>
      <c r="D8821" t="s">
        <v>7373</v>
      </c>
      <c r="E8821" t="s">
        <v>655</v>
      </c>
      <c r="F8821" t="s">
        <v>88</v>
      </c>
      <c r="G8821" t="s">
        <v>88</v>
      </c>
      <c r="H8821" t="s">
        <v>92</v>
      </c>
    </row>
    <row r="8822" spans="1:8" x14ac:dyDescent="0.25">
      <c r="A8822" t="s">
        <v>309</v>
      </c>
      <c r="B8822" t="s">
        <v>768</v>
      </c>
      <c r="C8822" t="s">
        <v>88</v>
      </c>
      <c r="D8822" t="s">
        <v>7373</v>
      </c>
      <c r="E8822" t="s">
        <v>883</v>
      </c>
      <c r="F8822" t="s">
        <v>88</v>
      </c>
      <c r="G8822" t="s">
        <v>88</v>
      </c>
      <c r="H8822" t="s">
        <v>92</v>
      </c>
    </row>
    <row r="8823" spans="1:8" x14ac:dyDescent="0.25">
      <c r="A8823" t="s">
        <v>309</v>
      </c>
      <c r="B8823" t="s">
        <v>759</v>
      </c>
      <c r="C8823" t="s">
        <v>88</v>
      </c>
      <c r="D8823" t="s">
        <v>7373</v>
      </c>
      <c r="E8823" t="s">
        <v>760</v>
      </c>
      <c r="F8823" t="s">
        <v>88</v>
      </c>
      <c r="G8823" t="s">
        <v>88</v>
      </c>
      <c r="H8823" t="s">
        <v>92</v>
      </c>
    </row>
    <row r="8824" spans="1:8" x14ac:dyDescent="0.25">
      <c r="A8824" t="s">
        <v>309</v>
      </c>
      <c r="B8824" t="s">
        <v>7377</v>
      </c>
      <c r="C8824" t="s">
        <v>88</v>
      </c>
      <c r="D8824" t="s">
        <v>7373</v>
      </c>
      <c r="E8824" t="s">
        <v>1282</v>
      </c>
      <c r="F8824" t="s">
        <v>88</v>
      </c>
      <c r="G8824" t="s">
        <v>88</v>
      </c>
      <c r="H8824" t="s">
        <v>92</v>
      </c>
    </row>
    <row r="8825" spans="1:8" x14ac:dyDescent="0.25">
      <c r="A8825" t="s">
        <v>309</v>
      </c>
      <c r="B8825" t="s">
        <v>907</v>
      </c>
      <c r="C8825" t="s">
        <v>88</v>
      </c>
      <c r="D8825" t="s">
        <v>7376</v>
      </c>
      <c r="E8825" t="s">
        <v>1282</v>
      </c>
      <c r="F8825" t="s">
        <v>88</v>
      </c>
      <c r="G8825" t="s">
        <v>88</v>
      </c>
      <c r="H8825" t="s">
        <v>92</v>
      </c>
    </row>
    <row r="8826" spans="1:8" x14ac:dyDescent="0.25">
      <c r="A8826" t="s">
        <v>309</v>
      </c>
      <c r="B8826" t="s">
        <v>7378</v>
      </c>
      <c r="C8826" t="s">
        <v>88</v>
      </c>
      <c r="D8826" t="s">
        <v>7379</v>
      </c>
      <c r="E8826" t="s">
        <v>841</v>
      </c>
      <c r="F8826" t="s">
        <v>88</v>
      </c>
      <c r="G8826" t="s">
        <v>88</v>
      </c>
      <c r="H8826" t="s">
        <v>92</v>
      </c>
    </row>
    <row r="8827" spans="1:8" x14ac:dyDescent="0.25">
      <c r="A8827" t="s">
        <v>309</v>
      </c>
      <c r="B8827" t="s">
        <v>764</v>
      </c>
      <c r="C8827" t="s">
        <v>88</v>
      </c>
      <c r="D8827" t="s">
        <v>7373</v>
      </c>
      <c r="E8827" t="s">
        <v>700</v>
      </c>
      <c r="F8827" t="s">
        <v>88</v>
      </c>
      <c r="G8827" t="s">
        <v>88</v>
      </c>
      <c r="H8827" t="s">
        <v>92</v>
      </c>
    </row>
    <row r="8828" spans="1:8" x14ac:dyDescent="0.25">
      <c r="A8828" t="s">
        <v>309</v>
      </c>
      <c r="B8828" t="s">
        <v>767</v>
      </c>
      <c r="C8828" t="s">
        <v>88</v>
      </c>
      <c r="D8828" t="s">
        <v>7373</v>
      </c>
      <c r="E8828" t="s">
        <v>658</v>
      </c>
      <c r="F8828" t="s">
        <v>88</v>
      </c>
      <c r="G8828" t="s">
        <v>88</v>
      </c>
      <c r="H8828" t="s">
        <v>92</v>
      </c>
    </row>
    <row r="8829" spans="1:8" x14ac:dyDescent="0.25">
      <c r="A8829" t="s">
        <v>309</v>
      </c>
      <c r="B8829" t="s">
        <v>743</v>
      </c>
      <c r="C8829" t="s">
        <v>88</v>
      </c>
      <c r="D8829" t="s">
        <v>7373</v>
      </c>
      <c r="E8829" t="s">
        <v>748</v>
      </c>
      <c r="F8829" t="s">
        <v>88</v>
      </c>
      <c r="G8829" t="s">
        <v>88</v>
      </c>
      <c r="H8829" t="s">
        <v>92</v>
      </c>
    </row>
    <row r="8830" spans="1:8" x14ac:dyDescent="0.25">
      <c r="A8830" t="s">
        <v>309</v>
      </c>
      <c r="B8830" t="s">
        <v>7380</v>
      </c>
      <c r="C8830" t="s">
        <v>88</v>
      </c>
      <c r="D8830" t="s">
        <v>7373</v>
      </c>
      <c r="E8830" t="s">
        <v>748</v>
      </c>
      <c r="F8830" t="s">
        <v>88</v>
      </c>
      <c r="G8830" t="s">
        <v>88</v>
      </c>
      <c r="H8830" t="s">
        <v>92</v>
      </c>
    </row>
    <row r="8831" spans="1:8" x14ac:dyDescent="0.25">
      <c r="A8831" t="s">
        <v>309</v>
      </c>
      <c r="B8831" t="s">
        <v>6535</v>
      </c>
      <c r="C8831" t="s">
        <v>88</v>
      </c>
      <c r="D8831" t="s">
        <v>7381</v>
      </c>
      <c r="E8831" t="s">
        <v>700</v>
      </c>
      <c r="F8831" t="s">
        <v>88</v>
      </c>
      <c r="G8831" t="s">
        <v>88</v>
      </c>
      <c r="H8831" t="s">
        <v>92</v>
      </c>
    </row>
    <row r="8832" spans="1:8" x14ac:dyDescent="0.25">
      <c r="A8832" t="s">
        <v>309</v>
      </c>
      <c r="B8832" t="s">
        <v>2151</v>
      </c>
      <c r="C8832" t="s">
        <v>88</v>
      </c>
      <c r="D8832" t="s">
        <v>7382</v>
      </c>
      <c r="E8832" t="s">
        <v>959</v>
      </c>
      <c r="F8832" t="s">
        <v>88</v>
      </c>
      <c r="G8832" t="s">
        <v>88</v>
      </c>
      <c r="H8832" t="s">
        <v>92</v>
      </c>
    </row>
    <row r="8833" spans="1:8" x14ac:dyDescent="0.25">
      <c r="A8833" t="s">
        <v>309</v>
      </c>
      <c r="B8833" t="s">
        <v>736</v>
      </c>
      <c r="C8833" t="s">
        <v>88</v>
      </c>
      <c r="D8833" t="s">
        <v>7374</v>
      </c>
      <c r="E8833" t="s">
        <v>780</v>
      </c>
      <c r="F8833" t="s">
        <v>88</v>
      </c>
      <c r="G8833" t="s">
        <v>88</v>
      </c>
      <c r="H8833" t="s">
        <v>92</v>
      </c>
    </row>
    <row r="8834" spans="1:8" x14ac:dyDescent="0.25">
      <c r="A8834" t="s">
        <v>309</v>
      </c>
      <c r="B8834" t="s">
        <v>777</v>
      </c>
      <c r="C8834" t="s">
        <v>88</v>
      </c>
      <c r="D8834" t="s">
        <v>7374</v>
      </c>
      <c r="E8834" t="s">
        <v>780</v>
      </c>
      <c r="F8834" t="s">
        <v>88</v>
      </c>
      <c r="G8834" t="s">
        <v>88</v>
      </c>
      <c r="H8834" t="s">
        <v>92</v>
      </c>
    </row>
    <row r="8835" spans="1:8" x14ac:dyDescent="0.25">
      <c r="A8835" t="s">
        <v>309</v>
      </c>
      <c r="B8835" t="s">
        <v>924</v>
      </c>
      <c r="C8835" t="s">
        <v>88</v>
      </c>
      <c r="D8835" t="s">
        <v>7374</v>
      </c>
      <c r="E8835" t="s">
        <v>679</v>
      </c>
      <c r="F8835" t="s">
        <v>88</v>
      </c>
      <c r="G8835" t="s">
        <v>88</v>
      </c>
      <c r="H8835" t="s">
        <v>92</v>
      </c>
    </row>
    <row r="8836" spans="1:8" x14ac:dyDescent="0.25">
      <c r="A8836" t="s">
        <v>309</v>
      </c>
      <c r="B8836" t="s">
        <v>776</v>
      </c>
      <c r="C8836" t="s">
        <v>88</v>
      </c>
      <c r="D8836" t="s">
        <v>7374</v>
      </c>
      <c r="E8836" t="s">
        <v>780</v>
      </c>
      <c r="F8836" t="s">
        <v>88</v>
      </c>
      <c r="G8836" t="s">
        <v>88</v>
      </c>
      <c r="H8836" t="s">
        <v>92</v>
      </c>
    </row>
    <row r="8837" spans="1:8" x14ac:dyDescent="0.25">
      <c r="A8837" t="s">
        <v>309</v>
      </c>
      <c r="B8837" t="s">
        <v>1396</v>
      </c>
      <c r="C8837" t="s">
        <v>88</v>
      </c>
      <c r="D8837" t="s">
        <v>7374</v>
      </c>
      <c r="E8837" t="s">
        <v>723</v>
      </c>
      <c r="F8837" t="s">
        <v>88</v>
      </c>
      <c r="G8837" t="s">
        <v>88</v>
      </c>
      <c r="H8837" t="s">
        <v>92</v>
      </c>
    </row>
    <row r="8838" spans="1:8" x14ac:dyDescent="0.25">
      <c r="A8838" t="s">
        <v>309</v>
      </c>
      <c r="B8838" t="s">
        <v>739</v>
      </c>
      <c r="C8838" t="s">
        <v>88</v>
      </c>
      <c r="D8838" t="s">
        <v>7374</v>
      </c>
      <c r="E8838" t="s">
        <v>959</v>
      </c>
      <c r="F8838" t="s">
        <v>88</v>
      </c>
      <c r="G8838" t="s">
        <v>88</v>
      </c>
      <c r="H8838" t="s">
        <v>92</v>
      </c>
    </row>
    <row r="8839" spans="1:8" x14ac:dyDescent="0.25">
      <c r="A8839" t="s">
        <v>309</v>
      </c>
      <c r="B8839" t="s">
        <v>925</v>
      </c>
      <c r="C8839" t="s">
        <v>88</v>
      </c>
      <c r="D8839" t="s">
        <v>7374</v>
      </c>
      <c r="E8839" t="s">
        <v>780</v>
      </c>
      <c r="F8839" t="s">
        <v>88</v>
      </c>
      <c r="G8839" t="s">
        <v>88</v>
      </c>
      <c r="H8839" t="s">
        <v>92</v>
      </c>
    </row>
    <row r="8840" spans="1:8" x14ac:dyDescent="0.25">
      <c r="A8840" t="s">
        <v>309</v>
      </c>
      <c r="B8840" t="s">
        <v>948</v>
      </c>
      <c r="C8840" t="s">
        <v>88</v>
      </c>
      <c r="D8840" t="s">
        <v>88</v>
      </c>
      <c r="E8840" t="s">
        <v>735</v>
      </c>
      <c r="F8840" t="s">
        <v>88</v>
      </c>
      <c r="G8840" t="s">
        <v>88</v>
      </c>
      <c r="H8840" t="s">
        <v>92</v>
      </c>
    </row>
    <row r="8841" spans="1:8" x14ac:dyDescent="0.25">
      <c r="A8841" t="s">
        <v>309</v>
      </c>
      <c r="B8841" t="s">
        <v>1072</v>
      </c>
      <c r="C8841" t="s">
        <v>88</v>
      </c>
      <c r="D8841" t="s">
        <v>88</v>
      </c>
      <c r="E8841" t="s">
        <v>734</v>
      </c>
      <c r="F8841" t="s">
        <v>88</v>
      </c>
      <c r="G8841" t="s">
        <v>88</v>
      </c>
      <c r="H8841" t="s">
        <v>92</v>
      </c>
    </row>
    <row r="8842" spans="1:8" x14ac:dyDescent="0.25">
      <c r="A8842" t="s">
        <v>309</v>
      </c>
      <c r="B8842" t="s">
        <v>701</v>
      </c>
      <c r="C8842" t="s">
        <v>88</v>
      </c>
      <c r="D8842" t="s">
        <v>88</v>
      </c>
      <c r="E8842" t="s">
        <v>734</v>
      </c>
      <c r="F8842" t="s">
        <v>88</v>
      </c>
      <c r="G8842" t="s">
        <v>88</v>
      </c>
      <c r="H8842" t="s">
        <v>92</v>
      </c>
    </row>
    <row r="8843" spans="1:8" x14ac:dyDescent="0.25">
      <c r="A8843" t="s">
        <v>309</v>
      </c>
      <c r="B8843" t="s">
        <v>705</v>
      </c>
      <c r="C8843" t="s">
        <v>88</v>
      </c>
      <c r="D8843" t="s">
        <v>88</v>
      </c>
      <c r="E8843" t="s">
        <v>734</v>
      </c>
      <c r="F8843" t="s">
        <v>88</v>
      </c>
      <c r="G8843" t="s">
        <v>88</v>
      </c>
      <c r="H8843" t="s">
        <v>92</v>
      </c>
    </row>
    <row r="8844" spans="1:8" x14ac:dyDescent="0.25">
      <c r="A8844" t="s">
        <v>309</v>
      </c>
      <c r="B8844" t="s">
        <v>706</v>
      </c>
      <c r="C8844" t="s">
        <v>88</v>
      </c>
      <c r="D8844" t="s">
        <v>88</v>
      </c>
      <c r="E8844" t="s">
        <v>734</v>
      </c>
      <c r="F8844" t="s">
        <v>88</v>
      </c>
      <c r="G8844" t="s">
        <v>88</v>
      </c>
      <c r="H8844" t="s">
        <v>92</v>
      </c>
    </row>
    <row r="8845" spans="1:8" x14ac:dyDescent="0.25">
      <c r="A8845" t="s">
        <v>309</v>
      </c>
      <c r="B8845" t="s">
        <v>708</v>
      </c>
      <c r="C8845" t="s">
        <v>88</v>
      </c>
      <c r="D8845" t="s">
        <v>88</v>
      </c>
      <c r="E8845" t="s">
        <v>734</v>
      </c>
      <c r="F8845" t="s">
        <v>88</v>
      </c>
      <c r="G8845" t="s">
        <v>88</v>
      </c>
      <c r="H8845" t="s">
        <v>92</v>
      </c>
    </row>
    <row r="8846" spans="1:8" x14ac:dyDescent="0.25">
      <c r="A8846" t="s">
        <v>309</v>
      </c>
      <c r="B8846" t="s">
        <v>707</v>
      </c>
      <c r="C8846" t="s">
        <v>88</v>
      </c>
      <c r="D8846" t="s">
        <v>88</v>
      </c>
      <c r="E8846" t="s">
        <v>734</v>
      </c>
      <c r="F8846" t="s">
        <v>88</v>
      </c>
      <c r="G8846" t="s">
        <v>88</v>
      </c>
      <c r="H8846" t="s">
        <v>92</v>
      </c>
    </row>
    <row r="8847" spans="1:8" x14ac:dyDescent="0.25">
      <c r="A8847" t="s">
        <v>309</v>
      </c>
      <c r="B8847" t="s">
        <v>794</v>
      </c>
      <c r="C8847" t="s">
        <v>88</v>
      </c>
      <c r="D8847" t="s">
        <v>88</v>
      </c>
      <c r="E8847" t="s">
        <v>710</v>
      </c>
      <c r="F8847" t="s">
        <v>88</v>
      </c>
      <c r="G8847" t="s">
        <v>88</v>
      </c>
      <c r="H8847" t="s">
        <v>92</v>
      </c>
    </row>
    <row r="8848" spans="1:8" x14ac:dyDescent="0.25">
      <c r="A8848" t="s">
        <v>309</v>
      </c>
      <c r="B8848" t="s">
        <v>926</v>
      </c>
      <c r="C8848" t="s">
        <v>88</v>
      </c>
      <c r="D8848" t="s">
        <v>88</v>
      </c>
      <c r="E8848" t="s">
        <v>711</v>
      </c>
      <c r="F8848" t="s">
        <v>88</v>
      </c>
      <c r="G8848" t="s">
        <v>88</v>
      </c>
      <c r="H8848" t="s">
        <v>92</v>
      </c>
    </row>
    <row r="8849" spans="1:8" x14ac:dyDescent="0.25">
      <c r="A8849" t="s">
        <v>309</v>
      </c>
      <c r="B8849" t="s">
        <v>1735</v>
      </c>
      <c r="C8849" t="s">
        <v>88</v>
      </c>
      <c r="D8849" t="s">
        <v>88</v>
      </c>
      <c r="E8849" t="s">
        <v>711</v>
      </c>
      <c r="F8849" t="s">
        <v>88</v>
      </c>
      <c r="G8849" t="s">
        <v>88</v>
      </c>
      <c r="H8849" t="s">
        <v>92</v>
      </c>
    </row>
    <row r="8850" spans="1:8" x14ac:dyDescent="0.25">
      <c r="A8850" t="s">
        <v>309</v>
      </c>
      <c r="B8850" t="s">
        <v>623</v>
      </c>
      <c r="C8850" t="s">
        <v>88</v>
      </c>
      <c r="D8850" t="s">
        <v>88</v>
      </c>
      <c r="E8850" t="s">
        <v>849</v>
      </c>
      <c r="F8850" t="s">
        <v>88</v>
      </c>
      <c r="G8850" t="s">
        <v>88</v>
      </c>
      <c r="H8850" t="s">
        <v>92</v>
      </c>
    </row>
    <row r="8851" spans="1:8" x14ac:dyDescent="0.25">
      <c r="A8851" t="s">
        <v>309</v>
      </c>
      <c r="B8851" t="s">
        <v>714</v>
      </c>
      <c r="C8851" t="s">
        <v>88</v>
      </c>
      <c r="D8851" t="s">
        <v>88</v>
      </c>
      <c r="E8851" t="s">
        <v>702</v>
      </c>
      <c r="F8851" t="s">
        <v>88</v>
      </c>
      <c r="G8851" t="s">
        <v>88</v>
      </c>
      <c r="H8851" t="s">
        <v>92</v>
      </c>
    </row>
    <row r="8852" spans="1:8" x14ac:dyDescent="0.25">
      <c r="A8852" t="s">
        <v>309</v>
      </c>
      <c r="B8852" t="s">
        <v>998</v>
      </c>
      <c r="C8852" t="s">
        <v>88</v>
      </c>
      <c r="D8852" t="s">
        <v>88</v>
      </c>
      <c r="E8852" t="s">
        <v>702</v>
      </c>
      <c r="F8852" t="s">
        <v>88</v>
      </c>
      <c r="G8852" t="s">
        <v>88</v>
      </c>
      <c r="H8852" t="s">
        <v>92</v>
      </c>
    </row>
    <row r="8853" spans="1:8" x14ac:dyDescent="0.25">
      <c r="A8853" t="s">
        <v>309</v>
      </c>
      <c r="B8853" t="s">
        <v>7383</v>
      </c>
      <c r="C8853" t="s">
        <v>88</v>
      </c>
      <c r="D8853" t="s">
        <v>88</v>
      </c>
      <c r="E8853" t="s">
        <v>799</v>
      </c>
      <c r="F8853" t="s">
        <v>88</v>
      </c>
      <c r="G8853" t="s">
        <v>88</v>
      </c>
      <c r="H8853" t="s">
        <v>92</v>
      </c>
    </row>
    <row r="8854" spans="1:8" x14ac:dyDescent="0.25">
      <c r="A8854" t="s">
        <v>309</v>
      </c>
      <c r="B8854" t="s">
        <v>7384</v>
      </c>
      <c r="C8854" t="s">
        <v>88</v>
      </c>
      <c r="D8854" t="s">
        <v>88</v>
      </c>
      <c r="E8854" t="s">
        <v>799</v>
      </c>
      <c r="F8854" t="s">
        <v>88</v>
      </c>
      <c r="G8854" t="s">
        <v>88</v>
      </c>
      <c r="H8854" t="s">
        <v>92</v>
      </c>
    </row>
    <row r="8855" spans="1:8" x14ac:dyDescent="0.25">
      <c r="A8855" t="s">
        <v>309</v>
      </c>
      <c r="B8855" t="s">
        <v>1989</v>
      </c>
      <c r="C8855" t="s">
        <v>88</v>
      </c>
      <c r="D8855" t="s">
        <v>88</v>
      </c>
      <c r="E8855" t="s">
        <v>715</v>
      </c>
      <c r="F8855" t="s">
        <v>88</v>
      </c>
      <c r="G8855" t="s">
        <v>88</v>
      </c>
      <c r="H8855" t="s">
        <v>92</v>
      </c>
    </row>
    <row r="8856" spans="1:8" x14ac:dyDescent="0.25">
      <c r="A8856" t="s">
        <v>309</v>
      </c>
      <c r="B8856" t="s">
        <v>7385</v>
      </c>
      <c r="C8856" t="s">
        <v>88</v>
      </c>
      <c r="D8856" t="s">
        <v>88</v>
      </c>
      <c r="E8856" t="s">
        <v>715</v>
      </c>
      <c r="F8856" t="s">
        <v>88</v>
      </c>
      <c r="G8856" t="s">
        <v>88</v>
      </c>
      <c r="H8856" t="s">
        <v>92</v>
      </c>
    </row>
    <row r="8857" spans="1:8" x14ac:dyDescent="0.25">
      <c r="A8857" t="s">
        <v>309</v>
      </c>
      <c r="B8857" t="s">
        <v>2418</v>
      </c>
      <c r="C8857" t="s">
        <v>88</v>
      </c>
      <c r="D8857" t="s">
        <v>7375</v>
      </c>
      <c r="E8857" t="s">
        <v>805</v>
      </c>
      <c r="F8857" t="s">
        <v>88</v>
      </c>
      <c r="G8857" t="s">
        <v>88</v>
      </c>
      <c r="H8857" t="s">
        <v>92</v>
      </c>
    </row>
    <row r="8858" spans="1:8" x14ac:dyDescent="0.25">
      <c r="A8858" t="s">
        <v>309</v>
      </c>
      <c r="B8858" t="s">
        <v>2019</v>
      </c>
      <c r="C8858" t="s">
        <v>88</v>
      </c>
      <c r="D8858" t="s">
        <v>7375</v>
      </c>
      <c r="E8858" t="s">
        <v>1153</v>
      </c>
      <c r="F8858" t="s">
        <v>88</v>
      </c>
      <c r="G8858" t="s">
        <v>88</v>
      </c>
      <c r="H8858" t="s">
        <v>92</v>
      </c>
    </row>
    <row r="8859" spans="1:8" x14ac:dyDescent="0.25">
      <c r="A8859" t="s">
        <v>309</v>
      </c>
      <c r="B8859" t="s">
        <v>2423</v>
      </c>
      <c r="C8859" t="s">
        <v>88</v>
      </c>
      <c r="D8859" t="s">
        <v>7375</v>
      </c>
      <c r="E8859" t="s">
        <v>805</v>
      </c>
      <c r="F8859" t="s">
        <v>88</v>
      </c>
      <c r="G8859" t="s">
        <v>88</v>
      </c>
      <c r="H8859" t="s">
        <v>92</v>
      </c>
    </row>
    <row r="8860" spans="1:8" x14ac:dyDescent="0.25">
      <c r="A8860" t="s">
        <v>309</v>
      </c>
      <c r="B8860" t="s">
        <v>2424</v>
      </c>
      <c r="C8860" t="s">
        <v>88</v>
      </c>
      <c r="D8860" t="s">
        <v>7372</v>
      </c>
      <c r="E8860" t="s">
        <v>838</v>
      </c>
      <c r="F8860" t="s">
        <v>88</v>
      </c>
      <c r="G8860" t="s">
        <v>88</v>
      </c>
      <c r="H8860" t="s">
        <v>92</v>
      </c>
    </row>
    <row r="8861" spans="1:8" x14ac:dyDescent="0.25">
      <c r="A8861" t="s">
        <v>309</v>
      </c>
      <c r="B8861" t="s">
        <v>7386</v>
      </c>
      <c r="C8861" t="s">
        <v>88</v>
      </c>
      <c r="D8861" t="s">
        <v>7375</v>
      </c>
      <c r="E8861" t="s">
        <v>1171</v>
      </c>
      <c r="F8861" t="s">
        <v>88</v>
      </c>
      <c r="G8861" t="s">
        <v>88</v>
      </c>
      <c r="H8861" t="s">
        <v>92</v>
      </c>
    </row>
    <row r="8862" spans="1:8" x14ac:dyDescent="0.25">
      <c r="A8862" t="s">
        <v>309</v>
      </c>
      <c r="B8862" t="s">
        <v>2772</v>
      </c>
      <c r="C8862" t="s">
        <v>88</v>
      </c>
      <c r="D8862" t="s">
        <v>7375</v>
      </c>
      <c r="E8862" t="s">
        <v>2016</v>
      </c>
      <c r="F8862" t="s">
        <v>88</v>
      </c>
      <c r="G8862" t="s">
        <v>88</v>
      </c>
      <c r="H8862" t="s">
        <v>92</v>
      </c>
    </row>
    <row r="8863" spans="1:8" x14ac:dyDescent="0.25">
      <c r="A8863" t="s">
        <v>309</v>
      </c>
      <c r="B8863" t="s">
        <v>7387</v>
      </c>
      <c r="C8863" t="s">
        <v>88</v>
      </c>
      <c r="D8863" t="s">
        <v>7375</v>
      </c>
      <c r="E8863" t="s">
        <v>841</v>
      </c>
      <c r="F8863" t="s">
        <v>88</v>
      </c>
      <c r="G8863" t="s">
        <v>88</v>
      </c>
      <c r="H8863" t="s">
        <v>92</v>
      </c>
    </row>
    <row r="8864" spans="1:8" x14ac:dyDescent="0.25">
      <c r="A8864" t="s">
        <v>309</v>
      </c>
      <c r="B8864" t="s">
        <v>1237</v>
      </c>
      <c r="C8864" t="s">
        <v>88</v>
      </c>
      <c r="D8864" t="s">
        <v>7375</v>
      </c>
      <c r="E8864" t="s">
        <v>841</v>
      </c>
      <c r="F8864" t="s">
        <v>88</v>
      </c>
      <c r="G8864" t="s">
        <v>88</v>
      </c>
      <c r="H8864" t="s">
        <v>92</v>
      </c>
    </row>
    <row r="8865" spans="1:8" x14ac:dyDescent="0.25">
      <c r="A8865" t="s">
        <v>309</v>
      </c>
      <c r="B8865" t="s">
        <v>1238</v>
      </c>
      <c r="C8865" t="s">
        <v>88</v>
      </c>
      <c r="D8865" t="s">
        <v>7375</v>
      </c>
      <c r="E8865" t="s">
        <v>1680</v>
      </c>
      <c r="F8865" t="s">
        <v>88</v>
      </c>
      <c r="G8865" t="s">
        <v>88</v>
      </c>
      <c r="H8865" t="s">
        <v>92</v>
      </c>
    </row>
    <row r="8866" spans="1:8" x14ac:dyDescent="0.25">
      <c r="A8866" t="s">
        <v>309</v>
      </c>
      <c r="B8866" t="s">
        <v>1234</v>
      </c>
      <c r="C8866" t="s">
        <v>88</v>
      </c>
      <c r="D8866" t="s">
        <v>7375</v>
      </c>
      <c r="E8866" t="s">
        <v>2833</v>
      </c>
      <c r="F8866" t="s">
        <v>88</v>
      </c>
      <c r="G8866" t="s">
        <v>88</v>
      </c>
      <c r="H8866" t="s">
        <v>92</v>
      </c>
    </row>
    <row r="8867" spans="1:8" x14ac:dyDescent="0.25">
      <c r="A8867" t="s">
        <v>309</v>
      </c>
      <c r="B8867" t="s">
        <v>4120</v>
      </c>
      <c r="C8867" t="s">
        <v>88</v>
      </c>
      <c r="D8867" t="s">
        <v>7375</v>
      </c>
      <c r="E8867" t="s">
        <v>805</v>
      </c>
      <c r="F8867" t="s">
        <v>88</v>
      </c>
      <c r="G8867" t="s">
        <v>88</v>
      </c>
      <c r="H8867" t="s">
        <v>92</v>
      </c>
    </row>
    <row r="8868" spans="1:8" x14ac:dyDescent="0.25">
      <c r="A8868" t="s">
        <v>309</v>
      </c>
      <c r="B8868" t="s">
        <v>625</v>
      </c>
      <c r="C8868" t="s">
        <v>88</v>
      </c>
      <c r="D8868" t="s">
        <v>88</v>
      </c>
      <c r="E8868" t="s">
        <v>626</v>
      </c>
      <c r="F8868" t="s">
        <v>88</v>
      </c>
      <c r="G8868" t="s">
        <v>88</v>
      </c>
      <c r="H8868" t="s">
        <v>92</v>
      </c>
    </row>
    <row r="8869" spans="1:8" x14ac:dyDescent="0.25">
      <c r="A8869" t="s">
        <v>311</v>
      </c>
      <c r="B8869" t="s">
        <v>7388</v>
      </c>
      <c r="C8869" t="s">
        <v>88</v>
      </c>
      <c r="D8869" t="s">
        <v>7389</v>
      </c>
      <c r="E8869" t="s">
        <v>825</v>
      </c>
      <c r="F8869" t="s">
        <v>88</v>
      </c>
      <c r="G8869" t="s">
        <v>88</v>
      </c>
      <c r="H8869" t="s">
        <v>92</v>
      </c>
    </row>
    <row r="8870" spans="1:8" x14ac:dyDescent="0.25">
      <c r="A8870" t="s">
        <v>311</v>
      </c>
      <c r="B8870" t="s">
        <v>7390</v>
      </c>
      <c r="C8870" t="s">
        <v>88</v>
      </c>
      <c r="D8870" t="s">
        <v>7391</v>
      </c>
      <c r="E8870" t="s">
        <v>825</v>
      </c>
      <c r="F8870" t="s">
        <v>88</v>
      </c>
      <c r="G8870" t="s">
        <v>88</v>
      </c>
      <c r="H8870" t="s">
        <v>92</v>
      </c>
    </row>
    <row r="8871" spans="1:8" x14ac:dyDescent="0.25">
      <c r="A8871" t="s">
        <v>311</v>
      </c>
      <c r="B8871" t="s">
        <v>6936</v>
      </c>
      <c r="C8871" t="s">
        <v>88</v>
      </c>
      <c r="D8871" t="s">
        <v>88</v>
      </c>
      <c r="E8871" t="s">
        <v>825</v>
      </c>
      <c r="F8871" t="s">
        <v>88</v>
      </c>
      <c r="G8871" t="s">
        <v>88</v>
      </c>
      <c r="H8871" t="s">
        <v>92</v>
      </c>
    </row>
    <row r="8872" spans="1:8" x14ac:dyDescent="0.25">
      <c r="A8872" t="s">
        <v>311</v>
      </c>
      <c r="B8872" t="s">
        <v>7392</v>
      </c>
      <c r="C8872" t="s">
        <v>88</v>
      </c>
      <c r="D8872" t="s">
        <v>88</v>
      </c>
      <c r="E8872" t="s">
        <v>964</v>
      </c>
      <c r="F8872" t="s">
        <v>88</v>
      </c>
      <c r="G8872" t="s">
        <v>88</v>
      </c>
      <c r="H8872" t="s">
        <v>92</v>
      </c>
    </row>
    <row r="8873" spans="1:8" x14ac:dyDescent="0.25">
      <c r="A8873" t="s">
        <v>311</v>
      </c>
      <c r="B8873" t="s">
        <v>7085</v>
      </c>
      <c r="C8873" t="s">
        <v>88</v>
      </c>
      <c r="D8873" t="s">
        <v>88</v>
      </c>
      <c r="E8873" t="s">
        <v>844</v>
      </c>
      <c r="F8873" t="s">
        <v>88</v>
      </c>
      <c r="G8873" t="s">
        <v>88</v>
      </c>
      <c r="H8873" t="s">
        <v>92</v>
      </c>
    </row>
    <row r="8874" spans="1:8" x14ac:dyDescent="0.25">
      <c r="A8874" t="s">
        <v>311</v>
      </c>
      <c r="B8874" t="s">
        <v>7086</v>
      </c>
      <c r="C8874" t="s">
        <v>88</v>
      </c>
      <c r="D8874" t="s">
        <v>7393</v>
      </c>
      <c r="E8874" t="s">
        <v>964</v>
      </c>
      <c r="F8874" t="s">
        <v>88</v>
      </c>
      <c r="G8874" t="s">
        <v>88</v>
      </c>
      <c r="H8874" t="s">
        <v>92</v>
      </c>
    </row>
    <row r="8875" spans="1:8" x14ac:dyDescent="0.25">
      <c r="A8875" t="s">
        <v>311</v>
      </c>
      <c r="B8875" t="s">
        <v>7394</v>
      </c>
      <c r="C8875" t="s">
        <v>88</v>
      </c>
      <c r="D8875" t="s">
        <v>7389</v>
      </c>
      <c r="E8875" t="s">
        <v>964</v>
      </c>
      <c r="F8875" t="s">
        <v>88</v>
      </c>
      <c r="G8875" t="s">
        <v>88</v>
      </c>
      <c r="H8875" t="s">
        <v>92</v>
      </c>
    </row>
    <row r="8876" spans="1:8" x14ac:dyDescent="0.25">
      <c r="A8876" t="s">
        <v>311</v>
      </c>
      <c r="B8876" t="s">
        <v>7395</v>
      </c>
      <c r="C8876" t="s">
        <v>88</v>
      </c>
      <c r="D8876" t="s">
        <v>7396</v>
      </c>
      <c r="E8876" t="s">
        <v>825</v>
      </c>
      <c r="F8876" t="s">
        <v>88</v>
      </c>
      <c r="G8876" t="s">
        <v>88</v>
      </c>
      <c r="H8876" t="s">
        <v>92</v>
      </c>
    </row>
    <row r="8877" spans="1:8" x14ac:dyDescent="0.25">
      <c r="A8877" t="s">
        <v>311</v>
      </c>
      <c r="B8877" t="s">
        <v>7083</v>
      </c>
      <c r="C8877" t="s">
        <v>88</v>
      </c>
      <c r="D8877" t="s">
        <v>7397</v>
      </c>
      <c r="E8877" t="s">
        <v>825</v>
      </c>
      <c r="F8877" t="s">
        <v>88</v>
      </c>
      <c r="G8877" t="s">
        <v>88</v>
      </c>
      <c r="H8877" t="s">
        <v>92</v>
      </c>
    </row>
    <row r="8878" spans="1:8" x14ac:dyDescent="0.25">
      <c r="A8878" t="s">
        <v>311</v>
      </c>
      <c r="B8878" t="s">
        <v>7096</v>
      </c>
      <c r="C8878" t="s">
        <v>88</v>
      </c>
      <c r="D8878" t="s">
        <v>88</v>
      </c>
      <c r="E8878" t="s">
        <v>812</v>
      </c>
      <c r="F8878" t="s">
        <v>88</v>
      </c>
      <c r="G8878" t="s">
        <v>88</v>
      </c>
      <c r="H8878" t="s">
        <v>92</v>
      </c>
    </row>
    <row r="8879" spans="1:8" x14ac:dyDescent="0.25">
      <c r="A8879" t="s">
        <v>311</v>
      </c>
      <c r="B8879" t="s">
        <v>7090</v>
      </c>
      <c r="C8879" t="s">
        <v>88</v>
      </c>
      <c r="D8879" t="s">
        <v>88</v>
      </c>
      <c r="E8879" t="s">
        <v>1135</v>
      </c>
      <c r="F8879" t="s">
        <v>88</v>
      </c>
      <c r="G8879" t="s">
        <v>88</v>
      </c>
      <c r="H8879" t="s">
        <v>92</v>
      </c>
    </row>
    <row r="8880" spans="1:8" x14ac:dyDescent="0.25">
      <c r="A8880" t="s">
        <v>311</v>
      </c>
      <c r="B8880" t="s">
        <v>7398</v>
      </c>
      <c r="C8880" t="s">
        <v>88</v>
      </c>
      <c r="D8880" t="s">
        <v>7389</v>
      </c>
      <c r="E8880" t="s">
        <v>1135</v>
      </c>
      <c r="F8880" t="s">
        <v>88</v>
      </c>
      <c r="G8880" t="s">
        <v>88</v>
      </c>
      <c r="H8880" t="s">
        <v>92</v>
      </c>
    </row>
    <row r="8881" spans="1:8" x14ac:dyDescent="0.25">
      <c r="A8881" t="s">
        <v>311</v>
      </c>
      <c r="B8881" t="s">
        <v>7399</v>
      </c>
      <c r="C8881" t="s">
        <v>88</v>
      </c>
      <c r="D8881" t="s">
        <v>7391</v>
      </c>
      <c r="E8881" t="s">
        <v>1068</v>
      </c>
      <c r="F8881" t="s">
        <v>88</v>
      </c>
      <c r="G8881" t="s">
        <v>88</v>
      </c>
      <c r="H8881" t="s">
        <v>92</v>
      </c>
    </row>
    <row r="8882" spans="1:8" x14ac:dyDescent="0.25">
      <c r="A8882" t="s">
        <v>311</v>
      </c>
      <c r="B8882" t="s">
        <v>7097</v>
      </c>
      <c r="C8882" t="s">
        <v>88</v>
      </c>
      <c r="D8882" t="s">
        <v>7393</v>
      </c>
      <c r="E8882" t="s">
        <v>1135</v>
      </c>
      <c r="F8882" t="s">
        <v>88</v>
      </c>
      <c r="G8882" t="s">
        <v>88</v>
      </c>
      <c r="H8882" t="s">
        <v>92</v>
      </c>
    </row>
    <row r="8883" spans="1:8" x14ac:dyDescent="0.25">
      <c r="A8883" t="s">
        <v>311</v>
      </c>
      <c r="B8883" t="s">
        <v>7400</v>
      </c>
      <c r="C8883" t="s">
        <v>88</v>
      </c>
      <c r="D8883" t="s">
        <v>7389</v>
      </c>
      <c r="E8883" t="s">
        <v>1068</v>
      </c>
      <c r="F8883" t="s">
        <v>88</v>
      </c>
      <c r="G8883" t="s">
        <v>88</v>
      </c>
      <c r="H8883" t="s">
        <v>92</v>
      </c>
    </row>
    <row r="8884" spans="1:8" x14ac:dyDescent="0.25">
      <c r="A8884" t="s">
        <v>311</v>
      </c>
      <c r="B8884" t="s">
        <v>7401</v>
      </c>
      <c r="C8884" t="s">
        <v>88</v>
      </c>
      <c r="D8884" t="s">
        <v>88</v>
      </c>
      <c r="E8884" t="s">
        <v>1135</v>
      </c>
      <c r="F8884" t="s">
        <v>88</v>
      </c>
      <c r="G8884" t="s">
        <v>88</v>
      </c>
      <c r="H8884" t="s">
        <v>92</v>
      </c>
    </row>
    <row r="8885" spans="1:8" x14ac:dyDescent="0.25">
      <c r="A8885" t="s">
        <v>311</v>
      </c>
      <c r="B8885" t="s">
        <v>7402</v>
      </c>
      <c r="C8885" t="s">
        <v>88</v>
      </c>
      <c r="D8885" t="s">
        <v>7396</v>
      </c>
      <c r="E8885" t="s">
        <v>1135</v>
      </c>
      <c r="F8885" t="s">
        <v>88</v>
      </c>
      <c r="G8885" t="s">
        <v>88</v>
      </c>
      <c r="H8885" t="s">
        <v>92</v>
      </c>
    </row>
    <row r="8886" spans="1:8" x14ac:dyDescent="0.25">
      <c r="A8886" t="s">
        <v>311</v>
      </c>
      <c r="B8886" t="s">
        <v>7094</v>
      </c>
      <c r="C8886" t="s">
        <v>88</v>
      </c>
      <c r="D8886" t="s">
        <v>7397</v>
      </c>
      <c r="E8886" t="s">
        <v>1171</v>
      </c>
      <c r="F8886" t="s">
        <v>88</v>
      </c>
      <c r="G8886" t="s">
        <v>88</v>
      </c>
      <c r="H8886" t="s">
        <v>92</v>
      </c>
    </row>
    <row r="8887" spans="1:8" x14ac:dyDescent="0.25">
      <c r="A8887" t="s">
        <v>311</v>
      </c>
      <c r="B8887" t="s">
        <v>7107</v>
      </c>
      <c r="C8887" t="s">
        <v>88</v>
      </c>
      <c r="D8887" t="s">
        <v>88</v>
      </c>
      <c r="E8887" t="s">
        <v>1171</v>
      </c>
      <c r="F8887" t="s">
        <v>88</v>
      </c>
      <c r="G8887" t="s">
        <v>88</v>
      </c>
      <c r="H8887" t="s">
        <v>92</v>
      </c>
    </row>
    <row r="8888" spans="1:8" x14ac:dyDescent="0.25">
      <c r="A8888" t="s">
        <v>311</v>
      </c>
      <c r="B8888" t="s">
        <v>7403</v>
      </c>
      <c r="C8888" t="s">
        <v>88</v>
      </c>
      <c r="D8888" t="s">
        <v>7389</v>
      </c>
      <c r="E8888" t="s">
        <v>803</v>
      </c>
      <c r="F8888" t="s">
        <v>88</v>
      </c>
      <c r="G8888" t="s">
        <v>88</v>
      </c>
      <c r="H8888" t="s">
        <v>92</v>
      </c>
    </row>
    <row r="8889" spans="1:8" x14ac:dyDescent="0.25">
      <c r="A8889" t="s">
        <v>311</v>
      </c>
      <c r="B8889" t="s">
        <v>7101</v>
      </c>
      <c r="C8889" t="s">
        <v>88</v>
      </c>
      <c r="D8889" t="s">
        <v>88</v>
      </c>
      <c r="E8889" t="s">
        <v>807</v>
      </c>
      <c r="F8889" t="s">
        <v>88</v>
      </c>
      <c r="G8889" t="s">
        <v>88</v>
      </c>
      <c r="H8889" t="s">
        <v>92</v>
      </c>
    </row>
    <row r="8890" spans="1:8" x14ac:dyDescent="0.25">
      <c r="A8890" t="s">
        <v>311</v>
      </c>
      <c r="B8890" t="s">
        <v>7108</v>
      </c>
      <c r="C8890" t="s">
        <v>88</v>
      </c>
      <c r="D8890" t="s">
        <v>7393</v>
      </c>
      <c r="E8890" t="s">
        <v>807</v>
      </c>
      <c r="F8890" t="s">
        <v>88</v>
      </c>
      <c r="G8890" t="s">
        <v>88</v>
      </c>
      <c r="H8890" t="s">
        <v>92</v>
      </c>
    </row>
    <row r="8891" spans="1:8" x14ac:dyDescent="0.25">
      <c r="A8891" t="s">
        <v>311</v>
      </c>
      <c r="B8891" t="s">
        <v>7404</v>
      </c>
      <c r="C8891" t="s">
        <v>88</v>
      </c>
      <c r="D8891" t="s">
        <v>7391</v>
      </c>
      <c r="E8891" t="s">
        <v>4796</v>
      </c>
      <c r="F8891" t="s">
        <v>88</v>
      </c>
      <c r="G8891" t="s">
        <v>88</v>
      </c>
      <c r="H8891" t="s">
        <v>92</v>
      </c>
    </row>
    <row r="8892" spans="1:8" x14ac:dyDescent="0.25">
      <c r="A8892" t="s">
        <v>311</v>
      </c>
      <c r="B8892" t="s">
        <v>7405</v>
      </c>
      <c r="C8892" t="s">
        <v>88</v>
      </c>
      <c r="D8892" t="s">
        <v>7389</v>
      </c>
      <c r="E8892" t="s">
        <v>807</v>
      </c>
      <c r="F8892" t="s">
        <v>88</v>
      </c>
      <c r="G8892" t="s">
        <v>88</v>
      </c>
      <c r="H8892" t="s">
        <v>92</v>
      </c>
    </row>
    <row r="8893" spans="1:8" x14ac:dyDescent="0.25">
      <c r="A8893" t="s">
        <v>311</v>
      </c>
      <c r="B8893" t="s">
        <v>7105</v>
      </c>
      <c r="C8893" t="s">
        <v>88</v>
      </c>
      <c r="D8893" t="s">
        <v>7397</v>
      </c>
      <c r="E8893" t="s">
        <v>3179</v>
      </c>
      <c r="F8893" t="s">
        <v>88</v>
      </c>
      <c r="G8893" t="s">
        <v>88</v>
      </c>
      <c r="H8893" t="s">
        <v>92</v>
      </c>
    </row>
    <row r="8894" spans="1:8" x14ac:dyDescent="0.25">
      <c r="A8894" t="s">
        <v>311</v>
      </c>
      <c r="B8894" t="s">
        <v>7406</v>
      </c>
      <c r="C8894" t="s">
        <v>88</v>
      </c>
      <c r="D8894" t="s">
        <v>7396</v>
      </c>
      <c r="E8894" t="s">
        <v>807</v>
      </c>
      <c r="F8894" t="s">
        <v>88</v>
      </c>
      <c r="G8894" t="s">
        <v>88</v>
      </c>
      <c r="H8894" t="s">
        <v>92</v>
      </c>
    </row>
    <row r="8895" spans="1:8" x14ac:dyDescent="0.25">
      <c r="A8895" t="s">
        <v>311</v>
      </c>
      <c r="B8895" t="s">
        <v>7407</v>
      </c>
      <c r="C8895" t="s">
        <v>88</v>
      </c>
      <c r="D8895" t="s">
        <v>88</v>
      </c>
      <c r="E8895" t="s">
        <v>807</v>
      </c>
      <c r="F8895" t="s">
        <v>88</v>
      </c>
      <c r="G8895" t="s">
        <v>88</v>
      </c>
      <c r="H8895" t="s">
        <v>92</v>
      </c>
    </row>
    <row r="8896" spans="1:8" x14ac:dyDescent="0.25">
      <c r="A8896" t="s">
        <v>311</v>
      </c>
      <c r="B8896" t="s">
        <v>623</v>
      </c>
      <c r="C8896" t="s">
        <v>88</v>
      </c>
      <c r="D8896" t="s">
        <v>88</v>
      </c>
      <c r="E8896" t="s">
        <v>735</v>
      </c>
      <c r="F8896" t="s">
        <v>88</v>
      </c>
      <c r="G8896" t="s">
        <v>88</v>
      </c>
      <c r="H8896" t="s">
        <v>92</v>
      </c>
    </row>
    <row r="8897" spans="1:8" x14ac:dyDescent="0.25">
      <c r="A8897" t="s">
        <v>311</v>
      </c>
      <c r="B8897" t="s">
        <v>625</v>
      </c>
      <c r="C8897" t="s">
        <v>88</v>
      </c>
      <c r="D8897" t="s">
        <v>88</v>
      </c>
      <c r="E8897" t="s">
        <v>626</v>
      </c>
      <c r="F8897" t="s">
        <v>88</v>
      </c>
      <c r="G8897" t="s">
        <v>88</v>
      </c>
      <c r="H8897" t="s">
        <v>92</v>
      </c>
    </row>
    <row r="8898" spans="1:8" x14ac:dyDescent="0.25">
      <c r="A8898" t="s">
        <v>313</v>
      </c>
      <c r="B8898" t="s">
        <v>7394</v>
      </c>
      <c r="C8898" t="s">
        <v>88</v>
      </c>
      <c r="D8898" t="s">
        <v>88</v>
      </c>
      <c r="E8898" t="s">
        <v>964</v>
      </c>
      <c r="F8898" t="s">
        <v>88</v>
      </c>
      <c r="G8898" t="s">
        <v>88</v>
      </c>
      <c r="H8898" t="s">
        <v>92</v>
      </c>
    </row>
    <row r="8899" spans="1:8" x14ac:dyDescent="0.25">
      <c r="A8899" t="s">
        <v>313</v>
      </c>
      <c r="B8899" t="s">
        <v>7398</v>
      </c>
      <c r="C8899" t="s">
        <v>88</v>
      </c>
      <c r="D8899" t="s">
        <v>88</v>
      </c>
      <c r="E8899" t="s">
        <v>1135</v>
      </c>
      <c r="F8899" t="s">
        <v>88</v>
      </c>
      <c r="G8899" t="s">
        <v>88</v>
      </c>
      <c r="H8899" t="s">
        <v>92</v>
      </c>
    </row>
    <row r="8900" spans="1:8" x14ac:dyDescent="0.25">
      <c r="A8900" t="s">
        <v>313</v>
      </c>
      <c r="B8900" t="s">
        <v>7405</v>
      </c>
      <c r="C8900" t="s">
        <v>88</v>
      </c>
      <c r="D8900" t="s">
        <v>88</v>
      </c>
      <c r="E8900" t="s">
        <v>807</v>
      </c>
      <c r="F8900" t="s">
        <v>88</v>
      </c>
      <c r="G8900" t="s">
        <v>88</v>
      </c>
      <c r="H8900" t="s">
        <v>92</v>
      </c>
    </row>
    <row r="8901" spans="1:8" x14ac:dyDescent="0.25">
      <c r="A8901" t="s">
        <v>313</v>
      </c>
      <c r="B8901" t="s">
        <v>7392</v>
      </c>
      <c r="C8901" t="s">
        <v>88</v>
      </c>
      <c r="D8901" t="s">
        <v>88</v>
      </c>
      <c r="E8901" t="s">
        <v>964</v>
      </c>
      <c r="F8901" t="s">
        <v>88</v>
      </c>
      <c r="G8901" t="s">
        <v>88</v>
      </c>
      <c r="H8901" t="s">
        <v>92</v>
      </c>
    </row>
    <row r="8902" spans="1:8" x14ac:dyDescent="0.25">
      <c r="A8902" t="s">
        <v>313</v>
      </c>
      <c r="B8902" t="s">
        <v>7401</v>
      </c>
      <c r="C8902" t="s">
        <v>88</v>
      </c>
      <c r="D8902" t="s">
        <v>88</v>
      </c>
      <c r="E8902" t="s">
        <v>1135</v>
      </c>
      <c r="F8902" t="s">
        <v>88</v>
      </c>
      <c r="G8902" t="s">
        <v>88</v>
      </c>
      <c r="H8902" t="s">
        <v>92</v>
      </c>
    </row>
    <row r="8903" spans="1:8" x14ac:dyDescent="0.25">
      <c r="A8903" t="s">
        <v>313</v>
      </c>
      <c r="B8903" t="s">
        <v>7407</v>
      </c>
      <c r="C8903" t="s">
        <v>88</v>
      </c>
      <c r="D8903" t="s">
        <v>88</v>
      </c>
      <c r="E8903" t="s">
        <v>807</v>
      </c>
      <c r="F8903" t="s">
        <v>88</v>
      </c>
      <c r="G8903" t="s">
        <v>88</v>
      </c>
      <c r="H8903" t="s">
        <v>92</v>
      </c>
    </row>
    <row r="8904" spans="1:8" x14ac:dyDescent="0.25">
      <c r="A8904" t="s">
        <v>313</v>
      </c>
      <c r="B8904" t="s">
        <v>6936</v>
      </c>
      <c r="C8904" t="s">
        <v>88</v>
      </c>
      <c r="D8904" t="s">
        <v>88</v>
      </c>
      <c r="E8904" t="s">
        <v>825</v>
      </c>
      <c r="F8904" t="s">
        <v>88</v>
      </c>
      <c r="G8904" t="s">
        <v>88</v>
      </c>
      <c r="H8904" t="s">
        <v>92</v>
      </c>
    </row>
    <row r="8905" spans="1:8" x14ac:dyDescent="0.25">
      <c r="A8905" t="s">
        <v>313</v>
      </c>
      <c r="B8905" t="s">
        <v>7090</v>
      </c>
      <c r="C8905" t="s">
        <v>88</v>
      </c>
      <c r="D8905" t="s">
        <v>88</v>
      </c>
      <c r="E8905" t="s">
        <v>1171</v>
      </c>
      <c r="F8905" t="s">
        <v>88</v>
      </c>
      <c r="G8905" t="s">
        <v>88</v>
      </c>
      <c r="H8905" t="s">
        <v>92</v>
      </c>
    </row>
    <row r="8906" spans="1:8" x14ac:dyDescent="0.25">
      <c r="A8906" t="s">
        <v>313</v>
      </c>
      <c r="B8906" t="s">
        <v>7101</v>
      </c>
      <c r="C8906" t="s">
        <v>88</v>
      </c>
      <c r="D8906" t="s">
        <v>88</v>
      </c>
      <c r="E8906" t="s">
        <v>807</v>
      </c>
      <c r="F8906" t="s">
        <v>88</v>
      </c>
      <c r="G8906" t="s">
        <v>88</v>
      </c>
      <c r="H8906" t="s">
        <v>92</v>
      </c>
    </row>
    <row r="8907" spans="1:8" x14ac:dyDescent="0.25">
      <c r="A8907" t="s">
        <v>313</v>
      </c>
      <c r="B8907" t="s">
        <v>7085</v>
      </c>
      <c r="C8907" t="s">
        <v>88</v>
      </c>
      <c r="D8907" t="s">
        <v>88</v>
      </c>
      <c r="E8907" t="s">
        <v>844</v>
      </c>
      <c r="F8907" t="s">
        <v>88</v>
      </c>
      <c r="G8907" t="s">
        <v>88</v>
      </c>
      <c r="H8907" t="s">
        <v>92</v>
      </c>
    </row>
    <row r="8908" spans="1:8" x14ac:dyDescent="0.25">
      <c r="A8908" t="s">
        <v>313</v>
      </c>
      <c r="B8908" t="s">
        <v>7096</v>
      </c>
      <c r="C8908" t="s">
        <v>88</v>
      </c>
      <c r="D8908" t="s">
        <v>88</v>
      </c>
      <c r="E8908" t="s">
        <v>812</v>
      </c>
      <c r="F8908" t="s">
        <v>88</v>
      </c>
      <c r="G8908" t="s">
        <v>88</v>
      </c>
      <c r="H8908" t="s">
        <v>92</v>
      </c>
    </row>
    <row r="8909" spans="1:8" x14ac:dyDescent="0.25">
      <c r="A8909" t="s">
        <v>313</v>
      </c>
      <c r="B8909" t="s">
        <v>7107</v>
      </c>
      <c r="C8909" t="s">
        <v>88</v>
      </c>
      <c r="D8909" t="s">
        <v>88</v>
      </c>
      <c r="E8909" t="s">
        <v>1171</v>
      </c>
      <c r="F8909" t="s">
        <v>88</v>
      </c>
      <c r="G8909" t="s">
        <v>88</v>
      </c>
      <c r="H8909" t="s">
        <v>92</v>
      </c>
    </row>
    <row r="8910" spans="1:8" x14ac:dyDescent="0.25">
      <c r="A8910" t="s">
        <v>313</v>
      </c>
      <c r="B8910" t="s">
        <v>7083</v>
      </c>
      <c r="C8910" t="s">
        <v>88</v>
      </c>
      <c r="D8910" t="s">
        <v>88</v>
      </c>
      <c r="E8910" t="s">
        <v>825</v>
      </c>
      <c r="F8910" t="s">
        <v>88</v>
      </c>
      <c r="G8910" t="s">
        <v>88</v>
      </c>
      <c r="H8910" t="s">
        <v>92</v>
      </c>
    </row>
    <row r="8911" spans="1:8" x14ac:dyDescent="0.25">
      <c r="A8911" t="s">
        <v>313</v>
      </c>
      <c r="B8911" t="s">
        <v>7094</v>
      </c>
      <c r="C8911" t="s">
        <v>88</v>
      </c>
      <c r="D8911" t="s">
        <v>88</v>
      </c>
      <c r="E8911" t="s">
        <v>1171</v>
      </c>
      <c r="F8911" t="s">
        <v>88</v>
      </c>
      <c r="G8911" t="s">
        <v>88</v>
      </c>
      <c r="H8911" t="s">
        <v>92</v>
      </c>
    </row>
    <row r="8912" spans="1:8" x14ac:dyDescent="0.25">
      <c r="A8912" t="s">
        <v>313</v>
      </c>
      <c r="B8912" t="s">
        <v>7105</v>
      </c>
      <c r="C8912" t="s">
        <v>88</v>
      </c>
      <c r="D8912" t="s">
        <v>88</v>
      </c>
      <c r="E8912" t="s">
        <v>3179</v>
      </c>
      <c r="F8912" t="s">
        <v>88</v>
      </c>
      <c r="G8912" t="s">
        <v>88</v>
      </c>
      <c r="H8912" t="s">
        <v>92</v>
      </c>
    </row>
    <row r="8913" spans="1:8" x14ac:dyDescent="0.25">
      <c r="A8913" t="s">
        <v>313</v>
      </c>
      <c r="B8913" t="s">
        <v>7086</v>
      </c>
      <c r="C8913" t="s">
        <v>88</v>
      </c>
      <c r="D8913" t="s">
        <v>88</v>
      </c>
      <c r="E8913" t="s">
        <v>964</v>
      </c>
      <c r="F8913" t="s">
        <v>88</v>
      </c>
      <c r="G8913" t="s">
        <v>88</v>
      </c>
      <c r="H8913" t="s">
        <v>92</v>
      </c>
    </row>
    <row r="8914" spans="1:8" x14ac:dyDescent="0.25">
      <c r="A8914" t="s">
        <v>313</v>
      </c>
      <c r="B8914" t="s">
        <v>7097</v>
      </c>
      <c r="C8914" t="s">
        <v>88</v>
      </c>
      <c r="D8914" t="s">
        <v>88</v>
      </c>
      <c r="E8914" t="s">
        <v>1135</v>
      </c>
      <c r="F8914" t="s">
        <v>88</v>
      </c>
      <c r="G8914" t="s">
        <v>88</v>
      </c>
      <c r="H8914" t="s">
        <v>92</v>
      </c>
    </row>
    <row r="8915" spans="1:8" x14ac:dyDescent="0.25">
      <c r="A8915" t="s">
        <v>313</v>
      </c>
      <c r="B8915" t="s">
        <v>7108</v>
      </c>
      <c r="C8915" t="s">
        <v>88</v>
      </c>
      <c r="D8915" t="s">
        <v>88</v>
      </c>
      <c r="E8915" t="s">
        <v>807</v>
      </c>
      <c r="F8915" t="s">
        <v>88</v>
      </c>
      <c r="G8915" t="s">
        <v>88</v>
      </c>
      <c r="H8915" t="s">
        <v>92</v>
      </c>
    </row>
    <row r="8916" spans="1:8" x14ac:dyDescent="0.25">
      <c r="A8916" t="s">
        <v>313</v>
      </c>
      <c r="B8916" t="s">
        <v>7408</v>
      </c>
      <c r="C8916" t="s">
        <v>88</v>
      </c>
      <c r="D8916" t="s">
        <v>88</v>
      </c>
      <c r="E8916" t="s">
        <v>825</v>
      </c>
      <c r="F8916" t="s">
        <v>88</v>
      </c>
      <c r="G8916" t="s">
        <v>88</v>
      </c>
      <c r="H8916" t="s">
        <v>92</v>
      </c>
    </row>
    <row r="8917" spans="1:8" x14ac:dyDescent="0.25">
      <c r="A8917" t="s">
        <v>313</v>
      </c>
      <c r="B8917" t="s">
        <v>7409</v>
      </c>
      <c r="C8917" t="s">
        <v>88</v>
      </c>
      <c r="D8917" t="s">
        <v>88</v>
      </c>
      <c r="E8917" t="s">
        <v>1171</v>
      </c>
      <c r="F8917" t="s">
        <v>88</v>
      </c>
      <c r="G8917" t="s">
        <v>88</v>
      </c>
      <c r="H8917" t="s">
        <v>92</v>
      </c>
    </row>
    <row r="8918" spans="1:8" x14ac:dyDescent="0.25">
      <c r="A8918" t="s">
        <v>313</v>
      </c>
      <c r="B8918" t="s">
        <v>7410</v>
      </c>
      <c r="C8918" t="s">
        <v>88</v>
      </c>
      <c r="D8918" t="s">
        <v>88</v>
      </c>
      <c r="E8918" t="s">
        <v>807</v>
      </c>
      <c r="F8918" t="s">
        <v>88</v>
      </c>
      <c r="G8918" t="s">
        <v>88</v>
      </c>
      <c r="H8918" t="s">
        <v>92</v>
      </c>
    </row>
    <row r="8919" spans="1:8" x14ac:dyDescent="0.25">
      <c r="A8919" t="s">
        <v>313</v>
      </c>
      <c r="B8919" t="s">
        <v>7390</v>
      </c>
      <c r="C8919" t="s">
        <v>88</v>
      </c>
      <c r="D8919" t="s">
        <v>88</v>
      </c>
      <c r="E8919" t="s">
        <v>825</v>
      </c>
      <c r="F8919" t="s">
        <v>88</v>
      </c>
      <c r="G8919" t="s">
        <v>88</v>
      </c>
      <c r="H8919" t="s">
        <v>92</v>
      </c>
    </row>
    <row r="8920" spans="1:8" x14ac:dyDescent="0.25">
      <c r="A8920" t="s">
        <v>313</v>
      </c>
      <c r="B8920" t="s">
        <v>7399</v>
      </c>
      <c r="C8920" t="s">
        <v>88</v>
      </c>
      <c r="D8920" t="s">
        <v>88</v>
      </c>
      <c r="E8920" t="s">
        <v>1068</v>
      </c>
      <c r="F8920" t="s">
        <v>88</v>
      </c>
      <c r="G8920" t="s">
        <v>88</v>
      </c>
      <c r="H8920" t="s">
        <v>92</v>
      </c>
    </row>
    <row r="8921" spans="1:8" x14ac:dyDescent="0.25">
      <c r="A8921" t="s">
        <v>313</v>
      </c>
      <c r="B8921" t="s">
        <v>7404</v>
      </c>
      <c r="C8921" t="s">
        <v>88</v>
      </c>
      <c r="D8921" t="s">
        <v>88</v>
      </c>
      <c r="E8921" t="s">
        <v>4796</v>
      </c>
      <c r="F8921" t="s">
        <v>88</v>
      </c>
      <c r="G8921" t="s">
        <v>88</v>
      </c>
      <c r="H8921" t="s">
        <v>92</v>
      </c>
    </row>
    <row r="8922" spans="1:8" x14ac:dyDescent="0.25">
      <c r="A8922" t="s">
        <v>313</v>
      </c>
      <c r="B8922" t="s">
        <v>7388</v>
      </c>
      <c r="C8922" t="s">
        <v>88</v>
      </c>
      <c r="D8922" t="s">
        <v>88</v>
      </c>
      <c r="E8922" t="s">
        <v>825</v>
      </c>
      <c r="F8922" t="s">
        <v>88</v>
      </c>
      <c r="G8922" t="s">
        <v>88</v>
      </c>
      <c r="H8922" t="s">
        <v>92</v>
      </c>
    </row>
    <row r="8923" spans="1:8" x14ac:dyDescent="0.25">
      <c r="A8923" t="s">
        <v>313</v>
      </c>
      <c r="B8923" t="s">
        <v>7400</v>
      </c>
      <c r="C8923" t="s">
        <v>88</v>
      </c>
      <c r="D8923" t="s">
        <v>88</v>
      </c>
      <c r="E8923" t="s">
        <v>1068</v>
      </c>
      <c r="F8923" t="s">
        <v>88</v>
      </c>
      <c r="G8923" t="s">
        <v>88</v>
      </c>
      <c r="H8923" t="s">
        <v>92</v>
      </c>
    </row>
    <row r="8924" spans="1:8" x14ac:dyDescent="0.25">
      <c r="A8924" t="s">
        <v>313</v>
      </c>
      <c r="B8924" t="s">
        <v>7403</v>
      </c>
      <c r="C8924" t="s">
        <v>88</v>
      </c>
      <c r="D8924" t="s">
        <v>88</v>
      </c>
      <c r="E8924" t="s">
        <v>803</v>
      </c>
      <c r="F8924" t="s">
        <v>88</v>
      </c>
      <c r="G8924" t="s">
        <v>88</v>
      </c>
      <c r="H8924" t="s">
        <v>92</v>
      </c>
    </row>
    <row r="8925" spans="1:8" x14ac:dyDescent="0.25">
      <c r="A8925" t="s">
        <v>313</v>
      </c>
      <c r="B8925" t="s">
        <v>623</v>
      </c>
      <c r="C8925" t="s">
        <v>88</v>
      </c>
      <c r="D8925" t="s">
        <v>88</v>
      </c>
      <c r="E8925" t="s">
        <v>735</v>
      </c>
      <c r="F8925" t="s">
        <v>88</v>
      </c>
      <c r="G8925" t="s">
        <v>88</v>
      </c>
      <c r="H8925" t="s">
        <v>92</v>
      </c>
    </row>
    <row r="8926" spans="1:8" x14ac:dyDescent="0.25">
      <c r="A8926" t="s">
        <v>313</v>
      </c>
      <c r="B8926" t="s">
        <v>625</v>
      </c>
      <c r="C8926" t="s">
        <v>88</v>
      </c>
      <c r="D8926" t="s">
        <v>88</v>
      </c>
      <c r="E8926" t="s">
        <v>626</v>
      </c>
      <c r="F8926" t="s">
        <v>88</v>
      </c>
      <c r="G8926" t="s">
        <v>88</v>
      </c>
      <c r="H8926" t="s">
        <v>92</v>
      </c>
    </row>
    <row r="8927" spans="1:8" x14ac:dyDescent="0.25">
      <c r="A8927" t="s">
        <v>314</v>
      </c>
      <c r="B8927" t="s">
        <v>789</v>
      </c>
      <c r="C8927" t="s">
        <v>88</v>
      </c>
      <c r="D8927" t="s">
        <v>7411</v>
      </c>
      <c r="E8927" t="s">
        <v>702</v>
      </c>
      <c r="F8927" t="s">
        <v>88</v>
      </c>
      <c r="G8927" t="s">
        <v>88</v>
      </c>
      <c r="H8927" t="s">
        <v>92</v>
      </c>
    </row>
    <row r="8928" spans="1:8" x14ac:dyDescent="0.25">
      <c r="A8928" t="s">
        <v>314</v>
      </c>
      <c r="B8928" t="s">
        <v>854</v>
      </c>
      <c r="C8928" t="s">
        <v>88</v>
      </c>
      <c r="D8928" t="s">
        <v>7411</v>
      </c>
      <c r="E8928" t="s">
        <v>715</v>
      </c>
      <c r="F8928" t="s">
        <v>88</v>
      </c>
      <c r="G8928" t="s">
        <v>88</v>
      </c>
      <c r="H8928" t="s">
        <v>92</v>
      </c>
    </row>
    <row r="8929" spans="1:8" x14ac:dyDescent="0.25">
      <c r="A8929" t="s">
        <v>314</v>
      </c>
      <c r="B8929" t="s">
        <v>816</v>
      </c>
      <c r="C8929" t="s">
        <v>88</v>
      </c>
      <c r="D8929" t="s">
        <v>7412</v>
      </c>
      <c r="E8929" t="s">
        <v>762</v>
      </c>
      <c r="F8929" t="s">
        <v>88</v>
      </c>
      <c r="G8929" t="s">
        <v>88</v>
      </c>
      <c r="H8929" t="s">
        <v>92</v>
      </c>
    </row>
    <row r="8930" spans="1:8" x14ac:dyDescent="0.25">
      <c r="A8930" t="s">
        <v>314</v>
      </c>
      <c r="B8930" t="s">
        <v>823</v>
      </c>
      <c r="C8930" t="s">
        <v>88</v>
      </c>
      <c r="D8930" t="s">
        <v>7412</v>
      </c>
      <c r="E8930" t="s">
        <v>841</v>
      </c>
      <c r="F8930" t="s">
        <v>88</v>
      </c>
      <c r="G8930" t="s">
        <v>88</v>
      </c>
      <c r="H8930" t="s">
        <v>92</v>
      </c>
    </row>
    <row r="8931" spans="1:8" x14ac:dyDescent="0.25">
      <c r="A8931" t="s">
        <v>314</v>
      </c>
      <c r="B8931" t="s">
        <v>830</v>
      </c>
      <c r="C8931" t="s">
        <v>88</v>
      </c>
      <c r="D8931" t="s">
        <v>7412</v>
      </c>
      <c r="E8931" t="s">
        <v>937</v>
      </c>
      <c r="F8931" t="s">
        <v>88</v>
      </c>
      <c r="G8931" t="s">
        <v>88</v>
      </c>
      <c r="H8931" t="s">
        <v>92</v>
      </c>
    </row>
    <row r="8932" spans="1:8" x14ac:dyDescent="0.25">
      <c r="A8932" t="s">
        <v>314</v>
      </c>
      <c r="B8932" t="s">
        <v>789</v>
      </c>
      <c r="C8932" t="s">
        <v>88</v>
      </c>
      <c r="D8932" t="s">
        <v>7411</v>
      </c>
      <c r="E8932" t="s">
        <v>702</v>
      </c>
      <c r="F8932" t="s">
        <v>88</v>
      </c>
      <c r="G8932" t="s">
        <v>88</v>
      </c>
      <c r="H8932" t="s">
        <v>92</v>
      </c>
    </row>
    <row r="8933" spans="1:8" x14ac:dyDescent="0.25">
      <c r="A8933" t="s">
        <v>314</v>
      </c>
      <c r="B8933" t="s">
        <v>854</v>
      </c>
      <c r="C8933" t="s">
        <v>88</v>
      </c>
      <c r="D8933" t="s">
        <v>7411</v>
      </c>
      <c r="E8933" t="s">
        <v>715</v>
      </c>
      <c r="F8933" t="s">
        <v>88</v>
      </c>
      <c r="G8933" t="s">
        <v>88</v>
      </c>
      <c r="H8933" t="s">
        <v>92</v>
      </c>
    </row>
    <row r="8934" spans="1:8" x14ac:dyDescent="0.25">
      <c r="A8934" t="s">
        <v>314</v>
      </c>
      <c r="B8934" t="s">
        <v>830</v>
      </c>
      <c r="C8934" t="s">
        <v>88</v>
      </c>
      <c r="D8934" t="s">
        <v>7412</v>
      </c>
      <c r="E8934" t="s">
        <v>937</v>
      </c>
      <c r="F8934" t="s">
        <v>88</v>
      </c>
      <c r="G8934" t="s">
        <v>88</v>
      </c>
      <c r="H8934" t="s">
        <v>92</v>
      </c>
    </row>
    <row r="8935" spans="1:8" x14ac:dyDescent="0.25">
      <c r="A8935" t="s">
        <v>314</v>
      </c>
      <c r="B8935" t="s">
        <v>816</v>
      </c>
      <c r="C8935" t="s">
        <v>88</v>
      </c>
      <c r="D8935" t="s">
        <v>7412</v>
      </c>
      <c r="E8935" t="s">
        <v>762</v>
      </c>
      <c r="F8935" t="s">
        <v>88</v>
      </c>
      <c r="G8935" t="s">
        <v>88</v>
      </c>
      <c r="H8935" t="s">
        <v>92</v>
      </c>
    </row>
    <row r="8936" spans="1:8" x14ac:dyDescent="0.25">
      <c r="A8936" t="s">
        <v>314</v>
      </c>
      <c r="B8936" t="s">
        <v>834</v>
      </c>
      <c r="C8936" t="s">
        <v>88</v>
      </c>
      <c r="D8936" t="s">
        <v>7412</v>
      </c>
      <c r="E8936" t="s">
        <v>844</v>
      </c>
      <c r="F8936" t="s">
        <v>88</v>
      </c>
      <c r="G8936" t="s">
        <v>88</v>
      </c>
      <c r="H8936" t="s">
        <v>92</v>
      </c>
    </row>
    <row r="8937" spans="1:8" x14ac:dyDescent="0.25">
      <c r="A8937" t="s">
        <v>314</v>
      </c>
      <c r="B8937" t="s">
        <v>823</v>
      </c>
      <c r="C8937" t="s">
        <v>88</v>
      </c>
      <c r="D8937" t="s">
        <v>7412</v>
      </c>
      <c r="E8937" t="s">
        <v>841</v>
      </c>
      <c r="F8937" t="s">
        <v>88</v>
      </c>
      <c r="G8937" t="s">
        <v>88</v>
      </c>
      <c r="H8937" t="s">
        <v>92</v>
      </c>
    </row>
    <row r="8938" spans="1:8" x14ac:dyDescent="0.25">
      <c r="A8938" t="s">
        <v>314</v>
      </c>
      <c r="B8938" t="s">
        <v>944</v>
      </c>
      <c r="C8938" t="s">
        <v>88</v>
      </c>
      <c r="D8938" t="s">
        <v>88</v>
      </c>
      <c r="E8938" t="s">
        <v>692</v>
      </c>
      <c r="F8938" t="s">
        <v>88</v>
      </c>
      <c r="G8938" t="s">
        <v>88</v>
      </c>
      <c r="H8938" t="s">
        <v>92</v>
      </c>
    </row>
    <row r="8939" spans="1:8" x14ac:dyDescent="0.25">
      <c r="A8939" t="s">
        <v>314</v>
      </c>
      <c r="B8939" t="s">
        <v>923</v>
      </c>
      <c r="C8939" t="s">
        <v>88</v>
      </c>
      <c r="D8939" t="s">
        <v>88</v>
      </c>
      <c r="E8939" t="s">
        <v>791</v>
      </c>
      <c r="F8939" t="s">
        <v>88</v>
      </c>
      <c r="G8939" t="s">
        <v>88</v>
      </c>
      <c r="H8939" t="s">
        <v>92</v>
      </c>
    </row>
    <row r="8940" spans="1:8" x14ac:dyDescent="0.25">
      <c r="A8940" t="s">
        <v>314</v>
      </c>
      <c r="B8940" t="s">
        <v>701</v>
      </c>
      <c r="C8940" t="s">
        <v>88</v>
      </c>
      <c r="D8940" t="s">
        <v>88</v>
      </c>
      <c r="E8940" t="s">
        <v>709</v>
      </c>
      <c r="F8940" t="s">
        <v>88</v>
      </c>
      <c r="G8940" t="s">
        <v>88</v>
      </c>
      <c r="H8940" t="s">
        <v>92</v>
      </c>
    </row>
    <row r="8941" spans="1:8" x14ac:dyDescent="0.25">
      <c r="A8941" t="s">
        <v>314</v>
      </c>
      <c r="B8941" t="s">
        <v>612</v>
      </c>
      <c r="C8941" t="s">
        <v>88</v>
      </c>
      <c r="D8941" t="s">
        <v>88</v>
      </c>
      <c r="E8941" t="s">
        <v>709</v>
      </c>
      <c r="F8941" t="s">
        <v>88</v>
      </c>
      <c r="G8941" t="s">
        <v>88</v>
      </c>
      <c r="H8941" t="s">
        <v>92</v>
      </c>
    </row>
    <row r="8942" spans="1:8" x14ac:dyDescent="0.25">
      <c r="A8942" t="s">
        <v>314</v>
      </c>
      <c r="B8942" t="s">
        <v>705</v>
      </c>
      <c r="C8942" t="s">
        <v>88</v>
      </c>
      <c r="D8942" t="s">
        <v>88</v>
      </c>
      <c r="E8942" t="s">
        <v>709</v>
      </c>
      <c r="F8942" t="s">
        <v>88</v>
      </c>
      <c r="G8942" t="s">
        <v>88</v>
      </c>
      <c r="H8942" t="s">
        <v>92</v>
      </c>
    </row>
    <row r="8943" spans="1:8" x14ac:dyDescent="0.25">
      <c r="A8943" t="s">
        <v>314</v>
      </c>
      <c r="B8943" t="s">
        <v>615</v>
      </c>
      <c r="C8943" t="s">
        <v>88</v>
      </c>
      <c r="D8943" t="s">
        <v>88</v>
      </c>
      <c r="E8943" t="s">
        <v>709</v>
      </c>
      <c r="F8943" t="s">
        <v>88</v>
      </c>
      <c r="G8943" t="s">
        <v>88</v>
      </c>
      <c r="H8943" t="s">
        <v>92</v>
      </c>
    </row>
    <row r="8944" spans="1:8" x14ac:dyDescent="0.25">
      <c r="A8944" t="s">
        <v>314</v>
      </c>
      <c r="B8944" t="s">
        <v>794</v>
      </c>
      <c r="C8944" t="s">
        <v>88</v>
      </c>
      <c r="D8944" t="s">
        <v>88</v>
      </c>
      <c r="E8944" t="s">
        <v>848</v>
      </c>
      <c r="F8944" t="s">
        <v>88</v>
      </c>
      <c r="G8944" t="s">
        <v>88</v>
      </c>
      <c r="H8944" t="s">
        <v>92</v>
      </c>
    </row>
    <row r="8945" spans="1:8" x14ac:dyDescent="0.25">
      <c r="A8945" t="s">
        <v>314</v>
      </c>
      <c r="B8945" t="s">
        <v>620</v>
      </c>
      <c r="C8945" t="s">
        <v>88</v>
      </c>
      <c r="D8945" t="s">
        <v>88</v>
      </c>
      <c r="E8945" t="s">
        <v>711</v>
      </c>
      <c r="F8945" t="s">
        <v>88</v>
      </c>
      <c r="G8945" t="s">
        <v>88</v>
      </c>
      <c r="H8945" t="s">
        <v>92</v>
      </c>
    </row>
    <row r="8946" spans="1:8" x14ac:dyDescent="0.25">
      <c r="A8946" t="s">
        <v>314</v>
      </c>
      <c r="B8946" t="s">
        <v>618</v>
      </c>
      <c r="C8946" t="s">
        <v>88</v>
      </c>
      <c r="D8946" t="s">
        <v>88</v>
      </c>
      <c r="E8946" t="s">
        <v>848</v>
      </c>
      <c r="F8946" t="s">
        <v>88</v>
      </c>
      <c r="G8946" t="s">
        <v>88</v>
      </c>
      <c r="H8946" t="s">
        <v>92</v>
      </c>
    </row>
    <row r="8947" spans="1:8" x14ac:dyDescent="0.25">
      <c r="A8947" t="s">
        <v>314</v>
      </c>
      <c r="B8947" t="s">
        <v>795</v>
      </c>
      <c r="C8947" t="s">
        <v>88</v>
      </c>
      <c r="D8947" t="s">
        <v>88</v>
      </c>
      <c r="E8947" t="s">
        <v>711</v>
      </c>
      <c r="F8947" t="s">
        <v>88</v>
      </c>
      <c r="G8947" t="s">
        <v>88</v>
      </c>
      <c r="H8947" t="s">
        <v>92</v>
      </c>
    </row>
    <row r="8948" spans="1:8" x14ac:dyDescent="0.25">
      <c r="A8948" t="s">
        <v>314</v>
      </c>
      <c r="B8948" t="s">
        <v>7413</v>
      </c>
      <c r="C8948" t="s">
        <v>88</v>
      </c>
      <c r="D8948" t="s">
        <v>88</v>
      </c>
      <c r="E8948" t="s">
        <v>848</v>
      </c>
      <c r="F8948" t="s">
        <v>88</v>
      </c>
      <c r="G8948" t="s">
        <v>88</v>
      </c>
      <c r="H8948" t="s">
        <v>92</v>
      </c>
    </row>
    <row r="8949" spans="1:8" x14ac:dyDescent="0.25">
      <c r="A8949" t="s">
        <v>314</v>
      </c>
      <c r="B8949" t="s">
        <v>622</v>
      </c>
      <c r="C8949" t="s">
        <v>88</v>
      </c>
      <c r="D8949" t="s">
        <v>88</v>
      </c>
      <c r="E8949" t="s">
        <v>735</v>
      </c>
      <c r="F8949" t="s">
        <v>88</v>
      </c>
      <c r="G8949" t="s">
        <v>88</v>
      </c>
      <c r="H8949" t="s">
        <v>92</v>
      </c>
    </row>
    <row r="8950" spans="1:8" x14ac:dyDescent="0.25">
      <c r="A8950" t="s">
        <v>314</v>
      </c>
      <c r="B8950" t="s">
        <v>623</v>
      </c>
      <c r="C8950" t="s">
        <v>88</v>
      </c>
      <c r="D8950" t="s">
        <v>88</v>
      </c>
      <c r="E8950" t="s">
        <v>735</v>
      </c>
      <c r="F8950" t="s">
        <v>88</v>
      </c>
      <c r="G8950" t="s">
        <v>88</v>
      </c>
      <c r="H8950" t="s">
        <v>92</v>
      </c>
    </row>
    <row r="8951" spans="1:8" x14ac:dyDescent="0.25">
      <c r="A8951" t="s">
        <v>314</v>
      </c>
      <c r="B8951" t="s">
        <v>714</v>
      </c>
      <c r="C8951" t="s">
        <v>88</v>
      </c>
      <c r="D8951" t="s">
        <v>88</v>
      </c>
      <c r="E8951" t="s">
        <v>702</v>
      </c>
      <c r="F8951" t="s">
        <v>88</v>
      </c>
      <c r="G8951" t="s">
        <v>88</v>
      </c>
      <c r="H8951" t="s">
        <v>92</v>
      </c>
    </row>
    <row r="8952" spans="1:8" x14ac:dyDescent="0.25">
      <c r="A8952" t="s">
        <v>314</v>
      </c>
      <c r="B8952" t="s">
        <v>851</v>
      </c>
      <c r="C8952" t="s">
        <v>88</v>
      </c>
      <c r="D8952" t="s">
        <v>88</v>
      </c>
      <c r="E8952" t="s">
        <v>732</v>
      </c>
      <c r="F8952" t="s">
        <v>88</v>
      </c>
      <c r="G8952" t="s">
        <v>88</v>
      </c>
      <c r="H8952" t="s">
        <v>92</v>
      </c>
    </row>
    <row r="8953" spans="1:8" x14ac:dyDescent="0.25">
      <c r="A8953" t="s">
        <v>314</v>
      </c>
      <c r="B8953" t="s">
        <v>3561</v>
      </c>
      <c r="C8953" t="s">
        <v>88</v>
      </c>
      <c r="D8953" t="s">
        <v>88</v>
      </c>
      <c r="E8953" t="s">
        <v>702</v>
      </c>
      <c r="F8953" t="s">
        <v>88</v>
      </c>
      <c r="G8953" t="s">
        <v>88</v>
      </c>
      <c r="H8953" t="s">
        <v>92</v>
      </c>
    </row>
    <row r="8954" spans="1:8" x14ac:dyDescent="0.25">
      <c r="A8954" t="s">
        <v>314</v>
      </c>
      <c r="B8954" t="s">
        <v>5028</v>
      </c>
      <c r="C8954" t="s">
        <v>88</v>
      </c>
      <c r="D8954" t="s">
        <v>88</v>
      </c>
      <c r="E8954" t="s">
        <v>723</v>
      </c>
      <c r="F8954" t="s">
        <v>88</v>
      </c>
      <c r="G8954" t="s">
        <v>88</v>
      </c>
      <c r="H8954" t="s">
        <v>92</v>
      </c>
    </row>
    <row r="8955" spans="1:8" x14ac:dyDescent="0.25">
      <c r="A8955" t="s">
        <v>314</v>
      </c>
      <c r="B8955" t="s">
        <v>7414</v>
      </c>
      <c r="C8955" t="s">
        <v>88</v>
      </c>
      <c r="D8955" t="s">
        <v>88</v>
      </c>
      <c r="E8955" t="s">
        <v>655</v>
      </c>
      <c r="F8955" t="s">
        <v>88</v>
      </c>
      <c r="G8955" t="s">
        <v>88</v>
      </c>
      <c r="H8955" t="s">
        <v>92</v>
      </c>
    </row>
    <row r="8956" spans="1:8" x14ac:dyDescent="0.25">
      <c r="A8956" t="s">
        <v>314</v>
      </c>
      <c r="B8956" t="s">
        <v>625</v>
      </c>
      <c r="C8956" t="s">
        <v>88</v>
      </c>
      <c r="D8956" t="s">
        <v>88</v>
      </c>
      <c r="E8956" t="s">
        <v>626</v>
      </c>
      <c r="F8956" t="s">
        <v>88</v>
      </c>
      <c r="G8956" t="s">
        <v>88</v>
      </c>
      <c r="H8956" t="s">
        <v>92</v>
      </c>
    </row>
    <row r="8957" spans="1:8" x14ac:dyDescent="0.25">
      <c r="A8957" t="s">
        <v>315</v>
      </c>
      <c r="B8957" t="s">
        <v>7415</v>
      </c>
      <c r="C8957" t="s">
        <v>88</v>
      </c>
      <c r="D8957" t="s">
        <v>7416</v>
      </c>
      <c r="E8957" t="s">
        <v>1475</v>
      </c>
      <c r="F8957" t="s">
        <v>88</v>
      </c>
      <c r="G8957" t="s">
        <v>88</v>
      </c>
      <c r="H8957" t="s">
        <v>92</v>
      </c>
    </row>
    <row r="8958" spans="1:8" x14ac:dyDescent="0.25">
      <c r="A8958" t="s">
        <v>315</v>
      </c>
      <c r="B8958" t="s">
        <v>7417</v>
      </c>
      <c r="C8958" t="s">
        <v>88</v>
      </c>
      <c r="D8958" t="s">
        <v>7418</v>
      </c>
      <c r="E8958" t="s">
        <v>3161</v>
      </c>
      <c r="F8958" t="s">
        <v>88</v>
      </c>
      <c r="G8958" t="s">
        <v>88</v>
      </c>
      <c r="H8958" t="s">
        <v>92</v>
      </c>
    </row>
    <row r="8959" spans="1:8" x14ac:dyDescent="0.25">
      <c r="A8959" t="s">
        <v>315</v>
      </c>
      <c r="B8959" t="s">
        <v>7419</v>
      </c>
      <c r="C8959" t="s">
        <v>88</v>
      </c>
      <c r="D8959" t="s">
        <v>7420</v>
      </c>
      <c r="E8959" t="s">
        <v>2925</v>
      </c>
      <c r="F8959" t="s">
        <v>88</v>
      </c>
      <c r="G8959" t="s">
        <v>88</v>
      </c>
      <c r="H8959" t="s">
        <v>92</v>
      </c>
    </row>
    <row r="8960" spans="1:8" x14ac:dyDescent="0.25">
      <c r="A8960" t="s">
        <v>315</v>
      </c>
      <c r="B8960" t="s">
        <v>7421</v>
      </c>
      <c r="C8960" t="s">
        <v>88</v>
      </c>
      <c r="D8960" t="s">
        <v>7422</v>
      </c>
      <c r="E8960" t="s">
        <v>2895</v>
      </c>
      <c r="F8960" t="s">
        <v>88</v>
      </c>
      <c r="G8960" t="s">
        <v>88</v>
      </c>
      <c r="H8960" t="s">
        <v>92</v>
      </c>
    </row>
    <row r="8961" spans="1:8" x14ac:dyDescent="0.25">
      <c r="A8961" t="s">
        <v>315</v>
      </c>
      <c r="B8961" t="s">
        <v>7423</v>
      </c>
      <c r="C8961" t="s">
        <v>88</v>
      </c>
      <c r="D8961" t="s">
        <v>7424</v>
      </c>
      <c r="E8961" t="s">
        <v>6765</v>
      </c>
      <c r="F8961" t="s">
        <v>88</v>
      </c>
      <c r="G8961" t="s">
        <v>88</v>
      </c>
      <c r="H8961" t="s">
        <v>92</v>
      </c>
    </row>
    <row r="8962" spans="1:8" x14ac:dyDescent="0.25">
      <c r="A8962" t="s">
        <v>315</v>
      </c>
      <c r="B8962" t="s">
        <v>7425</v>
      </c>
      <c r="C8962" t="s">
        <v>88</v>
      </c>
      <c r="D8962" t="s">
        <v>7426</v>
      </c>
      <c r="E8962" t="s">
        <v>7427</v>
      </c>
      <c r="F8962" t="s">
        <v>88</v>
      </c>
      <c r="G8962" t="s">
        <v>88</v>
      </c>
      <c r="H8962" t="s">
        <v>92</v>
      </c>
    </row>
    <row r="8963" spans="1:8" x14ac:dyDescent="0.25">
      <c r="A8963" t="s">
        <v>315</v>
      </c>
      <c r="B8963" t="s">
        <v>7428</v>
      </c>
      <c r="C8963" t="s">
        <v>88</v>
      </c>
      <c r="D8963" t="s">
        <v>7429</v>
      </c>
      <c r="E8963" t="s">
        <v>2546</v>
      </c>
      <c r="F8963" t="s">
        <v>88</v>
      </c>
      <c r="G8963" t="s">
        <v>88</v>
      </c>
      <c r="H8963" t="s">
        <v>92</v>
      </c>
    </row>
    <row r="8964" spans="1:8" x14ac:dyDescent="0.25">
      <c r="A8964" t="s">
        <v>315</v>
      </c>
      <c r="B8964" t="s">
        <v>7430</v>
      </c>
      <c r="C8964" t="s">
        <v>88</v>
      </c>
      <c r="D8964" t="s">
        <v>7431</v>
      </c>
      <c r="E8964" t="s">
        <v>7432</v>
      </c>
      <c r="F8964" t="s">
        <v>88</v>
      </c>
      <c r="G8964" t="s">
        <v>88</v>
      </c>
      <c r="H8964" t="s">
        <v>92</v>
      </c>
    </row>
    <row r="8965" spans="1:8" x14ac:dyDescent="0.25">
      <c r="A8965" t="s">
        <v>315</v>
      </c>
      <c r="B8965" t="s">
        <v>7433</v>
      </c>
      <c r="C8965" t="s">
        <v>88</v>
      </c>
      <c r="D8965" t="s">
        <v>7434</v>
      </c>
      <c r="E8965" t="s">
        <v>7435</v>
      </c>
      <c r="F8965" t="s">
        <v>88</v>
      </c>
      <c r="G8965" t="s">
        <v>88</v>
      </c>
      <c r="H8965" t="s">
        <v>92</v>
      </c>
    </row>
    <row r="8966" spans="1:8" x14ac:dyDescent="0.25">
      <c r="A8966" t="s">
        <v>315</v>
      </c>
      <c r="B8966" t="s">
        <v>7436</v>
      </c>
      <c r="C8966" t="s">
        <v>88</v>
      </c>
      <c r="D8966" t="s">
        <v>7437</v>
      </c>
      <c r="E8966" t="s">
        <v>3179</v>
      </c>
      <c r="F8966" t="s">
        <v>88</v>
      </c>
      <c r="G8966" t="s">
        <v>88</v>
      </c>
      <c r="H8966" t="s">
        <v>92</v>
      </c>
    </row>
    <row r="8967" spans="1:8" x14ac:dyDescent="0.25">
      <c r="A8967" t="s">
        <v>315</v>
      </c>
      <c r="B8967" t="s">
        <v>7438</v>
      </c>
      <c r="C8967" t="s">
        <v>88</v>
      </c>
      <c r="D8967" t="s">
        <v>7439</v>
      </c>
      <c r="E8967" t="s">
        <v>7440</v>
      </c>
      <c r="F8967" t="s">
        <v>88</v>
      </c>
      <c r="G8967" t="s">
        <v>88</v>
      </c>
      <c r="H8967" t="s">
        <v>92</v>
      </c>
    </row>
    <row r="8968" spans="1:8" x14ac:dyDescent="0.25">
      <c r="A8968" t="s">
        <v>315</v>
      </c>
      <c r="B8968" t="s">
        <v>7441</v>
      </c>
      <c r="C8968" t="s">
        <v>88</v>
      </c>
      <c r="D8968" t="s">
        <v>7442</v>
      </c>
      <c r="E8968" t="s">
        <v>1436</v>
      </c>
      <c r="F8968" t="s">
        <v>88</v>
      </c>
      <c r="G8968" t="s">
        <v>88</v>
      </c>
      <c r="H8968" t="s">
        <v>92</v>
      </c>
    </row>
    <row r="8969" spans="1:8" x14ac:dyDescent="0.25">
      <c r="A8969" t="s">
        <v>315</v>
      </c>
      <c r="B8969" t="s">
        <v>7443</v>
      </c>
      <c r="C8969" t="s">
        <v>88</v>
      </c>
      <c r="D8969" t="s">
        <v>7444</v>
      </c>
      <c r="E8969" t="s">
        <v>6123</v>
      </c>
      <c r="F8969" t="s">
        <v>88</v>
      </c>
      <c r="G8969" t="s">
        <v>88</v>
      </c>
      <c r="H8969" t="s">
        <v>92</v>
      </c>
    </row>
    <row r="8970" spans="1:8" x14ac:dyDescent="0.25">
      <c r="A8970" t="s">
        <v>315</v>
      </c>
      <c r="B8970" t="s">
        <v>7445</v>
      </c>
      <c r="C8970" t="s">
        <v>88</v>
      </c>
      <c r="D8970" t="s">
        <v>7446</v>
      </c>
      <c r="E8970" t="s">
        <v>5654</v>
      </c>
      <c r="F8970" t="s">
        <v>88</v>
      </c>
      <c r="G8970" t="s">
        <v>88</v>
      </c>
      <c r="H8970" t="s">
        <v>92</v>
      </c>
    </row>
    <row r="8971" spans="1:8" x14ac:dyDescent="0.25">
      <c r="A8971" t="s">
        <v>315</v>
      </c>
      <c r="B8971" t="s">
        <v>7417</v>
      </c>
      <c r="C8971" t="s">
        <v>88</v>
      </c>
      <c r="D8971" t="s">
        <v>7418</v>
      </c>
      <c r="E8971" t="s">
        <v>3161</v>
      </c>
      <c r="F8971" t="s">
        <v>88</v>
      </c>
      <c r="G8971" t="s">
        <v>88</v>
      </c>
      <c r="H8971" t="s">
        <v>92</v>
      </c>
    </row>
    <row r="8972" spans="1:8" x14ac:dyDescent="0.25">
      <c r="A8972" t="s">
        <v>315</v>
      </c>
      <c r="B8972" t="s">
        <v>7421</v>
      </c>
      <c r="C8972" t="s">
        <v>88</v>
      </c>
      <c r="D8972" t="s">
        <v>7422</v>
      </c>
      <c r="E8972" t="s">
        <v>2895</v>
      </c>
      <c r="F8972" t="s">
        <v>88</v>
      </c>
      <c r="G8972" t="s">
        <v>88</v>
      </c>
      <c r="H8972" t="s">
        <v>92</v>
      </c>
    </row>
    <row r="8973" spans="1:8" x14ac:dyDescent="0.25">
      <c r="A8973" t="s">
        <v>315</v>
      </c>
      <c r="B8973" t="s">
        <v>7419</v>
      </c>
      <c r="C8973" t="s">
        <v>88</v>
      </c>
      <c r="D8973" t="s">
        <v>7420</v>
      </c>
      <c r="E8973" t="s">
        <v>2925</v>
      </c>
      <c r="F8973" t="s">
        <v>88</v>
      </c>
      <c r="G8973" t="s">
        <v>88</v>
      </c>
      <c r="H8973" t="s">
        <v>92</v>
      </c>
    </row>
    <row r="8974" spans="1:8" x14ac:dyDescent="0.25">
      <c r="A8974" t="s">
        <v>315</v>
      </c>
      <c r="B8974" t="s">
        <v>7447</v>
      </c>
      <c r="C8974" t="s">
        <v>88</v>
      </c>
      <c r="D8974" t="s">
        <v>7448</v>
      </c>
      <c r="E8974" t="s">
        <v>7449</v>
      </c>
      <c r="F8974" t="s">
        <v>88</v>
      </c>
      <c r="G8974" t="s">
        <v>88</v>
      </c>
      <c r="H8974" t="s">
        <v>92</v>
      </c>
    </row>
    <row r="8975" spans="1:8" x14ac:dyDescent="0.25">
      <c r="A8975" t="s">
        <v>315</v>
      </c>
      <c r="B8975" t="s">
        <v>7450</v>
      </c>
      <c r="C8975" t="s">
        <v>88</v>
      </c>
      <c r="D8975" t="s">
        <v>7451</v>
      </c>
      <c r="E8975" t="s">
        <v>7452</v>
      </c>
      <c r="F8975" t="s">
        <v>88</v>
      </c>
      <c r="G8975" t="s">
        <v>88</v>
      </c>
      <c r="H8975" t="s">
        <v>92</v>
      </c>
    </row>
    <row r="8976" spans="1:8" x14ac:dyDescent="0.25">
      <c r="A8976" t="s">
        <v>315</v>
      </c>
      <c r="B8976" t="s">
        <v>7453</v>
      </c>
      <c r="C8976" t="s">
        <v>88</v>
      </c>
      <c r="D8976" t="s">
        <v>7454</v>
      </c>
      <c r="E8976" t="s">
        <v>1436</v>
      </c>
      <c r="F8976" t="s">
        <v>88</v>
      </c>
      <c r="G8976" t="s">
        <v>88</v>
      </c>
      <c r="H8976" t="s">
        <v>92</v>
      </c>
    </row>
    <row r="8977" spans="1:8" x14ac:dyDescent="0.25">
      <c r="A8977" t="s">
        <v>315</v>
      </c>
      <c r="B8977" t="s">
        <v>7423</v>
      </c>
      <c r="C8977" t="s">
        <v>88</v>
      </c>
      <c r="D8977" t="s">
        <v>7424</v>
      </c>
      <c r="E8977" t="s">
        <v>6765</v>
      </c>
      <c r="F8977" t="s">
        <v>88</v>
      </c>
      <c r="G8977" t="s">
        <v>88</v>
      </c>
      <c r="H8977" t="s">
        <v>92</v>
      </c>
    </row>
    <row r="8978" spans="1:8" x14ac:dyDescent="0.25">
      <c r="A8978" t="s">
        <v>315</v>
      </c>
      <c r="B8978" t="s">
        <v>7455</v>
      </c>
      <c r="C8978" t="s">
        <v>88</v>
      </c>
      <c r="D8978" t="s">
        <v>7456</v>
      </c>
      <c r="E8978" t="s">
        <v>3179</v>
      </c>
      <c r="F8978" t="s">
        <v>88</v>
      </c>
      <c r="G8978" t="s">
        <v>88</v>
      </c>
      <c r="H8978" t="s">
        <v>92</v>
      </c>
    </row>
    <row r="8979" spans="1:8" x14ac:dyDescent="0.25">
      <c r="A8979" t="s">
        <v>315</v>
      </c>
      <c r="B8979" t="s">
        <v>7415</v>
      </c>
      <c r="C8979" t="s">
        <v>88</v>
      </c>
      <c r="D8979" t="s">
        <v>7416</v>
      </c>
      <c r="E8979" t="s">
        <v>1475</v>
      </c>
      <c r="F8979" t="s">
        <v>88</v>
      </c>
      <c r="G8979" t="s">
        <v>88</v>
      </c>
      <c r="H8979" t="s">
        <v>92</v>
      </c>
    </row>
    <row r="8980" spans="1:8" x14ac:dyDescent="0.25">
      <c r="A8980" t="s">
        <v>315</v>
      </c>
      <c r="B8980" t="s">
        <v>7457</v>
      </c>
      <c r="C8980" t="s">
        <v>88</v>
      </c>
      <c r="D8980" t="s">
        <v>7458</v>
      </c>
      <c r="E8980" t="s">
        <v>2289</v>
      </c>
      <c r="F8980" t="s">
        <v>88</v>
      </c>
      <c r="G8980" t="s">
        <v>88</v>
      </c>
      <c r="H8980" t="s">
        <v>92</v>
      </c>
    </row>
    <row r="8981" spans="1:8" x14ac:dyDescent="0.25">
      <c r="A8981" t="s">
        <v>315</v>
      </c>
      <c r="B8981" t="s">
        <v>7459</v>
      </c>
      <c r="C8981" t="s">
        <v>88</v>
      </c>
      <c r="D8981" t="s">
        <v>7460</v>
      </c>
      <c r="E8981" t="s">
        <v>2289</v>
      </c>
      <c r="F8981" t="s">
        <v>88</v>
      </c>
      <c r="G8981" t="s">
        <v>88</v>
      </c>
      <c r="H8981" t="s">
        <v>92</v>
      </c>
    </row>
    <row r="8982" spans="1:8" x14ac:dyDescent="0.25">
      <c r="A8982" t="s">
        <v>315</v>
      </c>
      <c r="B8982" t="s">
        <v>7461</v>
      </c>
      <c r="C8982" t="s">
        <v>88</v>
      </c>
      <c r="D8982" t="s">
        <v>7462</v>
      </c>
      <c r="E8982" t="s">
        <v>1259</v>
      </c>
      <c r="F8982" t="s">
        <v>88</v>
      </c>
      <c r="G8982" t="s">
        <v>88</v>
      </c>
      <c r="H8982" t="s">
        <v>92</v>
      </c>
    </row>
    <row r="8983" spans="1:8" x14ac:dyDescent="0.25">
      <c r="A8983" t="s">
        <v>315</v>
      </c>
      <c r="B8983" t="s">
        <v>7463</v>
      </c>
      <c r="C8983" t="s">
        <v>88</v>
      </c>
      <c r="D8983" t="s">
        <v>7464</v>
      </c>
      <c r="E8983" t="s">
        <v>692</v>
      </c>
      <c r="F8983" t="s">
        <v>88</v>
      </c>
      <c r="G8983" t="s">
        <v>88</v>
      </c>
      <c r="H8983" t="s">
        <v>92</v>
      </c>
    </row>
    <row r="8984" spans="1:8" x14ac:dyDescent="0.25">
      <c r="A8984" t="s">
        <v>315</v>
      </c>
      <c r="B8984" t="s">
        <v>7465</v>
      </c>
      <c r="C8984" t="s">
        <v>88</v>
      </c>
      <c r="D8984" t="s">
        <v>7466</v>
      </c>
      <c r="E8984" t="s">
        <v>692</v>
      </c>
      <c r="F8984" t="s">
        <v>88</v>
      </c>
      <c r="G8984" t="s">
        <v>88</v>
      </c>
      <c r="H8984" t="s">
        <v>92</v>
      </c>
    </row>
    <row r="8985" spans="1:8" x14ac:dyDescent="0.25">
      <c r="A8985" t="s">
        <v>315</v>
      </c>
      <c r="B8985" t="s">
        <v>7467</v>
      </c>
      <c r="C8985" t="s">
        <v>88</v>
      </c>
      <c r="D8985" t="s">
        <v>7468</v>
      </c>
      <c r="E8985" t="s">
        <v>692</v>
      </c>
      <c r="F8985" t="s">
        <v>88</v>
      </c>
      <c r="G8985" t="s">
        <v>88</v>
      </c>
      <c r="H8985" t="s">
        <v>92</v>
      </c>
    </row>
    <row r="8986" spans="1:8" x14ac:dyDescent="0.25">
      <c r="A8986" t="s">
        <v>315</v>
      </c>
      <c r="B8986" t="s">
        <v>7469</v>
      </c>
      <c r="C8986" t="s">
        <v>88</v>
      </c>
      <c r="D8986" t="s">
        <v>7470</v>
      </c>
      <c r="E8986" t="s">
        <v>1006</v>
      </c>
      <c r="F8986" t="s">
        <v>88</v>
      </c>
      <c r="G8986" t="s">
        <v>88</v>
      </c>
      <c r="H8986" t="s">
        <v>92</v>
      </c>
    </row>
    <row r="8987" spans="1:8" x14ac:dyDescent="0.25">
      <c r="A8987" t="s">
        <v>315</v>
      </c>
      <c r="B8987" t="s">
        <v>7471</v>
      </c>
      <c r="C8987" t="s">
        <v>88</v>
      </c>
      <c r="D8987" t="s">
        <v>7472</v>
      </c>
      <c r="E8987" t="s">
        <v>2294</v>
      </c>
      <c r="F8987" t="s">
        <v>88</v>
      </c>
      <c r="G8987" t="s">
        <v>88</v>
      </c>
      <c r="H8987" t="s">
        <v>92</v>
      </c>
    </row>
    <row r="8988" spans="1:8" x14ac:dyDescent="0.25">
      <c r="A8988" t="s">
        <v>315</v>
      </c>
      <c r="B8988" t="s">
        <v>7473</v>
      </c>
      <c r="C8988" t="s">
        <v>88</v>
      </c>
      <c r="D8988" t="s">
        <v>7474</v>
      </c>
      <c r="E8988" t="s">
        <v>838</v>
      </c>
      <c r="F8988" t="s">
        <v>88</v>
      </c>
      <c r="G8988" t="s">
        <v>88</v>
      </c>
      <c r="H8988" t="s">
        <v>92</v>
      </c>
    </row>
    <row r="8989" spans="1:8" x14ac:dyDescent="0.25">
      <c r="A8989" t="s">
        <v>315</v>
      </c>
      <c r="B8989" t="s">
        <v>7475</v>
      </c>
      <c r="C8989" t="s">
        <v>88</v>
      </c>
      <c r="D8989" t="s">
        <v>7476</v>
      </c>
      <c r="E8989" t="s">
        <v>2833</v>
      </c>
      <c r="F8989" t="s">
        <v>88</v>
      </c>
      <c r="G8989" t="s">
        <v>88</v>
      </c>
      <c r="H8989" t="s">
        <v>92</v>
      </c>
    </row>
    <row r="8990" spans="1:8" x14ac:dyDescent="0.25">
      <c r="A8990" t="s">
        <v>315</v>
      </c>
      <c r="B8990" t="s">
        <v>7477</v>
      </c>
      <c r="C8990" t="s">
        <v>88</v>
      </c>
      <c r="D8990" t="s">
        <v>7478</v>
      </c>
      <c r="E8990" t="s">
        <v>1259</v>
      </c>
      <c r="F8990" t="s">
        <v>88</v>
      </c>
      <c r="G8990" t="s">
        <v>88</v>
      </c>
      <c r="H8990" t="s">
        <v>92</v>
      </c>
    </row>
    <row r="8991" spans="1:8" x14ac:dyDescent="0.25">
      <c r="A8991" t="s">
        <v>315</v>
      </c>
      <c r="B8991" t="s">
        <v>7479</v>
      </c>
      <c r="C8991" t="s">
        <v>88</v>
      </c>
      <c r="D8991" t="s">
        <v>7480</v>
      </c>
      <c r="E8991" t="s">
        <v>2925</v>
      </c>
      <c r="F8991" t="s">
        <v>88</v>
      </c>
      <c r="G8991" t="s">
        <v>88</v>
      </c>
      <c r="H8991" t="s">
        <v>92</v>
      </c>
    </row>
    <row r="8992" spans="1:8" x14ac:dyDescent="0.25">
      <c r="A8992" t="s">
        <v>315</v>
      </c>
      <c r="B8992" t="s">
        <v>7481</v>
      </c>
      <c r="C8992" t="s">
        <v>88</v>
      </c>
      <c r="D8992" t="s">
        <v>7482</v>
      </c>
      <c r="E8992" t="s">
        <v>1259</v>
      </c>
      <c r="F8992" t="s">
        <v>88</v>
      </c>
      <c r="G8992" t="s">
        <v>88</v>
      </c>
      <c r="H8992" t="s">
        <v>92</v>
      </c>
    </row>
    <row r="8993" spans="1:8" x14ac:dyDescent="0.25">
      <c r="A8993" t="s">
        <v>315</v>
      </c>
      <c r="B8993" t="s">
        <v>7483</v>
      </c>
      <c r="C8993" t="s">
        <v>88</v>
      </c>
      <c r="D8993" t="s">
        <v>7416</v>
      </c>
      <c r="E8993" t="s">
        <v>4275</v>
      </c>
      <c r="F8993" t="s">
        <v>88</v>
      </c>
      <c r="G8993" t="s">
        <v>88</v>
      </c>
      <c r="H8993" t="s">
        <v>92</v>
      </c>
    </row>
    <row r="8994" spans="1:8" x14ac:dyDescent="0.25">
      <c r="A8994" t="s">
        <v>315</v>
      </c>
      <c r="B8994" t="s">
        <v>7484</v>
      </c>
      <c r="C8994" t="s">
        <v>88</v>
      </c>
      <c r="D8994" t="s">
        <v>7458</v>
      </c>
      <c r="E8994" t="s">
        <v>1714</v>
      </c>
      <c r="F8994" t="s">
        <v>88</v>
      </c>
      <c r="G8994" t="s">
        <v>88</v>
      </c>
      <c r="H8994" t="s">
        <v>92</v>
      </c>
    </row>
    <row r="8995" spans="1:8" x14ac:dyDescent="0.25">
      <c r="A8995" t="s">
        <v>315</v>
      </c>
      <c r="B8995" t="s">
        <v>7485</v>
      </c>
      <c r="C8995" t="s">
        <v>88</v>
      </c>
      <c r="D8995" t="s">
        <v>7460</v>
      </c>
      <c r="E8995" t="s">
        <v>917</v>
      </c>
      <c r="F8995" t="s">
        <v>88</v>
      </c>
      <c r="G8995" t="s">
        <v>88</v>
      </c>
      <c r="H8995" t="s">
        <v>92</v>
      </c>
    </row>
    <row r="8996" spans="1:8" x14ac:dyDescent="0.25">
      <c r="A8996" t="s">
        <v>315</v>
      </c>
      <c r="B8996" t="s">
        <v>7486</v>
      </c>
      <c r="C8996" t="s">
        <v>88</v>
      </c>
      <c r="D8996" t="s">
        <v>7462</v>
      </c>
      <c r="E8996" t="s">
        <v>4599</v>
      </c>
      <c r="F8996" t="s">
        <v>88</v>
      </c>
      <c r="G8996" t="s">
        <v>88</v>
      </c>
      <c r="H8996" t="s">
        <v>92</v>
      </c>
    </row>
    <row r="8997" spans="1:8" x14ac:dyDescent="0.25">
      <c r="A8997" t="s">
        <v>315</v>
      </c>
      <c r="B8997" t="s">
        <v>7487</v>
      </c>
      <c r="C8997" t="s">
        <v>88</v>
      </c>
      <c r="D8997" t="s">
        <v>7464</v>
      </c>
      <c r="E8997" t="s">
        <v>1430</v>
      </c>
      <c r="F8997" t="s">
        <v>88</v>
      </c>
      <c r="G8997" t="s">
        <v>88</v>
      </c>
      <c r="H8997" t="s">
        <v>92</v>
      </c>
    </row>
    <row r="8998" spans="1:8" x14ac:dyDescent="0.25">
      <c r="A8998" t="s">
        <v>315</v>
      </c>
      <c r="B8998" t="s">
        <v>7488</v>
      </c>
      <c r="C8998" t="s">
        <v>88</v>
      </c>
      <c r="D8998" t="s">
        <v>7466</v>
      </c>
      <c r="E8998" t="s">
        <v>1430</v>
      </c>
      <c r="F8998" t="s">
        <v>88</v>
      </c>
      <c r="G8998" t="s">
        <v>88</v>
      </c>
      <c r="H8998" t="s">
        <v>92</v>
      </c>
    </row>
    <row r="8999" spans="1:8" x14ac:dyDescent="0.25">
      <c r="A8999" t="s">
        <v>315</v>
      </c>
      <c r="B8999" t="s">
        <v>7489</v>
      </c>
      <c r="C8999" t="s">
        <v>88</v>
      </c>
      <c r="D8999" t="s">
        <v>7468</v>
      </c>
      <c r="E8999" t="s">
        <v>1430</v>
      </c>
      <c r="F8999" t="s">
        <v>88</v>
      </c>
      <c r="G8999" t="s">
        <v>88</v>
      </c>
      <c r="H8999" t="s">
        <v>92</v>
      </c>
    </row>
    <row r="9000" spans="1:8" x14ac:dyDescent="0.25">
      <c r="A9000" t="s">
        <v>315</v>
      </c>
      <c r="B9000" t="s">
        <v>7490</v>
      </c>
      <c r="C9000" t="s">
        <v>88</v>
      </c>
      <c r="D9000" t="s">
        <v>7470</v>
      </c>
      <c r="E9000" t="s">
        <v>1430</v>
      </c>
      <c r="F9000" t="s">
        <v>88</v>
      </c>
      <c r="G9000" t="s">
        <v>88</v>
      </c>
      <c r="H9000" t="s">
        <v>92</v>
      </c>
    </row>
    <row r="9001" spans="1:8" x14ac:dyDescent="0.25">
      <c r="A9001" t="s">
        <v>315</v>
      </c>
      <c r="B9001" t="s">
        <v>7491</v>
      </c>
      <c r="C9001" t="s">
        <v>88</v>
      </c>
      <c r="D9001" t="s">
        <v>7472</v>
      </c>
      <c r="E9001" t="s">
        <v>4599</v>
      </c>
      <c r="F9001" t="s">
        <v>88</v>
      </c>
      <c r="G9001" t="s">
        <v>88</v>
      </c>
      <c r="H9001" t="s">
        <v>92</v>
      </c>
    </row>
    <row r="9002" spans="1:8" x14ac:dyDescent="0.25">
      <c r="A9002" t="s">
        <v>315</v>
      </c>
      <c r="B9002" t="s">
        <v>7492</v>
      </c>
      <c r="C9002" t="s">
        <v>88</v>
      </c>
      <c r="D9002" t="s">
        <v>7474</v>
      </c>
      <c r="E9002" t="s">
        <v>4599</v>
      </c>
      <c r="F9002" t="s">
        <v>88</v>
      </c>
      <c r="G9002" t="s">
        <v>88</v>
      </c>
      <c r="H9002" t="s">
        <v>92</v>
      </c>
    </row>
    <row r="9003" spans="1:8" x14ac:dyDescent="0.25">
      <c r="A9003" t="s">
        <v>315</v>
      </c>
      <c r="B9003" t="s">
        <v>7493</v>
      </c>
      <c r="C9003" t="s">
        <v>88</v>
      </c>
      <c r="D9003" t="s">
        <v>7476</v>
      </c>
      <c r="E9003" t="s">
        <v>4599</v>
      </c>
      <c r="F9003" t="s">
        <v>88</v>
      </c>
      <c r="G9003" t="s">
        <v>88</v>
      </c>
      <c r="H9003" t="s">
        <v>92</v>
      </c>
    </row>
    <row r="9004" spans="1:8" x14ac:dyDescent="0.25">
      <c r="A9004" t="s">
        <v>315</v>
      </c>
      <c r="B9004" t="s">
        <v>7494</v>
      </c>
      <c r="C9004" t="s">
        <v>88</v>
      </c>
      <c r="D9004" t="s">
        <v>7478</v>
      </c>
      <c r="E9004" t="s">
        <v>4599</v>
      </c>
      <c r="F9004" t="s">
        <v>88</v>
      </c>
      <c r="G9004" t="s">
        <v>88</v>
      </c>
      <c r="H9004" t="s">
        <v>92</v>
      </c>
    </row>
    <row r="9005" spans="1:8" x14ac:dyDescent="0.25">
      <c r="A9005" t="s">
        <v>315</v>
      </c>
      <c r="B9005" t="s">
        <v>7495</v>
      </c>
      <c r="C9005" t="s">
        <v>88</v>
      </c>
      <c r="D9005" t="s">
        <v>7480</v>
      </c>
      <c r="E9005" t="s">
        <v>6334</v>
      </c>
      <c r="F9005" t="s">
        <v>88</v>
      </c>
      <c r="G9005" t="s">
        <v>88</v>
      </c>
      <c r="H9005" t="s">
        <v>92</v>
      </c>
    </row>
    <row r="9006" spans="1:8" x14ac:dyDescent="0.25">
      <c r="A9006" t="s">
        <v>315</v>
      </c>
      <c r="B9006" t="s">
        <v>7496</v>
      </c>
      <c r="C9006" t="s">
        <v>88</v>
      </c>
      <c r="D9006" t="s">
        <v>7482</v>
      </c>
      <c r="E9006" t="s">
        <v>2496</v>
      </c>
      <c r="F9006" t="s">
        <v>88</v>
      </c>
      <c r="G9006" t="s">
        <v>88</v>
      </c>
      <c r="H9006" t="s">
        <v>92</v>
      </c>
    </row>
    <row r="9007" spans="1:8" x14ac:dyDescent="0.25">
      <c r="A9007" t="s">
        <v>315</v>
      </c>
      <c r="B9007" t="s">
        <v>7497</v>
      </c>
      <c r="C9007" t="s">
        <v>88</v>
      </c>
      <c r="D9007" t="s">
        <v>7416</v>
      </c>
      <c r="E9007" t="s">
        <v>1436</v>
      </c>
      <c r="F9007" t="s">
        <v>88</v>
      </c>
      <c r="G9007" t="s">
        <v>88</v>
      </c>
      <c r="H9007" t="s">
        <v>92</v>
      </c>
    </row>
    <row r="9008" spans="1:8" x14ac:dyDescent="0.25">
      <c r="A9008" t="s">
        <v>315</v>
      </c>
      <c r="B9008" t="s">
        <v>7498</v>
      </c>
      <c r="C9008" t="s">
        <v>88</v>
      </c>
      <c r="D9008" t="s">
        <v>7458</v>
      </c>
      <c r="E9008" t="s">
        <v>814</v>
      </c>
      <c r="F9008" t="s">
        <v>88</v>
      </c>
      <c r="G9008" t="s">
        <v>88</v>
      </c>
      <c r="H9008" t="s">
        <v>92</v>
      </c>
    </row>
    <row r="9009" spans="1:8" x14ac:dyDescent="0.25">
      <c r="A9009" t="s">
        <v>315</v>
      </c>
      <c r="B9009" t="s">
        <v>7499</v>
      </c>
      <c r="C9009" t="s">
        <v>88</v>
      </c>
      <c r="D9009" t="s">
        <v>7460</v>
      </c>
      <c r="E9009" t="s">
        <v>1436</v>
      </c>
      <c r="F9009" t="s">
        <v>88</v>
      </c>
      <c r="G9009" t="s">
        <v>88</v>
      </c>
      <c r="H9009" t="s">
        <v>92</v>
      </c>
    </row>
    <row r="9010" spans="1:8" x14ac:dyDescent="0.25">
      <c r="A9010" t="s">
        <v>315</v>
      </c>
      <c r="B9010" t="s">
        <v>7500</v>
      </c>
      <c r="C9010" t="s">
        <v>88</v>
      </c>
      <c r="D9010" t="s">
        <v>7462</v>
      </c>
      <c r="E9010" t="s">
        <v>6123</v>
      </c>
      <c r="F9010" t="s">
        <v>88</v>
      </c>
      <c r="G9010" t="s">
        <v>88</v>
      </c>
      <c r="H9010" t="s">
        <v>92</v>
      </c>
    </row>
    <row r="9011" spans="1:8" x14ac:dyDescent="0.25">
      <c r="A9011" t="s">
        <v>315</v>
      </c>
      <c r="B9011" t="s">
        <v>7501</v>
      </c>
      <c r="C9011" t="s">
        <v>88</v>
      </c>
      <c r="D9011" t="s">
        <v>7464</v>
      </c>
      <c r="E9011" t="s">
        <v>7502</v>
      </c>
      <c r="F9011" t="s">
        <v>88</v>
      </c>
      <c r="G9011" t="s">
        <v>88</v>
      </c>
      <c r="H9011" t="s">
        <v>92</v>
      </c>
    </row>
    <row r="9012" spans="1:8" x14ac:dyDescent="0.25">
      <c r="A9012" t="s">
        <v>315</v>
      </c>
      <c r="B9012" t="s">
        <v>7503</v>
      </c>
      <c r="C9012" t="s">
        <v>88</v>
      </c>
      <c r="D9012" t="s">
        <v>7466</v>
      </c>
      <c r="E9012" t="s">
        <v>7502</v>
      </c>
      <c r="F9012" t="s">
        <v>88</v>
      </c>
      <c r="G9012" t="s">
        <v>88</v>
      </c>
      <c r="H9012" t="s">
        <v>92</v>
      </c>
    </row>
    <row r="9013" spans="1:8" x14ac:dyDescent="0.25">
      <c r="A9013" t="s">
        <v>315</v>
      </c>
      <c r="B9013" t="s">
        <v>7504</v>
      </c>
      <c r="C9013" t="s">
        <v>88</v>
      </c>
      <c r="D9013" t="s">
        <v>7468</v>
      </c>
      <c r="E9013" t="s">
        <v>3708</v>
      </c>
      <c r="F9013" t="s">
        <v>88</v>
      </c>
      <c r="G9013" t="s">
        <v>88</v>
      </c>
      <c r="H9013" t="s">
        <v>92</v>
      </c>
    </row>
    <row r="9014" spans="1:8" x14ac:dyDescent="0.25">
      <c r="A9014" t="s">
        <v>315</v>
      </c>
      <c r="B9014" t="s">
        <v>7505</v>
      </c>
      <c r="C9014" t="s">
        <v>88</v>
      </c>
      <c r="D9014" t="s">
        <v>7470</v>
      </c>
      <c r="E9014" t="s">
        <v>6334</v>
      </c>
      <c r="F9014" t="s">
        <v>88</v>
      </c>
      <c r="G9014" t="s">
        <v>88</v>
      </c>
      <c r="H9014" t="s">
        <v>92</v>
      </c>
    </row>
    <row r="9015" spans="1:8" x14ac:dyDescent="0.25">
      <c r="A9015" t="s">
        <v>315</v>
      </c>
      <c r="B9015" t="s">
        <v>7506</v>
      </c>
      <c r="C9015" t="s">
        <v>88</v>
      </c>
      <c r="D9015" t="s">
        <v>7472</v>
      </c>
      <c r="E9015" t="s">
        <v>6123</v>
      </c>
      <c r="F9015" t="s">
        <v>88</v>
      </c>
      <c r="G9015" t="s">
        <v>88</v>
      </c>
      <c r="H9015" t="s">
        <v>92</v>
      </c>
    </row>
    <row r="9016" spans="1:8" x14ac:dyDescent="0.25">
      <c r="A9016" t="s">
        <v>315</v>
      </c>
      <c r="B9016" t="s">
        <v>7507</v>
      </c>
      <c r="C9016" t="s">
        <v>88</v>
      </c>
      <c r="D9016" t="s">
        <v>7474</v>
      </c>
      <c r="E9016" t="s">
        <v>4503</v>
      </c>
      <c r="F9016" t="s">
        <v>88</v>
      </c>
      <c r="G9016" t="s">
        <v>88</v>
      </c>
      <c r="H9016" t="s">
        <v>92</v>
      </c>
    </row>
    <row r="9017" spans="1:8" x14ac:dyDescent="0.25">
      <c r="A9017" t="s">
        <v>315</v>
      </c>
      <c r="B9017" t="s">
        <v>7508</v>
      </c>
      <c r="C9017" t="s">
        <v>88</v>
      </c>
      <c r="D9017" t="s">
        <v>7476</v>
      </c>
      <c r="E9017" t="s">
        <v>7509</v>
      </c>
      <c r="F9017" t="s">
        <v>88</v>
      </c>
      <c r="G9017" t="s">
        <v>88</v>
      </c>
      <c r="H9017" t="s">
        <v>92</v>
      </c>
    </row>
    <row r="9018" spans="1:8" x14ac:dyDescent="0.25">
      <c r="A9018" t="s">
        <v>315</v>
      </c>
      <c r="B9018" t="s">
        <v>7510</v>
      </c>
      <c r="C9018" t="s">
        <v>88</v>
      </c>
      <c r="D9018" t="s">
        <v>7478</v>
      </c>
      <c r="E9018" t="s">
        <v>3740</v>
      </c>
      <c r="F9018" t="s">
        <v>88</v>
      </c>
      <c r="G9018" t="s">
        <v>88</v>
      </c>
      <c r="H9018" t="s">
        <v>92</v>
      </c>
    </row>
    <row r="9019" spans="1:8" x14ac:dyDescent="0.25">
      <c r="A9019" t="s">
        <v>315</v>
      </c>
      <c r="B9019" t="s">
        <v>7511</v>
      </c>
      <c r="C9019" t="s">
        <v>88</v>
      </c>
      <c r="D9019" t="s">
        <v>7480</v>
      </c>
      <c r="E9019" t="s">
        <v>1230</v>
      </c>
      <c r="F9019" t="s">
        <v>88</v>
      </c>
      <c r="G9019" t="s">
        <v>88</v>
      </c>
      <c r="H9019" t="s">
        <v>92</v>
      </c>
    </row>
    <row r="9020" spans="1:8" x14ac:dyDescent="0.25">
      <c r="A9020" t="s">
        <v>315</v>
      </c>
      <c r="B9020" t="s">
        <v>7512</v>
      </c>
      <c r="C9020" t="s">
        <v>88</v>
      </c>
      <c r="D9020" t="s">
        <v>7482</v>
      </c>
      <c r="E9020" t="s">
        <v>6123</v>
      </c>
      <c r="F9020" t="s">
        <v>88</v>
      </c>
      <c r="G9020" t="s">
        <v>88</v>
      </c>
      <c r="H9020" t="s">
        <v>92</v>
      </c>
    </row>
    <row r="9021" spans="1:8" x14ac:dyDescent="0.25">
      <c r="A9021" t="s">
        <v>315</v>
      </c>
      <c r="B9021" t="s">
        <v>7513</v>
      </c>
      <c r="C9021" t="s">
        <v>88</v>
      </c>
      <c r="D9021" t="s">
        <v>88</v>
      </c>
      <c r="E9021" t="s">
        <v>709</v>
      </c>
      <c r="F9021" t="s">
        <v>88</v>
      </c>
      <c r="G9021" t="s">
        <v>88</v>
      </c>
      <c r="H9021" t="s">
        <v>92</v>
      </c>
    </row>
    <row r="9022" spans="1:8" x14ac:dyDescent="0.25">
      <c r="A9022" t="s">
        <v>315</v>
      </c>
      <c r="B9022" t="s">
        <v>7514</v>
      </c>
      <c r="C9022" t="s">
        <v>88</v>
      </c>
      <c r="D9022" t="s">
        <v>88</v>
      </c>
      <c r="E9022" t="s">
        <v>710</v>
      </c>
      <c r="F9022" t="s">
        <v>88</v>
      </c>
      <c r="G9022" t="s">
        <v>88</v>
      </c>
      <c r="H9022" t="s">
        <v>92</v>
      </c>
    </row>
    <row r="9023" spans="1:8" x14ac:dyDescent="0.25">
      <c r="A9023" t="s">
        <v>315</v>
      </c>
      <c r="B9023" t="s">
        <v>7515</v>
      </c>
      <c r="C9023" t="s">
        <v>88</v>
      </c>
      <c r="D9023" t="s">
        <v>88</v>
      </c>
      <c r="E9023" t="s">
        <v>738</v>
      </c>
      <c r="F9023" t="s">
        <v>88</v>
      </c>
      <c r="G9023" t="s">
        <v>88</v>
      </c>
      <c r="H9023" t="s">
        <v>92</v>
      </c>
    </row>
    <row r="9024" spans="1:8" x14ac:dyDescent="0.25">
      <c r="A9024" t="s">
        <v>315</v>
      </c>
      <c r="B9024" t="s">
        <v>7516</v>
      </c>
      <c r="C9024" t="s">
        <v>88</v>
      </c>
      <c r="D9024" t="s">
        <v>88</v>
      </c>
      <c r="E9024" t="s">
        <v>700</v>
      </c>
      <c r="F9024" t="s">
        <v>88</v>
      </c>
      <c r="G9024" t="s">
        <v>88</v>
      </c>
      <c r="H9024" t="s">
        <v>92</v>
      </c>
    </row>
    <row r="9025" spans="1:8" x14ac:dyDescent="0.25">
      <c r="A9025" t="s">
        <v>315</v>
      </c>
      <c r="B9025" t="s">
        <v>7297</v>
      </c>
      <c r="C9025" t="s">
        <v>88</v>
      </c>
      <c r="D9025" t="s">
        <v>88</v>
      </c>
      <c r="E9025" t="s">
        <v>734</v>
      </c>
      <c r="F9025" t="s">
        <v>88</v>
      </c>
      <c r="G9025" t="s">
        <v>88</v>
      </c>
      <c r="H9025" t="s">
        <v>92</v>
      </c>
    </row>
    <row r="9026" spans="1:8" x14ac:dyDescent="0.25">
      <c r="A9026" t="s">
        <v>315</v>
      </c>
      <c r="B9026" t="s">
        <v>1874</v>
      </c>
      <c r="C9026" t="s">
        <v>88</v>
      </c>
      <c r="D9026" t="s">
        <v>88</v>
      </c>
      <c r="E9026" t="s">
        <v>702</v>
      </c>
      <c r="F9026" t="s">
        <v>88</v>
      </c>
      <c r="G9026" t="s">
        <v>88</v>
      </c>
      <c r="H9026" t="s">
        <v>92</v>
      </c>
    </row>
    <row r="9027" spans="1:8" x14ac:dyDescent="0.25">
      <c r="A9027" t="s">
        <v>315</v>
      </c>
      <c r="B9027" t="s">
        <v>7517</v>
      </c>
      <c r="C9027" t="s">
        <v>88</v>
      </c>
      <c r="D9027" t="s">
        <v>88</v>
      </c>
      <c r="E9027" t="s">
        <v>715</v>
      </c>
      <c r="F9027" t="s">
        <v>88</v>
      </c>
      <c r="G9027" t="s">
        <v>88</v>
      </c>
      <c r="H9027" t="s">
        <v>92</v>
      </c>
    </row>
    <row r="9028" spans="1:8" x14ac:dyDescent="0.25">
      <c r="A9028" t="s">
        <v>315</v>
      </c>
      <c r="B9028" t="s">
        <v>2210</v>
      </c>
      <c r="C9028" t="s">
        <v>88</v>
      </c>
      <c r="D9028" t="s">
        <v>88</v>
      </c>
      <c r="E9028" t="s">
        <v>6650</v>
      </c>
      <c r="F9028" t="s">
        <v>88</v>
      </c>
      <c r="G9028" t="s">
        <v>88</v>
      </c>
      <c r="H9028" t="s">
        <v>92</v>
      </c>
    </row>
    <row r="9029" spans="1:8" x14ac:dyDescent="0.25">
      <c r="A9029" t="s">
        <v>315</v>
      </c>
      <c r="B9029" t="s">
        <v>608</v>
      </c>
      <c r="C9029" t="s">
        <v>88</v>
      </c>
      <c r="D9029" t="s">
        <v>88</v>
      </c>
      <c r="E9029" t="s">
        <v>725</v>
      </c>
      <c r="F9029" t="s">
        <v>88</v>
      </c>
      <c r="G9029" t="s">
        <v>88</v>
      </c>
      <c r="H9029" t="s">
        <v>92</v>
      </c>
    </row>
    <row r="9030" spans="1:8" x14ac:dyDescent="0.25">
      <c r="A9030" t="s">
        <v>315</v>
      </c>
      <c r="B9030" t="s">
        <v>1609</v>
      </c>
      <c r="C9030" t="s">
        <v>88</v>
      </c>
      <c r="D9030" t="s">
        <v>88</v>
      </c>
      <c r="E9030" t="s">
        <v>1765</v>
      </c>
      <c r="F9030" t="s">
        <v>88</v>
      </c>
      <c r="G9030" t="s">
        <v>88</v>
      </c>
      <c r="H9030" t="s">
        <v>92</v>
      </c>
    </row>
    <row r="9031" spans="1:8" x14ac:dyDescent="0.25">
      <c r="A9031" t="s">
        <v>315</v>
      </c>
      <c r="B9031" t="s">
        <v>1611</v>
      </c>
      <c r="C9031" t="s">
        <v>88</v>
      </c>
      <c r="D9031" t="s">
        <v>88</v>
      </c>
      <c r="E9031" t="s">
        <v>1765</v>
      </c>
      <c r="F9031" t="s">
        <v>88</v>
      </c>
      <c r="G9031" t="s">
        <v>88</v>
      </c>
      <c r="H9031" t="s">
        <v>92</v>
      </c>
    </row>
    <row r="9032" spans="1:8" x14ac:dyDescent="0.25">
      <c r="A9032" t="s">
        <v>315</v>
      </c>
      <c r="B9032" t="s">
        <v>1612</v>
      </c>
      <c r="C9032" t="s">
        <v>88</v>
      </c>
      <c r="D9032" t="s">
        <v>88</v>
      </c>
      <c r="E9032" t="s">
        <v>735</v>
      </c>
      <c r="F9032" t="s">
        <v>88</v>
      </c>
      <c r="G9032" t="s">
        <v>88</v>
      </c>
      <c r="H9032" t="s">
        <v>92</v>
      </c>
    </row>
    <row r="9033" spans="1:8" x14ac:dyDescent="0.25">
      <c r="A9033" t="s">
        <v>315</v>
      </c>
      <c r="B9033" t="s">
        <v>2579</v>
      </c>
      <c r="C9033" t="s">
        <v>88</v>
      </c>
      <c r="D9033" t="s">
        <v>88</v>
      </c>
      <c r="E9033" t="s">
        <v>735</v>
      </c>
      <c r="F9033" t="s">
        <v>88</v>
      </c>
      <c r="G9033" t="s">
        <v>88</v>
      </c>
      <c r="H9033" t="s">
        <v>92</v>
      </c>
    </row>
    <row r="9034" spans="1:8" x14ac:dyDescent="0.25">
      <c r="A9034" t="s">
        <v>315</v>
      </c>
      <c r="B9034" t="s">
        <v>2573</v>
      </c>
      <c r="C9034" t="s">
        <v>88</v>
      </c>
      <c r="D9034" t="s">
        <v>88</v>
      </c>
      <c r="E9034" t="s">
        <v>849</v>
      </c>
      <c r="F9034" t="s">
        <v>88</v>
      </c>
      <c r="G9034" t="s">
        <v>88</v>
      </c>
      <c r="H9034" t="s">
        <v>92</v>
      </c>
    </row>
    <row r="9035" spans="1:8" x14ac:dyDescent="0.25">
      <c r="A9035" t="s">
        <v>315</v>
      </c>
      <c r="B9035" t="s">
        <v>7518</v>
      </c>
      <c r="C9035" t="s">
        <v>88</v>
      </c>
      <c r="D9035" t="s">
        <v>88</v>
      </c>
      <c r="E9035" t="s">
        <v>735</v>
      </c>
      <c r="F9035" t="s">
        <v>88</v>
      </c>
      <c r="G9035" t="s">
        <v>88</v>
      </c>
      <c r="H9035" t="s">
        <v>92</v>
      </c>
    </row>
    <row r="9036" spans="1:8" x14ac:dyDescent="0.25">
      <c r="A9036" t="s">
        <v>315</v>
      </c>
      <c r="B9036" t="s">
        <v>1072</v>
      </c>
      <c r="C9036" t="s">
        <v>88</v>
      </c>
      <c r="D9036" t="s">
        <v>88</v>
      </c>
      <c r="E9036" t="s">
        <v>1596</v>
      </c>
      <c r="F9036" t="s">
        <v>88</v>
      </c>
      <c r="G9036" t="s">
        <v>88</v>
      </c>
      <c r="H9036" t="s">
        <v>92</v>
      </c>
    </row>
    <row r="9037" spans="1:8" x14ac:dyDescent="0.25">
      <c r="A9037" t="s">
        <v>315</v>
      </c>
      <c r="B9037" t="s">
        <v>701</v>
      </c>
      <c r="C9037" t="s">
        <v>88</v>
      </c>
      <c r="D9037" t="s">
        <v>88</v>
      </c>
      <c r="E9037" t="s">
        <v>1596</v>
      </c>
      <c r="F9037" t="s">
        <v>88</v>
      </c>
      <c r="G9037" t="s">
        <v>88</v>
      </c>
      <c r="H9037" t="s">
        <v>92</v>
      </c>
    </row>
    <row r="9038" spans="1:8" x14ac:dyDescent="0.25">
      <c r="A9038" t="s">
        <v>315</v>
      </c>
      <c r="B9038" t="s">
        <v>705</v>
      </c>
      <c r="C9038" t="s">
        <v>88</v>
      </c>
      <c r="D9038" t="s">
        <v>88</v>
      </c>
      <c r="E9038" t="s">
        <v>1596</v>
      </c>
      <c r="F9038" t="s">
        <v>88</v>
      </c>
      <c r="G9038" t="s">
        <v>88</v>
      </c>
      <c r="H9038" t="s">
        <v>92</v>
      </c>
    </row>
    <row r="9039" spans="1:8" x14ac:dyDescent="0.25">
      <c r="A9039" t="s">
        <v>315</v>
      </c>
      <c r="B9039" t="s">
        <v>707</v>
      </c>
      <c r="C9039" t="s">
        <v>88</v>
      </c>
      <c r="D9039" t="s">
        <v>88</v>
      </c>
      <c r="E9039" t="s">
        <v>1596</v>
      </c>
      <c r="F9039" t="s">
        <v>88</v>
      </c>
      <c r="G9039" t="s">
        <v>88</v>
      </c>
      <c r="H9039" t="s">
        <v>92</v>
      </c>
    </row>
    <row r="9040" spans="1:8" x14ac:dyDescent="0.25">
      <c r="A9040" t="s">
        <v>315</v>
      </c>
      <c r="B9040" t="s">
        <v>622</v>
      </c>
      <c r="C9040" t="s">
        <v>88</v>
      </c>
      <c r="D9040" t="s">
        <v>88</v>
      </c>
      <c r="E9040" t="s">
        <v>710</v>
      </c>
      <c r="F9040" t="s">
        <v>88</v>
      </c>
      <c r="G9040" t="s">
        <v>88</v>
      </c>
      <c r="H9040" t="s">
        <v>92</v>
      </c>
    </row>
    <row r="9041" spans="1:8" x14ac:dyDescent="0.25">
      <c r="A9041" t="s">
        <v>315</v>
      </c>
      <c r="B9041" t="s">
        <v>712</v>
      </c>
      <c r="C9041" t="s">
        <v>88</v>
      </c>
      <c r="D9041" t="s">
        <v>88</v>
      </c>
      <c r="E9041" t="s">
        <v>711</v>
      </c>
      <c r="F9041" t="s">
        <v>88</v>
      </c>
      <c r="G9041" t="s">
        <v>88</v>
      </c>
      <c r="H9041" t="s">
        <v>92</v>
      </c>
    </row>
    <row r="9042" spans="1:8" x14ac:dyDescent="0.25">
      <c r="A9042" t="s">
        <v>315</v>
      </c>
      <c r="B9042" t="s">
        <v>714</v>
      </c>
      <c r="C9042" t="s">
        <v>88</v>
      </c>
      <c r="D9042" t="s">
        <v>88</v>
      </c>
      <c r="E9042" t="s">
        <v>3117</v>
      </c>
      <c r="F9042" t="s">
        <v>88</v>
      </c>
      <c r="G9042" t="s">
        <v>88</v>
      </c>
      <c r="H9042" t="s">
        <v>92</v>
      </c>
    </row>
    <row r="9043" spans="1:8" x14ac:dyDescent="0.25">
      <c r="A9043" t="s">
        <v>315</v>
      </c>
      <c r="B9043" t="s">
        <v>1075</v>
      </c>
      <c r="C9043" t="s">
        <v>88</v>
      </c>
      <c r="D9043" t="s">
        <v>88</v>
      </c>
      <c r="E9043" t="s">
        <v>3117</v>
      </c>
      <c r="F9043" t="s">
        <v>88</v>
      </c>
      <c r="G9043" t="s">
        <v>88</v>
      </c>
      <c r="H9043" t="s">
        <v>92</v>
      </c>
    </row>
    <row r="9044" spans="1:8" x14ac:dyDescent="0.25">
      <c r="A9044" t="s">
        <v>315</v>
      </c>
      <c r="B9044" t="s">
        <v>998</v>
      </c>
      <c r="C9044" t="s">
        <v>88</v>
      </c>
      <c r="D9044" t="s">
        <v>88</v>
      </c>
      <c r="E9044" t="s">
        <v>3117</v>
      </c>
      <c r="F9044" t="s">
        <v>88</v>
      </c>
      <c r="G9044" t="s">
        <v>88</v>
      </c>
      <c r="H9044" t="s">
        <v>92</v>
      </c>
    </row>
    <row r="9045" spans="1:8" x14ac:dyDescent="0.25">
      <c r="A9045" t="s">
        <v>315</v>
      </c>
      <c r="B9045" t="s">
        <v>1073</v>
      </c>
      <c r="C9045" t="s">
        <v>88</v>
      </c>
      <c r="D9045" t="s">
        <v>88</v>
      </c>
      <c r="E9045" t="s">
        <v>3117</v>
      </c>
      <c r="F9045" t="s">
        <v>88</v>
      </c>
      <c r="G9045" t="s">
        <v>88</v>
      </c>
      <c r="H9045" t="s">
        <v>92</v>
      </c>
    </row>
    <row r="9046" spans="1:8" x14ac:dyDescent="0.25">
      <c r="A9046" t="s">
        <v>315</v>
      </c>
      <c r="B9046" t="s">
        <v>625</v>
      </c>
      <c r="C9046" t="s">
        <v>88</v>
      </c>
      <c r="D9046" t="s">
        <v>88</v>
      </c>
      <c r="E9046" t="s">
        <v>626</v>
      </c>
      <c r="F9046" t="s">
        <v>88</v>
      </c>
      <c r="G9046" t="s">
        <v>88</v>
      </c>
      <c r="H9046" t="s">
        <v>92</v>
      </c>
    </row>
    <row r="9047" spans="1:8" x14ac:dyDescent="0.25">
      <c r="A9047" t="s">
        <v>316</v>
      </c>
      <c r="B9047" t="s">
        <v>3203</v>
      </c>
      <c r="C9047" t="s">
        <v>88</v>
      </c>
      <c r="D9047" t="s">
        <v>7519</v>
      </c>
      <c r="E9047" t="s">
        <v>723</v>
      </c>
      <c r="F9047" t="s">
        <v>88</v>
      </c>
      <c r="G9047" t="s">
        <v>88</v>
      </c>
      <c r="H9047" t="s">
        <v>92</v>
      </c>
    </row>
    <row r="9048" spans="1:8" x14ac:dyDescent="0.25">
      <c r="A9048" t="s">
        <v>316</v>
      </c>
      <c r="B9048" t="s">
        <v>7520</v>
      </c>
      <c r="C9048" t="s">
        <v>88</v>
      </c>
      <c r="D9048" t="s">
        <v>7519</v>
      </c>
      <c r="E9048" t="s">
        <v>679</v>
      </c>
      <c r="F9048" t="s">
        <v>88</v>
      </c>
      <c r="G9048" t="s">
        <v>88</v>
      </c>
      <c r="H9048" t="s">
        <v>92</v>
      </c>
    </row>
    <row r="9049" spans="1:8" x14ac:dyDescent="0.25">
      <c r="A9049" t="s">
        <v>316</v>
      </c>
      <c r="B9049" t="s">
        <v>6619</v>
      </c>
      <c r="C9049" t="s">
        <v>88</v>
      </c>
      <c r="D9049" t="s">
        <v>2397</v>
      </c>
      <c r="E9049" t="s">
        <v>841</v>
      </c>
      <c r="F9049" t="s">
        <v>88</v>
      </c>
      <c r="G9049" t="s">
        <v>88</v>
      </c>
      <c r="H9049" t="s">
        <v>92</v>
      </c>
    </row>
    <row r="9050" spans="1:8" x14ac:dyDescent="0.25">
      <c r="A9050" t="s">
        <v>316</v>
      </c>
      <c r="B9050" t="s">
        <v>6629</v>
      </c>
      <c r="C9050" t="s">
        <v>88</v>
      </c>
      <c r="D9050" t="s">
        <v>2397</v>
      </c>
      <c r="E9050" t="s">
        <v>841</v>
      </c>
      <c r="F9050" t="s">
        <v>88</v>
      </c>
      <c r="G9050" t="s">
        <v>88</v>
      </c>
      <c r="H9050" t="s">
        <v>92</v>
      </c>
    </row>
    <row r="9051" spans="1:8" x14ac:dyDescent="0.25">
      <c r="A9051" t="s">
        <v>316</v>
      </c>
      <c r="B9051" t="s">
        <v>743</v>
      </c>
      <c r="C9051" t="s">
        <v>88</v>
      </c>
      <c r="D9051" t="s">
        <v>7521</v>
      </c>
      <c r="E9051" t="s">
        <v>655</v>
      </c>
      <c r="F9051" t="s">
        <v>88</v>
      </c>
      <c r="G9051" t="s">
        <v>88</v>
      </c>
      <c r="H9051" t="s">
        <v>92</v>
      </c>
    </row>
    <row r="9052" spans="1:8" x14ac:dyDescent="0.25">
      <c r="A9052" t="s">
        <v>316</v>
      </c>
      <c r="B9052" t="s">
        <v>7522</v>
      </c>
      <c r="C9052" t="s">
        <v>88</v>
      </c>
      <c r="D9052" t="s">
        <v>7521</v>
      </c>
      <c r="E9052" t="s">
        <v>844</v>
      </c>
      <c r="F9052" t="s">
        <v>88</v>
      </c>
      <c r="G9052" t="s">
        <v>88</v>
      </c>
      <c r="H9052" t="s">
        <v>92</v>
      </c>
    </row>
    <row r="9053" spans="1:8" x14ac:dyDescent="0.25">
      <c r="A9053" t="s">
        <v>316</v>
      </c>
      <c r="B9053" t="s">
        <v>7523</v>
      </c>
      <c r="C9053" t="s">
        <v>88</v>
      </c>
      <c r="D9053" t="s">
        <v>7521</v>
      </c>
      <c r="E9053" t="s">
        <v>844</v>
      </c>
      <c r="F9053" t="s">
        <v>88</v>
      </c>
      <c r="G9053" t="s">
        <v>88</v>
      </c>
      <c r="H9053" t="s">
        <v>92</v>
      </c>
    </row>
    <row r="9054" spans="1:8" x14ac:dyDescent="0.25">
      <c r="A9054" t="s">
        <v>316</v>
      </c>
      <c r="B9054" t="s">
        <v>7524</v>
      </c>
      <c r="C9054" t="s">
        <v>88</v>
      </c>
      <c r="D9054" t="s">
        <v>7521</v>
      </c>
      <c r="E9054" t="s">
        <v>844</v>
      </c>
      <c r="F9054" t="s">
        <v>88</v>
      </c>
      <c r="G9054" t="s">
        <v>88</v>
      </c>
      <c r="H9054" t="s">
        <v>92</v>
      </c>
    </row>
    <row r="9055" spans="1:8" x14ac:dyDescent="0.25">
      <c r="A9055" t="s">
        <v>316</v>
      </c>
      <c r="B9055" t="s">
        <v>904</v>
      </c>
      <c r="C9055" t="s">
        <v>88</v>
      </c>
      <c r="D9055" t="s">
        <v>7521</v>
      </c>
      <c r="E9055" t="s">
        <v>844</v>
      </c>
      <c r="F9055" t="s">
        <v>88</v>
      </c>
      <c r="G9055" t="s">
        <v>88</v>
      </c>
      <c r="H9055" t="s">
        <v>92</v>
      </c>
    </row>
    <row r="9056" spans="1:8" x14ac:dyDescent="0.25">
      <c r="A9056" t="s">
        <v>316</v>
      </c>
      <c r="B9056" t="s">
        <v>7525</v>
      </c>
      <c r="C9056" t="s">
        <v>88</v>
      </c>
      <c r="D9056" t="s">
        <v>7521</v>
      </c>
      <c r="E9056" t="s">
        <v>1282</v>
      </c>
      <c r="F9056" t="s">
        <v>88</v>
      </c>
      <c r="G9056" t="s">
        <v>88</v>
      </c>
      <c r="H9056" t="s">
        <v>92</v>
      </c>
    </row>
    <row r="9057" spans="1:8" x14ac:dyDescent="0.25">
      <c r="A9057" t="s">
        <v>316</v>
      </c>
      <c r="B9057" t="s">
        <v>7526</v>
      </c>
      <c r="C9057" t="s">
        <v>88</v>
      </c>
      <c r="D9057" t="s">
        <v>7521</v>
      </c>
      <c r="E9057" t="s">
        <v>1282</v>
      </c>
      <c r="F9057" t="s">
        <v>88</v>
      </c>
      <c r="G9057" t="s">
        <v>88</v>
      </c>
      <c r="H9057" t="s">
        <v>92</v>
      </c>
    </row>
    <row r="9058" spans="1:8" x14ac:dyDescent="0.25">
      <c r="A9058" t="s">
        <v>316</v>
      </c>
      <c r="B9058" t="s">
        <v>743</v>
      </c>
      <c r="C9058" t="s">
        <v>88</v>
      </c>
      <c r="D9058" t="s">
        <v>7521</v>
      </c>
      <c r="E9058" t="s">
        <v>655</v>
      </c>
      <c r="F9058" t="s">
        <v>88</v>
      </c>
      <c r="G9058" t="s">
        <v>88</v>
      </c>
      <c r="H9058" t="s">
        <v>92</v>
      </c>
    </row>
    <row r="9059" spans="1:8" x14ac:dyDescent="0.25">
      <c r="A9059" t="s">
        <v>316</v>
      </c>
      <c r="B9059" t="s">
        <v>764</v>
      </c>
      <c r="C9059" t="s">
        <v>88</v>
      </c>
      <c r="D9059" t="s">
        <v>7521</v>
      </c>
      <c r="E9059" t="s">
        <v>760</v>
      </c>
      <c r="F9059" t="s">
        <v>88</v>
      </c>
      <c r="G9059" t="s">
        <v>88</v>
      </c>
      <c r="H9059" t="s">
        <v>92</v>
      </c>
    </row>
    <row r="9060" spans="1:8" x14ac:dyDescent="0.25">
      <c r="A9060" t="s">
        <v>316</v>
      </c>
      <c r="B9060" t="s">
        <v>6025</v>
      </c>
      <c r="C9060" t="s">
        <v>88</v>
      </c>
      <c r="D9060" t="s">
        <v>7521</v>
      </c>
      <c r="E9060" t="s">
        <v>655</v>
      </c>
      <c r="F9060" t="s">
        <v>88</v>
      </c>
      <c r="G9060" t="s">
        <v>88</v>
      </c>
      <c r="H9060" t="s">
        <v>92</v>
      </c>
    </row>
    <row r="9061" spans="1:8" x14ac:dyDescent="0.25">
      <c r="A9061" t="s">
        <v>316</v>
      </c>
      <c r="B9061" t="s">
        <v>767</v>
      </c>
      <c r="C9061" t="s">
        <v>88</v>
      </c>
      <c r="D9061" t="s">
        <v>7521</v>
      </c>
      <c r="E9061" t="s">
        <v>655</v>
      </c>
      <c r="F9061" t="s">
        <v>88</v>
      </c>
      <c r="G9061" t="s">
        <v>88</v>
      </c>
      <c r="H9061" t="s">
        <v>92</v>
      </c>
    </row>
    <row r="9062" spans="1:8" x14ac:dyDescent="0.25">
      <c r="A9062" t="s">
        <v>316</v>
      </c>
      <c r="B9062" t="s">
        <v>2054</v>
      </c>
      <c r="C9062" t="s">
        <v>88</v>
      </c>
      <c r="D9062" t="s">
        <v>7521</v>
      </c>
      <c r="E9062" t="s">
        <v>844</v>
      </c>
      <c r="F9062" t="s">
        <v>88</v>
      </c>
      <c r="G9062" t="s">
        <v>88</v>
      </c>
      <c r="H9062" t="s">
        <v>92</v>
      </c>
    </row>
    <row r="9063" spans="1:8" x14ac:dyDescent="0.25">
      <c r="A9063" t="s">
        <v>316</v>
      </c>
      <c r="B9063" t="s">
        <v>7520</v>
      </c>
      <c r="C9063" t="s">
        <v>88</v>
      </c>
      <c r="D9063" t="s">
        <v>7519</v>
      </c>
      <c r="E9063" t="s">
        <v>679</v>
      </c>
      <c r="F9063" t="s">
        <v>88</v>
      </c>
      <c r="G9063" t="s">
        <v>88</v>
      </c>
      <c r="H9063" t="s">
        <v>92</v>
      </c>
    </row>
    <row r="9064" spans="1:8" x14ac:dyDescent="0.25">
      <c r="A9064" t="s">
        <v>316</v>
      </c>
      <c r="B9064" t="s">
        <v>7527</v>
      </c>
      <c r="C9064" t="s">
        <v>88</v>
      </c>
      <c r="D9064" t="s">
        <v>7519</v>
      </c>
      <c r="E9064" t="s">
        <v>679</v>
      </c>
      <c r="F9064" t="s">
        <v>88</v>
      </c>
      <c r="G9064" t="s">
        <v>88</v>
      </c>
      <c r="H9064" t="s">
        <v>92</v>
      </c>
    </row>
    <row r="9065" spans="1:8" x14ac:dyDescent="0.25">
      <c r="A9065" t="s">
        <v>316</v>
      </c>
      <c r="B9065" t="s">
        <v>7528</v>
      </c>
      <c r="C9065" t="s">
        <v>88</v>
      </c>
      <c r="D9065" t="s">
        <v>7519</v>
      </c>
      <c r="E9065" t="s">
        <v>663</v>
      </c>
      <c r="F9065" t="s">
        <v>88</v>
      </c>
      <c r="G9065" t="s">
        <v>88</v>
      </c>
      <c r="H9065" t="s">
        <v>92</v>
      </c>
    </row>
    <row r="9066" spans="1:8" x14ac:dyDescent="0.25">
      <c r="A9066" t="s">
        <v>316</v>
      </c>
      <c r="B9066" t="s">
        <v>3203</v>
      </c>
      <c r="C9066" t="s">
        <v>88</v>
      </c>
      <c r="D9066" t="s">
        <v>7519</v>
      </c>
      <c r="E9066" t="s">
        <v>723</v>
      </c>
      <c r="F9066" t="s">
        <v>88</v>
      </c>
      <c r="G9066" t="s">
        <v>88</v>
      </c>
      <c r="H9066" t="s">
        <v>92</v>
      </c>
    </row>
    <row r="9067" spans="1:8" x14ac:dyDescent="0.25">
      <c r="A9067" t="s">
        <v>316</v>
      </c>
      <c r="B9067" t="s">
        <v>923</v>
      </c>
      <c r="C9067" t="s">
        <v>88</v>
      </c>
      <c r="D9067" t="s">
        <v>7519</v>
      </c>
      <c r="E9067" t="s">
        <v>663</v>
      </c>
      <c r="F9067" t="s">
        <v>88</v>
      </c>
      <c r="G9067" t="s">
        <v>88</v>
      </c>
      <c r="H9067" t="s">
        <v>92</v>
      </c>
    </row>
    <row r="9068" spans="1:8" x14ac:dyDescent="0.25">
      <c r="A9068" t="s">
        <v>316</v>
      </c>
      <c r="B9068" t="s">
        <v>7529</v>
      </c>
      <c r="C9068" t="s">
        <v>88</v>
      </c>
      <c r="D9068" t="s">
        <v>7519</v>
      </c>
      <c r="E9068" t="s">
        <v>663</v>
      </c>
      <c r="F9068" t="s">
        <v>88</v>
      </c>
      <c r="G9068" t="s">
        <v>88</v>
      </c>
      <c r="H9068" t="s">
        <v>92</v>
      </c>
    </row>
    <row r="9069" spans="1:8" x14ac:dyDescent="0.25">
      <c r="A9069" t="s">
        <v>316</v>
      </c>
      <c r="B9069" t="s">
        <v>3556</v>
      </c>
      <c r="C9069" t="s">
        <v>88</v>
      </c>
      <c r="D9069" t="s">
        <v>7530</v>
      </c>
      <c r="E9069" t="s">
        <v>844</v>
      </c>
      <c r="F9069" t="s">
        <v>88</v>
      </c>
      <c r="G9069" t="s">
        <v>88</v>
      </c>
      <c r="H9069" t="s">
        <v>92</v>
      </c>
    </row>
    <row r="9070" spans="1:8" x14ac:dyDescent="0.25">
      <c r="A9070" t="s">
        <v>316</v>
      </c>
      <c r="B9070" t="s">
        <v>3550</v>
      </c>
      <c r="C9070" t="s">
        <v>88</v>
      </c>
      <c r="D9070" t="s">
        <v>7530</v>
      </c>
      <c r="E9070" t="s">
        <v>692</v>
      </c>
      <c r="F9070" t="s">
        <v>88</v>
      </c>
      <c r="G9070" t="s">
        <v>88</v>
      </c>
      <c r="H9070" t="s">
        <v>92</v>
      </c>
    </row>
    <row r="9071" spans="1:8" x14ac:dyDescent="0.25">
      <c r="A9071" t="s">
        <v>316</v>
      </c>
      <c r="B9071" t="s">
        <v>948</v>
      </c>
      <c r="C9071" t="s">
        <v>88</v>
      </c>
      <c r="D9071" t="s">
        <v>88</v>
      </c>
      <c r="E9071" t="s">
        <v>713</v>
      </c>
      <c r="F9071" t="s">
        <v>88</v>
      </c>
      <c r="G9071" t="s">
        <v>88</v>
      </c>
      <c r="H9071" t="s">
        <v>92</v>
      </c>
    </row>
    <row r="9072" spans="1:8" x14ac:dyDescent="0.25">
      <c r="A9072" t="s">
        <v>316</v>
      </c>
      <c r="B9072" t="s">
        <v>701</v>
      </c>
      <c r="C9072" t="s">
        <v>88</v>
      </c>
      <c r="D9072" t="s">
        <v>88</v>
      </c>
      <c r="E9072" t="s">
        <v>732</v>
      </c>
      <c r="F9072" t="s">
        <v>88</v>
      </c>
      <c r="G9072" t="s">
        <v>88</v>
      </c>
      <c r="H9072" t="s">
        <v>92</v>
      </c>
    </row>
    <row r="9073" spans="1:8" x14ac:dyDescent="0.25">
      <c r="A9073" t="s">
        <v>316</v>
      </c>
      <c r="B9073" t="s">
        <v>703</v>
      </c>
      <c r="C9073" t="s">
        <v>88</v>
      </c>
      <c r="D9073" t="s">
        <v>88</v>
      </c>
      <c r="E9073" t="s">
        <v>732</v>
      </c>
      <c r="F9073" t="s">
        <v>88</v>
      </c>
      <c r="G9073" t="s">
        <v>88</v>
      </c>
      <c r="H9073" t="s">
        <v>92</v>
      </c>
    </row>
    <row r="9074" spans="1:8" x14ac:dyDescent="0.25">
      <c r="A9074" t="s">
        <v>316</v>
      </c>
      <c r="B9074" t="s">
        <v>704</v>
      </c>
      <c r="C9074" t="s">
        <v>88</v>
      </c>
      <c r="D9074" t="s">
        <v>88</v>
      </c>
      <c r="E9074" t="s">
        <v>732</v>
      </c>
      <c r="F9074" t="s">
        <v>88</v>
      </c>
      <c r="G9074" t="s">
        <v>88</v>
      </c>
      <c r="H9074" t="s">
        <v>92</v>
      </c>
    </row>
    <row r="9075" spans="1:8" x14ac:dyDescent="0.25">
      <c r="A9075" t="s">
        <v>316</v>
      </c>
      <c r="B9075" t="s">
        <v>705</v>
      </c>
      <c r="C9075" t="s">
        <v>88</v>
      </c>
      <c r="D9075" t="s">
        <v>88</v>
      </c>
      <c r="E9075" t="s">
        <v>732</v>
      </c>
      <c r="F9075" t="s">
        <v>88</v>
      </c>
      <c r="G9075" t="s">
        <v>88</v>
      </c>
      <c r="H9075" t="s">
        <v>92</v>
      </c>
    </row>
    <row r="9076" spans="1:8" x14ac:dyDescent="0.25">
      <c r="A9076" t="s">
        <v>316</v>
      </c>
      <c r="B9076" t="s">
        <v>846</v>
      </c>
      <c r="C9076" t="s">
        <v>88</v>
      </c>
      <c r="D9076" t="s">
        <v>88</v>
      </c>
      <c r="E9076" t="s">
        <v>709</v>
      </c>
      <c r="F9076" t="s">
        <v>88</v>
      </c>
      <c r="G9076" t="s">
        <v>88</v>
      </c>
      <c r="H9076" t="s">
        <v>92</v>
      </c>
    </row>
    <row r="9077" spans="1:8" x14ac:dyDescent="0.25">
      <c r="A9077" t="s">
        <v>316</v>
      </c>
      <c r="B9077" t="s">
        <v>7531</v>
      </c>
      <c r="C9077" t="s">
        <v>88</v>
      </c>
      <c r="D9077" t="s">
        <v>88</v>
      </c>
      <c r="E9077" t="s">
        <v>710</v>
      </c>
      <c r="F9077" t="s">
        <v>88</v>
      </c>
      <c r="G9077" t="s">
        <v>88</v>
      </c>
      <c r="H9077" t="s">
        <v>92</v>
      </c>
    </row>
    <row r="9078" spans="1:8" x14ac:dyDescent="0.25">
      <c r="A9078" t="s">
        <v>316</v>
      </c>
      <c r="B9078" t="s">
        <v>714</v>
      </c>
      <c r="C9078" t="s">
        <v>88</v>
      </c>
      <c r="D9078" t="s">
        <v>88</v>
      </c>
      <c r="E9078" t="s">
        <v>791</v>
      </c>
      <c r="F9078" t="s">
        <v>88</v>
      </c>
      <c r="G9078" t="s">
        <v>88</v>
      </c>
      <c r="H9078" t="s">
        <v>92</v>
      </c>
    </row>
    <row r="9079" spans="1:8" x14ac:dyDescent="0.25">
      <c r="A9079" t="s">
        <v>316</v>
      </c>
      <c r="B9079" t="s">
        <v>998</v>
      </c>
      <c r="C9079" t="s">
        <v>88</v>
      </c>
      <c r="D9079" t="s">
        <v>88</v>
      </c>
      <c r="E9079" t="s">
        <v>791</v>
      </c>
      <c r="F9079" t="s">
        <v>88</v>
      </c>
      <c r="G9079" t="s">
        <v>88</v>
      </c>
      <c r="H9079" t="s">
        <v>92</v>
      </c>
    </row>
    <row r="9080" spans="1:8" x14ac:dyDescent="0.25">
      <c r="A9080" t="s">
        <v>316</v>
      </c>
      <c r="B9080" t="s">
        <v>3561</v>
      </c>
      <c r="C9080" t="s">
        <v>88</v>
      </c>
      <c r="D9080" t="s">
        <v>88</v>
      </c>
      <c r="E9080" t="s">
        <v>791</v>
      </c>
      <c r="F9080" t="s">
        <v>88</v>
      </c>
      <c r="G9080" t="s">
        <v>88</v>
      </c>
      <c r="H9080" t="s">
        <v>92</v>
      </c>
    </row>
    <row r="9081" spans="1:8" x14ac:dyDescent="0.25">
      <c r="A9081" t="s">
        <v>316</v>
      </c>
      <c r="B9081" t="s">
        <v>7532</v>
      </c>
      <c r="C9081" t="s">
        <v>88</v>
      </c>
      <c r="D9081" t="s">
        <v>88</v>
      </c>
      <c r="E9081" t="s">
        <v>791</v>
      </c>
      <c r="F9081" t="s">
        <v>88</v>
      </c>
      <c r="G9081" t="s">
        <v>88</v>
      </c>
      <c r="H9081" t="s">
        <v>92</v>
      </c>
    </row>
    <row r="9082" spans="1:8" x14ac:dyDescent="0.25">
      <c r="A9082" t="s">
        <v>316</v>
      </c>
      <c r="B9082" t="s">
        <v>7533</v>
      </c>
      <c r="C9082" t="s">
        <v>88</v>
      </c>
      <c r="D9082" t="s">
        <v>2397</v>
      </c>
      <c r="E9082" t="s">
        <v>4614</v>
      </c>
      <c r="F9082" t="s">
        <v>88</v>
      </c>
      <c r="G9082" t="s">
        <v>88</v>
      </c>
      <c r="H9082" t="s">
        <v>92</v>
      </c>
    </row>
    <row r="9083" spans="1:8" x14ac:dyDescent="0.25">
      <c r="A9083" t="s">
        <v>316</v>
      </c>
      <c r="B9083" t="s">
        <v>7534</v>
      </c>
      <c r="C9083" t="s">
        <v>88</v>
      </c>
      <c r="D9083" t="s">
        <v>7535</v>
      </c>
      <c r="E9083" t="s">
        <v>812</v>
      </c>
      <c r="F9083" t="s">
        <v>88</v>
      </c>
      <c r="G9083" t="s">
        <v>88</v>
      </c>
      <c r="H9083" t="s">
        <v>92</v>
      </c>
    </row>
    <row r="9084" spans="1:8" x14ac:dyDescent="0.25">
      <c r="A9084" t="s">
        <v>316</v>
      </c>
      <c r="B9084" t="s">
        <v>7536</v>
      </c>
      <c r="C9084" t="s">
        <v>88</v>
      </c>
      <c r="D9084" t="s">
        <v>7535</v>
      </c>
      <c r="E9084" t="s">
        <v>4583</v>
      </c>
      <c r="F9084" t="s">
        <v>88</v>
      </c>
      <c r="G9084" t="s">
        <v>88</v>
      </c>
      <c r="H9084" t="s">
        <v>92</v>
      </c>
    </row>
    <row r="9085" spans="1:8" x14ac:dyDescent="0.25">
      <c r="A9085" t="s">
        <v>316</v>
      </c>
      <c r="B9085" t="s">
        <v>7537</v>
      </c>
      <c r="C9085" t="s">
        <v>88</v>
      </c>
      <c r="D9085" t="s">
        <v>7535</v>
      </c>
      <c r="E9085" t="s">
        <v>4294</v>
      </c>
      <c r="F9085" t="s">
        <v>88</v>
      </c>
      <c r="G9085" t="s">
        <v>88</v>
      </c>
      <c r="H9085" t="s">
        <v>92</v>
      </c>
    </row>
    <row r="9086" spans="1:8" x14ac:dyDescent="0.25">
      <c r="A9086" t="s">
        <v>316</v>
      </c>
      <c r="B9086" t="s">
        <v>7538</v>
      </c>
      <c r="C9086" t="s">
        <v>88</v>
      </c>
      <c r="D9086" t="s">
        <v>7535</v>
      </c>
      <c r="E9086" t="s">
        <v>4583</v>
      </c>
      <c r="F9086" t="s">
        <v>88</v>
      </c>
      <c r="G9086" t="s">
        <v>88</v>
      </c>
      <c r="H9086" t="s">
        <v>92</v>
      </c>
    </row>
    <row r="9087" spans="1:8" x14ac:dyDescent="0.25">
      <c r="A9087" t="s">
        <v>316</v>
      </c>
      <c r="B9087" t="s">
        <v>7539</v>
      </c>
      <c r="C9087" t="s">
        <v>88</v>
      </c>
      <c r="D9087" t="s">
        <v>7535</v>
      </c>
      <c r="E9087" t="s">
        <v>4583</v>
      </c>
      <c r="F9087" t="s">
        <v>88</v>
      </c>
      <c r="G9087" t="s">
        <v>88</v>
      </c>
      <c r="H9087" t="s">
        <v>92</v>
      </c>
    </row>
    <row r="9088" spans="1:8" x14ac:dyDescent="0.25">
      <c r="A9088" t="s">
        <v>316</v>
      </c>
      <c r="B9088" t="s">
        <v>7540</v>
      </c>
      <c r="C9088" t="s">
        <v>88</v>
      </c>
      <c r="D9088" t="s">
        <v>2397</v>
      </c>
      <c r="E9088" t="s">
        <v>4614</v>
      </c>
      <c r="F9088" t="s">
        <v>88</v>
      </c>
      <c r="G9088" t="s">
        <v>88</v>
      </c>
      <c r="H9088" t="s">
        <v>92</v>
      </c>
    </row>
    <row r="9089" spans="1:8" x14ac:dyDescent="0.25">
      <c r="A9089" t="s">
        <v>316</v>
      </c>
      <c r="B9089" t="s">
        <v>7541</v>
      </c>
      <c r="C9089" t="s">
        <v>88</v>
      </c>
      <c r="D9089" t="s">
        <v>2397</v>
      </c>
      <c r="E9089" t="s">
        <v>4614</v>
      </c>
      <c r="F9089" t="s">
        <v>88</v>
      </c>
      <c r="G9089" t="s">
        <v>88</v>
      </c>
      <c r="H9089" t="s">
        <v>92</v>
      </c>
    </row>
    <row r="9090" spans="1:8" x14ac:dyDescent="0.25">
      <c r="A9090" t="s">
        <v>316</v>
      </c>
      <c r="B9090" t="s">
        <v>7542</v>
      </c>
      <c r="C9090" t="s">
        <v>88</v>
      </c>
      <c r="D9090" t="s">
        <v>2397</v>
      </c>
      <c r="E9090" t="s">
        <v>805</v>
      </c>
      <c r="F9090" t="s">
        <v>88</v>
      </c>
      <c r="G9090" t="s">
        <v>88</v>
      </c>
      <c r="H9090" t="s">
        <v>92</v>
      </c>
    </row>
    <row r="9091" spans="1:8" x14ac:dyDescent="0.25">
      <c r="A9091" t="s">
        <v>316</v>
      </c>
      <c r="B9091" t="s">
        <v>7543</v>
      </c>
      <c r="C9091" t="s">
        <v>88</v>
      </c>
      <c r="D9091" t="s">
        <v>2397</v>
      </c>
      <c r="E9091" t="s">
        <v>4614</v>
      </c>
      <c r="F9091" t="s">
        <v>88</v>
      </c>
      <c r="G9091" t="s">
        <v>88</v>
      </c>
      <c r="H9091" t="s">
        <v>92</v>
      </c>
    </row>
    <row r="9092" spans="1:8" x14ac:dyDescent="0.25">
      <c r="A9092" t="s">
        <v>316</v>
      </c>
      <c r="B9092" t="s">
        <v>7544</v>
      </c>
      <c r="C9092" t="s">
        <v>88</v>
      </c>
      <c r="D9092" t="s">
        <v>2397</v>
      </c>
      <c r="E9092" t="s">
        <v>807</v>
      </c>
      <c r="F9092" t="s">
        <v>88</v>
      </c>
      <c r="G9092" t="s">
        <v>88</v>
      </c>
      <c r="H9092" t="s">
        <v>92</v>
      </c>
    </row>
    <row r="9093" spans="1:8" x14ac:dyDescent="0.25">
      <c r="A9093" t="s">
        <v>316</v>
      </c>
      <c r="B9093" t="s">
        <v>6619</v>
      </c>
      <c r="C9093" t="s">
        <v>88</v>
      </c>
      <c r="D9093" t="s">
        <v>2397</v>
      </c>
      <c r="E9093" t="s">
        <v>841</v>
      </c>
      <c r="F9093" t="s">
        <v>88</v>
      </c>
      <c r="G9093" t="s">
        <v>88</v>
      </c>
      <c r="H9093" t="s">
        <v>92</v>
      </c>
    </row>
    <row r="9094" spans="1:8" x14ac:dyDescent="0.25">
      <c r="A9094" t="s">
        <v>316</v>
      </c>
      <c r="B9094" t="s">
        <v>6629</v>
      </c>
      <c r="C9094" t="s">
        <v>88</v>
      </c>
      <c r="D9094" t="s">
        <v>2397</v>
      </c>
      <c r="E9094" t="s">
        <v>841</v>
      </c>
      <c r="F9094" t="s">
        <v>88</v>
      </c>
      <c r="G9094" t="s">
        <v>88</v>
      </c>
      <c r="H9094" t="s">
        <v>92</v>
      </c>
    </row>
    <row r="9095" spans="1:8" x14ac:dyDescent="0.25">
      <c r="A9095" t="s">
        <v>316</v>
      </c>
      <c r="B9095" t="s">
        <v>6628</v>
      </c>
      <c r="C9095" t="s">
        <v>88</v>
      </c>
      <c r="D9095" t="s">
        <v>2397</v>
      </c>
      <c r="E9095" t="s">
        <v>841</v>
      </c>
      <c r="F9095" t="s">
        <v>88</v>
      </c>
      <c r="G9095" t="s">
        <v>88</v>
      </c>
      <c r="H9095" t="s">
        <v>92</v>
      </c>
    </row>
    <row r="9096" spans="1:8" x14ac:dyDescent="0.25">
      <c r="A9096" t="s">
        <v>316</v>
      </c>
      <c r="B9096" t="s">
        <v>6630</v>
      </c>
      <c r="C9096" t="s">
        <v>88</v>
      </c>
      <c r="D9096" t="s">
        <v>2397</v>
      </c>
      <c r="E9096" t="s">
        <v>841</v>
      </c>
      <c r="F9096" t="s">
        <v>88</v>
      </c>
      <c r="G9096" t="s">
        <v>88</v>
      </c>
      <c r="H9096" t="s">
        <v>92</v>
      </c>
    </row>
    <row r="9097" spans="1:8" x14ac:dyDescent="0.25">
      <c r="A9097" t="s">
        <v>316</v>
      </c>
      <c r="B9097" t="s">
        <v>7545</v>
      </c>
      <c r="C9097" t="s">
        <v>88</v>
      </c>
      <c r="D9097" t="s">
        <v>2397</v>
      </c>
      <c r="E9097" t="s">
        <v>841</v>
      </c>
      <c r="F9097" t="s">
        <v>88</v>
      </c>
      <c r="G9097" t="s">
        <v>88</v>
      </c>
      <c r="H9097" t="s">
        <v>92</v>
      </c>
    </row>
    <row r="9098" spans="1:8" x14ac:dyDescent="0.25">
      <c r="A9098" t="s">
        <v>316</v>
      </c>
      <c r="B9098" t="s">
        <v>625</v>
      </c>
      <c r="C9098" t="s">
        <v>88</v>
      </c>
      <c r="D9098" t="s">
        <v>88</v>
      </c>
      <c r="E9098" t="s">
        <v>626</v>
      </c>
      <c r="F9098" t="s">
        <v>88</v>
      </c>
      <c r="G9098" t="s">
        <v>88</v>
      </c>
      <c r="H9098" t="s">
        <v>92</v>
      </c>
    </row>
    <row r="9099" spans="1:8" x14ac:dyDescent="0.25">
      <c r="A9099" t="s">
        <v>317</v>
      </c>
      <c r="B9099" t="s">
        <v>1859</v>
      </c>
      <c r="C9099" t="s">
        <v>88</v>
      </c>
      <c r="D9099" t="s">
        <v>7546</v>
      </c>
      <c r="E9099" t="s">
        <v>762</v>
      </c>
      <c r="F9099" t="s">
        <v>88</v>
      </c>
      <c r="G9099" t="s">
        <v>88</v>
      </c>
      <c r="H9099" t="s">
        <v>92</v>
      </c>
    </row>
    <row r="9100" spans="1:8" x14ac:dyDescent="0.25">
      <c r="A9100" t="s">
        <v>317</v>
      </c>
      <c r="B9100" t="s">
        <v>7547</v>
      </c>
      <c r="C9100" t="s">
        <v>88</v>
      </c>
      <c r="D9100" t="s">
        <v>7548</v>
      </c>
      <c r="E9100" t="s">
        <v>841</v>
      </c>
      <c r="F9100" t="s">
        <v>88</v>
      </c>
      <c r="G9100" t="s">
        <v>88</v>
      </c>
      <c r="H9100" t="s">
        <v>92</v>
      </c>
    </row>
    <row r="9101" spans="1:8" x14ac:dyDescent="0.25">
      <c r="A9101" t="s">
        <v>317</v>
      </c>
      <c r="B9101" t="s">
        <v>7549</v>
      </c>
      <c r="C9101" t="s">
        <v>88</v>
      </c>
      <c r="D9101" t="s">
        <v>7550</v>
      </c>
      <c r="E9101" t="s">
        <v>655</v>
      </c>
      <c r="F9101" t="s">
        <v>88</v>
      </c>
      <c r="G9101" t="s">
        <v>88</v>
      </c>
      <c r="H9101" t="s">
        <v>92</v>
      </c>
    </row>
    <row r="9102" spans="1:8" x14ac:dyDescent="0.25">
      <c r="A9102" t="s">
        <v>317</v>
      </c>
      <c r="B9102" t="s">
        <v>4196</v>
      </c>
      <c r="C9102" t="s">
        <v>88</v>
      </c>
      <c r="D9102" t="s">
        <v>7551</v>
      </c>
      <c r="E9102" t="s">
        <v>717</v>
      </c>
      <c r="F9102" t="s">
        <v>88</v>
      </c>
      <c r="G9102" t="s">
        <v>88</v>
      </c>
      <c r="H9102" t="s">
        <v>92</v>
      </c>
    </row>
    <row r="9103" spans="1:8" x14ac:dyDescent="0.25">
      <c r="A9103" t="s">
        <v>317</v>
      </c>
      <c r="B9103" t="s">
        <v>4158</v>
      </c>
      <c r="C9103" t="s">
        <v>88</v>
      </c>
      <c r="D9103" t="s">
        <v>7552</v>
      </c>
      <c r="E9103" t="s">
        <v>673</v>
      </c>
      <c r="F9103" t="s">
        <v>88</v>
      </c>
      <c r="G9103" t="s">
        <v>88</v>
      </c>
      <c r="H9103" t="s">
        <v>92</v>
      </c>
    </row>
    <row r="9104" spans="1:8" x14ac:dyDescent="0.25">
      <c r="A9104" t="s">
        <v>317</v>
      </c>
      <c r="B9104" t="s">
        <v>4192</v>
      </c>
      <c r="C9104" t="s">
        <v>88</v>
      </c>
      <c r="D9104" t="s">
        <v>7553</v>
      </c>
      <c r="E9104" t="s">
        <v>655</v>
      </c>
      <c r="F9104" t="s">
        <v>88</v>
      </c>
      <c r="G9104" t="s">
        <v>88</v>
      </c>
      <c r="H9104" t="s">
        <v>92</v>
      </c>
    </row>
    <row r="9105" spans="1:8" x14ac:dyDescent="0.25">
      <c r="A9105" t="s">
        <v>317</v>
      </c>
      <c r="B9105" t="s">
        <v>4190</v>
      </c>
      <c r="C9105" t="s">
        <v>88</v>
      </c>
      <c r="D9105" t="s">
        <v>7554</v>
      </c>
      <c r="E9105" t="s">
        <v>655</v>
      </c>
      <c r="F9105" t="s">
        <v>88</v>
      </c>
      <c r="G9105" t="s">
        <v>88</v>
      </c>
      <c r="H9105" t="s">
        <v>92</v>
      </c>
    </row>
    <row r="9106" spans="1:8" x14ac:dyDescent="0.25">
      <c r="A9106" t="s">
        <v>317</v>
      </c>
      <c r="B9106" t="s">
        <v>4160</v>
      </c>
      <c r="C9106" t="s">
        <v>88</v>
      </c>
      <c r="D9106" t="s">
        <v>7555</v>
      </c>
      <c r="E9106" t="s">
        <v>762</v>
      </c>
      <c r="F9106" t="s">
        <v>88</v>
      </c>
      <c r="G9106" t="s">
        <v>88</v>
      </c>
      <c r="H9106" t="s">
        <v>92</v>
      </c>
    </row>
    <row r="9107" spans="1:8" x14ac:dyDescent="0.25">
      <c r="A9107" t="s">
        <v>317</v>
      </c>
      <c r="B9107" t="s">
        <v>7556</v>
      </c>
      <c r="C9107" t="s">
        <v>88</v>
      </c>
      <c r="D9107" t="s">
        <v>7557</v>
      </c>
      <c r="E9107" t="s">
        <v>655</v>
      </c>
      <c r="F9107" t="s">
        <v>88</v>
      </c>
      <c r="G9107" t="s">
        <v>88</v>
      </c>
      <c r="H9107" t="s">
        <v>92</v>
      </c>
    </row>
    <row r="9108" spans="1:8" x14ac:dyDescent="0.25">
      <c r="A9108" t="s">
        <v>317</v>
      </c>
      <c r="B9108" t="s">
        <v>671</v>
      </c>
      <c r="C9108" t="s">
        <v>88</v>
      </c>
      <c r="D9108" t="s">
        <v>7558</v>
      </c>
      <c r="E9108" t="s">
        <v>673</v>
      </c>
      <c r="F9108" t="s">
        <v>88</v>
      </c>
      <c r="G9108" t="s">
        <v>88</v>
      </c>
      <c r="H9108" t="s">
        <v>92</v>
      </c>
    </row>
    <row r="9109" spans="1:8" x14ac:dyDescent="0.25">
      <c r="A9109" t="s">
        <v>317</v>
      </c>
      <c r="B9109" t="s">
        <v>7559</v>
      </c>
      <c r="C9109" t="s">
        <v>88</v>
      </c>
      <c r="D9109" t="s">
        <v>7560</v>
      </c>
      <c r="E9109" t="s">
        <v>2294</v>
      </c>
      <c r="F9109" t="s">
        <v>88</v>
      </c>
      <c r="G9109" t="s">
        <v>88</v>
      </c>
      <c r="H9109" t="s">
        <v>92</v>
      </c>
    </row>
    <row r="9110" spans="1:8" x14ac:dyDescent="0.25">
      <c r="A9110" t="s">
        <v>317</v>
      </c>
      <c r="B9110" t="s">
        <v>4164</v>
      </c>
      <c r="C9110" t="s">
        <v>88</v>
      </c>
      <c r="D9110" t="s">
        <v>7561</v>
      </c>
      <c r="E9110" t="s">
        <v>762</v>
      </c>
      <c r="F9110" t="s">
        <v>88</v>
      </c>
      <c r="G9110" t="s">
        <v>88</v>
      </c>
      <c r="H9110" t="s">
        <v>92</v>
      </c>
    </row>
    <row r="9111" spans="1:8" x14ac:dyDescent="0.25">
      <c r="A9111" t="s">
        <v>317</v>
      </c>
      <c r="B9111" t="s">
        <v>4172</v>
      </c>
      <c r="C9111" t="s">
        <v>88</v>
      </c>
      <c r="D9111" t="s">
        <v>7562</v>
      </c>
      <c r="E9111" t="s">
        <v>1006</v>
      </c>
      <c r="F9111" t="s">
        <v>88</v>
      </c>
      <c r="G9111" t="s">
        <v>88</v>
      </c>
      <c r="H9111" t="s">
        <v>92</v>
      </c>
    </row>
    <row r="9112" spans="1:8" x14ac:dyDescent="0.25">
      <c r="A9112" t="s">
        <v>317</v>
      </c>
      <c r="B9112" t="s">
        <v>7563</v>
      </c>
      <c r="C9112" t="s">
        <v>88</v>
      </c>
      <c r="D9112" t="s">
        <v>7564</v>
      </c>
      <c r="E9112" t="s">
        <v>760</v>
      </c>
      <c r="F9112" t="s">
        <v>88</v>
      </c>
      <c r="G9112" t="s">
        <v>88</v>
      </c>
      <c r="H9112" t="s">
        <v>92</v>
      </c>
    </row>
    <row r="9113" spans="1:8" x14ac:dyDescent="0.25">
      <c r="A9113" t="s">
        <v>317</v>
      </c>
      <c r="B9113" t="s">
        <v>4177</v>
      </c>
      <c r="C9113" t="s">
        <v>88</v>
      </c>
      <c r="D9113" t="s">
        <v>7565</v>
      </c>
      <c r="E9113" t="s">
        <v>762</v>
      </c>
      <c r="F9113" t="s">
        <v>88</v>
      </c>
      <c r="G9113" t="s">
        <v>88</v>
      </c>
      <c r="H9113" t="s">
        <v>92</v>
      </c>
    </row>
    <row r="9114" spans="1:8" x14ac:dyDescent="0.25">
      <c r="A9114" t="s">
        <v>317</v>
      </c>
      <c r="B9114" t="s">
        <v>7566</v>
      </c>
      <c r="C9114" t="s">
        <v>88</v>
      </c>
      <c r="D9114" t="s">
        <v>7567</v>
      </c>
      <c r="E9114" t="s">
        <v>893</v>
      </c>
      <c r="F9114" t="s">
        <v>88</v>
      </c>
      <c r="G9114" t="s">
        <v>88</v>
      </c>
      <c r="H9114" t="s">
        <v>92</v>
      </c>
    </row>
    <row r="9115" spans="1:8" x14ac:dyDescent="0.25">
      <c r="A9115" t="s">
        <v>317</v>
      </c>
      <c r="B9115" t="s">
        <v>4181</v>
      </c>
      <c r="C9115" t="s">
        <v>88</v>
      </c>
      <c r="D9115" t="s">
        <v>7568</v>
      </c>
      <c r="E9115" t="s">
        <v>1241</v>
      </c>
      <c r="F9115" t="s">
        <v>88</v>
      </c>
      <c r="G9115" t="s">
        <v>88</v>
      </c>
      <c r="H9115" t="s">
        <v>92</v>
      </c>
    </row>
    <row r="9116" spans="1:8" x14ac:dyDescent="0.25">
      <c r="A9116" t="s">
        <v>317</v>
      </c>
      <c r="B9116" t="s">
        <v>4201</v>
      </c>
      <c r="C9116" t="s">
        <v>88</v>
      </c>
      <c r="D9116" t="s">
        <v>4202</v>
      </c>
      <c r="E9116" t="s">
        <v>679</v>
      </c>
      <c r="F9116" t="s">
        <v>88</v>
      </c>
      <c r="G9116" t="s">
        <v>88</v>
      </c>
      <c r="H9116" t="s">
        <v>92</v>
      </c>
    </row>
    <row r="9117" spans="1:8" x14ac:dyDescent="0.25">
      <c r="A9117" t="s">
        <v>317</v>
      </c>
      <c r="B9117" t="s">
        <v>4207</v>
      </c>
      <c r="C9117" t="s">
        <v>88</v>
      </c>
      <c r="D9117" t="s">
        <v>4208</v>
      </c>
      <c r="E9117" t="s">
        <v>663</v>
      </c>
      <c r="F9117" t="s">
        <v>88</v>
      </c>
      <c r="G9117" t="s">
        <v>88</v>
      </c>
      <c r="H9117" t="s">
        <v>92</v>
      </c>
    </row>
    <row r="9118" spans="1:8" x14ac:dyDescent="0.25">
      <c r="A9118" t="s">
        <v>317</v>
      </c>
      <c r="B9118" t="s">
        <v>4223</v>
      </c>
      <c r="C9118" t="s">
        <v>88</v>
      </c>
      <c r="D9118" t="s">
        <v>7267</v>
      </c>
      <c r="E9118" t="s">
        <v>663</v>
      </c>
      <c r="F9118" t="s">
        <v>88</v>
      </c>
      <c r="G9118" t="s">
        <v>88</v>
      </c>
      <c r="H9118" t="s">
        <v>92</v>
      </c>
    </row>
    <row r="9119" spans="1:8" x14ac:dyDescent="0.25">
      <c r="A9119" t="s">
        <v>317</v>
      </c>
      <c r="B9119" t="s">
        <v>7569</v>
      </c>
      <c r="C9119" t="s">
        <v>88</v>
      </c>
      <c r="D9119" t="s">
        <v>7266</v>
      </c>
      <c r="E9119" t="s">
        <v>663</v>
      </c>
      <c r="F9119" t="s">
        <v>88</v>
      </c>
      <c r="G9119" t="s">
        <v>88</v>
      </c>
      <c r="H9119" t="s">
        <v>92</v>
      </c>
    </row>
    <row r="9120" spans="1:8" x14ac:dyDescent="0.25">
      <c r="A9120" t="s">
        <v>317</v>
      </c>
      <c r="B9120" t="s">
        <v>4215</v>
      </c>
      <c r="C9120" t="s">
        <v>88</v>
      </c>
      <c r="D9120" t="s">
        <v>7257</v>
      </c>
      <c r="E9120" t="s">
        <v>663</v>
      </c>
      <c r="F9120" t="s">
        <v>88</v>
      </c>
      <c r="G9120" t="s">
        <v>88</v>
      </c>
      <c r="H9120" t="s">
        <v>92</v>
      </c>
    </row>
    <row r="9121" spans="1:8" x14ac:dyDescent="0.25">
      <c r="A9121" t="s">
        <v>317</v>
      </c>
      <c r="B9121" t="s">
        <v>4225</v>
      </c>
      <c r="C9121" t="s">
        <v>88</v>
      </c>
      <c r="D9121" t="s">
        <v>4226</v>
      </c>
      <c r="E9121" t="s">
        <v>679</v>
      </c>
      <c r="F9121" t="s">
        <v>88</v>
      </c>
      <c r="G9121" t="s">
        <v>88</v>
      </c>
      <c r="H9121" t="s">
        <v>92</v>
      </c>
    </row>
    <row r="9122" spans="1:8" x14ac:dyDescent="0.25">
      <c r="A9122" t="s">
        <v>317</v>
      </c>
      <c r="B9122" t="s">
        <v>7570</v>
      </c>
      <c r="C9122" t="s">
        <v>88</v>
      </c>
      <c r="D9122" t="s">
        <v>7571</v>
      </c>
      <c r="E9122" t="s">
        <v>725</v>
      </c>
      <c r="F9122" t="s">
        <v>88</v>
      </c>
      <c r="G9122" t="s">
        <v>88</v>
      </c>
      <c r="H9122" t="s">
        <v>92</v>
      </c>
    </row>
    <row r="9123" spans="1:8" x14ac:dyDescent="0.25">
      <c r="A9123" t="s">
        <v>317</v>
      </c>
      <c r="B9123" t="s">
        <v>4233</v>
      </c>
      <c r="C9123" t="s">
        <v>88</v>
      </c>
      <c r="D9123" t="s">
        <v>4234</v>
      </c>
      <c r="E9123" t="s">
        <v>663</v>
      </c>
      <c r="F9123" t="s">
        <v>88</v>
      </c>
      <c r="G9123" t="s">
        <v>88</v>
      </c>
      <c r="H9123" t="s">
        <v>92</v>
      </c>
    </row>
    <row r="9124" spans="1:8" x14ac:dyDescent="0.25">
      <c r="A9124" t="s">
        <v>317</v>
      </c>
      <c r="B9124" t="s">
        <v>4205</v>
      </c>
      <c r="C9124" t="s">
        <v>88</v>
      </c>
      <c r="D9124" t="s">
        <v>7261</v>
      </c>
      <c r="E9124" t="s">
        <v>725</v>
      </c>
      <c r="F9124" t="s">
        <v>88</v>
      </c>
      <c r="G9124" t="s">
        <v>88</v>
      </c>
      <c r="H9124" t="s">
        <v>92</v>
      </c>
    </row>
    <row r="9125" spans="1:8" x14ac:dyDescent="0.25">
      <c r="A9125" t="s">
        <v>317</v>
      </c>
      <c r="B9125" t="s">
        <v>4227</v>
      </c>
      <c r="C9125" t="s">
        <v>88</v>
      </c>
      <c r="D9125" t="s">
        <v>7268</v>
      </c>
      <c r="E9125" t="s">
        <v>673</v>
      </c>
      <c r="F9125" t="s">
        <v>88</v>
      </c>
      <c r="G9125" t="s">
        <v>88</v>
      </c>
      <c r="H9125" t="s">
        <v>92</v>
      </c>
    </row>
    <row r="9126" spans="1:8" x14ac:dyDescent="0.25">
      <c r="A9126" t="s">
        <v>317</v>
      </c>
      <c r="B9126" t="s">
        <v>4229</v>
      </c>
      <c r="C9126" t="s">
        <v>88</v>
      </c>
      <c r="D9126" t="s">
        <v>7572</v>
      </c>
      <c r="E9126" t="s">
        <v>658</v>
      </c>
      <c r="F9126" t="s">
        <v>88</v>
      </c>
      <c r="G9126" t="s">
        <v>88</v>
      </c>
      <c r="H9126" t="s">
        <v>92</v>
      </c>
    </row>
    <row r="9127" spans="1:8" x14ac:dyDescent="0.25">
      <c r="A9127" t="s">
        <v>317</v>
      </c>
      <c r="B9127" t="s">
        <v>4203</v>
      </c>
      <c r="C9127" t="s">
        <v>88</v>
      </c>
      <c r="D9127" t="s">
        <v>4204</v>
      </c>
      <c r="E9127" t="s">
        <v>663</v>
      </c>
      <c r="F9127" t="s">
        <v>88</v>
      </c>
      <c r="G9127" t="s">
        <v>88</v>
      </c>
      <c r="H9127" t="s">
        <v>92</v>
      </c>
    </row>
    <row r="9128" spans="1:8" x14ac:dyDescent="0.25">
      <c r="A9128" t="s">
        <v>317</v>
      </c>
      <c r="B9128" t="s">
        <v>7262</v>
      </c>
      <c r="C9128" t="s">
        <v>88</v>
      </c>
      <c r="D9128" t="s">
        <v>4210</v>
      </c>
      <c r="E9128" t="s">
        <v>663</v>
      </c>
      <c r="F9128" t="s">
        <v>88</v>
      </c>
      <c r="G9128" t="s">
        <v>88</v>
      </c>
      <c r="H9128" t="s">
        <v>92</v>
      </c>
    </row>
    <row r="9129" spans="1:8" x14ac:dyDescent="0.25">
      <c r="A9129" t="s">
        <v>317</v>
      </c>
      <c r="B9129" t="s">
        <v>4217</v>
      </c>
      <c r="C9129" t="s">
        <v>88</v>
      </c>
      <c r="D9129" t="s">
        <v>7573</v>
      </c>
      <c r="E9129" t="s">
        <v>883</v>
      </c>
      <c r="F9129" t="s">
        <v>88</v>
      </c>
      <c r="G9129" t="s">
        <v>88</v>
      </c>
      <c r="H9129" t="s">
        <v>92</v>
      </c>
    </row>
    <row r="9130" spans="1:8" x14ac:dyDescent="0.25">
      <c r="A9130" t="s">
        <v>317</v>
      </c>
      <c r="B9130" t="s">
        <v>7270</v>
      </c>
      <c r="C9130" t="s">
        <v>88</v>
      </c>
      <c r="D9130" t="s">
        <v>4210</v>
      </c>
      <c r="E9130" t="s">
        <v>655</v>
      </c>
      <c r="F9130" t="s">
        <v>88</v>
      </c>
      <c r="G9130" t="s">
        <v>88</v>
      </c>
      <c r="H9130" t="s">
        <v>92</v>
      </c>
    </row>
    <row r="9131" spans="1:8" x14ac:dyDescent="0.25">
      <c r="A9131" t="s">
        <v>317</v>
      </c>
      <c r="B9131" t="s">
        <v>4249</v>
      </c>
      <c r="C9131" t="s">
        <v>88</v>
      </c>
      <c r="D9131" t="s">
        <v>7572</v>
      </c>
      <c r="E9131" t="s">
        <v>760</v>
      </c>
      <c r="F9131" t="s">
        <v>88</v>
      </c>
      <c r="G9131" t="s">
        <v>88</v>
      </c>
      <c r="H9131" t="s">
        <v>92</v>
      </c>
    </row>
    <row r="9132" spans="1:8" x14ac:dyDescent="0.25">
      <c r="A9132" t="s">
        <v>317</v>
      </c>
      <c r="B9132" t="s">
        <v>4240</v>
      </c>
      <c r="C9132" t="s">
        <v>88</v>
      </c>
      <c r="D9132" t="s">
        <v>7573</v>
      </c>
      <c r="E9132" t="s">
        <v>1353</v>
      </c>
      <c r="F9132" t="s">
        <v>88</v>
      </c>
      <c r="G9132" t="s">
        <v>88</v>
      </c>
      <c r="H9132" t="s">
        <v>92</v>
      </c>
    </row>
    <row r="9133" spans="1:8" x14ac:dyDescent="0.25">
      <c r="A9133" t="s">
        <v>317</v>
      </c>
      <c r="B9133" t="s">
        <v>7574</v>
      </c>
      <c r="C9133" t="s">
        <v>88</v>
      </c>
      <c r="D9133" t="s">
        <v>7266</v>
      </c>
      <c r="E9133" t="s">
        <v>655</v>
      </c>
      <c r="F9133" t="s">
        <v>88</v>
      </c>
      <c r="G9133" t="s">
        <v>88</v>
      </c>
      <c r="H9133" t="s">
        <v>92</v>
      </c>
    </row>
    <row r="9134" spans="1:8" x14ac:dyDescent="0.25">
      <c r="A9134" t="s">
        <v>317</v>
      </c>
      <c r="B9134" t="s">
        <v>4239</v>
      </c>
      <c r="C9134" t="s">
        <v>88</v>
      </c>
      <c r="D9134" t="s">
        <v>7257</v>
      </c>
      <c r="E9134" t="s">
        <v>655</v>
      </c>
      <c r="F9134" t="s">
        <v>88</v>
      </c>
      <c r="G9134" t="s">
        <v>88</v>
      </c>
      <c r="H9134" t="s">
        <v>92</v>
      </c>
    </row>
    <row r="9135" spans="1:8" x14ac:dyDescent="0.25">
      <c r="A9135" t="s">
        <v>317</v>
      </c>
      <c r="B9135" t="s">
        <v>7269</v>
      </c>
      <c r="C9135" t="s">
        <v>88</v>
      </c>
      <c r="D9135" t="s">
        <v>7575</v>
      </c>
      <c r="E9135" t="s">
        <v>883</v>
      </c>
      <c r="F9135" t="s">
        <v>88</v>
      </c>
      <c r="G9135" t="s">
        <v>88</v>
      </c>
      <c r="H9135" t="s">
        <v>92</v>
      </c>
    </row>
    <row r="9136" spans="1:8" x14ac:dyDescent="0.25">
      <c r="A9136" t="s">
        <v>317</v>
      </c>
      <c r="B9136" t="s">
        <v>4244</v>
      </c>
      <c r="C9136" t="s">
        <v>88</v>
      </c>
      <c r="D9136" t="s">
        <v>4208</v>
      </c>
      <c r="E9136" t="s">
        <v>655</v>
      </c>
      <c r="F9136" t="s">
        <v>88</v>
      </c>
      <c r="G9136" t="s">
        <v>88</v>
      </c>
      <c r="H9136" t="s">
        <v>92</v>
      </c>
    </row>
    <row r="9137" spans="1:8" x14ac:dyDescent="0.25">
      <c r="A9137" t="s">
        <v>317</v>
      </c>
      <c r="B9137" t="s">
        <v>4248</v>
      </c>
      <c r="C9137" t="s">
        <v>88</v>
      </c>
      <c r="D9137" t="s">
        <v>7268</v>
      </c>
      <c r="E9137" t="s">
        <v>893</v>
      </c>
      <c r="F9137" t="s">
        <v>88</v>
      </c>
      <c r="G9137" t="s">
        <v>88</v>
      </c>
      <c r="H9137" t="s">
        <v>92</v>
      </c>
    </row>
    <row r="9138" spans="1:8" x14ac:dyDescent="0.25">
      <c r="A9138" t="s">
        <v>317</v>
      </c>
      <c r="B9138" t="s">
        <v>4238</v>
      </c>
      <c r="C9138" t="s">
        <v>88</v>
      </c>
      <c r="D9138" t="s">
        <v>4202</v>
      </c>
      <c r="E9138" t="s">
        <v>883</v>
      </c>
      <c r="F9138" t="s">
        <v>88</v>
      </c>
      <c r="G9138" t="s">
        <v>88</v>
      </c>
      <c r="H9138" t="s">
        <v>92</v>
      </c>
    </row>
    <row r="9139" spans="1:8" x14ac:dyDescent="0.25">
      <c r="A9139" t="s">
        <v>317</v>
      </c>
      <c r="B9139" t="s">
        <v>7576</v>
      </c>
      <c r="C9139" t="s">
        <v>88</v>
      </c>
      <c r="D9139" t="s">
        <v>7571</v>
      </c>
      <c r="E9139" t="s">
        <v>1194</v>
      </c>
      <c r="F9139" t="s">
        <v>88</v>
      </c>
      <c r="G9139" t="s">
        <v>88</v>
      </c>
      <c r="H9139" t="s">
        <v>92</v>
      </c>
    </row>
    <row r="9140" spans="1:8" x14ac:dyDescent="0.25">
      <c r="A9140" t="s">
        <v>317</v>
      </c>
      <c r="B9140" t="s">
        <v>4247</v>
      </c>
      <c r="C9140" t="s">
        <v>88</v>
      </c>
      <c r="D9140" t="s">
        <v>7267</v>
      </c>
      <c r="E9140" t="s">
        <v>655</v>
      </c>
      <c r="F9140" t="s">
        <v>88</v>
      </c>
      <c r="G9140" t="s">
        <v>88</v>
      </c>
      <c r="H9140" t="s">
        <v>92</v>
      </c>
    </row>
    <row r="9141" spans="1:8" x14ac:dyDescent="0.25">
      <c r="A9141" t="s">
        <v>317</v>
      </c>
      <c r="B9141" t="s">
        <v>4251</v>
      </c>
      <c r="C9141" t="s">
        <v>88</v>
      </c>
      <c r="D9141" t="s">
        <v>4226</v>
      </c>
      <c r="E9141" t="s">
        <v>883</v>
      </c>
      <c r="F9141" t="s">
        <v>88</v>
      </c>
      <c r="G9141" t="s">
        <v>88</v>
      </c>
      <c r="H9141" t="s">
        <v>92</v>
      </c>
    </row>
    <row r="9142" spans="1:8" x14ac:dyDescent="0.25">
      <c r="A9142" t="s">
        <v>317</v>
      </c>
      <c r="B9142" t="s">
        <v>4236</v>
      </c>
      <c r="C9142" t="s">
        <v>88</v>
      </c>
      <c r="D9142" t="s">
        <v>4234</v>
      </c>
      <c r="E9142" t="s">
        <v>655</v>
      </c>
      <c r="F9142" t="s">
        <v>88</v>
      </c>
      <c r="G9142" t="s">
        <v>88</v>
      </c>
      <c r="H9142" t="s">
        <v>92</v>
      </c>
    </row>
    <row r="9143" spans="1:8" x14ac:dyDescent="0.25">
      <c r="A9143" t="s">
        <v>317</v>
      </c>
      <c r="B9143" t="s">
        <v>4245</v>
      </c>
      <c r="C9143" t="s">
        <v>88</v>
      </c>
      <c r="D9143" t="s">
        <v>7261</v>
      </c>
      <c r="E9143" t="s">
        <v>655</v>
      </c>
      <c r="F9143" t="s">
        <v>88</v>
      </c>
      <c r="G9143" t="s">
        <v>88</v>
      </c>
      <c r="H9143" t="s">
        <v>92</v>
      </c>
    </row>
    <row r="9144" spans="1:8" x14ac:dyDescent="0.25">
      <c r="A9144" t="s">
        <v>317</v>
      </c>
      <c r="B9144" t="s">
        <v>4235</v>
      </c>
      <c r="C9144" t="s">
        <v>88</v>
      </c>
      <c r="D9144" t="s">
        <v>4204</v>
      </c>
      <c r="E9144" t="s">
        <v>655</v>
      </c>
      <c r="F9144" t="s">
        <v>88</v>
      </c>
      <c r="G9144" t="s">
        <v>88</v>
      </c>
      <c r="H9144" t="s">
        <v>92</v>
      </c>
    </row>
    <row r="9145" spans="1:8" x14ac:dyDescent="0.25">
      <c r="A9145" t="s">
        <v>317</v>
      </c>
      <c r="B9145" t="s">
        <v>7577</v>
      </c>
      <c r="C9145" t="s">
        <v>88</v>
      </c>
      <c r="D9145" t="s">
        <v>7571</v>
      </c>
      <c r="E9145" t="s">
        <v>838</v>
      </c>
      <c r="F9145" t="s">
        <v>88</v>
      </c>
      <c r="G9145" t="s">
        <v>88</v>
      </c>
      <c r="H9145" t="s">
        <v>92</v>
      </c>
    </row>
    <row r="9146" spans="1:8" x14ac:dyDescent="0.25">
      <c r="A9146" t="s">
        <v>317</v>
      </c>
      <c r="B9146" t="s">
        <v>4267</v>
      </c>
      <c r="C9146" t="s">
        <v>88</v>
      </c>
      <c r="D9146" t="s">
        <v>7267</v>
      </c>
      <c r="E9146" t="s">
        <v>2833</v>
      </c>
      <c r="F9146" t="s">
        <v>88</v>
      </c>
      <c r="G9146" t="s">
        <v>88</v>
      </c>
      <c r="H9146" t="s">
        <v>92</v>
      </c>
    </row>
    <row r="9147" spans="1:8" x14ac:dyDescent="0.25">
      <c r="A9147" t="s">
        <v>317</v>
      </c>
      <c r="B9147" t="s">
        <v>4252</v>
      </c>
      <c r="C9147" t="s">
        <v>88</v>
      </c>
      <c r="D9147" t="s">
        <v>4234</v>
      </c>
      <c r="E9147" t="s">
        <v>2833</v>
      </c>
      <c r="F9147" t="s">
        <v>88</v>
      </c>
      <c r="G9147" t="s">
        <v>88</v>
      </c>
      <c r="H9147" t="s">
        <v>92</v>
      </c>
    </row>
    <row r="9148" spans="1:8" x14ac:dyDescent="0.25">
      <c r="A9148" t="s">
        <v>317</v>
      </c>
      <c r="B9148" t="s">
        <v>4263</v>
      </c>
      <c r="C9148" t="s">
        <v>88</v>
      </c>
      <c r="D9148" t="s">
        <v>4204</v>
      </c>
      <c r="E9148" t="s">
        <v>2833</v>
      </c>
      <c r="F9148" t="s">
        <v>88</v>
      </c>
      <c r="G9148" t="s">
        <v>88</v>
      </c>
      <c r="H9148" t="s">
        <v>92</v>
      </c>
    </row>
    <row r="9149" spans="1:8" x14ac:dyDescent="0.25">
      <c r="A9149" t="s">
        <v>317</v>
      </c>
      <c r="B9149" t="s">
        <v>4269</v>
      </c>
      <c r="C9149" t="s">
        <v>88</v>
      </c>
      <c r="D9149" t="s">
        <v>7572</v>
      </c>
      <c r="E9149" t="s">
        <v>838</v>
      </c>
      <c r="F9149" t="s">
        <v>88</v>
      </c>
      <c r="G9149" t="s">
        <v>88</v>
      </c>
      <c r="H9149" t="s">
        <v>92</v>
      </c>
    </row>
    <row r="9150" spans="1:8" x14ac:dyDescent="0.25">
      <c r="A9150" t="s">
        <v>317</v>
      </c>
      <c r="B9150" t="s">
        <v>4265</v>
      </c>
      <c r="C9150" t="s">
        <v>88</v>
      </c>
      <c r="D9150" t="s">
        <v>7268</v>
      </c>
      <c r="E9150" t="s">
        <v>2294</v>
      </c>
      <c r="F9150" t="s">
        <v>88</v>
      </c>
      <c r="G9150" t="s">
        <v>88</v>
      </c>
      <c r="H9150" t="s">
        <v>92</v>
      </c>
    </row>
    <row r="9151" spans="1:8" x14ac:dyDescent="0.25">
      <c r="A9151" t="s">
        <v>317</v>
      </c>
      <c r="B9151" t="s">
        <v>7578</v>
      </c>
      <c r="C9151" t="s">
        <v>88</v>
      </c>
      <c r="D9151" t="s">
        <v>7266</v>
      </c>
      <c r="E9151" t="s">
        <v>2833</v>
      </c>
      <c r="F9151" t="s">
        <v>88</v>
      </c>
      <c r="G9151" t="s">
        <v>88</v>
      </c>
      <c r="H9151" t="s">
        <v>92</v>
      </c>
    </row>
    <row r="9152" spans="1:8" x14ac:dyDescent="0.25">
      <c r="A9152" t="s">
        <v>317</v>
      </c>
      <c r="B9152" t="s">
        <v>4258</v>
      </c>
      <c r="C9152" t="s">
        <v>88</v>
      </c>
      <c r="D9152" t="s">
        <v>7573</v>
      </c>
      <c r="E9152" t="s">
        <v>838</v>
      </c>
      <c r="F9152" t="s">
        <v>88</v>
      </c>
      <c r="G9152" t="s">
        <v>88</v>
      </c>
      <c r="H9152" t="s">
        <v>92</v>
      </c>
    </row>
    <row r="9153" spans="1:8" x14ac:dyDescent="0.25">
      <c r="A9153" t="s">
        <v>317</v>
      </c>
      <c r="B9153" t="s">
        <v>4262</v>
      </c>
      <c r="C9153" t="s">
        <v>88</v>
      </c>
      <c r="D9153" t="s">
        <v>4226</v>
      </c>
      <c r="E9153" t="s">
        <v>836</v>
      </c>
      <c r="F9153" t="s">
        <v>88</v>
      </c>
      <c r="G9153" t="s">
        <v>88</v>
      </c>
      <c r="H9153" t="s">
        <v>92</v>
      </c>
    </row>
    <row r="9154" spans="1:8" x14ac:dyDescent="0.25">
      <c r="A9154" t="s">
        <v>317</v>
      </c>
      <c r="B9154" t="s">
        <v>4264</v>
      </c>
      <c r="C9154" t="s">
        <v>88</v>
      </c>
      <c r="D9154" t="s">
        <v>7261</v>
      </c>
      <c r="E9154" t="s">
        <v>2833</v>
      </c>
      <c r="F9154" t="s">
        <v>88</v>
      </c>
      <c r="G9154" t="s">
        <v>88</v>
      </c>
      <c r="H9154" t="s">
        <v>92</v>
      </c>
    </row>
    <row r="9155" spans="1:8" x14ac:dyDescent="0.25">
      <c r="A9155" t="s">
        <v>317</v>
      </c>
      <c r="B9155" t="s">
        <v>7274</v>
      </c>
      <c r="C9155" t="s">
        <v>88</v>
      </c>
      <c r="D9155" t="s">
        <v>4210</v>
      </c>
      <c r="E9155" t="s">
        <v>2833</v>
      </c>
      <c r="F9155" t="s">
        <v>88</v>
      </c>
      <c r="G9155" t="s">
        <v>88</v>
      </c>
      <c r="H9155" t="s">
        <v>92</v>
      </c>
    </row>
    <row r="9156" spans="1:8" x14ac:dyDescent="0.25">
      <c r="A9156" t="s">
        <v>317</v>
      </c>
      <c r="B9156" t="s">
        <v>7273</v>
      </c>
      <c r="C9156" t="s">
        <v>88</v>
      </c>
      <c r="D9156" t="s">
        <v>7575</v>
      </c>
      <c r="E9156" t="s">
        <v>836</v>
      </c>
      <c r="F9156" t="s">
        <v>88</v>
      </c>
      <c r="G9156" t="s">
        <v>88</v>
      </c>
      <c r="H9156" t="s">
        <v>92</v>
      </c>
    </row>
    <row r="9157" spans="1:8" x14ac:dyDescent="0.25">
      <c r="A9157" t="s">
        <v>317</v>
      </c>
      <c r="B9157" t="s">
        <v>4257</v>
      </c>
      <c r="C9157" t="s">
        <v>88</v>
      </c>
      <c r="D9157" t="s">
        <v>4202</v>
      </c>
      <c r="E9157" t="s">
        <v>836</v>
      </c>
      <c r="F9157" t="s">
        <v>88</v>
      </c>
      <c r="G9157" t="s">
        <v>88</v>
      </c>
      <c r="H9157" t="s">
        <v>92</v>
      </c>
    </row>
    <row r="9158" spans="1:8" x14ac:dyDescent="0.25">
      <c r="A9158" t="s">
        <v>317</v>
      </c>
      <c r="B9158" t="s">
        <v>4256</v>
      </c>
      <c r="C9158" t="s">
        <v>88</v>
      </c>
      <c r="D9158" t="s">
        <v>7257</v>
      </c>
      <c r="E9158" t="s">
        <v>2833</v>
      </c>
      <c r="F9158" t="s">
        <v>88</v>
      </c>
      <c r="G9158" t="s">
        <v>88</v>
      </c>
      <c r="H9158" t="s">
        <v>92</v>
      </c>
    </row>
    <row r="9159" spans="1:8" x14ac:dyDescent="0.25">
      <c r="A9159" t="s">
        <v>317</v>
      </c>
      <c r="B9159" t="s">
        <v>4253</v>
      </c>
      <c r="C9159" t="s">
        <v>88</v>
      </c>
      <c r="D9159" t="s">
        <v>4208</v>
      </c>
      <c r="E9159" t="s">
        <v>2833</v>
      </c>
      <c r="F9159" t="s">
        <v>88</v>
      </c>
      <c r="G9159" t="s">
        <v>88</v>
      </c>
      <c r="H9159" t="s">
        <v>92</v>
      </c>
    </row>
    <row r="9160" spans="1:8" x14ac:dyDescent="0.25">
      <c r="A9160" t="s">
        <v>317</v>
      </c>
      <c r="B9160" t="s">
        <v>7280</v>
      </c>
      <c r="C9160" t="s">
        <v>88</v>
      </c>
      <c r="D9160" t="s">
        <v>7573</v>
      </c>
      <c r="E9160" t="s">
        <v>1153</v>
      </c>
      <c r="F9160" t="s">
        <v>88</v>
      </c>
      <c r="G9160" t="s">
        <v>88</v>
      </c>
      <c r="H9160" t="s">
        <v>92</v>
      </c>
    </row>
    <row r="9161" spans="1:8" x14ac:dyDescent="0.25">
      <c r="A9161" t="s">
        <v>317</v>
      </c>
      <c r="B9161" t="s">
        <v>7579</v>
      </c>
      <c r="C9161" t="s">
        <v>88</v>
      </c>
      <c r="D9161" t="s">
        <v>4226</v>
      </c>
      <c r="E9161" t="s">
        <v>1714</v>
      </c>
      <c r="F9161" t="s">
        <v>88</v>
      </c>
      <c r="G9161" t="s">
        <v>88</v>
      </c>
      <c r="H9161" t="s">
        <v>92</v>
      </c>
    </row>
    <row r="9162" spans="1:8" x14ac:dyDescent="0.25">
      <c r="A9162" t="s">
        <v>317</v>
      </c>
      <c r="B9162" t="s">
        <v>7291</v>
      </c>
      <c r="C9162" t="s">
        <v>88</v>
      </c>
      <c r="D9162" t="s">
        <v>7268</v>
      </c>
      <c r="E9162" t="s">
        <v>812</v>
      </c>
      <c r="F9162" t="s">
        <v>88</v>
      </c>
      <c r="G9162" t="s">
        <v>88</v>
      </c>
      <c r="H9162" t="s">
        <v>92</v>
      </c>
    </row>
    <row r="9163" spans="1:8" x14ac:dyDescent="0.25">
      <c r="A9163" t="s">
        <v>317</v>
      </c>
      <c r="B9163" t="s">
        <v>7285</v>
      </c>
      <c r="C9163" t="s">
        <v>88</v>
      </c>
      <c r="D9163" t="s">
        <v>4208</v>
      </c>
      <c r="E9163" t="s">
        <v>1714</v>
      </c>
      <c r="F9163" t="s">
        <v>88</v>
      </c>
      <c r="G9163" t="s">
        <v>88</v>
      </c>
      <c r="H9163" t="s">
        <v>92</v>
      </c>
    </row>
    <row r="9164" spans="1:8" x14ac:dyDescent="0.25">
      <c r="A9164" t="s">
        <v>317</v>
      </c>
      <c r="B9164" t="s">
        <v>7282</v>
      </c>
      <c r="C9164" t="s">
        <v>88</v>
      </c>
      <c r="D9164" t="s">
        <v>4210</v>
      </c>
      <c r="E9164" t="s">
        <v>1714</v>
      </c>
      <c r="F9164" t="s">
        <v>88</v>
      </c>
      <c r="G9164" t="s">
        <v>88</v>
      </c>
      <c r="H9164" t="s">
        <v>92</v>
      </c>
    </row>
    <row r="9165" spans="1:8" x14ac:dyDescent="0.25">
      <c r="A9165" t="s">
        <v>317</v>
      </c>
      <c r="B9165" t="s">
        <v>7279</v>
      </c>
      <c r="C9165" t="s">
        <v>88</v>
      </c>
      <c r="D9165" t="s">
        <v>4234</v>
      </c>
      <c r="E9165" t="s">
        <v>1714</v>
      </c>
      <c r="F9165" t="s">
        <v>88</v>
      </c>
      <c r="G9165" t="s">
        <v>88</v>
      </c>
      <c r="H9165" t="s">
        <v>92</v>
      </c>
    </row>
    <row r="9166" spans="1:8" x14ac:dyDescent="0.25">
      <c r="A9166" t="s">
        <v>317</v>
      </c>
      <c r="B9166" t="s">
        <v>7289</v>
      </c>
      <c r="C9166" t="s">
        <v>88</v>
      </c>
      <c r="D9166" t="s">
        <v>7267</v>
      </c>
      <c r="E9166" t="s">
        <v>1714</v>
      </c>
      <c r="F9166" t="s">
        <v>88</v>
      </c>
      <c r="G9166" t="s">
        <v>88</v>
      </c>
      <c r="H9166" t="s">
        <v>92</v>
      </c>
    </row>
    <row r="9167" spans="1:8" x14ac:dyDescent="0.25">
      <c r="A9167" t="s">
        <v>317</v>
      </c>
      <c r="B9167" t="s">
        <v>7580</v>
      </c>
      <c r="C9167" t="s">
        <v>88</v>
      </c>
      <c r="D9167" t="s">
        <v>7266</v>
      </c>
      <c r="E9167" t="s">
        <v>1135</v>
      </c>
      <c r="F9167" t="s">
        <v>88</v>
      </c>
      <c r="G9167" t="s">
        <v>88</v>
      </c>
      <c r="H9167" t="s">
        <v>92</v>
      </c>
    </row>
    <row r="9168" spans="1:8" x14ac:dyDescent="0.25">
      <c r="A9168" t="s">
        <v>317</v>
      </c>
      <c r="B9168" t="s">
        <v>7281</v>
      </c>
      <c r="C9168" t="s">
        <v>88</v>
      </c>
      <c r="D9168" t="s">
        <v>7261</v>
      </c>
      <c r="E9168" t="s">
        <v>917</v>
      </c>
      <c r="F9168" t="s">
        <v>88</v>
      </c>
      <c r="G9168" t="s">
        <v>88</v>
      </c>
      <c r="H9168" t="s">
        <v>92</v>
      </c>
    </row>
    <row r="9169" spans="1:8" x14ac:dyDescent="0.25">
      <c r="A9169" t="s">
        <v>317</v>
      </c>
      <c r="B9169" t="s">
        <v>7277</v>
      </c>
      <c r="C9169" t="s">
        <v>88</v>
      </c>
      <c r="D9169" t="s">
        <v>7257</v>
      </c>
      <c r="E9169" t="s">
        <v>1714</v>
      </c>
      <c r="F9169" t="s">
        <v>88</v>
      </c>
      <c r="G9169" t="s">
        <v>88</v>
      </c>
      <c r="H9169" t="s">
        <v>92</v>
      </c>
    </row>
    <row r="9170" spans="1:8" x14ac:dyDescent="0.25">
      <c r="A9170" t="s">
        <v>317</v>
      </c>
      <c r="B9170" t="s">
        <v>7283</v>
      </c>
      <c r="C9170" t="s">
        <v>88</v>
      </c>
      <c r="D9170" t="s">
        <v>4204</v>
      </c>
      <c r="E9170" t="s">
        <v>917</v>
      </c>
      <c r="F9170" t="s">
        <v>88</v>
      </c>
      <c r="G9170" t="s">
        <v>88</v>
      </c>
      <c r="H9170" t="s">
        <v>92</v>
      </c>
    </row>
    <row r="9171" spans="1:8" x14ac:dyDescent="0.25">
      <c r="A9171" t="s">
        <v>317</v>
      </c>
      <c r="B9171" t="s">
        <v>7278</v>
      </c>
      <c r="C9171" t="s">
        <v>88</v>
      </c>
      <c r="D9171" t="s">
        <v>7575</v>
      </c>
      <c r="E9171" t="s">
        <v>825</v>
      </c>
      <c r="F9171" t="s">
        <v>88</v>
      </c>
      <c r="G9171" t="s">
        <v>88</v>
      </c>
      <c r="H9171" t="s">
        <v>92</v>
      </c>
    </row>
    <row r="9172" spans="1:8" x14ac:dyDescent="0.25">
      <c r="A9172" t="s">
        <v>317</v>
      </c>
      <c r="B9172" t="s">
        <v>7287</v>
      </c>
      <c r="C9172" t="s">
        <v>88</v>
      </c>
      <c r="D9172" t="s">
        <v>4202</v>
      </c>
      <c r="E9172" t="s">
        <v>4275</v>
      </c>
      <c r="F9172" t="s">
        <v>88</v>
      </c>
      <c r="G9172" t="s">
        <v>88</v>
      </c>
      <c r="H9172" t="s">
        <v>92</v>
      </c>
    </row>
    <row r="9173" spans="1:8" x14ac:dyDescent="0.25">
      <c r="A9173" t="s">
        <v>317</v>
      </c>
      <c r="B9173" t="s">
        <v>7581</v>
      </c>
      <c r="C9173" t="s">
        <v>88</v>
      </c>
      <c r="D9173" t="s">
        <v>7571</v>
      </c>
      <c r="E9173" t="s">
        <v>666</v>
      </c>
      <c r="F9173" t="s">
        <v>88</v>
      </c>
      <c r="G9173" t="s">
        <v>88</v>
      </c>
      <c r="H9173" t="s">
        <v>92</v>
      </c>
    </row>
    <row r="9174" spans="1:8" x14ac:dyDescent="0.25">
      <c r="A9174" t="s">
        <v>317</v>
      </c>
      <c r="B9174" t="s">
        <v>7286</v>
      </c>
      <c r="C9174" t="s">
        <v>88</v>
      </c>
      <c r="D9174" t="s">
        <v>7572</v>
      </c>
      <c r="E9174" t="s">
        <v>666</v>
      </c>
      <c r="F9174" t="s">
        <v>88</v>
      </c>
      <c r="G9174" t="s">
        <v>88</v>
      </c>
      <c r="H9174" t="s">
        <v>92</v>
      </c>
    </row>
    <row r="9175" spans="1:8" x14ac:dyDescent="0.25">
      <c r="A9175" t="s">
        <v>317</v>
      </c>
      <c r="B9175" t="s">
        <v>4304</v>
      </c>
      <c r="C9175" t="s">
        <v>88</v>
      </c>
      <c r="D9175" t="s">
        <v>4202</v>
      </c>
      <c r="E9175" t="s">
        <v>4294</v>
      </c>
      <c r="F9175" t="s">
        <v>88</v>
      </c>
      <c r="G9175" t="s">
        <v>88</v>
      </c>
      <c r="H9175" t="s">
        <v>92</v>
      </c>
    </row>
    <row r="9176" spans="1:8" x14ac:dyDescent="0.25">
      <c r="A9176" t="s">
        <v>317</v>
      </c>
      <c r="B9176" t="s">
        <v>4316</v>
      </c>
      <c r="C9176" t="s">
        <v>88</v>
      </c>
      <c r="D9176" t="s">
        <v>4208</v>
      </c>
      <c r="E9176" t="s">
        <v>1135</v>
      </c>
      <c r="F9176" t="s">
        <v>88</v>
      </c>
      <c r="G9176" t="s">
        <v>88</v>
      </c>
      <c r="H9176" t="s">
        <v>92</v>
      </c>
    </row>
    <row r="9177" spans="1:8" x14ac:dyDescent="0.25">
      <c r="A9177" t="s">
        <v>317</v>
      </c>
      <c r="B9177" t="s">
        <v>4318</v>
      </c>
      <c r="C9177" t="s">
        <v>88</v>
      </c>
      <c r="D9177" t="s">
        <v>7267</v>
      </c>
      <c r="E9177" t="s">
        <v>1135</v>
      </c>
      <c r="F9177" t="s">
        <v>88</v>
      </c>
      <c r="G9177" t="s">
        <v>88</v>
      </c>
      <c r="H9177" t="s">
        <v>92</v>
      </c>
    </row>
    <row r="9178" spans="1:8" x14ac:dyDescent="0.25">
      <c r="A9178" t="s">
        <v>317</v>
      </c>
      <c r="B9178" t="s">
        <v>7582</v>
      </c>
      <c r="C9178" t="s">
        <v>88</v>
      </c>
      <c r="D9178" t="s">
        <v>7266</v>
      </c>
      <c r="E9178" t="s">
        <v>1135</v>
      </c>
      <c r="F9178" t="s">
        <v>88</v>
      </c>
      <c r="G9178" t="s">
        <v>88</v>
      </c>
      <c r="H9178" t="s">
        <v>92</v>
      </c>
    </row>
    <row r="9179" spans="1:8" x14ac:dyDescent="0.25">
      <c r="A9179" t="s">
        <v>317</v>
      </c>
      <c r="B9179" t="s">
        <v>4312</v>
      </c>
      <c r="C9179" t="s">
        <v>88</v>
      </c>
      <c r="D9179" t="s">
        <v>7257</v>
      </c>
      <c r="E9179" t="s">
        <v>1135</v>
      </c>
      <c r="F9179" t="s">
        <v>88</v>
      </c>
      <c r="G9179" t="s">
        <v>88</v>
      </c>
      <c r="H9179" t="s">
        <v>92</v>
      </c>
    </row>
    <row r="9180" spans="1:8" x14ac:dyDescent="0.25">
      <c r="A9180" t="s">
        <v>317</v>
      </c>
      <c r="B9180" t="s">
        <v>4292</v>
      </c>
      <c r="C9180" t="s">
        <v>88</v>
      </c>
      <c r="D9180" t="s">
        <v>4226</v>
      </c>
      <c r="E9180" t="s">
        <v>4294</v>
      </c>
      <c r="F9180" t="s">
        <v>88</v>
      </c>
      <c r="G9180" t="s">
        <v>88</v>
      </c>
      <c r="H9180" t="s">
        <v>92</v>
      </c>
    </row>
    <row r="9181" spans="1:8" x14ac:dyDescent="0.25">
      <c r="A9181" t="s">
        <v>317</v>
      </c>
      <c r="B9181" t="s">
        <v>7583</v>
      </c>
      <c r="C9181" t="s">
        <v>88</v>
      </c>
      <c r="D9181" t="s">
        <v>7571</v>
      </c>
      <c r="E9181" t="s">
        <v>1135</v>
      </c>
      <c r="F9181" t="s">
        <v>88</v>
      </c>
      <c r="G9181" t="s">
        <v>88</v>
      </c>
      <c r="H9181" t="s">
        <v>92</v>
      </c>
    </row>
    <row r="9182" spans="1:8" x14ac:dyDescent="0.25">
      <c r="A9182" t="s">
        <v>317</v>
      </c>
      <c r="B9182" t="s">
        <v>4298</v>
      </c>
      <c r="C9182" t="s">
        <v>88</v>
      </c>
      <c r="D9182" t="s">
        <v>4234</v>
      </c>
      <c r="E9182" t="s">
        <v>4278</v>
      </c>
      <c r="F9182" t="s">
        <v>88</v>
      </c>
      <c r="G9182" t="s">
        <v>88</v>
      </c>
      <c r="H9182" t="s">
        <v>92</v>
      </c>
    </row>
    <row r="9183" spans="1:8" x14ac:dyDescent="0.25">
      <c r="A9183" t="s">
        <v>317</v>
      </c>
      <c r="B9183" t="s">
        <v>4302</v>
      </c>
      <c r="C9183" t="s">
        <v>88</v>
      </c>
      <c r="D9183" t="s">
        <v>7261</v>
      </c>
      <c r="E9183" t="s">
        <v>4297</v>
      </c>
      <c r="F9183" t="s">
        <v>88</v>
      </c>
      <c r="G9183" t="s">
        <v>88</v>
      </c>
      <c r="H9183" t="s">
        <v>92</v>
      </c>
    </row>
    <row r="9184" spans="1:8" x14ac:dyDescent="0.25">
      <c r="A9184" t="s">
        <v>317</v>
      </c>
      <c r="B9184" t="s">
        <v>4300</v>
      </c>
      <c r="C9184" t="s">
        <v>88</v>
      </c>
      <c r="D9184" t="s">
        <v>7268</v>
      </c>
      <c r="E9184" t="s">
        <v>1171</v>
      </c>
      <c r="F9184" t="s">
        <v>88</v>
      </c>
      <c r="G9184" t="s">
        <v>88</v>
      </c>
      <c r="H9184" t="s">
        <v>92</v>
      </c>
    </row>
    <row r="9185" spans="1:8" x14ac:dyDescent="0.25">
      <c r="A9185" t="s">
        <v>317</v>
      </c>
      <c r="B9185" t="s">
        <v>4320</v>
      </c>
      <c r="C9185" t="s">
        <v>88</v>
      </c>
      <c r="D9185" t="s">
        <v>7572</v>
      </c>
      <c r="E9185" t="s">
        <v>1171</v>
      </c>
      <c r="F9185" t="s">
        <v>88</v>
      </c>
      <c r="G9185" t="s">
        <v>88</v>
      </c>
      <c r="H9185" t="s">
        <v>92</v>
      </c>
    </row>
    <row r="9186" spans="1:8" x14ac:dyDescent="0.25">
      <c r="A9186" t="s">
        <v>317</v>
      </c>
      <c r="B9186" t="s">
        <v>4295</v>
      </c>
      <c r="C9186" t="s">
        <v>88</v>
      </c>
      <c r="D9186" t="s">
        <v>4204</v>
      </c>
      <c r="E9186" t="s">
        <v>4297</v>
      </c>
      <c r="F9186" t="s">
        <v>88</v>
      </c>
      <c r="G9186" t="s">
        <v>88</v>
      </c>
      <c r="H9186" t="s">
        <v>92</v>
      </c>
    </row>
    <row r="9187" spans="1:8" x14ac:dyDescent="0.25">
      <c r="A9187" t="s">
        <v>317</v>
      </c>
      <c r="B9187" t="s">
        <v>7294</v>
      </c>
      <c r="C9187" t="s">
        <v>88</v>
      </c>
      <c r="D9187" t="s">
        <v>4210</v>
      </c>
      <c r="E9187" t="s">
        <v>1135</v>
      </c>
      <c r="F9187" t="s">
        <v>88</v>
      </c>
      <c r="G9187" t="s">
        <v>88</v>
      </c>
      <c r="H9187" t="s">
        <v>92</v>
      </c>
    </row>
    <row r="9188" spans="1:8" x14ac:dyDescent="0.25">
      <c r="A9188" t="s">
        <v>317</v>
      </c>
      <c r="B9188" t="s">
        <v>4306</v>
      </c>
      <c r="C9188" t="s">
        <v>88</v>
      </c>
      <c r="D9188" t="s">
        <v>7573</v>
      </c>
      <c r="E9188" t="s">
        <v>1068</v>
      </c>
      <c r="F9188" t="s">
        <v>88</v>
      </c>
      <c r="G9188" t="s">
        <v>88</v>
      </c>
      <c r="H9188" t="s">
        <v>92</v>
      </c>
    </row>
    <row r="9189" spans="1:8" x14ac:dyDescent="0.25">
      <c r="A9189" t="s">
        <v>317</v>
      </c>
      <c r="B9189" t="s">
        <v>7584</v>
      </c>
      <c r="C9189" t="s">
        <v>88</v>
      </c>
      <c r="D9189" t="s">
        <v>88</v>
      </c>
      <c r="E9189" t="s">
        <v>959</v>
      </c>
      <c r="F9189" t="s">
        <v>88</v>
      </c>
      <c r="G9189" t="s">
        <v>88</v>
      </c>
      <c r="H9189" t="s">
        <v>92</v>
      </c>
    </row>
    <row r="9190" spans="1:8" x14ac:dyDescent="0.25">
      <c r="A9190" t="s">
        <v>317</v>
      </c>
      <c r="B9190" t="s">
        <v>7585</v>
      </c>
      <c r="C9190" t="s">
        <v>88</v>
      </c>
      <c r="D9190" t="s">
        <v>88</v>
      </c>
      <c r="E9190" t="s">
        <v>673</v>
      </c>
      <c r="F9190" t="s">
        <v>88</v>
      </c>
      <c r="G9190" t="s">
        <v>88</v>
      </c>
      <c r="H9190" t="s">
        <v>92</v>
      </c>
    </row>
    <row r="9191" spans="1:8" x14ac:dyDescent="0.25">
      <c r="A9191" t="s">
        <v>317</v>
      </c>
      <c r="B9191" t="s">
        <v>7586</v>
      </c>
      <c r="C9191" t="s">
        <v>88</v>
      </c>
      <c r="D9191" t="s">
        <v>88</v>
      </c>
      <c r="E9191" t="s">
        <v>762</v>
      </c>
      <c r="F9191" t="s">
        <v>88</v>
      </c>
      <c r="G9191" t="s">
        <v>88</v>
      </c>
      <c r="H9191" t="s">
        <v>92</v>
      </c>
    </row>
    <row r="9192" spans="1:8" x14ac:dyDescent="0.25">
      <c r="A9192" t="s">
        <v>317</v>
      </c>
      <c r="B9192" t="s">
        <v>7297</v>
      </c>
      <c r="C9192" t="s">
        <v>88</v>
      </c>
      <c r="D9192" t="s">
        <v>88</v>
      </c>
      <c r="E9192" t="s">
        <v>957</v>
      </c>
      <c r="F9192" t="s">
        <v>88</v>
      </c>
      <c r="G9192" t="s">
        <v>88</v>
      </c>
      <c r="H9192" t="s">
        <v>92</v>
      </c>
    </row>
    <row r="9193" spans="1:8" x14ac:dyDescent="0.25">
      <c r="A9193" t="s">
        <v>317</v>
      </c>
      <c r="B9193" t="s">
        <v>1874</v>
      </c>
      <c r="C9193" t="s">
        <v>88</v>
      </c>
      <c r="D9193" t="s">
        <v>88</v>
      </c>
      <c r="E9193" t="s">
        <v>791</v>
      </c>
      <c r="F9193" t="s">
        <v>88</v>
      </c>
      <c r="G9193" t="s">
        <v>88</v>
      </c>
      <c r="H9193" t="s">
        <v>92</v>
      </c>
    </row>
    <row r="9194" spans="1:8" x14ac:dyDescent="0.25">
      <c r="A9194" t="s">
        <v>317</v>
      </c>
      <c r="B9194" t="s">
        <v>2863</v>
      </c>
      <c r="C9194" t="s">
        <v>88</v>
      </c>
      <c r="D9194" t="s">
        <v>88</v>
      </c>
      <c r="E9194" t="s">
        <v>2166</v>
      </c>
      <c r="F9194" t="s">
        <v>88</v>
      </c>
      <c r="G9194" t="s">
        <v>88</v>
      </c>
      <c r="H9194" t="s">
        <v>92</v>
      </c>
    </row>
    <row r="9195" spans="1:8" x14ac:dyDescent="0.25">
      <c r="A9195" t="s">
        <v>317</v>
      </c>
      <c r="B9195" t="s">
        <v>608</v>
      </c>
      <c r="C9195" t="s">
        <v>88</v>
      </c>
      <c r="D9195" t="s">
        <v>88</v>
      </c>
      <c r="E9195" t="s">
        <v>723</v>
      </c>
      <c r="F9195" t="s">
        <v>88</v>
      </c>
      <c r="G9195" t="s">
        <v>88</v>
      </c>
      <c r="H9195" t="s">
        <v>92</v>
      </c>
    </row>
    <row r="9196" spans="1:8" x14ac:dyDescent="0.25">
      <c r="A9196" t="s">
        <v>317</v>
      </c>
      <c r="B9196" t="s">
        <v>610</v>
      </c>
      <c r="C9196" t="s">
        <v>88</v>
      </c>
      <c r="D9196" t="s">
        <v>88</v>
      </c>
      <c r="E9196" t="s">
        <v>791</v>
      </c>
      <c r="F9196" t="s">
        <v>88</v>
      </c>
      <c r="G9196" t="s">
        <v>88</v>
      </c>
      <c r="H9196" t="s">
        <v>92</v>
      </c>
    </row>
    <row r="9197" spans="1:8" x14ac:dyDescent="0.25">
      <c r="A9197" t="s">
        <v>317</v>
      </c>
      <c r="B9197" t="s">
        <v>7301</v>
      </c>
      <c r="C9197" t="s">
        <v>88</v>
      </c>
      <c r="D9197" t="s">
        <v>88</v>
      </c>
      <c r="E9197" t="s">
        <v>702</v>
      </c>
      <c r="F9197" t="s">
        <v>88</v>
      </c>
      <c r="G9197" t="s">
        <v>88</v>
      </c>
      <c r="H9197" t="s">
        <v>92</v>
      </c>
    </row>
    <row r="9198" spans="1:8" x14ac:dyDescent="0.25">
      <c r="A9198" t="s">
        <v>317</v>
      </c>
      <c r="B9198" t="s">
        <v>1873</v>
      </c>
      <c r="C9198" t="s">
        <v>88</v>
      </c>
      <c r="D9198" t="s">
        <v>88</v>
      </c>
      <c r="E9198" t="s">
        <v>715</v>
      </c>
      <c r="F9198" t="s">
        <v>88</v>
      </c>
      <c r="G9198" t="s">
        <v>88</v>
      </c>
      <c r="H9198" t="s">
        <v>92</v>
      </c>
    </row>
    <row r="9199" spans="1:8" x14ac:dyDescent="0.25">
      <c r="A9199" t="s">
        <v>317</v>
      </c>
      <c r="B9199" t="s">
        <v>7302</v>
      </c>
      <c r="C9199" t="s">
        <v>88</v>
      </c>
      <c r="D9199" t="s">
        <v>88</v>
      </c>
      <c r="E9199" t="s">
        <v>780</v>
      </c>
      <c r="F9199" t="s">
        <v>88</v>
      </c>
      <c r="G9199" t="s">
        <v>88</v>
      </c>
      <c r="H9199" t="s">
        <v>92</v>
      </c>
    </row>
    <row r="9200" spans="1:8" x14ac:dyDescent="0.25">
      <c r="A9200" t="s">
        <v>317</v>
      </c>
      <c r="B9200" t="s">
        <v>701</v>
      </c>
      <c r="C9200" t="s">
        <v>88</v>
      </c>
      <c r="D9200" t="s">
        <v>88</v>
      </c>
      <c r="E9200" t="s">
        <v>734</v>
      </c>
      <c r="F9200" t="s">
        <v>88</v>
      </c>
      <c r="G9200" t="s">
        <v>88</v>
      </c>
      <c r="H9200" t="s">
        <v>92</v>
      </c>
    </row>
    <row r="9201" spans="1:8" x14ac:dyDescent="0.25">
      <c r="A9201" t="s">
        <v>317</v>
      </c>
      <c r="B9201" t="s">
        <v>705</v>
      </c>
      <c r="C9201" t="s">
        <v>88</v>
      </c>
      <c r="D9201" t="s">
        <v>88</v>
      </c>
      <c r="E9201" t="s">
        <v>734</v>
      </c>
      <c r="F9201" t="s">
        <v>88</v>
      </c>
      <c r="G9201" t="s">
        <v>88</v>
      </c>
      <c r="H9201" t="s">
        <v>92</v>
      </c>
    </row>
    <row r="9202" spans="1:8" x14ac:dyDescent="0.25">
      <c r="A9202" t="s">
        <v>317</v>
      </c>
      <c r="B9202" t="s">
        <v>706</v>
      </c>
      <c r="C9202" t="s">
        <v>88</v>
      </c>
      <c r="D9202" t="s">
        <v>88</v>
      </c>
      <c r="E9202" t="s">
        <v>734</v>
      </c>
      <c r="F9202" t="s">
        <v>88</v>
      </c>
      <c r="G9202" t="s">
        <v>88</v>
      </c>
      <c r="H9202" t="s">
        <v>92</v>
      </c>
    </row>
    <row r="9203" spans="1:8" x14ac:dyDescent="0.25">
      <c r="A9203" t="s">
        <v>317</v>
      </c>
      <c r="B9203" t="s">
        <v>707</v>
      </c>
      <c r="C9203" t="s">
        <v>88</v>
      </c>
      <c r="D9203" t="s">
        <v>88</v>
      </c>
      <c r="E9203" t="s">
        <v>734</v>
      </c>
      <c r="F9203" t="s">
        <v>88</v>
      </c>
      <c r="G9203" t="s">
        <v>88</v>
      </c>
      <c r="H9203" t="s">
        <v>92</v>
      </c>
    </row>
    <row r="9204" spans="1:8" x14ac:dyDescent="0.25">
      <c r="A9204" t="s">
        <v>317</v>
      </c>
      <c r="B9204" t="s">
        <v>708</v>
      </c>
      <c r="C9204" t="s">
        <v>88</v>
      </c>
      <c r="D9204" t="s">
        <v>88</v>
      </c>
      <c r="E9204" t="s">
        <v>734</v>
      </c>
      <c r="F9204" t="s">
        <v>88</v>
      </c>
      <c r="G9204" t="s">
        <v>88</v>
      </c>
      <c r="H9204" t="s">
        <v>92</v>
      </c>
    </row>
    <row r="9205" spans="1:8" x14ac:dyDescent="0.25">
      <c r="A9205" t="s">
        <v>317</v>
      </c>
      <c r="B9205" t="s">
        <v>795</v>
      </c>
      <c r="C9205" t="s">
        <v>88</v>
      </c>
      <c r="D9205" t="s">
        <v>88</v>
      </c>
      <c r="E9205" t="s">
        <v>710</v>
      </c>
      <c r="F9205" t="s">
        <v>88</v>
      </c>
      <c r="G9205" t="s">
        <v>88</v>
      </c>
      <c r="H9205" t="s">
        <v>92</v>
      </c>
    </row>
    <row r="9206" spans="1:8" x14ac:dyDescent="0.25">
      <c r="A9206" t="s">
        <v>317</v>
      </c>
      <c r="B9206" t="s">
        <v>623</v>
      </c>
      <c r="C9206" t="s">
        <v>88</v>
      </c>
      <c r="D9206" t="s">
        <v>88</v>
      </c>
      <c r="E9206" t="s">
        <v>735</v>
      </c>
      <c r="F9206" t="s">
        <v>88</v>
      </c>
      <c r="G9206" t="s">
        <v>88</v>
      </c>
      <c r="H9206" t="s">
        <v>92</v>
      </c>
    </row>
    <row r="9207" spans="1:8" x14ac:dyDescent="0.25">
      <c r="A9207" t="s">
        <v>317</v>
      </c>
      <c r="B9207" t="s">
        <v>714</v>
      </c>
      <c r="C9207" t="s">
        <v>88</v>
      </c>
      <c r="D9207" t="s">
        <v>88</v>
      </c>
      <c r="E9207" t="s">
        <v>799</v>
      </c>
      <c r="F9207" t="s">
        <v>88</v>
      </c>
      <c r="G9207" t="s">
        <v>88</v>
      </c>
      <c r="H9207" t="s">
        <v>92</v>
      </c>
    </row>
    <row r="9208" spans="1:8" x14ac:dyDescent="0.25">
      <c r="A9208" t="s">
        <v>317</v>
      </c>
      <c r="B9208" t="s">
        <v>625</v>
      </c>
      <c r="C9208" t="s">
        <v>88</v>
      </c>
      <c r="D9208" t="s">
        <v>88</v>
      </c>
      <c r="E9208" t="s">
        <v>626</v>
      </c>
      <c r="F9208" t="s">
        <v>88</v>
      </c>
      <c r="G9208" t="s">
        <v>88</v>
      </c>
      <c r="H9208" t="s">
        <v>92</v>
      </c>
    </row>
    <row r="9209" spans="1:8" x14ac:dyDescent="0.25">
      <c r="A9209" t="s">
        <v>318</v>
      </c>
      <c r="B9209" t="s">
        <v>4158</v>
      </c>
      <c r="C9209" t="s">
        <v>88</v>
      </c>
      <c r="D9209" t="s">
        <v>7587</v>
      </c>
      <c r="E9209" t="s">
        <v>748</v>
      </c>
      <c r="F9209" t="s">
        <v>88</v>
      </c>
      <c r="G9209" t="s">
        <v>88</v>
      </c>
      <c r="H9209" t="s">
        <v>92</v>
      </c>
    </row>
    <row r="9210" spans="1:8" x14ac:dyDescent="0.25">
      <c r="A9210" t="s">
        <v>318</v>
      </c>
      <c r="B9210" t="s">
        <v>4172</v>
      </c>
      <c r="C9210" t="s">
        <v>88</v>
      </c>
      <c r="D9210" t="s">
        <v>7588</v>
      </c>
      <c r="E9210" t="s">
        <v>692</v>
      </c>
      <c r="F9210" t="s">
        <v>88</v>
      </c>
      <c r="G9210" t="s">
        <v>88</v>
      </c>
      <c r="H9210" t="s">
        <v>92</v>
      </c>
    </row>
    <row r="9211" spans="1:8" x14ac:dyDescent="0.25">
      <c r="A9211" t="s">
        <v>318</v>
      </c>
      <c r="B9211" t="s">
        <v>7443</v>
      </c>
      <c r="C9211" t="s">
        <v>88</v>
      </c>
      <c r="D9211" t="s">
        <v>7589</v>
      </c>
      <c r="E9211" t="s">
        <v>666</v>
      </c>
      <c r="F9211" t="s">
        <v>88</v>
      </c>
      <c r="G9211" t="s">
        <v>88</v>
      </c>
      <c r="H9211" t="s">
        <v>92</v>
      </c>
    </row>
    <row r="9212" spans="1:8" x14ac:dyDescent="0.25">
      <c r="A9212" t="s">
        <v>318</v>
      </c>
      <c r="B9212" t="s">
        <v>7590</v>
      </c>
      <c r="C9212" t="s">
        <v>88</v>
      </c>
      <c r="D9212" t="s">
        <v>7591</v>
      </c>
      <c r="E9212" t="s">
        <v>841</v>
      </c>
      <c r="F9212" t="s">
        <v>88</v>
      </c>
      <c r="G9212" t="s">
        <v>88</v>
      </c>
      <c r="H9212" t="s">
        <v>92</v>
      </c>
    </row>
    <row r="9213" spans="1:8" x14ac:dyDescent="0.25">
      <c r="A9213" t="s">
        <v>318</v>
      </c>
      <c r="B9213" t="s">
        <v>671</v>
      </c>
      <c r="C9213" t="s">
        <v>88</v>
      </c>
      <c r="D9213" t="s">
        <v>7592</v>
      </c>
      <c r="E9213" t="s">
        <v>700</v>
      </c>
      <c r="F9213" t="s">
        <v>88</v>
      </c>
      <c r="G9213" t="s">
        <v>88</v>
      </c>
      <c r="H9213" t="s">
        <v>92</v>
      </c>
    </row>
    <row r="9214" spans="1:8" x14ac:dyDescent="0.25">
      <c r="A9214" t="s">
        <v>318</v>
      </c>
      <c r="B9214" t="s">
        <v>7593</v>
      </c>
      <c r="C9214" t="s">
        <v>88</v>
      </c>
      <c r="D9214" t="s">
        <v>7594</v>
      </c>
      <c r="E9214" t="s">
        <v>717</v>
      </c>
      <c r="F9214" t="s">
        <v>88</v>
      </c>
      <c r="G9214" t="s">
        <v>88</v>
      </c>
      <c r="H9214" t="s">
        <v>92</v>
      </c>
    </row>
    <row r="9215" spans="1:8" x14ac:dyDescent="0.25">
      <c r="A9215" t="s">
        <v>318</v>
      </c>
      <c r="B9215" t="s">
        <v>7595</v>
      </c>
      <c r="C9215" t="s">
        <v>88</v>
      </c>
      <c r="D9215" t="s">
        <v>7596</v>
      </c>
      <c r="E9215" t="s">
        <v>762</v>
      </c>
      <c r="F9215" t="s">
        <v>88</v>
      </c>
      <c r="G9215" t="s">
        <v>88</v>
      </c>
      <c r="H9215" t="s">
        <v>92</v>
      </c>
    </row>
    <row r="9216" spans="1:8" x14ac:dyDescent="0.25">
      <c r="A9216" t="s">
        <v>318</v>
      </c>
      <c r="B9216" t="s">
        <v>7443</v>
      </c>
      <c r="C9216" t="s">
        <v>88</v>
      </c>
      <c r="D9216" t="s">
        <v>7589</v>
      </c>
      <c r="E9216" t="s">
        <v>666</v>
      </c>
      <c r="F9216" t="s">
        <v>88</v>
      </c>
      <c r="G9216" t="s">
        <v>88</v>
      </c>
      <c r="H9216" t="s">
        <v>92</v>
      </c>
    </row>
    <row r="9217" spans="1:8" x14ac:dyDescent="0.25">
      <c r="A9217" t="s">
        <v>318</v>
      </c>
      <c r="B9217" t="s">
        <v>7597</v>
      </c>
      <c r="C9217" t="s">
        <v>88</v>
      </c>
      <c r="D9217" t="s">
        <v>7598</v>
      </c>
      <c r="E9217" t="s">
        <v>3593</v>
      </c>
      <c r="F9217" t="s">
        <v>88</v>
      </c>
      <c r="G9217" t="s">
        <v>88</v>
      </c>
      <c r="H9217" t="s">
        <v>92</v>
      </c>
    </row>
    <row r="9218" spans="1:8" x14ac:dyDescent="0.25">
      <c r="A9218" t="s">
        <v>318</v>
      </c>
      <c r="B9218" t="s">
        <v>7590</v>
      </c>
      <c r="C9218" t="s">
        <v>88</v>
      </c>
      <c r="D9218" t="s">
        <v>7591</v>
      </c>
      <c r="E9218" t="s">
        <v>841</v>
      </c>
      <c r="F9218" t="s">
        <v>88</v>
      </c>
      <c r="G9218" t="s">
        <v>88</v>
      </c>
      <c r="H9218" t="s">
        <v>92</v>
      </c>
    </row>
    <row r="9219" spans="1:8" x14ac:dyDescent="0.25">
      <c r="A9219" t="s">
        <v>318</v>
      </c>
      <c r="B9219" t="s">
        <v>7599</v>
      </c>
      <c r="C9219" t="s">
        <v>88</v>
      </c>
      <c r="D9219" t="s">
        <v>7600</v>
      </c>
      <c r="E9219" t="s">
        <v>844</v>
      </c>
      <c r="F9219" t="s">
        <v>88</v>
      </c>
      <c r="G9219" t="s">
        <v>88</v>
      </c>
      <c r="H9219" t="s">
        <v>92</v>
      </c>
    </row>
    <row r="9220" spans="1:8" x14ac:dyDescent="0.25">
      <c r="A9220" t="s">
        <v>318</v>
      </c>
      <c r="B9220" t="s">
        <v>630</v>
      </c>
      <c r="C9220" t="s">
        <v>88</v>
      </c>
      <c r="D9220" t="s">
        <v>7601</v>
      </c>
      <c r="E9220" t="s">
        <v>655</v>
      </c>
      <c r="F9220" t="s">
        <v>88</v>
      </c>
      <c r="G9220" t="s">
        <v>88</v>
      </c>
      <c r="H9220" t="s">
        <v>92</v>
      </c>
    </row>
    <row r="9221" spans="1:8" x14ac:dyDescent="0.25">
      <c r="A9221" t="s">
        <v>318</v>
      </c>
      <c r="B9221" t="s">
        <v>7436</v>
      </c>
      <c r="C9221" t="s">
        <v>88</v>
      </c>
      <c r="D9221" t="s">
        <v>7602</v>
      </c>
      <c r="E9221" t="s">
        <v>1135</v>
      </c>
      <c r="F9221" t="s">
        <v>88</v>
      </c>
      <c r="G9221" t="s">
        <v>88</v>
      </c>
      <c r="H9221" t="s">
        <v>92</v>
      </c>
    </row>
    <row r="9222" spans="1:8" x14ac:dyDescent="0.25">
      <c r="A9222" t="s">
        <v>318</v>
      </c>
      <c r="B9222" t="s">
        <v>7603</v>
      </c>
      <c r="C9222" t="s">
        <v>88</v>
      </c>
      <c r="D9222" t="s">
        <v>7604</v>
      </c>
      <c r="E9222" t="s">
        <v>841</v>
      </c>
      <c r="F9222" t="s">
        <v>88</v>
      </c>
      <c r="G9222" t="s">
        <v>88</v>
      </c>
      <c r="H9222" t="s">
        <v>92</v>
      </c>
    </row>
    <row r="9223" spans="1:8" x14ac:dyDescent="0.25">
      <c r="A9223" t="s">
        <v>318</v>
      </c>
      <c r="B9223" t="s">
        <v>7605</v>
      </c>
      <c r="C9223" t="s">
        <v>88</v>
      </c>
      <c r="D9223" t="s">
        <v>7606</v>
      </c>
      <c r="E9223" t="s">
        <v>825</v>
      </c>
      <c r="F9223" t="s">
        <v>88</v>
      </c>
      <c r="G9223" t="s">
        <v>88</v>
      </c>
      <c r="H9223" t="s">
        <v>92</v>
      </c>
    </row>
    <row r="9224" spans="1:8" x14ac:dyDescent="0.25">
      <c r="A9224" t="s">
        <v>318</v>
      </c>
      <c r="B9224" t="s">
        <v>1859</v>
      </c>
      <c r="C9224" t="s">
        <v>88</v>
      </c>
      <c r="D9224" t="s">
        <v>7607</v>
      </c>
      <c r="E9224" t="s">
        <v>883</v>
      </c>
      <c r="F9224" t="s">
        <v>88</v>
      </c>
      <c r="G9224" t="s">
        <v>88</v>
      </c>
      <c r="H9224" t="s">
        <v>92</v>
      </c>
    </row>
    <row r="9225" spans="1:8" x14ac:dyDescent="0.25">
      <c r="A9225" t="s">
        <v>318</v>
      </c>
      <c r="B9225" t="s">
        <v>7608</v>
      </c>
      <c r="C9225" t="s">
        <v>88</v>
      </c>
      <c r="D9225" t="s">
        <v>7609</v>
      </c>
      <c r="E9225" t="s">
        <v>760</v>
      </c>
      <c r="F9225" t="s">
        <v>88</v>
      </c>
      <c r="G9225" t="s">
        <v>88</v>
      </c>
      <c r="H9225" t="s">
        <v>92</v>
      </c>
    </row>
    <row r="9226" spans="1:8" x14ac:dyDescent="0.25">
      <c r="A9226" t="s">
        <v>318</v>
      </c>
      <c r="B9226" t="s">
        <v>1842</v>
      </c>
      <c r="C9226" t="s">
        <v>88</v>
      </c>
      <c r="D9226" t="s">
        <v>2845</v>
      </c>
      <c r="E9226" t="s">
        <v>658</v>
      </c>
      <c r="F9226" t="s">
        <v>88</v>
      </c>
      <c r="G9226" t="s">
        <v>88</v>
      </c>
      <c r="H9226" t="s">
        <v>92</v>
      </c>
    </row>
    <row r="9227" spans="1:8" x14ac:dyDescent="0.25">
      <c r="A9227" t="s">
        <v>318</v>
      </c>
      <c r="B9227" t="s">
        <v>7610</v>
      </c>
      <c r="C9227" t="s">
        <v>88</v>
      </c>
      <c r="D9227" t="s">
        <v>7611</v>
      </c>
      <c r="E9227" t="s">
        <v>760</v>
      </c>
      <c r="F9227" t="s">
        <v>88</v>
      </c>
      <c r="G9227" t="s">
        <v>88</v>
      </c>
      <c r="H9227" t="s">
        <v>92</v>
      </c>
    </row>
    <row r="9228" spans="1:8" x14ac:dyDescent="0.25">
      <c r="A9228" t="s">
        <v>318</v>
      </c>
      <c r="B9228" t="s">
        <v>7612</v>
      </c>
      <c r="C9228" t="s">
        <v>88</v>
      </c>
      <c r="D9228" t="s">
        <v>7613</v>
      </c>
      <c r="E9228" t="s">
        <v>760</v>
      </c>
      <c r="F9228" t="s">
        <v>88</v>
      </c>
      <c r="G9228" t="s">
        <v>88</v>
      </c>
      <c r="H9228" t="s">
        <v>92</v>
      </c>
    </row>
    <row r="9229" spans="1:8" x14ac:dyDescent="0.25">
      <c r="A9229" t="s">
        <v>318</v>
      </c>
      <c r="B9229" t="s">
        <v>4194</v>
      </c>
      <c r="C9229" t="s">
        <v>88</v>
      </c>
      <c r="D9229" t="s">
        <v>7614</v>
      </c>
      <c r="E9229" t="s">
        <v>760</v>
      </c>
      <c r="F9229" t="s">
        <v>88</v>
      </c>
      <c r="G9229" t="s">
        <v>88</v>
      </c>
      <c r="H9229" t="s">
        <v>92</v>
      </c>
    </row>
    <row r="9230" spans="1:8" x14ac:dyDescent="0.25">
      <c r="A9230" t="s">
        <v>318</v>
      </c>
      <c r="B9230" t="s">
        <v>7615</v>
      </c>
      <c r="C9230" t="s">
        <v>88</v>
      </c>
      <c r="D9230" t="s">
        <v>7616</v>
      </c>
      <c r="E9230" t="s">
        <v>762</v>
      </c>
      <c r="F9230" t="s">
        <v>88</v>
      </c>
      <c r="G9230" t="s">
        <v>88</v>
      </c>
      <c r="H9230" t="s">
        <v>92</v>
      </c>
    </row>
    <row r="9231" spans="1:8" x14ac:dyDescent="0.25">
      <c r="A9231" t="s">
        <v>318</v>
      </c>
      <c r="B9231" t="s">
        <v>7617</v>
      </c>
      <c r="C9231" t="s">
        <v>88</v>
      </c>
      <c r="D9231" t="s">
        <v>7618</v>
      </c>
      <c r="E9231" t="s">
        <v>762</v>
      </c>
      <c r="F9231" t="s">
        <v>88</v>
      </c>
      <c r="G9231" t="s">
        <v>88</v>
      </c>
      <c r="H9231" t="s">
        <v>92</v>
      </c>
    </row>
    <row r="9232" spans="1:8" x14ac:dyDescent="0.25">
      <c r="A9232" t="s">
        <v>318</v>
      </c>
      <c r="B9232" t="s">
        <v>4158</v>
      </c>
      <c r="C9232" t="s">
        <v>88</v>
      </c>
      <c r="D9232" t="s">
        <v>7587</v>
      </c>
      <c r="E9232" t="s">
        <v>748</v>
      </c>
      <c r="F9232" t="s">
        <v>88</v>
      </c>
      <c r="G9232" t="s">
        <v>88</v>
      </c>
      <c r="H9232" t="s">
        <v>92</v>
      </c>
    </row>
    <row r="9233" spans="1:8" x14ac:dyDescent="0.25">
      <c r="A9233" t="s">
        <v>318</v>
      </c>
      <c r="B9233" t="s">
        <v>7619</v>
      </c>
      <c r="C9233" t="s">
        <v>88</v>
      </c>
      <c r="D9233" t="s">
        <v>7620</v>
      </c>
      <c r="E9233" t="s">
        <v>1241</v>
      </c>
      <c r="F9233" t="s">
        <v>88</v>
      </c>
      <c r="G9233" t="s">
        <v>88</v>
      </c>
      <c r="H9233" t="s">
        <v>92</v>
      </c>
    </row>
    <row r="9234" spans="1:8" x14ac:dyDescent="0.25">
      <c r="A9234" t="s">
        <v>318</v>
      </c>
      <c r="B9234" t="s">
        <v>7223</v>
      </c>
      <c r="C9234" t="s">
        <v>88</v>
      </c>
      <c r="D9234" t="s">
        <v>7621</v>
      </c>
      <c r="E9234" t="s">
        <v>1241</v>
      </c>
      <c r="F9234" t="s">
        <v>88</v>
      </c>
      <c r="G9234" t="s">
        <v>88</v>
      </c>
      <c r="H9234" t="s">
        <v>92</v>
      </c>
    </row>
    <row r="9235" spans="1:8" x14ac:dyDescent="0.25">
      <c r="A9235" t="s">
        <v>318</v>
      </c>
      <c r="B9235" t="s">
        <v>2965</v>
      </c>
      <c r="C9235" t="s">
        <v>88</v>
      </c>
      <c r="D9235" t="s">
        <v>7622</v>
      </c>
      <c r="E9235" t="s">
        <v>760</v>
      </c>
      <c r="F9235" t="s">
        <v>88</v>
      </c>
      <c r="G9235" t="s">
        <v>88</v>
      </c>
      <c r="H9235" t="s">
        <v>92</v>
      </c>
    </row>
    <row r="9236" spans="1:8" x14ac:dyDescent="0.25">
      <c r="A9236" t="s">
        <v>318</v>
      </c>
      <c r="B9236" t="s">
        <v>7623</v>
      </c>
      <c r="C9236" t="s">
        <v>88</v>
      </c>
      <c r="D9236" t="s">
        <v>7624</v>
      </c>
      <c r="E9236" t="s">
        <v>1241</v>
      </c>
      <c r="F9236" t="s">
        <v>88</v>
      </c>
      <c r="G9236" t="s">
        <v>88</v>
      </c>
      <c r="H9236" t="s">
        <v>92</v>
      </c>
    </row>
    <row r="9237" spans="1:8" x14ac:dyDescent="0.25">
      <c r="A9237" t="s">
        <v>318</v>
      </c>
      <c r="B9237" t="s">
        <v>7625</v>
      </c>
      <c r="C9237" t="s">
        <v>88</v>
      </c>
      <c r="D9237" t="s">
        <v>7626</v>
      </c>
      <c r="E9237" t="s">
        <v>883</v>
      </c>
      <c r="F9237" t="s">
        <v>88</v>
      </c>
      <c r="G9237" t="s">
        <v>88</v>
      </c>
      <c r="H9237" t="s">
        <v>92</v>
      </c>
    </row>
    <row r="9238" spans="1:8" x14ac:dyDescent="0.25">
      <c r="A9238" t="s">
        <v>318</v>
      </c>
      <c r="B9238" t="s">
        <v>4188</v>
      </c>
      <c r="C9238" t="s">
        <v>88</v>
      </c>
      <c r="D9238" t="s">
        <v>7627</v>
      </c>
      <c r="E9238" t="s">
        <v>658</v>
      </c>
      <c r="F9238" t="s">
        <v>88</v>
      </c>
      <c r="G9238" t="s">
        <v>88</v>
      </c>
      <c r="H9238" t="s">
        <v>92</v>
      </c>
    </row>
    <row r="9239" spans="1:8" x14ac:dyDescent="0.25">
      <c r="A9239" t="s">
        <v>318</v>
      </c>
      <c r="B9239" t="s">
        <v>671</v>
      </c>
      <c r="C9239" t="s">
        <v>88</v>
      </c>
      <c r="D9239" t="s">
        <v>7592</v>
      </c>
      <c r="E9239" t="s">
        <v>700</v>
      </c>
      <c r="F9239" t="s">
        <v>88</v>
      </c>
      <c r="G9239" t="s">
        <v>88</v>
      </c>
      <c r="H9239" t="s">
        <v>92</v>
      </c>
    </row>
    <row r="9240" spans="1:8" x14ac:dyDescent="0.25">
      <c r="A9240" t="s">
        <v>318</v>
      </c>
      <c r="B9240" t="s">
        <v>7628</v>
      </c>
      <c r="C9240" t="s">
        <v>88</v>
      </c>
      <c r="D9240" t="s">
        <v>7629</v>
      </c>
      <c r="E9240" t="s">
        <v>658</v>
      </c>
      <c r="F9240" t="s">
        <v>88</v>
      </c>
      <c r="G9240" t="s">
        <v>88</v>
      </c>
      <c r="H9240" t="s">
        <v>92</v>
      </c>
    </row>
    <row r="9241" spans="1:8" x14ac:dyDescent="0.25">
      <c r="A9241" t="s">
        <v>318</v>
      </c>
      <c r="B9241" t="s">
        <v>7630</v>
      </c>
      <c r="C9241" t="s">
        <v>88</v>
      </c>
      <c r="D9241" t="s">
        <v>7631</v>
      </c>
      <c r="E9241" t="s">
        <v>1241</v>
      </c>
      <c r="F9241" t="s">
        <v>88</v>
      </c>
      <c r="G9241" t="s">
        <v>88</v>
      </c>
      <c r="H9241" t="s">
        <v>92</v>
      </c>
    </row>
    <row r="9242" spans="1:8" x14ac:dyDescent="0.25">
      <c r="A9242" t="s">
        <v>318</v>
      </c>
      <c r="B9242" t="s">
        <v>7632</v>
      </c>
      <c r="C9242" t="s">
        <v>88</v>
      </c>
      <c r="D9242" t="s">
        <v>7633</v>
      </c>
      <c r="E9242" t="s">
        <v>700</v>
      </c>
      <c r="F9242" t="s">
        <v>88</v>
      </c>
      <c r="G9242" t="s">
        <v>88</v>
      </c>
      <c r="H9242" t="s">
        <v>92</v>
      </c>
    </row>
    <row r="9243" spans="1:8" x14ac:dyDescent="0.25">
      <c r="A9243" t="s">
        <v>318</v>
      </c>
      <c r="B9243" t="s">
        <v>7634</v>
      </c>
      <c r="C9243" t="s">
        <v>88</v>
      </c>
      <c r="D9243" t="s">
        <v>7635</v>
      </c>
      <c r="E9243" t="s">
        <v>673</v>
      </c>
      <c r="F9243" t="s">
        <v>88</v>
      </c>
      <c r="G9243" t="s">
        <v>88</v>
      </c>
      <c r="H9243" t="s">
        <v>92</v>
      </c>
    </row>
    <row r="9244" spans="1:8" x14ac:dyDescent="0.25">
      <c r="A9244" t="s">
        <v>318</v>
      </c>
      <c r="B9244" t="s">
        <v>4172</v>
      </c>
      <c r="C9244" t="s">
        <v>88</v>
      </c>
      <c r="D9244" t="s">
        <v>7588</v>
      </c>
      <c r="E9244" t="s">
        <v>692</v>
      </c>
      <c r="F9244" t="s">
        <v>88</v>
      </c>
      <c r="G9244" t="s">
        <v>88</v>
      </c>
      <c r="H9244" t="s">
        <v>92</v>
      </c>
    </row>
    <row r="9245" spans="1:8" x14ac:dyDescent="0.25">
      <c r="A9245" t="s">
        <v>318</v>
      </c>
      <c r="B9245" t="s">
        <v>7636</v>
      </c>
      <c r="C9245" t="s">
        <v>88</v>
      </c>
      <c r="D9245" t="s">
        <v>7637</v>
      </c>
      <c r="E9245" t="s">
        <v>883</v>
      </c>
      <c r="F9245" t="s">
        <v>88</v>
      </c>
      <c r="G9245" t="s">
        <v>88</v>
      </c>
      <c r="H9245" t="s">
        <v>92</v>
      </c>
    </row>
    <row r="9246" spans="1:8" x14ac:dyDescent="0.25">
      <c r="A9246" t="s">
        <v>318</v>
      </c>
      <c r="B9246" t="s">
        <v>4177</v>
      </c>
      <c r="C9246" t="s">
        <v>88</v>
      </c>
      <c r="D9246" t="s">
        <v>7638</v>
      </c>
      <c r="E9246" t="s">
        <v>717</v>
      </c>
      <c r="F9246" t="s">
        <v>88</v>
      </c>
      <c r="G9246" t="s">
        <v>88</v>
      </c>
      <c r="H9246" t="s">
        <v>92</v>
      </c>
    </row>
    <row r="9247" spans="1:8" x14ac:dyDescent="0.25">
      <c r="A9247" t="s">
        <v>318</v>
      </c>
      <c r="B9247" t="s">
        <v>7639</v>
      </c>
      <c r="C9247" t="s">
        <v>88</v>
      </c>
      <c r="D9247" t="s">
        <v>7640</v>
      </c>
      <c r="E9247" t="s">
        <v>760</v>
      </c>
      <c r="F9247" t="s">
        <v>88</v>
      </c>
      <c r="G9247" t="s">
        <v>88</v>
      </c>
      <c r="H9247" t="s">
        <v>92</v>
      </c>
    </row>
    <row r="9248" spans="1:8" x14ac:dyDescent="0.25">
      <c r="A9248" t="s">
        <v>318</v>
      </c>
      <c r="B9248" t="s">
        <v>4181</v>
      </c>
      <c r="C9248" t="s">
        <v>88</v>
      </c>
      <c r="D9248" t="s">
        <v>7641</v>
      </c>
      <c r="E9248" t="s">
        <v>673</v>
      </c>
      <c r="F9248" t="s">
        <v>88</v>
      </c>
      <c r="G9248" t="s">
        <v>88</v>
      </c>
      <c r="H9248" t="s">
        <v>92</v>
      </c>
    </row>
    <row r="9249" spans="1:8" x14ac:dyDescent="0.25">
      <c r="A9249" t="s">
        <v>318</v>
      </c>
      <c r="B9249" t="s">
        <v>1868</v>
      </c>
      <c r="C9249" t="s">
        <v>88</v>
      </c>
      <c r="D9249" t="s">
        <v>7642</v>
      </c>
      <c r="E9249" t="s">
        <v>738</v>
      </c>
      <c r="F9249" t="s">
        <v>88</v>
      </c>
      <c r="G9249" t="s">
        <v>88</v>
      </c>
      <c r="H9249" t="s">
        <v>92</v>
      </c>
    </row>
    <row r="9250" spans="1:8" x14ac:dyDescent="0.25">
      <c r="A9250" t="s">
        <v>318</v>
      </c>
      <c r="B9250" t="s">
        <v>1871</v>
      </c>
      <c r="C9250" t="s">
        <v>88</v>
      </c>
      <c r="D9250" t="s">
        <v>7643</v>
      </c>
      <c r="E9250" t="s">
        <v>715</v>
      </c>
      <c r="F9250" t="s">
        <v>88</v>
      </c>
      <c r="G9250" t="s">
        <v>88</v>
      </c>
      <c r="H9250" t="s">
        <v>92</v>
      </c>
    </row>
    <row r="9251" spans="1:8" x14ac:dyDescent="0.25">
      <c r="A9251" t="s">
        <v>318</v>
      </c>
      <c r="B9251" t="s">
        <v>4199</v>
      </c>
      <c r="C9251" t="s">
        <v>88</v>
      </c>
      <c r="D9251" t="s">
        <v>7644</v>
      </c>
      <c r="E9251" t="s">
        <v>721</v>
      </c>
      <c r="F9251" t="s">
        <v>88</v>
      </c>
      <c r="G9251" t="s">
        <v>88</v>
      </c>
      <c r="H9251" t="s">
        <v>92</v>
      </c>
    </row>
    <row r="9252" spans="1:8" x14ac:dyDescent="0.25">
      <c r="A9252" t="s">
        <v>318</v>
      </c>
      <c r="B9252" t="s">
        <v>3052</v>
      </c>
      <c r="C9252" t="s">
        <v>88</v>
      </c>
      <c r="D9252" t="s">
        <v>7644</v>
      </c>
      <c r="E9252" t="s">
        <v>725</v>
      </c>
      <c r="F9252" t="s">
        <v>88</v>
      </c>
      <c r="G9252" t="s">
        <v>88</v>
      </c>
      <c r="H9252" t="s">
        <v>92</v>
      </c>
    </row>
    <row r="9253" spans="1:8" x14ac:dyDescent="0.25">
      <c r="A9253" t="s">
        <v>318</v>
      </c>
      <c r="B9253" t="s">
        <v>583</v>
      </c>
      <c r="C9253" t="s">
        <v>88</v>
      </c>
      <c r="D9253" t="s">
        <v>7642</v>
      </c>
      <c r="E9253" t="s">
        <v>723</v>
      </c>
      <c r="F9253" t="s">
        <v>88</v>
      </c>
      <c r="G9253" t="s">
        <v>88</v>
      </c>
      <c r="H9253" t="s">
        <v>92</v>
      </c>
    </row>
    <row r="9254" spans="1:8" x14ac:dyDescent="0.25">
      <c r="A9254" t="s">
        <v>318</v>
      </c>
      <c r="B9254" t="s">
        <v>7645</v>
      </c>
      <c r="C9254" t="s">
        <v>88</v>
      </c>
      <c r="D9254" t="s">
        <v>7646</v>
      </c>
      <c r="E9254" t="s">
        <v>673</v>
      </c>
      <c r="F9254" t="s">
        <v>88</v>
      </c>
      <c r="G9254" t="s">
        <v>88</v>
      </c>
      <c r="H9254" t="s">
        <v>92</v>
      </c>
    </row>
    <row r="9255" spans="1:8" x14ac:dyDescent="0.25">
      <c r="A9255" t="s">
        <v>318</v>
      </c>
      <c r="B9255" t="s">
        <v>7647</v>
      </c>
      <c r="C9255" t="s">
        <v>88</v>
      </c>
      <c r="D9255" t="s">
        <v>7648</v>
      </c>
      <c r="E9255" t="s">
        <v>673</v>
      </c>
      <c r="F9255" t="s">
        <v>88</v>
      </c>
      <c r="G9255" t="s">
        <v>88</v>
      </c>
      <c r="H9255" t="s">
        <v>92</v>
      </c>
    </row>
    <row r="9256" spans="1:8" x14ac:dyDescent="0.25">
      <c r="A9256" t="s">
        <v>318</v>
      </c>
      <c r="B9256" t="s">
        <v>7649</v>
      </c>
      <c r="C9256" t="s">
        <v>88</v>
      </c>
      <c r="D9256" t="s">
        <v>7650</v>
      </c>
      <c r="E9256" t="s">
        <v>725</v>
      </c>
      <c r="F9256" t="s">
        <v>88</v>
      </c>
      <c r="G9256" t="s">
        <v>88</v>
      </c>
      <c r="H9256" t="s">
        <v>92</v>
      </c>
    </row>
    <row r="9257" spans="1:8" x14ac:dyDescent="0.25">
      <c r="A9257" t="s">
        <v>318</v>
      </c>
      <c r="B9257" t="s">
        <v>3625</v>
      </c>
      <c r="C9257" t="s">
        <v>88</v>
      </c>
      <c r="D9257" t="s">
        <v>7651</v>
      </c>
      <c r="E9257" t="s">
        <v>725</v>
      </c>
      <c r="F9257" t="s">
        <v>88</v>
      </c>
      <c r="G9257" t="s">
        <v>88</v>
      </c>
      <c r="H9257" t="s">
        <v>92</v>
      </c>
    </row>
    <row r="9258" spans="1:8" x14ac:dyDescent="0.25">
      <c r="A9258" t="s">
        <v>318</v>
      </c>
      <c r="B9258" t="s">
        <v>7652</v>
      </c>
      <c r="C9258" t="s">
        <v>88</v>
      </c>
      <c r="D9258" t="s">
        <v>7653</v>
      </c>
      <c r="E9258" t="s">
        <v>725</v>
      </c>
      <c r="F9258" t="s">
        <v>88</v>
      </c>
      <c r="G9258" t="s">
        <v>88</v>
      </c>
      <c r="H9258" t="s">
        <v>92</v>
      </c>
    </row>
    <row r="9259" spans="1:8" x14ac:dyDescent="0.25">
      <c r="A9259" t="s">
        <v>318</v>
      </c>
      <c r="B9259" t="s">
        <v>7654</v>
      </c>
      <c r="C9259" t="s">
        <v>88</v>
      </c>
      <c r="D9259" t="s">
        <v>7655</v>
      </c>
      <c r="E9259" t="s">
        <v>725</v>
      </c>
      <c r="F9259" t="s">
        <v>88</v>
      </c>
      <c r="G9259" t="s">
        <v>88</v>
      </c>
      <c r="H9259" t="s">
        <v>92</v>
      </c>
    </row>
    <row r="9260" spans="1:8" x14ac:dyDescent="0.25">
      <c r="A9260" t="s">
        <v>318</v>
      </c>
      <c r="B9260" t="s">
        <v>7656</v>
      </c>
      <c r="C9260" t="s">
        <v>88</v>
      </c>
      <c r="D9260" t="s">
        <v>7657</v>
      </c>
      <c r="E9260" t="s">
        <v>725</v>
      </c>
      <c r="F9260" t="s">
        <v>88</v>
      </c>
      <c r="G9260" t="s">
        <v>88</v>
      </c>
      <c r="H9260" t="s">
        <v>92</v>
      </c>
    </row>
    <row r="9261" spans="1:8" x14ac:dyDescent="0.25">
      <c r="A9261" t="s">
        <v>318</v>
      </c>
      <c r="B9261" t="s">
        <v>7658</v>
      </c>
      <c r="C9261" t="s">
        <v>88</v>
      </c>
      <c r="D9261" t="s">
        <v>7659</v>
      </c>
      <c r="E9261" t="s">
        <v>725</v>
      </c>
      <c r="F9261" t="s">
        <v>88</v>
      </c>
      <c r="G9261" t="s">
        <v>88</v>
      </c>
      <c r="H9261" t="s">
        <v>92</v>
      </c>
    </row>
    <row r="9262" spans="1:8" x14ac:dyDescent="0.25">
      <c r="A9262" t="s">
        <v>318</v>
      </c>
      <c r="B9262" t="s">
        <v>7660</v>
      </c>
      <c r="C9262" t="s">
        <v>88</v>
      </c>
      <c r="D9262" t="s">
        <v>7661</v>
      </c>
      <c r="E9262" t="s">
        <v>725</v>
      </c>
      <c r="F9262" t="s">
        <v>88</v>
      </c>
      <c r="G9262" t="s">
        <v>88</v>
      </c>
      <c r="H9262" t="s">
        <v>92</v>
      </c>
    </row>
    <row r="9263" spans="1:8" x14ac:dyDescent="0.25">
      <c r="A9263" t="s">
        <v>318</v>
      </c>
      <c r="B9263" t="s">
        <v>7662</v>
      </c>
      <c r="C9263" t="s">
        <v>88</v>
      </c>
      <c r="D9263" t="s">
        <v>7663</v>
      </c>
      <c r="E9263" t="s">
        <v>725</v>
      </c>
      <c r="F9263" t="s">
        <v>88</v>
      </c>
      <c r="G9263" t="s">
        <v>88</v>
      </c>
      <c r="H9263" t="s">
        <v>92</v>
      </c>
    </row>
    <row r="9264" spans="1:8" x14ac:dyDescent="0.25">
      <c r="A9264" t="s">
        <v>318</v>
      </c>
      <c r="B9264" t="s">
        <v>7664</v>
      </c>
      <c r="C9264" t="s">
        <v>88</v>
      </c>
      <c r="D9264" t="s">
        <v>7665</v>
      </c>
      <c r="E9264" t="s">
        <v>725</v>
      </c>
      <c r="F9264" t="s">
        <v>88</v>
      </c>
      <c r="G9264" t="s">
        <v>88</v>
      </c>
      <c r="H9264" t="s">
        <v>92</v>
      </c>
    </row>
    <row r="9265" spans="1:8" x14ac:dyDescent="0.25">
      <c r="A9265" t="s">
        <v>318</v>
      </c>
      <c r="B9265" t="s">
        <v>7666</v>
      </c>
      <c r="C9265" t="s">
        <v>88</v>
      </c>
      <c r="D9265" t="s">
        <v>7667</v>
      </c>
      <c r="E9265" t="s">
        <v>673</v>
      </c>
      <c r="F9265" t="s">
        <v>88</v>
      </c>
      <c r="G9265" t="s">
        <v>88</v>
      </c>
      <c r="H9265" t="s">
        <v>92</v>
      </c>
    </row>
    <row r="9266" spans="1:8" x14ac:dyDescent="0.25">
      <c r="A9266" t="s">
        <v>318</v>
      </c>
      <c r="B9266" t="s">
        <v>7668</v>
      </c>
      <c r="C9266" t="s">
        <v>88</v>
      </c>
      <c r="D9266" t="s">
        <v>7669</v>
      </c>
      <c r="E9266" t="s">
        <v>673</v>
      </c>
      <c r="F9266" t="s">
        <v>88</v>
      </c>
      <c r="G9266" t="s">
        <v>88</v>
      </c>
      <c r="H9266" t="s">
        <v>92</v>
      </c>
    </row>
    <row r="9267" spans="1:8" x14ac:dyDescent="0.25">
      <c r="A9267" t="s">
        <v>318</v>
      </c>
      <c r="B9267" t="s">
        <v>7670</v>
      </c>
      <c r="C9267" t="s">
        <v>88</v>
      </c>
      <c r="D9267" t="s">
        <v>7671</v>
      </c>
      <c r="E9267" t="s">
        <v>673</v>
      </c>
      <c r="F9267" t="s">
        <v>88</v>
      </c>
      <c r="G9267" t="s">
        <v>88</v>
      </c>
      <c r="H9267" t="s">
        <v>92</v>
      </c>
    </row>
    <row r="9268" spans="1:8" x14ac:dyDescent="0.25">
      <c r="A9268" t="s">
        <v>318</v>
      </c>
      <c r="B9268" t="s">
        <v>7672</v>
      </c>
      <c r="C9268" t="s">
        <v>88</v>
      </c>
      <c r="D9268" t="s">
        <v>7673</v>
      </c>
      <c r="E9268" t="s">
        <v>673</v>
      </c>
      <c r="F9268" t="s">
        <v>88</v>
      </c>
      <c r="G9268" t="s">
        <v>88</v>
      </c>
      <c r="H9268" t="s">
        <v>92</v>
      </c>
    </row>
    <row r="9269" spans="1:8" x14ac:dyDescent="0.25">
      <c r="A9269" t="s">
        <v>318</v>
      </c>
      <c r="B9269" t="s">
        <v>3617</v>
      </c>
      <c r="C9269" t="s">
        <v>88</v>
      </c>
      <c r="D9269" t="s">
        <v>7674</v>
      </c>
      <c r="E9269" t="s">
        <v>883</v>
      </c>
      <c r="F9269" t="s">
        <v>88</v>
      </c>
      <c r="G9269" t="s">
        <v>88</v>
      </c>
      <c r="H9269" t="s">
        <v>92</v>
      </c>
    </row>
    <row r="9270" spans="1:8" x14ac:dyDescent="0.25">
      <c r="A9270" t="s">
        <v>318</v>
      </c>
      <c r="B9270" t="s">
        <v>3854</v>
      </c>
      <c r="C9270" t="s">
        <v>88</v>
      </c>
      <c r="D9270" t="s">
        <v>7675</v>
      </c>
      <c r="E9270" t="s">
        <v>883</v>
      </c>
      <c r="F9270" t="s">
        <v>88</v>
      </c>
      <c r="G9270" t="s">
        <v>88</v>
      </c>
      <c r="H9270" t="s">
        <v>92</v>
      </c>
    </row>
    <row r="9271" spans="1:8" x14ac:dyDescent="0.25">
      <c r="A9271" t="s">
        <v>318</v>
      </c>
      <c r="B9271" t="s">
        <v>3635</v>
      </c>
      <c r="C9271" t="s">
        <v>88</v>
      </c>
      <c r="D9271" t="s">
        <v>7676</v>
      </c>
      <c r="E9271" t="s">
        <v>883</v>
      </c>
      <c r="F9271" t="s">
        <v>88</v>
      </c>
      <c r="G9271" t="s">
        <v>88</v>
      </c>
      <c r="H9271" t="s">
        <v>92</v>
      </c>
    </row>
    <row r="9272" spans="1:8" x14ac:dyDescent="0.25">
      <c r="A9272" t="s">
        <v>318</v>
      </c>
      <c r="B9272" t="s">
        <v>7677</v>
      </c>
      <c r="C9272" t="s">
        <v>88</v>
      </c>
      <c r="D9272" t="s">
        <v>7678</v>
      </c>
      <c r="E9272" t="s">
        <v>883</v>
      </c>
      <c r="F9272" t="s">
        <v>88</v>
      </c>
      <c r="G9272" t="s">
        <v>88</v>
      </c>
      <c r="H9272" t="s">
        <v>92</v>
      </c>
    </row>
    <row r="9273" spans="1:8" x14ac:dyDescent="0.25">
      <c r="A9273" t="s">
        <v>318</v>
      </c>
      <c r="B9273" t="s">
        <v>7679</v>
      </c>
      <c r="C9273" t="s">
        <v>88</v>
      </c>
      <c r="D9273" t="s">
        <v>7646</v>
      </c>
      <c r="E9273" t="s">
        <v>893</v>
      </c>
      <c r="F9273" t="s">
        <v>88</v>
      </c>
      <c r="G9273" t="s">
        <v>88</v>
      </c>
      <c r="H9273" t="s">
        <v>92</v>
      </c>
    </row>
    <row r="9274" spans="1:8" x14ac:dyDescent="0.25">
      <c r="A9274" t="s">
        <v>318</v>
      </c>
      <c r="B9274" t="s">
        <v>7680</v>
      </c>
      <c r="C9274" t="s">
        <v>88</v>
      </c>
      <c r="D9274" t="s">
        <v>7648</v>
      </c>
      <c r="E9274" t="s">
        <v>893</v>
      </c>
      <c r="F9274" t="s">
        <v>88</v>
      </c>
      <c r="G9274" t="s">
        <v>88</v>
      </c>
      <c r="H9274" t="s">
        <v>92</v>
      </c>
    </row>
    <row r="9275" spans="1:8" x14ac:dyDescent="0.25">
      <c r="A9275" t="s">
        <v>318</v>
      </c>
      <c r="B9275" t="s">
        <v>7681</v>
      </c>
      <c r="C9275" t="s">
        <v>88</v>
      </c>
      <c r="D9275" t="s">
        <v>7650</v>
      </c>
      <c r="E9275" t="s">
        <v>979</v>
      </c>
      <c r="F9275" t="s">
        <v>88</v>
      </c>
      <c r="G9275" t="s">
        <v>88</v>
      </c>
      <c r="H9275" t="s">
        <v>92</v>
      </c>
    </row>
    <row r="9276" spans="1:8" x14ac:dyDescent="0.25">
      <c r="A9276" t="s">
        <v>318</v>
      </c>
      <c r="B9276" t="s">
        <v>3646</v>
      </c>
      <c r="C9276" t="s">
        <v>88</v>
      </c>
      <c r="D9276" t="s">
        <v>7651</v>
      </c>
      <c r="E9276" t="s">
        <v>979</v>
      </c>
      <c r="F9276" t="s">
        <v>88</v>
      </c>
      <c r="G9276" t="s">
        <v>88</v>
      </c>
      <c r="H9276" t="s">
        <v>92</v>
      </c>
    </row>
    <row r="9277" spans="1:8" x14ac:dyDescent="0.25">
      <c r="A9277" t="s">
        <v>318</v>
      </c>
      <c r="B9277" t="s">
        <v>7682</v>
      </c>
      <c r="C9277" t="s">
        <v>88</v>
      </c>
      <c r="D9277" t="s">
        <v>7653</v>
      </c>
      <c r="E9277" t="s">
        <v>979</v>
      </c>
      <c r="F9277" t="s">
        <v>88</v>
      </c>
      <c r="G9277" t="s">
        <v>88</v>
      </c>
      <c r="H9277" t="s">
        <v>92</v>
      </c>
    </row>
    <row r="9278" spans="1:8" x14ac:dyDescent="0.25">
      <c r="A9278" t="s">
        <v>318</v>
      </c>
      <c r="B9278" t="s">
        <v>7683</v>
      </c>
      <c r="C9278" t="s">
        <v>88</v>
      </c>
      <c r="D9278" t="s">
        <v>7655</v>
      </c>
      <c r="E9278" t="s">
        <v>979</v>
      </c>
      <c r="F9278" t="s">
        <v>88</v>
      </c>
      <c r="G9278" t="s">
        <v>88</v>
      </c>
      <c r="H9278" t="s">
        <v>92</v>
      </c>
    </row>
    <row r="9279" spans="1:8" x14ac:dyDescent="0.25">
      <c r="A9279" t="s">
        <v>318</v>
      </c>
      <c r="B9279" t="s">
        <v>7684</v>
      </c>
      <c r="C9279" t="s">
        <v>88</v>
      </c>
      <c r="D9279" t="s">
        <v>7657</v>
      </c>
      <c r="E9279" t="s">
        <v>979</v>
      </c>
      <c r="F9279" t="s">
        <v>88</v>
      </c>
      <c r="G9279" t="s">
        <v>88</v>
      </c>
      <c r="H9279" t="s">
        <v>92</v>
      </c>
    </row>
    <row r="9280" spans="1:8" x14ac:dyDescent="0.25">
      <c r="A9280" t="s">
        <v>318</v>
      </c>
      <c r="B9280" t="s">
        <v>7685</v>
      </c>
      <c r="C9280" t="s">
        <v>88</v>
      </c>
      <c r="D9280" t="s">
        <v>7659</v>
      </c>
      <c r="E9280" t="s">
        <v>979</v>
      </c>
      <c r="F9280" t="s">
        <v>88</v>
      </c>
      <c r="G9280" t="s">
        <v>88</v>
      </c>
      <c r="H9280" t="s">
        <v>92</v>
      </c>
    </row>
    <row r="9281" spans="1:8" x14ac:dyDescent="0.25">
      <c r="A9281" t="s">
        <v>318</v>
      </c>
      <c r="B9281" t="s">
        <v>7686</v>
      </c>
      <c r="C9281" t="s">
        <v>88</v>
      </c>
      <c r="D9281" t="s">
        <v>7661</v>
      </c>
      <c r="E9281" t="s">
        <v>979</v>
      </c>
      <c r="F9281" t="s">
        <v>88</v>
      </c>
      <c r="G9281" t="s">
        <v>88</v>
      </c>
      <c r="H9281" t="s">
        <v>92</v>
      </c>
    </row>
    <row r="9282" spans="1:8" x14ac:dyDescent="0.25">
      <c r="A9282" t="s">
        <v>318</v>
      </c>
      <c r="B9282" t="s">
        <v>7687</v>
      </c>
      <c r="C9282" t="s">
        <v>88</v>
      </c>
      <c r="D9282" t="s">
        <v>7663</v>
      </c>
      <c r="E9282" t="s">
        <v>979</v>
      </c>
      <c r="F9282" t="s">
        <v>88</v>
      </c>
      <c r="G9282" t="s">
        <v>88</v>
      </c>
      <c r="H9282" t="s">
        <v>92</v>
      </c>
    </row>
    <row r="9283" spans="1:8" x14ac:dyDescent="0.25">
      <c r="A9283" t="s">
        <v>318</v>
      </c>
      <c r="B9283" t="s">
        <v>7688</v>
      </c>
      <c r="C9283" t="s">
        <v>88</v>
      </c>
      <c r="D9283" t="s">
        <v>7665</v>
      </c>
      <c r="E9283" t="s">
        <v>979</v>
      </c>
      <c r="F9283" t="s">
        <v>88</v>
      </c>
      <c r="G9283" t="s">
        <v>88</v>
      </c>
      <c r="H9283" t="s">
        <v>92</v>
      </c>
    </row>
    <row r="9284" spans="1:8" x14ac:dyDescent="0.25">
      <c r="A9284" t="s">
        <v>318</v>
      </c>
      <c r="B9284" t="s">
        <v>7689</v>
      </c>
      <c r="C9284" t="s">
        <v>88</v>
      </c>
      <c r="D9284" t="s">
        <v>7667</v>
      </c>
      <c r="E9284" t="s">
        <v>893</v>
      </c>
      <c r="F9284" t="s">
        <v>88</v>
      </c>
      <c r="G9284" t="s">
        <v>88</v>
      </c>
      <c r="H9284" t="s">
        <v>92</v>
      </c>
    </row>
    <row r="9285" spans="1:8" x14ac:dyDescent="0.25">
      <c r="A9285" t="s">
        <v>318</v>
      </c>
      <c r="B9285" t="s">
        <v>7690</v>
      </c>
      <c r="C9285" t="s">
        <v>88</v>
      </c>
      <c r="D9285" t="s">
        <v>7669</v>
      </c>
      <c r="E9285" t="s">
        <v>893</v>
      </c>
      <c r="F9285" t="s">
        <v>88</v>
      </c>
      <c r="G9285" t="s">
        <v>88</v>
      </c>
      <c r="H9285" t="s">
        <v>92</v>
      </c>
    </row>
    <row r="9286" spans="1:8" x14ac:dyDescent="0.25">
      <c r="A9286" t="s">
        <v>318</v>
      </c>
      <c r="B9286" t="s">
        <v>7691</v>
      </c>
      <c r="C9286" t="s">
        <v>88</v>
      </c>
      <c r="D9286" t="s">
        <v>7671</v>
      </c>
      <c r="E9286" t="s">
        <v>893</v>
      </c>
      <c r="F9286" t="s">
        <v>88</v>
      </c>
      <c r="G9286" t="s">
        <v>88</v>
      </c>
      <c r="H9286" t="s">
        <v>92</v>
      </c>
    </row>
    <row r="9287" spans="1:8" x14ac:dyDescent="0.25">
      <c r="A9287" t="s">
        <v>318</v>
      </c>
      <c r="B9287" t="s">
        <v>7692</v>
      </c>
      <c r="C9287" t="s">
        <v>88</v>
      </c>
      <c r="D9287" t="s">
        <v>7673</v>
      </c>
      <c r="E9287" t="s">
        <v>893</v>
      </c>
      <c r="F9287" t="s">
        <v>88</v>
      </c>
      <c r="G9287" t="s">
        <v>88</v>
      </c>
      <c r="H9287" t="s">
        <v>92</v>
      </c>
    </row>
    <row r="9288" spans="1:8" x14ac:dyDescent="0.25">
      <c r="A9288" t="s">
        <v>318</v>
      </c>
      <c r="B9288" t="s">
        <v>3654</v>
      </c>
      <c r="C9288" t="s">
        <v>88</v>
      </c>
      <c r="D9288" t="s">
        <v>7674</v>
      </c>
      <c r="E9288" t="s">
        <v>1006</v>
      </c>
      <c r="F9288" t="s">
        <v>88</v>
      </c>
      <c r="G9288" t="s">
        <v>88</v>
      </c>
      <c r="H9288" t="s">
        <v>92</v>
      </c>
    </row>
    <row r="9289" spans="1:8" x14ac:dyDescent="0.25">
      <c r="A9289" t="s">
        <v>318</v>
      </c>
      <c r="B9289" t="s">
        <v>3781</v>
      </c>
      <c r="C9289" t="s">
        <v>88</v>
      </c>
      <c r="D9289" t="s">
        <v>7675</v>
      </c>
      <c r="E9289" t="s">
        <v>1006</v>
      </c>
      <c r="F9289" t="s">
        <v>88</v>
      </c>
      <c r="G9289" t="s">
        <v>88</v>
      </c>
      <c r="H9289" t="s">
        <v>92</v>
      </c>
    </row>
    <row r="9290" spans="1:8" x14ac:dyDescent="0.25">
      <c r="A9290" t="s">
        <v>318</v>
      </c>
      <c r="B9290" t="s">
        <v>3641</v>
      </c>
      <c r="C9290" t="s">
        <v>88</v>
      </c>
      <c r="D9290" t="s">
        <v>7676</v>
      </c>
      <c r="E9290" t="s">
        <v>1006</v>
      </c>
      <c r="F9290" t="s">
        <v>88</v>
      </c>
      <c r="G9290" t="s">
        <v>88</v>
      </c>
      <c r="H9290" t="s">
        <v>92</v>
      </c>
    </row>
    <row r="9291" spans="1:8" x14ac:dyDescent="0.25">
      <c r="A9291" t="s">
        <v>318</v>
      </c>
      <c r="B9291" t="s">
        <v>7693</v>
      </c>
      <c r="C9291" t="s">
        <v>88</v>
      </c>
      <c r="D9291" t="s">
        <v>7678</v>
      </c>
      <c r="E9291" t="s">
        <v>1006</v>
      </c>
      <c r="F9291" t="s">
        <v>88</v>
      </c>
      <c r="G9291" t="s">
        <v>88</v>
      </c>
      <c r="H9291" t="s">
        <v>92</v>
      </c>
    </row>
    <row r="9292" spans="1:8" x14ac:dyDescent="0.25">
      <c r="A9292" t="s">
        <v>318</v>
      </c>
      <c r="B9292" t="s">
        <v>7694</v>
      </c>
      <c r="C9292" t="s">
        <v>88</v>
      </c>
      <c r="D9292" t="s">
        <v>7695</v>
      </c>
      <c r="E9292" t="s">
        <v>676</v>
      </c>
      <c r="F9292" t="s">
        <v>88</v>
      </c>
      <c r="G9292" t="s">
        <v>88</v>
      </c>
      <c r="H9292" t="s">
        <v>92</v>
      </c>
    </row>
    <row r="9293" spans="1:8" x14ac:dyDescent="0.25">
      <c r="A9293" t="s">
        <v>318</v>
      </c>
      <c r="B9293" t="s">
        <v>7696</v>
      </c>
      <c r="C9293" t="s">
        <v>88</v>
      </c>
      <c r="D9293" t="s">
        <v>7697</v>
      </c>
      <c r="E9293" t="s">
        <v>676</v>
      </c>
      <c r="F9293" t="s">
        <v>88</v>
      </c>
      <c r="G9293" t="s">
        <v>88</v>
      </c>
      <c r="H9293" t="s">
        <v>92</v>
      </c>
    </row>
    <row r="9294" spans="1:8" x14ac:dyDescent="0.25">
      <c r="A9294" t="s">
        <v>318</v>
      </c>
      <c r="B9294" t="s">
        <v>7698</v>
      </c>
      <c r="C9294" t="s">
        <v>88</v>
      </c>
      <c r="D9294" t="s">
        <v>7699</v>
      </c>
      <c r="E9294" t="s">
        <v>6044</v>
      </c>
      <c r="F9294" t="s">
        <v>88</v>
      </c>
      <c r="G9294" t="s">
        <v>88</v>
      </c>
      <c r="H9294" t="s">
        <v>92</v>
      </c>
    </row>
    <row r="9295" spans="1:8" x14ac:dyDescent="0.25">
      <c r="A9295" t="s">
        <v>318</v>
      </c>
      <c r="B9295" t="s">
        <v>7700</v>
      </c>
      <c r="C9295" t="s">
        <v>88</v>
      </c>
      <c r="D9295" t="s">
        <v>3604</v>
      </c>
      <c r="E9295" t="s">
        <v>6044</v>
      </c>
      <c r="F9295" t="s">
        <v>88</v>
      </c>
      <c r="G9295" t="s">
        <v>88</v>
      </c>
      <c r="H9295" t="s">
        <v>92</v>
      </c>
    </row>
    <row r="9296" spans="1:8" x14ac:dyDescent="0.25">
      <c r="A9296" t="s">
        <v>318</v>
      </c>
      <c r="B9296" t="s">
        <v>3671</v>
      </c>
      <c r="C9296" t="s">
        <v>88</v>
      </c>
      <c r="D9296" t="s">
        <v>7701</v>
      </c>
      <c r="E9296" t="s">
        <v>3593</v>
      </c>
      <c r="F9296" t="s">
        <v>88</v>
      </c>
      <c r="G9296" t="s">
        <v>88</v>
      </c>
      <c r="H9296" t="s">
        <v>92</v>
      </c>
    </row>
    <row r="9297" spans="1:8" x14ac:dyDescent="0.25">
      <c r="A9297" t="s">
        <v>318</v>
      </c>
      <c r="B9297" t="s">
        <v>7702</v>
      </c>
      <c r="C9297" t="s">
        <v>88</v>
      </c>
      <c r="D9297" t="s">
        <v>7703</v>
      </c>
      <c r="E9297" t="s">
        <v>1756</v>
      </c>
      <c r="F9297" t="s">
        <v>88</v>
      </c>
      <c r="G9297" t="s">
        <v>88</v>
      </c>
      <c r="H9297" t="s">
        <v>92</v>
      </c>
    </row>
    <row r="9298" spans="1:8" x14ac:dyDescent="0.25">
      <c r="A9298" t="s">
        <v>318</v>
      </c>
      <c r="B9298" t="s">
        <v>3674</v>
      </c>
      <c r="C9298" t="s">
        <v>88</v>
      </c>
      <c r="D9298" t="s">
        <v>7704</v>
      </c>
      <c r="E9298" t="s">
        <v>1756</v>
      </c>
      <c r="F9298" t="s">
        <v>88</v>
      </c>
      <c r="G9298" t="s">
        <v>88</v>
      </c>
      <c r="H9298" t="s">
        <v>92</v>
      </c>
    </row>
    <row r="9299" spans="1:8" x14ac:dyDescent="0.25">
      <c r="A9299" t="s">
        <v>318</v>
      </c>
      <c r="B9299" t="s">
        <v>7705</v>
      </c>
      <c r="C9299" t="s">
        <v>88</v>
      </c>
      <c r="D9299" t="s">
        <v>3638</v>
      </c>
      <c r="E9299" t="s">
        <v>1756</v>
      </c>
      <c r="F9299" t="s">
        <v>88</v>
      </c>
      <c r="G9299" t="s">
        <v>88</v>
      </c>
      <c r="H9299" t="s">
        <v>92</v>
      </c>
    </row>
    <row r="9300" spans="1:8" x14ac:dyDescent="0.25">
      <c r="A9300" t="s">
        <v>318</v>
      </c>
      <c r="B9300" t="s">
        <v>7706</v>
      </c>
      <c r="C9300" t="s">
        <v>88</v>
      </c>
      <c r="D9300" t="s">
        <v>7707</v>
      </c>
      <c r="E9300" t="s">
        <v>676</v>
      </c>
      <c r="F9300" t="s">
        <v>88</v>
      </c>
      <c r="G9300" t="s">
        <v>88</v>
      </c>
      <c r="H9300" t="s">
        <v>92</v>
      </c>
    </row>
    <row r="9301" spans="1:8" x14ac:dyDescent="0.25">
      <c r="A9301" t="s">
        <v>318</v>
      </c>
      <c r="B9301" t="s">
        <v>7708</v>
      </c>
      <c r="C9301" t="s">
        <v>88</v>
      </c>
      <c r="D9301" t="s">
        <v>7709</v>
      </c>
      <c r="E9301" t="s">
        <v>676</v>
      </c>
      <c r="F9301" t="s">
        <v>88</v>
      </c>
      <c r="G9301" t="s">
        <v>88</v>
      </c>
      <c r="H9301" t="s">
        <v>92</v>
      </c>
    </row>
    <row r="9302" spans="1:8" x14ac:dyDescent="0.25">
      <c r="A9302" t="s">
        <v>318</v>
      </c>
      <c r="B9302" t="s">
        <v>7710</v>
      </c>
      <c r="C9302" t="s">
        <v>88</v>
      </c>
      <c r="D9302" t="s">
        <v>7711</v>
      </c>
      <c r="E9302" t="s">
        <v>1756</v>
      </c>
      <c r="F9302" t="s">
        <v>88</v>
      </c>
      <c r="G9302" t="s">
        <v>88</v>
      </c>
      <c r="H9302" t="s">
        <v>92</v>
      </c>
    </row>
    <row r="9303" spans="1:8" x14ac:dyDescent="0.25">
      <c r="A9303" t="s">
        <v>318</v>
      </c>
      <c r="B9303" t="s">
        <v>7712</v>
      </c>
      <c r="C9303" t="s">
        <v>88</v>
      </c>
      <c r="D9303" t="s">
        <v>7713</v>
      </c>
      <c r="E9303" t="s">
        <v>1756</v>
      </c>
      <c r="F9303" t="s">
        <v>88</v>
      </c>
      <c r="G9303" t="s">
        <v>88</v>
      </c>
      <c r="H9303" t="s">
        <v>92</v>
      </c>
    </row>
    <row r="9304" spans="1:8" x14ac:dyDescent="0.25">
      <c r="A9304" t="s">
        <v>318</v>
      </c>
      <c r="B9304" t="s">
        <v>7714</v>
      </c>
      <c r="C9304" t="s">
        <v>88</v>
      </c>
      <c r="D9304" t="s">
        <v>7715</v>
      </c>
      <c r="E9304" t="s">
        <v>3593</v>
      </c>
      <c r="F9304" t="s">
        <v>88</v>
      </c>
      <c r="G9304" t="s">
        <v>88</v>
      </c>
      <c r="H9304" t="s">
        <v>92</v>
      </c>
    </row>
    <row r="9305" spans="1:8" x14ac:dyDescent="0.25">
      <c r="A9305" t="s">
        <v>318</v>
      </c>
      <c r="B9305" t="s">
        <v>7716</v>
      </c>
      <c r="C9305" t="s">
        <v>88</v>
      </c>
      <c r="D9305" t="s">
        <v>7717</v>
      </c>
      <c r="E9305" t="s">
        <v>676</v>
      </c>
      <c r="F9305" t="s">
        <v>88</v>
      </c>
      <c r="G9305" t="s">
        <v>88</v>
      </c>
      <c r="H9305" t="s">
        <v>92</v>
      </c>
    </row>
    <row r="9306" spans="1:8" x14ac:dyDescent="0.25">
      <c r="A9306" t="s">
        <v>318</v>
      </c>
      <c r="B9306" t="s">
        <v>7718</v>
      </c>
      <c r="C9306" t="s">
        <v>88</v>
      </c>
      <c r="D9306" t="s">
        <v>7719</v>
      </c>
      <c r="E9306" t="s">
        <v>1756</v>
      </c>
      <c r="F9306" t="s">
        <v>88</v>
      </c>
      <c r="G9306" t="s">
        <v>88</v>
      </c>
      <c r="H9306" t="s">
        <v>92</v>
      </c>
    </row>
    <row r="9307" spans="1:8" x14ac:dyDescent="0.25">
      <c r="A9307" t="s">
        <v>318</v>
      </c>
      <c r="B9307" t="s">
        <v>7720</v>
      </c>
      <c r="C9307" t="s">
        <v>88</v>
      </c>
      <c r="D9307" t="s">
        <v>7721</v>
      </c>
      <c r="E9307" t="s">
        <v>1756</v>
      </c>
      <c r="F9307" t="s">
        <v>88</v>
      </c>
      <c r="G9307" t="s">
        <v>88</v>
      </c>
      <c r="H9307" t="s">
        <v>92</v>
      </c>
    </row>
    <row r="9308" spans="1:8" x14ac:dyDescent="0.25">
      <c r="A9308" t="s">
        <v>318</v>
      </c>
      <c r="B9308" t="s">
        <v>3827</v>
      </c>
      <c r="C9308" t="s">
        <v>88</v>
      </c>
      <c r="D9308" t="s">
        <v>7722</v>
      </c>
      <c r="E9308" t="s">
        <v>3593</v>
      </c>
      <c r="F9308" t="s">
        <v>88</v>
      </c>
      <c r="G9308" t="s">
        <v>88</v>
      </c>
      <c r="H9308" t="s">
        <v>92</v>
      </c>
    </row>
    <row r="9309" spans="1:8" x14ac:dyDescent="0.25">
      <c r="A9309" t="s">
        <v>318</v>
      </c>
      <c r="B9309" t="s">
        <v>3673</v>
      </c>
      <c r="C9309" t="s">
        <v>88</v>
      </c>
      <c r="D9309" t="s">
        <v>7723</v>
      </c>
      <c r="E9309" t="s">
        <v>3593</v>
      </c>
      <c r="F9309" t="s">
        <v>88</v>
      </c>
      <c r="G9309" t="s">
        <v>88</v>
      </c>
      <c r="H9309" t="s">
        <v>92</v>
      </c>
    </row>
    <row r="9310" spans="1:8" x14ac:dyDescent="0.25">
      <c r="A9310" t="s">
        <v>318</v>
      </c>
      <c r="B9310" t="s">
        <v>7724</v>
      </c>
      <c r="C9310" t="s">
        <v>88</v>
      </c>
      <c r="D9310" t="s">
        <v>7725</v>
      </c>
      <c r="E9310" t="s">
        <v>1756</v>
      </c>
      <c r="F9310" t="s">
        <v>88</v>
      </c>
      <c r="G9310" t="s">
        <v>88</v>
      </c>
      <c r="H9310" t="s">
        <v>92</v>
      </c>
    </row>
    <row r="9311" spans="1:8" x14ac:dyDescent="0.25">
      <c r="A9311" t="s">
        <v>318</v>
      </c>
      <c r="B9311" t="s">
        <v>7726</v>
      </c>
      <c r="C9311" t="s">
        <v>88</v>
      </c>
      <c r="D9311" t="s">
        <v>7695</v>
      </c>
      <c r="E9311" t="s">
        <v>4259</v>
      </c>
      <c r="F9311" t="s">
        <v>88</v>
      </c>
      <c r="G9311" t="s">
        <v>88</v>
      </c>
      <c r="H9311" t="s">
        <v>92</v>
      </c>
    </row>
    <row r="9312" spans="1:8" x14ac:dyDescent="0.25">
      <c r="A9312" t="s">
        <v>318</v>
      </c>
      <c r="B9312" t="s">
        <v>7727</v>
      </c>
      <c r="C9312" t="s">
        <v>88</v>
      </c>
      <c r="D9312" t="s">
        <v>7697</v>
      </c>
      <c r="E9312" t="s">
        <v>4259</v>
      </c>
      <c r="F9312" t="s">
        <v>88</v>
      </c>
      <c r="G9312" t="s">
        <v>88</v>
      </c>
      <c r="H9312" t="s">
        <v>92</v>
      </c>
    </row>
    <row r="9313" spans="1:8" x14ac:dyDescent="0.25">
      <c r="A9313" t="s">
        <v>318</v>
      </c>
      <c r="B9313" t="s">
        <v>7293</v>
      </c>
      <c r="C9313" t="s">
        <v>88</v>
      </c>
      <c r="D9313" t="s">
        <v>7699</v>
      </c>
      <c r="E9313" t="s">
        <v>902</v>
      </c>
      <c r="F9313" t="s">
        <v>88</v>
      </c>
      <c r="G9313" t="s">
        <v>88</v>
      </c>
      <c r="H9313" t="s">
        <v>92</v>
      </c>
    </row>
    <row r="9314" spans="1:8" x14ac:dyDescent="0.25">
      <c r="A9314" t="s">
        <v>318</v>
      </c>
      <c r="B9314" t="s">
        <v>7728</v>
      </c>
      <c r="C9314" t="s">
        <v>88</v>
      </c>
      <c r="D9314" t="s">
        <v>3604</v>
      </c>
      <c r="E9314" t="s">
        <v>902</v>
      </c>
      <c r="F9314" t="s">
        <v>88</v>
      </c>
      <c r="G9314" t="s">
        <v>88</v>
      </c>
      <c r="H9314" t="s">
        <v>92</v>
      </c>
    </row>
    <row r="9315" spans="1:8" x14ac:dyDescent="0.25">
      <c r="A9315" t="s">
        <v>318</v>
      </c>
      <c r="B9315" t="s">
        <v>4306</v>
      </c>
      <c r="C9315" t="s">
        <v>88</v>
      </c>
      <c r="D9315" t="s">
        <v>7701</v>
      </c>
      <c r="E9315" t="s">
        <v>1714</v>
      </c>
      <c r="F9315" t="s">
        <v>88</v>
      </c>
      <c r="G9315" t="s">
        <v>88</v>
      </c>
      <c r="H9315" t="s">
        <v>92</v>
      </c>
    </row>
    <row r="9316" spans="1:8" x14ac:dyDescent="0.25">
      <c r="A9316" t="s">
        <v>318</v>
      </c>
      <c r="B9316" t="s">
        <v>7729</v>
      </c>
      <c r="C9316" t="s">
        <v>88</v>
      </c>
      <c r="D9316" t="s">
        <v>7703</v>
      </c>
      <c r="E9316" t="s">
        <v>902</v>
      </c>
      <c r="F9316" t="s">
        <v>88</v>
      </c>
      <c r="G9316" t="s">
        <v>88</v>
      </c>
      <c r="H9316" t="s">
        <v>92</v>
      </c>
    </row>
    <row r="9317" spans="1:8" x14ac:dyDescent="0.25">
      <c r="A9317" t="s">
        <v>318</v>
      </c>
      <c r="B9317" t="s">
        <v>7295</v>
      </c>
      <c r="C9317" t="s">
        <v>88</v>
      </c>
      <c r="D9317" t="s">
        <v>7704</v>
      </c>
      <c r="E9317" t="s">
        <v>902</v>
      </c>
      <c r="F9317" t="s">
        <v>88</v>
      </c>
      <c r="G9317" t="s">
        <v>88</v>
      </c>
      <c r="H9317" t="s">
        <v>92</v>
      </c>
    </row>
    <row r="9318" spans="1:8" x14ac:dyDescent="0.25">
      <c r="A9318" t="s">
        <v>318</v>
      </c>
      <c r="B9318" t="s">
        <v>4316</v>
      </c>
      <c r="C9318" t="s">
        <v>88</v>
      </c>
      <c r="D9318" t="s">
        <v>3638</v>
      </c>
      <c r="E9318" t="s">
        <v>902</v>
      </c>
      <c r="F9318" t="s">
        <v>88</v>
      </c>
      <c r="G9318" t="s">
        <v>88</v>
      </c>
      <c r="H9318" t="s">
        <v>92</v>
      </c>
    </row>
    <row r="9319" spans="1:8" x14ac:dyDescent="0.25">
      <c r="A9319" t="s">
        <v>318</v>
      </c>
      <c r="B9319" t="s">
        <v>4320</v>
      </c>
      <c r="C9319" t="s">
        <v>88</v>
      </c>
      <c r="D9319" t="s">
        <v>7707</v>
      </c>
      <c r="E9319" t="s">
        <v>4259</v>
      </c>
      <c r="F9319" t="s">
        <v>88</v>
      </c>
      <c r="G9319" t="s">
        <v>88</v>
      </c>
      <c r="H9319" t="s">
        <v>92</v>
      </c>
    </row>
    <row r="9320" spans="1:8" x14ac:dyDescent="0.25">
      <c r="A9320" t="s">
        <v>318</v>
      </c>
      <c r="B9320" t="s">
        <v>7730</v>
      </c>
      <c r="C9320" t="s">
        <v>88</v>
      </c>
      <c r="D9320" t="s">
        <v>7709</v>
      </c>
      <c r="E9320" t="s">
        <v>4259</v>
      </c>
      <c r="F9320" t="s">
        <v>88</v>
      </c>
      <c r="G9320" t="s">
        <v>88</v>
      </c>
      <c r="H9320" t="s">
        <v>92</v>
      </c>
    </row>
    <row r="9321" spans="1:8" x14ac:dyDescent="0.25">
      <c r="A9321" t="s">
        <v>318</v>
      </c>
      <c r="B9321" t="s">
        <v>4304</v>
      </c>
      <c r="C9321" t="s">
        <v>88</v>
      </c>
      <c r="D9321" t="s">
        <v>7711</v>
      </c>
      <c r="E9321" t="s">
        <v>902</v>
      </c>
      <c r="F9321" t="s">
        <v>88</v>
      </c>
      <c r="G9321" t="s">
        <v>88</v>
      </c>
      <c r="H9321" t="s">
        <v>92</v>
      </c>
    </row>
    <row r="9322" spans="1:8" x14ac:dyDescent="0.25">
      <c r="A9322" t="s">
        <v>318</v>
      </c>
      <c r="B9322" t="s">
        <v>7731</v>
      </c>
      <c r="C9322" t="s">
        <v>88</v>
      </c>
      <c r="D9322" t="s">
        <v>7713</v>
      </c>
      <c r="E9322" t="s">
        <v>902</v>
      </c>
      <c r="F9322" t="s">
        <v>88</v>
      </c>
      <c r="G9322" t="s">
        <v>88</v>
      </c>
      <c r="H9322" t="s">
        <v>92</v>
      </c>
    </row>
    <row r="9323" spans="1:8" x14ac:dyDescent="0.25">
      <c r="A9323" t="s">
        <v>318</v>
      </c>
      <c r="B9323" t="s">
        <v>7732</v>
      </c>
      <c r="C9323" t="s">
        <v>88</v>
      </c>
      <c r="D9323" t="s">
        <v>7715</v>
      </c>
      <c r="E9323" t="s">
        <v>1714</v>
      </c>
      <c r="F9323" t="s">
        <v>88</v>
      </c>
      <c r="G9323" t="s">
        <v>88</v>
      </c>
      <c r="H9323" t="s">
        <v>92</v>
      </c>
    </row>
    <row r="9324" spans="1:8" x14ac:dyDescent="0.25">
      <c r="A9324" t="s">
        <v>318</v>
      </c>
      <c r="B9324" t="s">
        <v>7733</v>
      </c>
      <c r="C9324" t="s">
        <v>88</v>
      </c>
      <c r="D9324" t="s">
        <v>7717</v>
      </c>
      <c r="E9324" t="s">
        <v>4259</v>
      </c>
      <c r="F9324" t="s">
        <v>88</v>
      </c>
      <c r="G9324" t="s">
        <v>88</v>
      </c>
      <c r="H9324" t="s">
        <v>92</v>
      </c>
    </row>
    <row r="9325" spans="1:8" x14ac:dyDescent="0.25">
      <c r="A9325" t="s">
        <v>318</v>
      </c>
      <c r="B9325" t="s">
        <v>7734</v>
      </c>
      <c r="C9325" t="s">
        <v>88</v>
      </c>
      <c r="D9325" t="s">
        <v>7719</v>
      </c>
      <c r="E9325" t="s">
        <v>902</v>
      </c>
      <c r="F9325" t="s">
        <v>88</v>
      </c>
      <c r="G9325" t="s">
        <v>88</v>
      </c>
      <c r="H9325" t="s">
        <v>92</v>
      </c>
    </row>
    <row r="9326" spans="1:8" x14ac:dyDescent="0.25">
      <c r="A9326" t="s">
        <v>318</v>
      </c>
      <c r="B9326" t="s">
        <v>7735</v>
      </c>
      <c r="C9326" t="s">
        <v>88</v>
      </c>
      <c r="D9326" t="s">
        <v>7721</v>
      </c>
      <c r="E9326" t="s">
        <v>4259</v>
      </c>
      <c r="F9326" t="s">
        <v>88</v>
      </c>
      <c r="G9326" t="s">
        <v>88</v>
      </c>
      <c r="H9326" t="s">
        <v>92</v>
      </c>
    </row>
    <row r="9327" spans="1:8" x14ac:dyDescent="0.25">
      <c r="A9327" t="s">
        <v>318</v>
      </c>
      <c r="B9327" t="s">
        <v>7583</v>
      </c>
      <c r="C9327" t="s">
        <v>88</v>
      </c>
      <c r="D9327" t="s">
        <v>7722</v>
      </c>
      <c r="E9327" t="s">
        <v>1714</v>
      </c>
      <c r="F9327" t="s">
        <v>88</v>
      </c>
      <c r="G9327" t="s">
        <v>88</v>
      </c>
      <c r="H9327" t="s">
        <v>92</v>
      </c>
    </row>
    <row r="9328" spans="1:8" x14ac:dyDescent="0.25">
      <c r="A9328" t="s">
        <v>318</v>
      </c>
      <c r="B9328" t="s">
        <v>7736</v>
      </c>
      <c r="C9328" t="s">
        <v>88</v>
      </c>
      <c r="D9328" t="s">
        <v>7723</v>
      </c>
      <c r="E9328" t="s">
        <v>1714</v>
      </c>
      <c r="F9328" t="s">
        <v>88</v>
      </c>
      <c r="G9328" t="s">
        <v>88</v>
      </c>
      <c r="H9328" t="s">
        <v>92</v>
      </c>
    </row>
    <row r="9329" spans="1:8" x14ac:dyDescent="0.25">
      <c r="A9329" t="s">
        <v>318</v>
      </c>
      <c r="B9329" t="s">
        <v>7737</v>
      </c>
      <c r="C9329" t="s">
        <v>88</v>
      </c>
      <c r="D9329" t="s">
        <v>7725</v>
      </c>
      <c r="E9329" t="s">
        <v>902</v>
      </c>
      <c r="F9329" t="s">
        <v>88</v>
      </c>
      <c r="G9329" t="s">
        <v>88</v>
      </c>
      <c r="H9329" t="s">
        <v>92</v>
      </c>
    </row>
    <row r="9330" spans="1:8" x14ac:dyDescent="0.25">
      <c r="A9330" t="s">
        <v>318</v>
      </c>
      <c r="B9330" t="s">
        <v>7738</v>
      </c>
      <c r="C9330" t="s">
        <v>88</v>
      </c>
      <c r="D9330" t="s">
        <v>88</v>
      </c>
      <c r="E9330" t="s">
        <v>1323</v>
      </c>
      <c r="F9330" t="s">
        <v>88</v>
      </c>
      <c r="G9330" t="s">
        <v>88</v>
      </c>
      <c r="H9330" t="s">
        <v>92</v>
      </c>
    </row>
    <row r="9331" spans="1:8" x14ac:dyDescent="0.25">
      <c r="A9331" t="s">
        <v>318</v>
      </c>
      <c r="B9331" t="s">
        <v>7739</v>
      </c>
      <c r="C9331" t="s">
        <v>88</v>
      </c>
      <c r="D9331" t="s">
        <v>88</v>
      </c>
      <c r="E9331" t="s">
        <v>679</v>
      </c>
      <c r="F9331" t="s">
        <v>88</v>
      </c>
      <c r="G9331" t="s">
        <v>88</v>
      </c>
      <c r="H9331" t="s">
        <v>92</v>
      </c>
    </row>
    <row r="9332" spans="1:8" x14ac:dyDescent="0.25">
      <c r="A9332" t="s">
        <v>318</v>
      </c>
      <c r="B9332" t="s">
        <v>7740</v>
      </c>
      <c r="C9332" t="s">
        <v>88</v>
      </c>
      <c r="D9332" t="s">
        <v>88</v>
      </c>
      <c r="E9332" t="s">
        <v>748</v>
      </c>
      <c r="F9332" t="s">
        <v>88</v>
      </c>
      <c r="G9332" t="s">
        <v>88</v>
      </c>
      <c r="H9332" t="s">
        <v>92</v>
      </c>
    </row>
    <row r="9333" spans="1:8" x14ac:dyDescent="0.25">
      <c r="A9333" t="s">
        <v>318</v>
      </c>
      <c r="B9333" t="s">
        <v>7515</v>
      </c>
      <c r="C9333" t="s">
        <v>88</v>
      </c>
      <c r="D9333" t="s">
        <v>88</v>
      </c>
      <c r="E9333" t="s">
        <v>732</v>
      </c>
      <c r="F9333" t="s">
        <v>88</v>
      </c>
      <c r="G9333" t="s">
        <v>88</v>
      </c>
      <c r="H9333" t="s">
        <v>92</v>
      </c>
    </row>
    <row r="9334" spans="1:8" x14ac:dyDescent="0.25">
      <c r="A9334" t="s">
        <v>318</v>
      </c>
      <c r="B9334" t="s">
        <v>7741</v>
      </c>
      <c r="C9334" t="s">
        <v>88</v>
      </c>
      <c r="D9334" t="s">
        <v>88</v>
      </c>
      <c r="E9334" t="s">
        <v>1323</v>
      </c>
      <c r="F9334" t="s">
        <v>88</v>
      </c>
      <c r="G9334" t="s">
        <v>88</v>
      </c>
      <c r="H9334" t="s">
        <v>92</v>
      </c>
    </row>
    <row r="9335" spans="1:8" x14ac:dyDescent="0.25">
      <c r="A9335" t="s">
        <v>318</v>
      </c>
      <c r="B9335" t="s">
        <v>7516</v>
      </c>
      <c r="C9335" t="s">
        <v>88</v>
      </c>
      <c r="D9335" t="s">
        <v>88</v>
      </c>
      <c r="E9335" t="s">
        <v>780</v>
      </c>
      <c r="F9335" t="s">
        <v>88</v>
      </c>
      <c r="G9335" t="s">
        <v>88</v>
      </c>
      <c r="H9335" t="s">
        <v>92</v>
      </c>
    </row>
    <row r="9336" spans="1:8" x14ac:dyDescent="0.25">
      <c r="A9336" t="s">
        <v>318</v>
      </c>
      <c r="B9336" t="s">
        <v>7297</v>
      </c>
      <c r="C9336" t="s">
        <v>88</v>
      </c>
      <c r="D9336" t="s">
        <v>88</v>
      </c>
      <c r="E9336" t="s">
        <v>709</v>
      </c>
      <c r="F9336" t="s">
        <v>88</v>
      </c>
      <c r="G9336" t="s">
        <v>88</v>
      </c>
      <c r="H9336" t="s">
        <v>92</v>
      </c>
    </row>
    <row r="9337" spans="1:8" x14ac:dyDescent="0.25">
      <c r="A9337" t="s">
        <v>318</v>
      </c>
      <c r="B9337" t="s">
        <v>1874</v>
      </c>
      <c r="C9337" t="s">
        <v>88</v>
      </c>
      <c r="D9337" t="s">
        <v>88</v>
      </c>
      <c r="E9337" t="s">
        <v>732</v>
      </c>
      <c r="F9337" t="s">
        <v>88</v>
      </c>
      <c r="G9337" t="s">
        <v>88</v>
      </c>
      <c r="H9337" t="s">
        <v>92</v>
      </c>
    </row>
    <row r="9338" spans="1:8" x14ac:dyDescent="0.25">
      <c r="A9338" t="s">
        <v>318</v>
      </c>
      <c r="B9338" t="s">
        <v>7517</v>
      </c>
      <c r="C9338" t="s">
        <v>88</v>
      </c>
      <c r="D9338" t="s">
        <v>88</v>
      </c>
      <c r="E9338" t="s">
        <v>791</v>
      </c>
      <c r="F9338" t="s">
        <v>88</v>
      </c>
      <c r="G9338" t="s">
        <v>88</v>
      </c>
      <c r="H9338" t="s">
        <v>92</v>
      </c>
    </row>
    <row r="9339" spans="1:8" x14ac:dyDescent="0.25">
      <c r="A9339" t="s">
        <v>318</v>
      </c>
      <c r="B9339" t="s">
        <v>7742</v>
      </c>
      <c r="C9339" t="s">
        <v>88</v>
      </c>
      <c r="D9339" t="s">
        <v>88</v>
      </c>
      <c r="E9339" t="s">
        <v>715</v>
      </c>
      <c r="F9339" t="s">
        <v>88</v>
      </c>
      <c r="G9339" t="s">
        <v>88</v>
      </c>
      <c r="H9339" t="s">
        <v>92</v>
      </c>
    </row>
    <row r="9340" spans="1:8" x14ac:dyDescent="0.25">
      <c r="A9340" t="s">
        <v>318</v>
      </c>
      <c r="B9340" t="s">
        <v>2210</v>
      </c>
      <c r="C9340" t="s">
        <v>88</v>
      </c>
      <c r="D9340" t="s">
        <v>88</v>
      </c>
      <c r="E9340" t="s">
        <v>791</v>
      </c>
      <c r="F9340" t="s">
        <v>88</v>
      </c>
      <c r="G9340" t="s">
        <v>88</v>
      </c>
      <c r="H9340" t="s">
        <v>92</v>
      </c>
    </row>
    <row r="9341" spans="1:8" x14ac:dyDescent="0.25">
      <c r="A9341" t="s">
        <v>318</v>
      </c>
      <c r="B9341" t="s">
        <v>608</v>
      </c>
      <c r="C9341" t="s">
        <v>88</v>
      </c>
      <c r="D9341" t="s">
        <v>88</v>
      </c>
      <c r="E9341" t="s">
        <v>738</v>
      </c>
      <c r="F9341" t="s">
        <v>88</v>
      </c>
      <c r="G9341" t="s">
        <v>88</v>
      </c>
      <c r="H9341" t="s">
        <v>92</v>
      </c>
    </row>
    <row r="9342" spans="1:8" x14ac:dyDescent="0.25">
      <c r="A9342" t="s">
        <v>318</v>
      </c>
      <c r="B9342" t="s">
        <v>7743</v>
      </c>
      <c r="C9342" t="s">
        <v>88</v>
      </c>
      <c r="D9342" t="s">
        <v>88</v>
      </c>
      <c r="E9342" t="s">
        <v>1323</v>
      </c>
      <c r="F9342" t="s">
        <v>88</v>
      </c>
      <c r="G9342" t="s">
        <v>88</v>
      </c>
      <c r="H9342" t="s">
        <v>92</v>
      </c>
    </row>
    <row r="9343" spans="1:8" x14ac:dyDescent="0.25">
      <c r="A9343" t="s">
        <v>318</v>
      </c>
      <c r="B9343" t="s">
        <v>7744</v>
      </c>
      <c r="C9343" t="s">
        <v>88</v>
      </c>
      <c r="D9343" t="s">
        <v>88</v>
      </c>
      <c r="E9343" t="s">
        <v>780</v>
      </c>
      <c r="F9343" t="s">
        <v>88</v>
      </c>
      <c r="G9343" t="s">
        <v>88</v>
      </c>
      <c r="H9343" t="s">
        <v>92</v>
      </c>
    </row>
    <row r="9344" spans="1:8" x14ac:dyDescent="0.25">
      <c r="A9344" t="s">
        <v>318</v>
      </c>
      <c r="B9344" t="s">
        <v>7745</v>
      </c>
      <c r="C9344" t="s">
        <v>88</v>
      </c>
      <c r="D9344" t="s">
        <v>7713</v>
      </c>
      <c r="E9344" t="s">
        <v>715</v>
      </c>
      <c r="F9344" t="s">
        <v>88</v>
      </c>
      <c r="G9344" t="s">
        <v>88</v>
      </c>
      <c r="H9344" t="s">
        <v>92</v>
      </c>
    </row>
    <row r="9345" spans="1:8" x14ac:dyDescent="0.25">
      <c r="A9345" t="s">
        <v>318</v>
      </c>
      <c r="B9345" t="s">
        <v>7746</v>
      </c>
      <c r="C9345" t="s">
        <v>88</v>
      </c>
      <c r="D9345" t="s">
        <v>7713</v>
      </c>
      <c r="E9345" t="s">
        <v>734</v>
      </c>
      <c r="F9345" t="s">
        <v>88</v>
      </c>
      <c r="G9345" t="s">
        <v>88</v>
      </c>
      <c r="H9345" t="s">
        <v>92</v>
      </c>
    </row>
    <row r="9346" spans="1:8" x14ac:dyDescent="0.25">
      <c r="A9346" t="s">
        <v>318</v>
      </c>
      <c r="B9346" t="s">
        <v>7747</v>
      </c>
      <c r="C9346" t="s">
        <v>88</v>
      </c>
      <c r="D9346" t="s">
        <v>88</v>
      </c>
      <c r="E9346" t="s">
        <v>715</v>
      </c>
      <c r="F9346" t="s">
        <v>88</v>
      </c>
      <c r="G9346" t="s">
        <v>88</v>
      </c>
      <c r="H9346" t="s">
        <v>92</v>
      </c>
    </row>
    <row r="9347" spans="1:8" x14ac:dyDescent="0.25">
      <c r="A9347" t="s">
        <v>318</v>
      </c>
      <c r="B9347" t="s">
        <v>7748</v>
      </c>
      <c r="C9347" t="s">
        <v>88</v>
      </c>
      <c r="D9347" t="s">
        <v>88</v>
      </c>
      <c r="E9347" t="s">
        <v>658</v>
      </c>
      <c r="F9347" t="s">
        <v>88</v>
      </c>
      <c r="G9347" t="s">
        <v>88</v>
      </c>
      <c r="H9347" t="s">
        <v>92</v>
      </c>
    </row>
    <row r="9348" spans="1:8" x14ac:dyDescent="0.25">
      <c r="A9348" t="s">
        <v>318</v>
      </c>
      <c r="B9348" t="s">
        <v>7749</v>
      </c>
      <c r="C9348" t="s">
        <v>88</v>
      </c>
      <c r="D9348" t="s">
        <v>88</v>
      </c>
      <c r="E9348" t="s">
        <v>883</v>
      </c>
      <c r="F9348" t="s">
        <v>88</v>
      </c>
      <c r="G9348" t="s">
        <v>88</v>
      </c>
      <c r="H9348" t="s">
        <v>92</v>
      </c>
    </row>
    <row r="9349" spans="1:8" x14ac:dyDescent="0.25">
      <c r="A9349" t="s">
        <v>318</v>
      </c>
      <c r="B9349" t="s">
        <v>7750</v>
      </c>
      <c r="C9349" t="s">
        <v>88</v>
      </c>
      <c r="D9349" t="s">
        <v>88</v>
      </c>
      <c r="E9349" t="s">
        <v>732</v>
      </c>
      <c r="F9349" t="s">
        <v>88</v>
      </c>
      <c r="G9349" t="s">
        <v>88</v>
      </c>
      <c r="H9349" t="s">
        <v>92</v>
      </c>
    </row>
    <row r="9350" spans="1:8" x14ac:dyDescent="0.25">
      <c r="A9350" t="s">
        <v>318</v>
      </c>
      <c r="B9350" t="s">
        <v>7751</v>
      </c>
      <c r="C9350" t="s">
        <v>88</v>
      </c>
      <c r="D9350" t="s">
        <v>88</v>
      </c>
      <c r="E9350" t="s">
        <v>1323</v>
      </c>
      <c r="F9350" t="s">
        <v>88</v>
      </c>
      <c r="G9350" t="s">
        <v>88</v>
      </c>
      <c r="H9350" t="s">
        <v>92</v>
      </c>
    </row>
    <row r="9351" spans="1:8" x14ac:dyDescent="0.25">
      <c r="A9351" t="s">
        <v>318</v>
      </c>
      <c r="B9351" t="s">
        <v>7752</v>
      </c>
      <c r="C9351" t="s">
        <v>88</v>
      </c>
      <c r="D9351" t="s">
        <v>88</v>
      </c>
      <c r="E9351" t="s">
        <v>937</v>
      </c>
      <c r="F9351" t="s">
        <v>88</v>
      </c>
      <c r="G9351" t="s">
        <v>88</v>
      </c>
      <c r="H9351" t="s">
        <v>92</v>
      </c>
    </row>
    <row r="9352" spans="1:8" x14ac:dyDescent="0.25">
      <c r="A9352" t="s">
        <v>318</v>
      </c>
      <c r="B9352" t="s">
        <v>7753</v>
      </c>
      <c r="C9352" t="s">
        <v>88</v>
      </c>
      <c r="D9352" t="s">
        <v>88</v>
      </c>
      <c r="E9352" t="s">
        <v>780</v>
      </c>
      <c r="F9352" t="s">
        <v>88</v>
      </c>
      <c r="G9352" t="s">
        <v>88</v>
      </c>
      <c r="H9352" t="s">
        <v>92</v>
      </c>
    </row>
    <row r="9353" spans="1:8" x14ac:dyDescent="0.25">
      <c r="A9353" t="s">
        <v>318</v>
      </c>
      <c r="B9353" t="s">
        <v>1127</v>
      </c>
      <c r="C9353" t="s">
        <v>88</v>
      </c>
      <c r="D9353" t="s">
        <v>88</v>
      </c>
      <c r="E9353" t="s">
        <v>780</v>
      </c>
      <c r="F9353" t="s">
        <v>88</v>
      </c>
      <c r="G9353" t="s">
        <v>88</v>
      </c>
      <c r="H9353" t="s">
        <v>92</v>
      </c>
    </row>
    <row r="9354" spans="1:8" x14ac:dyDescent="0.25">
      <c r="A9354" t="s">
        <v>318</v>
      </c>
      <c r="B9354" t="s">
        <v>701</v>
      </c>
      <c r="C9354" t="s">
        <v>88</v>
      </c>
      <c r="D9354" t="s">
        <v>88</v>
      </c>
      <c r="E9354" t="s">
        <v>732</v>
      </c>
      <c r="F9354" t="s">
        <v>88</v>
      </c>
      <c r="G9354" t="s">
        <v>88</v>
      </c>
      <c r="H9354" t="s">
        <v>92</v>
      </c>
    </row>
    <row r="9355" spans="1:8" x14ac:dyDescent="0.25">
      <c r="A9355" t="s">
        <v>318</v>
      </c>
      <c r="B9355" t="s">
        <v>1072</v>
      </c>
      <c r="C9355" t="s">
        <v>88</v>
      </c>
      <c r="D9355" t="s">
        <v>88</v>
      </c>
      <c r="E9355" t="s">
        <v>732</v>
      </c>
      <c r="F9355" t="s">
        <v>88</v>
      </c>
      <c r="G9355" t="s">
        <v>88</v>
      </c>
      <c r="H9355" t="s">
        <v>92</v>
      </c>
    </row>
    <row r="9356" spans="1:8" x14ac:dyDescent="0.25">
      <c r="A9356" t="s">
        <v>318</v>
      </c>
      <c r="B9356" t="s">
        <v>705</v>
      </c>
      <c r="C9356" t="s">
        <v>88</v>
      </c>
      <c r="D9356" t="s">
        <v>88</v>
      </c>
      <c r="E9356" t="s">
        <v>732</v>
      </c>
      <c r="F9356" t="s">
        <v>88</v>
      </c>
      <c r="G9356" t="s">
        <v>88</v>
      </c>
      <c r="H9356" t="s">
        <v>92</v>
      </c>
    </row>
    <row r="9357" spans="1:8" x14ac:dyDescent="0.25">
      <c r="A9357" t="s">
        <v>318</v>
      </c>
      <c r="B9357" t="s">
        <v>706</v>
      </c>
      <c r="C9357" t="s">
        <v>88</v>
      </c>
      <c r="D9357" t="s">
        <v>88</v>
      </c>
      <c r="E9357" t="s">
        <v>732</v>
      </c>
      <c r="F9357" t="s">
        <v>88</v>
      </c>
      <c r="G9357" t="s">
        <v>88</v>
      </c>
      <c r="H9357" t="s">
        <v>92</v>
      </c>
    </row>
    <row r="9358" spans="1:8" x14ac:dyDescent="0.25">
      <c r="A9358" t="s">
        <v>318</v>
      </c>
      <c r="B9358" t="s">
        <v>707</v>
      </c>
      <c r="C9358" t="s">
        <v>88</v>
      </c>
      <c r="D9358" t="s">
        <v>88</v>
      </c>
      <c r="E9358" t="s">
        <v>732</v>
      </c>
      <c r="F9358" t="s">
        <v>88</v>
      </c>
      <c r="G9358" t="s">
        <v>88</v>
      </c>
      <c r="H9358" t="s">
        <v>92</v>
      </c>
    </row>
    <row r="9359" spans="1:8" x14ac:dyDescent="0.25">
      <c r="A9359" t="s">
        <v>318</v>
      </c>
      <c r="B9359" t="s">
        <v>708</v>
      </c>
      <c r="C9359" t="s">
        <v>88</v>
      </c>
      <c r="D9359" t="s">
        <v>88</v>
      </c>
      <c r="E9359" t="s">
        <v>732</v>
      </c>
      <c r="F9359" t="s">
        <v>88</v>
      </c>
      <c r="G9359" t="s">
        <v>88</v>
      </c>
      <c r="H9359" t="s">
        <v>92</v>
      </c>
    </row>
    <row r="9360" spans="1:8" x14ac:dyDescent="0.25">
      <c r="A9360" t="s">
        <v>318</v>
      </c>
      <c r="B9360" t="s">
        <v>618</v>
      </c>
      <c r="C9360" t="s">
        <v>88</v>
      </c>
      <c r="D9360" t="s">
        <v>88</v>
      </c>
      <c r="E9360" t="s">
        <v>710</v>
      </c>
      <c r="F9360" t="s">
        <v>88</v>
      </c>
      <c r="G9360" t="s">
        <v>88</v>
      </c>
      <c r="H9360" t="s">
        <v>92</v>
      </c>
    </row>
    <row r="9361" spans="1:8" x14ac:dyDescent="0.25">
      <c r="A9361" t="s">
        <v>318</v>
      </c>
      <c r="B9361" t="s">
        <v>927</v>
      </c>
      <c r="C9361" t="s">
        <v>88</v>
      </c>
      <c r="D9361" t="s">
        <v>88</v>
      </c>
      <c r="E9361" t="s">
        <v>710</v>
      </c>
      <c r="F9361" t="s">
        <v>88</v>
      </c>
      <c r="G9361" t="s">
        <v>88</v>
      </c>
      <c r="H9361" t="s">
        <v>92</v>
      </c>
    </row>
    <row r="9362" spans="1:8" x14ac:dyDescent="0.25">
      <c r="A9362" t="s">
        <v>318</v>
      </c>
      <c r="B9362" t="s">
        <v>928</v>
      </c>
      <c r="C9362" t="s">
        <v>88</v>
      </c>
      <c r="D9362" t="s">
        <v>88</v>
      </c>
      <c r="E9362" t="s">
        <v>711</v>
      </c>
      <c r="F9362" t="s">
        <v>88</v>
      </c>
      <c r="G9362" t="s">
        <v>88</v>
      </c>
      <c r="H9362" t="s">
        <v>92</v>
      </c>
    </row>
    <row r="9363" spans="1:8" x14ac:dyDescent="0.25">
      <c r="A9363" t="s">
        <v>318</v>
      </c>
      <c r="B9363" t="s">
        <v>929</v>
      </c>
      <c r="C9363" t="s">
        <v>88</v>
      </c>
      <c r="D9363" t="s">
        <v>88</v>
      </c>
      <c r="E9363" t="s">
        <v>735</v>
      </c>
      <c r="F9363" t="s">
        <v>88</v>
      </c>
      <c r="G9363" t="s">
        <v>88</v>
      </c>
      <c r="H9363" t="s">
        <v>92</v>
      </c>
    </row>
    <row r="9364" spans="1:8" x14ac:dyDescent="0.25">
      <c r="A9364" t="s">
        <v>318</v>
      </c>
      <c r="B9364" t="s">
        <v>714</v>
      </c>
      <c r="C9364" t="s">
        <v>88</v>
      </c>
      <c r="D9364" t="s">
        <v>88</v>
      </c>
      <c r="E9364" t="s">
        <v>791</v>
      </c>
      <c r="F9364" t="s">
        <v>88</v>
      </c>
      <c r="G9364" t="s">
        <v>88</v>
      </c>
      <c r="H9364" t="s">
        <v>92</v>
      </c>
    </row>
    <row r="9365" spans="1:8" x14ac:dyDescent="0.25">
      <c r="A9365" t="s">
        <v>318</v>
      </c>
      <c r="B9365" t="s">
        <v>1075</v>
      </c>
      <c r="C9365" t="s">
        <v>88</v>
      </c>
      <c r="D9365" t="s">
        <v>88</v>
      </c>
      <c r="E9365" t="s">
        <v>791</v>
      </c>
      <c r="F9365" t="s">
        <v>88</v>
      </c>
      <c r="G9365" t="s">
        <v>88</v>
      </c>
      <c r="H9365" t="s">
        <v>92</v>
      </c>
    </row>
    <row r="9366" spans="1:8" x14ac:dyDescent="0.25">
      <c r="A9366" t="s">
        <v>318</v>
      </c>
      <c r="B9366" t="s">
        <v>998</v>
      </c>
      <c r="C9366" t="s">
        <v>88</v>
      </c>
      <c r="D9366" t="s">
        <v>88</v>
      </c>
      <c r="E9366" t="s">
        <v>791</v>
      </c>
      <c r="F9366" t="s">
        <v>88</v>
      </c>
      <c r="G9366" t="s">
        <v>88</v>
      </c>
      <c r="H9366" t="s">
        <v>92</v>
      </c>
    </row>
    <row r="9367" spans="1:8" x14ac:dyDescent="0.25">
      <c r="A9367" t="s">
        <v>318</v>
      </c>
      <c r="B9367" t="s">
        <v>1073</v>
      </c>
      <c r="C9367" t="s">
        <v>88</v>
      </c>
      <c r="D9367" t="s">
        <v>88</v>
      </c>
      <c r="E9367" t="s">
        <v>791</v>
      </c>
      <c r="F9367" t="s">
        <v>88</v>
      </c>
      <c r="G9367" t="s">
        <v>88</v>
      </c>
      <c r="H9367" t="s">
        <v>92</v>
      </c>
    </row>
    <row r="9368" spans="1:8" x14ac:dyDescent="0.25">
      <c r="A9368" t="s">
        <v>318</v>
      </c>
      <c r="B9368" t="s">
        <v>2573</v>
      </c>
      <c r="C9368" t="s">
        <v>88</v>
      </c>
      <c r="D9368" t="s">
        <v>88</v>
      </c>
      <c r="E9368" t="s">
        <v>735</v>
      </c>
      <c r="F9368" t="s">
        <v>88</v>
      </c>
      <c r="G9368" t="s">
        <v>88</v>
      </c>
      <c r="H9368" t="s">
        <v>92</v>
      </c>
    </row>
    <row r="9369" spans="1:8" x14ac:dyDescent="0.25">
      <c r="A9369" t="s">
        <v>318</v>
      </c>
      <c r="B9369" t="s">
        <v>2579</v>
      </c>
      <c r="C9369" t="s">
        <v>88</v>
      </c>
      <c r="D9369" t="s">
        <v>88</v>
      </c>
      <c r="E9369" t="s">
        <v>735</v>
      </c>
      <c r="F9369" t="s">
        <v>88</v>
      </c>
      <c r="G9369" t="s">
        <v>88</v>
      </c>
      <c r="H9369" t="s">
        <v>92</v>
      </c>
    </row>
    <row r="9370" spans="1:8" x14ac:dyDescent="0.25">
      <c r="A9370" t="s">
        <v>318</v>
      </c>
      <c r="B9370" t="s">
        <v>7518</v>
      </c>
      <c r="C9370" t="s">
        <v>88</v>
      </c>
      <c r="D9370" t="s">
        <v>88</v>
      </c>
      <c r="E9370" t="s">
        <v>735</v>
      </c>
      <c r="F9370" t="s">
        <v>88</v>
      </c>
      <c r="G9370" t="s">
        <v>88</v>
      </c>
      <c r="H9370" t="s">
        <v>92</v>
      </c>
    </row>
    <row r="9371" spans="1:8" x14ac:dyDescent="0.25">
      <c r="A9371" t="s">
        <v>318</v>
      </c>
      <c r="B9371" t="s">
        <v>1612</v>
      </c>
      <c r="C9371" t="s">
        <v>88</v>
      </c>
      <c r="D9371" t="s">
        <v>88</v>
      </c>
      <c r="E9371" t="s">
        <v>735</v>
      </c>
      <c r="F9371" t="s">
        <v>88</v>
      </c>
      <c r="G9371" t="s">
        <v>88</v>
      </c>
      <c r="H9371" t="s">
        <v>92</v>
      </c>
    </row>
    <row r="9372" spans="1:8" x14ac:dyDescent="0.25">
      <c r="A9372" t="s">
        <v>318</v>
      </c>
      <c r="B9372" t="s">
        <v>7754</v>
      </c>
      <c r="C9372" t="s">
        <v>88</v>
      </c>
      <c r="D9372" t="s">
        <v>88</v>
      </c>
      <c r="E9372" t="s">
        <v>735</v>
      </c>
      <c r="F9372" t="s">
        <v>88</v>
      </c>
      <c r="G9372" t="s">
        <v>88</v>
      </c>
      <c r="H9372" t="s">
        <v>92</v>
      </c>
    </row>
    <row r="9373" spans="1:8" x14ac:dyDescent="0.25">
      <c r="A9373" t="s">
        <v>318</v>
      </c>
      <c r="B9373" t="s">
        <v>1609</v>
      </c>
      <c r="C9373" t="s">
        <v>88</v>
      </c>
      <c r="D9373" t="s">
        <v>88</v>
      </c>
      <c r="E9373" t="s">
        <v>7755</v>
      </c>
      <c r="F9373" t="s">
        <v>88</v>
      </c>
      <c r="G9373" t="s">
        <v>88</v>
      </c>
      <c r="H9373" t="s">
        <v>92</v>
      </c>
    </row>
    <row r="9374" spans="1:8" x14ac:dyDescent="0.25">
      <c r="A9374" t="s">
        <v>318</v>
      </c>
      <c r="B9374" t="s">
        <v>1611</v>
      </c>
      <c r="C9374" t="s">
        <v>88</v>
      </c>
      <c r="D9374" t="s">
        <v>88</v>
      </c>
      <c r="E9374" t="s">
        <v>7755</v>
      </c>
      <c r="F9374" t="s">
        <v>88</v>
      </c>
      <c r="G9374" t="s">
        <v>88</v>
      </c>
      <c r="H9374" t="s">
        <v>92</v>
      </c>
    </row>
    <row r="9375" spans="1:8" x14ac:dyDescent="0.25">
      <c r="A9375" t="s">
        <v>318</v>
      </c>
      <c r="B9375" t="s">
        <v>625</v>
      </c>
      <c r="C9375" t="s">
        <v>88</v>
      </c>
      <c r="D9375" t="s">
        <v>88</v>
      </c>
      <c r="E9375" t="s">
        <v>626</v>
      </c>
      <c r="F9375" t="s">
        <v>88</v>
      </c>
      <c r="G9375" t="s">
        <v>88</v>
      </c>
      <c r="H9375" t="s">
        <v>92</v>
      </c>
    </row>
    <row r="9376" spans="1:8" x14ac:dyDescent="0.25">
      <c r="A9376" t="s">
        <v>319</v>
      </c>
      <c r="B9376" t="s">
        <v>7756</v>
      </c>
      <c r="C9376" t="s">
        <v>88</v>
      </c>
      <c r="D9376" t="s">
        <v>7757</v>
      </c>
      <c r="E9376" t="s">
        <v>780</v>
      </c>
      <c r="F9376" t="s">
        <v>88</v>
      </c>
      <c r="G9376" t="s">
        <v>88</v>
      </c>
      <c r="H9376" t="s">
        <v>92</v>
      </c>
    </row>
    <row r="9377" spans="1:8" x14ac:dyDescent="0.25">
      <c r="A9377" t="s">
        <v>319</v>
      </c>
      <c r="B9377" t="s">
        <v>7758</v>
      </c>
      <c r="C9377" t="s">
        <v>88</v>
      </c>
      <c r="D9377" t="s">
        <v>7759</v>
      </c>
      <c r="E9377" t="s">
        <v>7760</v>
      </c>
      <c r="F9377" t="s">
        <v>88</v>
      </c>
      <c r="G9377" t="s">
        <v>88</v>
      </c>
      <c r="H9377" t="s">
        <v>92</v>
      </c>
    </row>
    <row r="9378" spans="1:8" x14ac:dyDescent="0.25">
      <c r="A9378" t="s">
        <v>319</v>
      </c>
      <c r="B9378" t="s">
        <v>7761</v>
      </c>
      <c r="C9378" t="s">
        <v>88</v>
      </c>
      <c r="D9378" t="s">
        <v>7762</v>
      </c>
      <c r="E9378" t="s">
        <v>7763</v>
      </c>
      <c r="F9378" t="s">
        <v>88</v>
      </c>
      <c r="G9378" t="s">
        <v>88</v>
      </c>
      <c r="H9378" t="s">
        <v>92</v>
      </c>
    </row>
    <row r="9379" spans="1:8" x14ac:dyDescent="0.25">
      <c r="A9379" t="s">
        <v>319</v>
      </c>
      <c r="B9379" t="s">
        <v>7764</v>
      </c>
      <c r="C9379" t="s">
        <v>88</v>
      </c>
      <c r="D9379" t="s">
        <v>7765</v>
      </c>
      <c r="E9379" t="s">
        <v>7766</v>
      </c>
      <c r="F9379" t="s">
        <v>88</v>
      </c>
      <c r="G9379" t="s">
        <v>88</v>
      </c>
      <c r="H9379" t="s">
        <v>92</v>
      </c>
    </row>
    <row r="9380" spans="1:8" x14ac:dyDescent="0.25">
      <c r="A9380" t="s">
        <v>319</v>
      </c>
      <c r="B9380" t="s">
        <v>7767</v>
      </c>
      <c r="C9380" t="s">
        <v>88</v>
      </c>
      <c r="D9380" t="s">
        <v>7768</v>
      </c>
      <c r="E9380" t="s">
        <v>7769</v>
      </c>
      <c r="F9380" t="s">
        <v>88</v>
      </c>
      <c r="G9380" t="s">
        <v>88</v>
      </c>
      <c r="H9380" t="s">
        <v>92</v>
      </c>
    </row>
    <row r="9381" spans="1:8" x14ac:dyDescent="0.25">
      <c r="A9381" t="s">
        <v>319</v>
      </c>
      <c r="B9381" t="s">
        <v>7770</v>
      </c>
      <c r="C9381" t="s">
        <v>88</v>
      </c>
      <c r="D9381" t="s">
        <v>7771</v>
      </c>
      <c r="E9381" t="s">
        <v>937</v>
      </c>
      <c r="F9381" t="s">
        <v>88</v>
      </c>
      <c r="G9381" t="s">
        <v>88</v>
      </c>
      <c r="H9381" t="s">
        <v>92</v>
      </c>
    </row>
    <row r="9382" spans="1:8" x14ac:dyDescent="0.25">
      <c r="A9382" t="s">
        <v>319</v>
      </c>
      <c r="B9382" t="s">
        <v>7758</v>
      </c>
      <c r="C9382" t="s">
        <v>88</v>
      </c>
      <c r="D9382" t="s">
        <v>7759</v>
      </c>
      <c r="E9382" t="s">
        <v>893</v>
      </c>
      <c r="F9382" t="s">
        <v>88</v>
      </c>
      <c r="G9382" t="s">
        <v>88</v>
      </c>
      <c r="H9382" t="s">
        <v>92</v>
      </c>
    </row>
    <row r="9383" spans="1:8" x14ac:dyDescent="0.25">
      <c r="A9383" t="s">
        <v>319</v>
      </c>
      <c r="B9383" t="s">
        <v>7761</v>
      </c>
      <c r="C9383" t="s">
        <v>88</v>
      </c>
      <c r="D9383" t="s">
        <v>7762</v>
      </c>
      <c r="E9383" t="s">
        <v>1259</v>
      </c>
      <c r="F9383" t="s">
        <v>88</v>
      </c>
      <c r="G9383" t="s">
        <v>88</v>
      </c>
      <c r="H9383" t="s">
        <v>92</v>
      </c>
    </row>
    <row r="9384" spans="1:8" x14ac:dyDescent="0.25">
      <c r="A9384" t="s">
        <v>319</v>
      </c>
      <c r="B9384" t="s">
        <v>2660</v>
      </c>
      <c r="C9384" t="s">
        <v>88</v>
      </c>
      <c r="D9384" t="s">
        <v>7772</v>
      </c>
      <c r="E9384" t="s">
        <v>738</v>
      </c>
      <c r="F9384" t="s">
        <v>88</v>
      </c>
      <c r="G9384" t="s">
        <v>88</v>
      </c>
      <c r="H9384" t="s">
        <v>92</v>
      </c>
    </row>
    <row r="9385" spans="1:8" x14ac:dyDescent="0.25">
      <c r="A9385" t="s">
        <v>319</v>
      </c>
      <c r="B9385" t="s">
        <v>7773</v>
      </c>
      <c r="C9385" t="s">
        <v>88</v>
      </c>
      <c r="D9385" t="s">
        <v>7774</v>
      </c>
      <c r="E9385" t="s">
        <v>721</v>
      </c>
      <c r="F9385" t="s">
        <v>88</v>
      </c>
      <c r="G9385" t="s">
        <v>88</v>
      </c>
      <c r="H9385" t="s">
        <v>92</v>
      </c>
    </row>
    <row r="9386" spans="1:8" x14ac:dyDescent="0.25">
      <c r="A9386" t="s">
        <v>319</v>
      </c>
      <c r="B9386" t="s">
        <v>7775</v>
      </c>
      <c r="C9386" t="s">
        <v>88</v>
      </c>
      <c r="D9386" t="s">
        <v>7776</v>
      </c>
      <c r="E9386" t="s">
        <v>679</v>
      </c>
      <c r="F9386" t="s">
        <v>88</v>
      </c>
      <c r="G9386" t="s">
        <v>88</v>
      </c>
      <c r="H9386" t="s">
        <v>92</v>
      </c>
    </row>
    <row r="9387" spans="1:8" x14ac:dyDescent="0.25">
      <c r="A9387" t="s">
        <v>319</v>
      </c>
      <c r="B9387" t="s">
        <v>2719</v>
      </c>
      <c r="C9387" t="s">
        <v>88</v>
      </c>
      <c r="D9387" t="s">
        <v>7777</v>
      </c>
      <c r="E9387" t="s">
        <v>721</v>
      </c>
      <c r="F9387" t="s">
        <v>88</v>
      </c>
      <c r="G9387" t="s">
        <v>88</v>
      </c>
      <c r="H9387" t="s">
        <v>92</v>
      </c>
    </row>
    <row r="9388" spans="1:8" x14ac:dyDescent="0.25">
      <c r="A9388" t="s">
        <v>319</v>
      </c>
      <c r="B9388" t="s">
        <v>7778</v>
      </c>
      <c r="C9388" t="s">
        <v>88</v>
      </c>
      <c r="D9388" t="s">
        <v>7779</v>
      </c>
      <c r="E9388" t="s">
        <v>700</v>
      </c>
      <c r="F9388" t="s">
        <v>88</v>
      </c>
      <c r="G9388" t="s">
        <v>88</v>
      </c>
      <c r="H9388" t="s">
        <v>92</v>
      </c>
    </row>
    <row r="9389" spans="1:8" x14ac:dyDescent="0.25">
      <c r="A9389" t="s">
        <v>319</v>
      </c>
      <c r="B9389" t="s">
        <v>7780</v>
      </c>
      <c r="C9389" t="s">
        <v>88</v>
      </c>
      <c r="D9389" t="s">
        <v>7781</v>
      </c>
      <c r="E9389" t="s">
        <v>762</v>
      </c>
      <c r="F9389" t="s">
        <v>88</v>
      </c>
      <c r="G9389" t="s">
        <v>88</v>
      </c>
      <c r="H9389" t="s">
        <v>92</v>
      </c>
    </row>
    <row r="9390" spans="1:8" x14ac:dyDescent="0.25">
      <c r="A9390" t="s">
        <v>319</v>
      </c>
      <c r="B9390" t="s">
        <v>7782</v>
      </c>
      <c r="C9390" t="s">
        <v>88</v>
      </c>
      <c r="D9390" t="s">
        <v>7783</v>
      </c>
      <c r="E9390" t="s">
        <v>893</v>
      </c>
      <c r="F9390" t="s">
        <v>88</v>
      </c>
      <c r="G9390" t="s">
        <v>88</v>
      </c>
      <c r="H9390" t="s">
        <v>92</v>
      </c>
    </row>
    <row r="9391" spans="1:8" x14ac:dyDescent="0.25">
      <c r="A9391" t="s">
        <v>319</v>
      </c>
      <c r="B9391" t="s">
        <v>7784</v>
      </c>
      <c r="C9391" t="s">
        <v>88</v>
      </c>
      <c r="D9391" t="s">
        <v>7785</v>
      </c>
      <c r="E9391" t="s">
        <v>692</v>
      </c>
      <c r="F9391" t="s">
        <v>88</v>
      </c>
      <c r="G9391" t="s">
        <v>88</v>
      </c>
      <c r="H9391" t="s">
        <v>92</v>
      </c>
    </row>
    <row r="9392" spans="1:8" x14ac:dyDescent="0.25">
      <c r="A9392" t="s">
        <v>319</v>
      </c>
      <c r="B9392" t="s">
        <v>7786</v>
      </c>
      <c r="C9392" t="s">
        <v>88</v>
      </c>
      <c r="D9392" t="s">
        <v>7787</v>
      </c>
      <c r="E9392" t="s">
        <v>836</v>
      </c>
      <c r="F9392" t="s">
        <v>88</v>
      </c>
      <c r="G9392" t="s">
        <v>88</v>
      </c>
      <c r="H9392" t="s">
        <v>92</v>
      </c>
    </row>
    <row r="9393" spans="1:8" x14ac:dyDescent="0.25">
      <c r="A9393" t="s">
        <v>319</v>
      </c>
      <c r="B9393" t="s">
        <v>7788</v>
      </c>
      <c r="C9393" t="s">
        <v>88</v>
      </c>
      <c r="D9393" t="s">
        <v>7789</v>
      </c>
      <c r="E9393" t="s">
        <v>2833</v>
      </c>
      <c r="F9393" t="s">
        <v>88</v>
      </c>
      <c r="G9393" t="s">
        <v>88</v>
      </c>
      <c r="H9393" t="s">
        <v>92</v>
      </c>
    </row>
    <row r="9394" spans="1:8" x14ac:dyDescent="0.25">
      <c r="A9394" t="s">
        <v>319</v>
      </c>
      <c r="B9394" t="s">
        <v>7790</v>
      </c>
      <c r="C9394" t="s">
        <v>88</v>
      </c>
      <c r="D9394" t="s">
        <v>7791</v>
      </c>
      <c r="E9394" t="s">
        <v>1680</v>
      </c>
      <c r="F9394" t="s">
        <v>88</v>
      </c>
      <c r="G9394" t="s">
        <v>88</v>
      </c>
      <c r="H9394" t="s">
        <v>92</v>
      </c>
    </row>
    <row r="9395" spans="1:8" x14ac:dyDescent="0.25">
      <c r="A9395" t="s">
        <v>319</v>
      </c>
      <c r="B9395" t="s">
        <v>7792</v>
      </c>
      <c r="C9395" t="s">
        <v>88</v>
      </c>
      <c r="D9395" t="s">
        <v>7793</v>
      </c>
      <c r="E9395" t="s">
        <v>2378</v>
      </c>
      <c r="F9395" t="s">
        <v>88</v>
      </c>
      <c r="G9395" t="s">
        <v>88</v>
      </c>
      <c r="H9395" t="s">
        <v>92</v>
      </c>
    </row>
    <row r="9396" spans="1:8" x14ac:dyDescent="0.25">
      <c r="A9396" t="s">
        <v>319</v>
      </c>
      <c r="B9396" t="s">
        <v>7794</v>
      </c>
      <c r="C9396" t="s">
        <v>88</v>
      </c>
      <c r="D9396" t="s">
        <v>7795</v>
      </c>
      <c r="E9396" t="s">
        <v>825</v>
      </c>
      <c r="F9396" t="s">
        <v>88</v>
      </c>
      <c r="G9396" t="s">
        <v>88</v>
      </c>
      <c r="H9396" t="s">
        <v>92</v>
      </c>
    </row>
    <row r="9397" spans="1:8" x14ac:dyDescent="0.25">
      <c r="A9397" t="s">
        <v>319</v>
      </c>
      <c r="B9397" t="s">
        <v>7796</v>
      </c>
      <c r="C9397" t="s">
        <v>88</v>
      </c>
      <c r="D9397" t="s">
        <v>7797</v>
      </c>
      <c r="E9397" t="s">
        <v>812</v>
      </c>
      <c r="F9397" t="s">
        <v>88</v>
      </c>
      <c r="G9397" t="s">
        <v>88</v>
      </c>
      <c r="H9397" t="s">
        <v>92</v>
      </c>
    </row>
    <row r="9398" spans="1:8" x14ac:dyDescent="0.25">
      <c r="A9398" t="s">
        <v>319</v>
      </c>
      <c r="B9398" t="s">
        <v>7798</v>
      </c>
      <c r="C9398" t="s">
        <v>88</v>
      </c>
      <c r="D9398" t="s">
        <v>7799</v>
      </c>
      <c r="E9398" t="s">
        <v>1153</v>
      </c>
      <c r="F9398" t="s">
        <v>88</v>
      </c>
      <c r="G9398" t="s">
        <v>88</v>
      </c>
      <c r="H9398" t="s">
        <v>92</v>
      </c>
    </row>
    <row r="9399" spans="1:8" x14ac:dyDescent="0.25">
      <c r="A9399" t="s">
        <v>319</v>
      </c>
      <c r="B9399" t="s">
        <v>7800</v>
      </c>
      <c r="C9399" t="s">
        <v>88</v>
      </c>
      <c r="D9399" t="s">
        <v>7801</v>
      </c>
      <c r="E9399" t="s">
        <v>1068</v>
      </c>
      <c r="F9399" t="s">
        <v>88</v>
      </c>
      <c r="G9399" t="s">
        <v>88</v>
      </c>
      <c r="H9399" t="s">
        <v>92</v>
      </c>
    </row>
    <row r="9400" spans="1:8" x14ac:dyDescent="0.25">
      <c r="A9400" t="s">
        <v>319</v>
      </c>
      <c r="B9400" t="s">
        <v>7802</v>
      </c>
      <c r="C9400" t="s">
        <v>88</v>
      </c>
      <c r="D9400" t="s">
        <v>7803</v>
      </c>
      <c r="E9400" t="s">
        <v>1259</v>
      </c>
      <c r="F9400" t="s">
        <v>88</v>
      </c>
      <c r="G9400" t="s">
        <v>88</v>
      </c>
      <c r="H9400" t="s">
        <v>92</v>
      </c>
    </row>
    <row r="9401" spans="1:8" x14ac:dyDescent="0.25">
      <c r="A9401" t="s">
        <v>319</v>
      </c>
      <c r="B9401" t="s">
        <v>7804</v>
      </c>
      <c r="C9401" t="s">
        <v>88</v>
      </c>
      <c r="D9401" t="s">
        <v>7805</v>
      </c>
      <c r="E9401" t="s">
        <v>7290</v>
      </c>
      <c r="F9401" t="s">
        <v>88</v>
      </c>
      <c r="G9401" t="s">
        <v>88</v>
      </c>
      <c r="H9401" t="s">
        <v>92</v>
      </c>
    </row>
    <row r="9402" spans="1:8" x14ac:dyDescent="0.25">
      <c r="A9402" t="s">
        <v>319</v>
      </c>
      <c r="B9402" t="s">
        <v>7806</v>
      </c>
      <c r="C9402" t="s">
        <v>88</v>
      </c>
      <c r="D9402" t="s">
        <v>7807</v>
      </c>
      <c r="E9402" t="s">
        <v>4285</v>
      </c>
      <c r="F9402" t="s">
        <v>88</v>
      </c>
      <c r="G9402" t="s">
        <v>88</v>
      </c>
      <c r="H9402" t="s">
        <v>92</v>
      </c>
    </row>
    <row r="9403" spans="1:8" x14ac:dyDescent="0.25">
      <c r="A9403" t="s">
        <v>319</v>
      </c>
      <c r="B9403" t="s">
        <v>7808</v>
      </c>
      <c r="C9403" t="s">
        <v>88</v>
      </c>
      <c r="D9403" t="s">
        <v>7809</v>
      </c>
      <c r="E9403" t="s">
        <v>7810</v>
      </c>
      <c r="F9403" t="s">
        <v>88</v>
      </c>
      <c r="G9403" t="s">
        <v>88</v>
      </c>
      <c r="H9403" t="s">
        <v>92</v>
      </c>
    </row>
    <row r="9404" spans="1:8" x14ac:dyDescent="0.25">
      <c r="A9404" t="s">
        <v>319</v>
      </c>
      <c r="B9404" t="s">
        <v>7811</v>
      </c>
      <c r="C9404" t="s">
        <v>88</v>
      </c>
      <c r="D9404" t="s">
        <v>7812</v>
      </c>
      <c r="E9404" t="s">
        <v>4275</v>
      </c>
      <c r="F9404" t="s">
        <v>88</v>
      </c>
      <c r="G9404" t="s">
        <v>88</v>
      </c>
      <c r="H9404" t="s">
        <v>92</v>
      </c>
    </row>
    <row r="9405" spans="1:8" x14ac:dyDescent="0.25">
      <c r="A9405" t="s">
        <v>319</v>
      </c>
      <c r="B9405" t="s">
        <v>7813</v>
      </c>
      <c r="C9405" t="s">
        <v>88</v>
      </c>
      <c r="D9405" t="s">
        <v>7814</v>
      </c>
      <c r="E9405" t="s">
        <v>666</v>
      </c>
      <c r="F9405" t="s">
        <v>88</v>
      </c>
      <c r="G9405" t="s">
        <v>88</v>
      </c>
      <c r="H9405" t="s">
        <v>92</v>
      </c>
    </row>
    <row r="9406" spans="1:8" x14ac:dyDescent="0.25">
      <c r="A9406" t="s">
        <v>319</v>
      </c>
      <c r="B9406" t="s">
        <v>7815</v>
      </c>
      <c r="C9406" t="s">
        <v>88</v>
      </c>
      <c r="D9406" t="s">
        <v>7816</v>
      </c>
      <c r="E9406" t="s">
        <v>4579</v>
      </c>
      <c r="F9406" t="s">
        <v>88</v>
      </c>
      <c r="G9406" t="s">
        <v>88</v>
      </c>
      <c r="H9406" t="s">
        <v>92</v>
      </c>
    </row>
    <row r="9407" spans="1:8" x14ac:dyDescent="0.25">
      <c r="A9407" t="s">
        <v>319</v>
      </c>
      <c r="B9407" t="s">
        <v>7817</v>
      </c>
      <c r="C9407" t="s">
        <v>88</v>
      </c>
      <c r="D9407" t="s">
        <v>7818</v>
      </c>
      <c r="E9407" t="s">
        <v>4512</v>
      </c>
      <c r="F9407" t="s">
        <v>88</v>
      </c>
      <c r="G9407" t="s">
        <v>88</v>
      </c>
      <c r="H9407" t="s">
        <v>92</v>
      </c>
    </row>
    <row r="9408" spans="1:8" x14ac:dyDescent="0.25">
      <c r="A9408" t="s">
        <v>319</v>
      </c>
      <c r="B9408" t="s">
        <v>7819</v>
      </c>
      <c r="C9408" t="s">
        <v>88</v>
      </c>
      <c r="D9408" t="s">
        <v>6333</v>
      </c>
      <c r="E9408" t="s">
        <v>2490</v>
      </c>
      <c r="F9408" t="s">
        <v>88</v>
      </c>
      <c r="G9408" t="s">
        <v>88</v>
      </c>
      <c r="H9408" t="s">
        <v>92</v>
      </c>
    </row>
    <row r="9409" spans="1:8" x14ac:dyDescent="0.25">
      <c r="A9409" t="s">
        <v>319</v>
      </c>
      <c r="B9409" t="s">
        <v>7820</v>
      </c>
      <c r="C9409" t="s">
        <v>88</v>
      </c>
      <c r="D9409" t="s">
        <v>7821</v>
      </c>
      <c r="E9409" t="s">
        <v>1135</v>
      </c>
      <c r="F9409" t="s">
        <v>88</v>
      </c>
      <c r="G9409" t="s">
        <v>88</v>
      </c>
      <c r="H9409" t="s">
        <v>92</v>
      </c>
    </row>
    <row r="9410" spans="1:8" x14ac:dyDescent="0.25">
      <c r="A9410" t="s">
        <v>319</v>
      </c>
      <c r="B9410" t="s">
        <v>7822</v>
      </c>
      <c r="C9410" t="s">
        <v>88</v>
      </c>
      <c r="D9410" t="s">
        <v>7823</v>
      </c>
      <c r="E9410" t="s">
        <v>1171</v>
      </c>
      <c r="F9410" t="s">
        <v>88</v>
      </c>
      <c r="G9410" t="s">
        <v>88</v>
      </c>
      <c r="H9410" t="s">
        <v>92</v>
      </c>
    </row>
    <row r="9411" spans="1:8" x14ac:dyDescent="0.25">
      <c r="A9411" t="s">
        <v>319</v>
      </c>
      <c r="B9411" t="s">
        <v>7824</v>
      </c>
      <c r="C9411" t="s">
        <v>88</v>
      </c>
      <c r="D9411" t="s">
        <v>7825</v>
      </c>
      <c r="E9411" t="s">
        <v>4586</v>
      </c>
      <c r="F9411" t="s">
        <v>88</v>
      </c>
      <c r="G9411" t="s">
        <v>88</v>
      </c>
      <c r="H9411" t="s">
        <v>92</v>
      </c>
    </row>
    <row r="9412" spans="1:8" x14ac:dyDescent="0.25">
      <c r="A9412" t="s">
        <v>319</v>
      </c>
      <c r="B9412" t="s">
        <v>7826</v>
      </c>
      <c r="C9412" t="s">
        <v>88</v>
      </c>
      <c r="D9412" t="s">
        <v>7827</v>
      </c>
      <c r="E9412" t="s">
        <v>7828</v>
      </c>
      <c r="F9412" t="s">
        <v>88</v>
      </c>
      <c r="G9412" t="s">
        <v>88</v>
      </c>
      <c r="H9412" t="s">
        <v>92</v>
      </c>
    </row>
    <row r="9413" spans="1:8" x14ac:dyDescent="0.25">
      <c r="A9413" t="s">
        <v>319</v>
      </c>
      <c r="B9413" t="s">
        <v>7829</v>
      </c>
      <c r="C9413" t="s">
        <v>88</v>
      </c>
      <c r="D9413" t="s">
        <v>7757</v>
      </c>
      <c r="E9413" t="s">
        <v>791</v>
      </c>
      <c r="F9413" t="s">
        <v>88</v>
      </c>
      <c r="G9413" t="s">
        <v>88</v>
      </c>
      <c r="H9413" t="s">
        <v>92</v>
      </c>
    </row>
    <row r="9414" spans="1:8" x14ac:dyDescent="0.25">
      <c r="A9414" t="s">
        <v>319</v>
      </c>
      <c r="B9414" t="s">
        <v>7756</v>
      </c>
      <c r="C9414" t="s">
        <v>88</v>
      </c>
      <c r="D9414" t="s">
        <v>7757</v>
      </c>
      <c r="E9414" t="s">
        <v>780</v>
      </c>
      <c r="F9414" t="s">
        <v>88</v>
      </c>
      <c r="G9414" t="s">
        <v>88</v>
      </c>
      <c r="H9414" t="s">
        <v>92</v>
      </c>
    </row>
    <row r="9415" spans="1:8" x14ac:dyDescent="0.25">
      <c r="A9415" t="s">
        <v>319</v>
      </c>
      <c r="B9415" t="s">
        <v>830</v>
      </c>
      <c r="C9415" t="s">
        <v>88</v>
      </c>
      <c r="D9415" t="s">
        <v>7830</v>
      </c>
      <c r="E9415" t="s">
        <v>700</v>
      </c>
      <c r="F9415" t="s">
        <v>88</v>
      </c>
      <c r="G9415" t="s">
        <v>88</v>
      </c>
      <c r="H9415" t="s">
        <v>92</v>
      </c>
    </row>
    <row r="9416" spans="1:8" x14ac:dyDescent="0.25">
      <c r="A9416" t="s">
        <v>319</v>
      </c>
      <c r="B9416" t="s">
        <v>816</v>
      </c>
      <c r="C9416" t="s">
        <v>88</v>
      </c>
      <c r="D9416" t="s">
        <v>7831</v>
      </c>
      <c r="E9416" t="s">
        <v>820</v>
      </c>
      <c r="F9416" t="s">
        <v>88</v>
      </c>
      <c r="G9416" t="s">
        <v>88</v>
      </c>
      <c r="H9416" t="s">
        <v>92</v>
      </c>
    </row>
    <row r="9417" spans="1:8" x14ac:dyDescent="0.25">
      <c r="A9417" t="s">
        <v>319</v>
      </c>
      <c r="B9417" t="s">
        <v>942</v>
      </c>
      <c r="C9417" t="s">
        <v>88</v>
      </c>
      <c r="D9417" t="s">
        <v>7832</v>
      </c>
      <c r="E9417" t="s">
        <v>838</v>
      </c>
      <c r="F9417" t="s">
        <v>88</v>
      </c>
      <c r="G9417" t="s">
        <v>88</v>
      </c>
      <c r="H9417" t="s">
        <v>92</v>
      </c>
    </row>
    <row r="9418" spans="1:8" x14ac:dyDescent="0.25">
      <c r="A9418" t="s">
        <v>319</v>
      </c>
      <c r="B9418" t="s">
        <v>823</v>
      </c>
      <c r="C9418" t="s">
        <v>88</v>
      </c>
      <c r="D9418" t="s">
        <v>7833</v>
      </c>
      <c r="E9418" t="s">
        <v>1714</v>
      </c>
      <c r="F9418" t="s">
        <v>88</v>
      </c>
      <c r="G9418" t="s">
        <v>88</v>
      </c>
      <c r="H9418" t="s">
        <v>92</v>
      </c>
    </row>
    <row r="9419" spans="1:8" x14ac:dyDescent="0.25">
      <c r="A9419" t="s">
        <v>319</v>
      </c>
      <c r="B9419" t="s">
        <v>7834</v>
      </c>
      <c r="C9419" t="s">
        <v>88</v>
      </c>
      <c r="D9419" t="s">
        <v>88</v>
      </c>
      <c r="E9419" t="s">
        <v>849</v>
      </c>
      <c r="F9419" t="s">
        <v>88</v>
      </c>
      <c r="G9419" t="s">
        <v>88</v>
      </c>
      <c r="H9419" t="s">
        <v>92</v>
      </c>
    </row>
    <row r="9420" spans="1:8" x14ac:dyDescent="0.25">
      <c r="A9420" t="s">
        <v>319</v>
      </c>
      <c r="B9420" t="s">
        <v>845</v>
      </c>
      <c r="C9420" t="s">
        <v>88</v>
      </c>
      <c r="D9420" t="s">
        <v>88</v>
      </c>
      <c r="E9420" t="s">
        <v>735</v>
      </c>
      <c r="F9420" t="s">
        <v>88</v>
      </c>
      <c r="G9420" t="s">
        <v>88</v>
      </c>
      <c r="H9420" t="s">
        <v>92</v>
      </c>
    </row>
    <row r="9421" spans="1:8" x14ac:dyDescent="0.25">
      <c r="A9421" t="s">
        <v>319</v>
      </c>
      <c r="B9421" t="s">
        <v>7835</v>
      </c>
      <c r="C9421" t="s">
        <v>88</v>
      </c>
      <c r="D9421" t="s">
        <v>88</v>
      </c>
      <c r="E9421" t="s">
        <v>711</v>
      </c>
      <c r="F9421" t="s">
        <v>88</v>
      </c>
      <c r="G9421" t="s">
        <v>88</v>
      </c>
      <c r="H9421" t="s">
        <v>92</v>
      </c>
    </row>
    <row r="9422" spans="1:8" x14ac:dyDescent="0.25">
      <c r="A9422" t="s">
        <v>319</v>
      </c>
      <c r="B9422" t="s">
        <v>7836</v>
      </c>
      <c r="C9422" t="s">
        <v>88</v>
      </c>
      <c r="D9422" t="s">
        <v>88</v>
      </c>
      <c r="E9422" t="s">
        <v>711</v>
      </c>
      <c r="F9422" t="s">
        <v>88</v>
      </c>
      <c r="G9422" t="s">
        <v>88</v>
      </c>
      <c r="H9422" t="s">
        <v>92</v>
      </c>
    </row>
    <row r="9423" spans="1:8" x14ac:dyDescent="0.25">
      <c r="A9423" t="s">
        <v>319</v>
      </c>
      <c r="B9423" t="s">
        <v>7837</v>
      </c>
      <c r="C9423" t="s">
        <v>88</v>
      </c>
      <c r="D9423" t="s">
        <v>88</v>
      </c>
      <c r="E9423" t="s">
        <v>702</v>
      </c>
      <c r="F9423" t="s">
        <v>88</v>
      </c>
      <c r="G9423" t="s">
        <v>88</v>
      </c>
      <c r="H9423" t="s">
        <v>92</v>
      </c>
    </row>
    <row r="9424" spans="1:8" x14ac:dyDescent="0.25">
      <c r="A9424" t="s">
        <v>319</v>
      </c>
      <c r="B9424" t="s">
        <v>4547</v>
      </c>
      <c r="C9424" t="s">
        <v>88</v>
      </c>
      <c r="D9424" t="s">
        <v>88</v>
      </c>
      <c r="E9424" t="s">
        <v>725</v>
      </c>
      <c r="F9424" t="s">
        <v>88</v>
      </c>
      <c r="G9424" t="s">
        <v>88</v>
      </c>
      <c r="H9424" t="s">
        <v>92</v>
      </c>
    </row>
    <row r="9425" spans="1:8" x14ac:dyDescent="0.25">
      <c r="A9425" t="s">
        <v>319</v>
      </c>
      <c r="B9425" t="s">
        <v>7838</v>
      </c>
      <c r="C9425" t="s">
        <v>88</v>
      </c>
      <c r="D9425" t="s">
        <v>88</v>
      </c>
      <c r="E9425" t="s">
        <v>723</v>
      </c>
      <c r="F9425" t="s">
        <v>88</v>
      </c>
      <c r="G9425" t="s">
        <v>88</v>
      </c>
      <c r="H9425" t="s">
        <v>92</v>
      </c>
    </row>
    <row r="9426" spans="1:8" x14ac:dyDescent="0.25">
      <c r="A9426" t="s">
        <v>319</v>
      </c>
      <c r="B9426" t="s">
        <v>7839</v>
      </c>
      <c r="C9426" t="s">
        <v>88</v>
      </c>
      <c r="D9426" t="s">
        <v>88</v>
      </c>
      <c r="E9426" t="s">
        <v>799</v>
      </c>
      <c r="F9426" t="s">
        <v>88</v>
      </c>
      <c r="G9426" t="s">
        <v>88</v>
      </c>
      <c r="H9426" t="s">
        <v>92</v>
      </c>
    </row>
    <row r="9427" spans="1:8" x14ac:dyDescent="0.25">
      <c r="A9427" t="s">
        <v>319</v>
      </c>
      <c r="B9427" t="s">
        <v>7840</v>
      </c>
      <c r="C9427" t="s">
        <v>88</v>
      </c>
      <c r="D9427" t="s">
        <v>88</v>
      </c>
      <c r="E9427" t="s">
        <v>957</v>
      </c>
      <c r="F9427" t="s">
        <v>88</v>
      </c>
      <c r="G9427" t="s">
        <v>88</v>
      </c>
      <c r="H9427" t="s">
        <v>92</v>
      </c>
    </row>
    <row r="9428" spans="1:8" x14ac:dyDescent="0.25">
      <c r="A9428" t="s">
        <v>319</v>
      </c>
      <c r="B9428" t="s">
        <v>1146</v>
      </c>
      <c r="C9428" t="s">
        <v>88</v>
      </c>
      <c r="D9428" t="s">
        <v>88</v>
      </c>
      <c r="E9428" t="s">
        <v>957</v>
      </c>
      <c r="F9428" t="s">
        <v>88</v>
      </c>
      <c r="G9428" t="s">
        <v>88</v>
      </c>
      <c r="H9428" t="s">
        <v>92</v>
      </c>
    </row>
    <row r="9429" spans="1:8" x14ac:dyDescent="0.25">
      <c r="A9429" t="s">
        <v>319</v>
      </c>
      <c r="B9429" t="s">
        <v>5046</v>
      </c>
      <c r="C9429" t="s">
        <v>88</v>
      </c>
      <c r="D9429" t="s">
        <v>88</v>
      </c>
      <c r="E9429" t="s">
        <v>957</v>
      </c>
      <c r="F9429" t="s">
        <v>88</v>
      </c>
      <c r="G9429" t="s">
        <v>88</v>
      </c>
      <c r="H9429" t="s">
        <v>92</v>
      </c>
    </row>
    <row r="9430" spans="1:8" x14ac:dyDescent="0.25">
      <c r="A9430" t="s">
        <v>319</v>
      </c>
      <c r="B9430" t="s">
        <v>2241</v>
      </c>
      <c r="C9430" t="s">
        <v>88</v>
      </c>
      <c r="D9430" t="s">
        <v>88</v>
      </c>
      <c r="E9430" t="s">
        <v>957</v>
      </c>
      <c r="F9430" t="s">
        <v>88</v>
      </c>
      <c r="G9430" t="s">
        <v>88</v>
      </c>
      <c r="H9430" t="s">
        <v>92</v>
      </c>
    </row>
    <row r="9431" spans="1:8" x14ac:dyDescent="0.25">
      <c r="A9431" t="s">
        <v>319</v>
      </c>
      <c r="B9431" t="s">
        <v>1082</v>
      </c>
      <c r="C9431" t="s">
        <v>88</v>
      </c>
      <c r="D9431" t="s">
        <v>88</v>
      </c>
      <c r="E9431" t="s">
        <v>957</v>
      </c>
      <c r="F9431" t="s">
        <v>88</v>
      </c>
      <c r="G9431" t="s">
        <v>88</v>
      </c>
      <c r="H9431" t="s">
        <v>92</v>
      </c>
    </row>
    <row r="9432" spans="1:8" x14ac:dyDescent="0.25">
      <c r="A9432" t="s">
        <v>319</v>
      </c>
      <c r="B9432" t="s">
        <v>1145</v>
      </c>
      <c r="C9432" t="s">
        <v>88</v>
      </c>
      <c r="D9432" t="s">
        <v>88</v>
      </c>
      <c r="E9432" t="s">
        <v>732</v>
      </c>
      <c r="F9432" t="s">
        <v>88</v>
      </c>
      <c r="G9432" t="s">
        <v>88</v>
      </c>
      <c r="H9432" t="s">
        <v>92</v>
      </c>
    </row>
    <row r="9433" spans="1:8" x14ac:dyDescent="0.25">
      <c r="A9433" t="s">
        <v>319</v>
      </c>
      <c r="B9433" t="s">
        <v>7841</v>
      </c>
      <c r="C9433" t="s">
        <v>88</v>
      </c>
      <c r="D9433" t="s">
        <v>88</v>
      </c>
      <c r="E9433" t="s">
        <v>959</v>
      </c>
      <c r="F9433" t="s">
        <v>88</v>
      </c>
      <c r="G9433" t="s">
        <v>88</v>
      </c>
      <c r="H9433" t="s">
        <v>92</v>
      </c>
    </row>
    <row r="9434" spans="1:8" x14ac:dyDescent="0.25">
      <c r="A9434" t="s">
        <v>319</v>
      </c>
      <c r="B9434" t="s">
        <v>7842</v>
      </c>
      <c r="C9434" t="s">
        <v>88</v>
      </c>
      <c r="D9434" t="s">
        <v>88</v>
      </c>
      <c r="E9434" t="s">
        <v>709</v>
      </c>
      <c r="F9434" t="s">
        <v>88</v>
      </c>
      <c r="G9434" t="s">
        <v>88</v>
      </c>
      <c r="H9434" t="s">
        <v>92</v>
      </c>
    </row>
    <row r="9435" spans="1:8" x14ac:dyDescent="0.25">
      <c r="A9435" t="s">
        <v>319</v>
      </c>
      <c r="B9435" t="s">
        <v>7843</v>
      </c>
      <c r="C9435" t="s">
        <v>88</v>
      </c>
      <c r="D9435" t="s">
        <v>88</v>
      </c>
      <c r="E9435" t="s">
        <v>709</v>
      </c>
      <c r="F9435" t="s">
        <v>88</v>
      </c>
      <c r="G9435" t="s">
        <v>88</v>
      </c>
      <c r="H9435" t="s">
        <v>92</v>
      </c>
    </row>
    <row r="9436" spans="1:8" x14ac:dyDescent="0.25">
      <c r="A9436" t="s">
        <v>319</v>
      </c>
      <c r="B9436" t="s">
        <v>7844</v>
      </c>
      <c r="C9436" t="s">
        <v>88</v>
      </c>
      <c r="D9436" t="s">
        <v>88</v>
      </c>
      <c r="E9436" t="s">
        <v>709</v>
      </c>
      <c r="F9436" t="s">
        <v>88</v>
      </c>
      <c r="G9436" t="s">
        <v>88</v>
      </c>
      <c r="H9436" t="s">
        <v>92</v>
      </c>
    </row>
    <row r="9437" spans="1:8" x14ac:dyDescent="0.25">
      <c r="A9437" t="s">
        <v>319</v>
      </c>
      <c r="B9437" t="s">
        <v>7845</v>
      </c>
      <c r="C9437" t="s">
        <v>88</v>
      </c>
      <c r="D9437" t="s">
        <v>88</v>
      </c>
      <c r="E9437" t="s">
        <v>709</v>
      </c>
      <c r="F9437" t="s">
        <v>88</v>
      </c>
      <c r="G9437" t="s">
        <v>88</v>
      </c>
      <c r="H9437" t="s">
        <v>92</v>
      </c>
    </row>
    <row r="9438" spans="1:8" x14ac:dyDescent="0.25">
      <c r="A9438" t="s">
        <v>319</v>
      </c>
      <c r="B9438" t="s">
        <v>7846</v>
      </c>
      <c r="C9438" t="s">
        <v>88</v>
      </c>
      <c r="D9438" t="s">
        <v>88</v>
      </c>
      <c r="E9438" t="s">
        <v>709</v>
      </c>
      <c r="F9438" t="s">
        <v>88</v>
      </c>
      <c r="G9438" t="s">
        <v>88</v>
      </c>
      <c r="H9438" t="s">
        <v>92</v>
      </c>
    </row>
    <row r="9439" spans="1:8" x14ac:dyDescent="0.25">
      <c r="A9439" t="s">
        <v>319</v>
      </c>
      <c r="B9439" t="s">
        <v>7847</v>
      </c>
      <c r="C9439" t="s">
        <v>88</v>
      </c>
      <c r="D9439" t="s">
        <v>88</v>
      </c>
      <c r="E9439" t="s">
        <v>709</v>
      </c>
      <c r="F9439" t="s">
        <v>88</v>
      </c>
      <c r="G9439" t="s">
        <v>88</v>
      </c>
      <c r="H9439" t="s">
        <v>92</v>
      </c>
    </row>
    <row r="9440" spans="1:8" x14ac:dyDescent="0.25">
      <c r="A9440" t="s">
        <v>319</v>
      </c>
      <c r="B9440" t="s">
        <v>7848</v>
      </c>
      <c r="C9440" t="s">
        <v>88</v>
      </c>
      <c r="D9440" t="s">
        <v>88</v>
      </c>
      <c r="E9440" t="s">
        <v>732</v>
      </c>
      <c r="F9440" t="s">
        <v>88</v>
      </c>
      <c r="G9440" t="s">
        <v>88</v>
      </c>
      <c r="H9440" t="s">
        <v>92</v>
      </c>
    </row>
    <row r="9441" spans="1:8" x14ac:dyDescent="0.25">
      <c r="A9441" t="s">
        <v>319</v>
      </c>
      <c r="B9441" t="s">
        <v>7849</v>
      </c>
      <c r="C9441" t="s">
        <v>88</v>
      </c>
      <c r="D9441" t="s">
        <v>88</v>
      </c>
      <c r="E9441" t="s">
        <v>732</v>
      </c>
      <c r="F9441" t="s">
        <v>88</v>
      </c>
      <c r="G9441" t="s">
        <v>88</v>
      </c>
      <c r="H9441" t="s">
        <v>92</v>
      </c>
    </row>
    <row r="9442" spans="1:8" x14ac:dyDescent="0.25">
      <c r="A9442" t="s">
        <v>319</v>
      </c>
      <c r="B9442" t="s">
        <v>7850</v>
      </c>
      <c r="C9442" t="s">
        <v>88</v>
      </c>
      <c r="D9442" t="s">
        <v>88</v>
      </c>
      <c r="E9442" t="s">
        <v>732</v>
      </c>
      <c r="F9442" t="s">
        <v>88</v>
      </c>
      <c r="G9442" t="s">
        <v>88</v>
      </c>
      <c r="H9442" t="s">
        <v>92</v>
      </c>
    </row>
    <row r="9443" spans="1:8" x14ac:dyDescent="0.25">
      <c r="A9443" t="s">
        <v>319</v>
      </c>
      <c r="B9443" t="s">
        <v>7851</v>
      </c>
      <c r="C9443" t="s">
        <v>88</v>
      </c>
      <c r="D9443" t="s">
        <v>88</v>
      </c>
      <c r="E9443" t="s">
        <v>732</v>
      </c>
      <c r="F9443" t="s">
        <v>88</v>
      </c>
      <c r="G9443" t="s">
        <v>88</v>
      </c>
      <c r="H9443" t="s">
        <v>92</v>
      </c>
    </row>
    <row r="9444" spans="1:8" x14ac:dyDescent="0.25">
      <c r="A9444" t="s">
        <v>319</v>
      </c>
      <c r="B9444" t="s">
        <v>7852</v>
      </c>
      <c r="C9444" t="s">
        <v>88</v>
      </c>
      <c r="D9444" t="s">
        <v>88</v>
      </c>
      <c r="E9444" t="s">
        <v>734</v>
      </c>
      <c r="F9444" t="s">
        <v>88</v>
      </c>
      <c r="G9444" t="s">
        <v>88</v>
      </c>
      <c r="H9444" t="s">
        <v>92</v>
      </c>
    </row>
    <row r="9445" spans="1:8" x14ac:dyDescent="0.25">
      <c r="A9445" t="s">
        <v>319</v>
      </c>
      <c r="B9445" t="s">
        <v>7853</v>
      </c>
      <c r="C9445" t="s">
        <v>88</v>
      </c>
      <c r="D9445" t="s">
        <v>88</v>
      </c>
      <c r="E9445" t="s">
        <v>732</v>
      </c>
      <c r="F9445" t="s">
        <v>88</v>
      </c>
      <c r="G9445" t="s">
        <v>88</v>
      </c>
      <c r="H9445" t="s">
        <v>92</v>
      </c>
    </row>
    <row r="9446" spans="1:8" x14ac:dyDescent="0.25">
      <c r="A9446" t="s">
        <v>319</v>
      </c>
      <c r="B9446" t="s">
        <v>701</v>
      </c>
      <c r="C9446" t="s">
        <v>88</v>
      </c>
      <c r="D9446" t="s">
        <v>88</v>
      </c>
      <c r="E9446" t="s">
        <v>957</v>
      </c>
      <c r="F9446" t="s">
        <v>88</v>
      </c>
      <c r="G9446" t="s">
        <v>88</v>
      </c>
      <c r="H9446" t="s">
        <v>92</v>
      </c>
    </row>
    <row r="9447" spans="1:8" x14ac:dyDescent="0.25">
      <c r="A9447" t="s">
        <v>319</v>
      </c>
      <c r="B9447" t="s">
        <v>1809</v>
      </c>
      <c r="C9447" t="s">
        <v>88</v>
      </c>
      <c r="D9447" t="s">
        <v>88</v>
      </c>
      <c r="E9447" t="s">
        <v>709</v>
      </c>
      <c r="F9447" t="s">
        <v>88</v>
      </c>
      <c r="G9447" t="s">
        <v>88</v>
      </c>
      <c r="H9447" t="s">
        <v>92</v>
      </c>
    </row>
    <row r="9448" spans="1:8" x14ac:dyDescent="0.25">
      <c r="A9448" t="s">
        <v>319</v>
      </c>
      <c r="B9448" t="s">
        <v>6635</v>
      </c>
      <c r="C9448" t="s">
        <v>88</v>
      </c>
      <c r="D9448" t="s">
        <v>88</v>
      </c>
      <c r="E9448" t="s">
        <v>709</v>
      </c>
      <c r="F9448" t="s">
        <v>88</v>
      </c>
      <c r="G9448" t="s">
        <v>88</v>
      </c>
      <c r="H9448" t="s">
        <v>92</v>
      </c>
    </row>
    <row r="9449" spans="1:8" x14ac:dyDescent="0.25">
      <c r="A9449" t="s">
        <v>319</v>
      </c>
      <c r="B9449" t="s">
        <v>952</v>
      </c>
      <c r="C9449" t="s">
        <v>88</v>
      </c>
      <c r="D9449" t="s">
        <v>88</v>
      </c>
      <c r="E9449" t="s">
        <v>710</v>
      </c>
      <c r="F9449" t="s">
        <v>88</v>
      </c>
      <c r="G9449" t="s">
        <v>88</v>
      </c>
      <c r="H9449" t="s">
        <v>92</v>
      </c>
    </row>
    <row r="9450" spans="1:8" x14ac:dyDescent="0.25">
      <c r="A9450" t="s">
        <v>319</v>
      </c>
      <c r="B9450" t="s">
        <v>703</v>
      </c>
      <c r="C9450" t="s">
        <v>88</v>
      </c>
      <c r="D9450" t="s">
        <v>88</v>
      </c>
      <c r="E9450" t="s">
        <v>957</v>
      </c>
      <c r="F9450" t="s">
        <v>88</v>
      </c>
      <c r="G9450" t="s">
        <v>88</v>
      </c>
      <c r="H9450" t="s">
        <v>92</v>
      </c>
    </row>
    <row r="9451" spans="1:8" x14ac:dyDescent="0.25">
      <c r="A9451" t="s">
        <v>319</v>
      </c>
      <c r="B9451" t="s">
        <v>7854</v>
      </c>
      <c r="C9451" t="s">
        <v>88</v>
      </c>
      <c r="D9451" t="s">
        <v>88</v>
      </c>
      <c r="E9451" t="s">
        <v>709</v>
      </c>
      <c r="F9451" t="s">
        <v>88</v>
      </c>
      <c r="G9451" t="s">
        <v>88</v>
      </c>
      <c r="H9451" t="s">
        <v>92</v>
      </c>
    </row>
    <row r="9452" spans="1:8" x14ac:dyDescent="0.25">
      <c r="A9452" t="s">
        <v>319</v>
      </c>
      <c r="B9452" t="s">
        <v>7855</v>
      </c>
      <c r="C9452" t="s">
        <v>88</v>
      </c>
      <c r="D9452" t="s">
        <v>88</v>
      </c>
      <c r="E9452" t="s">
        <v>709</v>
      </c>
      <c r="F9452" t="s">
        <v>88</v>
      </c>
      <c r="G9452" t="s">
        <v>88</v>
      </c>
      <c r="H9452" t="s">
        <v>92</v>
      </c>
    </row>
    <row r="9453" spans="1:8" x14ac:dyDescent="0.25">
      <c r="A9453" t="s">
        <v>319</v>
      </c>
      <c r="B9453" t="s">
        <v>704</v>
      </c>
      <c r="C9453" t="s">
        <v>88</v>
      </c>
      <c r="D9453" t="s">
        <v>88</v>
      </c>
      <c r="E9453" t="s">
        <v>957</v>
      </c>
      <c r="F9453" t="s">
        <v>88</v>
      </c>
      <c r="G9453" t="s">
        <v>88</v>
      </c>
      <c r="H9453" t="s">
        <v>92</v>
      </c>
    </row>
    <row r="9454" spans="1:8" x14ac:dyDescent="0.25">
      <c r="A9454" t="s">
        <v>319</v>
      </c>
      <c r="B9454" t="s">
        <v>7856</v>
      </c>
      <c r="C9454" t="s">
        <v>88</v>
      </c>
      <c r="D9454" t="s">
        <v>88</v>
      </c>
      <c r="E9454" t="s">
        <v>709</v>
      </c>
      <c r="F9454" t="s">
        <v>88</v>
      </c>
      <c r="G9454" t="s">
        <v>88</v>
      </c>
      <c r="H9454" t="s">
        <v>92</v>
      </c>
    </row>
    <row r="9455" spans="1:8" x14ac:dyDescent="0.25">
      <c r="A9455" t="s">
        <v>319</v>
      </c>
      <c r="B9455" t="s">
        <v>7857</v>
      </c>
      <c r="C9455" t="s">
        <v>88</v>
      </c>
      <c r="D9455" t="s">
        <v>88</v>
      </c>
      <c r="E9455" t="s">
        <v>709</v>
      </c>
      <c r="F9455" t="s">
        <v>88</v>
      </c>
      <c r="G9455" t="s">
        <v>88</v>
      </c>
      <c r="H9455" t="s">
        <v>92</v>
      </c>
    </row>
    <row r="9456" spans="1:8" x14ac:dyDescent="0.25">
      <c r="A9456" t="s">
        <v>319</v>
      </c>
      <c r="B9456" t="s">
        <v>7858</v>
      </c>
      <c r="C9456" t="s">
        <v>88</v>
      </c>
      <c r="D9456" t="s">
        <v>88</v>
      </c>
      <c r="E9456" t="s">
        <v>709</v>
      </c>
      <c r="F9456" t="s">
        <v>88</v>
      </c>
      <c r="G9456" t="s">
        <v>88</v>
      </c>
      <c r="H9456" t="s">
        <v>92</v>
      </c>
    </row>
    <row r="9457" spans="1:8" x14ac:dyDescent="0.25">
      <c r="A9457" t="s">
        <v>319</v>
      </c>
      <c r="B9457" t="s">
        <v>7859</v>
      </c>
      <c r="C9457" t="s">
        <v>88</v>
      </c>
      <c r="D9457" t="s">
        <v>88</v>
      </c>
      <c r="E9457" t="s">
        <v>709</v>
      </c>
      <c r="F9457" t="s">
        <v>88</v>
      </c>
      <c r="G9457" t="s">
        <v>88</v>
      </c>
      <c r="H9457" t="s">
        <v>92</v>
      </c>
    </row>
    <row r="9458" spans="1:8" x14ac:dyDescent="0.25">
      <c r="A9458" t="s">
        <v>319</v>
      </c>
      <c r="B9458" t="s">
        <v>7860</v>
      </c>
      <c r="C9458" t="s">
        <v>88</v>
      </c>
      <c r="D9458" t="s">
        <v>88</v>
      </c>
      <c r="E9458" t="s">
        <v>709</v>
      </c>
      <c r="F9458" t="s">
        <v>88</v>
      </c>
      <c r="G9458" t="s">
        <v>88</v>
      </c>
      <c r="H9458" t="s">
        <v>92</v>
      </c>
    </row>
    <row r="9459" spans="1:8" x14ac:dyDescent="0.25">
      <c r="A9459" t="s">
        <v>319</v>
      </c>
      <c r="B9459" t="s">
        <v>708</v>
      </c>
      <c r="C9459" t="s">
        <v>88</v>
      </c>
      <c r="D9459" t="s">
        <v>88</v>
      </c>
      <c r="E9459" t="s">
        <v>957</v>
      </c>
      <c r="F9459" t="s">
        <v>88</v>
      </c>
      <c r="G9459" t="s">
        <v>88</v>
      </c>
      <c r="H9459" t="s">
        <v>92</v>
      </c>
    </row>
    <row r="9460" spans="1:8" x14ac:dyDescent="0.25">
      <c r="A9460" t="s">
        <v>319</v>
      </c>
      <c r="B9460" t="s">
        <v>7861</v>
      </c>
      <c r="C9460" t="s">
        <v>88</v>
      </c>
      <c r="D9460" t="s">
        <v>88</v>
      </c>
      <c r="E9460" t="s">
        <v>709</v>
      </c>
      <c r="F9460" t="s">
        <v>88</v>
      </c>
      <c r="G9460" t="s">
        <v>88</v>
      </c>
      <c r="H9460" t="s">
        <v>92</v>
      </c>
    </row>
    <row r="9461" spans="1:8" x14ac:dyDescent="0.25">
      <c r="A9461" t="s">
        <v>319</v>
      </c>
      <c r="B9461" t="s">
        <v>870</v>
      </c>
      <c r="C9461" t="s">
        <v>88</v>
      </c>
      <c r="D9461" t="s">
        <v>88</v>
      </c>
      <c r="E9461" t="s">
        <v>709</v>
      </c>
      <c r="F9461" t="s">
        <v>88</v>
      </c>
      <c r="G9461" t="s">
        <v>88</v>
      </c>
      <c r="H9461" t="s">
        <v>92</v>
      </c>
    </row>
    <row r="9462" spans="1:8" x14ac:dyDescent="0.25">
      <c r="A9462" t="s">
        <v>319</v>
      </c>
      <c r="B9462" t="s">
        <v>707</v>
      </c>
      <c r="C9462" t="s">
        <v>88</v>
      </c>
      <c r="D9462" t="s">
        <v>88</v>
      </c>
      <c r="E9462" t="s">
        <v>957</v>
      </c>
      <c r="F9462" t="s">
        <v>88</v>
      </c>
      <c r="G9462" t="s">
        <v>88</v>
      </c>
      <c r="H9462" t="s">
        <v>92</v>
      </c>
    </row>
    <row r="9463" spans="1:8" x14ac:dyDescent="0.25">
      <c r="A9463" t="s">
        <v>319</v>
      </c>
      <c r="B9463" t="s">
        <v>7862</v>
      </c>
      <c r="C9463" t="s">
        <v>88</v>
      </c>
      <c r="D9463" t="s">
        <v>88</v>
      </c>
      <c r="E9463" t="s">
        <v>709</v>
      </c>
      <c r="F9463" t="s">
        <v>88</v>
      </c>
      <c r="G9463" t="s">
        <v>88</v>
      </c>
      <c r="H9463" t="s">
        <v>92</v>
      </c>
    </row>
    <row r="9464" spans="1:8" x14ac:dyDescent="0.25">
      <c r="A9464" t="s">
        <v>319</v>
      </c>
      <c r="B9464" t="s">
        <v>7863</v>
      </c>
      <c r="C9464" t="s">
        <v>88</v>
      </c>
      <c r="D9464" t="s">
        <v>88</v>
      </c>
      <c r="E9464" t="s">
        <v>709</v>
      </c>
      <c r="F9464" t="s">
        <v>88</v>
      </c>
      <c r="G9464" t="s">
        <v>88</v>
      </c>
      <c r="H9464" t="s">
        <v>92</v>
      </c>
    </row>
    <row r="9465" spans="1:8" x14ac:dyDescent="0.25">
      <c r="A9465" t="s">
        <v>319</v>
      </c>
      <c r="B9465" t="s">
        <v>7864</v>
      </c>
      <c r="C9465" t="s">
        <v>88</v>
      </c>
      <c r="D9465" t="s">
        <v>88</v>
      </c>
      <c r="E9465" t="s">
        <v>709</v>
      </c>
      <c r="F9465" t="s">
        <v>88</v>
      </c>
      <c r="G9465" t="s">
        <v>88</v>
      </c>
      <c r="H9465" t="s">
        <v>92</v>
      </c>
    </row>
    <row r="9466" spans="1:8" x14ac:dyDescent="0.25">
      <c r="A9466" t="s">
        <v>319</v>
      </c>
      <c r="B9466" t="s">
        <v>705</v>
      </c>
      <c r="C9466" t="s">
        <v>88</v>
      </c>
      <c r="D9466" t="s">
        <v>88</v>
      </c>
      <c r="E9466" t="s">
        <v>957</v>
      </c>
      <c r="F9466" t="s">
        <v>88</v>
      </c>
      <c r="G9466" t="s">
        <v>88</v>
      </c>
      <c r="H9466" t="s">
        <v>92</v>
      </c>
    </row>
    <row r="9467" spans="1:8" x14ac:dyDescent="0.25">
      <c r="A9467" t="s">
        <v>319</v>
      </c>
      <c r="B9467" t="s">
        <v>7865</v>
      </c>
      <c r="C9467" t="s">
        <v>88</v>
      </c>
      <c r="D9467" t="s">
        <v>88</v>
      </c>
      <c r="E9467" t="s">
        <v>709</v>
      </c>
      <c r="F9467" t="s">
        <v>88</v>
      </c>
      <c r="G9467" t="s">
        <v>88</v>
      </c>
      <c r="H9467" t="s">
        <v>92</v>
      </c>
    </row>
    <row r="9468" spans="1:8" x14ac:dyDescent="0.25">
      <c r="A9468" t="s">
        <v>319</v>
      </c>
      <c r="B9468" t="s">
        <v>954</v>
      </c>
      <c r="C9468" t="s">
        <v>88</v>
      </c>
      <c r="D9468" t="s">
        <v>88</v>
      </c>
      <c r="E9468" t="s">
        <v>709</v>
      </c>
      <c r="F9468" t="s">
        <v>88</v>
      </c>
      <c r="G9468" t="s">
        <v>88</v>
      </c>
      <c r="H9468" t="s">
        <v>92</v>
      </c>
    </row>
    <row r="9469" spans="1:8" x14ac:dyDescent="0.25">
      <c r="A9469" t="s">
        <v>319</v>
      </c>
      <c r="B9469" t="s">
        <v>1369</v>
      </c>
      <c r="C9469" t="s">
        <v>88</v>
      </c>
      <c r="D9469" t="s">
        <v>88</v>
      </c>
      <c r="E9469" t="s">
        <v>709</v>
      </c>
      <c r="F9469" t="s">
        <v>88</v>
      </c>
      <c r="G9469" t="s">
        <v>88</v>
      </c>
      <c r="H9469" t="s">
        <v>92</v>
      </c>
    </row>
    <row r="9470" spans="1:8" x14ac:dyDescent="0.25">
      <c r="A9470" t="s">
        <v>319</v>
      </c>
      <c r="B9470" t="s">
        <v>706</v>
      </c>
      <c r="C9470" t="s">
        <v>88</v>
      </c>
      <c r="D9470" t="s">
        <v>88</v>
      </c>
      <c r="E9470" t="s">
        <v>957</v>
      </c>
      <c r="F9470" t="s">
        <v>88</v>
      </c>
      <c r="G9470" t="s">
        <v>88</v>
      </c>
      <c r="H9470" t="s">
        <v>92</v>
      </c>
    </row>
    <row r="9471" spans="1:8" x14ac:dyDescent="0.25">
      <c r="A9471" t="s">
        <v>319</v>
      </c>
      <c r="B9471" t="s">
        <v>7866</v>
      </c>
      <c r="C9471" t="s">
        <v>88</v>
      </c>
      <c r="D9471" t="s">
        <v>88</v>
      </c>
      <c r="E9471" t="s">
        <v>709</v>
      </c>
      <c r="F9471" t="s">
        <v>88</v>
      </c>
      <c r="G9471" t="s">
        <v>88</v>
      </c>
      <c r="H9471" t="s">
        <v>92</v>
      </c>
    </row>
    <row r="9472" spans="1:8" x14ac:dyDescent="0.25">
      <c r="A9472" t="s">
        <v>319</v>
      </c>
      <c r="B9472" t="s">
        <v>615</v>
      </c>
      <c r="C9472" t="s">
        <v>88</v>
      </c>
      <c r="D9472" t="s">
        <v>88</v>
      </c>
      <c r="E9472" t="s">
        <v>957</v>
      </c>
      <c r="F9472" t="s">
        <v>88</v>
      </c>
      <c r="G9472" t="s">
        <v>88</v>
      </c>
      <c r="H9472" t="s">
        <v>92</v>
      </c>
    </row>
    <row r="9473" spans="1:8" x14ac:dyDescent="0.25">
      <c r="A9473" t="s">
        <v>319</v>
      </c>
      <c r="B9473" t="s">
        <v>616</v>
      </c>
      <c r="C9473" t="s">
        <v>88</v>
      </c>
      <c r="D9473" t="s">
        <v>88</v>
      </c>
      <c r="E9473" t="s">
        <v>957</v>
      </c>
      <c r="F9473" t="s">
        <v>88</v>
      </c>
      <c r="G9473" t="s">
        <v>88</v>
      </c>
      <c r="H9473" t="s">
        <v>92</v>
      </c>
    </row>
    <row r="9474" spans="1:8" x14ac:dyDescent="0.25">
      <c r="A9474" t="s">
        <v>319</v>
      </c>
      <c r="B9474" t="s">
        <v>733</v>
      </c>
      <c r="C9474" t="s">
        <v>88</v>
      </c>
      <c r="D9474" t="s">
        <v>88</v>
      </c>
      <c r="E9474" t="s">
        <v>957</v>
      </c>
      <c r="F9474" t="s">
        <v>88</v>
      </c>
      <c r="G9474" t="s">
        <v>88</v>
      </c>
      <c r="H9474" t="s">
        <v>92</v>
      </c>
    </row>
    <row r="9475" spans="1:8" x14ac:dyDescent="0.25">
      <c r="A9475" t="s">
        <v>319</v>
      </c>
      <c r="B9475" t="s">
        <v>2359</v>
      </c>
      <c r="C9475" t="s">
        <v>88</v>
      </c>
      <c r="D9475" t="s">
        <v>88</v>
      </c>
      <c r="E9475" t="s">
        <v>791</v>
      </c>
      <c r="F9475" t="s">
        <v>88</v>
      </c>
      <c r="G9475" t="s">
        <v>88</v>
      </c>
      <c r="H9475" t="s">
        <v>92</v>
      </c>
    </row>
    <row r="9476" spans="1:8" x14ac:dyDescent="0.25">
      <c r="A9476" t="s">
        <v>319</v>
      </c>
      <c r="B9476" t="s">
        <v>7867</v>
      </c>
      <c r="C9476" t="s">
        <v>88</v>
      </c>
      <c r="D9476" t="s">
        <v>88</v>
      </c>
      <c r="E9476" t="s">
        <v>710</v>
      </c>
      <c r="F9476" t="s">
        <v>88</v>
      </c>
      <c r="G9476" t="s">
        <v>88</v>
      </c>
      <c r="H9476" t="s">
        <v>92</v>
      </c>
    </row>
    <row r="9477" spans="1:8" x14ac:dyDescent="0.25">
      <c r="A9477" t="s">
        <v>319</v>
      </c>
      <c r="B9477" t="s">
        <v>7868</v>
      </c>
      <c r="C9477" t="s">
        <v>88</v>
      </c>
      <c r="D9477" t="s">
        <v>88</v>
      </c>
      <c r="E9477" t="s">
        <v>709</v>
      </c>
      <c r="F9477" t="s">
        <v>88</v>
      </c>
      <c r="G9477" t="s">
        <v>88</v>
      </c>
      <c r="H9477" t="s">
        <v>92</v>
      </c>
    </row>
    <row r="9478" spans="1:8" x14ac:dyDescent="0.25">
      <c r="A9478" t="s">
        <v>319</v>
      </c>
      <c r="B9478" t="s">
        <v>7869</v>
      </c>
      <c r="C9478" t="s">
        <v>88</v>
      </c>
      <c r="D9478" t="s">
        <v>88</v>
      </c>
      <c r="E9478" t="s">
        <v>734</v>
      </c>
      <c r="F9478" t="s">
        <v>88</v>
      </c>
      <c r="G9478" t="s">
        <v>88</v>
      </c>
      <c r="H9478" t="s">
        <v>92</v>
      </c>
    </row>
    <row r="9479" spans="1:8" x14ac:dyDescent="0.25">
      <c r="A9479" t="s">
        <v>319</v>
      </c>
      <c r="B9479" t="s">
        <v>846</v>
      </c>
      <c r="C9479" t="s">
        <v>88</v>
      </c>
      <c r="D9479" t="s">
        <v>88</v>
      </c>
      <c r="E9479" t="s">
        <v>3397</v>
      </c>
      <c r="F9479" t="s">
        <v>88</v>
      </c>
      <c r="G9479" t="s">
        <v>88</v>
      </c>
      <c r="H9479" t="s">
        <v>92</v>
      </c>
    </row>
    <row r="9480" spans="1:8" x14ac:dyDescent="0.25">
      <c r="A9480" t="s">
        <v>319</v>
      </c>
      <c r="B9480" t="s">
        <v>7870</v>
      </c>
      <c r="C9480" t="s">
        <v>88</v>
      </c>
      <c r="D9480" t="s">
        <v>1370</v>
      </c>
      <c r="E9480" t="s">
        <v>1978</v>
      </c>
      <c r="F9480" t="s">
        <v>88</v>
      </c>
      <c r="G9480" t="s">
        <v>88</v>
      </c>
      <c r="H9480" t="s">
        <v>92</v>
      </c>
    </row>
    <row r="9481" spans="1:8" x14ac:dyDescent="0.25">
      <c r="A9481" t="s">
        <v>319</v>
      </c>
      <c r="B9481" t="s">
        <v>7871</v>
      </c>
      <c r="C9481" t="s">
        <v>88</v>
      </c>
      <c r="D9481" t="s">
        <v>1370</v>
      </c>
      <c r="E9481" t="s">
        <v>957</v>
      </c>
      <c r="F9481" t="s">
        <v>88</v>
      </c>
      <c r="G9481" t="s">
        <v>88</v>
      </c>
      <c r="H9481" t="s">
        <v>92</v>
      </c>
    </row>
    <row r="9482" spans="1:8" x14ac:dyDescent="0.25">
      <c r="A9482" t="s">
        <v>319</v>
      </c>
      <c r="B9482" t="s">
        <v>7872</v>
      </c>
      <c r="C9482" t="s">
        <v>88</v>
      </c>
      <c r="D9482" t="s">
        <v>88</v>
      </c>
      <c r="E9482" t="s">
        <v>710</v>
      </c>
      <c r="F9482" t="s">
        <v>88</v>
      </c>
      <c r="G9482" t="s">
        <v>88</v>
      </c>
      <c r="H9482" t="s">
        <v>92</v>
      </c>
    </row>
    <row r="9483" spans="1:8" x14ac:dyDescent="0.25">
      <c r="A9483" t="s">
        <v>319</v>
      </c>
      <c r="B9483" t="s">
        <v>795</v>
      </c>
      <c r="C9483" t="s">
        <v>88</v>
      </c>
      <c r="D9483" t="s">
        <v>88</v>
      </c>
      <c r="E9483" t="s">
        <v>711</v>
      </c>
      <c r="F9483" t="s">
        <v>88</v>
      </c>
      <c r="G9483" t="s">
        <v>88</v>
      </c>
      <c r="H9483" t="s">
        <v>92</v>
      </c>
    </row>
    <row r="9484" spans="1:8" x14ac:dyDescent="0.25">
      <c r="A9484" t="s">
        <v>319</v>
      </c>
      <c r="B9484" t="s">
        <v>618</v>
      </c>
      <c r="C9484" t="s">
        <v>88</v>
      </c>
      <c r="D9484" t="s">
        <v>88</v>
      </c>
      <c r="E9484" t="s">
        <v>709</v>
      </c>
      <c r="F9484" t="s">
        <v>88</v>
      </c>
      <c r="G9484" t="s">
        <v>88</v>
      </c>
      <c r="H9484" t="s">
        <v>92</v>
      </c>
    </row>
    <row r="9485" spans="1:8" x14ac:dyDescent="0.25">
      <c r="A9485" t="s">
        <v>319</v>
      </c>
      <c r="B9485" t="s">
        <v>622</v>
      </c>
      <c r="C9485" t="s">
        <v>88</v>
      </c>
      <c r="D9485" t="s">
        <v>88</v>
      </c>
      <c r="E9485" t="s">
        <v>848</v>
      </c>
      <c r="F9485" t="s">
        <v>88</v>
      </c>
      <c r="G9485" t="s">
        <v>88</v>
      </c>
      <c r="H9485" t="s">
        <v>92</v>
      </c>
    </row>
    <row r="9486" spans="1:8" x14ac:dyDescent="0.25">
      <c r="A9486" t="s">
        <v>319</v>
      </c>
      <c r="B9486" t="s">
        <v>623</v>
      </c>
      <c r="C9486" t="s">
        <v>88</v>
      </c>
      <c r="D9486" t="s">
        <v>88</v>
      </c>
      <c r="E9486" t="s">
        <v>713</v>
      </c>
      <c r="F9486" t="s">
        <v>88</v>
      </c>
      <c r="G9486" t="s">
        <v>88</v>
      </c>
      <c r="H9486" t="s">
        <v>92</v>
      </c>
    </row>
    <row r="9487" spans="1:8" x14ac:dyDescent="0.25">
      <c r="A9487" t="s">
        <v>319</v>
      </c>
      <c r="B9487" t="s">
        <v>714</v>
      </c>
      <c r="C9487" t="s">
        <v>88</v>
      </c>
      <c r="D9487" t="s">
        <v>88</v>
      </c>
      <c r="E9487" t="s">
        <v>1323</v>
      </c>
      <c r="F9487" t="s">
        <v>88</v>
      </c>
      <c r="G9487" t="s">
        <v>88</v>
      </c>
      <c r="H9487" t="s">
        <v>92</v>
      </c>
    </row>
    <row r="9488" spans="1:8" x14ac:dyDescent="0.25">
      <c r="A9488" t="s">
        <v>319</v>
      </c>
      <c r="B9488" t="s">
        <v>1074</v>
      </c>
      <c r="C9488" t="s">
        <v>88</v>
      </c>
      <c r="D9488" t="s">
        <v>88</v>
      </c>
      <c r="E9488" t="s">
        <v>1323</v>
      </c>
      <c r="F9488" t="s">
        <v>88</v>
      </c>
      <c r="G9488" t="s">
        <v>88</v>
      </c>
      <c r="H9488" t="s">
        <v>92</v>
      </c>
    </row>
    <row r="9489" spans="1:8" x14ac:dyDescent="0.25">
      <c r="A9489" t="s">
        <v>319</v>
      </c>
      <c r="B9489" t="s">
        <v>2572</v>
      </c>
      <c r="C9489" t="s">
        <v>88</v>
      </c>
      <c r="D9489" t="s">
        <v>88</v>
      </c>
      <c r="E9489" t="s">
        <v>1323</v>
      </c>
      <c r="F9489" t="s">
        <v>88</v>
      </c>
      <c r="G9489" t="s">
        <v>88</v>
      </c>
      <c r="H9489" t="s">
        <v>92</v>
      </c>
    </row>
    <row r="9490" spans="1:8" x14ac:dyDescent="0.25">
      <c r="A9490" t="s">
        <v>319</v>
      </c>
      <c r="B9490" t="s">
        <v>851</v>
      </c>
      <c r="C9490" t="s">
        <v>88</v>
      </c>
      <c r="D9490" t="s">
        <v>88</v>
      </c>
      <c r="E9490" t="s">
        <v>1323</v>
      </c>
      <c r="F9490" t="s">
        <v>88</v>
      </c>
      <c r="G9490" t="s">
        <v>88</v>
      </c>
      <c r="H9490" t="s">
        <v>92</v>
      </c>
    </row>
    <row r="9491" spans="1:8" x14ac:dyDescent="0.25">
      <c r="A9491" t="s">
        <v>319</v>
      </c>
      <c r="B9491" t="s">
        <v>7873</v>
      </c>
      <c r="C9491" t="s">
        <v>88</v>
      </c>
      <c r="D9491" t="s">
        <v>88</v>
      </c>
      <c r="E9491" t="s">
        <v>715</v>
      </c>
      <c r="F9491" t="s">
        <v>88</v>
      </c>
      <c r="G9491" t="s">
        <v>88</v>
      </c>
      <c r="H9491" t="s">
        <v>92</v>
      </c>
    </row>
    <row r="9492" spans="1:8" x14ac:dyDescent="0.25">
      <c r="A9492" t="s">
        <v>319</v>
      </c>
      <c r="B9492" t="s">
        <v>7874</v>
      </c>
      <c r="C9492" t="s">
        <v>88</v>
      </c>
      <c r="D9492" t="s">
        <v>88</v>
      </c>
      <c r="E9492" t="s">
        <v>1323</v>
      </c>
      <c r="F9492" t="s">
        <v>88</v>
      </c>
      <c r="G9492" t="s">
        <v>88</v>
      </c>
      <c r="H9492" t="s">
        <v>92</v>
      </c>
    </row>
    <row r="9493" spans="1:8" x14ac:dyDescent="0.25">
      <c r="A9493" t="s">
        <v>319</v>
      </c>
      <c r="B9493" t="s">
        <v>3561</v>
      </c>
      <c r="C9493" t="s">
        <v>88</v>
      </c>
      <c r="D9493" t="s">
        <v>88</v>
      </c>
      <c r="E9493" t="s">
        <v>1323</v>
      </c>
      <c r="F9493" t="s">
        <v>88</v>
      </c>
      <c r="G9493" t="s">
        <v>88</v>
      </c>
      <c r="H9493" t="s">
        <v>92</v>
      </c>
    </row>
    <row r="9494" spans="1:8" x14ac:dyDescent="0.25">
      <c r="A9494" t="s">
        <v>319</v>
      </c>
      <c r="B9494" t="s">
        <v>7875</v>
      </c>
      <c r="C9494" t="s">
        <v>88</v>
      </c>
      <c r="D9494" t="s">
        <v>88</v>
      </c>
      <c r="E9494" t="s">
        <v>711</v>
      </c>
      <c r="F9494" t="s">
        <v>88</v>
      </c>
      <c r="G9494" t="s">
        <v>88</v>
      </c>
      <c r="H9494" t="s">
        <v>92</v>
      </c>
    </row>
    <row r="9495" spans="1:8" x14ac:dyDescent="0.25">
      <c r="A9495" t="s">
        <v>319</v>
      </c>
      <c r="B9495" t="s">
        <v>3381</v>
      </c>
      <c r="C9495" t="s">
        <v>88</v>
      </c>
      <c r="D9495" t="s">
        <v>88</v>
      </c>
      <c r="E9495" t="s">
        <v>959</v>
      </c>
      <c r="F9495" t="s">
        <v>88</v>
      </c>
      <c r="G9495" t="s">
        <v>88</v>
      </c>
      <c r="H9495" t="s">
        <v>92</v>
      </c>
    </row>
    <row r="9496" spans="1:8" x14ac:dyDescent="0.25">
      <c r="A9496" t="s">
        <v>319</v>
      </c>
      <c r="B9496" t="s">
        <v>7876</v>
      </c>
      <c r="C9496" t="s">
        <v>88</v>
      </c>
      <c r="D9496" t="s">
        <v>88</v>
      </c>
      <c r="E9496" t="s">
        <v>959</v>
      </c>
      <c r="F9496" t="s">
        <v>88</v>
      </c>
      <c r="G9496" t="s">
        <v>88</v>
      </c>
      <c r="H9496" t="s">
        <v>92</v>
      </c>
    </row>
    <row r="9497" spans="1:8" x14ac:dyDescent="0.25">
      <c r="A9497" t="s">
        <v>319</v>
      </c>
      <c r="B9497" t="s">
        <v>7877</v>
      </c>
      <c r="C9497" t="s">
        <v>88</v>
      </c>
      <c r="D9497" t="s">
        <v>88</v>
      </c>
      <c r="E9497" t="s">
        <v>959</v>
      </c>
      <c r="F9497" t="s">
        <v>88</v>
      </c>
      <c r="G9497" t="s">
        <v>88</v>
      </c>
      <c r="H9497" t="s">
        <v>92</v>
      </c>
    </row>
    <row r="9498" spans="1:8" x14ac:dyDescent="0.25">
      <c r="A9498" t="s">
        <v>319</v>
      </c>
      <c r="B9498" t="s">
        <v>7878</v>
      </c>
      <c r="C9498" t="s">
        <v>88</v>
      </c>
      <c r="D9498" t="s">
        <v>88</v>
      </c>
      <c r="E9498" t="s">
        <v>959</v>
      </c>
      <c r="F9498" t="s">
        <v>88</v>
      </c>
      <c r="G9498" t="s">
        <v>88</v>
      </c>
      <c r="H9498" t="s">
        <v>92</v>
      </c>
    </row>
    <row r="9499" spans="1:8" x14ac:dyDescent="0.25">
      <c r="A9499" t="s">
        <v>319</v>
      </c>
      <c r="B9499" t="s">
        <v>1823</v>
      </c>
      <c r="C9499" t="s">
        <v>88</v>
      </c>
      <c r="D9499" t="s">
        <v>88</v>
      </c>
      <c r="E9499" t="s">
        <v>710</v>
      </c>
      <c r="F9499" t="s">
        <v>88</v>
      </c>
      <c r="G9499" t="s">
        <v>88</v>
      </c>
      <c r="H9499" t="s">
        <v>92</v>
      </c>
    </row>
    <row r="9500" spans="1:8" x14ac:dyDescent="0.25">
      <c r="A9500" t="s">
        <v>319</v>
      </c>
      <c r="B9500" t="s">
        <v>5240</v>
      </c>
      <c r="C9500" t="s">
        <v>88</v>
      </c>
      <c r="D9500" t="s">
        <v>88</v>
      </c>
      <c r="E9500" t="s">
        <v>738</v>
      </c>
      <c r="F9500" t="s">
        <v>88</v>
      </c>
      <c r="G9500" t="s">
        <v>88</v>
      </c>
      <c r="H9500" t="s">
        <v>92</v>
      </c>
    </row>
    <row r="9501" spans="1:8" x14ac:dyDescent="0.25">
      <c r="A9501" t="s">
        <v>319</v>
      </c>
      <c r="B9501" t="s">
        <v>7879</v>
      </c>
      <c r="C9501" t="s">
        <v>88</v>
      </c>
      <c r="D9501" t="s">
        <v>88</v>
      </c>
      <c r="E9501" t="s">
        <v>738</v>
      </c>
      <c r="F9501" t="s">
        <v>88</v>
      </c>
      <c r="G9501" t="s">
        <v>88</v>
      </c>
      <c r="H9501" t="s">
        <v>92</v>
      </c>
    </row>
    <row r="9502" spans="1:8" x14ac:dyDescent="0.25">
      <c r="A9502" t="s">
        <v>319</v>
      </c>
      <c r="B9502" t="s">
        <v>7880</v>
      </c>
      <c r="C9502" t="s">
        <v>88</v>
      </c>
      <c r="D9502" t="s">
        <v>88</v>
      </c>
      <c r="E9502" t="s">
        <v>732</v>
      </c>
      <c r="F9502" t="s">
        <v>88</v>
      </c>
      <c r="G9502" t="s">
        <v>88</v>
      </c>
      <c r="H9502" t="s">
        <v>92</v>
      </c>
    </row>
    <row r="9503" spans="1:8" x14ac:dyDescent="0.25">
      <c r="A9503" t="s">
        <v>319</v>
      </c>
      <c r="B9503" t="s">
        <v>7881</v>
      </c>
      <c r="C9503" t="s">
        <v>88</v>
      </c>
      <c r="D9503" t="s">
        <v>88</v>
      </c>
      <c r="E9503" t="s">
        <v>844</v>
      </c>
      <c r="F9503" t="s">
        <v>88</v>
      </c>
      <c r="G9503" t="s">
        <v>88</v>
      </c>
      <c r="H9503" t="s">
        <v>92</v>
      </c>
    </row>
    <row r="9504" spans="1:8" x14ac:dyDescent="0.25">
      <c r="A9504" t="s">
        <v>319</v>
      </c>
      <c r="B9504" t="s">
        <v>7882</v>
      </c>
      <c r="C9504" t="s">
        <v>88</v>
      </c>
      <c r="D9504" t="s">
        <v>88</v>
      </c>
      <c r="E9504" t="s">
        <v>663</v>
      </c>
      <c r="F9504" t="s">
        <v>88</v>
      </c>
      <c r="G9504" t="s">
        <v>88</v>
      </c>
      <c r="H9504" t="s">
        <v>92</v>
      </c>
    </row>
    <row r="9505" spans="1:8" x14ac:dyDescent="0.25">
      <c r="A9505" t="s">
        <v>319</v>
      </c>
      <c r="B9505" t="s">
        <v>7883</v>
      </c>
      <c r="C9505" t="s">
        <v>88</v>
      </c>
      <c r="D9505" t="s">
        <v>88</v>
      </c>
      <c r="E9505" t="s">
        <v>849</v>
      </c>
      <c r="F9505" t="s">
        <v>88</v>
      </c>
      <c r="G9505" t="s">
        <v>88</v>
      </c>
      <c r="H9505" t="s">
        <v>92</v>
      </c>
    </row>
    <row r="9506" spans="1:8" x14ac:dyDescent="0.25">
      <c r="A9506" t="s">
        <v>319</v>
      </c>
      <c r="B9506" t="s">
        <v>7884</v>
      </c>
      <c r="C9506" t="s">
        <v>88</v>
      </c>
      <c r="D9506" t="s">
        <v>88</v>
      </c>
      <c r="E9506" t="s">
        <v>849</v>
      </c>
      <c r="F9506" t="s">
        <v>88</v>
      </c>
      <c r="G9506" t="s">
        <v>88</v>
      </c>
      <c r="H9506" t="s">
        <v>92</v>
      </c>
    </row>
    <row r="9507" spans="1:8" x14ac:dyDescent="0.25">
      <c r="A9507" t="s">
        <v>319</v>
      </c>
      <c r="B9507" t="s">
        <v>7885</v>
      </c>
      <c r="C9507" t="s">
        <v>88</v>
      </c>
      <c r="D9507" t="s">
        <v>88</v>
      </c>
      <c r="E9507" t="s">
        <v>715</v>
      </c>
      <c r="F9507" t="s">
        <v>88</v>
      </c>
      <c r="G9507" t="s">
        <v>88</v>
      </c>
      <c r="H9507" t="s">
        <v>92</v>
      </c>
    </row>
    <row r="9508" spans="1:8" x14ac:dyDescent="0.25">
      <c r="A9508" t="s">
        <v>319</v>
      </c>
      <c r="B9508" t="s">
        <v>7886</v>
      </c>
      <c r="C9508" t="s">
        <v>88</v>
      </c>
      <c r="D9508" t="s">
        <v>88</v>
      </c>
      <c r="E9508" t="s">
        <v>780</v>
      </c>
      <c r="F9508" t="s">
        <v>88</v>
      </c>
      <c r="G9508" t="s">
        <v>88</v>
      </c>
      <c r="H9508" t="s">
        <v>92</v>
      </c>
    </row>
    <row r="9509" spans="1:8" x14ac:dyDescent="0.25">
      <c r="A9509" t="s">
        <v>319</v>
      </c>
      <c r="B9509" t="s">
        <v>7887</v>
      </c>
      <c r="C9509" t="s">
        <v>88</v>
      </c>
      <c r="D9509" t="s">
        <v>88</v>
      </c>
      <c r="E9509" t="s">
        <v>679</v>
      </c>
      <c r="F9509" t="s">
        <v>88</v>
      </c>
      <c r="G9509" t="s">
        <v>88</v>
      </c>
      <c r="H9509" t="s">
        <v>92</v>
      </c>
    </row>
    <row r="9510" spans="1:8" x14ac:dyDescent="0.25">
      <c r="A9510" t="s">
        <v>319</v>
      </c>
      <c r="B9510" t="s">
        <v>625</v>
      </c>
      <c r="C9510" t="s">
        <v>88</v>
      </c>
      <c r="D9510" t="s">
        <v>88</v>
      </c>
      <c r="E9510" t="s">
        <v>626</v>
      </c>
      <c r="F9510" t="s">
        <v>88</v>
      </c>
      <c r="G9510" t="s">
        <v>88</v>
      </c>
      <c r="H9510" t="s">
        <v>92</v>
      </c>
    </row>
    <row r="9511" spans="1:8" x14ac:dyDescent="0.25">
      <c r="A9511" t="s">
        <v>322</v>
      </c>
      <c r="B9511" t="s">
        <v>7756</v>
      </c>
      <c r="C9511" t="s">
        <v>88</v>
      </c>
      <c r="D9511" t="s">
        <v>7757</v>
      </c>
      <c r="E9511" t="s">
        <v>780</v>
      </c>
      <c r="F9511" t="s">
        <v>88</v>
      </c>
      <c r="G9511" t="s">
        <v>88</v>
      </c>
      <c r="H9511" t="s">
        <v>92</v>
      </c>
    </row>
    <row r="9512" spans="1:8" x14ac:dyDescent="0.25">
      <c r="A9512" t="s">
        <v>322</v>
      </c>
      <c r="B9512" t="s">
        <v>7829</v>
      </c>
      <c r="C9512" t="s">
        <v>88</v>
      </c>
      <c r="D9512" t="s">
        <v>7757</v>
      </c>
      <c r="E9512" t="s">
        <v>791</v>
      </c>
      <c r="F9512" t="s">
        <v>88</v>
      </c>
      <c r="G9512" t="s">
        <v>88</v>
      </c>
      <c r="H9512" t="s">
        <v>92</v>
      </c>
    </row>
    <row r="9513" spans="1:8" x14ac:dyDescent="0.25">
      <c r="A9513" t="s">
        <v>322</v>
      </c>
      <c r="B9513" t="s">
        <v>7888</v>
      </c>
      <c r="C9513" t="s">
        <v>88</v>
      </c>
      <c r="D9513" t="s">
        <v>7889</v>
      </c>
      <c r="E9513" t="s">
        <v>1487</v>
      </c>
      <c r="F9513" t="s">
        <v>88</v>
      </c>
      <c r="G9513" t="s">
        <v>88</v>
      </c>
      <c r="H9513" t="s">
        <v>92</v>
      </c>
    </row>
    <row r="9514" spans="1:8" x14ac:dyDescent="0.25">
      <c r="A9514" t="s">
        <v>322</v>
      </c>
      <c r="B9514" t="s">
        <v>816</v>
      </c>
      <c r="C9514" t="s">
        <v>88</v>
      </c>
      <c r="D9514" t="s">
        <v>7831</v>
      </c>
      <c r="E9514" t="s">
        <v>820</v>
      </c>
      <c r="F9514" t="s">
        <v>88</v>
      </c>
      <c r="G9514" t="s">
        <v>88</v>
      </c>
      <c r="H9514" t="s">
        <v>92</v>
      </c>
    </row>
    <row r="9515" spans="1:8" x14ac:dyDescent="0.25">
      <c r="A9515" t="s">
        <v>322</v>
      </c>
      <c r="B9515" t="s">
        <v>7890</v>
      </c>
      <c r="C9515" t="s">
        <v>88</v>
      </c>
      <c r="D9515" t="s">
        <v>88</v>
      </c>
      <c r="E9515" t="s">
        <v>709</v>
      </c>
      <c r="F9515" t="s">
        <v>88</v>
      </c>
      <c r="G9515" t="s">
        <v>88</v>
      </c>
      <c r="H9515" t="s">
        <v>92</v>
      </c>
    </row>
    <row r="9516" spans="1:8" x14ac:dyDescent="0.25">
      <c r="A9516" t="s">
        <v>322</v>
      </c>
      <c r="B9516" t="s">
        <v>7888</v>
      </c>
      <c r="C9516" t="s">
        <v>88</v>
      </c>
      <c r="D9516" t="s">
        <v>7889</v>
      </c>
      <c r="E9516" t="s">
        <v>1487</v>
      </c>
      <c r="F9516" t="s">
        <v>88</v>
      </c>
      <c r="G9516" t="s">
        <v>88</v>
      </c>
      <c r="H9516" t="s">
        <v>92</v>
      </c>
    </row>
    <row r="9517" spans="1:8" x14ac:dyDescent="0.25">
      <c r="A9517" t="s">
        <v>322</v>
      </c>
      <c r="B9517" t="s">
        <v>7764</v>
      </c>
      <c r="C9517" t="s">
        <v>88</v>
      </c>
      <c r="D9517" t="s">
        <v>7765</v>
      </c>
      <c r="E9517" t="s">
        <v>7891</v>
      </c>
      <c r="F9517" t="s">
        <v>88</v>
      </c>
      <c r="G9517" t="s">
        <v>88</v>
      </c>
      <c r="H9517" t="s">
        <v>92</v>
      </c>
    </row>
    <row r="9518" spans="1:8" x14ac:dyDescent="0.25">
      <c r="A9518" t="s">
        <v>322</v>
      </c>
      <c r="B9518" t="s">
        <v>7767</v>
      </c>
      <c r="C9518" t="s">
        <v>88</v>
      </c>
      <c r="D9518" t="s">
        <v>7768</v>
      </c>
      <c r="E9518" t="s">
        <v>7892</v>
      </c>
      <c r="F9518" t="s">
        <v>88</v>
      </c>
      <c r="G9518" t="s">
        <v>88</v>
      </c>
      <c r="H9518" t="s">
        <v>92</v>
      </c>
    </row>
    <row r="9519" spans="1:8" x14ac:dyDescent="0.25">
      <c r="A9519" t="s">
        <v>322</v>
      </c>
      <c r="B9519" t="s">
        <v>7758</v>
      </c>
      <c r="C9519" t="s">
        <v>88</v>
      </c>
      <c r="D9519" t="s">
        <v>7759</v>
      </c>
      <c r="E9519" t="s">
        <v>893</v>
      </c>
      <c r="F9519" t="s">
        <v>88</v>
      </c>
      <c r="G9519" t="s">
        <v>88</v>
      </c>
      <c r="H9519" t="s">
        <v>92</v>
      </c>
    </row>
    <row r="9520" spans="1:8" x14ac:dyDescent="0.25">
      <c r="A9520" t="s">
        <v>322</v>
      </c>
      <c r="B9520" t="s">
        <v>7761</v>
      </c>
      <c r="C9520" t="s">
        <v>88</v>
      </c>
      <c r="D9520" t="s">
        <v>7762</v>
      </c>
      <c r="E9520" t="s">
        <v>1259</v>
      </c>
      <c r="F9520" t="s">
        <v>88</v>
      </c>
      <c r="G9520" t="s">
        <v>88</v>
      </c>
      <c r="H9520" t="s">
        <v>92</v>
      </c>
    </row>
    <row r="9521" spans="1:8" x14ac:dyDescent="0.25">
      <c r="A9521" t="s">
        <v>322</v>
      </c>
      <c r="B9521" t="s">
        <v>2660</v>
      </c>
      <c r="C9521" t="s">
        <v>88</v>
      </c>
      <c r="D9521" t="s">
        <v>7772</v>
      </c>
      <c r="E9521" t="s">
        <v>738</v>
      </c>
      <c r="F9521" t="s">
        <v>88</v>
      </c>
      <c r="G9521" t="s">
        <v>88</v>
      </c>
      <c r="H9521" t="s">
        <v>92</v>
      </c>
    </row>
    <row r="9522" spans="1:8" x14ac:dyDescent="0.25">
      <c r="A9522" t="s">
        <v>322</v>
      </c>
      <c r="B9522" t="s">
        <v>7773</v>
      </c>
      <c r="C9522" t="s">
        <v>88</v>
      </c>
      <c r="D9522" t="s">
        <v>7774</v>
      </c>
      <c r="E9522" t="s">
        <v>663</v>
      </c>
      <c r="F9522" t="s">
        <v>88</v>
      </c>
      <c r="G9522" t="s">
        <v>88</v>
      </c>
      <c r="H9522" t="s">
        <v>92</v>
      </c>
    </row>
    <row r="9523" spans="1:8" x14ac:dyDescent="0.25">
      <c r="A9523" t="s">
        <v>322</v>
      </c>
      <c r="B9523" t="s">
        <v>2719</v>
      </c>
      <c r="C9523" t="s">
        <v>88</v>
      </c>
      <c r="D9523" t="s">
        <v>7777</v>
      </c>
      <c r="E9523" t="s">
        <v>721</v>
      </c>
      <c r="F9523" t="s">
        <v>88</v>
      </c>
      <c r="G9523" t="s">
        <v>88</v>
      </c>
      <c r="H9523" t="s">
        <v>92</v>
      </c>
    </row>
    <row r="9524" spans="1:8" x14ac:dyDescent="0.25">
      <c r="A9524" t="s">
        <v>322</v>
      </c>
      <c r="B9524" t="s">
        <v>7778</v>
      </c>
      <c r="C9524" t="s">
        <v>88</v>
      </c>
      <c r="D9524" t="s">
        <v>7779</v>
      </c>
      <c r="E9524" t="s">
        <v>717</v>
      </c>
      <c r="F9524" t="s">
        <v>88</v>
      </c>
      <c r="G9524" t="s">
        <v>88</v>
      </c>
      <c r="H9524" t="s">
        <v>92</v>
      </c>
    </row>
    <row r="9525" spans="1:8" x14ac:dyDescent="0.25">
      <c r="A9525" t="s">
        <v>322</v>
      </c>
      <c r="B9525" t="s">
        <v>7780</v>
      </c>
      <c r="C9525" t="s">
        <v>88</v>
      </c>
      <c r="D9525" t="s">
        <v>7781</v>
      </c>
      <c r="E9525" t="s">
        <v>762</v>
      </c>
      <c r="F9525" t="s">
        <v>88</v>
      </c>
      <c r="G9525" t="s">
        <v>88</v>
      </c>
      <c r="H9525" t="s">
        <v>92</v>
      </c>
    </row>
    <row r="9526" spans="1:8" x14ac:dyDescent="0.25">
      <c r="A9526" t="s">
        <v>322</v>
      </c>
      <c r="B9526" t="s">
        <v>7784</v>
      </c>
      <c r="C9526" t="s">
        <v>88</v>
      </c>
      <c r="D9526" t="s">
        <v>7785</v>
      </c>
      <c r="E9526" t="s">
        <v>1353</v>
      </c>
      <c r="F9526" t="s">
        <v>88</v>
      </c>
      <c r="G9526" t="s">
        <v>88</v>
      </c>
      <c r="H9526" t="s">
        <v>92</v>
      </c>
    </row>
    <row r="9527" spans="1:8" x14ac:dyDescent="0.25">
      <c r="A9527" t="s">
        <v>322</v>
      </c>
      <c r="B9527" t="s">
        <v>7893</v>
      </c>
      <c r="C9527" t="s">
        <v>88</v>
      </c>
      <c r="D9527" t="s">
        <v>7894</v>
      </c>
      <c r="E9527" t="s">
        <v>844</v>
      </c>
      <c r="F9527" t="s">
        <v>88</v>
      </c>
      <c r="G9527" t="s">
        <v>88</v>
      </c>
      <c r="H9527" t="s">
        <v>92</v>
      </c>
    </row>
    <row r="9528" spans="1:8" x14ac:dyDescent="0.25">
      <c r="A9528" t="s">
        <v>322</v>
      </c>
      <c r="B9528" t="s">
        <v>7786</v>
      </c>
      <c r="C9528" t="s">
        <v>88</v>
      </c>
      <c r="D9528" t="s">
        <v>7787</v>
      </c>
      <c r="E9528" t="s">
        <v>836</v>
      </c>
      <c r="F9528" t="s">
        <v>88</v>
      </c>
      <c r="G9528" t="s">
        <v>88</v>
      </c>
      <c r="H9528" t="s">
        <v>92</v>
      </c>
    </row>
    <row r="9529" spans="1:8" x14ac:dyDescent="0.25">
      <c r="A9529" t="s">
        <v>322</v>
      </c>
      <c r="B9529" t="s">
        <v>7788</v>
      </c>
      <c r="C9529" t="s">
        <v>88</v>
      </c>
      <c r="D9529" t="s">
        <v>7789</v>
      </c>
      <c r="E9529" t="s">
        <v>838</v>
      </c>
      <c r="F9529" t="s">
        <v>88</v>
      </c>
      <c r="G9529" t="s">
        <v>88</v>
      </c>
      <c r="H9529" t="s">
        <v>92</v>
      </c>
    </row>
    <row r="9530" spans="1:8" x14ac:dyDescent="0.25">
      <c r="A9530" t="s">
        <v>322</v>
      </c>
      <c r="B9530" t="s">
        <v>7792</v>
      </c>
      <c r="C9530" t="s">
        <v>88</v>
      </c>
      <c r="D9530" t="s">
        <v>7793</v>
      </c>
      <c r="E9530" t="s">
        <v>2378</v>
      </c>
      <c r="F9530" t="s">
        <v>88</v>
      </c>
      <c r="G9530" t="s">
        <v>88</v>
      </c>
      <c r="H9530" t="s">
        <v>92</v>
      </c>
    </row>
    <row r="9531" spans="1:8" x14ac:dyDescent="0.25">
      <c r="A9531" t="s">
        <v>322</v>
      </c>
      <c r="B9531" t="s">
        <v>7794</v>
      </c>
      <c r="C9531" t="s">
        <v>88</v>
      </c>
      <c r="D9531" t="s">
        <v>7795</v>
      </c>
      <c r="E9531" t="s">
        <v>825</v>
      </c>
      <c r="F9531" t="s">
        <v>88</v>
      </c>
      <c r="G9531" t="s">
        <v>88</v>
      </c>
      <c r="H9531" t="s">
        <v>92</v>
      </c>
    </row>
    <row r="9532" spans="1:8" x14ac:dyDescent="0.25">
      <c r="A9532" t="s">
        <v>322</v>
      </c>
      <c r="B9532" t="s">
        <v>7796</v>
      </c>
      <c r="C9532" t="s">
        <v>88</v>
      </c>
      <c r="D9532" t="s">
        <v>7797</v>
      </c>
      <c r="E9532" t="s">
        <v>812</v>
      </c>
      <c r="F9532" t="s">
        <v>88</v>
      </c>
      <c r="G9532" t="s">
        <v>88</v>
      </c>
      <c r="H9532" t="s">
        <v>92</v>
      </c>
    </row>
    <row r="9533" spans="1:8" x14ac:dyDescent="0.25">
      <c r="A9533" t="s">
        <v>322</v>
      </c>
      <c r="B9533" t="s">
        <v>7798</v>
      </c>
      <c r="C9533" t="s">
        <v>88</v>
      </c>
      <c r="D9533" t="s">
        <v>7799</v>
      </c>
      <c r="E9533" t="s">
        <v>1153</v>
      </c>
      <c r="F9533" t="s">
        <v>88</v>
      </c>
      <c r="G9533" t="s">
        <v>88</v>
      </c>
      <c r="H9533" t="s">
        <v>92</v>
      </c>
    </row>
    <row r="9534" spans="1:8" x14ac:dyDescent="0.25">
      <c r="A9534" t="s">
        <v>322</v>
      </c>
      <c r="B9534" t="s">
        <v>7800</v>
      </c>
      <c r="C9534" t="s">
        <v>88</v>
      </c>
      <c r="D9534" t="s">
        <v>7801</v>
      </c>
      <c r="E9534" t="s">
        <v>1068</v>
      </c>
      <c r="F9534" t="s">
        <v>88</v>
      </c>
      <c r="G9534" t="s">
        <v>88</v>
      </c>
      <c r="H9534" t="s">
        <v>92</v>
      </c>
    </row>
    <row r="9535" spans="1:8" x14ac:dyDescent="0.25">
      <c r="A9535" t="s">
        <v>322</v>
      </c>
      <c r="B9535" t="s">
        <v>7802</v>
      </c>
      <c r="C9535" t="s">
        <v>88</v>
      </c>
      <c r="D9535" t="s">
        <v>7803</v>
      </c>
      <c r="E9535" t="s">
        <v>1259</v>
      </c>
      <c r="F9535" t="s">
        <v>88</v>
      </c>
      <c r="G9535" t="s">
        <v>88</v>
      </c>
      <c r="H9535" t="s">
        <v>92</v>
      </c>
    </row>
    <row r="9536" spans="1:8" x14ac:dyDescent="0.25">
      <c r="A9536" t="s">
        <v>322</v>
      </c>
      <c r="B9536" t="s">
        <v>7895</v>
      </c>
      <c r="C9536" t="s">
        <v>88</v>
      </c>
      <c r="D9536" t="s">
        <v>7896</v>
      </c>
      <c r="E9536" t="s">
        <v>902</v>
      </c>
      <c r="F9536" t="s">
        <v>88</v>
      </c>
      <c r="G9536" t="s">
        <v>88</v>
      </c>
      <c r="H9536" t="s">
        <v>92</v>
      </c>
    </row>
    <row r="9537" spans="1:8" x14ac:dyDescent="0.25">
      <c r="A9537" t="s">
        <v>322</v>
      </c>
      <c r="B9537" t="s">
        <v>7897</v>
      </c>
      <c r="C9537" t="s">
        <v>88</v>
      </c>
      <c r="D9537" t="s">
        <v>7898</v>
      </c>
      <c r="E9537" t="s">
        <v>825</v>
      </c>
      <c r="F9537" t="s">
        <v>88</v>
      </c>
      <c r="G9537" t="s">
        <v>88</v>
      </c>
      <c r="H9537" t="s">
        <v>92</v>
      </c>
    </row>
    <row r="9538" spans="1:8" x14ac:dyDescent="0.25">
      <c r="A9538" t="s">
        <v>322</v>
      </c>
      <c r="B9538" t="s">
        <v>7804</v>
      </c>
      <c r="C9538" t="s">
        <v>88</v>
      </c>
      <c r="D9538" t="s">
        <v>7805</v>
      </c>
      <c r="E9538" t="s">
        <v>1714</v>
      </c>
      <c r="F9538" t="s">
        <v>88</v>
      </c>
      <c r="G9538" t="s">
        <v>88</v>
      </c>
      <c r="H9538" t="s">
        <v>92</v>
      </c>
    </row>
    <row r="9539" spans="1:8" x14ac:dyDescent="0.25">
      <c r="A9539" t="s">
        <v>322</v>
      </c>
      <c r="B9539" t="s">
        <v>7806</v>
      </c>
      <c r="C9539" t="s">
        <v>88</v>
      </c>
      <c r="D9539" t="s">
        <v>7807</v>
      </c>
      <c r="E9539" t="s">
        <v>2496</v>
      </c>
      <c r="F9539" t="s">
        <v>88</v>
      </c>
      <c r="G9539" t="s">
        <v>88</v>
      </c>
      <c r="H9539" t="s">
        <v>92</v>
      </c>
    </row>
    <row r="9540" spans="1:8" x14ac:dyDescent="0.25">
      <c r="A9540" t="s">
        <v>322</v>
      </c>
      <c r="B9540" t="s">
        <v>7808</v>
      </c>
      <c r="C9540" t="s">
        <v>88</v>
      </c>
      <c r="D9540" t="s">
        <v>7809</v>
      </c>
      <c r="E9540" t="s">
        <v>7810</v>
      </c>
      <c r="F9540" t="s">
        <v>88</v>
      </c>
      <c r="G9540" t="s">
        <v>88</v>
      </c>
      <c r="H9540" t="s">
        <v>92</v>
      </c>
    </row>
    <row r="9541" spans="1:8" x14ac:dyDescent="0.25">
      <c r="A9541" t="s">
        <v>322</v>
      </c>
      <c r="B9541" t="s">
        <v>7811</v>
      </c>
      <c r="C9541" t="s">
        <v>88</v>
      </c>
      <c r="D9541" t="s">
        <v>7812</v>
      </c>
      <c r="E9541" t="s">
        <v>917</v>
      </c>
      <c r="F9541" t="s">
        <v>88</v>
      </c>
      <c r="G9541" t="s">
        <v>88</v>
      </c>
      <c r="H9541" t="s">
        <v>92</v>
      </c>
    </row>
    <row r="9542" spans="1:8" x14ac:dyDescent="0.25">
      <c r="A9542" t="s">
        <v>322</v>
      </c>
      <c r="B9542" t="s">
        <v>7813</v>
      </c>
      <c r="C9542" t="s">
        <v>88</v>
      </c>
      <c r="D9542" t="s">
        <v>7814</v>
      </c>
      <c r="E9542" t="s">
        <v>5524</v>
      </c>
      <c r="F9542" t="s">
        <v>88</v>
      </c>
      <c r="G9542" t="s">
        <v>88</v>
      </c>
      <c r="H9542" t="s">
        <v>92</v>
      </c>
    </row>
    <row r="9543" spans="1:8" x14ac:dyDescent="0.25">
      <c r="A9543" t="s">
        <v>322</v>
      </c>
      <c r="B9543" t="s">
        <v>7815</v>
      </c>
      <c r="C9543" t="s">
        <v>88</v>
      </c>
      <c r="D9543" t="s">
        <v>7816</v>
      </c>
      <c r="E9543" t="s">
        <v>4510</v>
      </c>
      <c r="F9543" t="s">
        <v>88</v>
      </c>
      <c r="G9543" t="s">
        <v>88</v>
      </c>
      <c r="H9543" t="s">
        <v>92</v>
      </c>
    </row>
    <row r="9544" spans="1:8" x14ac:dyDescent="0.25">
      <c r="A9544" t="s">
        <v>322</v>
      </c>
      <c r="B9544" t="s">
        <v>7817</v>
      </c>
      <c r="C9544" t="s">
        <v>88</v>
      </c>
      <c r="D9544" t="s">
        <v>7818</v>
      </c>
      <c r="E9544" t="s">
        <v>4503</v>
      </c>
      <c r="F9544" t="s">
        <v>88</v>
      </c>
      <c r="G9544" t="s">
        <v>88</v>
      </c>
      <c r="H9544" t="s">
        <v>92</v>
      </c>
    </row>
    <row r="9545" spans="1:8" x14ac:dyDescent="0.25">
      <c r="A9545" t="s">
        <v>322</v>
      </c>
      <c r="B9545" t="s">
        <v>7819</v>
      </c>
      <c r="C9545" t="s">
        <v>88</v>
      </c>
      <c r="D9545" t="s">
        <v>6333</v>
      </c>
      <c r="E9545" t="s">
        <v>2490</v>
      </c>
      <c r="F9545" t="s">
        <v>88</v>
      </c>
      <c r="G9545" t="s">
        <v>88</v>
      </c>
      <c r="H9545" t="s">
        <v>92</v>
      </c>
    </row>
    <row r="9546" spans="1:8" x14ac:dyDescent="0.25">
      <c r="A9546" t="s">
        <v>322</v>
      </c>
      <c r="B9546" t="s">
        <v>7820</v>
      </c>
      <c r="C9546" t="s">
        <v>88</v>
      </c>
      <c r="D9546" t="s">
        <v>7821</v>
      </c>
      <c r="E9546" t="s">
        <v>4670</v>
      </c>
      <c r="F9546" t="s">
        <v>88</v>
      </c>
      <c r="G9546" t="s">
        <v>88</v>
      </c>
      <c r="H9546" t="s">
        <v>92</v>
      </c>
    </row>
    <row r="9547" spans="1:8" x14ac:dyDescent="0.25">
      <c r="A9547" t="s">
        <v>322</v>
      </c>
      <c r="B9547" t="s">
        <v>7822</v>
      </c>
      <c r="C9547" t="s">
        <v>88</v>
      </c>
      <c r="D9547" t="s">
        <v>7823</v>
      </c>
      <c r="E9547" t="s">
        <v>1137</v>
      </c>
      <c r="F9547" t="s">
        <v>88</v>
      </c>
      <c r="G9547" t="s">
        <v>88</v>
      </c>
      <c r="H9547" t="s">
        <v>92</v>
      </c>
    </row>
    <row r="9548" spans="1:8" x14ac:dyDescent="0.25">
      <c r="A9548" t="s">
        <v>322</v>
      </c>
      <c r="B9548" t="s">
        <v>7824</v>
      </c>
      <c r="C9548" t="s">
        <v>88</v>
      </c>
      <c r="D9548" t="s">
        <v>7825</v>
      </c>
      <c r="E9548" t="s">
        <v>1068</v>
      </c>
      <c r="F9548" t="s">
        <v>88</v>
      </c>
      <c r="G9548" t="s">
        <v>88</v>
      </c>
      <c r="H9548" t="s">
        <v>92</v>
      </c>
    </row>
    <row r="9549" spans="1:8" x14ac:dyDescent="0.25">
      <c r="A9549" t="s">
        <v>322</v>
      </c>
      <c r="B9549" t="s">
        <v>7826</v>
      </c>
      <c r="C9549" t="s">
        <v>88</v>
      </c>
      <c r="D9549" t="s">
        <v>7827</v>
      </c>
      <c r="E9549" t="s">
        <v>7899</v>
      </c>
      <c r="F9549" t="s">
        <v>88</v>
      </c>
      <c r="G9549" t="s">
        <v>88</v>
      </c>
      <c r="H9549" t="s">
        <v>92</v>
      </c>
    </row>
    <row r="9550" spans="1:8" x14ac:dyDescent="0.25">
      <c r="A9550" t="s">
        <v>322</v>
      </c>
      <c r="B9550" t="s">
        <v>7829</v>
      </c>
      <c r="C9550" t="s">
        <v>88</v>
      </c>
      <c r="D9550" t="s">
        <v>7757</v>
      </c>
      <c r="E9550" t="s">
        <v>791</v>
      </c>
      <c r="F9550" t="s">
        <v>88</v>
      </c>
      <c r="G9550" t="s">
        <v>88</v>
      </c>
      <c r="H9550" t="s">
        <v>92</v>
      </c>
    </row>
    <row r="9551" spans="1:8" x14ac:dyDescent="0.25">
      <c r="A9551" t="s">
        <v>322</v>
      </c>
      <c r="B9551" t="s">
        <v>7756</v>
      </c>
      <c r="C9551" t="s">
        <v>88</v>
      </c>
      <c r="D9551" t="s">
        <v>7757</v>
      </c>
      <c r="E9551" t="s">
        <v>780</v>
      </c>
      <c r="F9551" t="s">
        <v>88</v>
      </c>
      <c r="G9551" t="s">
        <v>88</v>
      </c>
      <c r="H9551" t="s">
        <v>92</v>
      </c>
    </row>
    <row r="9552" spans="1:8" x14ac:dyDescent="0.25">
      <c r="A9552" t="s">
        <v>322</v>
      </c>
      <c r="B9552" t="s">
        <v>830</v>
      </c>
      <c r="C9552" t="s">
        <v>88</v>
      </c>
      <c r="D9552" t="s">
        <v>7830</v>
      </c>
      <c r="E9552" t="s">
        <v>700</v>
      </c>
      <c r="F9552" t="s">
        <v>88</v>
      </c>
      <c r="G9552" t="s">
        <v>88</v>
      </c>
      <c r="H9552" t="s">
        <v>92</v>
      </c>
    </row>
    <row r="9553" spans="1:8" x14ac:dyDescent="0.25">
      <c r="A9553" t="s">
        <v>322</v>
      </c>
      <c r="B9553" t="s">
        <v>816</v>
      </c>
      <c r="C9553" t="s">
        <v>88</v>
      </c>
      <c r="D9553" t="s">
        <v>7831</v>
      </c>
      <c r="E9553" t="s">
        <v>820</v>
      </c>
      <c r="F9553" t="s">
        <v>88</v>
      </c>
      <c r="G9553" t="s">
        <v>88</v>
      </c>
      <c r="H9553" t="s">
        <v>92</v>
      </c>
    </row>
    <row r="9554" spans="1:8" x14ac:dyDescent="0.25">
      <c r="A9554" t="s">
        <v>322</v>
      </c>
      <c r="B9554" t="s">
        <v>942</v>
      </c>
      <c r="C9554" t="s">
        <v>88</v>
      </c>
      <c r="D9554" t="s">
        <v>7832</v>
      </c>
      <c r="E9554" t="s">
        <v>838</v>
      </c>
      <c r="F9554" t="s">
        <v>88</v>
      </c>
      <c r="G9554" t="s">
        <v>88</v>
      </c>
      <c r="H9554" t="s">
        <v>92</v>
      </c>
    </row>
    <row r="9555" spans="1:8" x14ac:dyDescent="0.25">
      <c r="A9555" t="s">
        <v>322</v>
      </c>
      <c r="B9555" t="s">
        <v>823</v>
      </c>
      <c r="C9555" t="s">
        <v>88</v>
      </c>
      <c r="D9555" t="s">
        <v>7833</v>
      </c>
      <c r="E9555" t="s">
        <v>1714</v>
      </c>
      <c r="F9555" t="s">
        <v>88</v>
      </c>
      <c r="G9555" t="s">
        <v>88</v>
      </c>
      <c r="H9555" t="s">
        <v>92</v>
      </c>
    </row>
    <row r="9556" spans="1:8" x14ac:dyDescent="0.25">
      <c r="A9556" t="s">
        <v>322</v>
      </c>
      <c r="B9556" t="s">
        <v>7834</v>
      </c>
      <c r="C9556" t="s">
        <v>88</v>
      </c>
      <c r="D9556" t="s">
        <v>88</v>
      </c>
      <c r="E9556" t="s">
        <v>849</v>
      </c>
      <c r="F9556" t="s">
        <v>88</v>
      </c>
      <c r="G9556" t="s">
        <v>88</v>
      </c>
      <c r="H9556" t="s">
        <v>92</v>
      </c>
    </row>
    <row r="9557" spans="1:8" x14ac:dyDescent="0.25">
      <c r="A9557" t="s">
        <v>322</v>
      </c>
      <c r="B9557" t="s">
        <v>845</v>
      </c>
      <c r="C9557" t="s">
        <v>88</v>
      </c>
      <c r="D9557" t="s">
        <v>88</v>
      </c>
      <c r="E9557" t="s">
        <v>735</v>
      </c>
      <c r="F9557" t="s">
        <v>88</v>
      </c>
      <c r="G9557" t="s">
        <v>88</v>
      </c>
      <c r="H9557" t="s">
        <v>92</v>
      </c>
    </row>
    <row r="9558" spans="1:8" x14ac:dyDescent="0.25">
      <c r="A9558" t="s">
        <v>322</v>
      </c>
      <c r="B9558" t="s">
        <v>7835</v>
      </c>
      <c r="C9558" t="s">
        <v>88</v>
      </c>
      <c r="D9558" t="s">
        <v>88</v>
      </c>
      <c r="E9558" t="s">
        <v>710</v>
      </c>
      <c r="F9558" t="s">
        <v>88</v>
      </c>
      <c r="G9558" t="s">
        <v>88</v>
      </c>
      <c r="H9558" t="s">
        <v>92</v>
      </c>
    </row>
    <row r="9559" spans="1:8" x14ac:dyDescent="0.25">
      <c r="A9559" t="s">
        <v>322</v>
      </c>
      <c r="B9559" t="s">
        <v>7900</v>
      </c>
      <c r="C9559" t="s">
        <v>88</v>
      </c>
      <c r="D9559" t="s">
        <v>7901</v>
      </c>
      <c r="E9559" t="s">
        <v>702</v>
      </c>
      <c r="F9559" t="s">
        <v>88</v>
      </c>
      <c r="G9559" t="s">
        <v>88</v>
      </c>
      <c r="H9559" t="s">
        <v>92</v>
      </c>
    </row>
    <row r="9560" spans="1:8" x14ac:dyDescent="0.25">
      <c r="A9560" t="s">
        <v>322</v>
      </c>
      <c r="B9560" t="s">
        <v>7837</v>
      </c>
      <c r="C9560" t="s">
        <v>88</v>
      </c>
      <c r="D9560" t="s">
        <v>88</v>
      </c>
      <c r="E9560" t="s">
        <v>791</v>
      </c>
      <c r="F9560" t="s">
        <v>88</v>
      </c>
      <c r="G9560" t="s">
        <v>88</v>
      </c>
      <c r="H9560" t="s">
        <v>92</v>
      </c>
    </row>
    <row r="9561" spans="1:8" x14ac:dyDescent="0.25">
      <c r="A9561" t="s">
        <v>322</v>
      </c>
      <c r="B9561" t="s">
        <v>7902</v>
      </c>
      <c r="C9561" t="s">
        <v>88</v>
      </c>
      <c r="D9561" t="s">
        <v>7901</v>
      </c>
      <c r="E9561" t="s">
        <v>715</v>
      </c>
      <c r="F9561" t="s">
        <v>88</v>
      </c>
      <c r="G9561" t="s">
        <v>88</v>
      </c>
      <c r="H9561" t="s">
        <v>92</v>
      </c>
    </row>
    <row r="9562" spans="1:8" x14ac:dyDescent="0.25">
      <c r="A9562" t="s">
        <v>322</v>
      </c>
      <c r="B9562" t="s">
        <v>7890</v>
      </c>
      <c r="C9562" t="s">
        <v>88</v>
      </c>
      <c r="D9562" t="s">
        <v>88</v>
      </c>
      <c r="E9562" t="s">
        <v>709</v>
      </c>
      <c r="F9562" t="s">
        <v>88</v>
      </c>
      <c r="G9562" t="s">
        <v>88</v>
      </c>
      <c r="H9562" t="s">
        <v>92</v>
      </c>
    </row>
    <row r="9563" spans="1:8" x14ac:dyDescent="0.25">
      <c r="A9563" t="s">
        <v>322</v>
      </c>
      <c r="B9563" t="s">
        <v>4547</v>
      </c>
      <c r="C9563" t="s">
        <v>88</v>
      </c>
      <c r="D9563" t="s">
        <v>88</v>
      </c>
      <c r="E9563" t="s">
        <v>700</v>
      </c>
      <c r="F9563" t="s">
        <v>88</v>
      </c>
      <c r="G9563" t="s">
        <v>88</v>
      </c>
      <c r="H9563" t="s">
        <v>92</v>
      </c>
    </row>
    <row r="9564" spans="1:8" x14ac:dyDescent="0.25">
      <c r="A9564" t="s">
        <v>322</v>
      </c>
      <c r="B9564" t="s">
        <v>4552</v>
      </c>
      <c r="C9564" t="s">
        <v>88</v>
      </c>
      <c r="D9564" t="s">
        <v>88</v>
      </c>
      <c r="E9564" t="s">
        <v>692</v>
      </c>
      <c r="F9564" t="s">
        <v>88</v>
      </c>
      <c r="G9564" t="s">
        <v>88</v>
      </c>
      <c r="H9564" t="s">
        <v>92</v>
      </c>
    </row>
    <row r="9565" spans="1:8" x14ac:dyDescent="0.25">
      <c r="A9565" t="s">
        <v>322</v>
      </c>
      <c r="B9565" t="s">
        <v>7903</v>
      </c>
      <c r="C9565" t="s">
        <v>88</v>
      </c>
      <c r="D9565" t="s">
        <v>88</v>
      </c>
      <c r="E9565" t="s">
        <v>692</v>
      </c>
      <c r="F9565" t="s">
        <v>88</v>
      </c>
      <c r="G9565" t="s">
        <v>88</v>
      </c>
      <c r="H9565" t="s">
        <v>92</v>
      </c>
    </row>
    <row r="9566" spans="1:8" x14ac:dyDescent="0.25">
      <c r="A9566" t="s">
        <v>322</v>
      </c>
      <c r="B9566" t="s">
        <v>7838</v>
      </c>
      <c r="C9566" t="s">
        <v>88</v>
      </c>
      <c r="D9566" t="s">
        <v>88</v>
      </c>
      <c r="E9566" t="s">
        <v>663</v>
      </c>
      <c r="F9566" t="s">
        <v>88</v>
      </c>
      <c r="G9566" t="s">
        <v>88</v>
      </c>
      <c r="H9566" t="s">
        <v>92</v>
      </c>
    </row>
    <row r="9567" spans="1:8" x14ac:dyDescent="0.25">
      <c r="A9567" t="s">
        <v>322</v>
      </c>
      <c r="B9567" t="s">
        <v>7904</v>
      </c>
      <c r="C9567" t="s">
        <v>88</v>
      </c>
      <c r="D9567" t="s">
        <v>88</v>
      </c>
      <c r="E9567" t="s">
        <v>700</v>
      </c>
      <c r="F9567" t="s">
        <v>88</v>
      </c>
      <c r="G9567" t="s">
        <v>88</v>
      </c>
      <c r="H9567" t="s">
        <v>92</v>
      </c>
    </row>
    <row r="9568" spans="1:8" x14ac:dyDescent="0.25">
      <c r="A9568" t="s">
        <v>322</v>
      </c>
      <c r="B9568" t="s">
        <v>7905</v>
      </c>
      <c r="C9568" t="s">
        <v>88</v>
      </c>
      <c r="D9568" t="s">
        <v>88</v>
      </c>
      <c r="E9568" t="s">
        <v>734</v>
      </c>
      <c r="F9568" t="s">
        <v>88</v>
      </c>
      <c r="G9568" t="s">
        <v>88</v>
      </c>
      <c r="H9568" t="s">
        <v>92</v>
      </c>
    </row>
    <row r="9569" spans="1:8" x14ac:dyDescent="0.25">
      <c r="A9569" t="s">
        <v>322</v>
      </c>
      <c r="B9569" t="s">
        <v>7906</v>
      </c>
      <c r="C9569" t="s">
        <v>88</v>
      </c>
      <c r="D9569" t="s">
        <v>88</v>
      </c>
      <c r="E9569" t="s">
        <v>791</v>
      </c>
      <c r="F9569" t="s">
        <v>88</v>
      </c>
      <c r="G9569" t="s">
        <v>88</v>
      </c>
      <c r="H9569" t="s">
        <v>92</v>
      </c>
    </row>
    <row r="9570" spans="1:8" x14ac:dyDescent="0.25">
      <c r="A9570" t="s">
        <v>322</v>
      </c>
      <c r="B9570" t="s">
        <v>2241</v>
      </c>
      <c r="C9570" t="s">
        <v>88</v>
      </c>
      <c r="D9570" t="s">
        <v>88</v>
      </c>
      <c r="E9570" t="s">
        <v>791</v>
      </c>
      <c r="F9570" t="s">
        <v>88</v>
      </c>
      <c r="G9570" t="s">
        <v>88</v>
      </c>
      <c r="H9570" t="s">
        <v>92</v>
      </c>
    </row>
    <row r="9571" spans="1:8" x14ac:dyDescent="0.25">
      <c r="A9571" t="s">
        <v>322</v>
      </c>
      <c r="B9571" t="s">
        <v>1082</v>
      </c>
      <c r="C9571" t="s">
        <v>88</v>
      </c>
      <c r="D9571" t="s">
        <v>88</v>
      </c>
      <c r="E9571" t="s">
        <v>791</v>
      </c>
      <c r="F9571" t="s">
        <v>88</v>
      </c>
      <c r="G9571" t="s">
        <v>88</v>
      </c>
      <c r="H9571" t="s">
        <v>92</v>
      </c>
    </row>
    <row r="9572" spans="1:8" x14ac:dyDescent="0.25">
      <c r="A9572" t="s">
        <v>322</v>
      </c>
      <c r="B9572" t="s">
        <v>7907</v>
      </c>
      <c r="C9572" t="s">
        <v>88</v>
      </c>
      <c r="D9572" t="s">
        <v>88</v>
      </c>
      <c r="E9572" t="s">
        <v>663</v>
      </c>
      <c r="F9572" t="s">
        <v>88</v>
      </c>
      <c r="G9572" t="s">
        <v>88</v>
      </c>
      <c r="H9572" t="s">
        <v>92</v>
      </c>
    </row>
    <row r="9573" spans="1:8" x14ac:dyDescent="0.25">
      <c r="A9573" t="s">
        <v>322</v>
      </c>
      <c r="B9573" t="s">
        <v>7908</v>
      </c>
      <c r="C9573" t="s">
        <v>88</v>
      </c>
      <c r="D9573" t="s">
        <v>88</v>
      </c>
      <c r="E9573" t="s">
        <v>663</v>
      </c>
      <c r="F9573" t="s">
        <v>88</v>
      </c>
      <c r="G9573" t="s">
        <v>88</v>
      </c>
      <c r="H9573" t="s">
        <v>92</v>
      </c>
    </row>
    <row r="9574" spans="1:8" x14ac:dyDescent="0.25">
      <c r="A9574" t="s">
        <v>322</v>
      </c>
      <c r="B9574" t="s">
        <v>7909</v>
      </c>
      <c r="C9574" t="s">
        <v>88</v>
      </c>
      <c r="D9574" t="s">
        <v>88</v>
      </c>
      <c r="E9574" t="s">
        <v>663</v>
      </c>
      <c r="F9574" t="s">
        <v>88</v>
      </c>
      <c r="G9574" t="s">
        <v>88</v>
      </c>
      <c r="H9574" t="s">
        <v>92</v>
      </c>
    </row>
    <row r="9575" spans="1:8" x14ac:dyDescent="0.25">
      <c r="A9575" t="s">
        <v>322</v>
      </c>
      <c r="B9575" t="s">
        <v>7910</v>
      </c>
      <c r="C9575" t="s">
        <v>88</v>
      </c>
      <c r="D9575" t="s">
        <v>88</v>
      </c>
      <c r="E9575" t="s">
        <v>663</v>
      </c>
      <c r="F9575" t="s">
        <v>88</v>
      </c>
      <c r="G9575" t="s">
        <v>88</v>
      </c>
      <c r="H9575" t="s">
        <v>92</v>
      </c>
    </row>
    <row r="9576" spans="1:8" x14ac:dyDescent="0.25">
      <c r="A9576" t="s">
        <v>322</v>
      </c>
      <c r="B9576" t="s">
        <v>7911</v>
      </c>
      <c r="C9576" t="s">
        <v>88</v>
      </c>
      <c r="D9576" t="s">
        <v>88</v>
      </c>
      <c r="E9576" t="s">
        <v>663</v>
      </c>
      <c r="F9576" t="s">
        <v>88</v>
      </c>
      <c r="G9576" t="s">
        <v>88</v>
      </c>
      <c r="H9576" t="s">
        <v>92</v>
      </c>
    </row>
    <row r="9577" spans="1:8" x14ac:dyDescent="0.25">
      <c r="A9577" t="s">
        <v>322</v>
      </c>
      <c r="B9577" t="s">
        <v>7912</v>
      </c>
      <c r="C9577" t="s">
        <v>88</v>
      </c>
      <c r="D9577" t="s">
        <v>88</v>
      </c>
      <c r="E9577" t="s">
        <v>663</v>
      </c>
      <c r="F9577" t="s">
        <v>88</v>
      </c>
      <c r="G9577" t="s">
        <v>88</v>
      </c>
      <c r="H9577" t="s">
        <v>92</v>
      </c>
    </row>
    <row r="9578" spans="1:8" x14ac:dyDescent="0.25">
      <c r="A9578" t="s">
        <v>322</v>
      </c>
      <c r="B9578" t="s">
        <v>7913</v>
      </c>
      <c r="C9578" t="s">
        <v>88</v>
      </c>
      <c r="D9578" t="s">
        <v>88</v>
      </c>
      <c r="E9578" t="s">
        <v>663</v>
      </c>
      <c r="F9578" t="s">
        <v>88</v>
      </c>
      <c r="G9578" t="s">
        <v>88</v>
      </c>
      <c r="H9578" t="s">
        <v>92</v>
      </c>
    </row>
    <row r="9579" spans="1:8" x14ac:dyDescent="0.25">
      <c r="A9579" t="s">
        <v>322</v>
      </c>
      <c r="B9579" t="s">
        <v>7914</v>
      </c>
      <c r="C9579" t="s">
        <v>88</v>
      </c>
      <c r="D9579" t="s">
        <v>88</v>
      </c>
      <c r="E9579" t="s">
        <v>663</v>
      </c>
      <c r="F9579" t="s">
        <v>88</v>
      </c>
      <c r="G9579" t="s">
        <v>88</v>
      </c>
      <c r="H9579" t="s">
        <v>92</v>
      </c>
    </row>
    <row r="9580" spans="1:8" x14ac:dyDescent="0.25">
      <c r="A9580" t="s">
        <v>322</v>
      </c>
      <c r="B9580" t="s">
        <v>7847</v>
      </c>
      <c r="C9580" t="s">
        <v>88</v>
      </c>
      <c r="D9580" t="s">
        <v>88</v>
      </c>
      <c r="E9580" t="s">
        <v>734</v>
      </c>
      <c r="F9580" t="s">
        <v>88</v>
      </c>
      <c r="G9580" t="s">
        <v>88</v>
      </c>
      <c r="H9580" t="s">
        <v>92</v>
      </c>
    </row>
    <row r="9581" spans="1:8" x14ac:dyDescent="0.25">
      <c r="A9581" t="s">
        <v>322</v>
      </c>
      <c r="B9581" t="s">
        <v>7848</v>
      </c>
      <c r="C9581" t="s">
        <v>88</v>
      </c>
      <c r="D9581" t="s">
        <v>88</v>
      </c>
      <c r="E9581" t="s">
        <v>732</v>
      </c>
      <c r="F9581" t="s">
        <v>88</v>
      </c>
      <c r="G9581" t="s">
        <v>88</v>
      </c>
      <c r="H9581" t="s">
        <v>92</v>
      </c>
    </row>
    <row r="9582" spans="1:8" x14ac:dyDescent="0.25">
      <c r="A9582" t="s">
        <v>322</v>
      </c>
      <c r="B9582" t="s">
        <v>7849</v>
      </c>
      <c r="C9582" t="s">
        <v>88</v>
      </c>
      <c r="D9582" t="s">
        <v>88</v>
      </c>
      <c r="E9582" t="s">
        <v>732</v>
      </c>
      <c r="F9582" t="s">
        <v>88</v>
      </c>
      <c r="G9582" t="s">
        <v>88</v>
      </c>
      <c r="H9582" t="s">
        <v>92</v>
      </c>
    </row>
    <row r="9583" spans="1:8" x14ac:dyDescent="0.25">
      <c r="A9583" t="s">
        <v>322</v>
      </c>
      <c r="B9583" t="s">
        <v>701</v>
      </c>
      <c r="C9583" t="s">
        <v>88</v>
      </c>
      <c r="D9583" t="s">
        <v>88</v>
      </c>
      <c r="E9583" t="s">
        <v>732</v>
      </c>
      <c r="F9583" t="s">
        <v>88</v>
      </c>
      <c r="G9583" t="s">
        <v>88</v>
      </c>
      <c r="H9583" t="s">
        <v>92</v>
      </c>
    </row>
    <row r="9584" spans="1:8" x14ac:dyDescent="0.25">
      <c r="A9584" t="s">
        <v>322</v>
      </c>
      <c r="B9584" t="s">
        <v>952</v>
      </c>
      <c r="C9584" t="s">
        <v>88</v>
      </c>
      <c r="D9584" t="s">
        <v>88</v>
      </c>
      <c r="E9584" t="s">
        <v>709</v>
      </c>
      <c r="F9584" t="s">
        <v>88</v>
      </c>
      <c r="G9584" t="s">
        <v>88</v>
      </c>
      <c r="H9584" t="s">
        <v>92</v>
      </c>
    </row>
    <row r="9585" spans="1:8" x14ac:dyDescent="0.25">
      <c r="A9585" t="s">
        <v>322</v>
      </c>
      <c r="B9585" t="s">
        <v>703</v>
      </c>
      <c r="C9585" t="s">
        <v>88</v>
      </c>
      <c r="D9585" t="s">
        <v>88</v>
      </c>
      <c r="E9585" t="s">
        <v>732</v>
      </c>
      <c r="F9585" t="s">
        <v>88</v>
      </c>
      <c r="G9585" t="s">
        <v>88</v>
      </c>
      <c r="H9585" t="s">
        <v>92</v>
      </c>
    </row>
    <row r="9586" spans="1:8" x14ac:dyDescent="0.25">
      <c r="A9586" t="s">
        <v>322</v>
      </c>
      <c r="B9586" t="s">
        <v>704</v>
      </c>
      <c r="C9586" t="s">
        <v>88</v>
      </c>
      <c r="D9586" t="s">
        <v>88</v>
      </c>
      <c r="E9586" t="s">
        <v>732</v>
      </c>
      <c r="F9586" t="s">
        <v>88</v>
      </c>
      <c r="G9586" t="s">
        <v>88</v>
      </c>
      <c r="H9586" t="s">
        <v>92</v>
      </c>
    </row>
    <row r="9587" spans="1:8" x14ac:dyDescent="0.25">
      <c r="A9587" t="s">
        <v>322</v>
      </c>
      <c r="B9587" t="s">
        <v>708</v>
      </c>
      <c r="C9587" t="s">
        <v>88</v>
      </c>
      <c r="D9587" t="s">
        <v>88</v>
      </c>
      <c r="E9587" t="s">
        <v>732</v>
      </c>
      <c r="F9587" t="s">
        <v>88</v>
      </c>
      <c r="G9587" t="s">
        <v>88</v>
      </c>
      <c r="H9587" t="s">
        <v>92</v>
      </c>
    </row>
    <row r="9588" spans="1:8" x14ac:dyDescent="0.25">
      <c r="A9588" t="s">
        <v>322</v>
      </c>
      <c r="B9588" t="s">
        <v>7863</v>
      </c>
      <c r="C9588" t="s">
        <v>88</v>
      </c>
      <c r="D9588" t="s">
        <v>88</v>
      </c>
      <c r="E9588" t="s">
        <v>709</v>
      </c>
      <c r="F9588" t="s">
        <v>88</v>
      </c>
      <c r="G9588" t="s">
        <v>88</v>
      </c>
      <c r="H9588" t="s">
        <v>92</v>
      </c>
    </row>
    <row r="9589" spans="1:8" x14ac:dyDescent="0.25">
      <c r="A9589" t="s">
        <v>322</v>
      </c>
      <c r="B9589" t="s">
        <v>705</v>
      </c>
      <c r="C9589" t="s">
        <v>88</v>
      </c>
      <c r="D9589" t="s">
        <v>88</v>
      </c>
      <c r="E9589" t="s">
        <v>732</v>
      </c>
      <c r="F9589" t="s">
        <v>88</v>
      </c>
      <c r="G9589" t="s">
        <v>88</v>
      </c>
      <c r="H9589" t="s">
        <v>92</v>
      </c>
    </row>
    <row r="9590" spans="1:8" x14ac:dyDescent="0.25">
      <c r="A9590" t="s">
        <v>322</v>
      </c>
      <c r="B9590" t="s">
        <v>706</v>
      </c>
      <c r="C9590" t="s">
        <v>88</v>
      </c>
      <c r="D9590" t="s">
        <v>88</v>
      </c>
      <c r="E9590" t="s">
        <v>732</v>
      </c>
      <c r="F9590" t="s">
        <v>88</v>
      </c>
      <c r="G9590" t="s">
        <v>88</v>
      </c>
      <c r="H9590" t="s">
        <v>92</v>
      </c>
    </row>
    <row r="9591" spans="1:8" x14ac:dyDescent="0.25">
      <c r="A9591" t="s">
        <v>322</v>
      </c>
      <c r="B9591" t="s">
        <v>616</v>
      </c>
      <c r="C9591" t="s">
        <v>88</v>
      </c>
      <c r="D9591" t="s">
        <v>88</v>
      </c>
      <c r="E9591" t="s">
        <v>732</v>
      </c>
      <c r="F9591" t="s">
        <v>88</v>
      </c>
      <c r="G9591" t="s">
        <v>88</v>
      </c>
      <c r="H9591" t="s">
        <v>92</v>
      </c>
    </row>
    <row r="9592" spans="1:8" x14ac:dyDescent="0.25">
      <c r="A9592" t="s">
        <v>322</v>
      </c>
      <c r="B9592" t="s">
        <v>7867</v>
      </c>
      <c r="C9592" t="s">
        <v>88</v>
      </c>
      <c r="D9592" t="s">
        <v>88</v>
      </c>
      <c r="E9592" t="s">
        <v>709</v>
      </c>
      <c r="F9592" t="s">
        <v>88</v>
      </c>
      <c r="G9592" t="s">
        <v>88</v>
      </c>
      <c r="H9592" t="s">
        <v>92</v>
      </c>
    </row>
    <row r="9593" spans="1:8" x14ac:dyDescent="0.25">
      <c r="A9593" t="s">
        <v>322</v>
      </c>
      <c r="B9593" t="s">
        <v>7915</v>
      </c>
      <c r="C9593" t="s">
        <v>88</v>
      </c>
      <c r="D9593" t="s">
        <v>88</v>
      </c>
      <c r="E9593" t="s">
        <v>709</v>
      </c>
      <c r="F9593" t="s">
        <v>88</v>
      </c>
      <c r="G9593" t="s">
        <v>88</v>
      </c>
      <c r="H9593" t="s">
        <v>92</v>
      </c>
    </row>
    <row r="9594" spans="1:8" x14ac:dyDescent="0.25">
      <c r="A9594" t="s">
        <v>322</v>
      </c>
      <c r="B9594" t="s">
        <v>846</v>
      </c>
      <c r="C9594" t="s">
        <v>88</v>
      </c>
      <c r="D9594" t="s">
        <v>88</v>
      </c>
      <c r="E9594" t="s">
        <v>732</v>
      </c>
      <c r="F9594" t="s">
        <v>88</v>
      </c>
      <c r="G9594" t="s">
        <v>88</v>
      </c>
      <c r="H9594" t="s">
        <v>92</v>
      </c>
    </row>
    <row r="9595" spans="1:8" x14ac:dyDescent="0.25">
      <c r="A9595" t="s">
        <v>322</v>
      </c>
      <c r="B9595" t="s">
        <v>7872</v>
      </c>
      <c r="C9595" t="s">
        <v>88</v>
      </c>
      <c r="D9595" t="s">
        <v>88</v>
      </c>
      <c r="E9595" t="s">
        <v>710</v>
      </c>
      <c r="F9595" t="s">
        <v>88</v>
      </c>
      <c r="G9595" t="s">
        <v>88</v>
      </c>
      <c r="H9595" t="s">
        <v>92</v>
      </c>
    </row>
    <row r="9596" spans="1:8" x14ac:dyDescent="0.25">
      <c r="A9596" t="s">
        <v>322</v>
      </c>
      <c r="B9596" t="s">
        <v>618</v>
      </c>
      <c r="C9596" t="s">
        <v>88</v>
      </c>
      <c r="D9596" t="s">
        <v>88</v>
      </c>
      <c r="E9596" t="s">
        <v>709</v>
      </c>
      <c r="F9596" t="s">
        <v>88</v>
      </c>
      <c r="G9596" t="s">
        <v>88</v>
      </c>
      <c r="H9596" t="s">
        <v>92</v>
      </c>
    </row>
    <row r="9597" spans="1:8" x14ac:dyDescent="0.25">
      <c r="A9597" t="s">
        <v>322</v>
      </c>
      <c r="B9597" t="s">
        <v>7916</v>
      </c>
      <c r="C9597" t="s">
        <v>88</v>
      </c>
      <c r="D9597" t="s">
        <v>88</v>
      </c>
      <c r="E9597" t="s">
        <v>734</v>
      </c>
      <c r="F9597" t="s">
        <v>88</v>
      </c>
      <c r="G9597" t="s">
        <v>88</v>
      </c>
      <c r="H9597" t="s">
        <v>92</v>
      </c>
    </row>
    <row r="9598" spans="1:8" x14ac:dyDescent="0.25">
      <c r="A9598" t="s">
        <v>322</v>
      </c>
      <c r="B9598" t="s">
        <v>622</v>
      </c>
      <c r="C9598" t="s">
        <v>88</v>
      </c>
      <c r="D9598" t="s">
        <v>88</v>
      </c>
      <c r="E9598" t="s">
        <v>710</v>
      </c>
      <c r="F9598" t="s">
        <v>88</v>
      </c>
      <c r="G9598" t="s">
        <v>88</v>
      </c>
      <c r="H9598" t="s">
        <v>92</v>
      </c>
    </row>
    <row r="9599" spans="1:8" x14ac:dyDescent="0.25">
      <c r="A9599" t="s">
        <v>322</v>
      </c>
      <c r="B9599" t="s">
        <v>620</v>
      </c>
      <c r="C9599" t="s">
        <v>88</v>
      </c>
      <c r="D9599" t="s">
        <v>88</v>
      </c>
      <c r="E9599" t="s">
        <v>710</v>
      </c>
      <c r="F9599" t="s">
        <v>88</v>
      </c>
      <c r="G9599" t="s">
        <v>88</v>
      </c>
      <c r="H9599" t="s">
        <v>92</v>
      </c>
    </row>
    <row r="9600" spans="1:8" x14ac:dyDescent="0.25">
      <c r="A9600" t="s">
        <v>322</v>
      </c>
      <c r="B9600" t="s">
        <v>623</v>
      </c>
      <c r="C9600" t="s">
        <v>88</v>
      </c>
      <c r="D9600" t="s">
        <v>88</v>
      </c>
      <c r="E9600" t="s">
        <v>713</v>
      </c>
      <c r="F9600" t="s">
        <v>88</v>
      </c>
      <c r="G9600" t="s">
        <v>88</v>
      </c>
      <c r="H9600" t="s">
        <v>92</v>
      </c>
    </row>
    <row r="9601" spans="1:8" x14ac:dyDescent="0.25">
      <c r="A9601" t="s">
        <v>322</v>
      </c>
      <c r="B9601" t="s">
        <v>714</v>
      </c>
      <c r="C9601" t="s">
        <v>88</v>
      </c>
      <c r="D9601" t="s">
        <v>88</v>
      </c>
      <c r="E9601" t="s">
        <v>1323</v>
      </c>
      <c r="F9601" t="s">
        <v>88</v>
      </c>
      <c r="G9601" t="s">
        <v>88</v>
      </c>
      <c r="H9601" t="s">
        <v>92</v>
      </c>
    </row>
    <row r="9602" spans="1:8" x14ac:dyDescent="0.25">
      <c r="A9602" t="s">
        <v>322</v>
      </c>
      <c r="B9602" t="s">
        <v>1073</v>
      </c>
      <c r="C9602" t="s">
        <v>88</v>
      </c>
      <c r="D9602" t="s">
        <v>88</v>
      </c>
      <c r="E9602" t="s">
        <v>1323</v>
      </c>
      <c r="F9602" t="s">
        <v>88</v>
      </c>
      <c r="G9602" t="s">
        <v>88</v>
      </c>
      <c r="H9602" t="s">
        <v>92</v>
      </c>
    </row>
    <row r="9603" spans="1:8" x14ac:dyDescent="0.25">
      <c r="A9603" t="s">
        <v>322</v>
      </c>
      <c r="B9603" t="s">
        <v>998</v>
      </c>
      <c r="C9603" t="s">
        <v>88</v>
      </c>
      <c r="D9603" t="s">
        <v>88</v>
      </c>
      <c r="E9603" t="s">
        <v>1323</v>
      </c>
      <c r="F9603" t="s">
        <v>88</v>
      </c>
      <c r="G9603" t="s">
        <v>88</v>
      </c>
      <c r="H9603" t="s">
        <v>92</v>
      </c>
    </row>
    <row r="9604" spans="1:8" x14ac:dyDescent="0.25">
      <c r="A9604" t="s">
        <v>322</v>
      </c>
      <c r="B9604" t="s">
        <v>4930</v>
      </c>
      <c r="C9604" t="s">
        <v>88</v>
      </c>
      <c r="D9604" t="s">
        <v>88</v>
      </c>
      <c r="E9604" t="s">
        <v>1323</v>
      </c>
      <c r="F9604" t="s">
        <v>88</v>
      </c>
      <c r="G9604" t="s">
        <v>88</v>
      </c>
      <c r="H9604" t="s">
        <v>92</v>
      </c>
    </row>
    <row r="9605" spans="1:8" x14ac:dyDescent="0.25">
      <c r="A9605" t="s">
        <v>322</v>
      </c>
      <c r="B9605" t="s">
        <v>851</v>
      </c>
      <c r="C9605" t="s">
        <v>88</v>
      </c>
      <c r="D9605" t="s">
        <v>88</v>
      </c>
      <c r="E9605" t="s">
        <v>1323</v>
      </c>
      <c r="F9605" t="s">
        <v>88</v>
      </c>
      <c r="G9605" t="s">
        <v>88</v>
      </c>
      <c r="H9605" t="s">
        <v>92</v>
      </c>
    </row>
    <row r="9606" spans="1:8" x14ac:dyDescent="0.25">
      <c r="A9606" t="s">
        <v>322</v>
      </c>
      <c r="B9606" t="s">
        <v>7874</v>
      </c>
      <c r="C9606" t="s">
        <v>88</v>
      </c>
      <c r="D9606" t="s">
        <v>88</v>
      </c>
      <c r="E9606" t="s">
        <v>1323</v>
      </c>
      <c r="F9606" t="s">
        <v>88</v>
      </c>
      <c r="G9606" t="s">
        <v>88</v>
      </c>
      <c r="H9606" t="s">
        <v>92</v>
      </c>
    </row>
    <row r="9607" spans="1:8" x14ac:dyDescent="0.25">
      <c r="A9607" t="s">
        <v>322</v>
      </c>
      <c r="B9607" t="s">
        <v>7917</v>
      </c>
      <c r="C9607" t="s">
        <v>88</v>
      </c>
      <c r="D9607" t="s">
        <v>88</v>
      </c>
      <c r="E9607" t="s">
        <v>1323</v>
      </c>
      <c r="F9607" t="s">
        <v>88</v>
      </c>
      <c r="G9607" t="s">
        <v>88</v>
      </c>
      <c r="H9607" t="s">
        <v>92</v>
      </c>
    </row>
    <row r="9608" spans="1:8" x14ac:dyDescent="0.25">
      <c r="A9608" t="s">
        <v>322</v>
      </c>
      <c r="B9608" t="s">
        <v>3561</v>
      </c>
      <c r="C9608" t="s">
        <v>88</v>
      </c>
      <c r="D9608" t="s">
        <v>88</v>
      </c>
      <c r="E9608" t="s">
        <v>1323</v>
      </c>
      <c r="F9608" t="s">
        <v>88</v>
      </c>
      <c r="G9608" t="s">
        <v>88</v>
      </c>
      <c r="H9608" t="s">
        <v>92</v>
      </c>
    </row>
    <row r="9609" spans="1:8" x14ac:dyDescent="0.25">
      <c r="A9609" t="s">
        <v>322</v>
      </c>
      <c r="B9609" t="s">
        <v>1823</v>
      </c>
      <c r="C9609" t="s">
        <v>88</v>
      </c>
      <c r="D9609" t="s">
        <v>88</v>
      </c>
      <c r="E9609" t="s">
        <v>734</v>
      </c>
      <c r="F9609" t="s">
        <v>88</v>
      </c>
      <c r="G9609" t="s">
        <v>88</v>
      </c>
      <c r="H9609" t="s">
        <v>92</v>
      </c>
    </row>
    <row r="9610" spans="1:8" x14ac:dyDescent="0.25">
      <c r="A9610" t="s">
        <v>322</v>
      </c>
      <c r="B9610" t="s">
        <v>1989</v>
      </c>
      <c r="C9610" t="s">
        <v>88</v>
      </c>
      <c r="D9610" t="s">
        <v>88</v>
      </c>
      <c r="E9610" t="s">
        <v>780</v>
      </c>
      <c r="F9610" t="s">
        <v>88</v>
      </c>
      <c r="G9610" t="s">
        <v>88</v>
      </c>
      <c r="H9610" t="s">
        <v>92</v>
      </c>
    </row>
    <row r="9611" spans="1:8" x14ac:dyDescent="0.25">
      <c r="A9611" t="s">
        <v>322</v>
      </c>
      <c r="B9611" t="s">
        <v>1990</v>
      </c>
      <c r="C9611" t="s">
        <v>88</v>
      </c>
      <c r="D9611" t="s">
        <v>88</v>
      </c>
      <c r="E9611" t="s">
        <v>780</v>
      </c>
      <c r="F9611" t="s">
        <v>88</v>
      </c>
      <c r="G9611" t="s">
        <v>88</v>
      </c>
      <c r="H9611" t="s">
        <v>92</v>
      </c>
    </row>
    <row r="9612" spans="1:8" x14ac:dyDescent="0.25">
      <c r="A9612" t="s">
        <v>322</v>
      </c>
      <c r="B9612" t="s">
        <v>7880</v>
      </c>
      <c r="C9612" t="s">
        <v>88</v>
      </c>
      <c r="D9612" t="s">
        <v>88</v>
      </c>
      <c r="E9612" t="s">
        <v>799</v>
      </c>
      <c r="F9612" t="s">
        <v>88</v>
      </c>
      <c r="G9612" t="s">
        <v>88</v>
      </c>
      <c r="H9612" t="s">
        <v>92</v>
      </c>
    </row>
    <row r="9613" spans="1:8" x14ac:dyDescent="0.25">
      <c r="A9613" t="s">
        <v>322</v>
      </c>
      <c r="B9613" t="s">
        <v>1078</v>
      </c>
      <c r="C9613" t="s">
        <v>88</v>
      </c>
      <c r="D9613" t="s">
        <v>88</v>
      </c>
      <c r="E9613" t="s">
        <v>964</v>
      </c>
      <c r="F9613" t="s">
        <v>88</v>
      </c>
      <c r="G9613" t="s">
        <v>88</v>
      </c>
      <c r="H9613" t="s">
        <v>92</v>
      </c>
    </row>
    <row r="9614" spans="1:8" x14ac:dyDescent="0.25">
      <c r="A9614" t="s">
        <v>322</v>
      </c>
      <c r="B9614" t="s">
        <v>1165</v>
      </c>
      <c r="C9614" t="s">
        <v>88</v>
      </c>
      <c r="D9614" t="s">
        <v>88</v>
      </c>
      <c r="E9614" t="s">
        <v>1068</v>
      </c>
      <c r="F9614" t="s">
        <v>88</v>
      </c>
      <c r="G9614" t="s">
        <v>88</v>
      </c>
      <c r="H9614" t="s">
        <v>92</v>
      </c>
    </row>
    <row r="9615" spans="1:8" x14ac:dyDescent="0.25">
      <c r="A9615" t="s">
        <v>322</v>
      </c>
      <c r="B9615" t="s">
        <v>7918</v>
      </c>
      <c r="C9615" t="s">
        <v>88</v>
      </c>
      <c r="D9615" t="s">
        <v>88</v>
      </c>
      <c r="E9615" t="s">
        <v>844</v>
      </c>
      <c r="F9615" t="s">
        <v>88</v>
      </c>
      <c r="G9615" t="s">
        <v>88</v>
      </c>
      <c r="H9615" t="s">
        <v>92</v>
      </c>
    </row>
    <row r="9616" spans="1:8" x14ac:dyDescent="0.25">
      <c r="A9616" t="s">
        <v>322</v>
      </c>
      <c r="B9616" t="s">
        <v>1046</v>
      </c>
      <c r="C9616" t="s">
        <v>88</v>
      </c>
      <c r="D9616" t="s">
        <v>88</v>
      </c>
      <c r="E9616" t="s">
        <v>1068</v>
      </c>
      <c r="F9616" t="s">
        <v>88</v>
      </c>
      <c r="G9616" t="s">
        <v>88</v>
      </c>
      <c r="H9616" t="s">
        <v>92</v>
      </c>
    </row>
    <row r="9617" spans="1:8" x14ac:dyDescent="0.25">
      <c r="A9617" t="s">
        <v>322</v>
      </c>
      <c r="B9617" t="s">
        <v>3182</v>
      </c>
      <c r="C9617" t="s">
        <v>88</v>
      </c>
      <c r="D9617" t="s">
        <v>88</v>
      </c>
      <c r="E9617" t="s">
        <v>964</v>
      </c>
      <c r="F9617" t="s">
        <v>88</v>
      </c>
      <c r="G9617" t="s">
        <v>88</v>
      </c>
      <c r="H9617" t="s">
        <v>92</v>
      </c>
    </row>
    <row r="9618" spans="1:8" x14ac:dyDescent="0.25">
      <c r="A9618" t="s">
        <v>322</v>
      </c>
      <c r="B9618" t="s">
        <v>7919</v>
      </c>
      <c r="C9618" t="s">
        <v>88</v>
      </c>
      <c r="D9618" t="s">
        <v>88</v>
      </c>
      <c r="E9618" t="s">
        <v>1153</v>
      </c>
      <c r="F9618" t="s">
        <v>88</v>
      </c>
      <c r="G9618" t="s">
        <v>88</v>
      </c>
      <c r="H9618" t="s">
        <v>92</v>
      </c>
    </row>
    <row r="9619" spans="1:8" x14ac:dyDescent="0.25">
      <c r="A9619" t="s">
        <v>322</v>
      </c>
      <c r="B9619" t="s">
        <v>7920</v>
      </c>
      <c r="C9619" t="s">
        <v>88</v>
      </c>
      <c r="D9619" t="s">
        <v>88</v>
      </c>
      <c r="E9619" t="s">
        <v>844</v>
      </c>
      <c r="F9619" t="s">
        <v>88</v>
      </c>
      <c r="G9619" t="s">
        <v>88</v>
      </c>
      <c r="H9619" t="s">
        <v>92</v>
      </c>
    </row>
    <row r="9620" spans="1:8" x14ac:dyDescent="0.25">
      <c r="A9620" t="s">
        <v>322</v>
      </c>
      <c r="B9620" t="s">
        <v>4960</v>
      </c>
      <c r="C9620" t="s">
        <v>88</v>
      </c>
      <c r="D9620" t="s">
        <v>88</v>
      </c>
      <c r="E9620" t="s">
        <v>1167</v>
      </c>
      <c r="F9620" t="s">
        <v>88</v>
      </c>
      <c r="G9620" t="s">
        <v>88</v>
      </c>
      <c r="H9620" t="s">
        <v>92</v>
      </c>
    </row>
    <row r="9621" spans="1:8" x14ac:dyDescent="0.25">
      <c r="A9621" t="s">
        <v>322</v>
      </c>
      <c r="B9621" t="s">
        <v>4961</v>
      </c>
      <c r="C9621" t="s">
        <v>88</v>
      </c>
      <c r="D9621" t="s">
        <v>88</v>
      </c>
      <c r="E9621" t="s">
        <v>1153</v>
      </c>
      <c r="F9621" t="s">
        <v>88</v>
      </c>
      <c r="G9621" t="s">
        <v>88</v>
      </c>
      <c r="H9621" t="s">
        <v>92</v>
      </c>
    </row>
    <row r="9622" spans="1:8" x14ac:dyDescent="0.25">
      <c r="A9622" t="s">
        <v>322</v>
      </c>
      <c r="B9622" t="s">
        <v>1053</v>
      </c>
      <c r="C9622" t="s">
        <v>88</v>
      </c>
      <c r="D9622" t="s">
        <v>88</v>
      </c>
      <c r="E9622" t="s">
        <v>805</v>
      </c>
      <c r="F9622" t="s">
        <v>88</v>
      </c>
      <c r="G9622" t="s">
        <v>88</v>
      </c>
      <c r="H9622" t="s">
        <v>92</v>
      </c>
    </row>
    <row r="9623" spans="1:8" x14ac:dyDescent="0.25">
      <c r="A9623" t="s">
        <v>322</v>
      </c>
      <c r="B9623" t="s">
        <v>1157</v>
      </c>
      <c r="C9623" t="s">
        <v>88</v>
      </c>
      <c r="D9623" t="s">
        <v>88</v>
      </c>
      <c r="E9623" t="s">
        <v>812</v>
      </c>
      <c r="F9623" t="s">
        <v>88</v>
      </c>
      <c r="G9623" t="s">
        <v>88</v>
      </c>
      <c r="H9623" t="s">
        <v>92</v>
      </c>
    </row>
    <row r="9624" spans="1:8" x14ac:dyDescent="0.25">
      <c r="A9624" t="s">
        <v>322</v>
      </c>
      <c r="B9624" t="s">
        <v>4804</v>
      </c>
      <c r="C9624" t="s">
        <v>88</v>
      </c>
      <c r="D9624" t="s">
        <v>88</v>
      </c>
      <c r="E9624" t="s">
        <v>812</v>
      </c>
      <c r="F9624" t="s">
        <v>88</v>
      </c>
      <c r="G9624" t="s">
        <v>88</v>
      </c>
      <c r="H9624" t="s">
        <v>92</v>
      </c>
    </row>
    <row r="9625" spans="1:8" x14ac:dyDescent="0.25">
      <c r="A9625" t="s">
        <v>322</v>
      </c>
      <c r="B9625" t="s">
        <v>7921</v>
      </c>
      <c r="C9625" t="s">
        <v>88</v>
      </c>
      <c r="D9625" t="s">
        <v>88</v>
      </c>
      <c r="E9625" t="s">
        <v>692</v>
      </c>
      <c r="F9625" t="s">
        <v>88</v>
      </c>
      <c r="G9625" t="s">
        <v>88</v>
      </c>
      <c r="H9625" t="s">
        <v>92</v>
      </c>
    </row>
    <row r="9626" spans="1:8" x14ac:dyDescent="0.25">
      <c r="A9626" t="s">
        <v>322</v>
      </c>
      <c r="B9626" t="s">
        <v>7922</v>
      </c>
      <c r="C9626" t="s">
        <v>88</v>
      </c>
      <c r="D9626" t="s">
        <v>88</v>
      </c>
      <c r="E9626" t="s">
        <v>1153</v>
      </c>
      <c r="F9626" t="s">
        <v>88</v>
      </c>
      <c r="G9626" t="s">
        <v>88</v>
      </c>
      <c r="H9626" t="s">
        <v>92</v>
      </c>
    </row>
    <row r="9627" spans="1:8" x14ac:dyDescent="0.25">
      <c r="A9627" t="s">
        <v>322</v>
      </c>
      <c r="B9627" t="s">
        <v>7134</v>
      </c>
      <c r="C9627" t="s">
        <v>88</v>
      </c>
      <c r="D9627" t="s">
        <v>88</v>
      </c>
      <c r="E9627" t="s">
        <v>814</v>
      </c>
      <c r="F9627" t="s">
        <v>88</v>
      </c>
      <c r="G9627" t="s">
        <v>88</v>
      </c>
      <c r="H9627" t="s">
        <v>92</v>
      </c>
    </row>
    <row r="9628" spans="1:8" x14ac:dyDescent="0.25">
      <c r="A9628" t="s">
        <v>322</v>
      </c>
      <c r="B9628" t="s">
        <v>7923</v>
      </c>
      <c r="C9628" t="s">
        <v>88</v>
      </c>
      <c r="D9628" t="s">
        <v>88</v>
      </c>
      <c r="E9628" t="s">
        <v>844</v>
      </c>
      <c r="F9628" t="s">
        <v>88</v>
      </c>
      <c r="G9628" t="s">
        <v>88</v>
      </c>
      <c r="H9628" t="s">
        <v>92</v>
      </c>
    </row>
    <row r="9629" spans="1:8" x14ac:dyDescent="0.25">
      <c r="A9629" t="s">
        <v>322</v>
      </c>
      <c r="B9629" t="s">
        <v>6930</v>
      </c>
      <c r="C9629" t="s">
        <v>88</v>
      </c>
      <c r="D9629" t="s">
        <v>88</v>
      </c>
      <c r="E9629" t="s">
        <v>1068</v>
      </c>
      <c r="F9629" t="s">
        <v>88</v>
      </c>
      <c r="G9629" t="s">
        <v>88</v>
      </c>
      <c r="H9629" t="s">
        <v>92</v>
      </c>
    </row>
    <row r="9630" spans="1:8" x14ac:dyDescent="0.25">
      <c r="A9630" t="s">
        <v>322</v>
      </c>
      <c r="B9630" t="s">
        <v>7924</v>
      </c>
      <c r="C9630" t="s">
        <v>88</v>
      </c>
      <c r="D9630" t="s">
        <v>88</v>
      </c>
      <c r="E9630" t="s">
        <v>964</v>
      </c>
      <c r="F9630" t="s">
        <v>88</v>
      </c>
      <c r="G9630" t="s">
        <v>88</v>
      </c>
      <c r="H9630" t="s">
        <v>92</v>
      </c>
    </row>
    <row r="9631" spans="1:8" x14ac:dyDescent="0.25">
      <c r="A9631" t="s">
        <v>322</v>
      </c>
      <c r="B9631" t="s">
        <v>1922</v>
      </c>
      <c r="C9631" t="s">
        <v>88</v>
      </c>
      <c r="D9631" t="s">
        <v>88</v>
      </c>
      <c r="E9631" t="s">
        <v>805</v>
      </c>
      <c r="F9631" t="s">
        <v>88</v>
      </c>
      <c r="G9631" t="s">
        <v>88</v>
      </c>
      <c r="H9631" t="s">
        <v>92</v>
      </c>
    </row>
    <row r="9632" spans="1:8" x14ac:dyDescent="0.25">
      <c r="A9632" t="s">
        <v>322</v>
      </c>
      <c r="B9632" t="s">
        <v>7925</v>
      </c>
      <c r="C9632" t="s">
        <v>88</v>
      </c>
      <c r="D9632" t="s">
        <v>88</v>
      </c>
      <c r="E9632" t="s">
        <v>812</v>
      </c>
      <c r="F9632" t="s">
        <v>88</v>
      </c>
      <c r="G9632" t="s">
        <v>88</v>
      </c>
      <c r="H9632" t="s">
        <v>92</v>
      </c>
    </row>
    <row r="9633" spans="1:8" x14ac:dyDescent="0.25">
      <c r="A9633" t="s">
        <v>322</v>
      </c>
      <c r="B9633" t="s">
        <v>7926</v>
      </c>
      <c r="C9633" t="s">
        <v>88</v>
      </c>
      <c r="D9633" t="s">
        <v>88</v>
      </c>
      <c r="E9633" t="s">
        <v>844</v>
      </c>
      <c r="F9633" t="s">
        <v>88</v>
      </c>
      <c r="G9633" t="s">
        <v>88</v>
      </c>
      <c r="H9633" t="s">
        <v>92</v>
      </c>
    </row>
    <row r="9634" spans="1:8" x14ac:dyDescent="0.25">
      <c r="A9634" t="s">
        <v>322</v>
      </c>
      <c r="B9634" t="s">
        <v>7883</v>
      </c>
      <c r="C9634" t="s">
        <v>88</v>
      </c>
      <c r="D9634" t="s">
        <v>88</v>
      </c>
      <c r="E9634" t="s">
        <v>849</v>
      </c>
      <c r="F9634" t="s">
        <v>88</v>
      </c>
      <c r="G9634" t="s">
        <v>88</v>
      </c>
      <c r="H9634" t="s">
        <v>92</v>
      </c>
    </row>
    <row r="9635" spans="1:8" x14ac:dyDescent="0.25">
      <c r="A9635" t="s">
        <v>322</v>
      </c>
      <c r="B9635" t="s">
        <v>7884</v>
      </c>
      <c r="C9635" t="s">
        <v>88</v>
      </c>
      <c r="D9635" t="s">
        <v>88</v>
      </c>
      <c r="E9635" t="s">
        <v>849</v>
      </c>
      <c r="F9635" t="s">
        <v>88</v>
      </c>
      <c r="G9635" t="s">
        <v>88</v>
      </c>
      <c r="H9635" t="s">
        <v>92</v>
      </c>
    </row>
    <row r="9636" spans="1:8" x14ac:dyDescent="0.25">
      <c r="A9636" t="s">
        <v>322</v>
      </c>
      <c r="B9636" t="s">
        <v>7886</v>
      </c>
      <c r="C9636" t="s">
        <v>88</v>
      </c>
      <c r="D9636" t="s">
        <v>88</v>
      </c>
      <c r="E9636" t="s">
        <v>663</v>
      </c>
      <c r="F9636" t="s">
        <v>88</v>
      </c>
      <c r="G9636" t="s">
        <v>88</v>
      </c>
      <c r="H9636" t="s">
        <v>92</v>
      </c>
    </row>
    <row r="9637" spans="1:8" x14ac:dyDescent="0.25">
      <c r="A9637" t="s">
        <v>322</v>
      </c>
      <c r="B9637" t="s">
        <v>7887</v>
      </c>
      <c r="C9637" t="s">
        <v>88</v>
      </c>
      <c r="D9637" t="s">
        <v>88</v>
      </c>
      <c r="E9637" t="s">
        <v>700</v>
      </c>
      <c r="F9637" t="s">
        <v>88</v>
      </c>
      <c r="G9637" t="s">
        <v>88</v>
      </c>
      <c r="H9637" t="s">
        <v>92</v>
      </c>
    </row>
    <row r="9638" spans="1:8" x14ac:dyDescent="0.25">
      <c r="A9638" t="s">
        <v>322</v>
      </c>
      <c r="B9638" t="s">
        <v>625</v>
      </c>
      <c r="C9638" t="s">
        <v>88</v>
      </c>
      <c r="D9638" t="s">
        <v>88</v>
      </c>
      <c r="E9638" t="s">
        <v>626</v>
      </c>
      <c r="F9638" t="s">
        <v>88</v>
      </c>
      <c r="G9638" t="s">
        <v>88</v>
      </c>
      <c r="H9638" t="s">
        <v>92</v>
      </c>
    </row>
    <row r="9639" spans="1:8" x14ac:dyDescent="0.25">
      <c r="A9639" t="s">
        <v>324</v>
      </c>
      <c r="B9639" t="s">
        <v>7888</v>
      </c>
      <c r="C9639" t="s">
        <v>88</v>
      </c>
      <c r="D9639" t="s">
        <v>7889</v>
      </c>
      <c r="E9639" t="s">
        <v>1487</v>
      </c>
      <c r="F9639" t="s">
        <v>88</v>
      </c>
      <c r="G9639" t="s">
        <v>88</v>
      </c>
      <c r="H9639" t="s">
        <v>92</v>
      </c>
    </row>
    <row r="9640" spans="1:8" x14ac:dyDescent="0.25">
      <c r="A9640" t="s">
        <v>324</v>
      </c>
      <c r="B9640" t="s">
        <v>7829</v>
      </c>
      <c r="C9640" t="s">
        <v>88</v>
      </c>
      <c r="D9640" t="s">
        <v>7757</v>
      </c>
      <c r="E9640" t="s">
        <v>791</v>
      </c>
      <c r="F9640" t="s">
        <v>88</v>
      </c>
      <c r="G9640" t="s">
        <v>88</v>
      </c>
      <c r="H9640" t="s">
        <v>92</v>
      </c>
    </row>
    <row r="9641" spans="1:8" x14ac:dyDescent="0.25">
      <c r="A9641" t="s">
        <v>324</v>
      </c>
      <c r="B9641" t="s">
        <v>7756</v>
      </c>
      <c r="C9641" t="s">
        <v>88</v>
      </c>
      <c r="D9641" t="s">
        <v>7757</v>
      </c>
      <c r="E9641" t="s">
        <v>780</v>
      </c>
      <c r="F9641" t="s">
        <v>88</v>
      </c>
      <c r="G9641" t="s">
        <v>88</v>
      </c>
      <c r="H9641" t="s">
        <v>92</v>
      </c>
    </row>
    <row r="9642" spans="1:8" x14ac:dyDescent="0.25">
      <c r="A9642" t="s">
        <v>324</v>
      </c>
      <c r="B9642" t="s">
        <v>816</v>
      </c>
      <c r="C9642" t="s">
        <v>88</v>
      </c>
      <c r="D9642" t="s">
        <v>7831</v>
      </c>
      <c r="E9642" t="s">
        <v>820</v>
      </c>
      <c r="F9642" t="s">
        <v>88</v>
      </c>
      <c r="G9642" t="s">
        <v>88</v>
      </c>
      <c r="H9642" t="s">
        <v>92</v>
      </c>
    </row>
    <row r="9643" spans="1:8" x14ac:dyDescent="0.25">
      <c r="A9643" t="s">
        <v>324</v>
      </c>
      <c r="B9643" t="s">
        <v>830</v>
      </c>
      <c r="C9643" t="s">
        <v>88</v>
      </c>
      <c r="D9643" t="s">
        <v>7830</v>
      </c>
      <c r="E9643" t="s">
        <v>700</v>
      </c>
      <c r="F9643" t="s">
        <v>88</v>
      </c>
      <c r="G9643" t="s">
        <v>88</v>
      </c>
      <c r="H9643" t="s">
        <v>92</v>
      </c>
    </row>
    <row r="9644" spans="1:8" x14ac:dyDescent="0.25">
      <c r="A9644" t="s">
        <v>324</v>
      </c>
      <c r="B9644" t="s">
        <v>7888</v>
      </c>
      <c r="C9644" t="s">
        <v>88</v>
      </c>
      <c r="D9644" t="s">
        <v>7889</v>
      </c>
      <c r="E9644" t="s">
        <v>1487</v>
      </c>
      <c r="F9644" t="s">
        <v>88</v>
      </c>
      <c r="G9644" t="s">
        <v>88</v>
      </c>
      <c r="H9644" t="s">
        <v>92</v>
      </c>
    </row>
    <row r="9645" spans="1:8" x14ac:dyDescent="0.25">
      <c r="A9645" t="s">
        <v>324</v>
      </c>
      <c r="B9645" t="s">
        <v>7767</v>
      </c>
      <c r="C9645" t="s">
        <v>88</v>
      </c>
      <c r="D9645" t="s">
        <v>7768</v>
      </c>
      <c r="E9645" t="s">
        <v>7892</v>
      </c>
      <c r="F9645" t="s">
        <v>88</v>
      </c>
      <c r="G9645" t="s">
        <v>88</v>
      </c>
      <c r="H9645" t="s">
        <v>92</v>
      </c>
    </row>
    <row r="9646" spans="1:8" x14ac:dyDescent="0.25">
      <c r="A9646" t="s">
        <v>324</v>
      </c>
      <c r="B9646" t="s">
        <v>7764</v>
      </c>
      <c r="C9646" t="s">
        <v>88</v>
      </c>
      <c r="D9646" t="s">
        <v>7765</v>
      </c>
      <c r="E9646" t="s">
        <v>7891</v>
      </c>
      <c r="F9646" t="s">
        <v>88</v>
      </c>
      <c r="G9646" t="s">
        <v>88</v>
      </c>
      <c r="H9646" t="s">
        <v>92</v>
      </c>
    </row>
    <row r="9647" spans="1:8" x14ac:dyDescent="0.25">
      <c r="A9647" t="s">
        <v>324</v>
      </c>
      <c r="B9647" t="s">
        <v>7758</v>
      </c>
      <c r="C9647" t="s">
        <v>88</v>
      </c>
      <c r="D9647" t="s">
        <v>7759</v>
      </c>
      <c r="E9647" t="s">
        <v>893</v>
      </c>
      <c r="F9647" t="s">
        <v>88</v>
      </c>
      <c r="G9647" t="s">
        <v>88</v>
      </c>
      <c r="H9647" t="s">
        <v>92</v>
      </c>
    </row>
    <row r="9648" spans="1:8" x14ac:dyDescent="0.25">
      <c r="A9648" t="s">
        <v>324</v>
      </c>
      <c r="B9648" t="s">
        <v>7761</v>
      </c>
      <c r="C9648" t="s">
        <v>88</v>
      </c>
      <c r="D9648" t="s">
        <v>7762</v>
      </c>
      <c r="E9648" t="s">
        <v>1259</v>
      </c>
      <c r="F9648" t="s">
        <v>88</v>
      </c>
      <c r="G9648" t="s">
        <v>88</v>
      </c>
      <c r="H9648" t="s">
        <v>92</v>
      </c>
    </row>
    <row r="9649" spans="1:8" x14ac:dyDescent="0.25">
      <c r="A9649" t="s">
        <v>324</v>
      </c>
      <c r="B9649" t="s">
        <v>2660</v>
      </c>
      <c r="C9649" t="s">
        <v>88</v>
      </c>
      <c r="D9649" t="s">
        <v>7772</v>
      </c>
      <c r="E9649" t="s">
        <v>738</v>
      </c>
      <c r="F9649" t="s">
        <v>88</v>
      </c>
      <c r="G9649" t="s">
        <v>88</v>
      </c>
      <c r="H9649" t="s">
        <v>92</v>
      </c>
    </row>
    <row r="9650" spans="1:8" x14ac:dyDescent="0.25">
      <c r="A9650" t="s">
        <v>324</v>
      </c>
      <c r="B9650" t="s">
        <v>7773</v>
      </c>
      <c r="C9650" t="s">
        <v>88</v>
      </c>
      <c r="D9650" t="s">
        <v>7774</v>
      </c>
      <c r="E9650" t="s">
        <v>663</v>
      </c>
      <c r="F9650" t="s">
        <v>88</v>
      </c>
      <c r="G9650" t="s">
        <v>88</v>
      </c>
      <c r="H9650" t="s">
        <v>92</v>
      </c>
    </row>
    <row r="9651" spans="1:8" x14ac:dyDescent="0.25">
      <c r="A9651" t="s">
        <v>324</v>
      </c>
      <c r="B9651" t="s">
        <v>2719</v>
      </c>
      <c r="C9651" t="s">
        <v>88</v>
      </c>
      <c r="D9651" t="s">
        <v>7777</v>
      </c>
      <c r="E9651" t="s">
        <v>721</v>
      </c>
      <c r="F9651" t="s">
        <v>88</v>
      </c>
      <c r="G9651" t="s">
        <v>88</v>
      </c>
      <c r="H9651" t="s">
        <v>92</v>
      </c>
    </row>
    <row r="9652" spans="1:8" x14ac:dyDescent="0.25">
      <c r="A9652" t="s">
        <v>324</v>
      </c>
      <c r="B9652" t="s">
        <v>7778</v>
      </c>
      <c r="C9652" t="s">
        <v>88</v>
      </c>
      <c r="D9652" t="s">
        <v>7779</v>
      </c>
      <c r="E9652" t="s">
        <v>717</v>
      </c>
      <c r="F9652" t="s">
        <v>88</v>
      </c>
      <c r="G9652" t="s">
        <v>88</v>
      </c>
      <c r="H9652" t="s">
        <v>92</v>
      </c>
    </row>
    <row r="9653" spans="1:8" x14ac:dyDescent="0.25">
      <c r="A9653" t="s">
        <v>324</v>
      </c>
      <c r="B9653" t="s">
        <v>7780</v>
      </c>
      <c r="C9653" t="s">
        <v>88</v>
      </c>
      <c r="D9653" t="s">
        <v>7781</v>
      </c>
      <c r="E9653" t="s">
        <v>762</v>
      </c>
      <c r="F9653" t="s">
        <v>88</v>
      </c>
      <c r="G9653" t="s">
        <v>88</v>
      </c>
      <c r="H9653" t="s">
        <v>92</v>
      </c>
    </row>
    <row r="9654" spans="1:8" x14ac:dyDescent="0.25">
      <c r="A9654" t="s">
        <v>324</v>
      </c>
      <c r="B9654" t="s">
        <v>7784</v>
      </c>
      <c r="C9654" t="s">
        <v>88</v>
      </c>
      <c r="D9654" t="s">
        <v>7785</v>
      </c>
      <c r="E9654" t="s">
        <v>1353</v>
      </c>
      <c r="F9654" t="s">
        <v>88</v>
      </c>
      <c r="G9654" t="s">
        <v>88</v>
      </c>
      <c r="H9654" t="s">
        <v>92</v>
      </c>
    </row>
    <row r="9655" spans="1:8" x14ac:dyDescent="0.25">
      <c r="A9655" t="s">
        <v>324</v>
      </c>
      <c r="B9655" t="s">
        <v>7893</v>
      </c>
      <c r="C9655" t="s">
        <v>88</v>
      </c>
      <c r="D9655" t="s">
        <v>7894</v>
      </c>
      <c r="E9655" t="s">
        <v>844</v>
      </c>
      <c r="F9655" t="s">
        <v>88</v>
      </c>
      <c r="G9655" t="s">
        <v>88</v>
      </c>
      <c r="H9655" t="s">
        <v>92</v>
      </c>
    </row>
    <row r="9656" spans="1:8" x14ac:dyDescent="0.25">
      <c r="A9656" t="s">
        <v>324</v>
      </c>
      <c r="B9656" t="s">
        <v>7786</v>
      </c>
      <c r="C9656" t="s">
        <v>88</v>
      </c>
      <c r="D9656" t="s">
        <v>7787</v>
      </c>
      <c r="E9656" t="s">
        <v>836</v>
      </c>
      <c r="F9656" t="s">
        <v>88</v>
      </c>
      <c r="G9656" t="s">
        <v>88</v>
      </c>
      <c r="H9656" t="s">
        <v>92</v>
      </c>
    </row>
    <row r="9657" spans="1:8" x14ac:dyDescent="0.25">
      <c r="A9657" t="s">
        <v>324</v>
      </c>
      <c r="B9657" t="s">
        <v>7792</v>
      </c>
      <c r="C9657" t="s">
        <v>88</v>
      </c>
      <c r="D9657" t="s">
        <v>7793</v>
      </c>
      <c r="E9657" t="s">
        <v>2378</v>
      </c>
      <c r="F9657" t="s">
        <v>88</v>
      </c>
      <c r="G9657" t="s">
        <v>88</v>
      </c>
      <c r="H9657" t="s">
        <v>92</v>
      </c>
    </row>
    <row r="9658" spans="1:8" x14ac:dyDescent="0.25">
      <c r="A9658" t="s">
        <v>324</v>
      </c>
      <c r="B9658" t="s">
        <v>7794</v>
      </c>
      <c r="C9658" t="s">
        <v>88</v>
      </c>
      <c r="D9658" t="s">
        <v>7795</v>
      </c>
      <c r="E9658" t="s">
        <v>825</v>
      </c>
      <c r="F9658" t="s">
        <v>88</v>
      </c>
      <c r="G9658" t="s">
        <v>88</v>
      </c>
      <c r="H9658" t="s">
        <v>92</v>
      </c>
    </row>
    <row r="9659" spans="1:8" x14ac:dyDescent="0.25">
      <c r="A9659" t="s">
        <v>324</v>
      </c>
      <c r="B9659" t="s">
        <v>7796</v>
      </c>
      <c r="C9659" t="s">
        <v>88</v>
      </c>
      <c r="D9659" t="s">
        <v>7797</v>
      </c>
      <c r="E9659" t="s">
        <v>812</v>
      </c>
      <c r="F9659" t="s">
        <v>88</v>
      </c>
      <c r="G9659" t="s">
        <v>88</v>
      </c>
      <c r="H9659" t="s">
        <v>92</v>
      </c>
    </row>
    <row r="9660" spans="1:8" x14ac:dyDescent="0.25">
      <c r="A9660" t="s">
        <v>324</v>
      </c>
      <c r="B9660" t="s">
        <v>7798</v>
      </c>
      <c r="C9660" t="s">
        <v>88</v>
      </c>
      <c r="D9660" t="s">
        <v>7799</v>
      </c>
      <c r="E9660" t="s">
        <v>1153</v>
      </c>
      <c r="F9660" t="s">
        <v>88</v>
      </c>
      <c r="G9660" t="s">
        <v>88</v>
      </c>
      <c r="H9660" t="s">
        <v>92</v>
      </c>
    </row>
    <row r="9661" spans="1:8" x14ac:dyDescent="0.25">
      <c r="A9661" t="s">
        <v>324</v>
      </c>
      <c r="B9661" t="s">
        <v>7800</v>
      </c>
      <c r="C9661" t="s">
        <v>88</v>
      </c>
      <c r="D9661" t="s">
        <v>7801</v>
      </c>
      <c r="E9661" t="s">
        <v>1068</v>
      </c>
      <c r="F9661" t="s">
        <v>88</v>
      </c>
      <c r="G9661" t="s">
        <v>88</v>
      </c>
      <c r="H9661" t="s">
        <v>92</v>
      </c>
    </row>
    <row r="9662" spans="1:8" x14ac:dyDescent="0.25">
      <c r="A9662" t="s">
        <v>324</v>
      </c>
      <c r="B9662" t="s">
        <v>7802</v>
      </c>
      <c r="C9662" t="s">
        <v>88</v>
      </c>
      <c r="D9662" t="s">
        <v>7803</v>
      </c>
      <c r="E9662" t="s">
        <v>1259</v>
      </c>
      <c r="F9662" t="s">
        <v>88</v>
      </c>
      <c r="G9662" t="s">
        <v>88</v>
      </c>
      <c r="H9662" t="s">
        <v>92</v>
      </c>
    </row>
    <row r="9663" spans="1:8" x14ac:dyDescent="0.25">
      <c r="A9663" t="s">
        <v>324</v>
      </c>
      <c r="B9663" t="s">
        <v>7895</v>
      </c>
      <c r="C9663" t="s">
        <v>88</v>
      </c>
      <c r="D9663" t="s">
        <v>7896</v>
      </c>
      <c r="E9663" t="s">
        <v>902</v>
      </c>
      <c r="F9663" t="s">
        <v>88</v>
      </c>
      <c r="G9663" t="s">
        <v>88</v>
      </c>
      <c r="H9663" t="s">
        <v>92</v>
      </c>
    </row>
    <row r="9664" spans="1:8" x14ac:dyDescent="0.25">
      <c r="A9664" t="s">
        <v>324</v>
      </c>
      <c r="B9664" t="s">
        <v>7897</v>
      </c>
      <c r="C9664" t="s">
        <v>88</v>
      </c>
      <c r="D9664" t="s">
        <v>7898</v>
      </c>
      <c r="E9664" t="s">
        <v>825</v>
      </c>
      <c r="F9664" t="s">
        <v>88</v>
      </c>
      <c r="G9664" t="s">
        <v>88</v>
      </c>
      <c r="H9664" t="s">
        <v>92</v>
      </c>
    </row>
    <row r="9665" spans="1:8" x14ac:dyDescent="0.25">
      <c r="A9665" t="s">
        <v>324</v>
      </c>
      <c r="B9665" t="s">
        <v>7804</v>
      </c>
      <c r="C9665" t="s">
        <v>88</v>
      </c>
      <c r="D9665" t="s">
        <v>7805</v>
      </c>
      <c r="E9665" t="s">
        <v>1714</v>
      </c>
      <c r="F9665" t="s">
        <v>88</v>
      </c>
      <c r="G9665" t="s">
        <v>88</v>
      </c>
      <c r="H9665" t="s">
        <v>92</v>
      </c>
    </row>
    <row r="9666" spans="1:8" x14ac:dyDescent="0.25">
      <c r="A9666" t="s">
        <v>324</v>
      </c>
      <c r="B9666" t="s">
        <v>7806</v>
      </c>
      <c r="C9666" t="s">
        <v>88</v>
      </c>
      <c r="D9666" t="s">
        <v>7807</v>
      </c>
      <c r="E9666" t="s">
        <v>2496</v>
      </c>
      <c r="F9666" t="s">
        <v>88</v>
      </c>
      <c r="G9666" t="s">
        <v>88</v>
      </c>
      <c r="H9666" t="s">
        <v>92</v>
      </c>
    </row>
    <row r="9667" spans="1:8" x14ac:dyDescent="0.25">
      <c r="A9667" t="s">
        <v>324</v>
      </c>
      <c r="B9667" t="s">
        <v>7808</v>
      </c>
      <c r="C9667" t="s">
        <v>88</v>
      </c>
      <c r="D9667" t="s">
        <v>7809</v>
      </c>
      <c r="E9667" t="s">
        <v>7810</v>
      </c>
      <c r="F9667" t="s">
        <v>88</v>
      </c>
      <c r="G9667" t="s">
        <v>88</v>
      </c>
      <c r="H9667" t="s">
        <v>92</v>
      </c>
    </row>
    <row r="9668" spans="1:8" x14ac:dyDescent="0.25">
      <c r="A9668" t="s">
        <v>324</v>
      </c>
      <c r="B9668" t="s">
        <v>7811</v>
      </c>
      <c r="C9668" t="s">
        <v>88</v>
      </c>
      <c r="D9668" t="s">
        <v>7812</v>
      </c>
      <c r="E9668" t="s">
        <v>917</v>
      </c>
      <c r="F9668" t="s">
        <v>88</v>
      </c>
      <c r="G9668" t="s">
        <v>88</v>
      </c>
      <c r="H9668" t="s">
        <v>92</v>
      </c>
    </row>
    <row r="9669" spans="1:8" x14ac:dyDescent="0.25">
      <c r="A9669" t="s">
        <v>324</v>
      </c>
      <c r="B9669" t="s">
        <v>7813</v>
      </c>
      <c r="C9669" t="s">
        <v>88</v>
      </c>
      <c r="D9669" t="s">
        <v>7814</v>
      </c>
      <c r="E9669" t="s">
        <v>5524</v>
      </c>
      <c r="F9669" t="s">
        <v>88</v>
      </c>
      <c r="G9669" t="s">
        <v>88</v>
      </c>
      <c r="H9669" t="s">
        <v>92</v>
      </c>
    </row>
    <row r="9670" spans="1:8" x14ac:dyDescent="0.25">
      <c r="A9670" t="s">
        <v>324</v>
      </c>
      <c r="B9670" t="s">
        <v>7815</v>
      </c>
      <c r="C9670" t="s">
        <v>88</v>
      </c>
      <c r="D9670" t="s">
        <v>7816</v>
      </c>
      <c r="E9670" t="s">
        <v>4510</v>
      </c>
      <c r="F9670" t="s">
        <v>88</v>
      </c>
      <c r="G9670" t="s">
        <v>88</v>
      </c>
      <c r="H9670" t="s">
        <v>92</v>
      </c>
    </row>
    <row r="9671" spans="1:8" x14ac:dyDescent="0.25">
      <c r="A9671" t="s">
        <v>324</v>
      </c>
      <c r="B9671" t="s">
        <v>7817</v>
      </c>
      <c r="C9671" t="s">
        <v>88</v>
      </c>
      <c r="D9671" t="s">
        <v>7818</v>
      </c>
      <c r="E9671" t="s">
        <v>4503</v>
      </c>
      <c r="F9671" t="s">
        <v>88</v>
      </c>
      <c r="G9671" t="s">
        <v>88</v>
      </c>
      <c r="H9671" t="s">
        <v>92</v>
      </c>
    </row>
    <row r="9672" spans="1:8" x14ac:dyDescent="0.25">
      <c r="A9672" t="s">
        <v>324</v>
      </c>
      <c r="B9672" t="s">
        <v>7819</v>
      </c>
      <c r="C9672" t="s">
        <v>88</v>
      </c>
      <c r="D9672" t="s">
        <v>6333</v>
      </c>
      <c r="E9672" t="s">
        <v>2490</v>
      </c>
      <c r="F9672" t="s">
        <v>88</v>
      </c>
      <c r="G9672" t="s">
        <v>88</v>
      </c>
      <c r="H9672" t="s">
        <v>92</v>
      </c>
    </row>
    <row r="9673" spans="1:8" x14ac:dyDescent="0.25">
      <c r="A9673" t="s">
        <v>324</v>
      </c>
      <c r="B9673" t="s">
        <v>7820</v>
      </c>
      <c r="C9673" t="s">
        <v>88</v>
      </c>
      <c r="D9673" t="s">
        <v>7821</v>
      </c>
      <c r="E9673" t="s">
        <v>4670</v>
      </c>
      <c r="F9673" t="s">
        <v>88</v>
      </c>
      <c r="G9673" t="s">
        <v>88</v>
      </c>
      <c r="H9673" t="s">
        <v>92</v>
      </c>
    </row>
    <row r="9674" spans="1:8" x14ac:dyDescent="0.25">
      <c r="A9674" t="s">
        <v>324</v>
      </c>
      <c r="B9674" t="s">
        <v>7822</v>
      </c>
      <c r="C9674" t="s">
        <v>88</v>
      </c>
      <c r="D9674" t="s">
        <v>7823</v>
      </c>
      <c r="E9674" t="s">
        <v>1137</v>
      </c>
      <c r="F9674" t="s">
        <v>88</v>
      </c>
      <c r="G9674" t="s">
        <v>88</v>
      </c>
      <c r="H9674" t="s">
        <v>92</v>
      </c>
    </row>
    <row r="9675" spans="1:8" x14ac:dyDescent="0.25">
      <c r="A9675" t="s">
        <v>324</v>
      </c>
      <c r="B9675" t="s">
        <v>7824</v>
      </c>
      <c r="C9675" t="s">
        <v>88</v>
      </c>
      <c r="D9675" t="s">
        <v>7825</v>
      </c>
      <c r="E9675" t="s">
        <v>1068</v>
      </c>
      <c r="F9675" t="s">
        <v>88</v>
      </c>
      <c r="G9675" t="s">
        <v>88</v>
      </c>
      <c r="H9675" t="s">
        <v>92</v>
      </c>
    </row>
    <row r="9676" spans="1:8" x14ac:dyDescent="0.25">
      <c r="A9676" t="s">
        <v>324</v>
      </c>
      <c r="B9676" t="s">
        <v>7826</v>
      </c>
      <c r="C9676" t="s">
        <v>88</v>
      </c>
      <c r="D9676" t="s">
        <v>7827</v>
      </c>
      <c r="E9676" t="s">
        <v>7899</v>
      </c>
      <c r="F9676" t="s">
        <v>88</v>
      </c>
      <c r="G9676" t="s">
        <v>88</v>
      </c>
      <c r="H9676" t="s">
        <v>92</v>
      </c>
    </row>
    <row r="9677" spans="1:8" x14ac:dyDescent="0.25">
      <c r="A9677" t="s">
        <v>324</v>
      </c>
      <c r="B9677" t="s">
        <v>7829</v>
      </c>
      <c r="C9677" t="s">
        <v>88</v>
      </c>
      <c r="D9677" t="s">
        <v>7757</v>
      </c>
      <c r="E9677" t="s">
        <v>791</v>
      </c>
      <c r="F9677" t="s">
        <v>88</v>
      </c>
      <c r="G9677" t="s">
        <v>88</v>
      </c>
      <c r="H9677" t="s">
        <v>92</v>
      </c>
    </row>
    <row r="9678" spans="1:8" x14ac:dyDescent="0.25">
      <c r="A9678" t="s">
        <v>324</v>
      </c>
      <c r="B9678" t="s">
        <v>7756</v>
      </c>
      <c r="C9678" t="s">
        <v>88</v>
      </c>
      <c r="D9678" t="s">
        <v>7757</v>
      </c>
      <c r="E9678" t="s">
        <v>780</v>
      </c>
      <c r="F9678" t="s">
        <v>88</v>
      </c>
      <c r="G9678" t="s">
        <v>88</v>
      </c>
      <c r="H9678" t="s">
        <v>92</v>
      </c>
    </row>
    <row r="9679" spans="1:8" x14ac:dyDescent="0.25">
      <c r="A9679" t="s">
        <v>324</v>
      </c>
      <c r="B9679" t="s">
        <v>830</v>
      </c>
      <c r="C9679" t="s">
        <v>88</v>
      </c>
      <c r="D9679" t="s">
        <v>7830</v>
      </c>
      <c r="E9679" t="s">
        <v>700</v>
      </c>
      <c r="F9679" t="s">
        <v>88</v>
      </c>
      <c r="G9679" t="s">
        <v>88</v>
      </c>
      <c r="H9679" t="s">
        <v>92</v>
      </c>
    </row>
    <row r="9680" spans="1:8" x14ac:dyDescent="0.25">
      <c r="A9680" t="s">
        <v>324</v>
      </c>
      <c r="B9680" t="s">
        <v>816</v>
      </c>
      <c r="C9680" t="s">
        <v>88</v>
      </c>
      <c r="D9680" t="s">
        <v>7831</v>
      </c>
      <c r="E9680" t="s">
        <v>820</v>
      </c>
      <c r="F9680" t="s">
        <v>88</v>
      </c>
      <c r="G9680" t="s">
        <v>88</v>
      </c>
      <c r="H9680" t="s">
        <v>92</v>
      </c>
    </row>
    <row r="9681" spans="1:8" x14ac:dyDescent="0.25">
      <c r="A9681" t="s">
        <v>324</v>
      </c>
      <c r="B9681" t="s">
        <v>942</v>
      </c>
      <c r="C9681" t="s">
        <v>88</v>
      </c>
      <c r="D9681" t="s">
        <v>7832</v>
      </c>
      <c r="E9681" t="s">
        <v>838</v>
      </c>
      <c r="F9681" t="s">
        <v>88</v>
      </c>
      <c r="G9681" t="s">
        <v>88</v>
      </c>
      <c r="H9681" t="s">
        <v>92</v>
      </c>
    </row>
    <row r="9682" spans="1:8" x14ac:dyDescent="0.25">
      <c r="A9682" t="s">
        <v>324</v>
      </c>
      <c r="B9682" t="s">
        <v>823</v>
      </c>
      <c r="C9682" t="s">
        <v>88</v>
      </c>
      <c r="D9682" t="s">
        <v>7833</v>
      </c>
      <c r="E9682" t="s">
        <v>1714</v>
      </c>
      <c r="F9682" t="s">
        <v>88</v>
      </c>
      <c r="G9682" t="s">
        <v>88</v>
      </c>
      <c r="H9682" t="s">
        <v>92</v>
      </c>
    </row>
    <row r="9683" spans="1:8" x14ac:dyDescent="0.25">
      <c r="A9683" t="s">
        <v>324</v>
      </c>
      <c r="B9683" t="s">
        <v>7834</v>
      </c>
      <c r="C9683" t="s">
        <v>88</v>
      </c>
      <c r="D9683" t="s">
        <v>88</v>
      </c>
      <c r="E9683" t="s">
        <v>849</v>
      </c>
      <c r="F9683" t="s">
        <v>88</v>
      </c>
      <c r="G9683" t="s">
        <v>88</v>
      </c>
      <c r="H9683" t="s">
        <v>92</v>
      </c>
    </row>
    <row r="9684" spans="1:8" x14ac:dyDescent="0.25">
      <c r="A9684" t="s">
        <v>324</v>
      </c>
      <c r="B9684" t="s">
        <v>845</v>
      </c>
      <c r="C9684" t="s">
        <v>88</v>
      </c>
      <c r="D9684" t="s">
        <v>88</v>
      </c>
      <c r="E9684" t="s">
        <v>735</v>
      </c>
      <c r="F9684" t="s">
        <v>88</v>
      </c>
      <c r="G9684" t="s">
        <v>88</v>
      </c>
      <c r="H9684" t="s">
        <v>92</v>
      </c>
    </row>
    <row r="9685" spans="1:8" x14ac:dyDescent="0.25">
      <c r="A9685" t="s">
        <v>324</v>
      </c>
      <c r="B9685" t="s">
        <v>7835</v>
      </c>
      <c r="C9685" t="s">
        <v>88</v>
      </c>
      <c r="D9685" t="s">
        <v>88</v>
      </c>
      <c r="E9685" t="s">
        <v>710</v>
      </c>
      <c r="F9685" t="s">
        <v>88</v>
      </c>
      <c r="G9685" t="s">
        <v>88</v>
      </c>
      <c r="H9685" t="s">
        <v>92</v>
      </c>
    </row>
    <row r="9686" spans="1:8" x14ac:dyDescent="0.25">
      <c r="A9686" t="s">
        <v>324</v>
      </c>
      <c r="B9686" t="s">
        <v>7900</v>
      </c>
      <c r="C9686" t="s">
        <v>88</v>
      </c>
      <c r="D9686" t="s">
        <v>7901</v>
      </c>
      <c r="E9686" t="s">
        <v>702</v>
      </c>
      <c r="F9686" t="s">
        <v>88</v>
      </c>
      <c r="G9686" t="s">
        <v>88</v>
      </c>
      <c r="H9686" t="s">
        <v>92</v>
      </c>
    </row>
    <row r="9687" spans="1:8" x14ac:dyDescent="0.25">
      <c r="A9687" t="s">
        <v>324</v>
      </c>
      <c r="B9687" t="s">
        <v>7927</v>
      </c>
      <c r="C9687" t="s">
        <v>88</v>
      </c>
      <c r="D9687" t="s">
        <v>88</v>
      </c>
      <c r="E9687" t="s">
        <v>734</v>
      </c>
      <c r="F9687" t="s">
        <v>88</v>
      </c>
      <c r="G9687" t="s">
        <v>88</v>
      </c>
      <c r="H9687" t="s">
        <v>92</v>
      </c>
    </row>
    <row r="9688" spans="1:8" x14ac:dyDescent="0.25">
      <c r="A9688" t="s">
        <v>324</v>
      </c>
      <c r="B9688" t="s">
        <v>7907</v>
      </c>
      <c r="C9688" t="s">
        <v>88</v>
      </c>
      <c r="D9688" t="s">
        <v>88</v>
      </c>
      <c r="E9688" t="s">
        <v>663</v>
      </c>
      <c r="F9688" t="s">
        <v>88</v>
      </c>
      <c r="G9688" t="s">
        <v>88</v>
      </c>
      <c r="H9688" t="s">
        <v>92</v>
      </c>
    </row>
    <row r="9689" spans="1:8" x14ac:dyDescent="0.25">
      <c r="A9689" t="s">
        <v>324</v>
      </c>
      <c r="B9689" t="s">
        <v>7908</v>
      </c>
      <c r="C9689" t="s">
        <v>88</v>
      </c>
      <c r="D9689" t="s">
        <v>88</v>
      </c>
      <c r="E9689" t="s">
        <v>663</v>
      </c>
      <c r="F9689" t="s">
        <v>88</v>
      </c>
      <c r="G9689" t="s">
        <v>88</v>
      </c>
      <c r="H9689" t="s">
        <v>92</v>
      </c>
    </row>
    <row r="9690" spans="1:8" x14ac:dyDescent="0.25">
      <c r="A9690" t="s">
        <v>324</v>
      </c>
      <c r="B9690" t="s">
        <v>7928</v>
      </c>
      <c r="C9690" t="s">
        <v>88</v>
      </c>
      <c r="D9690" t="s">
        <v>88</v>
      </c>
      <c r="E9690" t="s">
        <v>663</v>
      </c>
      <c r="F9690" t="s">
        <v>88</v>
      </c>
      <c r="G9690" t="s">
        <v>88</v>
      </c>
      <c r="H9690" t="s">
        <v>92</v>
      </c>
    </row>
    <row r="9691" spans="1:8" x14ac:dyDescent="0.25">
      <c r="A9691" t="s">
        <v>324</v>
      </c>
      <c r="B9691" t="s">
        <v>7929</v>
      </c>
      <c r="C9691" t="s">
        <v>88</v>
      </c>
      <c r="D9691" t="s">
        <v>88</v>
      </c>
      <c r="E9691" t="s">
        <v>663</v>
      </c>
      <c r="F9691" t="s">
        <v>88</v>
      </c>
      <c r="G9691" t="s">
        <v>88</v>
      </c>
      <c r="H9691" t="s">
        <v>92</v>
      </c>
    </row>
    <row r="9692" spans="1:8" x14ac:dyDescent="0.25">
      <c r="A9692" t="s">
        <v>324</v>
      </c>
      <c r="B9692" t="s">
        <v>7911</v>
      </c>
      <c r="C9692" t="s">
        <v>88</v>
      </c>
      <c r="D9692" t="s">
        <v>88</v>
      </c>
      <c r="E9692" t="s">
        <v>663</v>
      </c>
      <c r="F9692" t="s">
        <v>88</v>
      </c>
      <c r="G9692" t="s">
        <v>88</v>
      </c>
      <c r="H9692" t="s">
        <v>92</v>
      </c>
    </row>
    <row r="9693" spans="1:8" x14ac:dyDescent="0.25">
      <c r="A9693" t="s">
        <v>324</v>
      </c>
      <c r="B9693" t="s">
        <v>7912</v>
      </c>
      <c r="C9693" t="s">
        <v>88</v>
      </c>
      <c r="D9693" t="s">
        <v>88</v>
      </c>
      <c r="E9693" t="s">
        <v>663</v>
      </c>
      <c r="F9693" t="s">
        <v>88</v>
      </c>
      <c r="G9693" t="s">
        <v>88</v>
      </c>
      <c r="H9693" t="s">
        <v>92</v>
      </c>
    </row>
    <row r="9694" spans="1:8" x14ac:dyDescent="0.25">
      <c r="A9694" t="s">
        <v>324</v>
      </c>
      <c r="B9694" t="s">
        <v>7930</v>
      </c>
      <c r="C9694" t="s">
        <v>88</v>
      </c>
      <c r="D9694" t="s">
        <v>88</v>
      </c>
      <c r="E9694" t="s">
        <v>663</v>
      </c>
      <c r="F9694" t="s">
        <v>88</v>
      </c>
      <c r="G9694" t="s">
        <v>88</v>
      </c>
      <c r="H9694" t="s">
        <v>92</v>
      </c>
    </row>
    <row r="9695" spans="1:8" x14ac:dyDescent="0.25">
      <c r="A9695" t="s">
        <v>324</v>
      </c>
      <c r="B9695" t="s">
        <v>7931</v>
      </c>
      <c r="C9695" t="s">
        <v>88</v>
      </c>
      <c r="D9695" t="s">
        <v>88</v>
      </c>
      <c r="E9695" t="s">
        <v>702</v>
      </c>
      <c r="F9695" t="s">
        <v>88</v>
      </c>
      <c r="G9695" t="s">
        <v>88</v>
      </c>
      <c r="H9695" t="s">
        <v>92</v>
      </c>
    </row>
    <row r="9696" spans="1:8" x14ac:dyDescent="0.25">
      <c r="A9696" t="s">
        <v>324</v>
      </c>
      <c r="B9696" t="s">
        <v>7932</v>
      </c>
      <c r="C9696" t="s">
        <v>88</v>
      </c>
      <c r="D9696" t="s">
        <v>88</v>
      </c>
      <c r="E9696" t="s">
        <v>715</v>
      </c>
      <c r="F9696" t="s">
        <v>88</v>
      </c>
      <c r="G9696" t="s">
        <v>88</v>
      </c>
      <c r="H9696" t="s">
        <v>92</v>
      </c>
    </row>
    <row r="9697" spans="1:8" x14ac:dyDescent="0.25">
      <c r="A9697" t="s">
        <v>324</v>
      </c>
      <c r="B9697" t="s">
        <v>7933</v>
      </c>
      <c r="C9697" t="s">
        <v>88</v>
      </c>
      <c r="D9697" t="s">
        <v>88</v>
      </c>
      <c r="E9697" t="s">
        <v>663</v>
      </c>
      <c r="F9697" t="s">
        <v>88</v>
      </c>
      <c r="G9697" t="s">
        <v>88</v>
      </c>
      <c r="H9697" t="s">
        <v>92</v>
      </c>
    </row>
    <row r="9698" spans="1:8" x14ac:dyDescent="0.25">
      <c r="A9698" t="s">
        <v>324</v>
      </c>
      <c r="B9698" t="s">
        <v>7934</v>
      </c>
      <c r="C9698" t="s">
        <v>88</v>
      </c>
      <c r="D9698" t="s">
        <v>88</v>
      </c>
      <c r="E9698" t="s">
        <v>791</v>
      </c>
      <c r="F9698" t="s">
        <v>88</v>
      </c>
      <c r="G9698" t="s">
        <v>88</v>
      </c>
      <c r="H9698" t="s">
        <v>92</v>
      </c>
    </row>
    <row r="9699" spans="1:8" x14ac:dyDescent="0.25">
      <c r="A9699" t="s">
        <v>324</v>
      </c>
      <c r="B9699" t="s">
        <v>7935</v>
      </c>
      <c r="C9699" t="s">
        <v>88</v>
      </c>
      <c r="D9699" t="s">
        <v>88</v>
      </c>
      <c r="E9699" t="s">
        <v>780</v>
      </c>
      <c r="F9699" t="s">
        <v>88</v>
      </c>
      <c r="G9699" t="s">
        <v>88</v>
      </c>
      <c r="H9699" t="s">
        <v>92</v>
      </c>
    </row>
    <row r="9700" spans="1:8" x14ac:dyDescent="0.25">
      <c r="A9700" t="s">
        <v>324</v>
      </c>
      <c r="B9700" t="s">
        <v>7936</v>
      </c>
      <c r="C9700" t="s">
        <v>88</v>
      </c>
      <c r="D9700" t="s">
        <v>88</v>
      </c>
      <c r="E9700" t="s">
        <v>748</v>
      </c>
      <c r="F9700" t="s">
        <v>88</v>
      </c>
      <c r="G9700" t="s">
        <v>88</v>
      </c>
      <c r="H9700" t="s">
        <v>92</v>
      </c>
    </row>
    <row r="9701" spans="1:8" x14ac:dyDescent="0.25">
      <c r="A9701" t="s">
        <v>324</v>
      </c>
      <c r="B9701" t="s">
        <v>7845</v>
      </c>
      <c r="C9701" t="s">
        <v>88</v>
      </c>
      <c r="D9701" t="s">
        <v>88</v>
      </c>
      <c r="E9701" t="s">
        <v>734</v>
      </c>
      <c r="F9701" t="s">
        <v>88</v>
      </c>
      <c r="G9701" t="s">
        <v>88</v>
      </c>
      <c r="H9701" t="s">
        <v>92</v>
      </c>
    </row>
    <row r="9702" spans="1:8" x14ac:dyDescent="0.25">
      <c r="A9702" t="s">
        <v>324</v>
      </c>
      <c r="B9702" t="s">
        <v>7847</v>
      </c>
      <c r="C9702" t="s">
        <v>88</v>
      </c>
      <c r="D9702" t="s">
        <v>88</v>
      </c>
      <c r="E9702" t="s">
        <v>734</v>
      </c>
      <c r="F9702" t="s">
        <v>88</v>
      </c>
      <c r="G9702" t="s">
        <v>88</v>
      </c>
      <c r="H9702" t="s">
        <v>92</v>
      </c>
    </row>
    <row r="9703" spans="1:8" x14ac:dyDescent="0.25">
      <c r="A9703" t="s">
        <v>324</v>
      </c>
      <c r="B9703" t="s">
        <v>7849</v>
      </c>
      <c r="C9703" t="s">
        <v>88</v>
      </c>
      <c r="D9703" t="s">
        <v>88</v>
      </c>
      <c r="E9703" t="s">
        <v>732</v>
      </c>
      <c r="F9703" t="s">
        <v>88</v>
      </c>
      <c r="G9703" t="s">
        <v>88</v>
      </c>
      <c r="H9703" t="s">
        <v>92</v>
      </c>
    </row>
    <row r="9704" spans="1:8" x14ac:dyDescent="0.25">
      <c r="A9704" t="s">
        <v>324</v>
      </c>
      <c r="B9704" t="s">
        <v>7937</v>
      </c>
      <c r="C9704" t="s">
        <v>88</v>
      </c>
      <c r="D9704" t="s">
        <v>88</v>
      </c>
      <c r="E9704" t="s">
        <v>732</v>
      </c>
      <c r="F9704" t="s">
        <v>88</v>
      </c>
      <c r="G9704" t="s">
        <v>88</v>
      </c>
      <c r="H9704" t="s">
        <v>92</v>
      </c>
    </row>
    <row r="9705" spans="1:8" x14ac:dyDescent="0.25">
      <c r="A9705" t="s">
        <v>324</v>
      </c>
      <c r="B9705" t="s">
        <v>701</v>
      </c>
      <c r="C9705" t="s">
        <v>88</v>
      </c>
      <c r="D9705" t="s">
        <v>88</v>
      </c>
      <c r="E9705" t="s">
        <v>732</v>
      </c>
      <c r="F9705" t="s">
        <v>88</v>
      </c>
      <c r="G9705" t="s">
        <v>88</v>
      </c>
      <c r="H9705" t="s">
        <v>92</v>
      </c>
    </row>
    <row r="9706" spans="1:8" x14ac:dyDescent="0.25">
      <c r="A9706" t="s">
        <v>324</v>
      </c>
      <c r="B9706" t="s">
        <v>705</v>
      </c>
      <c r="C9706" t="s">
        <v>88</v>
      </c>
      <c r="D9706" t="s">
        <v>88</v>
      </c>
      <c r="E9706" t="s">
        <v>732</v>
      </c>
      <c r="F9706" t="s">
        <v>88</v>
      </c>
      <c r="G9706" t="s">
        <v>88</v>
      </c>
      <c r="H9706" t="s">
        <v>92</v>
      </c>
    </row>
    <row r="9707" spans="1:8" x14ac:dyDescent="0.25">
      <c r="A9707" t="s">
        <v>324</v>
      </c>
      <c r="B9707" t="s">
        <v>846</v>
      </c>
      <c r="C9707" t="s">
        <v>88</v>
      </c>
      <c r="D9707" t="s">
        <v>88</v>
      </c>
      <c r="E9707" t="s">
        <v>732</v>
      </c>
      <c r="F9707" t="s">
        <v>88</v>
      </c>
      <c r="G9707" t="s">
        <v>88</v>
      </c>
      <c r="H9707" t="s">
        <v>92</v>
      </c>
    </row>
    <row r="9708" spans="1:8" x14ac:dyDescent="0.25">
      <c r="A9708" t="s">
        <v>324</v>
      </c>
      <c r="B9708" t="s">
        <v>7872</v>
      </c>
      <c r="C9708" t="s">
        <v>88</v>
      </c>
      <c r="D9708" t="s">
        <v>88</v>
      </c>
      <c r="E9708" t="s">
        <v>710</v>
      </c>
      <c r="F9708" t="s">
        <v>88</v>
      </c>
      <c r="G9708" t="s">
        <v>88</v>
      </c>
      <c r="H9708" t="s">
        <v>92</v>
      </c>
    </row>
    <row r="9709" spans="1:8" x14ac:dyDescent="0.25">
      <c r="A9709" t="s">
        <v>324</v>
      </c>
      <c r="B9709" t="s">
        <v>618</v>
      </c>
      <c r="C9709" t="s">
        <v>88</v>
      </c>
      <c r="D9709" t="s">
        <v>88</v>
      </c>
      <c r="E9709" t="s">
        <v>709</v>
      </c>
      <c r="F9709" t="s">
        <v>88</v>
      </c>
      <c r="G9709" t="s">
        <v>88</v>
      </c>
      <c r="H9709" t="s">
        <v>92</v>
      </c>
    </row>
    <row r="9710" spans="1:8" x14ac:dyDescent="0.25">
      <c r="A9710" t="s">
        <v>324</v>
      </c>
      <c r="B9710" t="s">
        <v>622</v>
      </c>
      <c r="C9710" t="s">
        <v>88</v>
      </c>
      <c r="D9710" t="s">
        <v>88</v>
      </c>
      <c r="E9710" t="s">
        <v>710</v>
      </c>
      <c r="F9710" t="s">
        <v>88</v>
      </c>
      <c r="G9710" t="s">
        <v>88</v>
      </c>
      <c r="H9710" t="s">
        <v>92</v>
      </c>
    </row>
    <row r="9711" spans="1:8" x14ac:dyDescent="0.25">
      <c r="A9711" t="s">
        <v>324</v>
      </c>
      <c r="B9711" t="s">
        <v>623</v>
      </c>
      <c r="C9711" t="s">
        <v>88</v>
      </c>
      <c r="D9711" t="s">
        <v>88</v>
      </c>
      <c r="E9711" t="s">
        <v>713</v>
      </c>
      <c r="F9711" t="s">
        <v>88</v>
      </c>
      <c r="G9711" t="s">
        <v>88</v>
      </c>
      <c r="H9711" t="s">
        <v>92</v>
      </c>
    </row>
    <row r="9712" spans="1:8" x14ac:dyDescent="0.25">
      <c r="A9712" t="s">
        <v>324</v>
      </c>
      <c r="B9712" t="s">
        <v>714</v>
      </c>
      <c r="C9712" t="s">
        <v>88</v>
      </c>
      <c r="D9712" t="s">
        <v>88</v>
      </c>
      <c r="E9712" t="s">
        <v>1323</v>
      </c>
      <c r="F9712" t="s">
        <v>88</v>
      </c>
      <c r="G9712" t="s">
        <v>88</v>
      </c>
      <c r="H9712" t="s">
        <v>92</v>
      </c>
    </row>
    <row r="9713" spans="1:8" x14ac:dyDescent="0.25">
      <c r="A9713" t="s">
        <v>324</v>
      </c>
      <c r="B9713" t="s">
        <v>851</v>
      </c>
      <c r="C9713" t="s">
        <v>88</v>
      </c>
      <c r="D9713" t="s">
        <v>88</v>
      </c>
      <c r="E9713" t="s">
        <v>1323</v>
      </c>
      <c r="F9713" t="s">
        <v>88</v>
      </c>
      <c r="G9713" t="s">
        <v>88</v>
      </c>
      <c r="H9713" t="s">
        <v>92</v>
      </c>
    </row>
    <row r="9714" spans="1:8" x14ac:dyDescent="0.25">
      <c r="A9714" t="s">
        <v>324</v>
      </c>
      <c r="B9714" t="s">
        <v>7918</v>
      </c>
      <c r="C9714" t="s">
        <v>88</v>
      </c>
      <c r="D9714" t="s">
        <v>88</v>
      </c>
      <c r="E9714" t="s">
        <v>844</v>
      </c>
      <c r="F9714" t="s">
        <v>88</v>
      </c>
      <c r="G9714" t="s">
        <v>88</v>
      </c>
      <c r="H9714" t="s">
        <v>92</v>
      </c>
    </row>
    <row r="9715" spans="1:8" x14ac:dyDescent="0.25">
      <c r="A9715" t="s">
        <v>324</v>
      </c>
      <c r="B9715" t="s">
        <v>7938</v>
      </c>
      <c r="C9715" t="s">
        <v>88</v>
      </c>
      <c r="D9715" t="s">
        <v>88</v>
      </c>
      <c r="E9715" t="s">
        <v>812</v>
      </c>
      <c r="F9715" t="s">
        <v>88</v>
      </c>
      <c r="G9715" t="s">
        <v>88</v>
      </c>
      <c r="H9715" t="s">
        <v>92</v>
      </c>
    </row>
    <row r="9716" spans="1:8" x14ac:dyDescent="0.25">
      <c r="A9716" t="s">
        <v>324</v>
      </c>
      <c r="B9716" t="s">
        <v>7939</v>
      </c>
      <c r="C9716" t="s">
        <v>88</v>
      </c>
      <c r="D9716" t="s">
        <v>88</v>
      </c>
      <c r="E9716" t="s">
        <v>964</v>
      </c>
      <c r="F9716" t="s">
        <v>88</v>
      </c>
      <c r="G9716" t="s">
        <v>88</v>
      </c>
      <c r="H9716" t="s">
        <v>92</v>
      </c>
    </row>
    <row r="9717" spans="1:8" x14ac:dyDescent="0.25">
      <c r="A9717" t="s">
        <v>324</v>
      </c>
      <c r="B9717" t="s">
        <v>7940</v>
      </c>
      <c r="C9717" t="s">
        <v>88</v>
      </c>
      <c r="D9717" t="s">
        <v>88</v>
      </c>
      <c r="E9717" t="s">
        <v>1171</v>
      </c>
      <c r="F9717" t="s">
        <v>88</v>
      </c>
      <c r="G9717" t="s">
        <v>88</v>
      </c>
      <c r="H9717" t="s">
        <v>92</v>
      </c>
    </row>
    <row r="9718" spans="1:8" x14ac:dyDescent="0.25">
      <c r="A9718" t="s">
        <v>324</v>
      </c>
      <c r="B9718" t="s">
        <v>7883</v>
      </c>
      <c r="C9718" t="s">
        <v>88</v>
      </c>
      <c r="D9718" t="s">
        <v>88</v>
      </c>
      <c r="E9718" t="s">
        <v>849</v>
      </c>
      <c r="F9718" t="s">
        <v>88</v>
      </c>
      <c r="G9718" t="s">
        <v>88</v>
      </c>
      <c r="H9718" t="s">
        <v>92</v>
      </c>
    </row>
    <row r="9719" spans="1:8" x14ac:dyDescent="0.25">
      <c r="A9719" t="s">
        <v>324</v>
      </c>
      <c r="B9719" t="s">
        <v>7884</v>
      </c>
      <c r="C9719" t="s">
        <v>88</v>
      </c>
      <c r="D9719" t="s">
        <v>88</v>
      </c>
      <c r="E9719" t="s">
        <v>849</v>
      </c>
      <c r="F9719" t="s">
        <v>88</v>
      </c>
      <c r="G9719" t="s">
        <v>88</v>
      </c>
      <c r="H9719" t="s">
        <v>92</v>
      </c>
    </row>
    <row r="9720" spans="1:8" x14ac:dyDescent="0.25">
      <c r="A9720" t="s">
        <v>324</v>
      </c>
      <c r="B9720" t="s">
        <v>7885</v>
      </c>
      <c r="C9720" t="s">
        <v>88</v>
      </c>
      <c r="D9720" t="s">
        <v>88</v>
      </c>
      <c r="E9720" t="s">
        <v>780</v>
      </c>
      <c r="F9720" t="s">
        <v>88</v>
      </c>
      <c r="G9720" t="s">
        <v>88</v>
      </c>
      <c r="H9720" t="s">
        <v>92</v>
      </c>
    </row>
    <row r="9721" spans="1:8" x14ac:dyDescent="0.25">
      <c r="A9721" t="s">
        <v>324</v>
      </c>
      <c r="B9721" t="s">
        <v>7887</v>
      </c>
      <c r="C9721" t="s">
        <v>88</v>
      </c>
      <c r="D9721" t="s">
        <v>88</v>
      </c>
      <c r="E9721" t="s">
        <v>700</v>
      </c>
      <c r="F9721" t="s">
        <v>88</v>
      </c>
      <c r="G9721" t="s">
        <v>88</v>
      </c>
      <c r="H9721" t="s">
        <v>92</v>
      </c>
    </row>
    <row r="9722" spans="1:8" x14ac:dyDescent="0.25">
      <c r="A9722" t="s">
        <v>324</v>
      </c>
      <c r="B9722" t="s">
        <v>625</v>
      </c>
      <c r="C9722" t="s">
        <v>88</v>
      </c>
      <c r="D9722" t="s">
        <v>88</v>
      </c>
      <c r="E9722" t="s">
        <v>626</v>
      </c>
      <c r="F9722" t="s">
        <v>88</v>
      </c>
      <c r="G9722" t="s">
        <v>88</v>
      </c>
      <c r="H9722" t="s">
        <v>92</v>
      </c>
    </row>
    <row r="9723" spans="1:8" x14ac:dyDescent="0.25">
      <c r="A9723" t="s">
        <v>325</v>
      </c>
      <c r="B9723" t="s">
        <v>7829</v>
      </c>
      <c r="C9723" t="s">
        <v>88</v>
      </c>
      <c r="D9723" t="s">
        <v>7757</v>
      </c>
      <c r="E9723" t="s">
        <v>791</v>
      </c>
      <c r="F9723" t="s">
        <v>88</v>
      </c>
      <c r="G9723" t="s">
        <v>88</v>
      </c>
      <c r="H9723" t="s">
        <v>92</v>
      </c>
    </row>
    <row r="9724" spans="1:8" x14ac:dyDescent="0.25">
      <c r="A9724" t="s">
        <v>325</v>
      </c>
      <c r="B9724" t="s">
        <v>7756</v>
      </c>
      <c r="C9724" t="s">
        <v>88</v>
      </c>
      <c r="D9724" t="s">
        <v>7757</v>
      </c>
      <c r="E9724" t="s">
        <v>780</v>
      </c>
      <c r="F9724" t="s">
        <v>88</v>
      </c>
      <c r="G9724" t="s">
        <v>88</v>
      </c>
      <c r="H9724" t="s">
        <v>92</v>
      </c>
    </row>
    <row r="9725" spans="1:8" x14ac:dyDescent="0.25">
      <c r="A9725" t="s">
        <v>325</v>
      </c>
      <c r="B9725" t="s">
        <v>7848</v>
      </c>
      <c r="C9725" t="s">
        <v>88</v>
      </c>
      <c r="D9725" t="s">
        <v>88</v>
      </c>
      <c r="E9725" t="s">
        <v>732</v>
      </c>
      <c r="F9725" t="s">
        <v>88</v>
      </c>
      <c r="G9725" t="s">
        <v>88</v>
      </c>
      <c r="H9725" t="s">
        <v>92</v>
      </c>
    </row>
    <row r="9726" spans="1:8" x14ac:dyDescent="0.25">
      <c r="A9726" t="s">
        <v>325</v>
      </c>
      <c r="B9726" t="s">
        <v>816</v>
      </c>
      <c r="C9726" t="s">
        <v>88</v>
      </c>
      <c r="D9726" t="s">
        <v>7831</v>
      </c>
      <c r="E9726" t="s">
        <v>820</v>
      </c>
      <c r="F9726" t="s">
        <v>88</v>
      </c>
      <c r="G9726" t="s">
        <v>88</v>
      </c>
      <c r="H9726" t="s">
        <v>92</v>
      </c>
    </row>
    <row r="9727" spans="1:8" x14ac:dyDescent="0.25">
      <c r="A9727" t="s">
        <v>325</v>
      </c>
      <c r="B9727" t="s">
        <v>7888</v>
      </c>
      <c r="C9727" t="s">
        <v>88</v>
      </c>
      <c r="D9727" t="s">
        <v>7889</v>
      </c>
      <c r="E9727" t="s">
        <v>1487</v>
      </c>
      <c r="F9727" t="s">
        <v>88</v>
      </c>
      <c r="G9727" t="s">
        <v>88</v>
      </c>
      <c r="H9727" t="s">
        <v>92</v>
      </c>
    </row>
    <row r="9728" spans="1:8" x14ac:dyDescent="0.25">
      <c r="A9728" t="s">
        <v>325</v>
      </c>
      <c r="B9728" t="s">
        <v>7888</v>
      </c>
      <c r="C9728" t="s">
        <v>88</v>
      </c>
      <c r="D9728" t="s">
        <v>7889</v>
      </c>
      <c r="E9728" t="s">
        <v>1487</v>
      </c>
      <c r="F9728" t="s">
        <v>88</v>
      </c>
      <c r="G9728" t="s">
        <v>88</v>
      </c>
      <c r="H9728" t="s">
        <v>92</v>
      </c>
    </row>
    <row r="9729" spans="1:8" x14ac:dyDescent="0.25">
      <c r="A9729" t="s">
        <v>325</v>
      </c>
      <c r="B9729" t="s">
        <v>7764</v>
      </c>
      <c r="C9729" t="s">
        <v>88</v>
      </c>
      <c r="D9729" t="s">
        <v>7765</v>
      </c>
      <c r="E9729" t="s">
        <v>7891</v>
      </c>
      <c r="F9729" t="s">
        <v>88</v>
      </c>
      <c r="G9729" t="s">
        <v>88</v>
      </c>
      <c r="H9729" t="s">
        <v>92</v>
      </c>
    </row>
    <row r="9730" spans="1:8" x14ac:dyDescent="0.25">
      <c r="A9730" t="s">
        <v>325</v>
      </c>
      <c r="B9730" t="s">
        <v>7767</v>
      </c>
      <c r="C9730" t="s">
        <v>88</v>
      </c>
      <c r="D9730" t="s">
        <v>7768</v>
      </c>
      <c r="E9730" t="s">
        <v>7892</v>
      </c>
      <c r="F9730" t="s">
        <v>88</v>
      </c>
      <c r="G9730" t="s">
        <v>88</v>
      </c>
      <c r="H9730" t="s">
        <v>92</v>
      </c>
    </row>
    <row r="9731" spans="1:8" x14ac:dyDescent="0.25">
      <c r="A9731" t="s">
        <v>325</v>
      </c>
      <c r="B9731" t="s">
        <v>7761</v>
      </c>
      <c r="C9731" t="s">
        <v>88</v>
      </c>
      <c r="D9731" t="s">
        <v>7762</v>
      </c>
      <c r="E9731" t="s">
        <v>1259</v>
      </c>
      <c r="F9731" t="s">
        <v>88</v>
      </c>
      <c r="G9731" t="s">
        <v>88</v>
      </c>
      <c r="H9731" t="s">
        <v>92</v>
      </c>
    </row>
    <row r="9732" spans="1:8" x14ac:dyDescent="0.25">
      <c r="A9732" t="s">
        <v>325</v>
      </c>
      <c r="B9732" t="s">
        <v>7758</v>
      </c>
      <c r="C9732" t="s">
        <v>88</v>
      </c>
      <c r="D9732" t="s">
        <v>7759</v>
      </c>
      <c r="E9732" t="s">
        <v>893</v>
      </c>
      <c r="F9732" t="s">
        <v>88</v>
      </c>
      <c r="G9732" t="s">
        <v>88</v>
      </c>
      <c r="H9732" t="s">
        <v>92</v>
      </c>
    </row>
    <row r="9733" spans="1:8" x14ac:dyDescent="0.25">
      <c r="A9733" t="s">
        <v>325</v>
      </c>
      <c r="B9733" t="s">
        <v>2660</v>
      </c>
      <c r="C9733" t="s">
        <v>88</v>
      </c>
      <c r="D9733" t="s">
        <v>7772</v>
      </c>
      <c r="E9733" t="s">
        <v>738</v>
      </c>
      <c r="F9733" t="s">
        <v>88</v>
      </c>
      <c r="G9733" t="s">
        <v>88</v>
      </c>
      <c r="H9733" t="s">
        <v>92</v>
      </c>
    </row>
    <row r="9734" spans="1:8" x14ac:dyDescent="0.25">
      <c r="A9734" t="s">
        <v>325</v>
      </c>
      <c r="B9734" t="s">
        <v>7773</v>
      </c>
      <c r="C9734" t="s">
        <v>88</v>
      </c>
      <c r="D9734" t="s">
        <v>7774</v>
      </c>
      <c r="E9734" t="s">
        <v>663</v>
      </c>
      <c r="F9734" t="s">
        <v>88</v>
      </c>
      <c r="G9734" t="s">
        <v>88</v>
      </c>
      <c r="H9734" t="s">
        <v>92</v>
      </c>
    </row>
    <row r="9735" spans="1:8" x14ac:dyDescent="0.25">
      <c r="A9735" t="s">
        <v>325</v>
      </c>
      <c r="B9735" t="s">
        <v>7775</v>
      </c>
      <c r="C9735" t="s">
        <v>88</v>
      </c>
      <c r="D9735" t="s">
        <v>7776</v>
      </c>
      <c r="E9735" t="s">
        <v>721</v>
      </c>
      <c r="F9735" t="s">
        <v>88</v>
      </c>
      <c r="G9735" t="s">
        <v>88</v>
      </c>
      <c r="H9735" t="s">
        <v>92</v>
      </c>
    </row>
    <row r="9736" spans="1:8" x14ac:dyDescent="0.25">
      <c r="A9736" t="s">
        <v>325</v>
      </c>
      <c r="B9736" t="s">
        <v>2719</v>
      </c>
      <c r="C9736" t="s">
        <v>88</v>
      </c>
      <c r="D9736" t="s">
        <v>7777</v>
      </c>
      <c r="E9736" t="s">
        <v>721</v>
      </c>
      <c r="F9736" t="s">
        <v>88</v>
      </c>
      <c r="G9736" t="s">
        <v>88</v>
      </c>
      <c r="H9736" t="s">
        <v>92</v>
      </c>
    </row>
    <row r="9737" spans="1:8" x14ac:dyDescent="0.25">
      <c r="A9737" t="s">
        <v>325</v>
      </c>
      <c r="B9737" t="s">
        <v>7778</v>
      </c>
      <c r="C9737" t="s">
        <v>88</v>
      </c>
      <c r="D9737" t="s">
        <v>7779</v>
      </c>
      <c r="E9737" t="s">
        <v>717</v>
      </c>
      <c r="F9737" t="s">
        <v>88</v>
      </c>
      <c r="G9737" t="s">
        <v>88</v>
      </c>
      <c r="H9737" t="s">
        <v>92</v>
      </c>
    </row>
    <row r="9738" spans="1:8" x14ac:dyDescent="0.25">
      <c r="A9738" t="s">
        <v>325</v>
      </c>
      <c r="B9738" t="s">
        <v>7780</v>
      </c>
      <c r="C9738" t="s">
        <v>88</v>
      </c>
      <c r="D9738" t="s">
        <v>7781</v>
      </c>
      <c r="E9738" t="s">
        <v>762</v>
      </c>
      <c r="F9738" t="s">
        <v>88</v>
      </c>
      <c r="G9738" t="s">
        <v>88</v>
      </c>
      <c r="H9738" t="s">
        <v>92</v>
      </c>
    </row>
    <row r="9739" spans="1:8" x14ac:dyDescent="0.25">
      <c r="A9739" t="s">
        <v>325</v>
      </c>
      <c r="B9739" t="s">
        <v>7782</v>
      </c>
      <c r="C9739" t="s">
        <v>88</v>
      </c>
      <c r="D9739" t="s">
        <v>7783</v>
      </c>
      <c r="E9739" t="s">
        <v>692</v>
      </c>
      <c r="F9739" t="s">
        <v>88</v>
      </c>
      <c r="G9739" t="s">
        <v>88</v>
      </c>
      <c r="H9739" t="s">
        <v>92</v>
      </c>
    </row>
    <row r="9740" spans="1:8" x14ac:dyDescent="0.25">
      <c r="A9740" t="s">
        <v>325</v>
      </c>
      <c r="B9740" t="s">
        <v>7784</v>
      </c>
      <c r="C9740" t="s">
        <v>88</v>
      </c>
      <c r="D9740" t="s">
        <v>7785</v>
      </c>
      <c r="E9740" t="s">
        <v>1353</v>
      </c>
      <c r="F9740" t="s">
        <v>88</v>
      </c>
      <c r="G9740" t="s">
        <v>88</v>
      </c>
      <c r="H9740" t="s">
        <v>92</v>
      </c>
    </row>
    <row r="9741" spans="1:8" x14ac:dyDescent="0.25">
      <c r="A9741" t="s">
        <v>325</v>
      </c>
      <c r="B9741" t="s">
        <v>7893</v>
      </c>
      <c r="C9741" t="s">
        <v>88</v>
      </c>
      <c r="D9741" t="s">
        <v>7894</v>
      </c>
      <c r="E9741" t="s">
        <v>844</v>
      </c>
      <c r="F9741" t="s">
        <v>88</v>
      </c>
      <c r="G9741" t="s">
        <v>88</v>
      </c>
      <c r="H9741" t="s">
        <v>92</v>
      </c>
    </row>
    <row r="9742" spans="1:8" x14ac:dyDescent="0.25">
      <c r="A9742" t="s">
        <v>325</v>
      </c>
      <c r="B9742" t="s">
        <v>7786</v>
      </c>
      <c r="C9742" t="s">
        <v>88</v>
      </c>
      <c r="D9742" t="s">
        <v>7787</v>
      </c>
      <c r="E9742" t="s">
        <v>836</v>
      </c>
      <c r="F9742" t="s">
        <v>88</v>
      </c>
      <c r="G9742" t="s">
        <v>88</v>
      </c>
      <c r="H9742" t="s">
        <v>92</v>
      </c>
    </row>
    <row r="9743" spans="1:8" x14ac:dyDescent="0.25">
      <c r="A9743" t="s">
        <v>325</v>
      </c>
      <c r="B9743" t="s">
        <v>7788</v>
      </c>
      <c r="C9743" t="s">
        <v>88</v>
      </c>
      <c r="D9743" t="s">
        <v>7789</v>
      </c>
      <c r="E9743" t="s">
        <v>838</v>
      </c>
      <c r="F9743" t="s">
        <v>88</v>
      </c>
      <c r="G9743" t="s">
        <v>88</v>
      </c>
      <c r="H9743" t="s">
        <v>92</v>
      </c>
    </row>
    <row r="9744" spans="1:8" x14ac:dyDescent="0.25">
      <c r="A9744" t="s">
        <v>325</v>
      </c>
      <c r="B9744" t="s">
        <v>7790</v>
      </c>
      <c r="C9744" t="s">
        <v>88</v>
      </c>
      <c r="D9744" t="s">
        <v>7791</v>
      </c>
      <c r="E9744" t="s">
        <v>2833</v>
      </c>
      <c r="F9744" t="s">
        <v>88</v>
      </c>
      <c r="G9744" t="s">
        <v>88</v>
      </c>
      <c r="H9744" t="s">
        <v>92</v>
      </c>
    </row>
    <row r="9745" spans="1:8" x14ac:dyDescent="0.25">
      <c r="A9745" t="s">
        <v>325</v>
      </c>
      <c r="B9745" t="s">
        <v>7792</v>
      </c>
      <c r="C9745" t="s">
        <v>88</v>
      </c>
      <c r="D9745" t="s">
        <v>7793</v>
      </c>
      <c r="E9745" t="s">
        <v>2378</v>
      </c>
      <c r="F9745" t="s">
        <v>88</v>
      </c>
      <c r="G9745" t="s">
        <v>88</v>
      </c>
      <c r="H9745" t="s">
        <v>92</v>
      </c>
    </row>
    <row r="9746" spans="1:8" x14ac:dyDescent="0.25">
      <c r="A9746" t="s">
        <v>325</v>
      </c>
      <c r="B9746" t="s">
        <v>7794</v>
      </c>
      <c r="C9746" t="s">
        <v>88</v>
      </c>
      <c r="D9746" t="s">
        <v>7795</v>
      </c>
      <c r="E9746" t="s">
        <v>825</v>
      </c>
      <c r="F9746" t="s">
        <v>88</v>
      </c>
      <c r="G9746" t="s">
        <v>88</v>
      </c>
      <c r="H9746" t="s">
        <v>92</v>
      </c>
    </row>
    <row r="9747" spans="1:8" x14ac:dyDescent="0.25">
      <c r="A9747" t="s">
        <v>325</v>
      </c>
      <c r="B9747" t="s">
        <v>7796</v>
      </c>
      <c r="C9747" t="s">
        <v>88</v>
      </c>
      <c r="D9747" t="s">
        <v>7797</v>
      </c>
      <c r="E9747" t="s">
        <v>812</v>
      </c>
      <c r="F9747" t="s">
        <v>88</v>
      </c>
      <c r="G9747" t="s">
        <v>88</v>
      </c>
      <c r="H9747" t="s">
        <v>92</v>
      </c>
    </row>
    <row r="9748" spans="1:8" x14ac:dyDescent="0.25">
      <c r="A9748" t="s">
        <v>325</v>
      </c>
      <c r="B9748" t="s">
        <v>7798</v>
      </c>
      <c r="C9748" t="s">
        <v>88</v>
      </c>
      <c r="D9748" t="s">
        <v>7799</v>
      </c>
      <c r="E9748" t="s">
        <v>1153</v>
      </c>
      <c r="F9748" t="s">
        <v>88</v>
      </c>
      <c r="G9748" t="s">
        <v>88</v>
      </c>
      <c r="H9748" t="s">
        <v>92</v>
      </c>
    </row>
    <row r="9749" spans="1:8" x14ac:dyDescent="0.25">
      <c r="A9749" t="s">
        <v>325</v>
      </c>
      <c r="B9749" t="s">
        <v>7800</v>
      </c>
      <c r="C9749" t="s">
        <v>88</v>
      </c>
      <c r="D9749" t="s">
        <v>7801</v>
      </c>
      <c r="E9749" t="s">
        <v>1068</v>
      </c>
      <c r="F9749" t="s">
        <v>88</v>
      </c>
      <c r="G9749" t="s">
        <v>88</v>
      </c>
      <c r="H9749" t="s">
        <v>92</v>
      </c>
    </row>
    <row r="9750" spans="1:8" x14ac:dyDescent="0.25">
      <c r="A9750" t="s">
        <v>325</v>
      </c>
      <c r="B9750" t="s">
        <v>7802</v>
      </c>
      <c r="C9750" t="s">
        <v>88</v>
      </c>
      <c r="D9750" t="s">
        <v>7803</v>
      </c>
      <c r="E9750" t="s">
        <v>1259</v>
      </c>
      <c r="F9750" t="s">
        <v>88</v>
      </c>
      <c r="G9750" t="s">
        <v>88</v>
      </c>
      <c r="H9750" t="s">
        <v>92</v>
      </c>
    </row>
    <row r="9751" spans="1:8" x14ac:dyDescent="0.25">
      <c r="A9751" t="s">
        <v>325</v>
      </c>
      <c r="B9751" t="s">
        <v>7895</v>
      </c>
      <c r="C9751" t="s">
        <v>88</v>
      </c>
      <c r="D9751" t="s">
        <v>7896</v>
      </c>
      <c r="E9751" t="s">
        <v>902</v>
      </c>
      <c r="F9751" t="s">
        <v>88</v>
      </c>
      <c r="G9751" t="s">
        <v>88</v>
      </c>
      <c r="H9751" t="s">
        <v>92</v>
      </c>
    </row>
    <row r="9752" spans="1:8" x14ac:dyDescent="0.25">
      <c r="A9752" t="s">
        <v>325</v>
      </c>
      <c r="B9752" t="s">
        <v>7941</v>
      </c>
      <c r="C9752" t="s">
        <v>88</v>
      </c>
      <c r="D9752" t="s">
        <v>7942</v>
      </c>
      <c r="E9752" t="s">
        <v>1255</v>
      </c>
      <c r="F9752" t="s">
        <v>88</v>
      </c>
      <c r="G9752" t="s">
        <v>88</v>
      </c>
      <c r="H9752" t="s">
        <v>92</v>
      </c>
    </row>
    <row r="9753" spans="1:8" x14ac:dyDescent="0.25">
      <c r="A9753" t="s">
        <v>325</v>
      </c>
      <c r="B9753" t="s">
        <v>7943</v>
      </c>
      <c r="C9753" t="s">
        <v>88</v>
      </c>
      <c r="D9753" t="s">
        <v>7944</v>
      </c>
      <c r="E9753" t="s">
        <v>2378</v>
      </c>
      <c r="F9753" t="s">
        <v>88</v>
      </c>
      <c r="G9753" t="s">
        <v>88</v>
      </c>
      <c r="H9753" t="s">
        <v>92</v>
      </c>
    </row>
    <row r="9754" spans="1:8" x14ac:dyDescent="0.25">
      <c r="A9754" t="s">
        <v>325</v>
      </c>
      <c r="B9754" t="s">
        <v>7897</v>
      </c>
      <c r="C9754" t="s">
        <v>88</v>
      </c>
      <c r="D9754" t="s">
        <v>7898</v>
      </c>
      <c r="E9754" t="s">
        <v>825</v>
      </c>
      <c r="F9754" t="s">
        <v>88</v>
      </c>
      <c r="G9754" t="s">
        <v>88</v>
      </c>
      <c r="H9754" t="s">
        <v>92</v>
      </c>
    </row>
    <row r="9755" spans="1:8" x14ac:dyDescent="0.25">
      <c r="A9755" t="s">
        <v>325</v>
      </c>
      <c r="B9755" t="s">
        <v>7804</v>
      </c>
      <c r="C9755" t="s">
        <v>88</v>
      </c>
      <c r="D9755" t="s">
        <v>7805</v>
      </c>
      <c r="E9755" t="s">
        <v>1714</v>
      </c>
      <c r="F9755" t="s">
        <v>88</v>
      </c>
      <c r="G9755" t="s">
        <v>88</v>
      </c>
      <c r="H9755" t="s">
        <v>92</v>
      </c>
    </row>
    <row r="9756" spans="1:8" x14ac:dyDescent="0.25">
      <c r="A9756" t="s">
        <v>325</v>
      </c>
      <c r="B9756" t="s">
        <v>7945</v>
      </c>
      <c r="C9756" t="s">
        <v>88</v>
      </c>
      <c r="D9756" t="s">
        <v>7946</v>
      </c>
      <c r="E9756" t="s">
        <v>7290</v>
      </c>
      <c r="F9756" t="s">
        <v>88</v>
      </c>
      <c r="G9756" t="s">
        <v>88</v>
      </c>
      <c r="H9756" t="s">
        <v>92</v>
      </c>
    </row>
    <row r="9757" spans="1:8" x14ac:dyDescent="0.25">
      <c r="A9757" t="s">
        <v>325</v>
      </c>
      <c r="B9757" t="s">
        <v>7947</v>
      </c>
      <c r="C9757" t="s">
        <v>88</v>
      </c>
      <c r="D9757" t="s">
        <v>7948</v>
      </c>
      <c r="E9757" t="s">
        <v>4285</v>
      </c>
      <c r="F9757" t="s">
        <v>88</v>
      </c>
      <c r="G9757" t="s">
        <v>88</v>
      </c>
      <c r="H9757" t="s">
        <v>92</v>
      </c>
    </row>
    <row r="9758" spans="1:8" x14ac:dyDescent="0.25">
      <c r="A9758" t="s">
        <v>325</v>
      </c>
      <c r="B9758" t="s">
        <v>7806</v>
      </c>
      <c r="C9758" t="s">
        <v>88</v>
      </c>
      <c r="D9758" t="s">
        <v>7807</v>
      </c>
      <c r="E9758" t="s">
        <v>2496</v>
      </c>
      <c r="F9758" t="s">
        <v>88</v>
      </c>
      <c r="G9758" t="s">
        <v>88</v>
      </c>
      <c r="H9758" t="s">
        <v>92</v>
      </c>
    </row>
    <row r="9759" spans="1:8" x14ac:dyDescent="0.25">
      <c r="A9759" t="s">
        <v>325</v>
      </c>
      <c r="B9759" t="s">
        <v>7808</v>
      </c>
      <c r="C9759" t="s">
        <v>88</v>
      </c>
      <c r="D9759" t="s">
        <v>7809</v>
      </c>
      <c r="E9759" t="s">
        <v>7810</v>
      </c>
      <c r="F9759" t="s">
        <v>88</v>
      </c>
      <c r="G9759" t="s">
        <v>88</v>
      </c>
      <c r="H9759" t="s">
        <v>92</v>
      </c>
    </row>
    <row r="9760" spans="1:8" x14ac:dyDescent="0.25">
      <c r="A9760" t="s">
        <v>325</v>
      </c>
      <c r="B9760" t="s">
        <v>7811</v>
      </c>
      <c r="C9760" t="s">
        <v>88</v>
      </c>
      <c r="D9760" t="s">
        <v>7812</v>
      </c>
      <c r="E9760" t="s">
        <v>917</v>
      </c>
      <c r="F9760" t="s">
        <v>88</v>
      </c>
      <c r="G9760" t="s">
        <v>88</v>
      </c>
      <c r="H9760" t="s">
        <v>92</v>
      </c>
    </row>
    <row r="9761" spans="1:8" x14ac:dyDescent="0.25">
      <c r="A9761" t="s">
        <v>325</v>
      </c>
      <c r="B9761" t="s">
        <v>7949</v>
      </c>
      <c r="C9761" t="s">
        <v>88</v>
      </c>
      <c r="D9761" t="s">
        <v>7950</v>
      </c>
      <c r="E9761" t="s">
        <v>4275</v>
      </c>
      <c r="F9761" t="s">
        <v>88</v>
      </c>
      <c r="G9761" t="s">
        <v>88</v>
      </c>
      <c r="H9761" t="s">
        <v>92</v>
      </c>
    </row>
    <row r="9762" spans="1:8" x14ac:dyDescent="0.25">
      <c r="A9762" t="s">
        <v>325</v>
      </c>
      <c r="B9762" t="s">
        <v>7951</v>
      </c>
      <c r="C9762" t="s">
        <v>88</v>
      </c>
      <c r="D9762" t="s">
        <v>7952</v>
      </c>
      <c r="E9762" t="s">
        <v>666</v>
      </c>
      <c r="F9762" t="s">
        <v>88</v>
      </c>
      <c r="G9762" t="s">
        <v>88</v>
      </c>
      <c r="H9762" t="s">
        <v>92</v>
      </c>
    </row>
    <row r="9763" spans="1:8" x14ac:dyDescent="0.25">
      <c r="A9763" t="s">
        <v>325</v>
      </c>
      <c r="B9763" t="s">
        <v>7813</v>
      </c>
      <c r="C9763" t="s">
        <v>88</v>
      </c>
      <c r="D9763" t="s">
        <v>7814</v>
      </c>
      <c r="E9763" t="s">
        <v>5524</v>
      </c>
      <c r="F9763" t="s">
        <v>88</v>
      </c>
      <c r="G9763" t="s">
        <v>88</v>
      </c>
      <c r="H9763" t="s">
        <v>92</v>
      </c>
    </row>
    <row r="9764" spans="1:8" x14ac:dyDescent="0.25">
      <c r="A9764" t="s">
        <v>325</v>
      </c>
      <c r="B9764" t="s">
        <v>7815</v>
      </c>
      <c r="C9764" t="s">
        <v>88</v>
      </c>
      <c r="D9764" t="s">
        <v>7816</v>
      </c>
      <c r="E9764" t="s">
        <v>4510</v>
      </c>
      <c r="F9764" t="s">
        <v>88</v>
      </c>
      <c r="G9764" t="s">
        <v>88</v>
      </c>
      <c r="H9764" t="s">
        <v>92</v>
      </c>
    </row>
    <row r="9765" spans="1:8" x14ac:dyDescent="0.25">
      <c r="A9765" t="s">
        <v>325</v>
      </c>
      <c r="B9765" t="s">
        <v>7953</v>
      </c>
      <c r="C9765" t="s">
        <v>88</v>
      </c>
      <c r="D9765" t="s">
        <v>7954</v>
      </c>
      <c r="E9765" t="s">
        <v>4579</v>
      </c>
      <c r="F9765" t="s">
        <v>88</v>
      </c>
      <c r="G9765" t="s">
        <v>88</v>
      </c>
      <c r="H9765" t="s">
        <v>92</v>
      </c>
    </row>
    <row r="9766" spans="1:8" x14ac:dyDescent="0.25">
      <c r="A9766" t="s">
        <v>325</v>
      </c>
      <c r="B9766" t="s">
        <v>7955</v>
      </c>
      <c r="C9766" t="s">
        <v>88</v>
      </c>
      <c r="D9766" t="s">
        <v>7956</v>
      </c>
      <c r="E9766" t="s">
        <v>4512</v>
      </c>
      <c r="F9766" t="s">
        <v>88</v>
      </c>
      <c r="G9766" t="s">
        <v>88</v>
      </c>
      <c r="H9766" t="s">
        <v>92</v>
      </c>
    </row>
    <row r="9767" spans="1:8" x14ac:dyDescent="0.25">
      <c r="A9767" t="s">
        <v>325</v>
      </c>
      <c r="B9767" t="s">
        <v>7817</v>
      </c>
      <c r="C9767" t="s">
        <v>88</v>
      </c>
      <c r="D9767" t="s">
        <v>7818</v>
      </c>
      <c r="E9767" t="s">
        <v>4503</v>
      </c>
      <c r="F9767" t="s">
        <v>88</v>
      </c>
      <c r="G9767" t="s">
        <v>88</v>
      </c>
      <c r="H9767" t="s">
        <v>92</v>
      </c>
    </row>
    <row r="9768" spans="1:8" x14ac:dyDescent="0.25">
      <c r="A9768" t="s">
        <v>325</v>
      </c>
      <c r="B9768" t="s">
        <v>7819</v>
      </c>
      <c r="C9768" t="s">
        <v>88</v>
      </c>
      <c r="D9768" t="s">
        <v>6333</v>
      </c>
      <c r="E9768" t="s">
        <v>2490</v>
      </c>
      <c r="F9768" t="s">
        <v>88</v>
      </c>
      <c r="G9768" t="s">
        <v>88</v>
      </c>
      <c r="H9768" t="s">
        <v>92</v>
      </c>
    </row>
    <row r="9769" spans="1:8" x14ac:dyDescent="0.25">
      <c r="A9769" t="s">
        <v>325</v>
      </c>
      <c r="B9769" t="s">
        <v>7820</v>
      </c>
      <c r="C9769" t="s">
        <v>88</v>
      </c>
      <c r="D9769" t="s">
        <v>7821</v>
      </c>
      <c r="E9769" t="s">
        <v>4670</v>
      </c>
      <c r="F9769" t="s">
        <v>88</v>
      </c>
      <c r="G9769" t="s">
        <v>88</v>
      </c>
      <c r="H9769" t="s">
        <v>92</v>
      </c>
    </row>
    <row r="9770" spans="1:8" x14ac:dyDescent="0.25">
      <c r="A9770" t="s">
        <v>325</v>
      </c>
      <c r="B9770" t="s">
        <v>7957</v>
      </c>
      <c r="C9770" t="s">
        <v>88</v>
      </c>
      <c r="D9770" t="s">
        <v>7958</v>
      </c>
      <c r="E9770" t="s">
        <v>1135</v>
      </c>
      <c r="F9770" t="s">
        <v>88</v>
      </c>
      <c r="G9770" t="s">
        <v>88</v>
      </c>
      <c r="H9770" t="s">
        <v>92</v>
      </c>
    </row>
    <row r="9771" spans="1:8" x14ac:dyDescent="0.25">
      <c r="A9771" t="s">
        <v>325</v>
      </c>
      <c r="B9771" t="s">
        <v>7959</v>
      </c>
      <c r="C9771" t="s">
        <v>88</v>
      </c>
      <c r="D9771" t="s">
        <v>7960</v>
      </c>
      <c r="E9771" t="s">
        <v>1171</v>
      </c>
      <c r="F9771" t="s">
        <v>88</v>
      </c>
      <c r="G9771" t="s">
        <v>88</v>
      </c>
      <c r="H9771" t="s">
        <v>92</v>
      </c>
    </row>
    <row r="9772" spans="1:8" x14ac:dyDescent="0.25">
      <c r="A9772" t="s">
        <v>325</v>
      </c>
      <c r="B9772" t="s">
        <v>7822</v>
      </c>
      <c r="C9772" t="s">
        <v>88</v>
      </c>
      <c r="D9772" t="s">
        <v>7823</v>
      </c>
      <c r="E9772" t="s">
        <v>1137</v>
      </c>
      <c r="F9772" t="s">
        <v>88</v>
      </c>
      <c r="G9772" t="s">
        <v>88</v>
      </c>
      <c r="H9772" t="s">
        <v>92</v>
      </c>
    </row>
    <row r="9773" spans="1:8" x14ac:dyDescent="0.25">
      <c r="A9773" t="s">
        <v>325</v>
      </c>
      <c r="B9773" t="s">
        <v>7824</v>
      </c>
      <c r="C9773" t="s">
        <v>88</v>
      </c>
      <c r="D9773" t="s">
        <v>7825</v>
      </c>
      <c r="E9773" t="s">
        <v>1068</v>
      </c>
      <c r="F9773" t="s">
        <v>88</v>
      </c>
      <c r="G9773" t="s">
        <v>88</v>
      </c>
      <c r="H9773" t="s">
        <v>92</v>
      </c>
    </row>
    <row r="9774" spans="1:8" x14ac:dyDescent="0.25">
      <c r="A9774" t="s">
        <v>325</v>
      </c>
      <c r="B9774" t="s">
        <v>7961</v>
      </c>
      <c r="C9774" t="s">
        <v>88</v>
      </c>
      <c r="D9774" t="s">
        <v>7962</v>
      </c>
      <c r="E9774" t="s">
        <v>4586</v>
      </c>
      <c r="F9774" t="s">
        <v>88</v>
      </c>
      <c r="G9774" t="s">
        <v>88</v>
      </c>
      <c r="H9774" t="s">
        <v>92</v>
      </c>
    </row>
    <row r="9775" spans="1:8" x14ac:dyDescent="0.25">
      <c r="A9775" t="s">
        <v>325</v>
      </c>
      <c r="B9775" t="s">
        <v>7963</v>
      </c>
      <c r="C9775" t="s">
        <v>88</v>
      </c>
      <c r="D9775" t="s">
        <v>7964</v>
      </c>
      <c r="E9775" t="s">
        <v>7828</v>
      </c>
      <c r="F9775" t="s">
        <v>88</v>
      </c>
      <c r="G9775" t="s">
        <v>88</v>
      </c>
      <c r="H9775" t="s">
        <v>92</v>
      </c>
    </row>
    <row r="9776" spans="1:8" x14ac:dyDescent="0.25">
      <c r="A9776" t="s">
        <v>325</v>
      </c>
      <c r="B9776" t="s">
        <v>7826</v>
      </c>
      <c r="C9776" t="s">
        <v>88</v>
      </c>
      <c r="D9776" t="s">
        <v>7827</v>
      </c>
      <c r="E9776" t="s">
        <v>7899</v>
      </c>
      <c r="F9776" t="s">
        <v>88</v>
      </c>
      <c r="G9776" t="s">
        <v>88</v>
      </c>
      <c r="H9776" t="s">
        <v>92</v>
      </c>
    </row>
    <row r="9777" spans="1:8" x14ac:dyDescent="0.25">
      <c r="A9777" t="s">
        <v>325</v>
      </c>
      <c r="B9777" t="s">
        <v>7829</v>
      </c>
      <c r="C9777" t="s">
        <v>88</v>
      </c>
      <c r="D9777" t="s">
        <v>7757</v>
      </c>
      <c r="E9777" t="s">
        <v>791</v>
      </c>
      <c r="F9777" t="s">
        <v>88</v>
      </c>
      <c r="G9777" t="s">
        <v>88</v>
      </c>
      <c r="H9777" t="s">
        <v>92</v>
      </c>
    </row>
    <row r="9778" spans="1:8" x14ac:dyDescent="0.25">
      <c r="A9778" t="s">
        <v>325</v>
      </c>
      <c r="B9778" t="s">
        <v>7756</v>
      </c>
      <c r="C9778" t="s">
        <v>88</v>
      </c>
      <c r="D9778" t="s">
        <v>7757</v>
      </c>
      <c r="E9778" t="s">
        <v>780</v>
      </c>
      <c r="F9778" t="s">
        <v>88</v>
      </c>
      <c r="G9778" t="s">
        <v>88</v>
      </c>
      <c r="H9778" t="s">
        <v>92</v>
      </c>
    </row>
    <row r="9779" spans="1:8" x14ac:dyDescent="0.25">
      <c r="A9779" t="s">
        <v>325</v>
      </c>
      <c r="B9779" t="s">
        <v>830</v>
      </c>
      <c r="C9779" t="s">
        <v>88</v>
      </c>
      <c r="D9779" t="s">
        <v>7830</v>
      </c>
      <c r="E9779" t="s">
        <v>700</v>
      </c>
      <c r="F9779" t="s">
        <v>88</v>
      </c>
      <c r="G9779" t="s">
        <v>88</v>
      </c>
      <c r="H9779" t="s">
        <v>92</v>
      </c>
    </row>
    <row r="9780" spans="1:8" x14ac:dyDescent="0.25">
      <c r="A9780" t="s">
        <v>325</v>
      </c>
      <c r="B9780" t="s">
        <v>816</v>
      </c>
      <c r="C9780" t="s">
        <v>88</v>
      </c>
      <c r="D9780" t="s">
        <v>7831</v>
      </c>
      <c r="E9780" t="s">
        <v>820</v>
      </c>
      <c r="F9780" t="s">
        <v>88</v>
      </c>
      <c r="G9780" t="s">
        <v>88</v>
      </c>
      <c r="H9780" t="s">
        <v>92</v>
      </c>
    </row>
    <row r="9781" spans="1:8" x14ac:dyDescent="0.25">
      <c r="A9781" t="s">
        <v>325</v>
      </c>
      <c r="B9781" t="s">
        <v>942</v>
      </c>
      <c r="C9781" t="s">
        <v>88</v>
      </c>
      <c r="D9781" t="s">
        <v>7832</v>
      </c>
      <c r="E9781" t="s">
        <v>838</v>
      </c>
      <c r="F9781" t="s">
        <v>88</v>
      </c>
      <c r="G9781" t="s">
        <v>88</v>
      </c>
      <c r="H9781" t="s">
        <v>92</v>
      </c>
    </row>
    <row r="9782" spans="1:8" x14ac:dyDescent="0.25">
      <c r="A9782" t="s">
        <v>325</v>
      </c>
      <c r="B9782" t="s">
        <v>823</v>
      </c>
      <c r="C9782" t="s">
        <v>88</v>
      </c>
      <c r="D9782" t="s">
        <v>7833</v>
      </c>
      <c r="E9782" t="s">
        <v>1714</v>
      </c>
      <c r="F9782" t="s">
        <v>88</v>
      </c>
      <c r="G9782" t="s">
        <v>88</v>
      </c>
      <c r="H9782" t="s">
        <v>92</v>
      </c>
    </row>
    <row r="9783" spans="1:8" x14ac:dyDescent="0.25">
      <c r="A9783" t="s">
        <v>325</v>
      </c>
      <c r="B9783" t="s">
        <v>7834</v>
      </c>
      <c r="C9783" t="s">
        <v>88</v>
      </c>
      <c r="D9783" t="s">
        <v>88</v>
      </c>
      <c r="E9783" t="s">
        <v>849</v>
      </c>
      <c r="F9783" t="s">
        <v>88</v>
      </c>
      <c r="G9783" t="s">
        <v>88</v>
      </c>
      <c r="H9783" t="s">
        <v>92</v>
      </c>
    </row>
    <row r="9784" spans="1:8" x14ac:dyDescent="0.25">
      <c r="A9784" t="s">
        <v>325</v>
      </c>
      <c r="B9784" t="s">
        <v>845</v>
      </c>
      <c r="C9784" t="s">
        <v>88</v>
      </c>
      <c r="D9784" t="s">
        <v>88</v>
      </c>
      <c r="E9784" t="s">
        <v>735</v>
      </c>
      <c r="F9784" t="s">
        <v>88</v>
      </c>
      <c r="G9784" t="s">
        <v>88</v>
      </c>
      <c r="H9784" t="s">
        <v>92</v>
      </c>
    </row>
    <row r="9785" spans="1:8" x14ac:dyDescent="0.25">
      <c r="A9785" t="s">
        <v>325</v>
      </c>
      <c r="B9785" t="s">
        <v>7835</v>
      </c>
      <c r="C9785" t="s">
        <v>88</v>
      </c>
      <c r="D9785" t="s">
        <v>88</v>
      </c>
      <c r="E9785" t="s">
        <v>710</v>
      </c>
      <c r="F9785" t="s">
        <v>88</v>
      </c>
      <c r="G9785" t="s">
        <v>88</v>
      </c>
      <c r="H9785" t="s">
        <v>92</v>
      </c>
    </row>
    <row r="9786" spans="1:8" x14ac:dyDescent="0.25">
      <c r="A9786" t="s">
        <v>325</v>
      </c>
      <c r="B9786" t="s">
        <v>7836</v>
      </c>
      <c r="C9786" t="s">
        <v>88</v>
      </c>
      <c r="D9786" t="s">
        <v>88</v>
      </c>
      <c r="E9786" t="s">
        <v>710</v>
      </c>
      <c r="F9786" t="s">
        <v>88</v>
      </c>
      <c r="G9786" t="s">
        <v>88</v>
      </c>
      <c r="H9786" t="s">
        <v>92</v>
      </c>
    </row>
    <row r="9787" spans="1:8" x14ac:dyDescent="0.25">
      <c r="A9787" t="s">
        <v>325</v>
      </c>
      <c r="B9787" t="s">
        <v>7900</v>
      </c>
      <c r="C9787" t="s">
        <v>88</v>
      </c>
      <c r="D9787" t="s">
        <v>7901</v>
      </c>
      <c r="E9787" t="s">
        <v>702</v>
      </c>
      <c r="F9787" t="s">
        <v>88</v>
      </c>
      <c r="G9787" t="s">
        <v>88</v>
      </c>
      <c r="H9787" t="s">
        <v>92</v>
      </c>
    </row>
    <row r="9788" spans="1:8" x14ac:dyDescent="0.25">
      <c r="A9788" t="s">
        <v>325</v>
      </c>
      <c r="B9788" t="s">
        <v>7837</v>
      </c>
      <c r="C9788" t="s">
        <v>88</v>
      </c>
      <c r="D9788" t="s">
        <v>88</v>
      </c>
      <c r="E9788" t="s">
        <v>791</v>
      </c>
      <c r="F9788" t="s">
        <v>88</v>
      </c>
      <c r="G9788" t="s">
        <v>88</v>
      </c>
      <c r="H9788" t="s">
        <v>92</v>
      </c>
    </row>
    <row r="9789" spans="1:8" x14ac:dyDescent="0.25">
      <c r="A9789" t="s">
        <v>325</v>
      </c>
      <c r="B9789" t="s">
        <v>7902</v>
      </c>
      <c r="C9789" t="s">
        <v>88</v>
      </c>
      <c r="D9789" t="s">
        <v>7901</v>
      </c>
      <c r="E9789" t="s">
        <v>715</v>
      </c>
      <c r="F9789" t="s">
        <v>88</v>
      </c>
      <c r="G9789" t="s">
        <v>88</v>
      </c>
      <c r="H9789" t="s">
        <v>92</v>
      </c>
    </row>
    <row r="9790" spans="1:8" x14ac:dyDescent="0.25">
      <c r="A9790" t="s">
        <v>325</v>
      </c>
      <c r="B9790" t="s">
        <v>7905</v>
      </c>
      <c r="C9790" t="s">
        <v>88</v>
      </c>
      <c r="D9790" t="s">
        <v>88</v>
      </c>
      <c r="E9790" t="s">
        <v>734</v>
      </c>
      <c r="F9790" t="s">
        <v>88</v>
      </c>
      <c r="G9790" t="s">
        <v>88</v>
      </c>
      <c r="H9790" t="s">
        <v>92</v>
      </c>
    </row>
    <row r="9791" spans="1:8" x14ac:dyDescent="0.25">
      <c r="A9791" t="s">
        <v>325</v>
      </c>
      <c r="B9791" t="s">
        <v>7907</v>
      </c>
      <c r="C9791" t="s">
        <v>88</v>
      </c>
      <c r="D9791" t="s">
        <v>88</v>
      </c>
      <c r="E9791" t="s">
        <v>663</v>
      </c>
      <c r="F9791" t="s">
        <v>88</v>
      </c>
      <c r="G9791" t="s">
        <v>88</v>
      </c>
      <c r="H9791" t="s">
        <v>92</v>
      </c>
    </row>
    <row r="9792" spans="1:8" x14ac:dyDescent="0.25">
      <c r="A9792" t="s">
        <v>325</v>
      </c>
      <c r="B9792" t="s">
        <v>7908</v>
      </c>
      <c r="C9792" t="s">
        <v>88</v>
      </c>
      <c r="D9792" t="s">
        <v>88</v>
      </c>
      <c r="E9792" t="s">
        <v>663</v>
      </c>
      <c r="F9792" t="s">
        <v>88</v>
      </c>
      <c r="G9792" t="s">
        <v>88</v>
      </c>
      <c r="H9792" t="s">
        <v>92</v>
      </c>
    </row>
    <row r="9793" spans="1:8" x14ac:dyDescent="0.25">
      <c r="A9793" t="s">
        <v>325</v>
      </c>
      <c r="B9793" t="s">
        <v>7909</v>
      </c>
      <c r="C9793" t="s">
        <v>88</v>
      </c>
      <c r="D9793" t="s">
        <v>88</v>
      </c>
      <c r="E9793" t="s">
        <v>663</v>
      </c>
      <c r="F9793" t="s">
        <v>88</v>
      </c>
      <c r="G9793" t="s">
        <v>88</v>
      </c>
      <c r="H9793" t="s">
        <v>92</v>
      </c>
    </row>
    <row r="9794" spans="1:8" x14ac:dyDescent="0.25">
      <c r="A9794" t="s">
        <v>325</v>
      </c>
      <c r="B9794" t="s">
        <v>7910</v>
      </c>
      <c r="C9794" t="s">
        <v>88</v>
      </c>
      <c r="D9794" t="s">
        <v>88</v>
      </c>
      <c r="E9794" t="s">
        <v>663</v>
      </c>
      <c r="F9794" t="s">
        <v>88</v>
      </c>
      <c r="G9794" t="s">
        <v>88</v>
      </c>
      <c r="H9794" t="s">
        <v>92</v>
      </c>
    </row>
    <row r="9795" spans="1:8" x14ac:dyDescent="0.25">
      <c r="A9795" t="s">
        <v>325</v>
      </c>
      <c r="B9795" t="s">
        <v>7911</v>
      </c>
      <c r="C9795" t="s">
        <v>88</v>
      </c>
      <c r="D9795" t="s">
        <v>88</v>
      </c>
      <c r="E9795" t="s">
        <v>663</v>
      </c>
      <c r="F9795" t="s">
        <v>88</v>
      </c>
      <c r="G9795" t="s">
        <v>88</v>
      </c>
      <c r="H9795" t="s">
        <v>92</v>
      </c>
    </row>
    <row r="9796" spans="1:8" x14ac:dyDescent="0.25">
      <c r="A9796" t="s">
        <v>325</v>
      </c>
      <c r="B9796" t="s">
        <v>7912</v>
      </c>
      <c r="C9796" t="s">
        <v>88</v>
      </c>
      <c r="D9796" t="s">
        <v>88</v>
      </c>
      <c r="E9796" t="s">
        <v>663</v>
      </c>
      <c r="F9796" t="s">
        <v>88</v>
      </c>
      <c r="G9796" t="s">
        <v>88</v>
      </c>
      <c r="H9796" t="s">
        <v>92</v>
      </c>
    </row>
    <row r="9797" spans="1:8" x14ac:dyDescent="0.25">
      <c r="A9797" t="s">
        <v>325</v>
      </c>
      <c r="B9797" t="s">
        <v>7913</v>
      </c>
      <c r="C9797" t="s">
        <v>88</v>
      </c>
      <c r="D9797" t="s">
        <v>88</v>
      </c>
      <c r="E9797" t="s">
        <v>663</v>
      </c>
      <c r="F9797" t="s">
        <v>88</v>
      </c>
      <c r="G9797" t="s">
        <v>88</v>
      </c>
      <c r="H9797" t="s">
        <v>92</v>
      </c>
    </row>
    <row r="9798" spans="1:8" x14ac:dyDescent="0.25">
      <c r="A9798" t="s">
        <v>325</v>
      </c>
      <c r="B9798" t="s">
        <v>7931</v>
      </c>
      <c r="C9798" t="s">
        <v>88</v>
      </c>
      <c r="D9798" t="s">
        <v>88</v>
      </c>
      <c r="E9798" t="s">
        <v>702</v>
      </c>
      <c r="F9798" t="s">
        <v>88</v>
      </c>
      <c r="G9798" t="s">
        <v>88</v>
      </c>
      <c r="H9798" t="s">
        <v>92</v>
      </c>
    </row>
    <row r="9799" spans="1:8" x14ac:dyDescent="0.25">
      <c r="A9799" t="s">
        <v>325</v>
      </c>
      <c r="B9799" t="s">
        <v>7932</v>
      </c>
      <c r="C9799" t="s">
        <v>88</v>
      </c>
      <c r="D9799" t="s">
        <v>88</v>
      </c>
      <c r="E9799" t="s">
        <v>715</v>
      </c>
      <c r="F9799" t="s">
        <v>88</v>
      </c>
      <c r="G9799" t="s">
        <v>88</v>
      </c>
      <c r="H9799" t="s">
        <v>92</v>
      </c>
    </row>
    <row r="9800" spans="1:8" x14ac:dyDescent="0.25">
      <c r="A9800" t="s">
        <v>325</v>
      </c>
      <c r="B9800" t="s">
        <v>7933</v>
      </c>
      <c r="C9800" t="s">
        <v>88</v>
      </c>
      <c r="D9800" t="s">
        <v>88</v>
      </c>
      <c r="E9800" t="s">
        <v>663</v>
      </c>
      <c r="F9800" t="s">
        <v>88</v>
      </c>
      <c r="G9800" t="s">
        <v>88</v>
      </c>
      <c r="H9800" t="s">
        <v>92</v>
      </c>
    </row>
    <row r="9801" spans="1:8" x14ac:dyDescent="0.25">
      <c r="A9801" t="s">
        <v>325</v>
      </c>
      <c r="B9801" t="s">
        <v>7934</v>
      </c>
      <c r="C9801" t="s">
        <v>88</v>
      </c>
      <c r="D9801" t="s">
        <v>88</v>
      </c>
      <c r="E9801" t="s">
        <v>791</v>
      </c>
      <c r="F9801" t="s">
        <v>88</v>
      </c>
      <c r="G9801" t="s">
        <v>88</v>
      </c>
      <c r="H9801" t="s">
        <v>92</v>
      </c>
    </row>
    <row r="9802" spans="1:8" x14ac:dyDescent="0.25">
      <c r="A9802" t="s">
        <v>325</v>
      </c>
      <c r="B9802" t="s">
        <v>7935</v>
      </c>
      <c r="C9802" t="s">
        <v>88</v>
      </c>
      <c r="D9802" t="s">
        <v>88</v>
      </c>
      <c r="E9802" t="s">
        <v>780</v>
      </c>
      <c r="F9802" t="s">
        <v>88</v>
      </c>
      <c r="G9802" t="s">
        <v>88</v>
      </c>
      <c r="H9802" t="s">
        <v>92</v>
      </c>
    </row>
    <row r="9803" spans="1:8" x14ac:dyDescent="0.25">
      <c r="A9803" t="s">
        <v>325</v>
      </c>
      <c r="B9803" t="s">
        <v>7936</v>
      </c>
      <c r="C9803" t="s">
        <v>88</v>
      </c>
      <c r="D9803" t="s">
        <v>88</v>
      </c>
      <c r="E9803" t="s">
        <v>748</v>
      </c>
      <c r="F9803" t="s">
        <v>88</v>
      </c>
      <c r="G9803" t="s">
        <v>88</v>
      </c>
      <c r="H9803" t="s">
        <v>92</v>
      </c>
    </row>
    <row r="9804" spans="1:8" x14ac:dyDescent="0.25">
      <c r="A9804" t="s">
        <v>325</v>
      </c>
      <c r="B9804" t="s">
        <v>7847</v>
      </c>
      <c r="C9804" t="s">
        <v>88</v>
      </c>
      <c r="D9804" t="s">
        <v>88</v>
      </c>
      <c r="E9804" t="s">
        <v>734</v>
      </c>
      <c r="F9804" t="s">
        <v>88</v>
      </c>
      <c r="G9804" t="s">
        <v>88</v>
      </c>
      <c r="H9804" t="s">
        <v>92</v>
      </c>
    </row>
    <row r="9805" spans="1:8" x14ac:dyDescent="0.25">
      <c r="A9805" t="s">
        <v>325</v>
      </c>
      <c r="B9805" t="s">
        <v>7848</v>
      </c>
      <c r="C9805" t="s">
        <v>88</v>
      </c>
      <c r="D9805" t="s">
        <v>88</v>
      </c>
      <c r="E9805" t="s">
        <v>732</v>
      </c>
      <c r="F9805" t="s">
        <v>88</v>
      </c>
      <c r="G9805" t="s">
        <v>88</v>
      </c>
      <c r="H9805" t="s">
        <v>92</v>
      </c>
    </row>
    <row r="9806" spans="1:8" x14ac:dyDescent="0.25">
      <c r="A9806" t="s">
        <v>325</v>
      </c>
      <c r="B9806" t="s">
        <v>701</v>
      </c>
      <c r="C9806" t="s">
        <v>88</v>
      </c>
      <c r="D9806" t="s">
        <v>88</v>
      </c>
      <c r="E9806" t="s">
        <v>732</v>
      </c>
      <c r="F9806" t="s">
        <v>88</v>
      </c>
      <c r="G9806" t="s">
        <v>88</v>
      </c>
      <c r="H9806" t="s">
        <v>92</v>
      </c>
    </row>
    <row r="9807" spans="1:8" x14ac:dyDescent="0.25">
      <c r="A9807" t="s">
        <v>325</v>
      </c>
      <c r="B9807" t="s">
        <v>707</v>
      </c>
      <c r="C9807" t="s">
        <v>88</v>
      </c>
      <c r="D9807" t="s">
        <v>88</v>
      </c>
      <c r="E9807" t="s">
        <v>732</v>
      </c>
      <c r="F9807" t="s">
        <v>88</v>
      </c>
      <c r="G9807" t="s">
        <v>88</v>
      </c>
      <c r="H9807" t="s">
        <v>92</v>
      </c>
    </row>
    <row r="9808" spans="1:8" x14ac:dyDescent="0.25">
      <c r="A9808" t="s">
        <v>325</v>
      </c>
      <c r="B9808" t="s">
        <v>705</v>
      </c>
      <c r="C9808" t="s">
        <v>88</v>
      </c>
      <c r="D9808" t="s">
        <v>88</v>
      </c>
      <c r="E9808" t="s">
        <v>732</v>
      </c>
      <c r="F9808" t="s">
        <v>88</v>
      </c>
      <c r="G9808" t="s">
        <v>88</v>
      </c>
      <c r="H9808" t="s">
        <v>92</v>
      </c>
    </row>
    <row r="9809" spans="1:8" x14ac:dyDescent="0.25">
      <c r="A9809" t="s">
        <v>325</v>
      </c>
      <c r="B9809" t="s">
        <v>733</v>
      </c>
      <c r="C9809" t="s">
        <v>88</v>
      </c>
      <c r="D9809" t="s">
        <v>88</v>
      </c>
      <c r="E9809" t="s">
        <v>732</v>
      </c>
      <c r="F9809" t="s">
        <v>88</v>
      </c>
      <c r="G9809" t="s">
        <v>88</v>
      </c>
      <c r="H9809" t="s">
        <v>92</v>
      </c>
    </row>
    <row r="9810" spans="1:8" x14ac:dyDescent="0.25">
      <c r="A9810" t="s">
        <v>325</v>
      </c>
      <c r="B9810" t="s">
        <v>7869</v>
      </c>
      <c r="C9810" t="s">
        <v>88</v>
      </c>
      <c r="D9810" t="s">
        <v>88</v>
      </c>
      <c r="E9810" t="s">
        <v>732</v>
      </c>
      <c r="F9810" t="s">
        <v>88</v>
      </c>
      <c r="G9810" t="s">
        <v>88</v>
      </c>
      <c r="H9810" t="s">
        <v>92</v>
      </c>
    </row>
    <row r="9811" spans="1:8" x14ac:dyDescent="0.25">
      <c r="A9811" t="s">
        <v>325</v>
      </c>
      <c r="B9811" t="s">
        <v>846</v>
      </c>
      <c r="C9811" t="s">
        <v>88</v>
      </c>
      <c r="D9811" t="s">
        <v>88</v>
      </c>
      <c r="E9811" t="s">
        <v>732</v>
      </c>
      <c r="F9811" t="s">
        <v>88</v>
      </c>
      <c r="G9811" t="s">
        <v>88</v>
      </c>
      <c r="H9811" t="s">
        <v>92</v>
      </c>
    </row>
    <row r="9812" spans="1:8" x14ac:dyDescent="0.25">
      <c r="A9812" t="s">
        <v>325</v>
      </c>
      <c r="B9812" t="s">
        <v>7870</v>
      </c>
      <c r="C9812" t="s">
        <v>88</v>
      </c>
      <c r="D9812" t="s">
        <v>1370</v>
      </c>
      <c r="E9812" t="s">
        <v>709</v>
      </c>
      <c r="F9812" t="s">
        <v>88</v>
      </c>
      <c r="G9812" t="s">
        <v>88</v>
      </c>
      <c r="H9812" t="s">
        <v>92</v>
      </c>
    </row>
    <row r="9813" spans="1:8" x14ac:dyDescent="0.25">
      <c r="A9813" t="s">
        <v>325</v>
      </c>
      <c r="B9813" t="s">
        <v>7872</v>
      </c>
      <c r="C9813" t="s">
        <v>88</v>
      </c>
      <c r="D9813" t="s">
        <v>88</v>
      </c>
      <c r="E9813" t="s">
        <v>710</v>
      </c>
      <c r="F9813" t="s">
        <v>88</v>
      </c>
      <c r="G9813" t="s">
        <v>88</v>
      </c>
      <c r="H9813" t="s">
        <v>92</v>
      </c>
    </row>
    <row r="9814" spans="1:8" x14ac:dyDescent="0.25">
      <c r="A9814" t="s">
        <v>325</v>
      </c>
      <c r="B9814" t="s">
        <v>618</v>
      </c>
      <c r="C9814" t="s">
        <v>88</v>
      </c>
      <c r="D9814" t="s">
        <v>88</v>
      </c>
      <c r="E9814" t="s">
        <v>709</v>
      </c>
      <c r="F9814" t="s">
        <v>88</v>
      </c>
      <c r="G9814" t="s">
        <v>88</v>
      </c>
      <c r="H9814" t="s">
        <v>92</v>
      </c>
    </row>
    <row r="9815" spans="1:8" x14ac:dyDescent="0.25">
      <c r="A9815" t="s">
        <v>325</v>
      </c>
      <c r="B9815" t="s">
        <v>7965</v>
      </c>
      <c r="C9815" t="s">
        <v>88</v>
      </c>
      <c r="D9815" t="s">
        <v>88</v>
      </c>
      <c r="E9815" t="s">
        <v>710</v>
      </c>
      <c r="F9815" t="s">
        <v>88</v>
      </c>
      <c r="G9815" t="s">
        <v>88</v>
      </c>
      <c r="H9815" t="s">
        <v>92</v>
      </c>
    </row>
    <row r="9816" spans="1:8" x14ac:dyDescent="0.25">
      <c r="A9816" t="s">
        <v>325</v>
      </c>
      <c r="B9816" t="s">
        <v>622</v>
      </c>
      <c r="C9816" t="s">
        <v>88</v>
      </c>
      <c r="D9816" t="s">
        <v>88</v>
      </c>
      <c r="E9816" t="s">
        <v>710</v>
      </c>
      <c r="F9816" t="s">
        <v>88</v>
      </c>
      <c r="G9816" t="s">
        <v>88</v>
      </c>
      <c r="H9816" t="s">
        <v>92</v>
      </c>
    </row>
    <row r="9817" spans="1:8" x14ac:dyDescent="0.25">
      <c r="A9817" t="s">
        <v>325</v>
      </c>
      <c r="B9817" t="s">
        <v>620</v>
      </c>
      <c r="C9817" t="s">
        <v>88</v>
      </c>
      <c r="D9817" t="s">
        <v>88</v>
      </c>
      <c r="E9817" t="s">
        <v>710</v>
      </c>
      <c r="F9817" t="s">
        <v>88</v>
      </c>
      <c r="G9817" t="s">
        <v>88</v>
      </c>
      <c r="H9817" t="s">
        <v>92</v>
      </c>
    </row>
    <row r="9818" spans="1:8" x14ac:dyDescent="0.25">
      <c r="A9818" t="s">
        <v>325</v>
      </c>
      <c r="B9818" t="s">
        <v>623</v>
      </c>
      <c r="C9818" t="s">
        <v>88</v>
      </c>
      <c r="D9818" t="s">
        <v>88</v>
      </c>
      <c r="E9818" t="s">
        <v>713</v>
      </c>
      <c r="F9818" t="s">
        <v>88</v>
      </c>
      <c r="G9818" t="s">
        <v>88</v>
      </c>
      <c r="H9818" t="s">
        <v>92</v>
      </c>
    </row>
    <row r="9819" spans="1:8" x14ac:dyDescent="0.25">
      <c r="A9819" t="s">
        <v>325</v>
      </c>
      <c r="B9819" t="s">
        <v>714</v>
      </c>
      <c r="C9819" t="s">
        <v>88</v>
      </c>
      <c r="D9819" t="s">
        <v>88</v>
      </c>
      <c r="E9819" t="s">
        <v>1323</v>
      </c>
      <c r="F9819" t="s">
        <v>88</v>
      </c>
      <c r="G9819" t="s">
        <v>88</v>
      </c>
      <c r="H9819" t="s">
        <v>92</v>
      </c>
    </row>
    <row r="9820" spans="1:8" x14ac:dyDescent="0.25">
      <c r="A9820" t="s">
        <v>325</v>
      </c>
      <c r="B9820" t="s">
        <v>2572</v>
      </c>
      <c r="C9820" t="s">
        <v>88</v>
      </c>
      <c r="D9820" t="s">
        <v>88</v>
      </c>
      <c r="E9820" t="s">
        <v>1323</v>
      </c>
      <c r="F9820" t="s">
        <v>88</v>
      </c>
      <c r="G9820" t="s">
        <v>88</v>
      </c>
      <c r="H9820" t="s">
        <v>92</v>
      </c>
    </row>
    <row r="9821" spans="1:8" x14ac:dyDescent="0.25">
      <c r="A9821" t="s">
        <v>325</v>
      </c>
      <c r="B9821" t="s">
        <v>851</v>
      </c>
      <c r="C9821" t="s">
        <v>88</v>
      </c>
      <c r="D9821" t="s">
        <v>88</v>
      </c>
      <c r="E9821" t="s">
        <v>1323</v>
      </c>
      <c r="F9821" t="s">
        <v>88</v>
      </c>
      <c r="G9821" t="s">
        <v>88</v>
      </c>
      <c r="H9821" t="s">
        <v>92</v>
      </c>
    </row>
    <row r="9822" spans="1:8" x14ac:dyDescent="0.25">
      <c r="A9822" t="s">
        <v>325</v>
      </c>
      <c r="B9822" t="s">
        <v>7874</v>
      </c>
      <c r="C9822" t="s">
        <v>88</v>
      </c>
      <c r="D9822" t="s">
        <v>88</v>
      </c>
      <c r="E9822" t="s">
        <v>1323</v>
      </c>
      <c r="F9822" t="s">
        <v>88</v>
      </c>
      <c r="G9822" t="s">
        <v>88</v>
      </c>
      <c r="H9822" t="s">
        <v>92</v>
      </c>
    </row>
    <row r="9823" spans="1:8" x14ac:dyDescent="0.25">
      <c r="A9823" t="s">
        <v>325</v>
      </c>
      <c r="B9823" t="s">
        <v>7917</v>
      </c>
      <c r="C9823" t="s">
        <v>88</v>
      </c>
      <c r="D9823" t="s">
        <v>88</v>
      </c>
      <c r="E9823" t="s">
        <v>1323</v>
      </c>
      <c r="F9823" t="s">
        <v>88</v>
      </c>
      <c r="G9823" t="s">
        <v>88</v>
      </c>
      <c r="H9823" t="s">
        <v>92</v>
      </c>
    </row>
    <row r="9824" spans="1:8" x14ac:dyDescent="0.25">
      <c r="A9824" t="s">
        <v>325</v>
      </c>
      <c r="B9824" t="s">
        <v>3561</v>
      </c>
      <c r="C9824" t="s">
        <v>88</v>
      </c>
      <c r="D9824" t="s">
        <v>88</v>
      </c>
      <c r="E9824" t="s">
        <v>1323</v>
      </c>
      <c r="F9824" t="s">
        <v>88</v>
      </c>
      <c r="G9824" t="s">
        <v>88</v>
      </c>
      <c r="H9824" t="s">
        <v>92</v>
      </c>
    </row>
    <row r="9825" spans="1:8" x14ac:dyDescent="0.25">
      <c r="A9825" t="s">
        <v>325</v>
      </c>
      <c r="B9825" t="s">
        <v>7878</v>
      </c>
      <c r="C9825" t="s">
        <v>88</v>
      </c>
      <c r="D9825" t="s">
        <v>88</v>
      </c>
      <c r="E9825" t="s">
        <v>959</v>
      </c>
      <c r="F9825" t="s">
        <v>88</v>
      </c>
      <c r="G9825" t="s">
        <v>88</v>
      </c>
      <c r="H9825" t="s">
        <v>92</v>
      </c>
    </row>
    <row r="9826" spans="1:8" x14ac:dyDescent="0.25">
      <c r="A9826" t="s">
        <v>325</v>
      </c>
      <c r="B9826" t="s">
        <v>1823</v>
      </c>
      <c r="C9826" t="s">
        <v>88</v>
      </c>
      <c r="D9826" t="s">
        <v>88</v>
      </c>
      <c r="E9826" t="s">
        <v>734</v>
      </c>
      <c r="F9826" t="s">
        <v>88</v>
      </c>
      <c r="G9826" t="s">
        <v>88</v>
      </c>
      <c r="H9826" t="s">
        <v>92</v>
      </c>
    </row>
    <row r="9827" spans="1:8" x14ac:dyDescent="0.25">
      <c r="A9827" t="s">
        <v>325</v>
      </c>
      <c r="B9827" t="s">
        <v>1989</v>
      </c>
      <c r="C9827" t="s">
        <v>88</v>
      </c>
      <c r="D9827" t="s">
        <v>88</v>
      </c>
      <c r="E9827" t="s">
        <v>780</v>
      </c>
      <c r="F9827" t="s">
        <v>88</v>
      </c>
      <c r="G9827" t="s">
        <v>88</v>
      </c>
      <c r="H9827" t="s">
        <v>92</v>
      </c>
    </row>
    <row r="9828" spans="1:8" x14ac:dyDescent="0.25">
      <c r="A9828" t="s">
        <v>325</v>
      </c>
      <c r="B9828" t="s">
        <v>1990</v>
      </c>
      <c r="C9828" t="s">
        <v>88</v>
      </c>
      <c r="D9828" t="s">
        <v>88</v>
      </c>
      <c r="E9828" t="s">
        <v>780</v>
      </c>
      <c r="F9828" t="s">
        <v>88</v>
      </c>
      <c r="G9828" t="s">
        <v>88</v>
      </c>
      <c r="H9828" t="s">
        <v>92</v>
      </c>
    </row>
    <row r="9829" spans="1:8" x14ac:dyDescent="0.25">
      <c r="A9829" t="s">
        <v>325</v>
      </c>
      <c r="B9829" t="s">
        <v>7918</v>
      </c>
      <c r="C9829" t="s">
        <v>88</v>
      </c>
      <c r="D9829" t="s">
        <v>88</v>
      </c>
      <c r="E9829" t="s">
        <v>844</v>
      </c>
      <c r="F9829" t="s">
        <v>88</v>
      </c>
      <c r="G9829" t="s">
        <v>88</v>
      </c>
      <c r="H9829" t="s">
        <v>92</v>
      </c>
    </row>
    <row r="9830" spans="1:8" x14ac:dyDescent="0.25">
      <c r="A9830" t="s">
        <v>325</v>
      </c>
      <c r="B9830" t="s">
        <v>7938</v>
      </c>
      <c r="C9830" t="s">
        <v>88</v>
      </c>
      <c r="D9830" t="s">
        <v>88</v>
      </c>
      <c r="E9830" t="s">
        <v>812</v>
      </c>
      <c r="F9830" t="s">
        <v>88</v>
      </c>
      <c r="G9830" t="s">
        <v>88</v>
      </c>
      <c r="H9830" t="s">
        <v>92</v>
      </c>
    </row>
    <row r="9831" spans="1:8" x14ac:dyDescent="0.25">
      <c r="A9831" t="s">
        <v>325</v>
      </c>
      <c r="B9831" t="s">
        <v>7939</v>
      </c>
      <c r="C9831" t="s">
        <v>88</v>
      </c>
      <c r="D9831" t="s">
        <v>88</v>
      </c>
      <c r="E9831" t="s">
        <v>964</v>
      </c>
      <c r="F9831" t="s">
        <v>88</v>
      </c>
      <c r="G9831" t="s">
        <v>88</v>
      </c>
      <c r="H9831" t="s">
        <v>92</v>
      </c>
    </row>
    <row r="9832" spans="1:8" x14ac:dyDescent="0.25">
      <c r="A9832" t="s">
        <v>325</v>
      </c>
      <c r="B9832" t="s">
        <v>7940</v>
      </c>
      <c r="C9832" t="s">
        <v>88</v>
      </c>
      <c r="D9832" t="s">
        <v>88</v>
      </c>
      <c r="E9832" t="s">
        <v>1171</v>
      </c>
      <c r="F9832" t="s">
        <v>88</v>
      </c>
      <c r="G9832" t="s">
        <v>88</v>
      </c>
      <c r="H9832" t="s">
        <v>92</v>
      </c>
    </row>
    <row r="9833" spans="1:8" x14ac:dyDescent="0.25">
      <c r="A9833" t="s">
        <v>325</v>
      </c>
      <c r="B9833" t="s">
        <v>7883</v>
      </c>
      <c r="C9833" t="s">
        <v>88</v>
      </c>
      <c r="D9833" t="s">
        <v>88</v>
      </c>
      <c r="E9833" t="s">
        <v>849</v>
      </c>
      <c r="F9833" t="s">
        <v>88</v>
      </c>
      <c r="G9833" t="s">
        <v>88</v>
      </c>
      <c r="H9833" t="s">
        <v>92</v>
      </c>
    </row>
    <row r="9834" spans="1:8" x14ac:dyDescent="0.25">
      <c r="A9834" t="s">
        <v>325</v>
      </c>
      <c r="B9834" t="s">
        <v>7884</v>
      </c>
      <c r="C9834" t="s">
        <v>88</v>
      </c>
      <c r="D9834" t="s">
        <v>88</v>
      </c>
      <c r="E9834" t="s">
        <v>849</v>
      </c>
      <c r="F9834" t="s">
        <v>88</v>
      </c>
      <c r="G9834" t="s">
        <v>88</v>
      </c>
      <c r="H9834" t="s">
        <v>92</v>
      </c>
    </row>
    <row r="9835" spans="1:8" x14ac:dyDescent="0.25">
      <c r="A9835" t="s">
        <v>325</v>
      </c>
      <c r="B9835" t="s">
        <v>7885</v>
      </c>
      <c r="C9835" t="s">
        <v>88</v>
      </c>
      <c r="D9835" t="s">
        <v>88</v>
      </c>
      <c r="E9835" t="s">
        <v>780</v>
      </c>
      <c r="F9835" t="s">
        <v>88</v>
      </c>
      <c r="G9835" t="s">
        <v>88</v>
      </c>
      <c r="H9835" t="s">
        <v>92</v>
      </c>
    </row>
    <row r="9836" spans="1:8" x14ac:dyDescent="0.25">
      <c r="A9836" t="s">
        <v>325</v>
      </c>
      <c r="B9836" t="s">
        <v>7886</v>
      </c>
      <c r="C9836" t="s">
        <v>88</v>
      </c>
      <c r="D9836" t="s">
        <v>88</v>
      </c>
      <c r="E9836" t="s">
        <v>663</v>
      </c>
      <c r="F9836" t="s">
        <v>88</v>
      </c>
      <c r="G9836" t="s">
        <v>88</v>
      </c>
      <c r="H9836" t="s">
        <v>92</v>
      </c>
    </row>
    <row r="9837" spans="1:8" x14ac:dyDescent="0.25">
      <c r="A9837" t="s">
        <v>325</v>
      </c>
      <c r="B9837" t="s">
        <v>7887</v>
      </c>
      <c r="C9837" t="s">
        <v>88</v>
      </c>
      <c r="D9837" t="s">
        <v>88</v>
      </c>
      <c r="E9837" t="s">
        <v>700</v>
      </c>
      <c r="F9837" t="s">
        <v>88</v>
      </c>
      <c r="G9837" t="s">
        <v>88</v>
      </c>
      <c r="H9837" t="s">
        <v>92</v>
      </c>
    </row>
    <row r="9838" spans="1:8" x14ac:dyDescent="0.25">
      <c r="A9838" t="s">
        <v>325</v>
      </c>
      <c r="B9838" t="s">
        <v>625</v>
      </c>
      <c r="C9838" t="s">
        <v>88</v>
      </c>
      <c r="D9838" t="s">
        <v>88</v>
      </c>
      <c r="E9838" t="s">
        <v>626</v>
      </c>
      <c r="F9838" t="s">
        <v>88</v>
      </c>
      <c r="G9838" t="s">
        <v>88</v>
      </c>
      <c r="H9838" t="s">
        <v>92</v>
      </c>
    </row>
    <row r="9839" spans="1:8" x14ac:dyDescent="0.25">
      <c r="A9839" t="s">
        <v>327</v>
      </c>
      <c r="B9839" t="s">
        <v>1656</v>
      </c>
      <c r="C9839" t="s">
        <v>88</v>
      </c>
      <c r="D9839" t="s">
        <v>7966</v>
      </c>
      <c r="E9839" t="s">
        <v>780</v>
      </c>
      <c r="F9839" t="s">
        <v>88</v>
      </c>
      <c r="G9839" t="s">
        <v>88</v>
      </c>
      <c r="H9839" t="s">
        <v>92</v>
      </c>
    </row>
    <row r="9840" spans="1:8" x14ac:dyDescent="0.25">
      <c r="A9840" t="s">
        <v>327</v>
      </c>
      <c r="B9840" t="s">
        <v>7967</v>
      </c>
      <c r="C9840" t="s">
        <v>88</v>
      </c>
      <c r="D9840" t="s">
        <v>7966</v>
      </c>
      <c r="E9840" t="s">
        <v>721</v>
      </c>
      <c r="F9840" t="s">
        <v>88</v>
      </c>
      <c r="G9840" t="s">
        <v>88</v>
      </c>
      <c r="H9840" t="s">
        <v>92</v>
      </c>
    </row>
    <row r="9841" spans="1:8" x14ac:dyDescent="0.25">
      <c r="A9841" t="s">
        <v>327</v>
      </c>
      <c r="B9841" t="s">
        <v>7968</v>
      </c>
      <c r="C9841" t="s">
        <v>88</v>
      </c>
      <c r="D9841" t="s">
        <v>7969</v>
      </c>
      <c r="E9841" t="s">
        <v>658</v>
      </c>
      <c r="F9841" t="s">
        <v>88</v>
      </c>
      <c r="G9841" t="s">
        <v>88</v>
      </c>
      <c r="H9841" t="s">
        <v>92</v>
      </c>
    </row>
    <row r="9842" spans="1:8" x14ac:dyDescent="0.25">
      <c r="A9842" t="s">
        <v>327</v>
      </c>
      <c r="B9842" t="s">
        <v>7970</v>
      </c>
      <c r="C9842" t="s">
        <v>88</v>
      </c>
      <c r="D9842" t="s">
        <v>7971</v>
      </c>
      <c r="E9842" t="s">
        <v>748</v>
      </c>
      <c r="F9842" t="s">
        <v>88</v>
      </c>
      <c r="G9842" t="s">
        <v>88</v>
      </c>
      <c r="H9842" t="s">
        <v>92</v>
      </c>
    </row>
    <row r="9843" spans="1:8" x14ac:dyDescent="0.25">
      <c r="A9843" t="s">
        <v>327</v>
      </c>
      <c r="B9843" t="s">
        <v>1658</v>
      </c>
      <c r="C9843" t="s">
        <v>88</v>
      </c>
      <c r="D9843" t="s">
        <v>7972</v>
      </c>
      <c r="E9843" t="s">
        <v>721</v>
      </c>
      <c r="F9843" t="s">
        <v>88</v>
      </c>
      <c r="G9843" t="s">
        <v>88</v>
      </c>
      <c r="H9843" t="s">
        <v>92</v>
      </c>
    </row>
    <row r="9844" spans="1:8" x14ac:dyDescent="0.25">
      <c r="A9844" t="s">
        <v>327</v>
      </c>
      <c r="B9844" t="s">
        <v>7973</v>
      </c>
      <c r="C9844" t="s">
        <v>88</v>
      </c>
      <c r="D9844" t="s">
        <v>7974</v>
      </c>
      <c r="E9844" t="s">
        <v>638</v>
      </c>
      <c r="F9844" t="s">
        <v>88</v>
      </c>
      <c r="G9844" t="s">
        <v>88</v>
      </c>
      <c r="H9844" t="s">
        <v>92</v>
      </c>
    </row>
    <row r="9845" spans="1:8" x14ac:dyDescent="0.25">
      <c r="A9845" t="s">
        <v>327</v>
      </c>
      <c r="B9845" t="s">
        <v>7968</v>
      </c>
      <c r="C9845" t="s">
        <v>88</v>
      </c>
      <c r="D9845" t="s">
        <v>7969</v>
      </c>
      <c r="E9845" t="s">
        <v>658</v>
      </c>
      <c r="F9845" t="s">
        <v>88</v>
      </c>
      <c r="G9845" t="s">
        <v>88</v>
      </c>
      <c r="H9845" t="s">
        <v>92</v>
      </c>
    </row>
    <row r="9846" spans="1:8" x14ac:dyDescent="0.25">
      <c r="A9846" t="s">
        <v>327</v>
      </c>
      <c r="B9846" t="s">
        <v>7970</v>
      </c>
      <c r="C9846" t="s">
        <v>88</v>
      </c>
      <c r="D9846" t="s">
        <v>7971</v>
      </c>
      <c r="E9846" t="s">
        <v>748</v>
      </c>
      <c r="F9846" t="s">
        <v>88</v>
      </c>
      <c r="G9846" t="s">
        <v>88</v>
      </c>
      <c r="H9846" t="s">
        <v>92</v>
      </c>
    </row>
    <row r="9847" spans="1:8" x14ac:dyDescent="0.25">
      <c r="A9847" t="s">
        <v>327</v>
      </c>
      <c r="B9847" t="s">
        <v>7975</v>
      </c>
      <c r="C9847" t="s">
        <v>88</v>
      </c>
      <c r="D9847" t="s">
        <v>7976</v>
      </c>
      <c r="E9847" t="s">
        <v>762</v>
      </c>
      <c r="F9847" t="s">
        <v>88</v>
      </c>
      <c r="G9847" t="s">
        <v>88</v>
      </c>
      <c r="H9847" t="s">
        <v>92</v>
      </c>
    </row>
    <row r="9848" spans="1:8" x14ac:dyDescent="0.25">
      <c r="A9848" t="s">
        <v>327</v>
      </c>
      <c r="B9848" t="s">
        <v>7977</v>
      </c>
      <c r="C9848" t="s">
        <v>88</v>
      </c>
      <c r="D9848" t="s">
        <v>7978</v>
      </c>
      <c r="E9848" t="s">
        <v>717</v>
      </c>
      <c r="F9848" t="s">
        <v>88</v>
      </c>
      <c r="G9848" t="s">
        <v>88</v>
      </c>
      <c r="H9848" t="s">
        <v>92</v>
      </c>
    </row>
    <row r="9849" spans="1:8" x14ac:dyDescent="0.25">
      <c r="A9849" t="s">
        <v>327</v>
      </c>
      <c r="B9849" t="s">
        <v>7979</v>
      </c>
      <c r="C9849" t="s">
        <v>88</v>
      </c>
      <c r="D9849" t="s">
        <v>7980</v>
      </c>
      <c r="E9849" t="s">
        <v>3593</v>
      </c>
      <c r="F9849" t="s">
        <v>88</v>
      </c>
      <c r="G9849" t="s">
        <v>88</v>
      </c>
      <c r="H9849" t="s">
        <v>92</v>
      </c>
    </row>
    <row r="9850" spans="1:8" x14ac:dyDescent="0.25">
      <c r="A9850" t="s">
        <v>327</v>
      </c>
      <c r="B9850" t="s">
        <v>7981</v>
      </c>
      <c r="C9850" t="s">
        <v>88</v>
      </c>
      <c r="D9850" t="s">
        <v>7982</v>
      </c>
      <c r="E9850" t="s">
        <v>917</v>
      </c>
      <c r="F9850" t="s">
        <v>88</v>
      </c>
      <c r="G9850" t="s">
        <v>88</v>
      </c>
      <c r="H9850" t="s">
        <v>92</v>
      </c>
    </row>
    <row r="9851" spans="1:8" x14ac:dyDescent="0.25">
      <c r="A9851" t="s">
        <v>327</v>
      </c>
      <c r="B9851" t="s">
        <v>7983</v>
      </c>
      <c r="C9851" t="s">
        <v>88</v>
      </c>
      <c r="D9851" t="s">
        <v>7984</v>
      </c>
      <c r="E9851" t="s">
        <v>1153</v>
      </c>
      <c r="F9851" t="s">
        <v>88</v>
      </c>
      <c r="G9851" t="s">
        <v>88</v>
      </c>
      <c r="H9851" t="s">
        <v>92</v>
      </c>
    </row>
    <row r="9852" spans="1:8" x14ac:dyDescent="0.25">
      <c r="A9852" t="s">
        <v>327</v>
      </c>
      <c r="B9852" t="s">
        <v>7985</v>
      </c>
      <c r="C9852" t="s">
        <v>88</v>
      </c>
      <c r="D9852" t="s">
        <v>7986</v>
      </c>
      <c r="E9852" t="s">
        <v>2294</v>
      </c>
      <c r="F9852" t="s">
        <v>88</v>
      </c>
      <c r="G9852" t="s">
        <v>88</v>
      </c>
      <c r="H9852" t="s">
        <v>92</v>
      </c>
    </row>
    <row r="9853" spans="1:8" x14ac:dyDescent="0.25">
      <c r="A9853" t="s">
        <v>327</v>
      </c>
      <c r="B9853" t="s">
        <v>7987</v>
      </c>
      <c r="C9853" t="s">
        <v>88</v>
      </c>
      <c r="D9853" t="s">
        <v>7988</v>
      </c>
      <c r="E9853" t="s">
        <v>4599</v>
      </c>
      <c r="F9853" t="s">
        <v>88</v>
      </c>
      <c r="G9853" t="s">
        <v>88</v>
      </c>
      <c r="H9853" t="s">
        <v>92</v>
      </c>
    </row>
    <row r="9854" spans="1:8" x14ac:dyDescent="0.25">
      <c r="A9854" t="s">
        <v>327</v>
      </c>
      <c r="B9854" t="s">
        <v>7989</v>
      </c>
      <c r="C9854" t="s">
        <v>88</v>
      </c>
      <c r="D9854" t="s">
        <v>7990</v>
      </c>
      <c r="E9854" t="s">
        <v>7991</v>
      </c>
      <c r="F9854" t="s">
        <v>88</v>
      </c>
      <c r="G9854" t="s">
        <v>88</v>
      </c>
      <c r="H9854" t="s">
        <v>92</v>
      </c>
    </row>
    <row r="9855" spans="1:8" x14ac:dyDescent="0.25">
      <c r="A9855" t="s">
        <v>327</v>
      </c>
      <c r="B9855" t="s">
        <v>1656</v>
      </c>
      <c r="C9855" t="s">
        <v>88</v>
      </c>
      <c r="D9855" t="s">
        <v>7966</v>
      </c>
      <c r="E9855" t="s">
        <v>780</v>
      </c>
      <c r="F9855" t="s">
        <v>88</v>
      </c>
      <c r="G9855" t="s">
        <v>88</v>
      </c>
      <c r="H9855" t="s">
        <v>92</v>
      </c>
    </row>
    <row r="9856" spans="1:8" x14ac:dyDescent="0.25">
      <c r="A9856" t="s">
        <v>327</v>
      </c>
      <c r="B9856" t="s">
        <v>1668</v>
      </c>
      <c r="C9856" t="s">
        <v>88</v>
      </c>
      <c r="D9856" t="s">
        <v>7992</v>
      </c>
      <c r="E9856" t="s">
        <v>700</v>
      </c>
      <c r="F9856" t="s">
        <v>88</v>
      </c>
      <c r="G9856" t="s">
        <v>88</v>
      </c>
      <c r="H9856" t="s">
        <v>92</v>
      </c>
    </row>
    <row r="9857" spans="1:8" x14ac:dyDescent="0.25">
      <c r="A9857" t="s">
        <v>327</v>
      </c>
      <c r="B9857" t="s">
        <v>7967</v>
      </c>
      <c r="C9857" t="s">
        <v>88</v>
      </c>
      <c r="D9857" t="s">
        <v>7966</v>
      </c>
      <c r="E9857" t="s">
        <v>721</v>
      </c>
      <c r="F9857" t="s">
        <v>88</v>
      </c>
      <c r="G9857" t="s">
        <v>88</v>
      </c>
      <c r="H9857" t="s">
        <v>92</v>
      </c>
    </row>
    <row r="9858" spans="1:8" x14ac:dyDescent="0.25">
      <c r="A9858" t="s">
        <v>327</v>
      </c>
      <c r="B9858" t="s">
        <v>1658</v>
      </c>
      <c r="C9858" t="s">
        <v>88</v>
      </c>
      <c r="D9858" t="s">
        <v>7972</v>
      </c>
      <c r="E9858" t="s">
        <v>721</v>
      </c>
      <c r="F9858" t="s">
        <v>88</v>
      </c>
      <c r="G9858" t="s">
        <v>88</v>
      </c>
      <c r="H9858" t="s">
        <v>92</v>
      </c>
    </row>
    <row r="9859" spans="1:8" x14ac:dyDescent="0.25">
      <c r="A9859" t="s">
        <v>327</v>
      </c>
      <c r="B9859" t="s">
        <v>1667</v>
      </c>
      <c r="C9859" t="s">
        <v>88</v>
      </c>
      <c r="D9859" t="s">
        <v>7992</v>
      </c>
      <c r="E9859" t="s">
        <v>762</v>
      </c>
      <c r="F9859" t="s">
        <v>88</v>
      </c>
      <c r="G9859" t="s">
        <v>88</v>
      </c>
      <c r="H9859" t="s">
        <v>92</v>
      </c>
    </row>
    <row r="9860" spans="1:8" x14ac:dyDescent="0.25">
      <c r="A9860" t="s">
        <v>327</v>
      </c>
      <c r="B9860" t="s">
        <v>7993</v>
      </c>
      <c r="C9860" t="s">
        <v>88</v>
      </c>
      <c r="D9860" t="s">
        <v>7992</v>
      </c>
      <c r="E9860" t="s">
        <v>721</v>
      </c>
      <c r="F9860" t="s">
        <v>88</v>
      </c>
      <c r="G9860" t="s">
        <v>88</v>
      </c>
      <c r="H9860" t="s">
        <v>92</v>
      </c>
    </row>
    <row r="9861" spans="1:8" x14ac:dyDescent="0.25">
      <c r="A9861" t="s">
        <v>327</v>
      </c>
      <c r="B9861" t="s">
        <v>1826</v>
      </c>
      <c r="C9861" t="s">
        <v>88</v>
      </c>
      <c r="D9861" t="s">
        <v>7972</v>
      </c>
      <c r="E9861" t="s">
        <v>673</v>
      </c>
      <c r="F9861" t="s">
        <v>88</v>
      </c>
      <c r="G9861" t="s">
        <v>88</v>
      </c>
      <c r="H9861" t="s">
        <v>92</v>
      </c>
    </row>
    <row r="9862" spans="1:8" x14ac:dyDescent="0.25">
      <c r="A9862" t="s">
        <v>327</v>
      </c>
      <c r="B9862" t="s">
        <v>612</v>
      </c>
      <c r="C9862" t="s">
        <v>88</v>
      </c>
      <c r="D9862" t="s">
        <v>88</v>
      </c>
      <c r="E9862" t="s">
        <v>709</v>
      </c>
      <c r="F9862" t="s">
        <v>88</v>
      </c>
      <c r="G9862" t="s">
        <v>88</v>
      </c>
      <c r="H9862" t="s">
        <v>92</v>
      </c>
    </row>
    <row r="9863" spans="1:8" x14ac:dyDescent="0.25">
      <c r="A9863" t="s">
        <v>327</v>
      </c>
      <c r="B9863" t="s">
        <v>618</v>
      </c>
      <c r="C9863" t="s">
        <v>88</v>
      </c>
      <c r="D9863" t="s">
        <v>88</v>
      </c>
      <c r="E9863" t="s">
        <v>711</v>
      </c>
      <c r="F9863" t="s">
        <v>88</v>
      </c>
      <c r="G9863" t="s">
        <v>88</v>
      </c>
      <c r="H9863" t="s">
        <v>92</v>
      </c>
    </row>
    <row r="9864" spans="1:8" x14ac:dyDescent="0.25">
      <c r="A9864" t="s">
        <v>327</v>
      </c>
      <c r="B9864" t="s">
        <v>928</v>
      </c>
      <c r="C9864" t="s">
        <v>88</v>
      </c>
      <c r="D9864" t="s">
        <v>88</v>
      </c>
      <c r="E9864" t="s">
        <v>711</v>
      </c>
      <c r="F9864" t="s">
        <v>88</v>
      </c>
      <c r="G9864" t="s">
        <v>88</v>
      </c>
      <c r="H9864" t="s">
        <v>92</v>
      </c>
    </row>
    <row r="9865" spans="1:8" x14ac:dyDescent="0.25">
      <c r="A9865" t="s">
        <v>327</v>
      </c>
      <c r="B9865" t="s">
        <v>929</v>
      </c>
      <c r="C9865" t="s">
        <v>88</v>
      </c>
      <c r="D9865" t="s">
        <v>88</v>
      </c>
      <c r="E9865" t="s">
        <v>849</v>
      </c>
      <c r="F9865" t="s">
        <v>88</v>
      </c>
      <c r="G9865" t="s">
        <v>88</v>
      </c>
      <c r="H9865" t="s">
        <v>92</v>
      </c>
    </row>
    <row r="9866" spans="1:8" x14ac:dyDescent="0.25">
      <c r="A9866" t="s">
        <v>327</v>
      </c>
      <c r="B9866" t="s">
        <v>852</v>
      </c>
      <c r="C9866" t="s">
        <v>88</v>
      </c>
      <c r="D9866" t="s">
        <v>88</v>
      </c>
      <c r="E9866" t="s">
        <v>959</v>
      </c>
      <c r="F9866" t="s">
        <v>88</v>
      </c>
      <c r="G9866" t="s">
        <v>88</v>
      </c>
      <c r="H9866" t="s">
        <v>92</v>
      </c>
    </row>
    <row r="9867" spans="1:8" x14ac:dyDescent="0.25">
      <c r="A9867" t="s">
        <v>328</v>
      </c>
      <c r="B9867" t="s">
        <v>2021</v>
      </c>
      <c r="C9867" t="s">
        <v>88</v>
      </c>
      <c r="D9867" t="s">
        <v>7994</v>
      </c>
      <c r="E9867" t="s">
        <v>702</v>
      </c>
      <c r="F9867" t="s">
        <v>88</v>
      </c>
      <c r="G9867" t="s">
        <v>88</v>
      </c>
      <c r="H9867" t="s">
        <v>92</v>
      </c>
    </row>
    <row r="9868" spans="1:8" x14ac:dyDescent="0.25">
      <c r="A9868" t="s">
        <v>328</v>
      </c>
      <c r="B9868" t="s">
        <v>2180</v>
      </c>
      <c r="C9868" t="s">
        <v>88</v>
      </c>
      <c r="D9868" t="s">
        <v>88</v>
      </c>
      <c r="E9868" t="s">
        <v>791</v>
      </c>
      <c r="F9868" t="s">
        <v>88</v>
      </c>
      <c r="G9868" t="s">
        <v>88</v>
      </c>
      <c r="H9868" t="s">
        <v>92</v>
      </c>
    </row>
    <row r="9869" spans="1:8" x14ac:dyDescent="0.25">
      <c r="A9869" t="s">
        <v>328</v>
      </c>
      <c r="B9869" t="s">
        <v>736</v>
      </c>
      <c r="C9869" t="s">
        <v>88</v>
      </c>
      <c r="D9869" t="s">
        <v>7995</v>
      </c>
      <c r="E9869" t="s">
        <v>780</v>
      </c>
      <c r="F9869" t="s">
        <v>88</v>
      </c>
      <c r="G9869" t="s">
        <v>88</v>
      </c>
      <c r="H9869" t="s">
        <v>92</v>
      </c>
    </row>
    <row r="9870" spans="1:8" x14ac:dyDescent="0.25">
      <c r="A9870" t="s">
        <v>328</v>
      </c>
      <c r="B9870" t="s">
        <v>2177</v>
      </c>
      <c r="C9870" t="s">
        <v>88</v>
      </c>
      <c r="D9870" t="s">
        <v>88</v>
      </c>
      <c r="E9870" t="s">
        <v>791</v>
      </c>
      <c r="F9870" t="s">
        <v>88</v>
      </c>
      <c r="G9870" t="s">
        <v>88</v>
      </c>
      <c r="H9870" t="s">
        <v>92</v>
      </c>
    </row>
    <row r="9871" spans="1:8" x14ac:dyDescent="0.25">
      <c r="A9871" t="s">
        <v>328</v>
      </c>
      <c r="B9871" t="s">
        <v>890</v>
      </c>
      <c r="C9871" t="s">
        <v>88</v>
      </c>
      <c r="D9871" t="s">
        <v>7994</v>
      </c>
      <c r="E9871" t="s">
        <v>762</v>
      </c>
      <c r="F9871" t="s">
        <v>88</v>
      </c>
      <c r="G9871" t="s">
        <v>88</v>
      </c>
      <c r="H9871" t="s">
        <v>92</v>
      </c>
    </row>
    <row r="9872" spans="1:8" x14ac:dyDescent="0.25">
      <c r="A9872" t="s">
        <v>328</v>
      </c>
      <c r="B9872" t="s">
        <v>4890</v>
      </c>
      <c r="C9872" t="s">
        <v>88</v>
      </c>
      <c r="D9872" t="s">
        <v>88</v>
      </c>
      <c r="E9872" t="s">
        <v>700</v>
      </c>
      <c r="F9872" t="s">
        <v>88</v>
      </c>
      <c r="G9872" t="s">
        <v>88</v>
      </c>
      <c r="H9872" t="s">
        <v>92</v>
      </c>
    </row>
    <row r="9873" spans="1:8" x14ac:dyDescent="0.25">
      <c r="A9873" t="s">
        <v>328</v>
      </c>
      <c r="B9873" t="s">
        <v>1780</v>
      </c>
      <c r="C9873" t="s">
        <v>88</v>
      </c>
      <c r="D9873" t="s">
        <v>88</v>
      </c>
      <c r="E9873" t="s">
        <v>1323</v>
      </c>
      <c r="F9873" t="s">
        <v>88</v>
      </c>
      <c r="G9873" t="s">
        <v>88</v>
      </c>
      <c r="H9873" t="s">
        <v>92</v>
      </c>
    </row>
    <row r="9874" spans="1:8" x14ac:dyDescent="0.25">
      <c r="A9874" t="s">
        <v>328</v>
      </c>
      <c r="B9874" t="s">
        <v>7996</v>
      </c>
      <c r="C9874" t="s">
        <v>88</v>
      </c>
      <c r="D9874" t="s">
        <v>88</v>
      </c>
      <c r="E9874" t="s">
        <v>700</v>
      </c>
      <c r="F9874" t="s">
        <v>88</v>
      </c>
      <c r="G9874" t="s">
        <v>88</v>
      </c>
      <c r="H9874" t="s">
        <v>92</v>
      </c>
    </row>
    <row r="9875" spans="1:8" x14ac:dyDescent="0.25">
      <c r="A9875" t="s">
        <v>328</v>
      </c>
      <c r="B9875" t="s">
        <v>2178</v>
      </c>
      <c r="C9875" t="s">
        <v>88</v>
      </c>
      <c r="D9875" t="s">
        <v>88</v>
      </c>
      <c r="E9875" t="s">
        <v>791</v>
      </c>
      <c r="F9875" t="s">
        <v>88</v>
      </c>
      <c r="G9875" t="s">
        <v>88</v>
      </c>
      <c r="H9875" t="s">
        <v>92</v>
      </c>
    </row>
    <row r="9876" spans="1:8" x14ac:dyDescent="0.25">
      <c r="A9876" t="s">
        <v>328</v>
      </c>
      <c r="B9876" t="s">
        <v>2177</v>
      </c>
      <c r="C9876" t="s">
        <v>88</v>
      </c>
      <c r="D9876" t="s">
        <v>88</v>
      </c>
      <c r="E9876" t="s">
        <v>791</v>
      </c>
      <c r="F9876" t="s">
        <v>88</v>
      </c>
      <c r="G9876" t="s">
        <v>88</v>
      </c>
      <c r="H9876" t="s">
        <v>92</v>
      </c>
    </row>
    <row r="9877" spans="1:8" x14ac:dyDescent="0.25">
      <c r="A9877" t="s">
        <v>328</v>
      </c>
      <c r="B9877" t="s">
        <v>2180</v>
      </c>
      <c r="C9877" t="s">
        <v>88</v>
      </c>
      <c r="D9877" t="s">
        <v>88</v>
      </c>
      <c r="E9877" t="s">
        <v>791</v>
      </c>
      <c r="F9877" t="s">
        <v>88</v>
      </c>
      <c r="G9877" t="s">
        <v>88</v>
      </c>
      <c r="H9877" t="s">
        <v>92</v>
      </c>
    </row>
    <row r="9878" spans="1:8" x14ac:dyDescent="0.25">
      <c r="A9878" t="s">
        <v>328</v>
      </c>
      <c r="B9878" t="s">
        <v>2179</v>
      </c>
      <c r="C9878" t="s">
        <v>88</v>
      </c>
      <c r="D9878" t="s">
        <v>88</v>
      </c>
      <c r="E9878" t="s">
        <v>791</v>
      </c>
      <c r="F9878" t="s">
        <v>88</v>
      </c>
      <c r="G9878" t="s">
        <v>88</v>
      </c>
      <c r="H9878" t="s">
        <v>92</v>
      </c>
    </row>
    <row r="9879" spans="1:8" x14ac:dyDescent="0.25">
      <c r="A9879" t="s">
        <v>328</v>
      </c>
      <c r="B9879" t="s">
        <v>891</v>
      </c>
      <c r="C9879" t="s">
        <v>88</v>
      </c>
      <c r="D9879" t="s">
        <v>7994</v>
      </c>
      <c r="E9879" t="s">
        <v>655</v>
      </c>
      <c r="F9879" t="s">
        <v>88</v>
      </c>
      <c r="G9879" t="s">
        <v>88</v>
      </c>
      <c r="H9879" t="s">
        <v>92</v>
      </c>
    </row>
    <row r="9880" spans="1:8" x14ac:dyDescent="0.25">
      <c r="A9880" t="s">
        <v>328</v>
      </c>
      <c r="B9880" t="s">
        <v>895</v>
      </c>
      <c r="C9880" t="s">
        <v>88</v>
      </c>
      <c r="D9880" t="s">
        <v>7994</v>
      </c>
      <c r="E9880" t="s">
        <v>655</v>
      </c>
      <c r="F9880" t="s">
        <v>88</v>
      </c>
      <c r="G9880" t="s">
        <v>88</v>
      </c>
      <c r="H9880" t="s">
        <v>92</v>
      </c>
    </row>
    <row r="9881" spans="1:8" x14ac:dyDescent="0.25">
      <c r="A9881" t="s">
        <v>328</v>
      </c>
      <c r="B9881" t="s">
        <v>890</v>
      </c>
      <c r="C9881" t="s">
        <v>88</v>
      </c>
      <c r="D9881" t="s">
        <v>7994</v>
      </c>
      <c r="E9881" t="s">
        <v>762</v>
      </c>
      <c r="F9881" t="s">
        <v>88</v>
      </c>
      <c r="G9881" t="s">
        <v>88</v>
      </c>
      <c r="H9881" t="s">
        <v>92</v>
      </c>
    </row>
    <row r="9882" spans="1:8" x14ac:dyDescent="0.25">
      <c r="A9882" t="s">
        <v>328</v>
      </c>
      <c r="B9882" t="s">
        <v>2021</v>
      </c>
      <c r="C9882" t="s">
        <v>88</v>
      </c>
      <c r="D9882" t="s">
        <v>7994</v>
      </c>
      <c r="E9882" t="s">
        <v>702</v>
      </c>
      <c r="F9882" t="s">
        <v>88</v>
      </c>
      <c r="G9882" t="s">
        <v>88</v>
      </c>
      <c r="H9882" t="s">
        <v>92</v>
      </c>
    </row>
    <row r="9883" spans="1:8" x14ac:dyDescent="0.25">
      <c r="A9883" t="s">
        <v>328</v>
      </c>
      <c r="B9883" t="s">
        <v>2026</v>
      </c>
      <c r="C9883" t="s">
        <v>88</v>
      </c>
      <c r="D9883" t="s">
        <v>7994</v>
      </c>
      <c r="E9883" t="s">
        <v>655</v>
      </c>
      <c r="F9883" t="s">
        <v>88</v>
      </c>
      <c r="G9883" t="s">
        <v>88</v>
      </c>
      <c r="H9883" t="s">
        <v>92</v>
      </c>
    </row>
    <row r="9884" spans="1:8" x14ac:dyDescent="0.25">
      <c r="A9884" t="s">
        <v>328</v>
      </c>
      <c r="B9884" t="s">
        <v>876</v>
      </c>
      <c r="C9884" t="s">
        <v>88</v>
      </c>
      <c r="D9884" t="s">
        <v>1660</v>
      </c>
      <c r="E9884" t="s">
        <v>655</v>
      </c>
      <c r="F9884" t="s">
        <v>88</v>
      </c>
      <c r="G9884" t="s">
        <v>88</v>
      </c>
      <c r="H9884" t="s">
        <v>92</v>
      </c>
    </row>
    <row r="9885" spans="1:8" x14ac:dyDescent="0.25">
      <c r="A9885" t="s">
        <v>328</v>
      </c>
      <c r="B9885" t="s">
        <v>740</v>
      </c>
      <c r="C9885" t="s">
        <v>88</v>
      </c>
      <c r="D9885" t="s">
        <v>1660</v>
      </c>
      <c r="E9885" t="s">
        <v>762</v>
      </c>
      <c r="F9885" t="s">
        <v>88</v>
      </c>
      <c r="G9885" t="s">
        <v>88</v>
      </c>
      <c r="H9885" t="s">
        <v>92</v>
      </c>
    </row>
    <row r="9886" spans="1:8" x14ac:dyDescent="0.25">
      <c r="A9886" t="s">
        <v>328</v>
      </c>
      <c r="B9886" t="s">
        <v>1385</v>
      </c>
      <c r="C9886" t="s">
        <v>88</v>
      </c>
      <c r="D9886" t="s">
        <v>1660</v>
      </c>
      <c r="E9886" t="s">
        <v>655</v>
      </c>
      <c r="F9886" t="s">
        <v>88</v>
      </c>
      <c r="G9886" t="s">
        <v>88</v>
      </c>
      <c r="H9886" t="s">
        <v>92</v>
      </c>
    </row>
    <row r="9887" spans="1:8" x14ac:dyDescent="0.25">
      <c r="A9887" t="s">
        <v>328</v>
      </c>
      <c r="B9887" t="s">
        <v>768</v>
      </c>
      <c r="C9887" t="s">
        <v>88</v>
      </c>
      <c r="D9887" t="s">
        <v>1660</v>
      </c>
      <c r="E9887" t="s">
        <v>692</v>
      </c>
      <c r="F9887" t="s">
        <v>88</v>
      </c>
      <c r="G9887" t="s">
        <v>88</v>
      </c>
      <c r="H9887" t="s">
        <v>92</v>
      </c>
    </row>
    <row r="9888" spans="1:8" x14ac:dyDescent="0.25">
      <c r="A9888" t="s">
        <v>328</v>
      </c>
      <c r="B9888" t="s">
        <v>736</v>
      </c>
      <c r="C9888" t="s">
        <v>88</v>
      </c>
      <c r="D9888" t="s">
        <v>7995</v>
      </c>
      <c r="E9888" t="s">
        <v>780</v>
      </c>
      <c r="F9888" t="s">
        <v>88</v>
      </c>
      <c r="G9888" t="s">
        <v>88</v>
      </c>
      <c r="H9888" t="s">
        <v>92</v>
      </c>
    </row>
    <row r="9889" spans="1:8" x14ac:dyDescent="0.25">
      <c r="A9889" t="s">
        <v>328</v>
      </c>
      <c r="B9889" t="s">
        <v>739</v>
      </c>
      <c r="C9889" t="s">
        <v>88</v>
      </c>
      <c r="D9889" t="s">
        <v>7995</v>
      </c>
      <c r="E9889" t="s">
        <v>738</v>
      </c>
      <c r="F9889" t="s">
        <v>88</v>
      </c>
      <c r="G9889" t="s">
        <v>88</v>
      </c>
      <c r="H9889" t="s">
        <v>92</v>
      </c>
    </row>
    <row r="9890" spans="1:8" x14ac:dyDescent="0.25">
      <c r="A9890" t="s">
        <v>328</v>
      </c>
      <c r="B9890" t="s">
        <v>1395</v>
      </c>
      <c r="C9890" t="s">
        <v>88</v>
      </c>
      <c r="D9890" t="s">
        <v>7995</v>
      </c>
      <c r="E9890" t="s">
        <v>780</v>
      </c>
      <c r="F9890" t="s">
        <v>88</v>
      </c>
      <c r="G9890" t="s">
        <v>88</v>
      </c>
      <c r="H9890" t="s">
        <v>92</v>
      </c>
    </row>
    <row r="9891" spans="1:8" x14ac:dyDescent="0.25">
      <c r="A9891" t="s">
        <v>328</v>
      </c>
      <c r="B9891" t="s">
        <v>776</v>
      </c>
      <c r="C9891" t="s">
        <v>88</v>
      </c>
      <c r="D9891" t="s">
        <v>7995</v>
      </c>
      <c r="E9891" t="s">
        <v>1839</v>
      </c>
      <c r="F9891" t="s">
        <v>88</v>
      </c>
      <c r="G9891" t="s">
        <v>88</v>
      </c>
      <c r="H9891" t="s">
        <v>92</v>
      </c>
    </row>
    <row r="9892" spans="1:8" x14ac:dyDescent="0.25">
      <c r="A9892" t="s">
        <v>328</v>
      </c>
      <c r="B9892" t="s">
        <v>7997</v>
      </c>
      <c r="C9892" t="s">
        <v>88</v>
      </c>
      <c r="D9892" t="s">
        <v>88</v>
      </c>
      <c r="E9892" t="s">
        <v>655</v>
      </c>
      <c r="F9892" t="s">
        <v>88</v>
      </c>
      <c r="G9892" t="s">
        <v>88</v>
      </c>
      <c r="H9892" t="s">
        <v>92</v>
      </c>
    </row>
    <row r="9893" spans="1:8" x14ac:dyDescent="0.25">
      <c r="A9893" t="s">
        <v>328</v>
      </c>
      <c r="B9893" t="s">
        <v>701</v>
      </c>
      <c r="C9893" t="s">
        <v>88</v>
      </c>
      <c r="D9893" t="s">
        <v>88</v>
      </c>
      <c r="E9893" t="s">
        <v>709</v>
      </c>
      <c r="F9893" t="s">
        <v>88</v>
      </c>
      <c r="G9893" t="s">
        <v>88</v>
      </c>
      <c r="H9893" t="s">
        <v>92</v>
      </c>
    </row>
    <row r="9894" spans="1:8" x14ac:dyDescent="0.25">
      <c r="A9894" t="s">
        <v>328</v>
      </c>
      <c r="B9894" t="s">
        <v>703</v>
      </c>
      <c r="C9894" t="s">
        <v>88</v>
      </c>
      <c r="D9894" t="s">
        <v>88</v>
      </c>
      <c r="E9894" t="s">
        <v>709</v>
      </c>
      <c r="F9894" t="s">
        <v>88</v>
      </c>
      <c r="G9894" t="s">
        <v>88</v>
      </c>
      <c r="H9894" t="s">
        <v>92</v>
      </c>
    </row>
    <row r="9895" spans="1:8" x14ac:dyDescent="0.25">
      <c r="A9895" t="s">
        <v>328</v>
      </c>
      <c r="B9895" t="s">
        <v>704</v>
      </c>
      <c r="C9895" t="s">
        <v>88</v>
      </c>
      <c r="D9895" t="s">
        <v>88</v>
      </c>
      <c r="E9895" t="s">
        <v>709</v>
      </c>
      <c r="F9895" t="s">
        <v>88</v>
      </c>
      <c r="G9895" t="s">
        <v>88</v>
      </c>
      <c r="H9895" t="s">
        <v>92</v>
      </c>
    </row>
    <row r="9896" spans="1:8" x14ac:dyDescent="0.25">
      <c r="A9896" t="s">
        <v>328</v>
      </c>
      <c r="B9896" t="s">
        <v>705</v>
      </c>
      <c r="C9896" t="s">
        <v>88</v>
      </c>
      <c r="D9896" t="s">
        <v>88</v>
      </c>
      <c r="E9896" t="s">
        <v>709</v>
      </c>
      <c r="F9896" t="s">
        <v>88</v>
      </c>
      <c r="G9896" t="s">
        <v>88</v>
      </c>
      <c r="H9896" t="s">
        <v>92</v>
      </c>
    </row>
    <row r="9897" spans="1:8" x14ac:dyDescent="0.25">
      <c r="A9897" t="s">
        <v>328</v>
      </c>
      <c r="B9897" t="s">
        <v>706</v>
      </c>
      <c r="C9897" t="s">
        <v>88</v>
      </c>
      <c r="D9897" t="s">
        <v>88</v>
      </c>
      <c r="E9897" t="s">
        <v>709</v>
      </c>
      <c r="F9897" t="s">
        <v>88</v>
      </c>
      <c r="G9897" t="s">
        <v>88</v>
      </c>
      <c r="H9897" t="s">
        <v>92</v>
      </c>
    </row>
    <row r="9898" spans="1:8" x14ac:dyDescent="0.25">
      <c r="A9898" t="s">
        <v>328</v>
      </c>
      <c r="B9898" t="s">
        <v>707</v>
      </c>
      <c r="C9898" t="s">
        <v>88</v>
      </c>
      <c r="D9898" t="s">
        <v>88</v>
      </c>
      <c r="E9898" t="s">
        <v>709</v>
      </c>
      <c r="F9898" t="s">
        <v>88</v>
      </c>
      <c r="G9898" t="s">
        <v>88</v>
      </c>
      <c r="H9898" t="s">
        <v>92</v>
      </c>
    </row>
    <row r="9899" spans="1:8" x14ac:dyDescent="0.25">
      <c r="A9899" t="s">
        <v>328</v>
      </c>
      <c r="B9899" t="s">
        <v>7998</v>
      </c>
      <c r="C9899" t="s">
        <v>88</v>
      </c>
      <c r="D9899" t="s">
        <v>88</v>
      </c>
      <c r="E9899" t="s">
        <v>709</v>
      </c>
      <c r="F9899" t="s">
        <v>88</v>
      </c>
      <c r="G9899" t="s">
        <v>88</v>
      </c>
      <c r="H9899" t="s">
        <v>92</v>
      </c>
    </row>
    <row r="9900" spans="1:8" x14ac:dyDescent="0.25">
      <c r="A9900" t="s">
        <v>328</v>
      </c>
      <c r="B9900" t="s">
        <v>612</v>
      </c>
      <c r="C9900" t="s">
        <v>88</v>
      </c>
      <c r="D9900" t="s">
        <v>88</v>
      </c>
      <c r="E9900" t="s">
        <v>709</v>
      </c>
      <c r="F9900" t="s">
        <v>88</v>
      </c>
      <c r="G9900" t="s">
        <v>88</v>
      </c>
      <c r="H9900" t="s">
        <v>92</v>
      </c>
    </row>
    <row r="9901" spans="1:8" x14ac:dyDescent="0.25">
      <c r="A9901" t="s">
        <v>328</v>
      </c>
      <c r="B9901" t="s">
        <v>651</v>
      </c>
      <c r="C9901" t="s">
        <v>88</v>
      </c>
      <c r="D9901" t="s">
        <v>88</v>
      </c>
      <c r="E9901" t="s">
        <v>709</v>
      </c>
      <c r="F9901" t="s">
        <v>88</v>
      </c>
      <c r="G9901" t="s">
        <v>88</v>
      </c>
      <c r="H9901" t="s">
        <v>92</v>
      </c>
    </row>
    <row r="9902" spans="1:8" x14ac:dyDescent="0.25">
      <c r="A9902" t="s">
        <v>328</v>
      </c>
      <c r="B9902" t="s">
        <v>614</v>
      </c>
      <c r="C9902" t="s">
        <v>88</v>
      </c>
      <c r="D9902" t="s">
        <v>88</v>
      </c>
      <c r="E9902" t="s">
        <v>709</v>
      </c>
      <c r="F9902" t="s">
        <v>88</v>
      </c>
      <c r="G9902" t="s">
        <v>88</v>
      </c>
      <c r="H9902" t="s">
        <v>92</v>
      </c>
    </row>
    <row r="9903" spans="1:8" x14ac:dyDescent="0.25">
      <c r="A9903" t="s">
        <v>328</v>
      </c>
      <c r="B9903" t="s">
        <v>615</v>
      </c>
      <c r="C9903" t="s">
        <v>88</v>
      </c>
      <c r="D9903" t="s">
        <v>88</v>
      </c>
      <c r="E9903" t="s">
        <v>709</v>
      </c>
      <c r="F9903" t="s">
        <v>88</v>
      </c>
      <c r="G9903" t="s">
        <v>88</v>
      </c>
      <c r="H9903" t="s">
        <v>92</v>
      </c>
    </row>
    <row r="9904" spans="1:8" x14ac:dyDescent="0.25">
      <c r="A9904" t="s">
        <v>328</v>
      </c>
      <c r="B9904" t="s">
        <v>616</v>
      </c>
      <c r="C9904" t="s">
        <v>88</v>
      </c>
      <c r="D9904" t="s">
        <v>88</v>
      </c>
      <c r="E9904" t="s">
        <v>709</v>
      </c>
      <c r="F9904" t="s">
        <v>88</v>
      </c>
      <c r="G9904" t="s">
        <v>88</v>
      </c>
      <c r="H9904" t="s">
        <v>92</v>
      </c>
    </row>
    <row r="9905" spans="1:8" x14ac:dyDescent="0.25">
      <c r="A9905" t="s">
        <v>328</v>
      </c>
      <c r="B9905" t="s">
        <v>3242</v>
      </c>
      <c r="C9905" t="s">
        <v>88</v>
      </c>
      <c r="D9905" t="s">
        <v>88</v>
      </c>
      <c r="E9905" t="s">
        <v>709</v>
      </c>
      <c r="F9905" t="s">
        <v>88</v>
      </c>
      <c r="G9905" t="s">
        <v>88</v>
      </c>
      <c r="H9905" t="s">
        <v>92</v>
      </c>
    </row>
    <row r="9906" spans="1:8" x14ac:dyDescent="0.25">
      <c r="A9906" t="s">
        <v>328</v>
      </c>
      <c r="B9906" t="s">
        <v>846</v>
      </c>
      <c r="C9906" t="s">
        <v>88</v>
      </c>
      <c r="D9906" t="s">
        <v>88</v>
      </c>
      <c r="E9906" t="s">
        <v>709</v>
      </c>
      <c r="F9906" t="s">
        <v>88</v>
      </c>
      <c r="G9906" t="s">
        <v>88</v>
      </c>
      <c r="H9906" t="s">
        <v>92</v>
      </c>
    </row>
    <row r="9907" spans="1:8" x14ac:dyDescent="0.25">
      <c r="A9907" t="s">
        <v>328</v>
      </c>
      <c r="B9907" t="s">
        <v>618</v>
      </c>
      <c r="C9907" t="s">
        <v>88</v>
      </c>
      <c r="D9907" t="s">
        <v>88</v>
      </c>
      <c r="E9907" t="s">
        <v>848</v>
      </c>
      <c r="F9907" t="s">
        <v>88</v>
      </c>
      <c r="G9907" t="s">
        <v>88</v>
      </c>
      <c r="H9907" t="s">
        <v>92</v>
      </c>
    </row>
    <row r="9908" spans="1:8" x14ac:dyDescent="0.25">
      <c r="A9908" t="s">
        <v>328</v>
      </c>
      <c r="B9908" t="s">
        <v>620</v>
      </c>
      <c r="C9908" t="s">
        <v>88</v>
      </c>
      <c r="D9908" t="s">
        <v>88</v>
      </c>
      <c r="E9908" t="s">
        <v>711</v>
      </c>
      <c r="F9908" t="s">
        <v>88</v>
      </c>
      <c r="G9908" t="s">
        <v>88</v>
      </c>
      <c r="H9908" t="s">
        <v>92</v>
      </c>
    </row>
    <row r="9909" spans="1:8" x14ac:dyDescent="0.25">
      <c r="A9909" t="s">
        <v>328</v>
      </c>
      <c r="B9909" t="s">
        <v>623</v>
      </c>
      <c r="C9909" t="s">
        <v>88</v>
      </c>
      <c r="D9909" t="s">
        <v>88</v>
      </c>
      <c r="E9909" t="s">
        <v>849</v>
      </c>
      <c r="F9909" t="s">
        <v>88</v>
      </c>
      <c r="G9909" t="s">
        <v>88</v>
      </c>
      <c r="H9909" t="s">
        <v>92</v>
      </c>
    </row>
    <row r="9910" spans="1:8" x14ac:dyDescent="0.25">
      <c r="A9910" t="s">
        <v>328</v>
      </c>
      <c r="B9910" t="s">
        <v>714</v>
      </c>
      <c r="C9910" t="s">
        <v>88</v>
      </c>
      <c r="D9910" t="s">
        <v>88</v>
      </c>
      <c r="E9910" t="s">
        <v>1594</v>
      </c>
      <c r="F9910" t="s">
        <v>88</v>
      </c>
      <c r="G9910" t="s">
        <v>88</v>
      </c>
      <c r="H9910" t="s">
        <v>92</v>
      </c>
    </row>
    <row r="9911" spans="1:8" x14ac:dyDescent="0.25">
      <c r="A9911" t="s">
        <v>328</v>
      </c>
      <c r="B9911" t="s">
        <v>1074</v>
      </c>
      <c r="C9911" t="s">
        <v>88</v>
      </c>
      <c r="D9911" t="s">
        <v>88</v>
      </c>
      <c r="E9911" t="s">
        <v>1594</v>
      </c>
      <c r="F9911" t="s">
        <v>88</v>
      </c>
      <c r="G9911" t="s">
        <v>88</v>
      </c>
      <c r="H9911" t="s">
        <v>92</v>
      </c>
    </row>
    <row r="9912" spans="1:8" x14ac:dyDescent="0.25">
      <c r="A9912" t="s">
        <v>328</v>
      </c>
      <c r="B9912" t="s">
        <v>1671</v>
      </c>
      <c r="C9912" t="s">
        <v>88</v>
      </c>
      <c r="D9912" t="s">
        <v>88</v>
      </c>
      <c r="E9912" t="s">
        <v>1594</v>
      </c>
      <c r="F9912" t="s">
        <v>88</v>
      </c>
      <c r="G9912" t="s">
        <v>88</v>
      </c>
      <c r="H9912" t="s">
        <v>92</v>
      </c>
    </row>
    <row r="9913" spans="1:8" x14ac:dyDescent="0.25">
      <c r="A9913" t="s">
        <v>328</v>
      </c>
      <c r="B9913" t="s">
        <v>998</v>
      </c>
      <c r="C9913" t="s">
        <v>88</v>
      </c>
      <c r="D9913" t="s">
        <v>88</v>
      </c>
      <c r="E9913" t="s">
        <v>1594</v>
      </c>
      <c r="F9913" t="s">
        <v>88</v>
      </c>
      <c r="G9913" t="s">
        <v>88</v>
      </c>
      <c r="H9913" t="s">
        <v>92</v>
      </c>
    </row>
    <row r="9914" spans="1:8" x14ac:dyDescent="0.25">
      <c r="A9914" t="s">
        <v>328</v>
      </c>
      <c r="B9914" t="s">
        <v>1073</v>
      </c>
      <c r="C9914" t="s">
        <v>88</v>
      </c>
      <c r="D9914" t="s">
        <v>88</v>
      </c>
      <c r="E9914" t="s">
        <v>1594</v>
      </c>
      <c r="F9914" t="s">
        <v>88</v>
      </c>
      <c r="G9914" t="s">
        <v>88</v>
      </c>
      <c r="H9914" t="s">
        <v>92</v>
      </c>
    </row>
    <row r="9915" spans="1:8" x14ac:dyDescent="0.25">
      <c r="A9915" t="s">
        <v>328</v>
      </c>
      <c r="B9915" t="s">
        <v>798</v>
      </c>
      <c r="C9915" t="s">
        <v>88</v>
      </c>
      <c r="D9915" t="s">
        <v>88</v>
      </c>
      <c r="E9915" t="s">
        <v>1594</v>
      </c>
      <c r="F9915" t="s">
        <v>88</v>
      </c>
      <c r="G9915" t="s">
        <v>88</v>
      </c>
      <c r="H9915" t="s">
        <v>92</v>
      </c>
    </row>
    <row r="9916" spans="1:8" x14ac:dyDescent="0.25">
      <c r="A9916" t="s">
        <v>328</v>
      </c>
      <c r="B9916" t="s">
        <v>1906</v>
      </c>
      <c r="C9916" t="s">
        <v>88</v>
      </c>
      <c r="D9916" t="s">
        <v>88</v>
      </c>
      <c r="E9916" t="s">
        <v>1594</v>
      </c>
      <c r="F9916" t="s">
        <v>88</v>
      </c>
      <c r="G9916" t="s">
        <v>88</v>
      </c>
      <c r="H9916" t="s">
        <v>92</v>
      </c>
    </row>
    <row r="9917" spans="1:8" x14ac:dyDescent="0.25">
      <c r="A9917" t="s">
        <v>328</v>
      </c>
      <c r="B9917" t="s">
        <v>1907</v>
      </c>
      <c r="C9917" t="s">
        <v>88</v>
      </c>
      <c r="D9917" t="s">
        <v>88</v>
      </c>
      <c r="E9917" t="s">
        <v>1594</v>
      </c>
      <c r="F9917" t="s">
        <v>88</v>
      </c>
      <c r="G9917" t="s">
        <v>88</v>
      </c>
      <c r="H9917" t="s">
        <v>92</v>
      </c>
    </row>
    <row r="9918" spans="1:8" x14ac:dyDescent="0.25">
      <c r="A9918" t="s">
        <v>328</v>
      </c>
      <c r="B9918" t="s">
        <v>982</v>
      </c>
      <c r="C9918" t="s">
        <v>88</v>
      </c>
      <c r="D9918" t="s">
        <v>88</v>
      </c>
      <c r="E9918" t="s">
        <v>1594</v>
      </c>
      <c r="F9918" t="s">
        <v>88</v>
      </c>
      <c r="G9918" t="s">
        <v>88</v>
      </c>
      <c r="H9918" t="s">
        <v>92</v>
      </c>
    </row>
    <row r="9919" spans="1:8" x14ac:dyDescent="0.25">
      <c r="A9919" t="s">
        <v>328</v>
      </c>
      <c r="B9919" t="s">
        <v>1908</v>
      </c>
      <c r="C9919" t="s">
        <v>88</v>
      </c>
      <c r="D9919" t="s">
        <v>88</v>
      </c>
      <c r="E9919" t="s">
        <v>1594</v>
      </c>
      <c r="F9919" t="s">
        <v>88</v>
      </c>
      <c r="G9919" t="s">
        <v>88</v>
      </c>
      <c r="H9919" t="s">
        <v>92</v>
      </c>
    </row>
    <row r="9920" spans="1:8" x14ac:dyDescent="0.25">
      <c r="A9920" t="s">
        <v>328</v>
      </c>
      <c r="B9920" t="s">
        <v>4134</v>
      </c>
      <c r="C9920" t="s">
        <v>88</v>
      </c>
      <c r="D9920" t="s">
        <v>88</v>
      </c>
      <c r="E9920" t="s">
        <v>1594</v>
      </c>
      <c r="F9920" t="s">
        <v>88</v>
      </c>
      <c r="G9920" t="s">
        <v>88</v>
      </c>
      <c r="H9920" t="s">
        <v>92</v>
      </c>
    </row>
    <row r="9921" spans="1:8" x14ac:dyDescent="0.25">
      <c r="A9921" t="s">
        <v>328</v>
      </c>
      <c r="B9921" t="s">
        <v>625</v>
      </c>
      <c r="C9921" t="s">
        <v>88</v>
      </c>
      <c r="D9921" t="s">
        <v>88</v>
      </c>
      <c r="E9921" t="s">
        <v>626</v>
      </c>
      <c r="F9921" t="s">
        <v>88</v>
      </c>
      <c r="G9921" t="s">
        <v>88</v>
      </c>
      <c r="H9921" t="s">
        <v>92</v>
      </c>
    </row>
    <row r="9922" spans="1:8" x14ac:dyDescent="0.25">
      <c r="A9922" t="s">
        <v>329</v>
      </c>
      <c r="B9922" t="s">
        <v>876</v>
      </c>
      <c r="C9922" t="s">
        <v>88</v>
      </c>
      <c r="D9922" t="s">
        <v>7999</v>
      </c>
      <c r="E9922" t="s">
        <v>762</v>
      </c>
      <c r="F9922" t="s">
        <v>88</v>
      </c>
      <c r="G9922" t="s">
        <v>88</v>
      </c>
      <c r="H9922" t="s">
        <v>92</v>
      </c>
    </row>
    <row r="9923" spans="1:8" x14ac:dyDescent="0.25">
      <c r="A9923" t="s">
        <v>329</v>
      </c>
      <c r="B9923" t="s">
        <v>8000</v>
      </c>
      <c r="C9923" t="s">
        <v>88</v>
      </c>
      <c r="D9923" t="s">
        <v>8001</v>
      </c>
      <c r="E9923" t="s">
        <v>738</v>
      </c>
      <c r="F9923" t="s">
        <v>88</v>
      </c>
      <c r="G9923" t="s">
        <v>88</v>
      </c>
      <c r="H9923" t="s">
        <v>92</v>
      </c>
    </row>
    <row r="9924" spans="1:8" x14ac:dyDescent="0.25">
      <c r="A9924" t="s">
        <v>329</v>
      </c>
      <c r="B9924" t="s">
        <v>897</v>
      </c>
      <c r="C9924" t="s">
        <v>88</v>
      </c>
      <c r="D9924" t="s">
        <v>7999</v>
      </c>
      <c r="E9924" t="s">
        <v>762</v>
      </c>
      <c r="F9924" t="s">
        <v>88</v>
      </c>
      <c r="G9924" t="s">
        <v>88</v>
      </c>
      <c r="H9924" t="s">
        <v>92</v>
      </c>
    </row>
    <row r="9925" spans="1:8" x14ac:dyDescent="0.25">
      <c r="A9925" t="s">
        <v>329</v>
      </c>
      <c r="B9925" t="s">
        <v>8002</v>
      </c>
      <c r="C9925" t="s">
        <v>88</v>
      </c>
      <c r="D9925" t="s">
        <v>7999</v>
      </c>
      <c r="E9925" t="s">
        <v>841</v>
      </c>
      <c r="F9925" t="s">
        <v>88</v>
      </c>
      <c r="G9925" t="s">
        <v>88</v>
      </c>
      <c r="H9925" t="s">
        <v>92</v>
      </c>
    </row>
    <row r="9926" spans="1:8" x14ac:dyDescent="0.25">
      <c r="A9926" t="s">
        <v>329</v>
      </c>
      <c r="B9926" t="s">
        <v>8003</v>
      </c>
      <c r="C9926" t="s">
        <v>88</v>
      </c>
      <c r="D9926" t="s">
        <v>7999</v>
      </c>
      <c r="E9926" t="s">
        <v>1259</v>
      </c>
      <c r="F9926" t="s">
        <v>88</v>
      </c>
      <c r="G9926" t="s">
        <v>88</v>
      </c>
      <c r="H9926" t="s">
        <v>92</v>
      </c>
    </row>
    <row r="9927" spans="1:8" x14ac:dyDescent="0.25">
      <c r="A9927" t="s">
        <v>329</v>
      </c>
      <c r="B9927" t="s">
        <v>876</v>
      </c>
      <c r="C9927" t="s">
        <v>88</v>
      </c>
      <c r="D9927" t="s">
        <v>7999</v>
      </c>
      <c r="E9927" t="s">
        <v>762</v>
      </c>
      <c r="F9927" t="s">
        <v>88</v>
      </c>
      <c r="G9927" t="s">
        <v>88</v>
      </c>
      <c r="H9927" t="s">
        <v>92</v>
      </c>
    </row>
    <row r="9928" spans="1:8" x14ac:dyDescent="0.25">
      <c r="A9928" t="s">
        <v>329</v>
      </c>
      <c r="B9928" t="s">
        <v>8002</v>
      </c>
      <c r="C9928" t="s">
        <v>88</v>
      </c>
      <c r="D9928" t="s">
        <v>7999</v>
      </c>
      <c r="E9928" t="s">
        <v>841</v>
      </c>
      <c r="F9928" t="s">
        <v>88</v>
      </c>
      <c r="G9928" t="s">
        <v>88</v>
      </c>
      <c r="H9928" t="s">
        <v>92</v>
      </c>
    </row>
    <row r="9929" spans="1:8" x14ac:dyDescent="0.25">
      <c r="A9929" t="s">
        <v>329</v>
      </c>
      <c r="B9929" t="s">
        <v>897</v>
      </c>
      <c r="C9929" t="s">
        <v>88</v>
      </c>
      <c r="D9929" t="s">
        <v>7999</v>
      </c>
      <c r="E9929" t="s">
        <v>762</v>
      </c>
      <c r="F9929" t="s">
        <v>88</v>
      </c>
      <c r="G9929" t="s">
        <v>88</v>
      </c>
      <c r="H9929" t="s">
        <v>92</v>
      </c>
    </row>
    <row r="9930" spans="1:8" x14ac:dyDescent="0.25">
      <c r="A9930" t="s">
        <v>329</v>
      </c>
      <c r="B9930" t="s">
        <v>8004</v>
      </c>
      <c r="C9930" t="s">
        <v>88</v>
      </c>
      <c r="D9930" t="s">
        <v>7999</v>
      </c>
      <c r="E9930" t="s">
        <v>841</v>
      </c>
      <c r="F9930" t="s">
        <v>88</v>
      </c>
      <c r="G9930" t="s">
        <v>88</v>
      </c>
      <c r="H9930" t="s">
        <v>92</v>
      </c>
    </row>
    <row r="9931" spans="1:8" x14ac:dyDescent="0.25">
      <c r="A9931" t="s">
        <v>329</v>
      </c>
      <c r="B9931" t="s">
        <v>740</v>
      </c>
      <c r="C9931" t="s">
        <v>88</v>
      </c>
      <c r="D9931" t="s">
        <v>7999</v>
      </c>
      <c r="E9931" t="s">
        <v>748</v>
      </c>
      <c r="F9931" t="s">
        <v>88</v>
      </c>
      <c r="G9931" t="s">
        <v>88</v>
      </c>
      <c r="H9931" t="s">
        <v>92</v>
      </c>
    </row>
    <row r="9932" spans="1:8" x14ac:dyDescent="0.25">
      <c r="A9932" t="s">
        <v>329</v>
      </c>
      <c r="B9932" t="s">
        <v>8003</v>
      </c>
      <c r="C9932" t="s">
        <v>88</v>
      </c>
      <c r="D9932" t="s">
        <v>7999</v>
      </c>
      <c r="E9932" t="s">
        <v>1259</v>
      </c>
      <c r="F9932" t="s">
        <v>88</v>
      </c>
      <c r="G9932" t="s">
        <v>88</v>
      </c>
      <c r="H9932" t="s">
        <v>92</v>
      </c>
    </row>
    <row r="9933" spans="1:8" x14ac:dyDescent="0.25">
      <c r="A9933" t="s">
        <v>329</v>
      </c>
      <c r="B9933" t="s">
        <v>8000</v>
      </c>
      <c r="C9933" t="s">
        <v>88</v>
      </c>
      <c r="D9933" t="s">
        <v>8001</v>
      </c>
      <c r="E9933" t="s">
        <v>738</v>
      </c>
      <c r="F9933" t="s">
        <v>88</v>
      </c>
      <c r="G9933" t="s">
        <v>88</v>
      </c>
      <c r="H9933" t="s">
        <v>92</v>
      </c>
    </row>
    <row r="9934" spans="1:8" x14ac:dyDescent="0.25">
      <c r="A9934" t="s">
        <v>329</v>
      </c>
      <c r="B9934" t="s">
        <v>8005</v>
      </c>
      <c r="C9934" t="s">
        <v>88</v>
      </c>
      <c r="D9934" t="s">
        <v>8001</v>
      </c>
      <c r="E9934" t="s">
        <v>738</v>
      </c>
      <c r="F9934" t="s">
        <v>88</v>
      </c>
      <c r="G9934" t="s">
        <v>88</v>
      </c>
      <c r="H9934" t="s">
        <v>92</v>
      </c>
    </row>
    <row r="9935" spans="1:8" x14ac:dyDescent="0.25">
      <c r="A9935" t="s">
        <v>329</v>
      </c>
      <c r="B9935" t="s">
        <v>8006</v>
      </c>
      <c r="C9935" t="s">
        <v>88</v>
      </c>
      <c r="D9935" t="s">
        <v>8001</v>
      </c>
      <c r="E9935" t="s">
        <v>715</v>
      </c>
      <c r="F9935" t="s">
        <v>88</v>
      </c>
      <c r="G9935" t="s">
        <v>88</v>
      </c>
      <c r="H9935" t="s">
        <v>92</v>
      </c>
    </row>
    <row r="9936" spans="1:8" x14ac:dyDescent="0.25">
      <c r="A9936" t="s">
        <v>329</v>
      </c>
      <c r="B9936" t="s">
        <v>612</v>
      </c>
      <c r="C9936" t="s">
        <v>88</v>
      </c>
      <c r="D9936" t="s">
        <v>88</v>
      </c>
      <c r="E9936" t="s">
        <v>734</v>
      </c>
      <c r="F9936" t="s">
        <v>88</v>
      </c>
      <c r="G9936" t="s">
        <v>88</v>
      </c>
      <c r="H9936" t="s">
        <v>92</v>
      </c>
    </row>
    <row r="9937" spans="1:8" x14ac:dyDescent="0.25">
      <c r="A9937" t="s">
        <v>329</v>
      </c>
      <c r="B9937" t="s">
        <v>6911</v>
      </c>
      <c r="C9937" t="s">
        <v>88</v>
      </c>
      <c r="D9937" t="s">
        <v>88</v>
      </c>
      <c r="E9937" t="s">
        <v>709</v>
      </c>
      <c r="F9937" t="s">
        <v>88</v>
      </c>
      <c r="G9937" t="s">
        <v>88</v>
      </c>
      <c r="H9937" t="s">
        <v>92</v>
      </c>
    </row>
    <row r="9938" spans="1:8" x14ac:dyDescent="0.25">
      <c r="A9938" t="s">
        <v>329</v>
      </c>
      <c r="B9938" t="s">
        <v>8007</v>
      </c>
      <c r="C9938" t="s">
        <v>88</v>
      </c>
      <c r="D9938" t="s">
        <v>88</v>
      </c>
      <c r="E9938" t="s">
        <v>709</v>
      </c>
      <c r="F9938" t="s">
        <v>88</v>
      </c>
      <c r="G9938" t="s">
        <v>88</v>
      </c>
      <c r="H9938" t="s">
        <v>92</v>
      </c>
    </row>
    <row r="9939" spans="1:8" x14ac:dyDescent="0.25">
      <c r="A9939" t="s">
        <v>329</v>
      </c>
      <c r="B9939" t="s">
        <v>846</v>
      </c>
      <c r="C9939" t="s">
        <v>88</v>
      </c>
      <c r="D9939" t="s">
        <v>847</v>
      </c>
      <c r="E9939" t="s">
        <v>709</v>
      </c>
      <c r="F9939" t="s">
        <v>88</v>
      </c>
      <c r="G9939" t="s">
        <v>88</v>
      </c>
      <c r="H9939" t="s">
        <v>92</v>
      </c>
    </row>
    <row r="9940" spans="1:8" x14ac:dyDescent="0.25">
      <c r="A9940" t="s">
        <v>329</v>
      </c>
      <c r="B9940" t="s">
        <v>1821</v>
      </c>
      <c r="C9940" t="s">
        <v>88</v>
      </c>
      <c r="D9940" t="s">
        <v>88</v>
      </c>
      <c r="E9940" t="s">
        <v>848</v>
      </c>
      <c r="F9940" t="s">
        <v>88</v>
      </c>
      <c r="G9940" t="s">
        <v>88</v>
      </c>
      <c r="H9940" t="s">
        <v>92</v>
      </c>
    </row>
    <row r="9941" spans="1:8" x14ac:dyDescent="0.25">
      <c r="A9941" t="s">
        <v>329</v>
      </c>
      <c r="B9941" t="s">
        <v>622</v>
      </c>
      <c r="C9941" t="s">
        <v>88</v>
      </c>
      <c r="D9941" t="s">
        <v>88</v>
      </c>
      <c r="E9941" t="s">
        <v>711</v>
      </c>
      <c r="F9941" t="s">
        <v>88</v>
      </c>
      <c r="G9941" t="s">
        <v>88</v>
      </c>
      <c r="H9941" t="s">
        <v>92</v>
      </c>
    </row>
    <row r="9942" spans="1:8" x14ac:dyDescent="0.25">
      <c r="A9942" t="s">
        <v>329</v>
      </c>
      <c r="B9942" t="s">
        <v>623</v>
      </c>
      <c r="C9942" t="s">
        <v>88</v>
      </c>
      <c r="D9942" t="s">
        <v>88</v>
      </c>
      <c r="E9942" t="s">
        <v>735</v>
      </c>
      <c r="F9942" t="s">
        <v>88</v>
      </c>
      <c r="G9942" t="s">
        <v>88</v>
      </c>
      <c r="H9942" t="s">
        <v>92</v>
      </c>
    </row>
    <row r="9943" spans="1:8" x14ac:dyDescent="0.25">
      <c r="A9943" t="s">
        <v>329</v>
      </c>
      <c r="B9943" t="s">
        <v>625</v>
      </c>
      <c r="C9943" t="s">
        <v>88</v>
      </c>
      <c r="D9943" t="s">
        <v>88</v>
      </c>
      <c r="E9943" t="s">
        <v>626</v>
      </c>
      <c r="F9943" t="s">
        <v>88</v>
      </c>
      <c r="G9943" t="s">
        <v>88</v>
      </c>
      <c r="H9943" t="s">
        <v>92</v>
      </c>
    </row>
    <row r="9944" spans="1:8" x14ac:dyDescent="0.25">
      <c r="A9944" t="s">
        <v>331</v>
      </c>
      <c r="B9944" t="s">
        <v>1656</v>
      </c>
      <c r="C9944" t="s">
        <v>88</v>
      </c>
      <c r="D9944" t="s">
        <v>8008</v>
      </c>
      <c r="E9944" t="s">
        <v>715</v>
      </c>
      <c r="F9944" t="s">
        <v>88</v>
      </c>
      <c r="G9944" t="s">
        <v>88</v>
      </c>
      <c r="H9944" t="s">
        <v>92</v>
      </c>
    </row>
    <row r="9945" spans="1:8" x14ac:dyDescent="0.25">
      <c r="A9945" t="s">
        <v>331</v>
      </c>
      <c r="B9945" t="s">
        <v>771</v>
      </c>
      <c r="C9945" t="s">
        <v>88</v>
      </c>
      <c r="D9945" t="s">
        <v>8009</v>
      </c>
      <c r="E9945" t="s">
        <v>780</v>
      </c>
      <c r="F9945" t="s">
        <v>88</v>
      </c>
      <c r="G9945" t="s">
        <v>88</v>
      </c>
      <c r="H9945" t="s">
        <v>92</v>
      </c>
    </row>
    <row r="9946" spans="1:8" x14ac:dyDescent="0.25">
      <c r="A9946" t="s">
        <v>331</v>
      </c>
      <c r="B9946" t="s">
        <v>8010</v>
      </c>
      <c r="C9946" t="s">
        <v>88</v>
      </c>
      <c r="D9946" t="s">
        <v>8011</v>
      </c>
      <c r="E9946" t="s">
        <v>658</v>
      </c>
      <c r="F9946" t="s">
        <v>88</v>
      </c>
      <c r="G9946" t="s">
        <v>88</v>
      </c>
      <c r="H9946" t="s">
        <v>92</v>
      </c>
    </row>
    <row r="9947" spans="1:8" x14ac:dyDescent="0.25">
      <c r="A9947" t="s">
        <v>331</v>
      </c>
      <c r="B9947" t="s">
        <v>1785</v>
      </c>
      <c r="C9947" t="s">
        <v>88</v>
      </c>
      <c r="D9947" t="s">
        <v>8009</v>
      </c>
      <c r="E9947" t="s">
        <v>679</v>
      </c>
      <c r="F9947" t="s">
        <v>88</v>
      </c>
      <c r="G9947" t="s">
        <v>88</v>
      </c>
      <c r="H9947" t="s">
        <v>92</v>
      </c>
    </row>
    <row r="9948" spans="1:8" x14ac:dyDescent="0.25">
      <c r="A9948" t="s">
        <v>331</v>
      </c>
      <c r="B9948" t="s">
        <v>8012</v>
      </c>
      <c r="C9948" t="s">
        <v>88</v>
      </c>
      <c r="D9948" t="s">
        <v>8008</v>
      </c>
      <c r="E9948" t="s">
        <v>715</v>
      </c>
      <c r="F9948" t="s">
        <v>88</v>
      </c>
      <c r="G9948" t="s">
        <v>88</v>
      </c>
      <c r="H9948" t="s">
        <v>92</v>
      </c>
    </row>
    <row r="9949" spans="1:8" x14ac:dyDescent="0.25">
      <c r="A9949" t="s">
        <v>331</v>
      </c>
      <c r="B9949" t="s">
        <v>8013</v>
      </c>
      <c r="C9949" t="s">
        <v>88</v>
      </c>
      <c r="D9949" t="s">
        <v>8014</v>
      </c>
      <c r="E9949" t="s">
        <v>762</v>
      </c>
      <c r="F9949" t="s">
        <v>88</v>
      </c>
      <c r="G9949" t="s">
        <v>88</v>
      </c>
      <c r="H9949" t="s">
        <v>92</v>
      </c>
    </row>
    <row r="9950" spans="1:8" x14ac:dyDescent="0.25">
      <c r="A9950" t="s">
        <v>331</v>
      </c>
      <c r="B9950" t="s">
        <v>8015</v>
      </c>
      <c r="C9950" t="s">
        <v>88</v>
      </c>
      <c r="D9950" t="s">
        <v>8016</v>
      </c>
      <c r="E9950" t="s">
        <v>886</v>
      </c>
      <c r="F9950" t="s">
        <v>88</v>
      </c>
      <c r="G9950" t="s">
        <v>88</v>
      </c>
      <c r="H9950" t="s">
        <v>92</v>
      </c>
    </row>
    <row r="9951" spans="1:8" x14ac:dyDescent="0.25">
      <c r="A9951" t="s">
        <v>331</v>
      </c>
      <c r="B9951" t="s">
        <v>8017</v>
      </c>
      <c r="C9951" t="s">
        <v>88</v>
      </c>
      <c r="D9951" t="s">
        <v>8018</v>
      </c>
      <c r="E9951" t="s">
        <v>1714</v>
      </c>
      <c r="F9951" t="s">
        <v>88</v>
      </c>
      <c r="G9951" t="s">
        <v>88</v>
      </c>
      <c r="H9951" t="s">
        <v>92</v>
      </c>
    </row>
    <row r="9952" spans="1:8" x14ac:dyDescent="0.25">
      <c r="A9952" t="s">
        <v>331</v>
      </c>
      <c r="B9952" t="s">
        <v>4002</v>
      </c>
      <c r="C9952" t="s">
        <v>88</v>
      </c>
      <c r="D9952" t="s">
        <v>8019</v>
      </c>
      <c r="E9952" t="s">
        <v>663</v>
      </c>
      <c r="F9952" t="s">
        <v>88</v>
      </c>
      <c r="G9952" t="s">
        <v>88</v>
      </c>
      <c r="H9952" t="s">
        <v>92</v>
      </c>
    </row>
    <row r="9953" spans="1:8" x14ac:dyDescent="0.25">
      <c r="A9953" t="s">
        <v>331</v>
      </c>
      <c r="B9953" t="s">
        <v>2051</v>
      </c>
      <c r="C9953" t="s">
        <v>88</v>
      </c>
      <c r="D9953" t="s">
        <v>8020</v>
      </c>
      <c r="E9953" t="s">
        <v>658</v>
      </c>
      <c r="F9953" t="s">
        <v>88</v>
      </c>
      <c r="G9953" t="s">
        <v>88</v>
      </c>
      <c r="H9953" t="s">
        <v>92</v>
      </c>
    </row>
    <row r="9954" spans="1:8" x14ac:dyDescent="0.25">
      <c r="A9954" t="s">
        <v>331</v>
      </c>
      <c r="B9954" t="s">
        <v>2049</v>
      </c>
      <c r="C9954" t="s">
        <v>88</v>
      </c>
      <c r="D9954" t="s">
        <v>8021</v>
      </c>
      <c r="E9954" t="s">
        <v>700</v>
      </c>
      <c r="F9954" t="s">
        <v>88</v>
      </c>
      <c r="G9954" t="s">
        <v>88</v>
      </c>
      <c r="H9954" t="s">
        <v>92</v>
      </c>
    </row>
    <row r="9955" spans="1:8" x14ac:dyDescent="0.25">
      <c r="A9955" t="s">
        <v>331</v>
      </c>
      <c r="B9955" t="s">
        <v>8010</v>
      </c>
      <c r="C9955" t="s">
        <v>88</v>
      </c>
      <c r="D9955" t="s">
        <v>8011</v>
      </c>
      <c r="E9955" t="s">
        <v>658</v>
      </c>
      <c r="F9955" t="s">
        <v>88</v>
      </c>
      <c r="G9955" t="s">
        <v>88</v>
      </c>
      <c r="H9955" t="s">
        <v>92</v>
      </c>
    </row>
    <row r="9956" spans="1:8" x14ac:dyDescent="0.25">
      <c r="A9956" t="s">
        <v>331</v>
      </c>
      <c r="B9956" t="s">
        <v>4183</v>
      </c>
      <c r="C9956" t="s">
        <v>88</v>
      </c>
      <c r="D9956" t="s">
        <v>8022</v>
      </c>
      <c r="E9956" t="s">
        <v>780</v>
      </c>
      <c r="F9956" t="s">
        <v>88</v>
      </c>
      <c r="G9956" t="s">
        <v>88</v>
      </c>
      <c r="H9956" t="s">
        <v>92</v>
      </c>
    </row>
    <row r="9957" spans="1:8" x14ac:dyDescent="0.25">
      <c r="A9957" t="s">
        <v>331</v>
      </c>
      <c r="B9957" t="s">
        <v>1785</v>
      </c>
      <c r="C9957" t="s">
        <v>88</v>
      </c>
      <c r="D9957" t="s">
        <v>8009</v>
      </c>
      <c r="E9957" t="s">
        <v>679</v>
      </c>
      <c r="F9957" t="s">
        <v>88</v>
      </c>
      <c r="G9957" t="s">
        <v>88</v>
      </c>
      <c r="H9957" t="s">
        <v>92</v>
      </c>
    </row>
    <row r="9958" spans="1:8" x14ac:dyDescent="0.25">
      <c r="A9958" t="s">
        <v>331</v>
      </c>
      <c r="B9958" t="s">
        <v>8023</v>
      </c>
      <c r="C9958" t="s">
        <v>88</v>
      </c>
      <c r="D9958" t="s">
        <v>8009</v>
      </c>
      <c r="E9958" t="s">
        <v>700</v>
      </c>
      <c r="F9958" t="s">
        <v>88</v>
      </c>
      <c r="G9958" t="s">
        <v>88</v>
      </c>
      <c r="H9958" t="s">
        <v>92</v>
      </c>
    </row>
    <row r="9959" spans="1:8" x14ac:dyDescent="0.25">
      <c r="A9959" t="s">
        <v>331</v>
      </c>
      <c r="B9959" t="s">
        <v>2435</v>
      </c>
      <c r="C9959" t="s">
        <v>88</v>
      </c>
      <c r="D9959" t="s">
        <v>8009</v>
      </c>
      <c r="E9959" t="s">
        <v>679</v>
      </c>
      <c r="F9959" t="s">
        <v>88</v>
      </c>
      <c r="G9959" t="s">
        <v>88</v>
      </c>
      <c r="H9959" t="s">
        <v>92</v>
      </c>
    </row>
    <row r="9960" spans="1:8" x14ac:dyDescent="0.25">
      <c r="A9960" t="s">
        <v>331</v>
      </c>
      <c r="B9960" t="s">
        <v>1790</v>
      </c>
      <c r="C9960" t="s">
        <v>88</v>
      </c>
      <c r="D9960" t="s">
        <v>8024</v>
      </c>
      <c r="E9960" t="s">
        <v>663</v>
      </c>
      <c r="F9960" t="s">
        <v>88</v>
      </c>
      <c r="G9960" t="s">
        <v>88</v>
      </c>
      <c r="H9960" t="s">
        <v>92</v>
      </c>
    </row>
    <row r="9961" spans="1:8" x14ac:dyDescent="0.25">
      <c r="A9961" t="s">
        <v>331</v>
      </c>
      <c r="B9961" t="s">
        <v>771</v>
      </c>
      <c r="C9961" t="s">
        <v>88</v>
      </c>
      <c r="D9961" t="s">
        <v>8009</v>
      </c>
      <c r="E9961" t="s">
        <v>780</v>
      </c>
      <c r="F9961" t="s">
        <v>88</v>
      </c>
      <c r="G9961" t="s">
        <v>88</v>
      </c>
      <c r="H9961" t="s">
        <v>92</v>
      </c>
    </row>
    <row r="9962" spans="1:8" x14ac:dyDescent="0.25">
      <c r="A9962" t="s">
        <v>331</v>
      </c>
      <c r="B9962" t="s">
        <v>2434</v>
      </c>
      <c r="C9962" t="s">
        <v>88</v>
      </c>
      <c r="D9962" t="s">
        <v>8009</v>
      </c>
      <c r="E9962" t="s">
        <v>780</v>
      </c>
      <c r="F9962" t="s">
        <v>88</v>
      </c>
      <c r="G9962" t="s">
        <v>88</v>
      </c>
      <c r="H9962" t="s">
        <v>92</v>
      </c>
    </row>
    <row r="9963" spans="1:8" x14ac:dyDescent="0.25">
      <c r="A9963" t="s">
        <v>331</v>
      </c>
      <c r="B9963" t="s">
        <v>8012</v>
      </c>
      <c r="C9963" t="s">
        <v>88</v>
      </c>
      <c r="D9963" t="s">
        <v>8008</v>
      </c>
      <c r="E9963" t="s">
        <v>715</v>
      </c>
      <c r="F9963" t="s">
        <v>88</v>
      </c>
      <c r="G9963" t="s">
        <v>88</v>
      </c>
      <c r="H9963" t="s">
        <v>92</v>
      </c>
    </row>
    <row r="9964" spans="1:8" x14ac:dyDescent="0.25">
      <c r="A9964" t="s">
        <v>331</v>
      </c>
      <c r="B9964" t="s">
        <v>1668</v>
      </c>
      <c r="C9964" t="s">
        <v>88</v>
      </c>
      <c r="D9964" t="s">
        <v>8025</v>
      </c>
      <c r="E9964" t="s">
        <v>700</v>
      </c>
      <c r="F9964" t="s">
        <v>88</v>
      </c>
      <c r="G9964" t="s">
        <v>88</v>
      </c>
      <c r="H9964" t="s">
        <v>92</v>
      </c>
    </row>
    <row r="9965" spans="1:8" x14ac:dyDescent="0.25">
      <c r="A9965" t="s">
        <v>331</v>
      </c>
      <c r="B9965" t="s">
        <v>8026</v>
      </c>
      <c r="C9965" t="s">
        <v>88</v>
      </c>
      <c r="D9965" t="s">
        <v>8008</v>
      </c>
      <c r="E9965" t="s">
        <v>663</v>
      </c>
      <c r="F9965" t="s">
        <v>88</v>
      </c>
      <c r="G9965" t="s">
        <v>88</v>
      </c>
      <c r="H9965" t="s">
        <v>92</v>
      </c>
    </row>
    <row r="9966" spans="1:8" x14ac:dyDescent="0.25">
      <c r="A9966" t="s">
        <v>331</v>
      </c>
      <c r="B9966" t="s">
        <v>8027</v>
      </c>
      <c r="C9966" t="s">
        <v>88</v>
      </c>
      <c r="D9966" t="s">
        <v>8008</v>
      </c>
      <c r="E9966" t="s">
        <v>748</v>
      </c>
      <c r="F9966" t="s">
        <v>88</v>
      </c>
      <c r="G9966" t="s">
        <v>88</v>
      </c>
      <c r="H9966" t="s">
        <v>92</v>
      </c>
    </row>
    <row r="9967" spans="1:8" x14ac:dyDescent="0.25">
      <c r="A9967" t="s">
        <v>331</v>
      </c>
      <c r="B9967" t="s">
        <v>7967</v>
      </c>
      <c r="C9967" t="s">
        <v>88</v>
      </c>
      <c r="D9967" t="s">
        <v>8008</v>
      </c>
      <c r="E9967" t="s">
        <v>780</v>
      </c>
      <c r="F9967" t="s">
        <v>88</v>
      </c>
      <c r="G9967" t="s">
        <v>88</v>
      </c>
      <c r="H9967" t="s">
        <v>92</v>
      </c>
    </row>
    <row r="9968" spans="1:8" x14ac:dyDescent="0.25">
      <c r="A9968" t="s">
        <v>331</v>
      </c>
      <c r="B9968" t="s">
        <v>1656</v>
      </c>
      <c r="C9968" t="s">
        <v>88</v>
      </c>
      <c r="D9968" t="s">
        <v>8008</v>
      </c>
      <c r="E9968" t="s">
        <v>715</v>
      </c>
      <c r="F9968" t="s">
        <v>88</v>
      </c>
      <c r="G9968" t="s">
        <v>88</v>
      </c>
      <c r="H9968" t="s">
        <v>92</v>
      </c>
    </row>
    <row r="9969" spans="1:8" x14ac:dyDescent="0.25">
      <c r="A9969" t="s">
        <v>331</v>
      </c>
      <c r="B9969" t="s">
        <v>8028</v>
      </c>
      <c r="C9969" t="s">
        <v>88</v>
      </c>
      <c r="D9969" t="s">
        <v>8029</v>
      </c>
      <c r="E9969" t="s">
        <v>655</v>
      </c>
      <c r="F9969" t="s">
        <v>88</v>
      </c>
      <c r="G9969" t="s">
        <v>88</v>
      </c>
      <c r="H9969" t="s">
        <v>92</v>
      </c>
    </row>
    <row r="9970" spans="1:8" x14ac:dyDescent="0.25">
      <c r="A9970" t="s">
        <v>331</v>
      </c>
      <c r="B9970" t="s">
        <v>2210</v>
      </c>
      <c r="C9970" t="s">
        <v>88</v>
      </c>
      <c r="D9970" t="s">
        <v>88</v>
      </c>
      <c r="E9970" t="s">
        <v>702</v>
      </c>
      <c r="F9970" t="s">
        <v>88</v>
      </c>
      <c r="G9970" t="s">
        <v>88</v>
      </c>
      <c r="H9970" t="s">
        <v>92</v>
      </c>
    </row>
    <row r="9971" spans="1:8" x14ac:dyDescent="0.25">
      <c r="A9971" t="s">
        <v>331</v>
      </c>
      <c r="B9971" t="s">
        <v>608</v>
      </c>
      <c r="C9971" t="s">
        <v>88</v>
      </c>
      <c r="D9971" t="s">
        <v>88</v>
      </c>
      <c r="E9971" t="s">
        <v>715</v>
      </c>
      <c r="F9971" t="s">
        <v>88</v>
      </c>
      <c r="G9971" t="s">
        <v>88</v>
      </c>
      <c r="H9971" t="s">
        <v>92</v>
      </c>
    </row>
    <row r="9972" spans="1:8" x14ac:dyDescent="0.25">
      <c r="A9972" t="s">
        <v>331</v>
      </c>
      <c r="B9972" t="s">
        <v>1072</v>
      </c>
      <c r="C9972" t="s">
        <v>88</v>
      </c>
      <c r="D9972" t="s">
        <v>88</v>
      </c>
      <c r="E9972" t="s">
        <v>734</v>
      </c>
      <c r="F9972" t="s">
        <v>88</v>
      </c>
      <c r="G9972" t="s">
        <v>88</v>
      </c>
      <c r="H9972" t="s">
        <v>92</v>
      </c>
    </row>
    <row r="9973" spans="1:8" x14ac:dyDescent="0.25">
      <c r="A9973" t="s">
        <v>331</v>
      </c>
      <c r="B9973" t="s">
        <v>701</v>
      </c>
      <c r="C9973" t="s">
        <v>88</v>
      </c>
      <c r="D9973" t="s">
        <v>88</v>
      </c>
      <c r="E9973" t="s">
        <v>734</v>
      </c>
      <c r="F9973" t="s">
        <v>88</v>
      </c>
      <c r="G9973" t="s">
        <v>88</v>
      </c>
      <c r="H9973" t="s">
        <v>92</v>
      </c>
    </row>
    <row r="9974" spans="1:8" x14ac:dyDescent="0.25">
      <c r="A9974" t="s">
        <v>331</v>
      </c>
      <c r="B9974" t="s">
        <v>952</v>
      </c>
      <c r="C9974" t="s">
        <v>88</v>
      </c>
      <c r="D9974" t="s">
        <v>88</v>
      </c>
      <c r="E9974" t="s">
        <v>710</v>
      </c>
      <c r="F9974" t="s">
        <v>88</v>
      </c>
      <c r="G9974" t="s">
        <v>88</v>
      </c>
      <c r="H9974" t="s">
        <v>92</v>
      </c>
    </row>
    <row r="9975" spans="1:8" x14ac:dyDescent="0.25">
      <c r="A9975" t="s">
        <v>331</v>
      </c>
      <c r="B9975" t="s">
        <v>612</v>
      </c>
      <c r="C9975" t="s">
        <v>88</v>
      </c>
      <c r="D9975" t="s">
        <v>88</v>
      </c>
      <c r="E9975" t="s">
        <v>734</v>
      </c>
      <c r="F9975" t="s">
        <v>88</v>
      </c>
      <c r="G9975" t="s">
        <v>88</v>
      </c>
      <c r="H9975" t="s">
        <v>92</v>
      </c>
    </row>
    <row r="9976" spans="1:8" x14ac:dyDescent="0.25">
      <c r="A9976" t="s">
        <v>331</v>
      </c>
      <c r="B9976" t="s">
        <v>1815</v>
      </c>
      <c r="C9976" t="s">
        <v>88</v>
      </c>
      <c r="D9976" t="s">
        <v>88</v>
      </c>
      <c r="E9976" t="s">
        <v>710</v>
      </c>
      <c r="F9976" t="s">
        <v>88</v>
      </c>
      <c r="G9976" t="s">
        <v>88</v>
      </c>
      <c r="H9976" t="s">
        <v>92</v>
      </c>
    </row>
    <row r="9977" spans="1:8" x14ac:dyDescent="0.25">
      <c r="A9977" t="s">
        <v>331</v>
      </c>
      <c r="B9977" t="s">
        <v>705</v>
      </c>
      <c r="C9977" t="s">
        <v>88</v>
      </c>
      <c r="D9977" t="s">
        <v>88</v>
      </c>
      <c r="E9977" t="s">
        <v>734</v>
      </c>
      <c r="F9977" t="s">
        <v>88</v>
      </c>
      <c r="G9977" t="s">
        <v>88</v>
      </c>
      <c r="H9977" t="s">
        <v>92</v>
      </c>
    </row>
    <row r="9978" spans="1:8" x14ac:dyDescent="0.25">
      <c r="A9978" t="s">
        <v>331</v>
      </c>
      <c r="B9978" t="s">
        <v>706</v>
      </c>
      <c r="C9978" t="s">
        <v>88</v>
      </c>
      <c r="D9978" t="s">
        <v>88</v>
      </c>
      <c r="E9978" t="s">
        <v>734</v>
      </c>
      <c r="F9978" t="s">
        <v>88</v>
      </c>
      <c r="G9978" t="s">
        <v>88</v>
      </c>
      <c r="H9978" t="s">
        <v>92</v>
      </c>
    </row>
    <row r="9979" spans="1:8" x14ac:dyDescent="0.25">
      <c r="A9979" t="s">
        <v>331</v>
      </c>
      <c r="B9979" t="s">
        <v>954</v>
      </c>
      <c r="C9979" t="s">
        <v>88</v>
      </c>
      <c r="D9979" t="s">
        <v>88</v>
      </c>
      <c r="E9979" t="s">
        <v>710</v>
      </c>
      <c r="F9979" t="s">
        <v>88</v>
      </c>
      <c r="G9979" t="s">
        <v>88</v>
      </c>
      <c r="H9979" t="s">
        <v>92</v>
      </c>
    </row>
    <row r="9980" spans="1:8" x14ac:dyDescent="0.25">
      <c r="A9980" t="s">
        <v>331</v>
      </c>
      <c r="B9980" t="s">
        <v>707</v>
      </c>
      <c r="C9980" t="s">
        <v>88</v>
      </c>
      <c r="D9980" t="s">
        <v>88</v>
      </c>
      <c r="E9980" t="s">
        <v>734</v>
      </c>
      <c r="F9980" t="s">
        <v>88</v>
      </c>
      <c r="G9980" t="s">
        <v>88</v>
      </c>
      <c r="H9980" t="s">
        <v>92</v>
      </c>
    </row>
    <row r="9981" spans="1:8" x14ac:dyDescent="0.25">
      <c r="A9981" t="s">
        <v>331</v>
      </c>
      <c r="B9981" t="s">
        <v>708</v>
      </c>
      <c r="C9981" t="s">
        <v>88</v>
      </c>
      <c r="D9981" t="s">
        <v>88</v>
      </c>
      <c r="E9981" t="s">
        <v>734</v>
      </c>
      <c r="F9981" t="s">
        <v>88</v>
      </c>
      <c r="G9981" t="s">
        <v>88</v>
      </c>
      <c r="H9981" t="s">
        <v>92</v>
      </c>
    </row>
    <row r="9982" spans="1:8" x14ac:dyDescent="0.25">
      <c r="A9982" t="s">
        <v>331</v>
      </c>
      <c r="B9982" t="s">
        <v>846</v>
      </c>
      <c r="C9982" t="s">
        <v>88</v>
      </c>
      <c r="D9982" t="s">
        <v>88</v>
      </c>
      <c r="E9982" t="s">
        <v>710</v>
      </c>
      <c r="F9982" t="s">
        <v>88</v>
      </c>
      <c r="G9982" t="s">
        <v>88</v>
      </c>
      <c r="H9982" t="s">
        <v>92</v>
      </c>
    </row>
    <row r="9983" spans="1:8" x14ac:dyDescent="0.25">
      <c r="A9983" t="s">
        <v>331</v>
      </c>
      <c r="B9983" t="s">
        <v>8030</v>
      </c>
      <c r="C9983" t="s">
        <v>88</v>
      </c>
      <c r="D9983" t="s">
        <v>88</v>
      </c>
      <c r="E9983" t="s">
        <v>711</v>
      </c>
      <c r="F9983" t="s">
        <v>88</v>
      </c>
      <c r="G9983" t="s">
        <v>88</v>
      </c>
      <c r="H9983" t="s">
        <v>92</v>
      </c>
    </row>
    <row r="9984" spans="1:8" x14ac:dyDescent="0.25">
      <c r="A9984" t="s">
        <v>331</v>
      </c>
      <c r="B9984" t="s">
        <v>618</v>
      </c>
      <c r="C9984" t="s">
        <v>88</v>
      </c>
      <c r="D9984" t="s">
        <v>88</v>
      </c>
      <c r="E9984" t="s">
        <v>710</v>
      </c>
      <c r="F9984" t="s">
        <v>88</v>
      </c>
      <c r="G9984" t="s">
        <v>88</v>
      </c>
      <c r="H9984" t="s">
        <v>92</v>
      </c>
    </row>
    <row r="9985" spans="1:8" x14ac:dyDescent="0.25">
      <c r="A9985" t="s">
        <v>331</v>
      </c>
      <c r="B9985" t="s">
        <v>797</v>
      </c>
      <c r="C9985" t="s">
        <v>88</v>
      </c>
      <c r="D9985" t="s">
        <v>88</v>
      </c>
      <c r="E9985" t="s">
        <v>711</v>
      </c>
      <c r="F9985" t="s">
        <v>88</v>
      </c>
      <c r="G9985" t="s">
        <v>88</v>
      </c>
      <c r="H9985" t="s">
        <v>92</v>
      </c>
    </row>
    <row r="9986" spans="1:8" x14ac:dyDescent="0.25">
      <c r="A9986" t="s">
        <v>331</v>
      </c>
      <c r="B9986" t="s">
        <v>622</v>
      </c>
      <c r="C9986" t="s">
        <v>88</v>
      </c>
      <c r="D9986" t="s">
        <v>88</v>
      </c>
      <c r="E9986" t="s">
        <v>735</v>
      </c>
      <c r="F9986" t="s">
        <v>88</v>
      </c>
      <c r="G9986" t="s">
        <v>88</v>
      </c>
      <c r="H9986" t="s">
        <v>92</v>
      </c>
    </row>
    <row r="9987" spans="1:8" x14ac:dyDescent="0.25">
      <c r="A9987" t="s">
        <v>331</v>
      </c>
      <c r="B9987" t="s">
        <v>623</v>
      </c>
      <c r="C9987" t="s">
        <v>88</v>
      </c>
      <c r="D9987" t="s">
        <v>88</v>
      </c>
      <c r="E9987" t="s">
        <v>735</v>
      </c>
      <c r="F9987" t="s">
        <v>88</v>
      </c>
      <c r="G9987" t="s">
        <v>88</v>
      </c>
      <c r="H9987" t="s">
        <v>92</v>
      </c>
    </row>
    <row r="9988" spans="1:8" x14ac:dyDescent="0.25">
      <c r="A9988" t="s">
        <v>331</v>
      </c>
      <c r="B9988" t="s">
        <v>714</v>
      </c>
      <c r="C9988" t="s">
        <v>88</v>
      </c>
      <c r="D9988" t="s">
        <v>88</v>
      </c>
      <c r="E9988" t="s">
        <v>702</v>
      </c>
      <c r="F9988" t="s">
        <v>88</v>
      </c>
      <c r="G9988" t="s">
        <v>88</v>
      </c>
      <c r="H9988" t="s">
        <v>92</v>
      </c>
    </row>
    <row r="9989" spans="1:8" x14ac:dyDescent="0.25">
      <c r="A9989" t="s">
        <v>331</v>
      </c>
      <c r="B9989" t="s">
        <v>798</v>
      </c>
      <c r="C9989" t="s">
        <v>88</v>
      </c>
      <c r="D9989" t="s">
        <v>88</v>
      </c>
      <c r="E9989" t="s">
        <v>702</v>
      </c>
      <c r="F9989" t="s">
        <v>88</v>
      </c>
      <c r="G9989" t="s">
        <v>88</v>
      </c>
      <c r="H9989" t="s">
        <v>92</v>
      </c>
    </row>
    <row r="9990" spans="1:8" x14ac:dyDescent="0.25">
      <c r="A9990" t="s">
        <v>331</v>
      </c>
      <c r="B9990" t="s">
        <v>998</v>
      </c>
      <c r="C9990" t="s">
        <v>88</v>
      </c>
      <c r="D9990" t="s">
        <v>88</v>
      </c>
      <c r="E9990" t="s">
        <v>702</v>
      </c>
      <c r="F9990" t="s">
        <v>88</v>
      </c>
      <c r="G9990" t="s">
        <v>88</v>
      </c>
      <c r="H9990" t="s">
        <v>92</v>
      </c>
    </row>
    <row r="9991" spans="1:8" x14ac:dyDescent="0.25">
      <c r="A9991" t="s">
        <v>331</v>
      </c>
      <c r="B9991" t="s">
        <v>1989</v>
      </c>
      <c r="C9991" t="s">
        <v>88</v>
      </c>
      <c r="D9991" t="s">
        <v>88</v>
      </c>
      <c r="E9991" t="s">
        <v>715</v>
      </c>
      <c r="F9991" t="s">
        <v>88</v>
      </c>
      <c r="G9991" t="s">
        <v>88</v>
      </c>
      <c r="H9991" t="s">
        <v>92</v>
      </c>
    </row>
    <row r="9992" spans="1:8" x14ac:dyDescent="0.25">
      <c r="A9992" t="s">
        <v>331</v>
      </c>
      <c r="B9992" t="s">
        <v>1990</v>
      </c>
      <c r="C9992" t="s">
        <v>88</v>
      </c>
      <c r="D9992" t="s">
        <v>88</v>
      </c>
      <c r="E9992" t="s">
        <v>715</v>
      </c>
      <c r="F9992" t="s">
        <v>88</v>
      </c>
      <c r="G9992" t="s">
        <v>88</v>
      </c>
      <c r="H9992" t="s">
        <v>92</v>
      </c>
    </row>
    <row r="9993" spans="1:8" x14ac:dyDescent="0.25">
      <c r="A9993" t="s">
        <v>331</v>
      </c>
      <c r="B9993" t="s">
        <v>8031</v>
      </c>
      <c r="C9993" t="s">
        <v>88</v>
      </c>
      <c r="D9993" t="s">
        <v>8032</v>
      </c>
      <c r="E9993" t="s">
        <v>1068</v>
      </c>
      <c r="F9993" t="s">
        <v>88</v>
      </c>
      <c r="G9993" t="s">
        <v>88</v>
      </c>
      <c r="H9993" t="s">
        <v>92</v>
      </c>
    </row>
    <row r="9994" spans="1:8" x14ac:dyDescent="0.25">
      <c r="A9994" t="s">
        <v>331</v>
      </c>
      <c r="B9994" t="s">
        <v>625</v>
      </c>
      <c r="C9994" t="s">
        <v>88</v>
      </c>
      <c r="D9994" t="s">
        <v>88</v>
      </c>
      <c r="E9994" t="s">
        <v>626</v>
      </c>
      <c r="F9994" t="s">
        <v>88</v>
      </c>
      <c r="G9994" t="s">
        <v>88</v>
      </c>
      <c r="H9994" t="s">
        <v>92</v>
      </c>
    </row>
    <row r="9995" spans="1:8" x14ac:dyDescent="0.25">
      <c r="A9995" t="s">
        <v>332</v>
      </c>
      <c r="B9995" t="s">
        <v>8033</v>
      </c>
      <c r="C9995" t="s">
        <v>88</v>
      </c>
      <c r="D9995" t="s">
        <v>8034</v>
      </c>
      <c r="E9995" t="s">
        <v>641</v>
      </c>
      <c r="F9995" t="s">
        <v>88</v>
      </c>
      <c r="G9995" t="s">
        <v>88</v>
      </c>
      <c r="H9995" t="s">
        <v>92</v>
      </c>
    </row>
    <row r="9996" spans="1:8" x14ac:dyDescent="0.25">
      <c r="A9996" t="s">
        <v>332</v>
      </c>
      <c r="B9996" t="s">
        <v>8035</v>
      </c>
      <c r="C9996" t="s">
        <v>88</v>
      </c>
      <c r="D9996" t="s">
        <v>8036</v>
      </c>
      <c r="E9996" t="s">
        <v>1353</v>
      </c>
      <c r="F9996" t="s">
        <v>88</v>
      </c>
      <c r="G9996" t="s">
        <v>88</v>
      </c>
      <c r="H9996" t="s">
        <v>92</v>
      </c>
    </row>
    <row r="9997" spans="1:8" x14ac:dyDescent="0.25">
      <c r="A9997" t="s">
        <v>332</v>
      </c>
      <c r="B9997" t="s">
        <v>8037</v>
      </c>
      <c r="C9997" t="s">
        <v>88</v>
      </c>
      <c r="D9997" t="s">
        <v>8038</v>
      </c>
      <c r="E9997" t="s">
        <v>820</v>
      </c>
      <c r="F9997" t="s">
        <v>88</v>
      </c>
      <c r="G9997" t="s">
        <v>88</v>
      </c>
      <c r="H9997" t="s">
        <v>92</v>
      </c>
    </row>
    <row r="9998" spans="1:8" x14ac:dyDescent="0.25">
      <c r="A9998" t="s">
        <v>332</v>
      </c>
      <c r="B9998" t="s">
        <v>8039</v>
      </c>
      <c r="C9998" t="s">
        <v>88</v>
      </c>
      <c r="D9998" t="s">
        <v>8040</v>
      </c>
      <c r="E9998" t="s">
        <v>8041</v>
      </c>
      <c r="F9998" t="s">
        <v>88</v>
      </c>
      <c r="G9998" t="s">
        <v>88</v>
      </c>
      <c r="H9998" t="s">
        <v>92</v>
      </c>
    </row>
    <row r="9999" spans="1:8" x14ac:dyDescent="0.25">
      <c r="A9999" t="s">
        <v>332</v>
      </c>
      <c r="B9999" t="s">
        <v>8042</v>
      </c>
      <c r="C9999" t="s">
        <v>88</v>
      </c>
      <c r="D9999" t="s">
        <v>88</v>
      </c>
      <c r="E9999" t="s">
        <v>734</v>
      </c>
      <c r="F9999" t="s">
        <v>88</v>
      </c>
      <c r="G9999" t="s">
        <v>88</v>
      </c>
      <c r="H9999" t="s">
        <v>92</v>
      </c>
    </row>
    <row r="10000" spans="1:8" x14ac:dyDescent="0.25">
      <c r="A10000" t="s">
        <v>332</v>
      </c>
      <c r="B10000" t="s">
        <v>8043</v>
      </c>
      <c r="C10000" t="s">
        <v>88</v>
      </c>
      <c r="D10000" t="s">
        <v>88</v>
      </c>
      <c r="E10000" t="s">
        <v>1594</v>
      </c>
      <c r="F10000" t="s">
        <v>88</v>
      </c>
      <c r="G10000" t="s">
        <v>88</v>
      </c>
      <c r="H10000" t="s">
        <v>92</v>
      </c>
    </row>
    <row r="10001" spans="1:8" x14ac:dyDescent="0.25">
      <c r="A10001" t="s">
        <v>332</v>
      </c>
      <c r="B10001" t="s">
        <v>8044</v>
      </c>
      <c r="C10001" t="s">
        <v>88</v>
      </c>
      <c r="D10001" t="s">
        <v>88</v>
      </c>
      <c r="E10001" t="s">
        <v>663</v>
      </c>
      <c r="F10001" t="s">
        <v>88</v>
      </c>
      <c r="G10001" t="s">
        <v>88</v>
      </c>
      <c r="H10001" t="s">
        <v>92</v>
      </c>
    </row>
    <row r="10002" spans="1:8" x14ac:dyDescent="0.25">
      <c r="A10002" t="s">
        <v>332</v>
      </c>
      <c r="B10002" t="s">
        <v>8045</v>
      </c>
      <c r="C10002" t="s">
        <v>88</v>
      </c>
      <c r="D10002" t="s">
        <v>88</v>
      </c>
      <c r="E10002" t="s">
        <v>6650</v>
      </c>
      <c r="F10002" t="s">
        <v>88</v>
      </c>
      <c r="G10002" t="s">
        <v>88</v>
      </c>
      <c r="H10002" t="s">
        <v>92</v>
      </c>
    </row>
    <row r="10003" spans="1:8" x14ac:dyDescent="0.25">
      <c r="A10003" t="s">
        <v>332</v>
      </c>
      <c r="B10003" t="s">
        <v>8046</v>
      </c>
      <c r="C10003" t="s">
        <v>88</v>
      </c>
      <c r="D10003" t="s">
        <v>88</v>
      </c>
      <c r="E10003" t="s">
        <v>2662</v>
      </c>
      <c r="F10003" t="s">
        <v>88</v>
      </c>
      <c r="G10003" t="s">
        <v>88</v>
      </c>
      <c r="H10003" t="s">
        <v>92</v>
      </c>
    </row>
    <row r="10004" spans="1:8" x14ac:dyDescent="0.25">
      <c r="A10004" t="s">
        <v>332</v>
      </c>
      <c r="B10004" t="s">
        <v>8047</v>
      </c>
      <c r="C10004" t="s">
        <v>88</v>
      </c>
      <c r="D10004" t="s">
        <v>88</v>
      </c>
      <c r="E10004" t="s">
        <v>1971</v>
      </c>
      <c r="F10004" t="s">
        <v>88</v>
      </c>
      <c r="G10004" t="s">
        <v>88</v>
      </c>
      <c r="H10004" t="s">
        <v>92</v>
      </c>
    </row>
    <row r="10005" spans="1:8" x14ac:dyDescent="0.25">
      <c r="A10005" t="s">
        <v>332</v>
      </c>
      <c r="B10005" t="s">
        <v>8048</v>
      </c>
      <c r="C10005" t="s">
        <v>88</v>
      </c>
      <c r="D10005" t="s">
        <v>88</v>
      </c>
      <c r="E10005" t="s">
        <v>663</v>
      </c>
      <c r="F10005" t="s">
        <v>88</v>
      </c>
      <c r="G10005" t="s">
        <v>88</v>
      </c>
      <c r="H10005" t="s">
        <v>92</v>
      </c>
    </row>
    <row r="10006" spans="1:8" x14ac:dyDescent="0.25">
      <c r="A10006" t="s">
        <v>332</v>
      </c>
      <c r="B10006" t="s">
        <v>8049</v>
      </c>
      <c r="C10006" t="s">
        <v>88</v>
      </c>
      <c r="D10006" t="s">
        <v>88</v>
      </c>
      <c r="E10006" t="s">
        <v>1598</v>
      </c>
      <c r="F10006" t="s">
        <v>88</v>
      </c>
      <c r="G10006" t="s">
        <v>88</v>
      </c>
      <c r="H10006" t="s">
        <v>92</v>
      </c>
    </row>
    <row r="10007" spans="1:8" x14ac:dyDescent="0.25">
      <c r="A10007" t="s">
        <v>332</v>
      </c>
      <c r="B10007" t="s">
        <v>8050</v>
      </c>
      <c r="C10007" t="s">
        <v>88</v>
      </c>
      <c r="D10007" t="s">
        <v>88</v>
      </c>
      <c r="E10007" t="s">
        <v>2360</v>
      </c>
      <c r="F10007" t="s">
        <v>88</v>
      </c>
      <c r="G10007" t="s">
        <v>88</v>
      </c>
      <c r="H10007" t="s">
        <v>92</v>
      </c>
    </row>
    <row r="10008" spans="1:8" x14ac:dyDescent="0.25">
      <c r="A10008" t="s">
        <v>332</v>
      </c>
      <c r="B10008" t="s">
        <v>8051</v>
      </c>
      <c r="C10008" t="s">
        <v>88</v>
      </c>
      <c r="D10008" t="s">
        <v>88</v>
      </c>
      <c r="E10008" t="s">
        <v>799</v>
      </c>
      <c r="F10008" t="s">
        <v>88</v>
      </c>
      <c r="G10008" t="s">
        <v>88</v>
      </c>
      <c r="H10008" t="s">
        <v>92</v>
      </c>
    </row>
    <row r="10009" spans="1:8" x14ac:dyDescent="0.25">
      <c r="A10009" t="s">
        <v>332</v>
      </c>
      <c r="B10009" t="s">
        <v>8052</v>
      </c>
      <c r="C10009" t="s">
        <v>88</v>
      </c>
      <c r="D10009" t="s">
        <v>88</v>
      </c>
      <c r="E10009" t="s">
        <v>799</v>
      </c>
      <c r="F10009" t="s">
        <v>88</v>
      </c>
      <c r="G10009" t="s">
        <v>88</v>
      </c>
      <c r="H10009" t="s">
        <v>92</v>
      </c>
    </row>
    <row r="10010" spans="1:8" x14ac:dyDescent="0.25">
      <c r="A10010" t="s">
        <v>332</v>
      </c>
      <c r="B10010" t="s">
        <v>8053</v>
      </c>
      <c r="C10010" t="s">
        <v>88</v>
      </c>
      <c r="D10010" t="s">
        <v>88</v>
      </c>
      <c r="E10010" t="s">
        <v>799</v>
      </c>
      <c r="F10010" t="s">
        <v>88</v>
      </c>
      <c r="G10010" t="s">
        <v>88</v>
      </c>
      <c r="H10010" t="s">
        <v>92</v>
      </c>
    </row>
    <row r="10011" spans="1:8" x14ac:dyDescent="0.25">
      <c r="A10011" t="s">
        <v>332</v>
      </c>
      <c r="B10011" t="s">
        <v>8054</v>
      </c>
      <c r="C10011" t="s">
        <v>88</v>
      </c>
      <c r="D10011" t="s">
        <v>88</v>
      </c>
      <c r="E10011" t="s">
        <v>799</v>
      </c>
      <c r="F10011" t="s">
        <v>88</v>
      </c>
      <c r="G10011" t="s">
        <v>88</v>
      </c>
      <c r="H10011" t="s">
        <v>92</v>
      </c>
    </row>
    <row r="10012" spans="1:8" x14ac:dyDescent="0.25">
      <c r="A10012" t="s">
        <v>332</v>
      </c>
      <c r="B10012" t="s">
        <v>8055</v>
      </c>
      <c r="C10012" t="s">
        <v>88</v>
      </c>
      <c r="D10012" t="s">
        <v>88</v>
      </c>
      <c r="E10012" t="s">
        <v>799</v>
      </c>
      <c r="F10012" t="s">
        <v>88</v>
      </c>
      <c r="G10012" t="s">
        <v>88</v>
      </c>
      <c r="H10012" t="s">
        <v>92</v>
      </c>
    </row>
    <row r="10013" spans="1:8" x14ac:dyDescent="0.25">
      <c r="A10013" t="s">
        <v>332</v>
      </c>
      <c r="B10013" t="s">
        <v>8056</v>
      </c>
      <c r="C10013" t="s">
        <v>88</v>
      </c>
      <c r="D10013" t="s">
        <v>88</v>
      </c>
      <c r="E10013" t="s">
        <v>799</v>
      </c>
      <c r="F10013" t="s">
        <v>88</v>
      </c>
      <c r="G10013" t="s">
        <v>88</v>
      </c>
      <c r="H10013" t="s">
        <v>92</v>
      </c>
    </row>
    <row r="10014" spans="1:8" x14ac:dyDescent="0.25">
      <c r="A10014" t="s">
        <v>332</v>
      </c>
      <c r="B10014" t="s">
        <v>8057</v>
      </c>
      <c r="C10014" t="s">
        <v>88</v>
      </c>
      <c r="D10014" t="s">
        <v>88</v>
      </c>
      <c r="E10014" t="s">
        <v>799</v>
      </c>
      <c r="F10014" t="s">
        <v>88</v>
      </c>
      <c r="G10014" t="s">
        <v>88</v>
      </c>
      <c r="H10014" t="s">
        <v>92</v>
      </c>
    </row>
    <row r="10015" spans="1:8" x14ac:dyDescent="0.25">
      <c r="A10015" t="s">
        <v>332</v>
      </c>
      <c r="B10015" t="s">
        <v>5250</v>
      </c>
      <c r="C10015" t="s">
        <v>88</v>
      </c>
      <c r="D10015" t="s">
        <v>88</v>
      </c>
      <c r="E10015" t="s">
        <v>760</v>
      </c>
      <c r="F10015" t="s">
        <v>88</v>
      </c>
      <c r="G10015" t="s">
        <v>88</v>
      </c>
      <c r="H10015" t="s">
        <v>92</v>
      </c>
    </row>
    <row r="10016" spans="1:8" x14ac:dyDescent="0.25">
      <c r="A10016" t="s">
        <v>332</v>
      </c>
      <c r="B10016" t="s">
        <v>8058</v>
      </c>
      <c r="C10016" t="s">
        <v>88</v>
      </c>
      <c r="D10016" t="s">
        <v>88</v>
      </c>
      <c r="E10016" t="s">
        <v>760</v>
      </c>
      <c r="F10016" t="s">
        <v>88</v>
      </c>
      <c r="G10016" t="s">
        <v>88</v>
      </c>
      <c r="H10016" t="s">
        <v>92</v>
      </c>
    </row>
    <row r="10017" spans="1:8" x14ac:dyDescent="0.25">
      <c r="A10017" t="s">
        <v>332</v>
      </c>
      <c r="B10017" t="s">
        <v>8059</v>
      </c>
      <c r="C10017" t="s">
        <v>88</v>
      </c>
      <c r="D10017" t="s">
        <v>88</v>
      </c>
      <c r="E10017" t="s">
        <v>658</v>
      </c>
      <c r="F10017" t="s">
        <v>88</v>
      </c>
      <c r="G10017" t="s">
        <v>88</v>
      </c>
      <c r="H10017" t="s">
        <v>92</v>
      </c>
    </row>
    <row r="10018" spans="1:8" x14ac:dyDescent="0.25">
      <c r="A10018" t="s">
        <v>332</v>
      </c>
      <c r="B10018" t="s">
        <v>5247</v>
      </c>
      <c r="C10018" t="s">
        <v>88</v>
      </c>
      <c r="D10018" t="s">
        <v>88</v>
      </c>
      <c r="E10018" t="s">
        <v>889</v>
      </c>
      <c r="F10018" t="s">
        <v>88</v>
      </c>
      <c r="G10018" t="s">
        <v>88</v>
      </c>
      <c r="H10018" t="s">
        <v>92</v>
      </c>
    </row>
    <row r="10019" spans="1:8" x14ac:dyDescent="0.25">
      <c r="A10019" t="s">
        <v>332</v>
      </c>
      <c r="B10019" t="s">
        <v>8060</v>
      </c>
      <c r="C10019" t="s">
        <v>88</v>
      </c>
      <c r="D10019" t="s">
        <v>88</v>
      </c>
      <c r="E10019" t="s">
        <v>760</v>
      </c>
      <c r="F10019" t="s">
        <v>88</v>
      </c>
      <c r="G10019" t="s">
        <v>88</v>
      </c>
      <c r="H10019" t="s">
        <v>92</v>
      </c>
    </row>
    <row r="10020" spans="1:8" x14ac:dyDescent="0.25">
      <c r="A10020" t="s">
        <v>332</v>
      </c>
      <c r="B10020" t="s">
        <v>8061</v>
      </c>
      <c r="C10020" t="s">
        <v>88</v>
      </c>
      <c r="D10020" t="s">
        <v>88</v>
      </c>
      <c r="E10020" t="s">
        <v>717</v>
      </c>
      <c r="F10020" t="s">
        <v>88</v>
      </c>
      <c r="G10020" t="s">
        <v>88</v>
      </c>
      <c r="H10020" t="s">
        <v>92</v>
      </c>
    </row>
    <row r="10021" spans="1:8" x14ac:dyDescent="0.25">
      <c r="A10021" t="s">
        <v>332</v>
      </c>
      <c r="B10021" t="s">
        <v>8062</v>
      </c>
      <c r="C10021" t="s">
        <v>88</v>
      </c>
      <c r="D10021" t="s">
        <v>88</v>
      </c>
      <c r="E10021" t="s">
        <v>2445</v>
      </c>
      <c r="F10021" t="s">
        <v>88</v>
      </c>
      <c r="G10021" t="s">
        <v>88</v>
      </c>
      <c r="H10021" t="s">
        <v>92</v>
      </c>
    </row>
    <row r="10022" spans="1:8" x14ac:dyDescent="0.25">
      <c r="A10022" t="s">
        <v>332</v>
      </c>
      <c r="B10022" t="s">
        <v>8063</v>
      </c>
      <c r="C10022" t="s">
        <v>88</v>
      </c>
      <c r="D10022" t="s">
        <v>88</v>
      </c>
      <c r="E10022" t="s">
        <v>760</v>
      </c>
      <c r="F10022" t="s">
        <v>88</v>
      </c>
      <c r="G10022" t="s">
        <v>88</v>
      </c>
      <c r="H10022" t="s">
        <v>92</v>
      </c>
    </row>
    <row r="10023" spans="1:8" x14ac:dyDescent="0.25">
      <c r="A10023" t="s">
        <v>332</v>
      </c>
      <c r="B10023" t="s">
        <v>8064</v>
      </c>
      <c r="C10023" t="s">
        <v>88</v>
      </c>
      <c r="D10023" t="s">
        <v>88</v>
      </c>
      <c r="E10023" t="s">
        <v>2481</v>
      </c>
      <c r="F10023" t="s">
        <v>88</v>
      </c>
      <c r="G10023" t="s">
        <v>88</v>
      </c>
      <c r="H10023" t="s">
        <v>92</v>
      </c>
    </row>
    <row r="10024" spans="1:8" x14ac:dyDescent="0.25">
      <c r="A10024" t="s">
        <v>332</v>
      </c>
      <c r="B10024" t="s">
        <v>8065</v>
      </c>
      <c r="C10024" t="s">
        <v>88</v>
      </c>
      <c r="D10024" t="s">
        <v>8066</v>
      </c>
      <c r="E10024" t="s">
        <v>959</v>
      </c>
      <c r="F10024" t="s">
        <v>88</v>
      </c>
      <c r="G10024" t="s">
        <v>88</v>
      </c>
      <c r="H10024" t="s">
        <v>92</v>
      </c>
    </row>
    <row r="10025" spans="1:8" x14ac:dyDescent="0.25">
      <c r="A10025" t="s">
        <v>332</v>
      </c>
      <c r="B10025" t="s">
        <v>8067</v>
      </c>
      <c r="C10025" t="s">
        <v>88</v>
      </c>
      <c r="D10025" t="s">
        <v>88</v>
      </c>
      <c r="E10025" t="s">
        <v>1377</v>
      </c>
      <c r="F10025" t="s">
        <v>88</v>
      </c>
      <c r="G10025" t="s">
        <v>88</v>
      </c>
      <c r="H10025" t="s">
        <v>92</v>
      </c>
    </row>
    <row r="10026" spans="1:8" x14ac:dyDescent="0.25">
      <c r="A10026" t="s">
        <v>332</v>
      </c>
      <c r="B10026" t="s">
        <v>8068</v>
      </c>
      <c r="C10026" t="s">
        <v>88</v>
      </c>
      <c r="D10026" t="s">
        <v>88</v>
      </c>
      <c r="E10026" t="s">
        <v>732</v>
      </c>
      <c r="F10026" t="s">
        <v>88</v>
      </c>
      <c r="G10026" t="s">
        <v>88</v>
      </c>
      <c r="H10026" t="s">
        <v>92</v>
      </c>
    </row>
    <row r="10027" spans="1:8" x14ac:dyDescent="0.25">
      <c r="A10027" t="s">
        <v>332</v>
      </c>
      <c r="B10027" t="s">
        <v>8069</v>
      </c>
      <c r="C10027" t="s">
        <v>88</v>
      </c>
      <c r="D10027" t="s">
        <v>8070</v>
      </c>
      <c r="E10027" t="s">
        <v>1971</v>
      </c>
      <c r="F10027" t="s">
        <v>88</v>
      </c>
      <c r="G10027" t="s">
        <v>88</v>
      </c>
      <c r="H10027" t="s">
        <v>92</v>
      </c>
    </row>
    <row r="10028" spans="1:8" x14ac:dyDescent="0.25">
      <c r="A10028" t="s">
        <v>332</v>
      </c>
      <c r="B10028" t="s">
        <v>6652</v>
      </c>
      <c r="C10028" t="s">
        <v>88</v>
      </c>
      <c r="D10028" t="s">
        <v>8071</v>
      </c>
      <c r="E10028" t="s">
        <v>2360</v>
      </c>
      <c r="F10028" t="s">
        <v>88</v>
      </c>
      <c r="G10028" t="s">
        <v>88</v>
      </c>
      <c r="H10028" t="s">
        <v>92</v>
      </c>
    </row>
    <row r="10029" spans="1:8" x14ac:dyDescent="0.25">
      <c r="A10029" t="s">
        <v>332</v>
      </c>
      <c r="B10029" t="s">
        <v>8072</v>
      </c>
      <c r="C10029" t="s">
        <v>88</v>
      </c>
      <c r="D10029" t="s">
        <v>88</v>
      </c>
      <c r="E10029" t="s">
        <v>1377</v>
      </c>
      <c r="F10029" t="s">
        <v>88</v>
      </c>
      <c r="G10029" t="s">
        <v>88</v>
      </c>
      <c r="H10029" t="s">
        <v>92</v>
      </c>
    </row>
    <row r="10030" spans="1:8" x14ac:dyDescent="0.25">
      <c r="A10030" t="s">
        <v>332</v>
      </c>
      <c r="B10030" t="s">
        <v>6653</v>
      </c>
      <c r="C10030" t="s">
        <v>88</v>
      </c>
      <c r="D10030" t="s">
        <v>8073</v>
      </c>
      <c r="E10030" t="s">
        <v>1221</v>
      </c>
      <c r="F10030" t="s">
        <v>88</v>
      </c>
      <c r="G10030" t="s">
        <v>88</v>
      </c>
      <c r="H10030" t="s">
        <v>92</v>
      </c>
    </row>
    <row r="10031" spans="1:8" x14ac:dyDescent="0.25">
      <c r="A10031" t="s">
        <v>332</v>
      </c>
      <c r="B10031" t="s">
        <v>8074</v>
      </c>
      <c r="C10031" t="s">
        <v>88</v>
      </c>
      <c r="D10031" t="s">
        <v>88</v>
      </c>
      <c r="E10031" t="s">
        <v>709</v>
      </c>
      <c r="F10031" t="s">
        <v>88</v>
      </c>
      <c r="G10031" t="s">
        <v>88</v>
      </c>
      <c r="H10031" t="s">
        <v>92</v>
      </c>
    </row>
    <row r="10032" spans="1:8" x14ac:dyDescent="0.25">
      <c r="A10032" t="s">
        <v>332</v>
      </c>
      <c r="B10032" t="s">
        <v>8075</v>
      </c>
      <c r="C10032" t="s">
        <v>88</v>
      </c>
      <c r="D10032" t="s">
        <v>88</v>
      </c>
      <c r="E10032" t="s">
        <v>1377</v>
      </c>
      <c r="F10032" t="s">
        <v>88</v>
      </c>
      <c r="G10032" t="s">
        <v>88</v>
      </c>
      <c r="H10032" t="s">
        <v>92</v>
      </c>
    </row>
    <row r="10033" spans="1:8" x14ac:dyDescent="0.25">
      <c r="A10033" t="s">
        <v>332</v>
      </c>
      <c r="B10033" t="s">
        <v>8076</v>
      </c>
      <c r="C10033" t="s">
        <v>88</v>
      </c>
      <c r="D10033" t="s">
        <v>88</v>
      </c>
      <c r="E10033" t="s">
        <v>1377</v>
      </c>
      <c r="F10033" t="s">
        <v>88</v>
      </c>
      <c r="G10033" t="s">
        <v>88</v>
      </c>
      <c r="H10033" t="s">
        <v>92</v>
      </c>
    </row>
    <row r="10034" spans="1:8" x14ac:dyDescent="0.25">
      <c r="A10034" t="s">
        <v>332</v>
      </c>
      <c r="B10034" t="s">
        <v>8077</v>
      </c>
      <c r="C10034" t="s">
        <v>88</v>
      </c>
      <c r="D10034" t="s">
        <v>8078</v>
      </c>
      <c r="E10034" t="s">
        <v>1971</v>
      </c>
      <c r="F10034" t="s">
        <v>88</v>
      </c>
      <c r="G10034" t="s">
        <v>88</v>
      </c>
      <c r="H10034" t="s">
        <v>92</v>
      </c>
    </row>
    <row r="10035" spans="1:8" x14ac:dyDescent="0.25">
      <c r="A10035" t="s">
        <v>332</v>
      </c>
      <c r="B10035" t="s">
        <v>8079</v>
      </c>
      <c r="C10035" t="s">
        <v>88</v>
      </c>
      <c r="D10035" t="s">
        <v>88</v>
      </c>
      <c r="E10035" t="s">
        <v>959</v>
      </c>
      <c r="F10035" t="s">
        <v>88</v>
      </c>
      <c r="G10035" t="s">
        <v>88</v>
      </c>
      <c r="H10035" t="s">
        <v>92</v>
      </c>
    </row>
    <row r="10036" spans="1:8" x14ac:dyDescent="0.25">
      <c r="A10036" t="s">
        <v>332</v>
      </c>
      <c r="B10036" t="s">
        <v>8080</v>
      </c>
      <c r="C10036" t="s">
        <v>88</v>
      </c>
      <c r="D10036" t="s">
        <v>8081</v>
      </c>
      <c r="E10036" t="s">
        <v>959</v>
      </c>
      <c r="F10036" t="s">
        <v>88</v>
      </c>
      <c r="G10036" t="s">
        <v>88</v>
      </c>
      <c r="H10036" t="s">
        <v>92</v>
      </c>
    </row>
    <row r="10037" spans="1:8" x14ac:dyDescent="0.25">
      <c r="A10037" t="s">
        <v>332</v>
      </c>
      <c r="B10037" t="s">
        <v>8082</v>
      </c>
      <c r="C10037" t="s">
        <v>88</v>
      </c>
      <c r="D10037" t="s">
        <v>88</v>
      </c>
      <c r="E10037" t="s">
        <v>2662</v>
      </c>
      <c r="F10037" t="s">
        <v>88</v>
      </c>
      <c r="G10037" t="s">
        <v>88</v>
      </c>
      <c r="H10037" t="s">
        <v>92</v>
      </c>
    </row>
    <row r="10038" spans="1:8" x14ac:dyDescent="0.25">
      <c r="A10038" t="s">
        <v>332</v>
      </c>
      <c r="B10038" t="s">
        <v>8083</v>
      </c>
      <c r="C10038" t="s">
        <v>88</v>
      </c>
      <c r="D10038" t="s">
        <v>88</v>
      </c>
      <c r="E10038" t="s">
        <v>848</v>
      </c>
      <c r="F10038" t="s">
        <v>88</v>
      </c>
      <c r="G10038" t="s">
        <v>88</v>
      </c>
      <c r="H10038" t="s">
        <v>92</v>
      </c>
    </row>
    <row r="10039" spans="1:8" x14ac:dyDescent="0.25">
      <c r="A10039" t="s">
        <v>332</v>
      </c>
      <c r="B10039" t="s">
        <v>8084</v>
      </c>
      <c r="C10039" t="s">
        <v>88</v>
      </c>
      <c r="D10039" t="s">
        <v>88</v>
      </c>
      <c r="E10039" t="s">
        <v>723</v>
      </c>
      <c r="F10039" t="s">
        <v>88</v>
      </c>
      <c r="G10039" t="s">
        <v>88</v>
      </c>
      <c r="H10039" t="s">
        <v>92</v>
      </c>
    </row>
    <row r="10040" spans="1:8" x14ac:dyDescent="0.25">
      <c r="A10040" t="s">
        <v>332</v>
      </c>
      <c r="B10040" t="s">
        <v>8085</v>
      </c>
      <c r="C10040" t="s">
        <v>88</v>
      </c>
      <c r="D10040" t="s">
        <v>88</v>
      </c>
      <c r="E10040" t="s">
        <v>1377</v>
      </c>
      <c r="F10040" t="s">
        <v>88</v>
      </c>
      <c r="G10040" t="s">
        <v>88</v>
      </c>
      <c r="H10040" t="s">
        <v>92</v>
      </c>
    </row>
    <row r="10041" spans="1:8" x14ac:dyDescent="0.25">
      <c r="A10041" t="s">
        <v>332</v>
      </c>
      <c r="B10041" t="s">
        <v>8086</v>
      </c>
      <c r="C10041" t="s">
        <v>88</v>
      </c>
      <c r="D10041" t="s">
        <v>88</v>
      </c>
      <c r="E10041" t="s">
        <v>732</v>
      </c>
      <c r="F10041" t="s">
        <v>88</v>
      </c>
      <c r="G10041" t="s">
        <v>88</v>
      </c>
      <c r="H10041" t="s">
        <v>92</v>
      </c>
    </row>
    <row r="10042" spans="1:8" x14ac:dyDescent="0.25">
      <c r="A10042" t="s">
        <v>332</v>
      </c>
      <c r="B10042" t="s">
        <v>5565</v>
      </c>
      <c r="C10042" t="s">
        <v>88</v>
      </c>
      <c r="D10042" t="s">
        <v>88</v>
      </c>
      <c r="E10042" t="s">
        <v>725</v>
      </c>
      <c r="F10042" t="s">
        <v>88</v>
      </c>
      <c r="G10042" t="s">
        <v>88</v>
      </c>
      <c r="H10042" t="s">
        <v>92</v>
      </c>
    </row>
    <row r="10043" spans="1:8" x14ac:dyDescent="0.25">
      <c r="A10043" t="s">
        <v>332</v>
      </c>
      <c r="B10043" t="s">
        <v>8087</v>
      </c>
      <c r="C10043" t="s">
        <v>88</v>
      </c>
      <c r="D10043" t="s">
        <v>88</v>
      </c>
      <c r="E10043" t="s">
        <v>1221</v>
      </c>
      <c r="F10043" t="s">
        <v>88</v>
      </c>
      <c r="G10043" t="s">
        <v>88</v>
      </c>
      <c r="H10043" t="s">
        <v>92</v>
      </c>
    </row>
    <row r="10044" spans="1:8" x14ac:dyDescent="0.25">
      <c r="A10044" t="s">
        <v>332</v>
      </c>
      <c r="B10044" t="s">
        <v>8088</v>
      </c>
      <c r="C10044" t="s">
        <v>88</v>
      </c>
      <c r="D10044" t="s">
        <v>88</v>
      </c>
      <c r="E10044" t="s">
        <v>721</v>
      </c>
      <c r="F10044" t="s">
        <v>88</v>
      </c>
      <c r="G10044" t="s">
        <v>88</v>
      </c>
      <c r="H10044" t="s">
        <v>92</v>
      </c>
    </row>
    <row r="10045" spans="1:8" x14ac:dyDescent="0.25">
      <c r="A10045" t="s">
        <v>332</v>
      </c>
      <c r="B10045" t="s">
        <v>8089</v>
      </c>
      <c r="C10045" t="s">
        <v>88</v>
      </c>
      <c r="D10045" t="s">
        <v>88</v>
      </c>
      <c r="E10045" t="s">
        <v>748</v>
      </c>
      <c r="F10045" t="s">
        <v>88</v>
      </c>
      <c r="G10045" t="s">
        <v>88</v>
      </c>
      <c r="H10045" t="s">
        <v>92</v>
      </c>
    </row>
    <row r="10046" spans="1:8" x14ac:dyDescent="0.25">
      <c r="A10046" t="s">
        <v>332</v>
      </c>
      <c r="B10046" t="s">
        <v>8090</v>
      </c>
      <c r="C10046" t="s">
        <v>88</v>
      </c>
      <c r="D10046" t="s">
        <v>88</v>
      </c>
      <c r="E10046" t="s">
        <v>709</v>
      </c>
      <c r="F10046" t="s">
        <v>88</v>
      </c>
      <c r="G10046" t="s">
        <v>88</v>
      </c>
      <c r="H10046" t="s">
        <v>92</v>
      </c>
    </row>
    <row r="10047" spans="1:8" x14ac:dyDescent="0.25">
      <c r="A10047" t="s">
        <v>332</v>
      </c>
      <c r="B10047" t="s">
        <v>8091</v>
      </c>
      <c r="C10047" t="s">
        <v>88</v>
      </c>
      <c r="D10047" t="s">
        <v>88</v>
      </c>
      <c r="E10047" t="s">
        <v>709</v>
      </c>
      <c r="F10047" t="s">
        <v>88</v>
      </c>
      <c r="G10047" t="s">
        <v>88</v>
      </c>
      <c r="H10047" t="s">
        <v>92</v>
      </c>
    </row>
    <row r="10048" spans="1:8" x14ac:dyDescent="0.25">
      <c r="A10048" t="s">
        <v>332</v>
      </c>
      <c r="B10048" t="s">
        <v>8092</v>
      </c>
      <c r="C10048" t="s">
        <v>88</v>
      </c>
      <c r="D10048" t="s">
        <v>88</v>
      </c>
      <c r="E10048" t="s">
        <v>734</v>
      </c>
      <c r="F10048" t="s">
        <v>88</v>
      </c>
      <c r="G10048" t="s">
        <v>88</v>
      </c>
      <c r="H10048" t="s">
        <v>92</v>
      </c>
    </row>
    <row r="10049" spans="1:8" x14ac:dyDescent="0.25">
      <c r="A10049" t="s">
        <v>332</v>
      </c>
      <c r="B10049" t="s">
        <v>8093</v>
      </c>
      <c r="C10049" t="s">
        <v>88</v>
      </c>
      <c r="D10049" t="s">
        <v>88</v>
      </c>
      <c r="E10049" t="s">
        <v>734</v>
      </c>
      <c r="F10049" t="s">
        <v>88</v>
      </c>
      <c r="G10049" t="s">
        <v>88</v>
      </c>
      <c r="H10049" t="s">
        <v>92</v>
      </c>
    </row>
    <row r="10050" spans="1:8" x14ac:dyDescent="0.25">
      <c r="A10050" t="s">
        <v>332</v>
      </c>
      <c r="B10050" t="s">
        <v>8094</v>
      </c>
      <c r="C10050" t="s">
        <v>88</v>
      </c>
      <c r="D10050" t="s">
        <v>88</v>
      </c>
      <c r="E10050" t="s">
        <v>709</v>
      </c>
      <c r="F10050" t="s">
        <v>88</v>
      </c>
      <c r="G10050" t="s">
        <v>88</v>
      </c>
      <c r="H10050" t="s">
        <v>92</v>
      </c>
    </row>
    <row r="10051" spans="1:8" x14ac:dyDescent="0.25">
      <c r="A10051" t="s">
        <v>332</v>
      </c>
      <c r="B10051" t="s">
        <v>3417</v>
      </c>
      <c r="C10051" t="s">
        <v>88</v>
      </c>
      <c r="D10051" t="s">
        <v>88</v>
      </c>
      <c r="E10051" t="s">
        <v>3397</v>
      </c>
      <c r="F10051" t="s">
        <v>88</v>
      </c>
      <c r="G10051" t="s">
        <v>88</v>
      </c>
      <c r="H10051" t="s">
        <v>92</v>
      </c>
    </row>
    <row r="10052" spans="1:8" x14ac:dyDescent="0.25">
      <c r="A10052" t="s">
        <v>332</v>
      </c>
      <c r="B10052" t="s">
        <v>8095</v>
      </c>
      <c r="C10052" t="s">
        <v>88</v>
      </c>
      <c r="D10052" t="s">
        <v>88</v>
      </c>
      <c r="E10052" t="s">
        <v>3397</v>
      </c>
      <c r="F10052" t="s">
        <v>88</v>
      </c>
      <c r="G10052" t="s">
        <v>88</v>
      </c>
      <c r="H10052" t="s">
        <v>92</v>
      </c>
    </row>
    <row r="10053" spans="1:8" x14ac:dyDescent="0.25">
      <c r="A10053" t="s">
        <v>332</v>
      </c>
      <c r="B10053" t="s">
        <v>8096</v>
      </c>
      <c r="C10053" t="s">
        <v>88</v>
      </c>
      <c r="D10053" t="s">
        <v>88</v>
      </c>
      <c r="E10053" t="s">
        <v>3397</v>
      </c>
      <c r="F10053" t="s">
        <v>88</v>
      </c>
      <c r="G10053" t="s">
        <v>88</v>
      </c>
      <c r="H10053" t="s">
        <v>92</v>
      </c>
    </row>
    <row r="10054" spans="1:8" x14ac:dyDescent="0.25">
      <c r="A10054" t="s">
        <v>332</v>
      </c>
      <c r="B10054" t="s">
        <v>8097</v>
      </c>
      <c r="C10054" t="s">
        <v>88</v>
      </c>
      <c r="D10054" t="s">
        <v>88</v>
      </c>
      <c r="E10054" t="s">
        <v>3397</v>
      </c>
      <c r="F10054" t="s">
        <v>88</v>
      </c>
      <c r="G10054" t="s">
        <v>88</v>
      </c>
      <c r="H10054" t="s">
        <v>92</v>
      </c>
    </row>
    <row r="10055" spans="1:8" x14ac:dyDescent="0.25">
      <c r="A10055" t="s">
        <v>332</v>
      </c>
      <c r="B10055" t="s">
        <v>8098</v>
      </c>
      <c r="C10055" t="s">
        <v>88</v>
      </c>
      <c r="D10055" t="s">
        <v>88</v>
      </c>
      <c r="E10055" t="s">
        <v>721</v>
      </c>
      <c r="F10055" t="s">
        <v>88</v>
      </c>
      <c r="G10055" t="s">
        <v>88</v>
      </c>
      <c r="H10055" t="s">
        <v>92</v>
      </c>
    </row>
    <row r="10056" spans="1:8" x14ac:dyDescent="0.25">
      <c r="A10056" t="s">
        <v>332</v>
      </c>
      <c r="B10056" t="s">
        <v>8099</v>
      </c>
      <c r="C10056" t="s">
        <v>88</v>
      </c>
      <c r="D10056" t="s">
        <v>88</v>
      </c>
      <c r="E10056" t="s">
        <v>721</v>
      </c>
      <c r="F10056" t="s">
        <v>88</v>
      </c>
      <c r="G10056" t="s">
        <v>88</v>
      </c>
      <c r="H10056" t="s">
        <v>92</v>
      </c>
    </row>
    <row r="10057" spans="1:8" x14ac:dyDescent="0.25">
      <c r="A10057" t="s">
        <v>332</v>
      </c>
      <c r="B10057" t="s">
        <v>8100</v>
      </c>
      <c r="C10057" t="s">
        <v>88</v>
      </c>
      <c r="D10057" t="s">
        <v>88</v>
      </c>
      <c r="E10057" t="s">
        <v>937</v>
      </c>
      <c r="F10057" t="s">
        <v>88</v>
      </c>
      <c r="G10057" t="s">
        <v>88</v>
      </c>
      <c r="H10057" t="s">
        <v>92</v>
      </c>
    </row>
    <row r="10058" spans="1:8" x14ac:dyDescent="0.25">
      <c r="A10058" t="s">
        <v>332</v>
      </c>
      <c r="B10058" t="s">
        <v>8101</v>
      </c>
      <c r="C10058" t="s">
        <v>88</v>
      </c>
      <c r="D10058" t="s">
        <v>88</v>
      </c>
      <c r="E10058" t="s">
        <v>937</v>
      </c>
      <c r="F10058" t="s">
        <v>88</v>
      </c>
      <c r="G10058" t="s">
        <v>88</v>
      </c>
      <c r="H10058" t="s">
        <v>92</v>
      </c>
    </row>
    <row r="10059" spans="1:8" x14ac:dyDescent="0.25">
      <c r="A10059" t="s">
        <v>332</v>
      </c>
      <c r="B10059" t="s">
        <v>8102</v>
      </c>
      <c r="C10059" t="s">
        <v>88</v>
      </c>
      <c r="D10059" t="s">
        <v>88</v>
      </c>
      <c r="E10059" t="s">
        <v>721</v>
      </c>
      <c r="F10059" t="s">
        <v>88</v>
      </c>
      <c r="G10059" t="s">
        <v>88</v>
      </c>
      <c r="H10059" t="s">
        <v>92</v>
      </c>
    </row>
    <row r="10060" spans="1:8" x14ac:dyDescent="0.25">
      <c r="A10060" t="s">
        <v>332</v>
      </c>
      <c r="B10060" t="s">
        <v>8103</v>
      </c>
      <c r="C10060" t="s">
        <v>88</v>
      </c>
      <c r="D10060" t="s">
        <v>88</v>
      </c>
      <c r="E10060" t="s">
        <v>937</v>
      </c>
      <c r="F10060" t="s">
        <v>88</v>
      </c>
      <c r="G10060" t="s">
        <v>88</v>
      </c>
      <c r="H10060" t="s">
        <v>92</v>
      </c>
    </row>
    <row r="10061" spans="1:8" x14ac:dyDescent="0.25">
      <c r="A10061" t="s">
        <v>332</v>
      </c>
      <c r="B10061" t="s">
        <v>8104</v>
      </c>
      <c r="C10061" t="s">
        <v>88</v>
      </c>
      <c r="D10061" t="s">
        <v>88</v>
      </c>
      <c r="E10061" t="s">
        <v>937</v>
      </c>
      <c r="F10061" t="s">
        <v>88</v>
      </c>
      <c r="G10061" t="s">
        <v>88</v>
      </c>
      <c r="H10061" t="s">
        <v>92</v>
      </c>
    </row>
    <row r="10062" spans="1:8" x14ac:dyDescent="0.25">
      <c r="A10062" t="s">
        <v>332</v>
      </c>
      <c r="B10062" t="s">
        <v>8105</v>
      </c>
      <c r="C10062" t="s">
        <v>88</v>
      </c>
      <c r="D10062" t="s">
        <v>88</v>
      </c>
      <c r="E10062" t="s">
        <v>721</v>
      </c>
      <c r="F10062" t="s">
        <v>88</v>
      </c>
      <c r="G10062" t="s">
        <v>88</v>
      </c>
      <c r="H10062" t="s">
        <v>92</v>
      </c>
    </row>
    <row r="10063" spans="1:8" x14ac:dyDescent="0.25">
      <c r="A10063" t="s">
        <v>332</v>
      </c>
      <c r="B10063" t="s">
        <v>8106</v>
      </c>
      <c r="C10063" t="s">
        <v>88</v>
      </c>
      <c r="D10063" t="s">
        <v>88</v>
      </c>
      <c r="E10063" t="s">
        <v>721</v>
      </c>
      <c r="F10063" t="s">
        <v>88</v>
      </c>
      <c r="G10063" t="s">
        <v>88</v>
      </c>
      <c r="H10063" t="s">
        <v>92</v>
      </c>
    </row>
    <row r="10064" spans="1:8" x14ac:dyDescent="0.25">
      <c r="A10064" t="s">
        <v>332</v>
      </c>
      <c r="B10064" t="s">
        <v>8107</v>
      </c>
      <c r="C10064" t="s">
        <v>88</v>
      </c>
      <c r="D10064" t="s">
        <v>88</v>
      </c>
      <c r="E10064" t="s">
        <v>937</v>
      </c>
      <c r="F10064" t="s">
        <v>88</v>
      </c>
      <c r="G10064" t="s">
        <v>88</v>
      </c>
      <c r="H10064" t="s">
        <v>92</v>
      </c>
    </row>
    <row r="10065" spans="1:8" x14ac:dyDescent="0.25">
      <c r="A10065" t="s">
        <v>332</v>
      </c>
      <c r="B10065" t="s">
        <v>8108</v>
      </c>
      <c r="C10065" t="s">
        <v>88</v>
      </c>
      <c r="D10065" t="s">
        <v>88</v>
      </c>
      <c r="E10065" t="s">
        <v>937</v>
      </c>
      <c r="F10065" t="s">
        <v>88</v>
      </c>
      <c r="G10065" t="s">
        <v>88</v>
      </c>
      <c r="H10065" t="s">
        <v>92</v>
      </c>
    </row>
    <row r="10066" spans="1:8" x14ac:dyDescent="0.25">
      <c r="A10066" t="s">
        <v>332</v>
      </c>
      <c r="B10066" t="s">
        <v>8109</v>
      </c>
      <c r="C10066" t="s">
        <v>88</v>
      </c>
      <c r="D10066" t="s">
        <v>88</v>
      </c>
      <c r="E10066" t="s">
        <v>721</v>
      </c>
      <c r="F10066" t="s">
        <v>88</v>
      </c>
      <c r="G10066" t="s">
        <v>88</v>
      </c>
      <c r="H10066" t="s">
        <v>92</v>
      </c>
    </row>
    <row r="10067" spans="1:8" x14ac:dyDescent="0.25">
      <c r="A10067" t="s">
        <v>332</v>
      </c>
      <c r="B10067" t="s">
        <v>8110</v>
      </c>
      <c r="C10067" t="s">
        <v>88</v>
      </c>
      <c r="D10067" t="s">
        <v>88</v>
      </c>
      <c r="E10067" t="s">
        <v>721</v>
      </c>
      <c r="F10067" t="s">
        <v>88</v>
      </c>
      <c r="G10067" t="s">
        <v>88</v>
      </c>
      <c r="H10067" t="s">
        <v>92</v>
      </c>
    </row>
    <row r="10068" spans="1:8" x14ac:dyDescent="0.25">
      <c r="A10068" t="s">
        <v>332</v>
      </c>
      <c r="B10068" t="s">
        <v>8111</v>
      </c>
      <c r="C10068" t="s">
        <v>88</v>
      </c>
      <c r="D10068" t="s">
        <v>88</v>
      </c>
      <c r="E10068" t="s">
        <v>937</v>
      </c>
      <c r="F10068" t="s">
        <v>88</v>
      </c>
      <c r="G10068" t="s">
        <v>88</v>
      </c>
      <c r="H10068" t="s">
        <v>92</v>
      </c>
    </row>
    <row r="10069" spans="1:8" x14ac:dyDescent="0.25">
      <c r="A10069" t="s">
        <v>332</v>
      </c>
      <c r="B10069" t="s">
        <v>8112</v>
      </c>
      <c r="C10069" t="s">
        <v>88</v>
      </c>
      <c r="D10069" t="s">
        <v>8113</v>
      </c>
      <c r="E10069" t="s">
        <v>1839</v>
      </c>
      <c r="F10069" t="s">
        <v>88</v>
      </c>
      <c r="G10069" t="s">
        <v>88</v>
      </c>
      <c r="H10069" t="s">
        <v>92</v>
      </c>
    </row>
    <row r="10070" spans="1:8" x14ac:dyDescent="0.25">
      <c r="A10070" t="s">
        <v>332</v>
      </c>
      <c r="B10070" t="s">
        <v>8114</v>
      </c>
      <c r="C10070" t="s">
        <v>88</v>
      </c>
      <c r="D10070" t="s">
        <v>8115</v>
      </c>
      <c r="E10070" t="s">
        <v>979</v>
      </c>
      <c r="F10070" t="s">
        <v>88</v>
      </c>
      <c r="G10070" t="s">
        <v>88</v>
      </c>
      <c r="H10070" t="s">
        <v>92</v>
      </c>
    </row>
    <row r="10071" spans="1:8" x14ac:dyDescent="0.25">
      <c r="A10071" t="s">
        <v>332</v>
      </c>
      <c r="B10071" t="s">
        <v>8116</v>
      </c>
      <c r="C10071" t="s">
        <v>88</v>
      </c>
      <c r="D10071" t="s">
        <v>8117</v>
      </c>
      <c r="E10071" t="s">
        <v>673</v>
      </c>
      <c r="F10071" t="s">
        <v>88</v>
      </c>
      <c r="G10071" t="s">
        <v>88</v>
      </c>
      <c r="H10071" t="s">
        <v>92</v>
      </c>
    </row>
    <row r="10072" spans="1:8" x14ac:dyDescent="0.25">
      <c r="A10072" t="s">
        <v>332</v>
      </c>
      <c r="B10072" t="s">
        <v>8118</v>
      </c>
      <c r="C10072" t="s">
        <v>88</v>
      </c>
      <c r="D10072" t="s">
        <v>8119</v>
      </c>
      <c r="E10072" t="s">
        <v>673</v>
      </c>
      <c r="F10072" t="s">
        <v>88</v>
      </c>
      <c r="G10072" t="s">
        <v>88</v>
      </c>
      <c r="H10072" t="s">
        <v>92</v>
      </c>
    </row>
    <row r="10073" spans="1:8" x14ac:dyDescent="0.25">
      <c r="A10073" t="s">
        <v>332</v>
      </c>
      <c r="B10073" t="s">
        <v>8120</v>
      </c>
      <c r="C10073" t="s">
        <v>88</v>
      </c>
      <c r="D10073" t="s">
        <v>8121</v>
      </c>
      <c r="E10073" t="s">
        <v>2166</v>
      </c>
      <c r="F10073" t="s">
        <v>88</v>
      </c>
      <c r="G10073" t="s">
        <v>88</v>
      </c>
      <c r="H10073" t="s">
        <v>92</v>
      </c>
    </row>
    <row r="10074" spans="1:8" x14ac:dyDescent="0.25">
      <c r="A10074" t="s">
        <v>332</v>
      </c>
      <c r="B10074" t="s">
        <v>8122</v>
      </c>
      <c r="C10074" t="s">
        <v>88</v>
      </c>
      <c r="D10074" t="s">
        <v>8123</v>
      </c>
      <c r="E10074" t="s">
        <v>979</v>
      </c>
      <c r="F10074" t="s">
        <v>88</v>
      </c>
      <c r="G10074" t="s">
        <v>88</v>
      </c>
      <c r="H10074" t="s">
        <v>92</v>
      </c>
    </row>
    <row r="10075" spans="1:8" x14ac:dyDescent="0.25">
      <c r="A10075" t="s">
        <v>332</v>
      </c>
      <c r="B10075" t="s">
        <v>8124</v>
      </c>
      <c r="C10075" t="s">
        <v>88</v>
      </c>
      <c r="D10075" t="s">
        <v>8125</v>
      </c>
      <c r="E10075" t="s">
        <v>1219</v>
      </c>
      <c r="F10075" t="s">
        <v>88</v>
      </c>
      <c r="G10075" t="s">
        <v>88</v>
      </c>
      <c r="H10075" t="s">
        <v>92</v>
      </c>
    </row>
    <row r="10076" spans="1:8" x14ac:dyDescent="0.25">
      <c r="A10076" t="s">
        <v>332</v>
      </c>
      <c r="B10076" t="s">
        <v>8126</v>
      </c>
      <c r="C10076" t="s">
        <v>88</v>
      </c>
      <c r="D10076" t="s">
        <v>8127</v>
      </c>
      <c r="E10076" t="s">
        <v>1219</v>
      </c>
      <c r="F10076" t="s">
        <v>88</v>
      </c>
      <c r="G10076" t="s">
        <v>88</v>
      </c>
      <c r="H10076" t="s">
        <v>92</v>
      </c>
    </row>
    <row r="10077" spans="1:8" x14ac:dyDescent="0.25">
      <c r="A10077" t="s">
        <v>332</v>
      </c>
      <c r="B10077" t="s">
        <v>8128</v>
      </c>
      <c r="C10077" t="s">
        <v>88</v>
      </c>
      <c r="D10077" t="s">
        <v>8129</v>
      </c>
      <c r="E10077" t="s">
        <v>979</v>
      </c>
      <c r="F10077" t="s">
        <v>88</v>
      </c>
      <c r="G10077" t="s">
        <v>88</v>
      </c>
      <c r="H10077" t="s">
        <v>92</v>
      </c>
    </row>
    <row r="10078" spans="1:8" x14ac:dyDescent="0.25">
      <c r="A10078" t="s">
        <v>332</v>
      </c>
      <c r="B10078" t="s">
        <v>8130</v>
      </c>
      <c r="C10078" t="s">
        <v>88</v>
      </c>
      <c r="D10078" t="s">
        <v>8131</v>
      </c>
      <c r="E10078" t="s">
        <v>979</v>
      </c>
      <c r="F10078" t="s">
        <v>88</v>
      </c>
      <c r="G10078" t="s">
        <v>88</v>
      </c>
      <c r="H10078" t="s">
        <v>92</v>
      </c>
    </row>
    <row r="10079" spans="1:8" x14ac:dyDescent="0.25">
      <c r="A10079" t="s">
        <v>332</v>
      </c>
      <c r="B10079" t="s">
        <v>8132</v>
      </c>
      <c r="C10079" t="s">
        <v>88</v>
      </c>
      <c r="D10079" t="s">
        <v>8133</v>
      </c>
      <c r="E10079" t="s">
        <v>762</v>
      </c>
      <c r="F10079" t="s">
        <v>88</v>
      </c>
      <c r="G10079" t="s">
        <v>88</v>
      </c>
      <c r="H10079" t="s">
        <v>92</v>
      </c>
    </row>
    <row r="10080" spans="1:8" x14ac:dyDescent="0.25">
      <c r="A10080" t="s">
        <v>332</v>
      </c>
      <c r="B10080" t="s">
        <v>8134</v>
      </c>
      <c r="C10080" t="s">
        <v>88</v>
      </c>
      <c r="D10080" t="s">
        <v>8135</v>
      </c>
      <c r="E10080" t="s">
        <v>889</v>
      </c>
      <c r="F10080" t="s">
        <v>88</v>
      </c>
      <c r="G10080" t="s">
        <v>88</v>
      </c>
      <c r="H10080" t="s">
        <v>92</v>
      </c>
    </row>
    <row r="10081" spans="1:8" x14ac:dyDescent="0.25">
      <c r="A10081" t="s">
        <v>332</v>
      </c>
      <c r="B10081" t="s">
        <v>8136</v>
      </c>
      <c r="C10081" t="s">
        <v>88</v>
      </c>
      <c r="D10081" t="s">
        <v>8137</v>
      </c>
      <c r="E10081" t="s">
        <v>979</v>
      </c>
      <c r="F10081" t="s">
        <v>88</v>
      </c>
      <c r="G10081" t="s">
        <v>88</v>
      </c>
      <c r="H10081" t="s">
        <v>92</v>
      </c>
    </row>
    <row r="10082" spans="1:8" x14ac:dyDescent="0.25">
      <c r="A10082" t="s">
        <v>332</v>
      </c>
      <c r="B10082" t="s">
        <v>8138</v>
      </c>
      <c r="C10082" t="s">
        <v>88</v>
      </c>
      <c r="D10082" t="s">
        <v>8139</v>
      </c>
      <c r="E10082" t="s">
        <v>2481</v>
      </c>
      <c r="F10082" t="s">
        <v>88</v>
      </c>
      <c r="G10082" t="s">
        <v>88</v>
      </c>
      <c r="H10082" t="s">
        <v>92</v>
      </c>
    </row>
    <row r="10083" spans="1:8" x14ac:dyDescent="0.25">
      <c r="A10083" t="s">
        <v>332</v>
      </c>
      <c r="B10083" t="s">
        <v>2226</v>
      </c>
      <c r="C10083" t="s">
        <v>88</v>
      </c>
      <c r="D10083" t="s">
        <v>88</v>
      </c>
      <c r="E10083" t="s">
        <v>2481</v>
      </c>
      <c r="F10083" t="s">
        <v>88</v>
      </c>
      <c r="G10083" t="s">
        <v>88</v>
      </c>
      <c r="H10083" t="s">
        <v>92</v>
      </c>
    </row>
    <row r="10084" spans="1:8" x14ac:dyDescent="0.25">
      <c r="A10084" t="s">
        <v>332</v>
      </c>
      <c r="B10084" t="s">
        <v>8140</v>
      </c>
      <c r="C10084" t="s">
        <v>88</v>
      </c>
      <c r="D10084" t="s">
        <v>8141</v>
      </c>
      <c r="E10084" t="s">
        <v>2481</v>
      </c>
      <c r="F10084" t="s">
        <v>88</v>
      </c>
      <c r="G10084" t="s">
        <v>88</v>
      </c>
      <c r="H10084" t="s">
        <v>92</v>
      </c>
    </row>
    <row r="10085" spans="1:8" x14ac:dyDescent="0.25">
      <c r="A10085" t="s">
        <v>332</v>
      </c>
      <c r="B10085" t="s">
        <v>8142</v>
      </c>
      <c r="C10085" t="s">
        <v>88</v>
      </c>
      <c r="D10085" t="s">
        <v>8143</v>
      </c>
      <c r="E10085" t="s">
        <v>2481</v>
      </c>
      <c r="F10085" t="s">
        <v>88</v>
      </c>
      <c r="G10085" t="s">
        <v>88</v>
      </c>
      <c r="H10085" t="s">
        <v>92</v>
      </c>
    </row>
    <row r="10086" spans="1:8" x14ac:dyDescent="0.25">
      <c r="A10086" t="s">
        <v>332</v>
      </c>
      <c r="B10086" t="s">
        <v>8144</v>
      </c>
      <c r="C10086" t="s">
        <v>88</v>
      </c>
      <c r="D10086" t="s">
        <v>8139</v>
      </c>
      <c r="E10086" t="s">
        <v>2481</v>
      </c>
      <c r="F10086" t="s">
        <v>88</v>
      </c>
      <c r="G10086" t="s">
        <v>88</v>
      </c>
      <c r="H10086" t="s">
        <v>92</v>
      </c>
    </row>
    <row r="10087" spans="1:8" x14ac:dyDescent="0.25">
      <c r="A10087" t="s">
        <v>332</v>
      </c>
      <c r="B10087" t="s">
        <v>8145</v>
      </c>
      <c r="C10087" t="s">
        <v>88</v>
      </c>
      <c r="D10087" t="s">
        <v>8146</v>
      </c>
      <c r="E10087" t="s">
        <v>2481</v>
      </c>
      <c r="F10087" t="s">
        <v>88</v>
      </c>
      <c r="G10087" t="s">
        <v>88</v>
      </c>
      <c r="H10087" t="s">
        <v>92</v>
      </c>
    </row>
    <row r="10088" spans="1:8" x14ac:dyDescent="0.25">
      <c r="A10088" t="s">
        <v>332</v>
      </c>
      <c r="B10088" t="s">
        <v>8147</v>
      </c>
      <c r="C10088" t="s">
        <v>88</v>
      </c>
      <c r="D10088" t="s">
        <v>8148</v>
      </c>
      <c r="E10088" t="s">
        <v>2467</v>
      </c>
      <c r="F10088" t="s">
        <v>88</v>
      </c>
      <c r="G10088" t="s">
        <v>88</v>
      </c>
      <c r="H10088" t="s">
        <v>92</v>
      </c>
    </row>
    <row r="10089" spans="1:8" x14ac:dyDescent="0.25">
      <c r="A10089" t="s">
        <v>332</v>
      </c>
      <c r="B10089" t="s">
        <v>8149</v>
      </c>
      <c r="C10089" t="s">
        <v>88</v>
      </c>
      <c r="D10089" t="s">
        <v>8150</v>
      </c>
      <c r="E10089" t="s">
        <v>2467</v>
      </c>
      <c r="F10089" t="s">
        <v>88</v>
      </c>
      <c r="G10089" t="s">
        <v>88</v>
      </c>
      <c r="H10089" t="s">
        <v>92</v>
      </c>
    </row>
    <row r="10090" spans="1:8" x14ac:dyDescent="0.25">
      <c r="A10090" t="s">
        <v>332</v>
      </c>
      <c r="B10090" t="s">
        <v>8151</v>
      </c>
      <c r="C10090" t="s">
        <v>88</v>
      </c>
      <c r="D10090" t="s">
        <v>8152</v>
      </c>
      <c r="E10090" t="s">
        <v>2467</v>
      </c>
      <c r="F10090" t="s">
        <v>88</v>
      </c>
      <c r="G10090" t="s">
        <v>88</v>
      </c>
      <c r="H10090" t="s">
        <v>92</v>
      </c>
    </row>
    <row r="10091" spans="1:8" x14ac:dyDescent="0.25">
      <c r="A10091" t="s">
        <v>332</v>
      </c>
      <c r="B10091" t="s">
        <v>8153</v>
      </c>
      <c r="C10091" t="s">
        <v>88</v>
      </c>
      <c r="D10091" t="s">
        <v>8154</v>
      </c>
      <c r="E10091" t="s">
        <v>2470</v>
      </c>
      <c r="F10091" t="s">
        <v>88</v>
      </c>
      <c r="G10091" t="s">
        <v>88</v>
      </c>
      <c r="H10091" t="s">
        <v>92</v>
      </c>
    </row>
    <row r="10092" spans="1:8" x14ac:dyDescent="0.25">
      <c r="A10092" t="s">
        <v>332</v>
      </c>
      <c r="B10092" t="s">
        <v>8155</v>
      </c>
      <c r="C10092" t="s">
        <v>88</v>
      </c>
      <c r="D10092" t="s">
        <v>8156</v>
      </c>
      <c r="E10092" t="s">
        <v>2470</v>
      </c>
      <c r="F10092" t="s">
        <v>88</v>
      </c>
      <c r="G10092" t="s">
        <v>88</v>
      </c>
      <c r="H10092" t="s">
        <v>92</v>
      </c>
    </row>
    <row r="10093" spans="1:8" x14ac:dyDescent="0.25">
      <c r="A10093" t="s">
        <v>332</v>
      </c>
      <c r="B10093" t="s">
        <v>8157</v>
      </c>
      <c r="C10093" t="s">
        <v>88</v>
      </c>
      <c r="D10093" t="s">
        <v>8158</v>
      </c>
      <c r="E10093" t="s">
        <v>1194</v>
      </c>
      <c r="F10093" t="s">
        <v>88</v>
      </c>
      <c r="G10093" t="s">
        <v>88</v>
      </c>
      <c r="H10093" t="s">
        <v>92</v>
      </c>
    </row>
    <row r="10094" spans="1:8" x14ac:dyDescent="0.25">
      <c r="A10094" t="s">
        <v>332</v>
      </c>
      <c r="B10094" t="s">
        <v>8159</v>
      </c>
      <c r="C10094" t="s">
        <v>88</v>
      </c>
      <c r="D10094" t="s">
        <v>8160</v>
      </c>
      <c r="E10094" t="s">
        <v>2470</v>
      </c>
      <c r="F10094" t="s">
        <v>88</v>
      </c>
      <c r="G10094" t="s">
        <v>88</v>
      </c>
      <c r="H10094" t="s">
        <v>92</v>
      </c>
    </row>
    <row r="10095" spans="1:8" x14ac:dyDescent="0.25">
      <c r="A10095" t="s">
        <v>332</v>
      </c>
      <c r="B10095" t="s">
        <v>5919</v>
      </c>
      <c r="C10095" t="s">
        <v>88</v>
      </c>
      <c r="D10095" t="s">
        <v>8161</v>
      </c>
      <c r="E10095" t="s">
        <v>2470</v>
      </c>
      <c r="F10095" t="s">
        <v>88</v>
      </c>
      <c r="G10095" t="s">
        <v>88</v>
      </c>
      <c r="H10095" t="s">
        <v>92</v>
      </c>
    </row>
    <row r="10096" spans="1:8" x14ac:dyDescent="0.25">
      <c r="A10096" t="s">
        <v>332</v>
      </c>
      <c r="B10096" t="s">
        <v>8162</v>
      </c>
      <c r="C10096" t="s">
        <v>88</v>
      </c>
      <c r="D10096" t="s">
        <v>8163</v>
      </c>
      <c r="E10096" t="s">
        <v>3015</v>
      </c>
      <c r="F10096" t="s">
        <v>88</v>
      </c>
      <c r="G10096" t="s">
        <v>88</v>
      </c>
      <c r="H10096" t="s">
        <v>92</v>
      </c>
    </row>
    <row r="10097" spans="1:8" x14ac:dyDescent="0.25">
      <c r="A10097" t="s">
        <v>332</v>
      </c>
      <c r="B10097" t="s">
        <v>8164</v>
      </c>
      <c r="C10097" t="s">
        <v>88</v>
      </c>
      <c r="D10097" t="s">
        <v>8165</v>
      </c>
      <c r="E10097" t="s">
        <v>1282</v>
      </c>
      <c r="F10097" t="s">
        <v>88</v>
      </c>
      <c r="G10097" t="s">
        <v>88</v>
      </c>
      <c r="H10097" t="s">
        <v>92</v>
      </c>
    </row>
    <row r="10098" spans="1:8" x14ac:dyDescent="0.25">
      <c r="A10098" t="s">
        <v>332</v>
      </c>
      <c r="B10098" t="s">
        <v>8166</v>
      </c>
      <c r="C10098" t="s">
        <v>88</v>
      </c>
      <c r="D10098" t="s">
        <v>8167</v>
      </c>
      <c r="E10098" t="s">
        <v>1194</v>
      </c>
      <c r="F10098" t="s">
        <v>88</v>
      </c>
      <c r="G10098" t="s">
        <v>88</v>
      </c>
      <c r="H10098" t="s">
        <v>92</v>
      </c>
    </row>
    <row r="10099" spans="1:8" x14ac:dyDescent="0.25">
      <c r="A10099" t="s">
        <v>332</v>
      </c>
      <c r="B10099" t="s">
        <v>8168</v>
      </c>
      <c r="C10099" t="s">
        <v>88</v>
      </c>
      <c r="D10099" t="s">
        <v>8169</v>
      </c>
      <c r="E10099" t="s">
        <v>1194</v>
      </c>
      <c r="F10099" t="s">
        <v>88</v>
      </c>
      <c r="G10099" t="s">
        <v>88</v>
      </c>
      <c r="H10099" t="s">
        <v>92</v>
      </c>
    </row>
    <row r="10100" spans="1:8" x14ac:dyDescent="0.25">
      <c r="A10100" t="s">
        <v>332</v>
      </c>
      <c r="B10100" t="s">
        <v>8170</v>
      </c>
      <c r="C10100" t="s">
        <v>88</v>
      </c>
      <c r="D10100" t="s">
        <v>8171</v>
      </c>
      <c r="E10100" t="s">
        <v>1194</v>
      </c>
      <c r="F10100" t="s">
        <v>88</v>
      </c>
      <c r="G10100" t="s">
        <v>88</v>
      </c>
      <c r="H10100" t="s">
        <v>92</v>
      </c>
    </row>
    <row r="10101" spans="1:8" x14ac:dyDescent="0.25">
      <c r="A10101" t="s">
        <v>332</v>
      </c>
      <c r="B10101" t="s">
        <v>8172</v>
      </c>
      <c r="C10101" t="s">
        <v>88</v>
      </c>
      <c r="D10101" t="s">
        <v>8173</v>
      </c>
      <c r="E10101" t="s">
        <v>6325</v>
      </c>
      <c r="F10101" t="s">
        <v>88</v>
      </c>
      <c r="G10101" t="s">
        <v>88</v>
      </c>
      <c r="H10101" t="s">
        <v>92</v>
      </c>
    </row>
    <row r="10102" spans="1:8" x14ac:dyDescent="0.25">
      <c r="A10102" t="s">
        <v>332</v>
      </c>
      <c r="B10102" t="s">
        <v>5293</v>
      </c>
      <c r="C10102" t="s">
        <v>88</v>
      </c>
      <c r="D10102" t="s">
        <v>8174</v>
      </c>
      <c r="E10102" t="s">
        <v>1259</v>
      </c>
      <c r="F10102" t="s">
        <v>88</v>
      </c>
      <c r="G10102" t="s">
        <v>88</v>
      </c>
      <c r="H10102" t="s">
        <v>92</v>
      </c>
    </row>
    <row r="10103" spans="1:8" x14ac:dyDescent="0.25">
      <c r="A10103" t="s">
        <v>332</v>
      </c>
      <c r="B10103" t="s">
        <v>8175</v>
      </c>
      <c r="C10103" t="s">
        <v>88</v>
      </c>
      <c r="D10103" t="s">
        <v>8176</v>
      </c>
      <c r="E10103" t="s">
        <v>1259</v>
      </c>
      <c r="F10103" t="s">
        <v>88</v>
      </c>
      <c r="G10103" t="s">
        <v>88</v>
      </c>
      <c r="H10103" t="s">
        <v>92</v>
      </c>
    </row>
    <row r="10104" spans="1:8" x14ac:dyDescent="0.25">
      <c r="A10104" t="s">
        <v>332</v>
      </c>
      <c r="B10104" t="s">
        <v>8177</v>
      </c>
      <c r="C10104" t="s">
        <v>88</v>
      </c>
      <c r="D10104" t="s">
        <v>8178</v>
      </c>
      <c r="E10104" t="s">
        <v>1985</v>
      </c>
      <c r="F10104" t="s">
        <v>88</v>
      </c>
      <c r="G10104" t="s">
        <v>88</v>
      </c>
      <c r="H10104" t="s">
        <v>92</v>
      </c>
    </row>
    <row r="10105" spans="1:8" x14ac:dyDescent="0.25">
      <c r="A10105" t="s">
        <v>332</v>
      </c>
      <c r="B10105" t="s">
        <v>8179</v>
      </c>
      <c r="C10105" t="s">
        <v>88</v>
      </c>
      <c r="D10105" t="s">
        <v>8180</v>
      </c>
      <c r="E10105" t="s">
        <v>8181</v>
      </c>
      <c r="F10105" t="s">
        <v>88</v>
      </c>
      <c r="G10105" t="s">
        <v>88</v>
      </c>
      <c r="H10105" t="s">
        <v>92</v>
      </c>
    </row>
    <row r="10106" spans="1:8" x14ac:dyDescent="0.25">
      <c r="A10106" t="s">
        <v>332</v>
      </c>
      <c r="B10106" t="s">
        <v>2349</v>
      </c>
      <c r="C10106" t="s">
        <v>88</v>
      </c>
      <c r="D10106" t="s">
        <v>8182</v>
      </c>
      <c r="E10106" t="s">
        <v>2503</v>
      </c>
      <c r="F10106" t="s">
        <v>88</v>
      </c>
      <c r="G10106" t="s">
        <v>88</v>
      </c>
      <c r="H10106" t="s">
        <v>92</v>
      </c>
    </row>
    <row r="10107" spans="1:8" x14ac:dyDescent="0.25">
      <c r="A10107" t="s">
        <v>332</v>
      </c>
      <c r="B10107" t="s">
        <v>3457</v>
      </c>
      <c r="C10107" t="s">
        <v>88</v>
      </c>
      <c r="D10107" t="s">
        <v>8183</v>
      </c>
      <c r="E10107" t="s">
        <v>1282</v>
      </c>
      <c r="F10107" t="s">
        <v>88</v>
      </c>
      <c r="G10107" t="s">
        <v>88</v>
      </c>
      <c r="H10107" t="s">
        <v>92</v>
      </c>
    </row>
    <row r="10108" spans="1:8" x14ac:dyDescent="0.25">
      <c r="A10108" t="s">
        <v>332</v>
      </c>
      <c r="B10108" t="s">
        <v>8184</v>
      </c>
      <c r="C10108" t="s">
        <v>88</v>
      </c>
      <c r="D10108" t="s">
        <v>8185</v>
      </c>
      <c r="E10108" t="s">
        <v>2503</v>
      </c>
      <c r="F10108" t="s">
        <v>88</v>
      </c>
      <c r="G10108" t="s">
        <v>88</v>
      </c>
      <c r="H10108" t="s">
        <v>92</v>
      </c>
    </row>
    <row r="10109" spans="1:8" x14ac:dyDescent="0.25">
      <c r="A10109" t="s">
        <v>332</v>
      </c>
      <c r="B10109" t="s">
        <v>8186</v>
      </c>
      <c r="C10109" t="s">
        <v>88</v>
      </c>
      <c r="D10109" t="s">
        <v>8187</v>
      </c>
      <c r="E10109" t="s">
        <v>2805</v>
      </c>
      <c r="F10109" t="s">
        <v>88</v>
      </c>
      <c r="G10109" t="s">
        <v>88</v>
      </c>
      <c r="H10109" t="s">
        <v>92</v>
      </c>
    </row>
    <row r="10110" spans="1:8" x14ac:dyDescent="0.25">
      <c r="A10110" t="s">
        <v>332</v>
      </c>
      <c r="B10110" t="s">
        <v>8188</v>
      </c>
      <c r="C10110" t="s">
        <v>88</v>
      </c>
      <c r="D10110" t="s">
        <v>8189</v>
      </c>
      <c r="E10110" t="s">
        <v>762</v>
      </c>
      <c r="F10110" t="s">
        <v>88</v>
      </c>
      <c r="G10110" t="s">
        <v>88</v>
      </c>
      <c r="H10110" t="s">
        <v>92</v>
      </c>
    </row>
    <row r="10111" spans="1:8" x14ac:dyDescent="0.25">
      <c r="A10111" t="s">
        <v>332</v>
      </c>
      <c r="B10111" t="s">
        <v>8190</v>
      </c>
      <c r="C10111" t="s">
        <v>88</v>
      </c>
      <c r="D10111" t="s">
        <v>8191</v>
      </c>
      <c r="E10111" t="s">
        <v>717</v>
      </c>
      <c r="F10111" t="s">
        <v>88</v>
      </c>
      <c r="G10111" t="s">
        <v>88</v>
      </c>
      <c r="H10111" t="s">
        <v>92</v>
      </c>
    </row>
    <row r="10112" spans="1:8" x14ac:dyDescent="0.25">
      <c r="A10112" t="s">
        <v>332</v>
      </c>
      <c r="B10112" t="s">
        <v>3470</v>
      </c>
      <c r="C10112" t="s">
        <v>88</v>
      </c>
      <c r="D10112" t="s">
        <v>8192</v>
      </c>
      <c r="E10112" t="s">
        <v>717</v>
      </c>
      <c r="F10112" t="s">
        <v>88</v>
      </c>
      <c r="G10112" t="s">
        <v>88</v>
      </c>
      <c r="H10112" t="s">
        <v>92</v>
      </c>
    </row>
    <row r="10113" spans="1:8" x14ac:dyDescent="0.25">
      <c r="A10113" t="s">
        <v>332</v>
      </c>
      <c r="B10113" t="s">
        <v>1145</v>
      </c>
      <c r="C10113" t="s">
        <v>88</v>
      </c>
      <c r="D10113" t="s">
        <v>8193</v>
      </c>
      <c r="E10113" t="s">
        <v>1241</v>
      </c>
      <c r="F10113" t="s">
        <v>88</v>
      </c>
      <c r="G10113" t="s">
        <v>88</v>
      </c>
      <c r="H10113" t="s">
        <v>92</v>
      </c>
    </row>
    <row r="10114" spans="1:8" x14ac:dyDescent="0.25">
      <c r="A10114" t="s">
        <v>332</v>
      </c>
      <c r="B10114" t="s">
        <v>1146</v>
      </c>
      <c r="C10114" t="s">
        <v>88</v>
      </c>
      <c r="D10114" t="s">
        <v>8194</v>
      </c>
      <c r="E10114" t="s">
        <v>717</v>
      </c>
      <c r="F10114" t="s">
        <v>88</v>
      </c>
      <c r="G10114" t="s">
        <v>88</v>
      </c>
      <c r="H10114" t="s">
        <v>92</v>
      </c>
    </row>
    <row r="10115" spans="1:8" x14ac:dyDescent="0.25">
      <c r="A10115" t="s">
        <v>332</v>
      </c>
      <c r="B10115" t="s">
        <v>7840</v>
      </c>
      <c r="C10115" t="s">
        <v>88</v>
      </c>
      <c r="D10115" t="s">
        <v>8195</v>
      </c>
      <c r="E10115" t="s">
        <v>717</v>
      </c>
      <c r="F10115" t="s">
        <v>88</v>
      </c>
      <c r="G10115" t="s">
        <v>88</v>
      </c>
      <c r="H10115" t="s">
        <v>92</v>
      </c>
    </row>
    <row r="10116" spans="1:8" x14ac:dyDescent="0.25">
      <c r="A10116" t="s">
        <v>332</v>
      </c>
      <c r="B10116" t="s">
        <v>8196</v>
      </c>
      <c r="C10116" t="s">
        <v>88</v>
      </c>
      <c r="D10116" t="s">
        <v>8197</v>
      </c>
      <c r="E10116" t="s">
        <v>717</v>
      </c>
      <c r="F10116" t="s">
        <v>88</v>
      </c>
      <c r="G10116" t="s">
        <v>88</v>
      </c>
      <c r="H10116" t="s">
        <v>92</v>
      </c>
    </row>
    <row r="10117" spans="1:8" x14ac:dyDescent="0.25">
      <c r="A10117" t="s">
        <v>332</v>
      </c>
      <c r="B10117" t="s">
        <v>6483</v>
      </c>
      <c r="C10117" t="s">
        <v>88</v>
      </c>
      <c r="D10117" t="s">
        <v>8198</v>
      </c>
      <c r="E10117" t="s">
        <v>762</v>
      </c>
      <c r="F10117" t="s">
        <v>88</v>
      </c>
      <c r="G10117" t="s">
        <v>88</v>
      </c>
      <c r="H10117" t="s">
        <v>92</v>
      </c>
    </row>
    <row r="10118" spans="1:8" x14ac:dyDescent="0.25">
      <c r="A10118" t="s">
        <v>332</v>
      </c>
      <c r="B10118" t="s">
        <v>2241</v>
      </c>
      <c r="C10118" t="s">
        <v>88</v>
      </c>
      <c r="D10118" t="s">
        <v>8199</v>
      </c>
      <c r="E10118" t="s">
        <v>979</v>
      </c>
      <c r="F10118" t="s">
        <v>88</v>
      </c>
      <c r="G10118" t="s">
        <v>88</v>
      </c>
      <c r="H10118" t="s">
        <v>92</v>
      </c>
    </row>
    <row r="10119" spans="1:8" x14ac:dyDescent="0.25">
      <c r="A10119" t="s">
        <v>332</v>
      </c>
      <c r="B10119" t="s">
        <v>1082</v>
      </c>
      <c r="C10119" t="s">
        <v>88</v>
      </c>
      <c r="D10119" t="s">
        <v>8200</v>
      </c>
      <c r="E10119" t="s">
        <v>979</v>
      </c>
      <c r="F10119" t="s">
        <v>88</v>
      </c>
      <c r="G10119" t="s">
        <v>88</v>
      </c>
      <c r="H10119" t="s">
        <v>92</v>
      </c>
    </row>
    <row r="10120" spans="1:8" x14ac:dyDescent="0.25">
      <c r="A10120" t="s">
        <v>332</v>
      </c>
      <c r="B10120" t="s">
        <v>8201</v>
      </c>
      <c r="C10120" t="s">
        <v>88</v>
      </c>
      <c r="D10120" t="s">
        <v>8202</v>
      </c>
      <c r="E10120" t="s">
        <v>1241</v>
      </c>
      <c r="F10120" t="s">
        <v>88</v>
      </c>
      <c r="G10120" t="s">
        <v>88</v>
      </c>
      <c r="H10120" t="s">
        <v>92</v>
      </c>
    </row>
    <row r="10121" spans="1:8" x14ac:dyDescent="0.25">
      <c r="A10121" t="s">
        <v>332</v>
      </c>
      <c r="B10121" t="s">
        <v>7753</v>
      </c>
      <c r="C10121" t="s">
        <v>88</v>
      </c>
      <c r="D10121" t="s">
        <v>8203</v>
      </c>
      <c r="E10121" t="s">
        <v>2445</v>
      </c>
      <c r="F10121" t="s">
        <v>88</v>
      </c>
      <c r="G10121" t="s">
        <v>88</v>
      </c>
      <c r="H10121" t="s">
        <v>92</v>
      </c>
    </row>
    <row r="10122" spans="1:8" x14ac:dyDescent="0.25">
      <c r="A10122" t="s">
        <v>332</v>
      </c>
      <c r="B10122" t="s">
        <v>8204</v>
      </c>
      <c r="C10122" t="s">
        <v>88</v>
      </c>
      <c r="D10122" t="s">
        <v>8205</v>
      </c>
      <c r="E10122" t="s">
        <v>717</v>
      </c>
      <c r="F10122" t="s">
        <v>88</v>
      </c>
      <c r="G10122" t="s">
        <v>88</v>
      </c>
      <c r="H10122" t="s">
        <v>92</v>
      </c>
    </row>
    <row r="10123" spans="1:8" x14ac:dyDescent="0.25">
      <c r="A10123" t="s">
        <v>332</v>
      </c>
      <c r="B10123" t="s">
        <v>8206</v>
      </c>
      <c r="C10123" t="s">
        <v>88</v>
      </c>
      <c r="D10123" t="s">
        <v>8207</v>
      </c>
      <c r="E10123" t="s">
        <v>6044</v>
      </c>
      <c r="F10123" t="s">
        <v>88</v>
      </c>
      <c r="G10123" t="s">
        <v>88</v>
      </c>
      <c r="H10123" t="s">
        <v>92</v>
      </c>
    </row>
    <row r="10124" spans="1:8" x14ac:dyDescent="0.25">
      <c r="A10124" t="s">
        <v>332</v>
      </c>
      <c r="B10124" t="s">
        <v>8208</v>
      </c>
      <c r="C10124" t="s">
        <v>88</v>
      </c>
      <c r="D10124" t="s">
        <v>8209</v>
      </c>
      <c r="E10124" t="s">
        <v>6044</v>
      </c>
      <c r="F10124" t="s">
        <v>88</v>
      </c>
      <c r="G10124" t="s">
        <v>88</v>
      </c>
      <c r="H10124" t="s">
        <v>92</v>
      </c>
    </row>
    <row r="10125" spans="1:8" x14ac:dyDescent="0.25">
      <c r="A10125" t="s">
        <v>332</v>
      </c>
      <c r="B10125" t="s">
        <v>8210</v>
      </c>
      <c r="C10125" t="s">
        <v>88</v>
      </c>
      <c r="D10125" t="s">
        <v>8211</v>
      </c>
      <c r="E10125" t="s">
        <v>717</v>
      </c>
      <c r="F10125" t="s">
        <v>88</v>
      </c>
      <c r="G10125" t="s">
        <v>88</v>
      </c>
      <c r="H10125" t="s">
        <v>92</v>
      </c>
    </row>
    <row r="10126" spans="1:8" x14ac:dyDescent="0.25">
      <c r="A10126" t="s">
        <v>332</v>
      </c>
      <c r="B10126" t="s">
        <v>8212</v>
      </c>
      <c r="C10126" t="s">
        <v>88</v>
      </c>
      <c r="D10126" t="s">
        <v>8213</v>
      </c>
      <c r="E10126" t="s">
        <v>2662</v>
      </c>
      <c r="F10126" t="s">
        <v>88</v>
      </c>
      <c r="G10126" t="s">
        <v>88</v>
      </c>
      <c r="H10126" t="s">
        <v>92</v>
      </c>
    </row>
    <row r="10127" spans="1:8" x14ac:dyDescent="0.25">
      <c r="A10127" t="s">
        <v>332</v>
      </c>
      <c r="B10127" t="s">
        <v>129</v>
      </c>
      <c r="C10127" t="s">
        <v>88</v>
      </c>
      <c r="D10127" t="s">
        <v>8214</v>
      </c>
      <c r="E10127" t="s">
        <v>692</v>
      </c>
      <c r="F10127" t="s">
        <v>88</v>
      </c>
      <c r="G10127" t="s">
        <v>88</v>
      </c>
      <c r="H10127" t="s">
        <v>92</v>
      </c>
    </row>
    <row r="10128" spans="1:8" x14ac:dyDescent="0.25">
      <c r="A10128" t="s">
        <v>332</v>
      </c>
      <c r="B10128" t="s">
        <v>8215</v>
      </c>
      <c r="C10128" t="s">
        <v>88</v>
      </c>
      <c r="D10128" t="s">
        <v>8216</v>
      </c>
      <c r="E10128" t="s">
        <v>8217</v>
      </c>
      <c r="F10128" t="s">
        <v>88</v>
      </c>
      <c r="G10128" t="s">
        <v>88</v>
      </c>
      <c r="H10128" t="s">
        <v>92</v>
      </c>
    </row>
    <row r="10129" spans="1:8" x14ac:dyDescent="0.25">
      <c r="A10129" t="s">
        <v>332</v>
      </c>
      <c r="B10129" t="s">
        <v>8218</v>
      </c>
      <c r="C10129" t="s">
        <v>88</v>
      </c>
      <c r="D10129" t="s">
        <v>8216</v>
      </c>
      <c r="E10129" t="s">
        <v>8217</v>
      </c>
      <c r="F10129" t="s">
        <v>88</v>
      </c>
      <c r="G10129" t="s">
        <v>88</v>
      </c>
      <c r="H10129" t="s">
        <v>92</v>
      </c>
    </row>
    <row r="10130" spans="1:8" x14ac:dyDescent="0.25">
      <c r="A10130" t="s">
        <v>332</v>
      </c>
      <c r="B10130" t="s">
        <v>8219</v>
      </c>
      <c r="C10130" t="s">
        <v>88</v>
      </c>
      <c r="D10130" t="s">
        <v>8216</v>
      </c>
      <c r="E10130" t="s">
        <v>8217</v>
      </c>
      <c r="F10130" t="s">
        <v>88</v>
      </c>
      <c r="G10130" t="s">
        <v>88</v>
      </c>
      <c r="H10130" t="s">
        <v>92</v>
      </c>
    </row>
    <row r="10131" spans="1:8" x14ac:dyDescent="0.25">
      <c r="A10131" t="s">
        <v>332</v>
      </c>
      <c r="B10131" t="s">
        <v>8220</v>
      </c>
      <c r="C10131" t="s">
        <v>88</v>
      </c>
      <c r="D10131" t="s">
        <v>8221</v>
      </c>
      <c r="E10131" t="s">
        <v>889</v>
      </c>
      <c r="F10131" t="s">
        <v>88</v>
      </c>
      <c r="G10131" t="s">
        <v>88</v>
      </c>
      <c r="H10131" t="s">
        <v>92</v>
      </c>
    </row>
    <row r="10132" spans="1:8" x14ac:dyDescent="0.25">
      <c r="A10132" t="s">
        <v>332</v>
      </c>
      <c r="B10132" t="s">
        <v>8222</v>
      </c>
      <c r="C10132" t="s">
        <v>88</v>
      </c>
      <c r="D10132" t="s">
        <v>8223</v>
      </c>
      <c r="E10132" t="s">
        <v>889</v>
      </c>
      <c r="F10132" t="s">
        <v>88</v>
      </c>
      <c r="G10132" t="s">
        <v>88</v>
      </c>
      <c r="H10132" t="s">
        <v>92</v>
      </c>
    </row>
    <row r="10133" spans="1:8" x14ac:dyDescent="0.25">
      <c r="A10133" t="s">
        <v>332</v>
      </c>
      <c r="B10133" t="s">
        <v>8224</v>
      </c>
      <c r="C10133" t="s">
        <v>88</v>
      </c>
      <c r="D10133" t="s">
        <v>8225</v>
      </c>
      <c r="E10133" t="s">
        <v>889</v>
      </c>
      <c r="F10133" t="s">
        <v>88</v>
      </c>
      <c r="G10133" t="s">
        <v>88</v>
      </c>
      <c r="H10133" t="s">
        <v>92</v>
      </c>
    </row>
    <row r="10134" spans="1:8" x14ac:dyDescent="0.25">
      <c r="A10134" t="s">
        <v>332</v>
      </c>
      <c r="B10134" t="s">
        <v>8226</v>
      </c>
      <c r="C10134" t="s">
        <v>88</v>
      </c>
      <c r="D10134" t="s">
        <v>8227</v>
      </c>
      <c r="E10134" t="s">
        <v>889</v>
      </c>
      <c r="F10134" t="s">
        <v>88</v>
      </c>
      <c r="G10134" t="s">
        <v>88</v>
      </c>
      <c r="H10134" t="s">
        <v>92</v>
      </c>
    </row>
    <row r="10135" spans="1:8" x14ac:dyDescent="0.25">
      <c r="A10135" t="s">
        <v>332</v>
      </c>
      <c r="B10135" t="s">
        <v>8228</v>
      </c>
      <c r="C10135" t="s">
        <v>88</v>
      </c>
      <c r="D10135" t="s">
        <v>8229</v>
      </c>
      <c r="E10135" t="s">
        <v>889</v>
      </c>
      <c r="F10135" t="s">
        <v>88</v>
      </c>
      <c r="G10135" t="s">
        <v>88</v>
      </c>
      <c r="H10135" t="s">
        <v>92</v>
      </c>
    </row>
    <row r="10136" spans="1:8" x14ac:dyDescent="0.25">
      <c r="A10136" t="s">
        <v>332</v>
      </c>
      <c r="B10136" t="s">
        <v>8230</v>
      </c>
      <c r="C10136" t="s">
        <v>88</v>
      </c>
      <c r="D10136" t="s">
        <v>8231</v>
      </c>
      <c r="E10136" t="s">
        <v>889</v>
      </c>
      <c r="F10136" t="s">
        <v>88</v>
      </c>
      <c r="G10136" t="s">
        <v>88</v>
      </c>
      <c r="H10136" t="s">
        <v>92</v>
      </c>
    </row>
    <row r="10137" spans="1:8" x14ac:dyDescent="0.25">
      <c r="A10137" t="s">
        <v>332</v>
      </c>
      <c r="B10137" t="s">
        <v>8232</v>
      </c>
      <c r="C10137" t="s">
        <v>88</v>
      </c>
      <c r="D10137" t="s">
        <v>8233</v>
      </c>
      <c r="E10137" t="s">
        <v>889</v>
      </c>
      <c r="F10137" t="s">
        <v>88</v>
      </c>
      <c r="G10137" t="s">
        <v>88</v>
      </c>
      <c r="H10137" t="s">
        <v>92</v>
      </c>
    </row>
    <row r="10138" spans="1:8" x14ac:dyDescent="0.25">
      <c r="A10138" t="s">
        <v>332</v>
      </c>
      <c r="B10138" t="s">
        <v>8234</v>
      </c>
      <c r="C10138" t="s">
        <v>88</v>
      </c>
      <c r="D10138" t="s">
        <v>8235</v>
      </c>
      <c r="E10138" t="s">
        <v>889</v>
      </c>
      <c r="F10138" t="s">
        <v>88</v>
      </c>
      <c r="G10138" t="s">
        <v>88</v>
      </c>
      <c r="H10138" t="s">
        <v>92</v>
      </c>
    </row>
    <row r="10139" spans="1:8" x14ac:dyDescent="0.25">
      <c r="A10139" t="s">
        <v>332</v>
      </c>
      <c r="B10139" t="s">
        <v>8236</v>
      </c>
      <c r="C10139" t="s">
        <v>88</v>
      </c>
      <c r="D10139" t="s">
        <v>8237</v>
      </c>
      <c r="E10139" t="s">
        <v>889</v>
      </c>
      <c r="F10139" t="s">
        <v>88</v>
      </c>
      <c r="G10139" t="s">
        <v>88</v>
      </c>
      <c r="H10139" t="s">
        <v>92</v>
      </c>
    </row>
    <row r="10140" spans="1:8" x14ac:dyDescent="0.25">
      <c r="A10140" t="s">
        <v>332</v>
      </c>
      <c r="B10140" t="s">
        <v>8238</v>
      </c>
      <c r="C10140" t="s">
        <v>88</v>
      </c>
      <c r="D10140" t="s">
        <v>8239</v>
      </c>
      <c r="E10140" t="s">
        <v>889</v>
      </c>
      <c r="F10140" t="s">
        <v>88</v>
      </c>
      <c r="G10140" t="s">
        <v>88</v>
      </c>
      <c r="H10140" t="s">
        <v>92</v>
      </c>
    </row>
    <row r="10141" spans="1:8" x14ac:dyDescent="0.25">
      <c r="A10141" t="s">
        <v>332</v>
      </c>
      <c r="B10141" t="s">
        <v>8240</v>
      </c>
      <c r="C10141" t="s">
        <v>88</v>
      </c>
      <c r="D10141" t="s">
        <v>8241</v>
      </c>
      <c r="E10141" t="s">
        <v>889</v>
      </c>
      <c r="F10141" t="s">
        <v>88</v>
      </c>
      <c r="G10141" t="s">
        <v>88</v>
      </c>
      <c r="H10141" t="s">
        <v>92</v>
      </c>
    </row>
    <row r="10142" spans="1:8" x14ac:dyDescent="0.25">
      <c r="A10142" t="s">
        <v>332</v>
      </c>
      <c r="B10142" t="s">
        <v>8242</v>
      </c>
      <c r="C10142" t="s">
        <v>88</v>
      </c>
      <c r="D10142" t="s">
        <v>8243</v>
      </c>
      <c r="E10142" t="s">
        <v>889</v>
      </c>
      <c r="F10142" t="s">
        <v>88</v>
      </c>
      <c r="G10142" t="s">
        <v>88</v>
      </c>
      <c r="H10142" t="s">
        <v>92</v>
      </c>
    </row>
    <row r="10143" spans="1:8" x14ac:dyDescent="0.25">
      <c r="A10143" t="s">
        <v>332</v>
      </c>
      <c r="B10143" t="s">
        <v>8244</v>
      </c>
      <c r="C10143" t="s">
        <v>88</v>
      </c>
      <c r="D10143" t="s">
        <v>8245</v>
      </c>
      <c r="E10143" t="s">
        <v>820</v>
      </c>
      <c r="F10143" t="s">
        <v>88</v>
      </c>
      <c r="G10143" t="s">
        <v>88</v>
      </c>
      <c r="H10143" t="s">
        <v>92</v>
      </c>
    </row>
    <row r="10144" spans="1:8" x14ac:dyDescent="0.25">
      <c r="A10144" t="s">
        <v>332</v>
      </c>
      <c r="B10144" t="s">
        <v>8246</v>
      </c>
      <c r="C10144" t="s">
        <v>88</v>
      </c>
      <c r="D10144" t="s">
        <v>8247</v>
      </c>
      <c r="E10144" t="s">
        <v>820</v>
      </c>
      <c r="F10144" t="s">
        <v>88</v>
      </c>
      <c r="G10144" t="s">
        <v>88</v>
      </c>
      <c r="H10144" t="s">
        <v>92</v>
      </c>
    </row>
    <row r="10145" spans="1:8" x14ac:dyDescent="0.25">
      <c r="A10145" t="s">
        <v>332</v>
      </c>
      <c r="B10145" t="s">
        <v>8248</v>
      </c>
      <c r="C10145" t="s">
        <v>88</v>
      </c>
      <c r="D10145" t="s">
        <v>8249</v>
      </c>
      <c r="E10145" t="s">
        <v>1282</v>
      </c>
      <c r="F10145" t="s">
        <v>88</v>
      </c>
      <c r="G10145" t="s">
        <v>88</v>
      </c>
      <c r="H10145" t="s">
        <v>92</v>
      </c>
    </row>
    <row r="10146" spans="1:8" x14ac:dyDescent="0.25">
      <c r="A10146" t="s">
        <v>332</v>
      </c>
      <c r="B10146" t="s">
        <v>8250</v>
      </c>
      <c r="C10146" t="s">
        <v>88</v>
      </c>
      <c r="D10146" t="s">
        <v>8251</v>
      </c>
      <c r="E10146" t="s">
        <v>1282</v>
      </c>
      <c r="F10146" t="s">
        <v>88</v>
      </c>
      <c r="G10146" t="s">
        <v>88</v>
      </c>
      <c r="H10146" t="s">
        <v>92</v>
      </c>
    </row>
    <row r="10147" spans="1:8" x14ac:dyDescent="0.25">
      <c r="A10147" t="s">
        <v>332</v>
      </c>
      <c r="B10147" t="s">
        <v>8252</v>
      </c>
      <c r="C10147" t="s">
        <v>88</v>
      </c>
      <c r="D10147" t="s">
        <v>8253</v>
      </c>
      <c r="E10147" t="s">
        <v>1282</v>
      </c>
      <c r="F10147" t="s">
        <v>88</v>
      </c>
      <c r="G10147" t="s">
        <v>88</v>
      </c>
      <c r="H10147" t="s">
        <v>92</v>
      </c>
    </row>
    <row r="10148" spans="1:8" x14ac:dyDescent="0.25">
      <c r="A10148" t="s">
        <v>332</v>
      </c>
      <c r="B10148" t="s">
        <v>8254</v>
      </c>
      <c r="C10148" t="s">
        <v>88</v>
      </c>
      <c r="D10148" t="s">
        <v>8255</v>
      </c>
      <c r="E10148" t="s">
        <v>1282</v>
      </c>
      <c r="F10148" t="s">
        <v>88</v>
      </c>
      <c r="G10148" t="s">
        <v>88</v>
      </c>
      <c r="H10148" t="s">
        <v>92</v>
      </c>
    </row>
    <row r="10149" spans="1:8" x14ac:dyDescent="0.25">
      <c r="A10149" t="s">
        <v>332</v>
      </c>
      <c r="B10149" t="s">
        <v>8256</v>
      </c>
      <c r="C10149" t="s">
        <v>88</v>
      </c>
      <c r="D10149" t="s">
        <v>8257</v>
      </c>
      <c r="E10149" t="s">
        <v>1282</v>
      </c>
      <c r="F10149" t="s">
        <v>88</v>
      </c>
      <c r="G10149" t="s">
        <v>88</v>
      </c>
      <c r="H10149" t="s">
        <v>92</v>
      </c>
    </row>
    <row r="10150" spans="1:8" x14ac:dyDescent="0.25">
      <c r="A10150" t="s">
        <v>332</v>
      </c>
      <c r="B10150" t="s">
        <v>8258</v>
      </c>
      <c r="C10150" t="s">
        <v>88</v>
      </c>
      <c r="D10150" t="s">
        <v>8259</v>
      </c>
      <c r="E10150" t="s">
        <v>3015</v>
      </c>
      <c r="F10150" t="s">
        <v>88</v>
      </c>
      <c r="G10150" t="s">
        <v>88</v>
      </c>
      <c r="H10150" t="s">
        <v>92</v>
      </c>
    </row>
    <row r="10151" spans="1:8" x14ac:dyDescent="0.25">
      <c r="A10151" t="s">
        <v>332</v>
      </c>
      <c r="B10151" t="s">
        <v>8260</v>
      </c>
      <c r="C10151" t="s">
        <v>88</v>
      </c>
      <c r="D10151" t="s">
        <v>8261</v>
      </c>
      <c r="E10151" t="s">
        <v>1282</v>
      </c>
      <c r="F10151" t="s">
        <v>88</v>
      </c>
      <c r="G10151" t="s">
        <v>88</v>
      </c>
      <c r="H10151" t="s">
        <v>92</v>
      </c>
    </row>
    <row r="10152" spans="1:8" x14ac:dyDescent="0.25">
      <c r="A10152" t="s">
        <v>332</v>
      </c>
      <c r="B10152" t="s">
        <v>8262</v>
      </c>
      <c r="C10152" t="s">
        <v>88</v>
      </c>
      <c r="D10152" t="s">
        <v>8263</v>
      </c>
      <c r="E10152" t="s">
        <v>2467</v>
      </c>
      <c r="F10152" t="s">
        <v>88</v>
      </c>
      <c r="G10152" t="s">
        <v>88</v>
      </c>
      <c r="H10152" t="s">
        <v>92</v>
      </c>
    </row>
    <row r="10153" spans="1:8" x14ac:dyDescent="0.25">
      <c r="A10153" t="s">
        <v>332</v>
      </c>
      <c r="B10153" t="s">
        <v>8264</v>
      </c>
      <c r="C10153" t="s">
        <v>88</v>
      </c>
      <c r="D10153" t="s">
        <v>8265</v>
      </c>
      <c r="E10153" t="s">
        <v>3015</v>
      </c>
      <c r="F10153" t="s">
        <v>88</v>
      </c>
      <c r="G10153" t="s">
        <v>88</v>
      </c>
      <c r="H10153" t="s">
        <v>92</v>
      </c>
    </row>
    <row r="10154" spans="1:8" x14ac:dyDescent="0.25">
      <c r="A10154" t="s">
        <v>332</v>
      </c>
      <c r="B10154" t="s">
        <v>8266</v>
      </c>
      <c r="C10154" t="s">
        <v>88</v>
      </c>
      <c r="D10154" t="s">
        <v>8267</v>
      </c>
      <c r="E10154" t="s">
        <v>3172</v>
      </c>
      <c r="F10154" t="s">
        <v>88</v>
      </c>
      <c r="G10154" t="s">
        <v>88</v>
      </c>
      <c r="H10154" t="s">
        <v>92</v>
      </c>
    </row>
    <row r="10155" spans="1:8" x14ac:dyDescent="0.25">
      <c r="A10155" t="s">
        <v>332</v>
      </c>
      <c r="B10155" t="s">
        <v>8268</v>
      </c>
      <c r="C10155" t="s">
        <v>88</v>
      </c>
      <c r="D10155" t="s">
        <v>8269</v>
      </c>
      <c r="E10155" t="s">
        <v>3172</v>
      </c>
      <c r="F10155" t="s">
        <v>88</v>
      </c>
      <c r="G10155" t="s">
        <v>88</v>
      </c>
      <c r="H10155" t="s">
        <v>92</v>
      </c>
    </row>
    <row r="10156" spans="1:8" x14ac:dyDescent="0.25">
      <c r="A10156" t="s">
        <v>332</v>
      </c>
      <c r="B10156" t="s">
        <v>8270</v>
      </c>
      <c r="C10156" t="s">
        <v>88</v>
      </c>
      <c r="D10156" t="s">
        <v>8271</v>
      </c>
      <c r="E10156" t="s">
        <v>1353</v>
      </c>
      <c r="F10156" t="s">
        <v>88</v>
      </c>
      <c r="G10156" t="s">
        <v>88</v>
      </c>
      <c r="H10156" t="s">
        <v>92</v>
      </c>
    </row>
    <row r="10157" spans="1:8" x14ac:dyDescent="0.25">
      <c r="A10157" t="s">
        <v>332</v>
      </c>
      <c r="B10157" t="s">
        <v>8272</v>
      </c>
      <c r="C10157" t="s">
        <v>88</v>
      </c>
      <c r="D10157" t="s">
        <v>8034</v>
      </c>
      <c r="E10157" t="s">
        <v>5256</v>
      </c>
      <c r="F10157" t="s">
        <v>88</v>
      </c>
      <c r="G10157" t="s">
        <v>88</v>
      </c>
      <c r="H10157" t="s">
        <v>92</v>
      </c>
    </row>
    <row r="10158" spans="1:8" x14ac:dyDescent="0.25">
      <c r="A10158" t="s">
        <v>332</v>
      </c>
      <c r="B10158" t="s">
        <v>8273</v>
      </c>
      <c r="C10158" t="s">
        <v>88</v>
      </c>
      <c r="D10158" t="s">
        <v>8274</v>
      </c>
      <c r="E10158" t="s">
        <v>3172</v>
      </c>
      <c r="F10158" t="s">
        <v>88</v>
      </c>
      <c r="G10158" t="s">
        <v>88</v>
      </c>
      <c r="H10158" t="s">
        <v>92</v>
      </c>
    </row>
    <row r="10159" spans="1:8" x14ac:dyDescent="0.25">
      <c r="A10159" t="s">
        <v>332</v>
      </c>
      <c r="B10159" t="s">
        <v>5604</v>
      </c>
      <c r="C10159" t="s">
        <v>88</v>
      </c>
      <c r="D10159" t="s">
        <v>8275</v>
      </c>
      <c r="E10159" t="s">
        <v>3172</v>
      </c>
      <c r="F10159" t="s">
        <v>88</v>
      </c>
      <c r="G10159" t="s">
        <v>88</v>
      </c>
      <c r="H10159" t="s">
        <v>92</v>
      </c>
    </row>
    <row r="10160" spans="1:8" x14ac:dyDescent="0.25">
      <c r="A10160" t="s">
        <v>332</v>
      </c>
      <c r="B10160" t="s">
        <v>5602</v>
      </c>
      <c r="C10160" t="s">
        <v>88</v>
      </c>
      <c r="D10160" t="s">
        <v>8276</v>
      </c>
      <c r="E10160" t="s">
        <v>3172</v>
      </c>
      <c r="F10160" t="s">
        <v>88</v>
      </c>
      <c r="G10160" t="s">
        <v>88</v>
      </c>
      <c r="H10160" t="s">
        <v>92</v>
      </c>
    </row>
    <row r="10161" spans="1:8" x14ac:dyDescent="0.25">
      <c r="A10161" t="s">
        <v>332</v>
      </c>
      <c r="B10161" t="s">
        <v>8277</v>
      </c>
      <c r="C10161" t="s">
        <v>88</v>
      </c>
      <c r="D10161" t="s">
        <v>8278</v>
      </c>
      <c r="E10161" t="s">
        <v>3172</v>
      </c>
      <c r="F10161" t="s">
        <v>88</v>
      </c>
      <c r="G10161" t="s">
        <v>88</v>
      </c>
      <c r="H10161" t="s">
        <v>92</v>
      </c>
    </row>
    <row r="10162" spans="1:8" x14ac:dyDescent="0.25">
      <c r="A10162" t="s">
        <v>332</v>
      </c>
      <c r="B10162" t="s">
        <v>8279</v>
      </c>
      <c r="C10162" t="s">
        <v>88</v>
      </c>
      <c r="D10162" t="s">
        <v>8280</v>
      </c>
      <c r="E10162" t="s">
        <v>3172</v>
      </c>
      <c r="F10162" t="s">
        <v>88</v>
      </c>
      <c r="G10162" t="s">
        <v>88</v>
      </c>
      <c r="H10162" t="s">
        <v>92</v>
      </c>
    </row>
    <row r="10163" spans="1:8" x14ac:dyDescent="0.25">
      <c r="A10163" t="s">
        <v>332</v>
      </c>
      <c r="B10163" t="s">
        <v>8281</v>
      </c>
      <c r="C10163" t="s">
        <v>88</v>
      </c>
      <c r="D10163" t="s">
        <v>8282</v>
      </c>
      <c r="E10163" t="s">
        <v>3015</v>
      </c>
      <c r="F10163" t="s">
        <v>88</v>
      </c>
      <c r="G10163" t="s">
        <v>88</v>
      </c>
      <c r="H10163" t="s">
        <v>92</v>
      </c>
    </row>
    <row r="10164" spans="1:8" x14ac:dyDescent="0.25">
      <c r="A10164" t="s">
        <v>332</v>
      </c>
      <c r="B10164" t="s">
        <v>8283</v>
      </c>
      <c r="C10164" t="s">
        <v>88</v>
      </c>
      <c r="D10164" t="s">
        <v>8284</v>
      </c>
      <c r="E10164" t="s">
        <v>1353</v>
      </c>
      <c r="F10164" t="s">
        <v>88</v>
      </c>
      <c r="G10164" t="s">
        <v>88</v>
      </c>
      <c r="H10164" t="s">
        <v>92</v>
      </c>
    </row>
    <row r="10165" spans="1:8" x14ac:dyDescent="0.25">
      <c r="A10165" t="s">
        <v>332</v>
      </c>
      <c r="B10165" t="s">
        <v>8285</v>
      </c>
      <c r="C10165" t="s">
        <v>88</v>
      </c>
      <c r="D10165" t="s">
        <v>8286</v>
      </c>
      <c r="E10165" t="s">
        <v>979</v>
      </c>
      <c r="F10165" t="s">
        <v>88</v>
      </c>
      <c r="G10165" t="s">
        <v>88</v>
      </c>
      <c r="H10165" t="s">
        <v>92</v>
      </c>
    </row>
    <row r="10166" spans="1:8" x14ac:dyDescent="0.25">
      <c r="A10166" t="s">
        <v>332</v>
      </c>
      <c r="B10166" t="s">
        <v>8287</v>
      </c>
      <c r="C10166" t="s">
        <v>88</v>
      </c>
      <c r="D10166" t="s">
        <v>8288</v>
      </c>
      <c r="E10166" t="s">
        <v>979</v>
      </c>
      <c r="F10166" t="s">
        <v>88</v>
      </c>
      <c r="G10166" t="s">
        <v>88</v>
      </c>
      <c r="H10166" t="s">
        <v>92</v>
      </c>
    </row>
    <row r="10167" spans="1:8" x14ac:dyDescent="0.25">
      <c r="A10167" t="s">
        <v>332</v>
      </c>
      <c r="B10167" t="s">
        <v>8289</v>
      </c>
      <c r="C10167" t="s">
        <v>88</v>
      </c>
      <c r="D10167" t="s">
        <v>8290</v>
      </c>
      <c r="E10167" t="s">
        <v>979</v>
      </c>
      <c r="F10167" t="s">
        <v>88</v>
      </c>
      <c r="G10167" t="s">
        <v>88</v>
      </c>
      <c r="H10167" t="s">
        <v>92</v>
      </c>
    </row>
    <row r="10168" spans="1:8" x14ac:dyDescent="0.25">
      <c r="A10168" t="s">
        <v>332</v>
      </c>
      <c r="B10168" t="s">
        <v>8291</v>
      </c>
      <c r="C10168" t="s">
        <v>88</v>
      </c>
      <c r="D10168" t="s">
        <v>8292</v>
      </c>
      <c r="E10168" t="s">
        <v>3015</v>
      </c>
      <c r="F10168" t="s">
        <v>88</v>
      </c>
      <c r="G10168" t="s">
        <v>88</v>
      </c>
      <c r="H10168" t="s">
        <v>92</v>
      </c>
    </row>
    <row r="10169" spans="1:8" x14ac:dyDescent="0.25">
      <c r="A10169" t="s">
        <v>332</v>
      </c>
      <c r="B10169" t="s">
        <v>8293</v>
      </c>
      <c r="C10169" t="s">
        <v>88</v>
      </c>
      <c r="D10169" t="s">
        <v>8294</v>
      </c>
      <c r="E10169" t="s">
        <v>3172</v>
      </c>
      <c r="F10169" t="s">
        <v>88</v>
      </c>
      <c r="G10169" t="s">
        <v>88</v>
      </c>
      <c r="H10169" t="s">
        <v>92</v>
      </c>
    </row>
    <row r="10170" spans="1:8" x14ac:dyDescent="0.25">
      <c r="A10170" t="s">
        <v>332</v>
      </c>
      <c r="B10170" t="s">
        <v>8295</v>
      </c>
      <c r="C10170" t="s">
        <v>88</v>
      </c>
      <c r="D10170" t="s">
        <v>8296</v>
      </c>
      <c r="E10170" t="s">
        <v>3172</v>
      </c>
      <c r="F10170" t="s">
        <v>88</v>
      </c>
      <c r="G10170" t="s">
        <v>88</v>
      </c>
      <c r="H10170" t="s">
        <v>92</v>
      </c>
    </row>
    <row r="10171" spans="1:8" x14ac:dyDescent="0.25">
      <c r="A10171" t="s">
        <v>332</v>
      </c>
      <c r="B10171" t="s">
        <v>8297</v>
      </c>
      <c r="C10171" t="s">
        <v>88</v>
      </c>
      <c r="D10171" t="s">
        <v>8298</v>
      </c>
      <c r="E10171" t="s">
        <v>692</v>
      </c>
      <c r="F10171" t="s">
        <v>88</v>
      </c>
      <c r="G10171" t="s">
        <v>88</v>
      </c>
      <c r="H10171" t="s">
        <v>92</v>
      </c>
    </row>
    <row r="10172" spans="1:8" x14ac:dyDescent="0.25">
      <c r="A10172" t="s">
        <v>332</v>
      </c>
      <c r="B10172" t="s">
        <v>8299</v>
      </c>
      <c r="C10172" t="s">
        <v>88</v>
      </c>
      <c r="D10172" t="s">
        <v>8300</v>
      </c>
      <c r="E10172" t="s">
        <v>692</v>
      </c>
      <c r="F10172" t="s">
        <v>88</v>
      </c>
      <c r="G10172" t="s">
        <v>88</v>
      </c>
      <c r="H10172" t="s">
        <v>92</v>
      </c>
    </row>
    <row r="10173" spans="1:8" x14ac:dyDescent="0.25">
      <c r="A10173" t="s">
        <v>332</v>
      </c>
      <c r="B10173" t="s">
        <v>8301</v>
      </c>
      <c r="C10173" t="s">
        <v>88</v>
      </c>
      <c r="D10173" t="s">
        <v>8302</v>
      </c>
      <c r="E10173" t="s">
        <v>3172</v>
      </c>
      <c r="F10173" t="s">
        <v>88</v>
      </c>
      <c r="G10173" t="s">
        <v>88</v>
      </c>
      <c r="H10173" t="s">
        <v>92</v>
      </c>
    </row>
    <row r="10174" spans="1:8" x14ac:dyDescent="0.25">
      <c r="A10174" t="s">
        <v>332</v>
      </c>
      <c r="B10174" t="s">
        <v>8303</v>
      </c>
      <c r="C10174" t="s">
        <v>88</v>
      </c>
      <c r="D10174" t="s">
        <v>8304</v>
      </c>
      <c r="E10174" t="s">
        <v>3172</v>
      </c>
      <c r="F10174" t="s">
        <v>88</v>
      </c>
      <c r="G10174" t="s">
        <v>88</v>
      </c>
      <c r="H10174" t="s">
        <v>92</v>
      </c>
    </row>
    <row r="10175" spans="1:8" x14ac:dyDescent="0.25">
      <c r="A10175" t="s">
        <v>332</v>
      </c>
      <c r="B10175" t="s">
        <v>8305</v>
      </c>
      <c r="C10175" t="s">
        <v>88</v>
      </c>
      <c r="D10175" t="s">
        <v>8306</v>
      </c>
      <c r="E10175" t="s">
        <v>3172</v>
      </c>
      <c r="F10175" t="s">
        <v>88</v>
      </c>
      <c r="G10175" t="s">
        <v>88</v>
      </c>
      <c r="H10175" t="s">
        <v>92</v>
      </c>
    </row>
    <row r="10176" spans="1:8" x14ac:dyDescent="0.25">
      <c r="A10176" t="s">
        <v>332</v>
      </c>
      <c r="B10176" t="s">
        <v>8307</v>
      </c>
      <c r="C10176" t="s">
        <v>88</v>
      </c>
      <c r="D10176" t="s">
        <v>8308</v>
      </c>
      <c r="E10176" t="s">
        <v>8309</v>
      </c>
      <c r="F10176" t="s">
        <v>88</v>
      </c>
      <c r="G10176" t="s">
        <v>88</v>
      </c>
      <c r="H10176" t="s">
        <v>92</v>
      </c>
    </row>
    <row r="10177" spans="1:8" x14ac:dyDescent="0.25">
      <c r="A10177" t="s">
        <v>332</v>
      </c>
      <c r="B10177" t="s">
        <v>8310</v>
      </c>
      <c r="C10177" t="s">
        <v>88</v>
      </c>
      <c r="D10177" t="s">
        <v>8267</v>
      </c>
      <c r="E10177" t="s">
        <v>8309</v>
      </c>
      <c r="F10177" t="s">
        <v>88</v>
      </c>
      <c r="G10177" t="s">
        <v>88</v>
      </c>
      <c r="H10177" t="s">
        <v>92</v>
      </c>
    </row>
    <row r="10178" spans="1:8" x14ac:dyDescent="0.25">
      <c r="A10178" t="s">
        <v>332</v>
      </c>
      <c r="B10178" t="s">
        <v>8311</v>
      </c>
      <c r="C10178" t="s">
        <v>88</v>
      </c>
      <c r="D10178" t="s">
        <v>8282</v>
      </c>
      <c r="E10178" t="s">
        <v>8312</v>
      </c>
      <c r="F10178" t="s">
        <v>88</v>
      </c>
      <c r="G10178" t="s">
        <v>88</v>
      </c>
      <c r="H10178" t="s">
        <v>92</v>
      </c>
    </row>
    <row r="10179" spans="1:8" x14ac:dyDescent="0.25">
      <c r="A10179" t="s">
        <v>332</v>
      </c>
      <c r="B10179" t="s">
        <v>8313</v>
      </c>
      <c r="C10179" t="s">
        <v>88</v>
      </c>
      <c r="D10179" t="s">
        <v>8290</v>
      </c>
      <c r="E10179" t="s">
        <v>8314</v>
      </c>
      <c r="F10179" t="s">
        <v>88</v>
      </c>
      <c r="G10179" t="s">
        <v>88</v>
      </c>
      <c r="H10179" t="s">
        <v>92</v>
      </c>
    </row>
    <row r="10180" spans="1:8" x14ac:dyDescent="0.25">
      <c r="A10180" t="s">
        <v>332</v>
      </c>
      <c r="B10180" t="s">
        <v>8315</v>
      </c>
      <c r="C10180" t="s">
        <v>88</v>
      </c>
      <c r="D10180" t="s">
        <v>8271</v>
      </c>
      <c r="E10180" t="s">
        <v>8316</v>
      </c>
      <c r="F10180" t="s">
        <v>88</v>
      </c>
      <c r="G10180" t="s">
        <v>88</v>
      </c>
      <c r="H10180" t="s">
        <v>92</v>
      </c>
    </row>
    <row r="10181" spans="1:8" x14ac:dyDescent="0.25">
      <c r="A10181" t="s">
        <v>332</v>
      </c>
      <c r="B10181" t="s">
        <v>8317</v>
      </c>
      <c r="C10181" t="s">
        <v>88</v>
      </c>
      <c r="D10181" t="s">
        <v>8269</v>
      </c>
      <c r="E10181" t="s">
        <v>805</v>
      </c>
      <c r="F10181" t="s">
        <v>88</v>
      </c>
      <c r="G10181" t="s">
        <v>88</v>
      </c>
      <c r="H10181" t="s">
        <v>92</v>
      </c>
    </row>
    <row r="10182" spans="1:8" x14ac:dyDescent="0.25">
      <c r="A10182" t="s">
        <v>332</v>
      </c>
      <c r="B10182" t="s">
        <v>8318</v>
      </c>
      <c r="C10182" t="s">
        <v>88</v>
      </c>
      <c r="D10182" t="s">
        <v>8319</v>
      </c>
      <c r="E10182" t="s">
        <v>8309</v>
      </c>
      <c r="F10182" t="s">
        <v>88</v>
      </c>
      <c r="G10182" t="s">
        <v>88</v>
      </c>
      <c r="H10182" t="s">
        <v>92</v>
      </c>
    </row>
    <row r="10183" spans="1:8" x14ac:dyDescent="0.25">
      <c r="A10183" t="s">
        <v>332</v>
      </c>
      <c r="B10183" t="s">
        <v>8320</v>
      </c>
      <c r="C10183" t="s">
        <v>88</v>
      </c>
      <c r="D10183" t="s">
        <v>8275</v>
      </c>
      <c r="E10183" t="s">
        <v>8309</v>
      </c>
      <c r="F10183" t="s">
        <v>88</v>
      </c>
      <c r="G10183" t="s">
        <v>88</v>
      </c>
      <c r="H10183" t="s">
        <v>92</v>
      </c>
    </row>
    <row r="10184" spans="1:8" x14ac:dyDescent="0.25">
      <c r="A10184" t="s">
        <v>332</v>
      </c>
      <c r="B10184" t="s">
        <v>8321</v>
      </c>
      <c r="C10184" t="s">
        <v>88</v>
      </c>
      <c r="D10184" t="s">
        <v>8280</v>
      </c>
      <c r="E10184" t="s">
        <v>8309</v>
      </c>
      <c r="F10184" t="s">
        <v>88</v>
      </c>
      <c r="G10184" t="s">
        <v>88</v>
      </c>
      <c r="H10184" t="s">
        <v>92</v>
      </c>
    </row>
    <row r="10185" spans="1:8" x14ac:dyDescent="0.25">
      <c r="A10185" t="s">
        <v>332</v>
      </c>
      <c r="B10185" t="s">
        <v>8322</v>
      </c>
      <c r="C10185" t="s">
        <v>88</v>
      </c>
      <c r="D10185" t="s">
        <v>8280</v>
      </c>
      <c r="E10185" t="s">
        <v>8323</v>
      </c>
      <c r="F10185" t="s">
        <v>88</v>
      </c>
      <c r="G10185" t="s">
        <v>88</v>
      </c>
      <c r="H10185" t="s">
        <v>92</v>
      </c>
    </row>
    <row r="10186" spans="1:8" x14ac:dyDescent="0.25">
      <c r="A10186" t="s">
        <v>332</v>
      </c>
      <c r="B10186" t="s">
        <v>8324</v>
      </c>
      <c r="C10186" t="s">
        <v>88</v>
      </c>
      <c r="D10186" t="s">
        <v>8284</v>
      </c>
      <c r="E10186" t="s">
        <v>8325</v>
      </c>
      <c r="F10186" t="s">
        <v>88</v>
      </c>
      <c r="G10186" t="s">
        <v>88</v>
      </c>
      <c r="H10186" t="s">
        <v>92</v>
      </c>
    </row>
    <row r="10187" spans="1:8" x14ac:dyDescent="0.25">
      <c r="A10187" t="s">
        <v>332</v>
      </c>
      <c r="B10187" t="s">
        <v>8326</v>
      </c>
      <c r="C10187" t="s">
        <v>88</v>
      </c>
      <c r="D10187" t="s">
        <v>8284</v>
      </c>
      <c r="E10187" t="s">
        <v>8217</v>
      </c>
      <c r="F10187" t="s">
        <v>88</v>
      </c>
      <c r="G10187" t="s">
        <v>88</v>
      </c>
      <c r="H10187" t="s">
        <v>92</v>
      </c>
    </row>
    <row r="10188" spans="1:8" x14ac:dyDescent="0.25">
      <c r="A10188" t="s">
        <v>332</v>
      </c>
      <c r="B10188" t="s">
        <v>8327</v>
      </c>
      <c r="C10188" t="s">
        <v>88</v>
      </c>
      <c r="D10188" t="s">
        <v>8328</v>
      </c>
      <c r="E10188" t="s">
        <v>8323</v>
      </c>
      <c r="F10188" t="s">
        <v>88</v>
      </c>
      <c r="G10188" t="s">
        <v>88</v>
      </c>
      <c r="H10188" t="s">
        <v>92</v>
      </c>
    </row>
    <row r="10189" spans="1:8" x14ac:dyDescent="0.25">
      <c r="A10189" t="s">
        <v>332</v>
      </c>
      <c r="B10189" t="s">
        <v>8329</v>
      </c>
      <c r="C10189" t="s">
        <v>88</v>
      </c>
      <c r="D10189" t="s">
        <v>8286</v>
      </c>
      <c r="E10189" t="s">
        <v>8323</v>
      </c>
      <c r="F10189" t="s">
        <v>88</v>
      </c>
      <c r="G10189" t="s">
        <v>88</v>
      </c>
      <c r="H10189" t="s">
        <v>92</v>
      </c>
    </row>
    <row r="10190" spans="1:8" x14ac:dyDescent="0.25">
      <c r="A10190" t="s">
        <v>332</v>
      </c>
      <c r="B10190" t="s">
        <v>8330</v>
      </c>
      <c r="C10190" t="s">
        <v>88</v>
      </c>
      <c r="D10190" t="s">
        <v>8286</v>
      </c>
      <c r="E10190" t="s">
        <v>8331</v>
      </c>
      <c r="F10190" t="s">
        <v>88</v>
      </c>
      <c r="G10190" t="s">
        <v>88</v>
      </c>
      <c r="H10190" t="s">
        <v>92</v>
      </c>
    </row>
    <row r="10191" spans="1:8" x14ac:dyDescent="0.25">
      <c r="A10191" t="s">
        <v>332</v>
      </c>
      <c r="B10191" t="s">
        <v>8332</v>
      </c>
      <c r="C10191" t="s">
        <v>88</v>
      </c>
      <c r="D10191" t="s">
        <v>8288</v>
      </c>
      <c r="E10191" t="s">
        <v>8331</v>
      </c>
      <c r="F10191" t="s">
        <v>88</v>
      </c>
      <c r="G10191" t="s">
        <v>88</v>
      </c>
      <c r="H10191" t="s">
        <v>92</v>
      </c>
    </row>
    <row r="10192" spans="1:8" x14ac:dyDescent="0.25">
      <c r="A10192" t="s">
        <v>332</v>
      </c>
      <c r="B10192" t="s">
        <v>8333</v>
      </c>
      <c r="C10192" t="s">
        <v>88</v>
      </c>
      <c r="D10192" t="s">
        <v>8334</v>
      </c>
      <c r="E10192" t="s">
        <v>8312</v>
      </c>
      <c r="F10192" t="s">
        <v>88</v>
      </c>
      <c r="G10192" t="s">
        <v>88</v>
      </c>
      <c r="H10192" t="s">
        <v>92</v>
      </c>
    </row>
    <row r="10193" spans="1:8" x14ac:dyDescent="0.25">
      <c r="A10193" t="s">
        <v>332</v>
      </c>
      <c r="B10193" t="s">
        <v>8335</v>
      </c>
      <c r="C10193" t="s">
        <v>88</v>
      </c>
      <c r="D10193" t="s">
        <v>8294</v>
      </c>
      <c r="E10193" t="s">
        <v>8323</v>
      </c>
      <c r="F10193" t="s">
        <v>88</v>
      </c>
      <c r="G10193" t="s">
        <v>88</v>
      </c>
      <c r="H10193" t="s">
        <v>92</v>
      </c>
    </row>
    <row r="10194" spans="1:8" x14ac:dyDescent="0.25">
      <c r="A10194" t="s">
        <v>332</v>
      </c>
      <c r="B10194" t="s">
        <v>8336</v>
      </c>
      <c r="C10194" t="s">
        <v>88</v>
      </c>
      <c r="D10194" t="s">
        <v>8296</v>
      </c>
      <c r="E10194" t="s">
        <v>8309</v>
      </c>
      <c r="F10194" t="s">
        <v>88</v>
      </c>
      <c r="G10194" t="s">
        <v>88</v>
      </c>
      <c r="H10194" t="s">
        <v>92</v>
      </c>
    </row>
    <row r="10195" spans="1:8" x14ac:dyDescent="0.25">
      <c r="A10195" t="s">
        <v>332</v>
      </c>
      <c r="B10195" t="s">
        <v>8337</v>
      </c>
      <c r="C10195" t="s">
        <v>88</v>
      </c>
      <c r="D10195" t="s">
        <v>8298</v>
      </c>
      <c r="E10195" t="s">
        <v>8338</v>
      </c>
      <c r="F10195" t="s">
        <v>88</v>
      </c>
      <c r="G10195" t="s">
        <v>88</v>
      </c>
      <c r="H10195" t="s">
        <v>92</v>
      </c>
    </row>
    <row r="10196" spans="1:8" x14ac:dyDescent="0.25">
      <c r="A10196" t="s">
        <v>332</v>
      </c>
      <c r="B10196" t="s">
        <v>8339</v>
      </c>
      <c r="C10196" t="s">
        <v>88</v>
      </c>
      <c r="D10196" t="s">
        <v>8300</v>
      </c>
      <c r="E10196" t="s">
        <v>8338</v>
      </c>
      <c r="F10196" t="s">
        <v>88</v>
      </c>
      <c r="G10196" t="s">
        <v>88</v>
      </c>
      <c r="H10196" t="s">
        <v>92</v>
      </c>
    </row>
    <row r="10197" spans="1:8" x14ac:dyDescent="0.25">
      <c r="A10197" t="s">
        <v>332</v>
      </c>
      <c r="B10197" t="s">
        <v>8340</v>
      </c>
      <c r="C10197" t="s">
        <v>88</v>
      </c>
      <c r="D10197" t="s">
        <v>8302</v>
      </c>
      <c r="E10197" t="s">
        <v>8309</v>
      </c>
      <c r="F10197" t="s">
        <v>88</v>
      </c>
      <c r="G10197" t="s">
        <v>88</v>
      </c>
      <c r="H10197" t="s">
        <v>92</v>
      </c>
    </row>
    <row r="10198" spans="1:8" x14ac:dyDescent="0.25">
      <c r="A10198" t="s">
        <v>332</v>
      </c>
      <c r="B10198" t="s">
        <v>8341</v>
      </c>
      <c r="C10198" t="s">
        <v>88</v>
      </c>
      <c r="D10198" t="s">
        <v>8304</v>
      </c>
      <c r="E10198" t="s">
        <v>8309</v>
      </c>
      <c r="F10198" t="s">
        <v>88</v>
      </c>
      <c r="G10198" t="s">
        <v>88</v>
      </c>
      <c r="H10198" t="s">
        <v>92</v>
      </c>
    </row>
    <row r="10199" spans="1:8" x14ac:dyDescent="0.25">
      <c r="A10199" t="s">
        <v>332</v>
      </c>
      <c r="B10199" t="s">
        <v>8342</v>
      </c>
      <c r="C10199" t="s">
        <v>88</v>
      </c>
      <c r="D10199" t="s">
        <v>8265</v>
      </c>
      <c r="E10199" t="s">
        <v>4641</v>
      </c>
      <c r="F10199" t="s">
        <v>88</v>
      </c>
      <c r="G10199" t="s">
        <v>88</v>
      </c>
      <c r="H10199" t="s">
        <v>92</v>
      </c>
    </row>
    <row r="10200" spans="1:8" x14ac:dyDescent="0.25">
      <c r="A10200" t="s">
        <v>332</v>
      </c>
      <c r="B10200" t="s">
        <v>8343</v>
      </c>
      <c r="C10200" t="s">
        <v>88</v>
      </c>
      <c r="D10200" t="s">
        <v>8306</v>
      </c>
      <c r="E10200" t="s">
        <v>8309</v>
      </c>
      <c r="F10200" t="s">
        <v>88</v>
      </c>
      <c r="G10200" t="s">
        <v>88</v>
      </c>
      <c r="H10200" t="s">
        <v>92</v>
      </c>
    </row>
    <row r="10201" spans="1:8" x14ac:dyDescent="0.25">
      <c r="A10201" t="s">
        <v>332</v>
      </c>
      <c r="B10201" t="s">
        <v>8344</v>
      </c>
      <c r="C10201" t="s">
        <v>88</v>
      </c>
      <c r="D10201" t="s">
        <v>8345</v>
      </c>
      <c r="E10201" t="s">
        <v>2481</v>
      </c>
      <c r="F10201" t="s">
        <v>88</v>
      </c>
      <c r="G10201" t="s">
        <v>88</v>
      </c>
      <c r="H10201" t="s">
        <v>92</v>
      </c>
    </row>
    <row r="10202" spans="1:8" x14ac:dyDescent="0.25">
      <c r="A10202" t="s">
        <v>332</v>
      </c>
      <c r="B10202" t="s">
        <v>8346</v>
      </c>
      <c r="C10202" t="s">
        <v>88</v>
      </c>
      <c r="D10202" t="s">
        <v>8347</v>
      </c>
      <c r="E10202" t="s">
        <v>762</v>
      </c>
      <c r="F10202" t="s">
        <v>88</v>
      </c>
      <c r="G10202" t="s">
        <v>88</v>
      </c>
      <c r="H10202" t="s">
        <v>92</v>
      </c>
    </row>
    <row r="10203" spans="1:8" x14ac:dyDescent="0.25">
      <c r="A10203" t="s">
        <v>332</v>
      </c>
      <c r="B10203" t="s">
        <v>8348</v>
      </c>
      <c r="C10203" t="s">
        <v>88</v>
      </c>
      <c r="D10203" t="s">
        <v>88</v>
      </c>
      <c r="E10203" t="s">
        <v>655</v>
      </c>
      <c r="F10203" t="s">
        <v>88</v>
      </c>
      <c r="G10203" t="s">
        <v>88</v>
      </c>
      <c r="H10203" t="s">
        <v>92</v>
      </c>
    </row>
    <row r="10204" spans="1:8" x14ac:dyDescent="0.25">
      <c r="A10204" t="s">
        <v>332</v>
      </c>
      <c r="B10204" t="s">
        <v>8349</v>
      </c>
      <c r="C10204" t="s">
        <v>88</v>
      </c>
      <c r="D10204" t="s">
        <v>88</v>
      </c>
      <c r="E10204" t="s">
        <v>655</v>
      </c>
      <c r="F10204" t="s">
        <v>88</v>
      </c>
      <c r="G10204" t="s">
        <v>88</v>
      </c>
      <c r="H10204" t="s">
        <v>92</v>
      </c>
    </row>
    <row r="10205" spans="1:8" x14ac:dyDescent="0.25">
      <c r="A10205" t="s">
        <v>332</v>
      </c>
      <c r="B10205" t="s">
        <v>8350</v>
      </c>
      <c r="C10205" t="s">
        <v>88</v>
      </c>
      <c r="D10205" t="s">
        <v>8351</v>
      </c>
      <c r="E10205" t="s">
        <v>820</v>
      </c>
      <c r="F10205" t="s">
        <v>88</v>
      </c>
      <c r="G10205" t="s">
        <v>88</v>
      </c>
      <c r="H10205" t="s">
        <v>92</v>
      </c>
    </row>
    <row r="10206" spans="1:8" x14ac:dyDescent="0.25">
      <c r="A10206" t="s">
        <v>332</v>
      </c>
      <c r="B10206" t="s">
        <v>8352</v>
      </c>
      <c r="C10206" t="s">
        <v>88</v>
      </c>
      <c r="D10206" t="s">
        <v>88</v>
      </c>
      <c r="E10206" t="s">
        <v>655</v>
      </c>
      <c r="F10206" t="s">
        <v>88</v>
      </c>
      <c r="G10206" t="s">
        <v>88</v>
      </c>
      <c r="H10206" t="s">
        <v>92</v>
      </c>
    </row>
    <row r="10207" spans="1:8" x14ac:dyDescent="0.25">
      <c r="A10207" t="s">
        <v>332</v>
      </c>
      <c r="B10207" t="s">
        <v>8353</v>
      </c>
      <c r="C10207" t="s">
        <v>88</v>
      </c>
      <c r="D10207" t="s">
        <v>88</v>
      </c>
      <c r="E10207" t="s">
        <v>655</v>
      </c>
      <c r="F10207" t="s">
        <v>88</v>
      </c>
      <c r="G10207" t="s">
        <v>88</v>
      </c>
      <c r="H10207" t="s">
        <v>92</v>
      </c>
    </row>
    <row r="10208" spans="1:8" x14ac:dyDescent="0.25">
      <c r="A10208" t="s">
        <v>332</v>
      </c>
      <c r="B10208" t="s">
        <v>8354</v>
      </c>
      <c r="C10208" t="s">
        <v>88</v>
      </c>
      <c r="D10208" t="s">
        <v>88</v>
      </c>
      <c r="E10208" t="s">
        <v>655</v>
      </c>
      <c r="F10208" t="s">
        <v>88</v>
      </c>
      <c r="G10208" t="s">
        <v>88</v>
      </c>
      <c r="H10208" t="s">
        <v>92</v>
      </c>
    </row>
    <row r="10209" spans="1:8" x14ac:dyDescent="0.25">
      <c r="A10209" t="s">
        <v>332</v>
      </c>
      <c r="B10209" t="s">
        <v>8355</v>
      </c>
      <c r="C10209" t="s">
        <v>88</v>
      </c>
      <c r="D10209" t="s">
        <v>88</v>
      </c>
      <c r="E10209" t="s">
        <v>655</v>
      </c>
      <c r="F10209" t="s">
        <v>88</v>
      </c>
      <c r="G10209" t="s">
        <v>88</v>
      </c>
      <c r="H10209" t="s">
        <v>92</v>
      </c>
    </row>
    <row r="10210" spans="1:8" x14ac:dyDescent="0.25">
      <c r="A10210" t="s">
        <v>332</v>
      </c>
      <c r="B10210" t="s">
        <v>8356</v>
      </c>
      <c r="C10210" t="s">
        <v>88</v>
      </c>
      <c r="D10210" t="s">
        <v>88</v>
      </c>
      <c r="E10210" t="s">
        <v>655</v>
      </c>
      <c r="F10210" t="s">
        <v>88</v>
      </c>
      <c r="G10210" t="s">
        <v>88</v>
      </c>
      <c r="H10210" t="s">
        <v>92</v>
      </c>
    </row>
    <row r="10211" spans="1:8" x14ac:dyDescent="0.25">
      <c r="A10211" t="s">
        <v>332</v>
      </c>
      <c r="B10211" t="s">
        <v>8357</v>
      </c>
      <c r="C10211" t="s">
        <v>88</v>
      </c>
      <c r="D10211" t="s">
        <v>8358</v>
      </c>
      <c r="E10211" t="s">
        <v>1594</v>
      </c>
      <c r="F10211" t="s">
        <v>88</v>
      </c>
      <c r="G10211" t="s">
        <v>88</v>
      </c>
      <c r="H10211" t="s">
        <v>92</v>
      </c>
    </row>
    <row r="10212" spans="1:8" x14ac:dyDescent="0.25">
      <c r="A10212" t="s">
        <v>332</v>
      </c>
      <c r="B10212" t="s">
        <v>1905</v>
      </c>
      <c r="C10212" t="s">
        <v>88</v>
      </c>
      <c r="D10212" t="s">
        <v>8358</v>
      </c>
      <c r="E10212" t="s">
        <v>3593</v>
      </c>
      <c r="F10212" t="s">
        <v>88</v>
      </c>
      <c r="G10212" t="s">
        <v>88</v>
      </c>
      <c r="H10212" t="s">
        <v>92</v>
      </c>
    </row>
    <row r="10213" spans="1:8" x14ac:dyDescent="0.25">
      <c r="A10213" t="s">
        <v>332</v>
      </c>
      <c r="B10213" t="s">
        <v>1902</v>
      </c>
      <c r="C10213" t="s">
        <v>88</v>
      </c>
      <c r="D10213" t="s">
        <v>88</v>
      </c>
      <c r="E10213" t="s">
        <v>1068</v>
      </c>
      <c r="F10213" t="s">
        <v>88</v>
      </c>
      <c r="G10213" t="s">
        <v>88</v>
      </c>
      <c r="H10213" t="s">
        <v>92</v>
      </c>
    </row>
    <row r="10214" spans="1:8" x14ac:dyDescent="0.25">
      <c r="A10214" t="s">
        <v>332</v>
      </c>
      <c r="B10214" t="s">
        <v>8359</v>
      </c>
      <c r="C10214" t="s">
        <v>88</v>
      </c>
      <c r="D10214" t="s">
        <v>8360</v>
      </c>
      <c r="E10214" t="s">
        <v>4259</v>
      </c>
      <c r="F10214" t="s">
        <v>88</v>
      </c>
      <c r="G10214" t="s">
        <v>88</v>
      </c>
      <c r="H10214" t="s">
        <v>92</v>
      </c>
    </row>
    <row r="10215" spans="1:8" x14ac:dyDescent="0.25">
      <c r="A10215" t="s">
        <v>332</v>
      </c>
      <c r="B10215" t="s">
        <v>701</v>
      </c>
      <c r="C10215" t="s">
        <v>88</v>
      </c>
      <c r="D10215" t="s">
        <v>88</v>
      </c>
      <c r="E10215" t="s">
        <v>738</v>
      </c>
      <c r="F10215" t="s">
        <v>88</v>
      </c>
      <c r="G10215" t="s">
        <v>88</v>
      </c>
      <c r="H10215" t="s">
        <v>92</v>
      </c>
    </row>
    <row r="10216" spans="1:8" x14ac:dyDescent="0.25">
      <c r="A10216" t="s">
        <v>332</v>
      </c>
      <c r="B10216" t="s">
        <v>703</v>
      </c>
      <c r="C10216" t="s">
        <v>88</v>
      </c>
      <c r="D10216" t="s">
        <v>88</v>
      </c>
      <c r="E10216" t="s">
        <v>738</v>
      </c>
      <c r="F10216" t="s">
        <v>88</v>
      </c>
      <c r="G10216" t="s">
        <v>88</v>
      </c>
      <c r="H10216" t="s">
        <v>92</v>
      </c>
    </row>
    <row r="10217" spans="1:8" x14ac:dyDescent="0.25">
      <c r="A10217" t="s">
        <v>332</v>
      </c>
      <c r="B10217" t="s">
        <v>704</v>
      </c>
      <c r="C10217" t="s">
        <v>88</v>
      </c>
      <c r="D10217" t="s">
        <v>88</v>
      </c>
      <c r="E10217" t="s">
        <v>738</v>
      </c>
      <c r="F10217" t="s">
        <v>88</v>
      </c>
      <c r="G10217" t="s">
        <v>88</v>
      </c>
      <c r="H10217" t="s">
        <v>92</v>
      </c>
    </row>
    <row r="10218" spans="1:8" x14ac:dyDescent="0.25">
      <c r="A10218" t="s">
        <v>332</v>
      </c>
      <c r="B10218" t="s">
        <v>705</v>
      </c>
      <c r="C10218" t="s">
        <v>88</v>
      </c>
      <c r="D10218" t="s">
        <v>88</v>
      </c>
      <c r="E10218" t="s">
        <v>738</v>
      </c>
      <c r="F10218" t="s">
        <v>88</v>
      </c>
      <c r="G10218" t="s">
        <v>88</v>
      </c>
      <c r="H10218" t="s">
        <v>92</v>
      </c>
    </row>
    <row r="10219" spans="1:8" x14ac:dyDescent="0.25">
      <c r="A10219" t="s">
        <v>332</v>
      </c>
      <c r="B10219" t="s">
        <v>706</v>
      </c>
      <c r="C10219" t="s">
        <v>88</v>
      </c>
      <c r="D10219" t="s">
        <v>88</v>
      </c>
      <c r="E10219" t="s">
        <v>738</v>
      </c>
      <c r="F10219" t="s">
        <v>88</v>
      </c>
      <c r="G10219" t="s">
        <v>88</v>
      </c>
      <c r="H10219" t="s">
        <v>92</v>
      </c>
    </row>
    <row r="10220" spans="1:8" x14ac:dyDescent="0.25">
      <c r="A10220" t="s">
        <v>332</v>
      </c>
      <c r="B10220" t="s">
        <v>707</v>
      </c>
      <c r="C10220" t="s">
        <v>88</v>
      </c>
      <c r="D10220" t="s">
        <v>88</v>
      </c>
      <c r="E10220" t="s">
        <v>738</v>
      </c>
      <c r="F10220" t="s">
        <v>88</v>
      </c>
      <c r="G10220" t="s">
        <v>88</v>
      </c>
      <c r="H10220" t="s">
        <v>92</v>
      </c>
    </row>
    <row r="10221" spans="1:8" x14ac:dyDescent="0.25">
      <c r="A10221" t="s">
        <v>332</v>
      </c>
      <c r="B10221" t="s">
        <v>708</v>
      </c>
      <c r="C10221" t="s">
        <v>88</v>
      </c>
      <c r="D10221" t="s">
        <v>88</v>
      </c>
      <c r="E10221" t="s">
        <v>738</v>
      </c>
      <c r="F10221" t="s">
        <v>88</v>
      </c>
      <c r="G10221" t="s">
        <v>88</v>
      </c>
      <c r="H10221" t="s">
        <v>92</v>
      </c>
    </row>
    <row r="10222" spans="1:8" x14ac:dyDescent="0.25">
      <c r="A10222" t="s">
        <v>332</v>
      </c>
      <c r="B10222" t="s">
        <v>8361</v>
      </c>
      <c r="C10222" t="s">
        <v>88</v>
      </c>
      <c r="D10222" t="s">
        <v>88</v>
      </c>
      <c r="E10222" t="s">
        <v>738</v>
      </c>
      <c r="F10222" t="s">
        <v>88</v>
      </c>
      <c r="G10222" t="s">
        <v>88</v>
      </c>
      <c r="H10222" t="s">
        <v>92</v>
      </c>
    </row>
    <row r="10223" spans="1:8" x14ac:dyDescent="0.25">
      <c r="A10223" t="s">
        <v>332</v>
      </c>
      <c r="B10223" t="s">
        <v>6879</v>
      </c>
      <c r="C10223" t="s">
        <v>88</v>
      </c>
      <c r="D10223" t="s">
        <v>88</v>
      </c>
      <c r="E10223" t="s">
        <v>1323</v>
      </c>
      <c r="F10223" t="s">
        <v>88</v>
      </c>
      <c r="G10223" t="s">
        <v>88</v>
      </c>
      <c r="H10223" t="s">
        <v>92</v>
      </c>
    </row>
    <row r="10224" spans="1:8" x14ac:dyDescent="0.25">
      <c r="A10224" t="s">
        <v>332</v>
      </c>
      <c r="B10224" t="s">
        <v>620</v>
      </c>
      <c r="C10224" t="s">
        <v>88</v>
      </c>
      <c r="D10224" t="s">
        <v>88</v>
      </c>
      <c r="E10224" t="s">
        <v>715</v>
      </c>
      <c r="F10224" t="s">
        <v>88</v>
      </c>
      <c r="G10224" t="s">
        <v>88</v>
      </c>
      <c r="H10224" t="s">
        <v>92</v>
      </c>
    </row>
    <row r="10225" spans="1:8" x14ac:dyDescent="0.25">
      <c r="A10225" t="s">
        <v>332</v>
      </c>
      <c r="B10225" t="s">
        <v>622</v>
      </c>
      <c r="C10225" t="s">
        <v>88</v>
      </c>
      <c r="D10225" t="s">
        <v>88</v>
      </c>
      <c r="E10225" t="s">
        <v>791</v>
      </c>
      <c r="F10225" t="s">
        <v>88</v>
      </c>
      <c r="G10225" t="s">
        <v>88</v>
      </c>
      <c r="H10225" t="s">
        <v>92</v>
      </c>
    </row>
    <row r="10226" spans="1:8" x14ac:dyDescent="0.25">
      <c r="A10226" t="s">
        <v>332</v>
      </c>
      <c r="B10226" t="s">
        <v>712</v>
      </c>
      <c r="C10226" t="s">
        <v>88</v>
      </c>
      <c r="D10226" t="s">
        <v>88</v>
      </c>
      <c r="E10226" t="s">
        <v>702</v>
      </c>
      <c r="F10226" t="s">
        <v>88</v>
      </c>
      <c r="G10226" t="s">
        <v>88</v>
      </c>
      <c r="H10226" t="s">
        <v>92</v>
      </c>
    </row>
    <row r="10227" spans="1:8" x14ac:dyDescent="0.25">
      <c r="A10227" t="s">
        <v>332</v>
      </c>
      <c r="B10227" t="s">
        <v>1324</v>
      </c>
      <c r="C10227" t="s">
        <v>88</v>
      </c>
      <c r="D10227" t="s">
        <v>8362</v>
      </c>
      <c r="E10227" t="s">
        <v>2481</v>
      </c>
      <c r="F10227" t="s">
        <v>88</v>
      </c>
      <c r="G10227" t="s">
        <v>88</v>
      </c>
      <c r="H10227" t="s">
        <v>92</v>
      </c>
    </row>
    <row r="10228" spans="1:8" x14ac:dyDescent="0.25">
      <c r="A10228" t="s">
        <v>332</v>
      </c>
      <c r="B10228" t="s">
        <v>4533</v>
      </c>
      <c r="C10228" t="s">
        <v>88</v>
      </c>
      <c r="D10228" t="s">
        <v>8362</v>
      </c>
      <c r="E10228" t="s">
        <v>2481</v>
      </c>
      <c r="F10228" t="s">
        <v>88</v>
      </c>
      <c r="G10228" t="s">
        <v>88</v>
      </c>
      <c r="H10228" t="s">
        <v>92</v>
      </c>
    </row>
    <row r="10229" spans="1:8" x14ac:dyDescent="0.25">
      <c r="A10229" t="s">
        <v>332</v>
      </c>
      <c r="B10229" t="s">
        <v>8363</v>
      </c>
      <c r="C10229" t="s">
        <v>88</v>
      </c>
      <c r="D10229" t="s">
        <v>8362</v>
      </c>
      <c r="E10229" t="s">
        <v>2481</v>
      </c>
      <c r="F10229" t="s">
        <v>88</v>
      </c>
      <c r="G10229" t="s">
        <v>88</v>
      </c>
      <c r="H10229" t="s">
        <v>92</v>
      </c>
    </row>
    <row r="10230" spans="1:8" x14ac:dyDescent="0.25">
      <c r="A10230" t="s">
        <v>332</v>
      </c>
      <c r="B10230" t="s">
        <v>8364</v>
      </c>
      <c r="C10230" t="s">
        <v>88</v>
      </c>
      <c r="D10230" t="s">
        <v>8362</v>
      </c>
      <c r="E10230" t="s">
        <v>2481</v>
      </c>
      <c r="F10230" t="s">
        <v>88</v>
      </c>
      <c r="G10230" t="s">
        <v>88</v>
      </c>
      <c r="H10230" t="s">
        <v>92</v>
      </c>
    </row>
    <row r="10231" spans="1:8" x14ac:dyDescent="0.25">
      <c r="A10231" t="s">
        <v>332</v>
      </c>
      <c r="B10231" t="s">
        <v>8365</v>
      </c>
      <c r="C10231" t="s">
        <v>88</v>
      </c>
      <c r="D10231" t="s">
        <v>8362</v>
      </c>
      <c r="E10231" t="s">
        <v>2481</v>
      </c>
      <c r="F10231" t="s">
        <v>88</v>
      </c>
      <c r="G10231" t="s">
        <v>88</v>
      </c>
      <c r="H10231" t="s">
        <v>92</v>
      </c>
    </row>
    <row r="10232" spans="1:8" x14ac:dyDescent="0.25">
      <c r="A10232" t="s">
        <v>332</v>
      </c>
      <c r="B10232" t="s">
        <v>8366</v>
      </c>
      <c r="C10232" t="s">
        <v>88</v>
      </c>
      <c r="D10232" t="s">
        <v>88</v>
      </c>
      <c r="E10232" t="s">
        <v>1259</v>
      </c>
      <c r="F10232" t="s">
        <v>88</v>
      </c>
      <c r="G10232" t="s">
        <v>88</v>
      </c>
      <c r="H10232" t="s">
        <v>92</v>
      </c>
    </row>
    <row r="10233" spans="1:8" x14ac:dyDescent="0.25">
      <c r="A10233" t="s">
        <v>332</v>
      </c>
      <c r="B10233" t="s">
        <v>8367</v>
      </c>
      <c r="C10233" t="s">
        <v>88</v>
      </c>
      <c r="D10233" t="s">
        <v>88</v>
      </c>
      <c r="E10233" t="s">
        <v>1259</v>
      </c>
      <c r="F10233" t="s">
        <v>88</v>
      </c>
      <c r="G10233" t="s">
        <v>88</v>
      </c>
      <c r="H10233" t="s">
        <v>92</v>
      </c>
    </row>
    <row r="10234" spans="1:8" x14ac:dyDescent="0.25">
      <c r="A10234" t="s">
        <v>332</v>
      </c>
      <c r="B10234" t="s">
        <v>8368</v>
      </c>
      <c r="C10234" t="s">
        <v>88</v>
      </c>
      <c r="D10234" t="s">
        <v>88</v>
      </c>
      <c r="E10234" t="s">
        <v>1259</v>
      </c>
      <c r="F10234" t="s">
        <v>88</v>
      </c>
      <c r="G10234" t="s">
        <v>88</v>
      </c>
      <c r="H10234" t="s">
        <v>92</v>
      </c>
    </row>
    <row r="10235" spans="1:8" x14ac:dyDescent="0.25">
      <c r="A10235" t="s">
        <v>332</v>
      </c>
      <c r="B10235" t="s">
        <v>8369</v>
      </c>
      <c r="C10235" t="s">
        <v>88</v>
      </c>
      <c r="D10235" t="s">
        <v>88</v>
      </c>
      <c r="E10235" t="s">
        <v>1259</v>
      </c>
      <c r="F10235" t="s">
        <v>88</v>
      </c>
      <c r="G10235" t="s">
        <v>88</v>
      </c>
      <c r="H10235" t="s">
        <v>92</v>
      </c>
    </row>
    <row r="10236" spans="1:8" x14ac:dyDescent="0.25">
      <c r="A10236" t="s">
        <v>332</v>
      </c>
      <c r="B10236" t="s">
        <v>8370</v>
      </c>
      <c r="C10236" t="s">
        <v>88</v>
      </c>
      <c r="D10236" t="s">
        <v>8371</v>
      </c>
      <c r="E10236" t="s">
        <v>717</v>
      </c>
      <c r="F10236" t="s">
        <v>88</v>
      </c>
      <c r="G10236" t="s">
        <v>88</v>
      </c>
      <c r="H10236" t="s">
        <v>92</v>
      </c>
    </row>
    <row r="10237" spans="1:8" x14ac:dyDescent="0.25">
      <c r="A10237" t="s">
        <v>332</v>
      </c>
      <c r="B10237" t="s">
        <v>8372</v>
      </c>
      <c r="C10237" t="s">
        <v>88</v>
      </c>
      <c r="D10237" t="s">
        <v>88</v>
      </c>
      <c r="E10237" t="s">
        <v>937</v>
      </c>
      <c r="F10237" t="s">
        <v>88</v>
      </c>
      <c r="G10237" t="s">
        <v>88</v>
      </c>
      <c r="H10237" t="s">
        <v>92</v>
      </c>
    </row>
    <row r="10238" spans="1:8" x14ac:dyDescent="0.25">
      <c r="A10238" t="s">
        <v>332</v>
      </c>
      <c r="B10238" t="s">
        <v>8373</v>
      </c>
      <c r="C10238" t="s">
        <v>88</v>
      </c>
      <c r="D10238" t="s">
        <v>88</v>
      </c>
      <c r="E10238" t="s">
        <v>937</v>
      </c>
      <c r="F10238" t="s">
        <v>88</v>
      </c>
      <c r="G10238" t="s">
        <v>88</v>
      </c>
      <c r="H10238" t="s">
        <v>92</v>
      </c>
    </row>
    <row r="10239" spans="1:8" x14ac:dyDescent="0.25">
      <c r="A10239" t="s">
        <v>332</v>
      </c>
      <c r="B10239" t="s">
        <v>8374</v>
      </c>
      <c r="C10239" t="s">
        <v>88</v>
      </c>
      <c r="D10239" t="s">
        <v>88</v>
      </c>
      <c r="E10239" t="s">
        <v>937</v>
      </c>
      <c r="F10239" t="s">
        <v>88</v>
      </c>
      <c r="G10239" t="s">
        <v>88</v>
      </c>
      <c r="H10239" t="s">
        <v>92</v>
      </c>
    </row>
    <row r="10240" spans="1:8" x14ac:dyDescent="0.25">
      <c r="A10240" t="s">
        <v>332</v>
      </c>
      <c r="B10240" t="s">
        <v>8375</v>
      </c>
      <c r="C10240" t="s">
        <v>88</v>
      </c>
      <c r="D10240" t="s">
        <v>88</v>
      </c>
      <c r="E10240" t="s">
        <v>937</v>
      </c>
      <c r="F10240" t="s">
        <v>88</v>
      </c>
      <c r="G10240" t="s">
        <v>88</v>
      </c>
      <c r="H10240" t="s">
        <v>92</v>
      </c>
    </row>
    <row r="10241" spans="1:8" x14ac:dyDescent="0.25">
      <c r="A10241" t="s">
        <v>332</v>
      </c>
      <c r="B10241" t="s">
        <v>8376</v>
      </c>
      <c r="C10241" t="s">
        <v>88</v>
      </c>
      <c r="D10241" t="s">
        <v>88</v>
      </c>
      <c r="E10241" t="s">
        <v>937</v>
      </c>
      <c r="F10241" t="s">
        <v>88</v>
      </c>
      <c r="G10241" t="s">
        <v>88</v>
      </c>
      <c r="H10241" t="s">
        <v>92</v>
      </c>
    </row>
    <row r="10242" spans="1:8" x14ac:dyDescent="0.25">
      <c r="A10242" t="s">
        <v>332</v>
      </c>
      <c r="B10242" t="s">
        <v>8377</v>
      </c>
      <c r="C10242" t="s">
        <v>88</v>
      </c>
      <c r="D10242" t="s">
        <v>88</v>
      </c>
      <c r="E10242" t="s">
        <v>1219</v>
      </c>
      <c r="F10242" t="s">
        <v>88</v>
      </c>
      <c r="G10242" t="s">
        <v>88</v>
      </c>
      <c r="H10242" t="s">
        <v>92</v>
      </c>
    </row>
    <row r="10243" spans="1:8" x14ac:dyDescent="0.25">
      <c r="A10243" t="s">
        <v>332</v>
      </c>
      <c r="B10243" t="s">
        <v>8378</v>
      </c>
      <c r="C10243" t="s">
        <v>88</v>
      </c>
      <c r="D10243" t="s">
        <v>88</v>
      </c>
      <c r="E10243" t="s">
        <v>700</v>
      </c>
      <c r="F10243" t="s">
        <v>88</v>
      </c>
      <c r="G10243" t="s">
        <v>88</v>
      </c>
      <c r="H10243" t="s">
        <v>92</v>
      </c>
    </row>
    <row r="10244" spans="1:8" x14ac:dyDescent="0.25">
      <c r="A10244" t="s">
        <v>332</v>
      </c>
      <c r="B10244" t="s">
        <v>8379</v>
      </c>
      <c r="C10244" t="s">
        <v>88</v>
      </c>
      <c r="D10244" t="s">
        <v>88</v>
      </c>
      <c r="E10244" t="s">
        <v>2989</v>
      </c>
      <c r="F10244" t="s">
        <v>88</v>
      </c>
      <c r="G10244" t="s">
        <v>88</v>
      </c>
      <c r="H10244" t="s">
        <v>92</v>
      </c>
    </row>
    <row r="10245" spans="1:8" x14ac:dyDescent="0.25">
      <c r="A10245" t="s">
        <v>332</v>
      </c>
      <c r="B10245" t="s">
        <v>8380</v>
      </c>
      <c r="C10245" t="s">
        <v>88</v>
      </c>
      <c r="D10245" t="s">
        <v>88</v>
      </c>
      <c r="E10245" t="s">
        <v>2989</v>
      </c>
      <c r="F10245" t="s">
        <v>88</v>
      </c>
      <c r="G10245" t="s">
        <v>88</v>
      </c>
      <c r="H10245" t="s">
        <v>92</v>
      </c>
    </row>
    <row r="10246" spans="1:8" x14ac:dyDescent="0.25">
      <c r="A10246" t="s">
        <v>332</v>
      </c>
      <c r="B10246" t="s">
        <v>8381</v>
      </c>
      <c r="C10246" t="s">
        <v>88</v>
      </c>
      <c r="D10246" t="s">
        <v>88</v>
      </c>
      <c r="E10246" t="s">
        <v>2989</v>
      </c>
      <c r="F10246" t="s">
        <v>88</v>
      </c>
      <c r="G10246" t="s">
        <v>88</v>
      </c>
      <c r="H10246" t="s">
        <v>92</v>
      </c>
    </row>
    <row r="10247" spans="1:8" x14ac:dyDescent="0.25">
      <c r="A10247" t="s">
        <v>332</v>
      </c>
      <c r="B10247" t="s">
        <v>8382</v>
      </c>
      <c r="C10247" t="s">
        <v>88</v>
      </c>
      <c r="D10247" t="s">
        <v>88</v>
      </c>
      <c r="E10247" t="s">
        <v>2989</v>
      </c>
      <c r="F10247" t="s">
        <v>88</v>
      </c>
      <c r="G10247" t="s">
        <v>88</v>
      </c>
      <c r="H10247" t="s">
        <v>92</v>
      </c>
    </row>
    <row r="10248" spans="1:8" x14ac:dyDescent="0.25">
      <c r="A10248" t="s">
        <v>332</v>
      </c>
      <c r="B10248" t="s">
        <v>8383</v>
      </c>
      <c r="C10248" t="s">
        <v>88</v>
      </c>
      <c r="D10248" t="s">
        <v>88</v>
      </c>
      <c r="E10248" t="s">
        <v>2989</v>
      </c>
      <c r="F10248" t="s">
        <v>88</v>
      </c>
      <c r="G10248" t="s">
        <v>88</v>
      </c>
      <c r="H10248" t="s">
        <v>92</v>
      </c>
    </row>
    <row r="10249" spans="1:8" x14ac:dyDescent="0.25">
      <c r="A10249" t="s">
        <v>332</v>
      </c>
      <c r="B10249" t="s">
        <v>8384</v>
      </c>
      <c r="C10249" t="s">
        <v>88</v>
      </c>
      <c r="D10249" t="s">
        <v>88</v>
      </c>
      <c r="E10249" t="s">
        <v>2989</v>
      </c>
      <c r="F10249" t="s">
        <v>88</v>
      </c>
      <c r="G10249" t="s">
        <v>88</v>
      </c>
      <c r="H10249" t="s">
        <v>92</v>
      </c>
    </row>
    <row r="10250" spans="1:8" x14ac:dyDescent="0.25">
      <c r="A10250" t="s">
        <v>332</v>
      </c>
      <c r="B10250" t="s">
        <v>8385</v>
      </c>
      <c r="C10250" t="s">
        <v>88</v>
      </c>
      <c r="D10250" t="s">
        <v>88</v>
      </c>
      <c r="E10250" t="s">
        <v>2989</v>
      </c>
      <c r="F10250" t="s">
        <v>88</v>
      </c>
      <c r="G10250" t="s">
        <v>88</v>
      </c>
      <c r="H10250" t="s">
        <v>92</v>
      </c>
    </row>
    <row r="10251" spans="1:8" x14ac:dyDescent="0.25">
      <c r="A10251" t="s">
        <v>332</v>
      </c>
      <c r="B10251" t="s">
        <v>8386</v>
      </c>
      <c r="C10251" t="s">
        <v>88</v>
      </c>
      <c r="D10251" t="s">
        <v>88</v>
      </c>
      <c r="E10251" t="s">
        <v>2989</v>
      </c>
      <c r="F10251" t="s">
        <v>88</v>
      </c>
      <c r="G10251" t="s">
        <v>88</v>
      </c>
      <c r="H10251" t="s">
        <v>92</v>
      </c>
    </row>
    <row r="10252" spans="1:8" x14ac:dyDescent="0.25">
      <c r="A10252" t="s">
        <v>332</v>
      </c>
      <c r="B10252" t="s">
        <v>8387</v>
      </c>
      <c r="C10252" t="s">
        <v>88</v>
      </c>
      <c r="D10252" t="s">
        <v>88</v>
      </c>
      <c r="E10252" t="s">
        <v>2989</v>
      </c>
      <c r="F10252" t="s">
        <v>88</v>
      </c>
      <c r="G10252" t="s">
        <v>88</v>
      </c>
      <c r="H10252" t="s">
        <v>92</v>
      </c>
    </row>
    <row r="10253" spans="1:8" x14ac:dyDescent="0.25">
      <c r="A10253" t="s">
        <v>332</v>
      </c>
      <c r="B10253" t="s">
        <v>8388</v>
      </c>
      <c r="C10253" t="s">
        <v>88</v>
      </c>
      <c r="D10253" t="s">
        <v>88</v>
      </c>
      <c r="E10253" t="s">
        <v>2989</v>
      </c>
      <c r="F10253" t="s">
        <v>88</v>
      </c>
      <c r="G10253" t="s">
        <v>88</v>
      </c>
      <c r="H10253" t="s">
        <v>92</v>
      </c>
    </row>
    <row r="10254" spans="1:8" x14ac:dyDescent="0.25">
      <c r="A10254" t="s">
        <v>332</v>
      </c>
      <c r="B10254" t="s">
        <v>8389</v>
      </c>
      <c r="C10254" t="s">
        <v>88</v>
      </c>
      <c r="D10254" t="s">
        <v>88</v>
      </c>
      <c r="E10254" t="s">
        <v>2989</v>
      </c>
      <c r="F10254" t="s">
        <v>88</v>
      </c>
      <c r="G10254" t="s">
        <v>88</v>
      </c>
      <c r="H10254" t="s">
        <v>92</v>
      </c>
    </row>
    <row r="10255" spans="1:8" x14ac:dyDescent="0.25">
      <c r="A10255" t="s">
        <v>332</v>
      </c>
      <c r="B10255" t="s">
        <v>8390</v>
      </c>
      <c r="C10255" t="s">
        <v>88</v>
      </c>
      <c r="D10255" t="s">
        <v>88</v>
      </c>
      <c r="E10255" t="s">
        <v>2989</v>
      </c>
      <c r="F10255" t="s">
        <v>88</v>
      </c>
      <c r="G10255" t="s">
        <v>88</v>
      </c>
      <c r="H10255" t="s">
        <v>92</v>
      </c>
    </row>
    <row r="10256" spans="1:8" x14ac:dyDescent="0.25">
      <c r="A10256" t="s">
        <v>332</v>
      </c>
      <c r="B10256" t="s">
        <v>8391</v>
      </c>
      <c r="C10256" t="s">
        <v>88</v>
      </c>
      <c r="D10256" t="s">
        <v>8392</v>
      </c>
      <c r="E10256" t="s">
        <v>2989</v>
      </c>
      <c r="F10256" t="s">
        <v>88</v>
      </c>
      <c r="G10256" t="s">
        <v>88</v>
      </c>
      <c r="H10256" t="s">
        <v>92</v>
      </c>
    </row>
    <row r="10257" spans="1:8" x14ac:dyDescent="0.25">
      <c r="A10257" t="s">
        <v>332</v>
      </c>
      <c r="B10257" t="s">
        <v>8393</v>
      </c>
      <c r="C10257" t="s">
        <v>88</v>
      </c>
      <c r="D10257" t="s">
        <v>88</v>
      </c>
      <c r="E10257" t="s">
        <v>1971</v>
      </c>
      <c r="F10257" t="s">
        <v>88</v>
      </c>
      <c r="G10257" t="s">
        <v>88</v>
      </c>
      <c r="H10257" t="s">
        <v>92</v>
      </c>
    </row>
    <row r="10258" spans="1:8" x14ac:dyDescent="0.25">
      <c r="A10258" t="s">
        <v>332</v>
      </c>
      <c r="B10258" t="s">
        <v>8394</v>
      </c>
      <c r="C10258" t="s">
        <v>88</v>
      </c>
      <c r="D10258" t="s">
        <v>88</v>
      </c>
      <c r="E10258" t="s">
        <v>658</v>
      </c>
      <c r="F10258" t="s">
        <v>88</v>
      </c>
      <c r="G10258" t="s">
        <v>88</v>
      </c>
      <c r="H10258" t="s">
        <v>92</v>
      </c>
    </row>
    <row r="10259" spans="1:8" x14ac:dyDescent="0.25">
      <c r="A10259" t="s">
        <v>332</v>
      </c>
      <c r="B10259" t="s">
        <v>8395</v>
      </c>
      <c r="C10259" t="s">
        <v>88</v>
      </c>
      <c r="D10259" t="s">
        <v>88</v>
      </c>
      <c r="E10259" t="s">
        <v>748</v>
      </c>
      <c r="F10259" t="s">
        <v>88</v>
      </c>
      <c r="G10259" t="s">
        <v>88</v>
      </c>
      <c r="H10259" t="s">
        <v>92</v>
      </c>
    </row>
    <row r="10260" spans="1:8" x14ac:dyDescent="0.25">
      <c r="A10260" t="s">
        <v>332</v>
      </c>
      <c r="B10260" t="s">
        <v>5455</v>
      </c>
      <c r="C10260" t="s">
        <v>88</v>
      </c>
      <c r="D10260" t="s">
        <v>88</v>
      </c>
      <c r="E10260" t="s">
        <v>1971</v>
      </c>
      <c r="F10260" t="s">
        <v>88</v>
      </c>
      <c r="G10260" t="s">
        <v>88</v>
      </c>
      <c r="H10260" t="s">
        <v>92</v>
      </c>
    </row>
    <row r="10261" spans="1:8" x14ac:dyDescent="0.25">
      <c r="A10261" t="s">
        <v>332</v>
      </c>
      <c r="B10261" t="s">
        <v>5451</v>
      </c>
      <c r="C10261" t="s">
        <v>88</v>
      </c>
      <c r="D10261" t="s">
        <v>88</v>
      </c>
      <c r="E10261" t="s">
        <v>721</v>
      </c>
      <c r="F10261" t="s">
        <v>88</v>
      </c>
      <c r="G10261" t="s">
        <v>88</v>
      </c>
      <c r="H10261" t="s">
        <v>92</v>
      </c>
    </row>
    <row r="10262" spans="1:8" x14ac:dyDescent="0.25">
      <c r="A10262" t="s">
        <v>332</v>
      </c>
      <c r="B10262" t="s">
        <v>8396</v>
      </c>
      <c r="C10262" t="s">
        <v>88</v>
      </c>
      <c r="D10262" t="s">
        <v>88</v>
      </c>
      <c r="E10262" t="s">
        <v>748</v>
      </c>
      <c r="F10262" t="s">
        <v>88</v>
      </c>
      <c r="G10262" t="s">
        <v>88</v>
      </c>
      <c r="H10262" t="s">
        <v>92</v>
      </c>
    </row>
    <row r="10263" spans="1:8" x14ac:dyDescent="0.25">
      <c r="A10263" t="s">
        <v>332</v>
      </c>
      <c r="B10263" t="s">
        <v>8397</v>
      </c>
      <c r="C10263" t="s">
        <v>88</v>
      </c>
      <c r="D10263" t="s">
        <v>88</v>
      </c>
      <c r="E10263" t="s">
        <v>748</v>
      </c>
      <c r="F10263" t="s">
        <v>88</v>
      </c>
      <c r="G10263" t="s">
        <v>88</v>
      </c>
      <c r="H10263" t="s">
        <v>92</v>
      </c>
    </row>
    <row r="10264" spans="1:8" x14ac:dyDescent="0.25">
      <c r="A10264" t="s">
        <v>332</v>
      </c>
      <c r="B10264" t="s">
        <v>8398</v>
      </c>
      <c r="C10264" t="s">
        <v>88</v>
      </c>
      <c r="D10264" t="s">
        <v>88</v>
      </c>
      <c r="E10264" t="s">
        <v>658</v>
      </c>
      <c r="F10264" t="s">
        <v>88</v>
      </c>
      <c r="G10264" t="s">
        <v>88</v>
      </c>
      <c r="H10264" t="s">
        <v>92</v>
      </c>
    </row>
    <row r="10265" spans="1:8" x14ac:dyDescent="0.25">
      <c r="A10265" t="s">
        <v>332</v>
      </c>
      <c r="B10265" t="s">
        <v>8399</v>
      </c>
      <c r="C10265" t="s">
        <v>88</v>
      </c>
      <c r="D10265" t="s">
        <v>88</v>
      </c>
      <c r="E10265" t="s">
        <v>1971</v>
      </c>
      <c r="F10265" t="s">
        <v>88</v>
      </c>
      <c r="G10265" t="s">
        <v>88</v>
      </c>
      <c r="H10265" t="s">
        <v>92</v>
      </c>
    </row>
    <row r="10266" spans="1:8" x14ac:dyDescent="0.25">
      <c r="A10266" t="s">
        <v>332</v>
      </c>
      <c r="B10266" t="s">
        <v>8400</v>
      </c>
      <c r="C10266" t="s">
        <v>88</v>
      </c>
      <c r="D10266" t="s">
        <v>88</v>
      </c>
      <c r="E10266" t="s">
        <v>658</v>
      </c>
      <c r="F10266" t="s">
        <v>88</v>
      </c>
      <c r="G10266" t="s">
        <v>88</v>
      </c>
      <c r="H10266" t="s">
        <v>92</v>
      </c>
    </row>
    <row r="10267" spans="1:8" x14ac:dyDescent="0.25">
      <c r="A10267" t="s">
        <v>332</v>
      </c>
      <c r="B10267" t="s">
        <v>8401</v>
      </c>
      <c r="C10267" t="s">
        <v>88</v>
      </c>
      <c r="D10267" t="s">
        <v>88</v>
      </c>
      <c r="E10267" t="s">
        <v>748</v>
      </c>
      <c r="F10267" t="s">
        <v>88</v>
      </c>
      <c r="G10267" t="s">
        <v>88</v>
      </c>
      <c r="H10267" t="s">
        <v>92</v>
      </c>
    </row>
    <row r="10268" spans="1:8" x14ac:dyDescent="0.25">
      <c r="A10268" t="s">
        <v>332</v>
      </c>
      <c r="B10268" t="s">
        <v>8402</v>
      </c>
      <c r="C10268" t="s">
        <v>88</v>
      </c>
      <c r="D10268" t="s">
        <v>88</v>
      </c>
      <c r="E10268" t="s">
        <v>762</v>
      </c>
      <c r="F10268" t="s">
        <v>88</v>
      </c>
      <c r="G10268" t="s">
        <v>88</v>
      </c>
      <c r="H10268" t="s">
        <v>92</v>
      </c>
    </row>
    <row r="10269" spans="1:8" x14ac:dyDescent="0.25">
      <c r="A10269" t="s">
        <v>332</v>
      </c>
      <c r="B10269" t="s">
        <v>8403</v>
      </c>
      <c r="C10269" t="s">
        <v>88</v>
      </c>
      <c r="D10269" t="s">
        <v>88</v>
      </c>
      <c r="E10269" t="s">
        <v>1971</v>
      </c>
      <c r="F10269" t="s">
        <v>88</v>
      </c>
      <c r="G10269" t="s">
        <v>88</v>
      </c>
      <c r="H10269" t="s">
        <v>92</v>
      </c>
    </row>
    <row r="10270" spans="1:8" x14ac:dyDescent="0.25">
      <c r="A10270" t="s">
        <v>332</v>
      </c>
      <c r="B10270" t="s">
        <v>8404</v>
      </c>
      <c r="C10270" t="s">
        <v>88</v>
      </c>
      <c r="D10270" t="s">
        <v>88</v>
      </c>
      <c r="E10270" t="s">
        <v>721</v>
      </c>
      <c r="F10270" t="s">
        <v>88</v>
      </c>
      <c r="G10270" t="s">
        <v>88</v>
      </c>
      <c r="H10270" t="s">
        <v>92</v>
      </c>
    </row>
    <row r="10271" spans="1:8" x14ac:dyDescent="0.25">
      <c r="A10271" t="s">
        <v>332</v>
      </c>
      <c r="B10271" t="s">
        <v>8405</v>
      </c>
      <c r="C10271" t="s">
        <v>88</v>
      </c>
      <c r="D10271" t="s">
        <v>88</v>
      </c>
      <c r="E10271" t="s">
        <v>725</v>
      </c>
      <c r="F10271" t="s">
        <v>88</v>
      </c>
      <c r="G10271" t="s">
        <v>88</v>
      </c>
      <c r="H10271" t="s">
        <v>92</v>
      </c>
    </row>
    <row r="10272" spans="1:8" x14ac:dyDescent="0.25">
      <c r="A10272" t="s">
        <v>332</v>
      </c>
      <c r="B10272" t="s">
        <v>8406</v>
      </c>
      <c r="C10272" t="s">
        <v>88</v>
      </c>
      <c r="D10272" t="s">
        <v>88</v>
      </c>
      <c r="E10272" t="s">
        <v>658</v>
      </c>
      <c r="F10272" t="s">
        <v>88</v>
      </c>
      <c r="G10272" t="s">
        <v>88</v>
      </c>
      <c r="H10272" t="s">
        <v>92</v>
      </c>
    </row>
    <row r="10273" spans="1:8" x14ac:dyDescent="0.25">
      <c r="A10273" t="s">
        <v>332</v>
      </c>
      <c r="B10273" t="s">
        <v>8407</v>
      </c>
      <c r="C10273" t="s">
        <v>88</v>
      </c>
      <c r="D10273" t="s">
        <v>88</v>
      </c>
      <c r="E10273" t="s">
        <v>717</v>
      </c>
      <c r="F10273" t="s">
        <v>88</v>
      </c>
      <c r="G10273" t="s">
        <v>88</v>
      </c>
      <c r="H10273" t="s">
        <v>92</v>
      </c>
    </row>
    <row r="10274" spans="1:8" x14ac:dyDescent="0.25">
      <c r="A10274" t="s">
        <v>332</v>
      </c>
      <c r="B10274" t="s">
        <v>8408</v>
      </c>
      <c r="C10274" t="s">
        <v>88</v>
      </c>
      <c r="D10274" t="s">
        <v>88</v>
      </c>
      <c r="E10274" t="s">
        <v>725</v>
      </c>
      <c r="F10274" t="s">
        <v>88</v>
      </c>
      <c r="G10274" t="s">
        <v>88</v>
      </c>
      <c r="H10274" t="s">
        <v>92</v>
      </c>
    </row>
    <row r="10275" spans="1:8" x14ac:dyDescent="0.25">
      <c r="A10275" t="s">
        <v>332</v>
      </c>
      <c r="B10275" t="s">
        <v>8409</v>
      </c>
      <c r="C10275" t="s">
        <v>88</v>
      </c>
      <c r="D10275" t="s">
        <v>88</v>
      </c>
      <c r="E10275" t="s">
        <v>1971</v>
      </c>
      <c r="F10275" t="s">
        <v>88</v>
      </c>
      <c r="G10275" t="s">
        <v>88</v>
      </c>
      <c r="H10275" t="s">
        <v>92</v>
      </c>
    </row>
    <row r="10276" spans="1:8" x14ac:dyDescent="0.25">
      <c r="A10276" t="s">
        <v>332</v>
      </c>
      <c r="B10276" t="s">
        <v>8410</v>
      </c>
      <c r="C10276" t="s">
        <v>88</v>
      </c>
      <c r="D10276" t="s">
        <v>88</v>
      </c>
      <c r="E10276" t="s">
        <v>658</v>
      </c>
      <c r="F10276" t="s">
        <v>88</v>
      </c>
      <c r="G10276" t="s">
        <v>88</v>
      </c>
      <c r="H10276" t="s">
        <v>92</v>
      </c>
    </row>
    <row r="10277" spans="1:8" x14ac:dyDescent="0.25">
      <c r="A10277" t="s">
        <v>332</v>
      </c>
      <c r="B10277" t="s">
        <v>8411</v>
      </c>
      <c r="C10277" t="s">
        <v>88</v>
      </c>
      <c r="D10277" t="s">
        <v>88</v>
      </c>
      <c r="E10277" t="s">
        <v>2989</v>
      </c>
      <c r="F10277" t="s">
        <v>88</v>
      </c>
      <c r="G10277" t="s">
        <v>88</v>
      </c>
      <c r="H10277" t="s">
        <v>92</v>
      </c>
    </row>
    <row r="10278" spans="1:8" x14ac:dyDescent="0.25">
      <c r="A10278" t="s">
        <v>332</v>
      </c>
      <c r="B10278" t="s">
        <v>8412</v>
      </c>
      <c r="C10278" t="s">
        <v>88</v>
      </c>
      <c r="D10278" t="s">
        <v>88</v>
      </c>
      <c r="E10278" t="s">
        <v>2989</v>
      </c>
      <c r="F10278" t="s">
        <v>88</v>
      </c>
      <c r="G10278" t="s">
        <v>88</v>
      </c>
      <c r="H10278" t="s">
        <v>92</v>
      </c>
    </row>
    <row r="10279" spans="1:8" x14ac:dyDescent="0.25">
      <c r="A10279" t="s">
        <v>332</v>
      </c>
      <c r="B10279" t="s">
        <v>8413</v>
      </c>
      <c r="C10279" t="s">
        <v>88</v>
      </c>
      <c r="D10279" t="s">
        <v>88</v>
      </c>
      <c r="E10279" t="s">
        <v>2989</v>
      </c>
      <c r="F10279" t="s">
        <v>88</v>
      </c>
      <c r="G10279" t="s">
        <v>88</v>
      </c>
      <c r="H10279" t="s">
        <v>92</v>
      </c>
    </row>
    <row r="10280" spans="1:8" x14ac:dyDescent="0.25">
      <c r="A10280" t="s">
        <v>332</v>
      </c>
      <c r="B10280" t="s">
        <v>8414</v>
      </c>
      <c r="C10280" t="s">
        <v>88</v>
      </c>
      <c r="D10280" t="s">
        <v>88</v>
      </c>
      <c r="E10280" t="s">
        <v>673</v>
      </c>
      <c r="F10280" t="s">
        <v>88</v>
      </c>
      <c r="G10280" t="s">
        <v>88</v>
      </c>
      <c r="H10280" t="s">
        <v>92</v>
      </c>
    </row>
    <row r="10281" spans="1:8" x14ac:dyDescent="0.25">
      <c r="A10281" t="s">
        <v>332</v>
      </c>
      <c r="B10281" t="s">
        <v>8415</v>
      </c>
      <c r="C10281" t="s">
        <v>88</v>
      </c>
      <c r="D10281" t="s">
        <v>88</v>
      </c>
      <c r="E10281" t="s">
        <v>2989</v>
      </c>
      <c r="F10281" t="s">
        <v>88</v>
      </c>
      <c r="G10281" t="s">
        <v>88</v>
      </c>
      <c r="H10281" t="s">
        <v>92</v>
      </c>
    </row>
    <row r="10282" spans="1:8" x14ac:dyDescent="0.25">
      <c r="A10282" t="s">
        <v>332</v>
      </c>
      <c r="B10282" t="s">
        <v>8416</v>
      </c>
      <c r="C10282" t="s">
        <v>88</v>
      </c>
      <c r="D10282" t="s">
        <v>88</v>
      </c>
      <c r="E10282" t="s">
        <v>2989</v>
      </c>
      <c r="F10282" t="s">
        <v>88</v>
      </c>
      <c r="G10282" t="s">
        <v>88</v>
      </c>
      <c r="H10282" t="s">
        <v>92</v>
      </c>
    </row>
    <row r="10283" spans="1:8" x14ac:dyDescent="0.25">
      <c r="A10283" t="s">
        <v>332</v>
      </c>
      <c r="B10283" t="s">
        <v>8417</v>
      </c>
      <c r="C10283" t="s">
        <v>88</v>
      </c>
      <c r="D10283" t="s">
        <v>88</v>
      </c>
      <c r="E10283" t="s">
        <v>673</v>
      </c>
      <c r="F10283" t="s">
        <v>88</v>
      </c>
      <c r="G10283" t="s">
        <v>88</v>
      </c>
      <c r="H10283" t="s">
        <v>92</v>
      </c>
    </row>
    <row r="10284" spans="1:8" x14ac:dyDescent="0.25">
      <c r="A10284" t="s">
        <v>332</v>
      </c>
      <c r="B10284" t="s">
        <v>8418</v>
      </c>
      <c r="C10284" t="s">
        <v>88</v>
      </c>
      <c r="D10284" t="s">
        <v>88</v>
      </c>
      <c r="E10284" t="s">
        <v>2989</v>
      </c>
      <c r="F10284" t="s">
        <v>88</v>
      </c>
      <c r="G10284" t="s">
        <v>88</v>
      </c>
      <c r="H10284" t="s">
        <v>92</v>
      </c>
    </row>
    <row r="10285" spans="1:8" x14ac:dyDescent="0.25">
      <c r="A10285" t="s">
        <v>332</v>
      </c>
      <c r="B10285" t="s">
        <v>8419</v>
      </c>
      <c r="C10285" t="s">
        <v>88</v>
      </c>
      <c r="D10285" t="s">
        <v>88</v>
      </c>
      <c r="E10285" t="s">
        <v>8420</v>
      </c>
      <c r="F10285" t="s">
        <v>88</v>
      </c>
      <c r="G10285" t="s">
        <v>88</v>
      </c>
      <c r="H10285" t="s">
        <v>92</v>
      </c>
    </row>
    <row r="10286" spans="1:8" x14ac:dyDescent="0.25">
      <c r="A10286" t="s">
        <v>332</v>
      </c>
      <c r="B10286" t="s">
        <v>8421</v>
      </c>
      <c r="C10286" t="s">
        <v>88</v>
      </c>
      <c r="D10286" t="s">
        <v>88</v>
      </c>
      <c r="E10286" t="s">
        <v>8420</v>
      </c>
      <c r="F10286" t="s">
        <v>88</v>
      </c>
      <c r="G10286" t="s">
        <v>88</v>
      </c>
      <c r="H10286" t="s">
        <v>92</v>
      </c>
    </row>
    <row r="10287" spans="1:8" x14ac:dyDescent="0.25">
      <c r="A10287" t="s">
        <v>332</v>
      </c>
      <c r="B10287" t="s">
        <v>8422</v>
      </c>
      <c r="C10287" t="s">
        <v>88</v>
      </c>
      <c r="D10287" t="s">
        <v>88</v>
      </c>
      <c r="E10287" t="s">
        <v>8423</v>
      </c>
      <c r="F10287" t="s">
        <v>88</v>
      </c>
      <c r="G10287" t="s">
        <v>88</v>
      </c>
      <c r="H10287" t="s">
        <v>92</v>
      </c>
    </row>
    <row r="10288" spans="1:8" x14ac:dyDescent="0.25">
      <c r="A10288" t="s">
        <v>332</v>
      </c>
      <c r="B10288" t="s">
        <v>8424</v>
      </c>
      <c r="C10288" t="s">
        <v>88</v>
      </c>
      <c r="D10288" t="s">
        <v>88</v>
      </c>
      <c r="E10288" t="s">
        <v>8420</v>
      </c>
      <c r="F10288" t="s">
        <v>88</v>
      </c>
      <c r="G10288" t="s">
        <v>88</v>
      </c>
      <c r="H10288" t="s">
        <v>92</v>
      </c>
    </row>
    <row r="10289" spans="1:8" x14ac:dyDescent="0.25">
      <c r="A10289" t="s">
        <v>332</v>
      </c>
      <c r="B10289" t="s">
        <v>8425</v>
      </c>
      <c r="C10289" t="s">
        <v>88</v>
      </c>
      <c r="D10289" t="s">
        <v>88</v>
      </c>
      <c r="E10289" t="s">
        <v>8420</v>
      </c>
      <c r="F10289" t="s">
        <v>88</v>
      </c>
      <c r="G10289" t="s">
        <v>88</v>
      </c>
      <c r="H10289" t="s">
        <v>92</v>
      </c>
    </row>
    <row r="10290" spans="1:8" x14ac:dyDescent="0.25">
      <c r="A10290" t="s">
        <v>332</v>
      </c>
      <c r="B10290" t="s">
        <v>8426</v>
      </c>
      <c r="C10290" t="s">
        <v>88</v>
      </c>
      <c r="D10290" t="s">
        <v>88</v>
      </c>
      <c r="E10290" t="s">
        <v>8423</v>
      </c>
      <c r="F10290" t="s">
        <v>88</v>
      </c>
      <c r="G10290" t="s">
        <v>88</v>
      </c>
      <c r="H10290" t="s">
        <v>92</v>
      </c>
    </row>
    <row r="10291" spans="1:8" x14ac:dyDescent="0.25">
      <c r="A10291" t="s">
        <v>332</v>
      </c>
      <c r="B10291" t="s">
        <v>8427</v>
      </c>
      <c r="C10291" t="s">
        <v>88</v>
      </c>
      <c r="D10291" t="s">
        <v>88</v>
      </c>
      <c r="E10291" t="s">
        <v>8423</v>
      </c>
      <c r="F10291" t="s">
        <v>88</v>
      </c>
      <c r="G10291" t="s">
        <v>88</v>
      </c>
      <c r="H10291" t="s">
        <v>92</v>
      </c>
    </row>
    <row r="10292" spans="1:8" x14ac:dyDescent="0.25">
      <c r="A10292" t="s">
        <v>332</v>
      </c>
      <c r="B10292" t="s">
        <v>8428</v>
      </c>
      <c r="C10292" t="s">
        <v>88</v>
      </c>
      <c r="D10292" t="s">
        <v>88</v>
      </c>
      <c r="E10292" t="s">
        <v>8420</v>
      </c>
      <c r="F10292" t="s">
        <v>88</v>
      </c>
      <c r="G10292" t="s">
        <v>88</v>
      </c>
      <c r="H10292" t="s">
        <v>92</v>
      </c>
    </row>
    <row r="10293" spans="1:8" x14ac:dyDescent="0.25">
      <c r="A10293" t="s">
        <v>332</v>
      </c>
      <c r="B10293" t="s">
        <v>8429</v>
      </c>
      <c r="C10293" t="s">
        <v>88</v>
      </c>
      <c r="D10293" t="s">
        <v>88</v>
      </c>
      <c r="E10293" t="s">
        <v>8430</v>
      </c>
      <c r="F10293" t="s">
        <v>88</v>
      </c>
      <c r="G10293" t="s">
        <v>88</v>
      </c>
      <c r="H10293" t="s">
        <v>92</v>
      </c>
    </row>
    <row r="10294" spans="1:8" x14ac:dyDescent="0.25">
      <c r="A10294" t="s">
        <v>332</v>
      </c>
      <c r="B10294" t="s">
        <v>8431</v>
      </c>
      <c r="C10294" t="s">
        <v>88</v>
      </c>
      <c r="D10294" t="s">
        <v>88</v>
      </c>
      <c r="E10294" t="s">
        <v>8430</v>
      </c>
      <c r="F10294" t="s">
        <v>88</v>
      </c>
      <c r="G10294" t="s">
        <v>88</v>
      </c>
      <c r="H10294" t="s">
        <v>92</v>
      </c>
    </row>
    <row r="10295" spans="1:8" x14ac:dyDescent="0.25">
      <c r="A10295" t="s">
        <v>332</v>
      </c>
      <c r="B10295" t="s">
        <v>8432</v>
      </c>
      <c r="C10295" t="s">
        <v>88</v>
      </c>
      <c r="D10295" t="s">
        <v>88</v>
      </c>
      <c r="E10295" t="s">
        <v>2496</v>
      </c>
      <c r="F10295" t="s">
        <v>88</v>
      </c>
      <c r="G10295" t="s">
        <v>88</v>
      </c>
      <c r="H10295" t="s">
        <v>92</v>
      </c>
    </row>
    <row r="10296" spans="1:8" x14ac:dyDescent="0.25">
      <c r="A10296" t="s">
        <v>332</v>
      </c>
      <c r="B10296" t="s">
        <v>8433</v>
      </c>
      <c r="C10296" t="s">
        <v>88</v>
      </c>
      <c r="D10296" t="s">
        <v>88</v>
      </c>
      <c r="E10296" t="s">
        <v>4611</v>
      </c>
      <c r="F10296" t="s">
        <v>88</v>
      </c>
      <c r="G10296" t="s">
        <v>88</v>
      </c>
      <c r="H10296" t="s">
        <v>92</v>
      </c>
    </row>
    <row r="10297" spans="1:8" x14ac:dyDescent="0.25">
      <c r="A10297" t="s">
        <v>332</v>
      </c>
      <c r="B10297" t="s">
        <v>8434</v>
      </c>
      <c r="C10297" t="s">
        <v>88</v>
      </c>
      <c r="D10297" t="s">
        <v>88</v>
      </c>
      <c r="E10297" t="s">
        <v>8435</v>
      </c>
      <c r="F10297" t="s">
        <v>88</v>
      </c>
      <c r="G10297" t="s">
        <v>88</v>
      </c>
      <c r="H10297" t="s">
        <v>92</v>
      </c>
    </row>
    <row r="10298" spans="1:8" x14ac:dyDescent="0.25">
      <c r="A10298" t="s">
        <v>332</v>
      </c>
      <c r="B10298" t="s">
        <v>8436</v>
      </c>
      <c r="C10298" t="s">
        <v>88</v>
      </c>
      <c r="D10298" t="s">
        <v>88</v>
      </c>
      <c r="E10298" t="s">
        <v>8435</v>
      </c>
      <c r="F10298" t="s">
        <v>88</v>
      </c>
      <c r="G10298" t="s">
        <v>88</v>
      </c>
      <c r="H10298" t="s">
        <v>92</v>
      </c>
    </row>
    <row r="10299" spans="1:8" x14ac:dyDescent="0.25">
      <c r="A10299" t="s">
        <v>332</v>
      </c>
      <c r="B10299" t="s">
        <v>8437</v>
      </c>
      <c r="C10299" t="s">
        <v>88</v>
      </c>
      <c r="D10299" t="s">
        <v>88</v>
      </c>
      <c r="E10299" t="s">
        <v>8438</v>
      </c>
      <c r="F10299" t="s">
        <v>88</v>
      </c>
      <c r="G10299" t="s">
        <v>88</v>
      </c>
      <c r="H10299" t="s">
        <v>92</v>
      </c>
    </row>
    <row r="10300" spans="1:8" x14ac:dyDescent="0.25">
      <c r="A10300" t="s">
        <v>332</v>
      </c>
      <c r="B10300" t="s">
        <v>8439</v>
      </c>
      <c r="C10300" t="s">
        <v>88</v>
      </c>
      <c r="D10300" t="s">
        <v>88</v>
      </c>
      <c r="E10300" t="s">
        <v>8440</v>
      </c>
      <c r="F10300" t="s">
        <v>88</v>
      </c>
      <c r="G10300" t="s">
        <v>88</v>
      </c>
      <c r="H10300" t="s">
        <v>92</v>
      </c>
    </row>
    <row r="10301" spans="1:8" x14ac:dyDescent="0.25">
      <c r="A10301" t="s">
        <v>332</v>
      </c>
      <c r="B10301" t="s">
        <v>8441</v>
      </c>
      <c r="C10301" t="s">
        <v>88</v>
      </c>
      <c r="D10301" t="s">
        <v>88</v>
      </c>
      <c r="E10301" t="s">
        <v>8440</v>
      </c>
      <c r="F10301" t="s">
        <v>88</v>
      </c>
      <c r="G10301" t="s">
        <v>88</v>
      </c>
      <c r="H10301" t="s">
        <v>92</v>
      </c>
    </row>
    <row r="10302" spans="1:8" x14ac:dyDescent="0.25">
      <c r="A10302" t="s">
        <v>332</v>
      </c>
      <c r="B10302" t="s">
        <v>8442</v>
      </c>
      <c r="C10302" t="s">
        <v>88</v>
      </c>
      <c r="D10302" t="s">
        <v>88</v>
      </c>
      <c r="E10302" t="s">
        <v>8440</v>
      </c>
      <c r="F10302" t="s">
        <v>88</v>
      </c>
      <c r="G10302" t="s">
        <v>88</v>
      </c>
      <c r="H10302" t="s">
        <v>92</v>
      </c>
    </row>
    <row r="10303" spans="1:8" x14ac:dyDescent="0.25">
      <c r="A10303" t="s">
        <v>332</v>
      </c>
      <c r="B10303" t="s">
        <v>8443</v>
      </c>
      <c r="C10303" t="s">
        <v>88</v>
      </c>
      <c r="D10303" t="s">
        <v>88</v>
      </c>
      <c r="E10303" t="s">
        <v>8440</v>
      </c>
      <c r="F10303" t="s">
        <v>88</v>
      </c>
      <c r="G10303" t="s">
        <v>88</v>
      </c>
      <c r="H10303" t="s">
        <v>92</v>
      </c>
    </row>
    <row r="10304" spans="1:8" x14ac:dyDescent="0.25">
      <c r="A10304" t="s">
        <v>332</v>
      </c>
      <c r="B10304" t="s">
        <v>8444</v>
      </c>
      <c r="C10304" t="s">
        <v>88</v>
      </c>
      <c r="D10304" t="s">
        <v>88</v>
      </c>
      <c r="E10304" t="s">
        <v>8440</v>
      </c>
      <c r="F10304" t="s">
        <v>88</v>
      </c>
      <c r="G10304" t="s">
        <v>88</v>
      </c>
      <c r="H10304" t="s">
        <v>92</v>
      </c>
    </row>
    <row r="10305" spans="1:8" x14ac:dyDescent="0.25">
      <c r="A10305" t="s">
        <v>332</v>
      </c>
      <c r="B10305" t="s">
        <v>3509</v>
      </c>
      <c r="C10305" t="s">
        <v>88</v>
      </c>
      <c r="D10305" t="s">
        <v>88</v>
      </c>
      <c r="E10305" t="s">
        <v>8440</v>
      </c>
      <c r="F10305" t="s">
        <v>88</v>
      </c>
      <c r="G10305" t="s">
        <v>88</v>
      </c>
      <c r="H10305" t="s">
        <v>92</v>
      </c>
    </row>
    <row r="10306" spans="1:8" x14ac:dyDescent="0.25">
      <c r="A10306" t="s">
        <v>332</v>
      </c>
      <c r="B10306" t="s">
        <v>8445</v>
      </c>
      <c r="C10306" t="s">
        <v>88</v>
      </c>
      <c r="D10306" t="s">
        <v>88</v>
      </c>
      <c r="E10306" t="s">
        <v>8440</v>
      </c>
      <c r="F10306" t="s">
        <v>88</v>
      </c>
      <c r="G10306" t="s">
        <v>88</v>
      </c>
      <c r="H10306" t="s">
        <v>92</v>
      </c>
    </row>
    <row r="10307" spans="1:8" x14ac:dyDescent="0.25">
      <c r="A10307" t="s">
        <v>332</v>
      </c>
      <c r="B10307" t="s">
        <v>8446</v>
      </c>
      <c r="C10307" t="s">
        <v>88</v>
      </c>
      <c r="D10307" t="s">
        <v>88</v>
      </c>
      <c r="E10307" t="s">
        <v>8440</v>
      </c>
      <c r="F10307" t="s">
        <v>88</v>
      </c>
      <c r="G10307" t="s">
        <v>88</v>
      </c>
      <c r="H10307" t="s">
        <v>92</v>
      </c>
    </row>
    <row r="10308" spans="1:8" x14ac:dyDescent="0.25">
      <c r="A10308" t="s">
        <v>332</v>
      </c>
      <c r="B10308" t="s">
        <v>8447</v>
      </c>
      <c r="C10308" t="s">
        <v>88</v>
      </c>
      <c r="D10308" t="s">
        <v>88</v>
      </c>
      <c r="E10308" t="s">
        <v>8440</v>
      </c>
      <c r="F10308" t="s">
        <v>88</v>
      </c>
      <c r="G10308" t="s">
        <v>88</v>
      </c>
      <c r="H10308" t="s">
        <v>92</v>
      </c>
    </row>
    <row r="10309" spans="1:8" x14ac:dyDescent="0.25">
      <c r="A10309" t="s">
        <v>332</v>
      </c>
      <c r="B10309" t="s">
        <v>8448</v>
      </c>
      <c r="C10309" t="s">
        <v>88</v>
      </c>
      <c r="D10309" t="s">
        <v>88</v>
      </c>
      <c r="E10309" t="s">
        <v>8449</v>
      </c>
      <c r="F10309" t="s">
        <v>88</v>
      </c>
      <c r="G10309" t="s">
        <v>88</v>
      </c>
      <c r="H10309" t="s">
        <v>92</v>
      </c>
    </row>
    <row r="10310" spans="1:8" x14ac:dyDescent="0.25">
      <c r="A10310" t="s">
        <v>332</v>
      </c>
      <c r="B10310" t="s">
        <v>8450</v>
      </c>
      <c r="C10310" t="s">
        <v>88</v>
      </c>
      <c r="D10310" t="s">
        <v>88</v>
      </c>
      <c r="E10310" t="s">
        <v>8449</v>
      </c>
      <c r="F10310" t="s">
        <v>88</v>
      </c>
      <c r="G10310" t="s">
        <v>88</v>
      </c>
      <c r="H10310" t="s">
        <v>92</v>
      </c>
    </row>
    <row r="10311" spans="1:8" x14ac:dyDescent="0.25">
      <c r="A10311" t="s">
        <v>332</v>
      </c>
      <c r="B10311" t="s">
        <v>8451</v>
      </c>
      <c r="C10311" t="s">
        <v>88</v>
      </c>
      <c r="D10311" t="s">
        <v>88</v>
      </c>
      <c r="E10311" t="s">
        <v>8449</v>
      </c>
      <c r="F10311" t="s">
        <v>88</v>
      </c>
      <c r="G10311" t="s">
        <v>88</v>
      </c>
      <c r="H10311" t="s">
        <v>92</v>
      </c>
    </row>
    <row r="10312" spans="1:8" x14ac:dyDescent="0.25">
      <c r="A10312" t="s">
        <v>332</v>
      </c>
      <c r="B10312" t="s">
        <v>8452</v>
      </c>
      <c r="C10312" t="s">
        <v>88</v>
      </c>
      <c r="D10312" t="s">
        <v>88</v>
      </c>
      <c r="E10312" t="s">
        <v>8449</v>
      </c>
      <c r="F10312" t="s">
        <v>88</v>
      </c>
      <c r="G10312" t="s">
        <v>88</v>
      </c>
      <c r="H10312" t="s">
        <v>92</v>
      </c>
    </row>
    <row r="10313" spans="1:8" x14ac:dyDescent="0.25">
      <c r="A10313" t="s">
        <v>332</v>
      </c>
      <c r="B10313" t="s">
        <v>8453</v>
      </c>
      <c r="C10313" t="s">
        <v>88</v>
      </c>
      <c r="D10313" t="s">
        <v>88</v>
      </c>
      <c r="E10313" t="s">
        <v>8449</v>
      </c>
      <c r="F10313" t="s">
        <v>88</v>
      </c>
      <c r="G10313" t="s">
        <v>88</v>
      </c>
      <c r="H10313" t="s">
        <v>92</v>
      </c>
    </row>
    <row r="10314" spans="1:8" x14ac:dyDescent="0.25">
      <c r="A10314" t="s">
        <v>332</v>
      </c>
      <c r="B10314" t="s">
        <v>8454</v>
      </c>
      <c r="C10314" t="s">
        <v>88</v>
      </c>
      <c r="D10314" t="s">
        <v>88</v>
      </c>
      <c r="E10314" t="s">
        <v>8449</v>
      </c>
      <c r="F10314" t="s">
        <v>88</v>
      </c>
      <c r="G10314" t="s">
        <v>88</v>
      </c>
      <c r="H10314" t="s">
        <v>92</v>
      </c>
    </row>
    <row r="10315" spans="1:8" x14ac:dyDescent="0.25">
      <c r="A10315" t="s">
        <v>332</v>
      </c>
      <c r="B10315" t="s">
        <v>8455</v>
      </c>
      <c r="C10315" t="s">
        <v>88</v>
      </c>
      <c r="D10315" t="s">
        <v>88</v>
      </c>
      <c r="E10315" t="s">
        <v>8449</v>
      </c>
      <c r="F10315" t="s">
        <v>88</v>
      </c>
      <c r="G10315" t="s">
        <v>88</v>
      </c>
      <c r="H10315" t="s">
        <v>92</v>
      </c>
    </row>
    <row r="10316" spans="1:8" x14ac:dyDescent="0.25">
      <c r="A10316" t="s">
        <v>332</v>
      </c>
      <c r="B10316" t="s">
        <v>8456</v>
      </c>
      <c r="C10316" t="s">
        <v>88</v>
      </c>
      <c r="D10316" t="s">
        <v>88</v>
      </c>
      <c r="E10316" t="s">
        <v>8440</v>
      </c>
      <c r="F10316" t="s">
        <v>88</v>
      </c>
      <c r="G10316" t="s">
        <v>88</v>
      </c>
      <c r="H10316" t="s">
        <v>92</v>
      </c>
    </row>
    <row r="10317" spans="1:8" x14ac:dyDescent="0.25">
      <c r="A10317" t="s">
        <v>332</v>
      </c>
      <c r="B10317" t="s">
        <v>8457</v>
      </c>
      <c r="C10317" t="s">
        <v>88</v>
      </c>
      <c r="D10317" t="s">
        <v>88</v>
      </c>
      <c r="E10317" t="s">
        <v>8440</v>
      </c>
      <c r="F10317" t="s">
        <v>88</v>
      </c>
      <c r="G10317" t="s">
        <v>88</v>
      </c>
      <c r="H10317" t="s">
        <v>92</v>
      </c>
    </row>
    <row r="10318" spans="1:8" x14ac:dyDescent="0.25">
      <c r="A10318" t="s">
        <v>332</v>
      </c>
      <c r="B10318" t="s">
        <v>8458</v>
      </c>
      <c r="C10318" t="s">
        <v>88</v>
      </c>
      <c r="D10318" t="s">
        <v>88</v>
      </c>
      <c r="E10318" t="s">
        <v>8459</v>
      </c>
      <c r="F10318" t="s">
        <v>88</v>
      </c>
      <c r="G10318" t="s">
        <v>88</v>
      </c>
      <c r="H10318" t="s">
        <v>92</v>
      </c>
    </row>
    <row r="10319" spans="1:8" x14ac:dyDescent="0.25">
      <c r="A10319" t="s">
        <v>332</v>
      </c>
      <c r="B10319" t="s">
        <v>8460</v>
      </c>
      <c r="C10319" t="s">
        <v>88</v>
      </c>
      <c r="D10319" t="s">
        <v>88</v>
      </c>
      <c r="E10319" t="s">
        <v>4586</v>
      </c>
      <c r="F10319" t="s">
        <v>88</v>
      </c>
      <c r="G10319" t="s">
        <v>88</v>
      </c>
      <c r="H10319" t="s">
        <v>92</v>
      </c>
    </row>
    <row r="10320" spans="1:8" x14ac:dyDescent="0.25">
      <c r="A10320" t="s">
        <v>332</v>
      </c>
      <c r="B10320" t="s">
        <v>8461</v>
      </c>
      <c r="C10320" t="s">
        <v>88</v>
      </c>
      <c r="D10320" t="s">
        <v>88</v>
      </c>
      <c r="E10320" t="s">
        <v>4586</v>
      </c>
      <c r="F10320" t="s">
        <v>88</v>
      </c>
      <c r="G10320" t="s">
        <v>88</v>
      </c>
      <c r="H10320" t="s">
        <v>92</v>
      </c>
    </row>
    <row r="10321" spans="1:8" x14ac:dyDescent="0.25">
      <c r="A10321" t="s">
        <v>332</v>
      </c>
      <c r="B10321" t="s">
        <v>8462</v>
      </c>
      <c r="C10321" t="s">
        <v>88</v>
      </c>
      <c r="D10321" t="s">
        <v>88</v>
      </c>
      <c r="E10321" t="s">
        <v>4586</v>
      </c>
      <c r="F10321" t="s">
        <v>88</v>
      </c>
      <c r="G10321" t="s">
        <v>88</v>
      </c>
      <c r="H10321" t="s">
        <v>92</v>
      </c>
    </row>
    <row r="10322" spans="1:8" x14ac:dyDescent="0.25">
      <c r="A10322" t="s">
        <v>332</v>
      </c>
      <c r="B10322" t="s">
        <v>8463</v>
      </c>
      <c r="C10322" t="s">
        <v>88</v>
      </c>
      <c r="D10322" t="s">
        <v>88</v>
      </c>
      <c r="E10322" t="s">
        <v>4586</v>
      </c>
      <c r="F10322" t="s">
        <v>88</v>
      </c>
      <c r="G10322" t="s">
        <v>88</v>
      </c>
      <c r="H10322" t="s">
        <v>92</v>
      </c>
    </row>
    <row r="10323" spans="1:8" x14ac:dyDescent="0.25">
      <c r="A10323" t="s">
        <v>332</v>
      </c>
      <c r="B10323" t="s">
        <v>8464</v>
      </c>
      <c r="C10323" t="s">
        <v>88</v>
      </c>
      <c r="D10323" t="s">
        <v>88</v>
      </c>
      <c r="E10323" t="s">
        <v>8449</v>
      </c>
      <c r="F10323" t="s">
        <v>88</v>
      </c>
      <c r="G10323" t="s">
        <v>88</v>
      </c>
      <c r="H10323" t="s">
        <v>92</v>
      </c>
    </row>
    <row r="10324" spans="1:8" x14ac:dyDescent="0.25">
      <c r="A10324" t="s">
        <v>332</v>
      </c>
      <c r="B10324" t="s">
        <v>8465</v>
      </c>
      <c r="C10324" t="s">
        <v>88</v>
      </c>
      <c r="D10324" t="s">
        <v>88</v>
      </c>
      <c r="E10324" t="s">
        <v>2496</v>
      </c>
      <c r="F10324" t="s">
        <v>88</v>
      </c>
      <c r="G10324" t="s">
        <v>88</v>
      </c>
      <c r="H10324" t="s">
        <v>92</v>
      </c>
    </row>
    <row r="10325" spans="1:8" x14ac:dyDescent="0.25">
      <c r="A10325" t="s">
        <v>332</v>
      </c>
      <c r="B10325" t="s">
        <v>8466</v>
      </c>
      <c r="C10325" t="s">
        <v>88</v>
      </c>
      <c r="D10325" t="s">
        <v>88</v>
      </c>
      <c r="E10325" t="s">
        <v>8449</v>
      </c>
      <c r="F10325" t="s">
        <v>88</v>
      </c>
      <c r="G10325" t="s">
        <v>88</v>
      </c>
      <c r="H10325" t="s">
        <v>92</v>
      </c>
    </row>
    <row r="10326" spans="1:8" x14ac:dyDescent="0.25">
      <c r="A10326" t="s">
        <v>332</v>
      </c>
      <c r="B10326" t="s">
        <v>8467</v>
      </c>
      <c r="C10326" t="s">
        <v>88</v>
      </c>
      <c r="D10326" t="s">
        <v>88</v>
      </c>
      <c r="E10326" t="s">
        <v>8449</v>
      </c>
      <c r="F10326" t="s">
        <v>88</v>
      </c>
      <c r="G10326" t="s">
        <v>88</v>
      </c>
      <c r="H10326" t="s">
        <v>92</v>
      </c>
    </row>
    <row r="10327" spans="1:8" x14ac:dyDescent="0.25">
      <c r="A10327" t="s">
        <v>332</v>
      </c>
      <c r="B10327" t="s">
        <v>6689</v>
      </c>
      <c r="C10327" t="s">
        <v>88</v>
      </c>
      <c r="D10327" t="s">
        <v>8073</v>
      </c>
      <c r="E10327" t="s">
        <v>4586</v>
      </c>
      <c r="F10327" t="s">
        <v>88</v>
      </c>
      <c r="G10327" t="s">
        <v>88</v>
      </c>
      <c r="H10327" t="s">
        <v>92</v>
      </c>
    </row>
    <row r="10328" spans="1:8" x14ac:dyDescent="0.25">
      <c r="A10328" t="s">
        <v>332</v>
      </c>
      <c r="B10328" t="s">
        <v>4793</v>
      </c>
      <c r="C10328" t="s">
        <v>88</v>
      </c>
      <c r="D10328" t="s">
        <v>8071</v>
      </c>
      <c r="E10328" t="s">
        <v>8468</v>
      </c>
      <c r="F10328" t="s">
        <v>88</v>
      </c>
      <c r="G10328" t="s">
        <v>88</v>
      </c>
      <c r="H10328" t="s">
        <v>92</v>
      </c>
    </row>
    <row r="10329" spans="1:8" x14ac:dyDescent="0.25">
      <c r="A10329" t="s">
        <v>334</v>
      </c>
      <c r="B10329" t="s">
        <v>2021</v>
      </c>
      <c r="C10329" t="s">
        <v>88</v>
      </c>
      <c r="D10329" t="s">
        <v>8469</v>
      </c>
      <c r="E10329" t="s">
        <v>702</v>
      </c>
      <c r="F10329" t="s">
        <v>88</v>
      </c>
      <c r="G10329" t="s">
        <v>88</v>
      </c>
      <c r="H10329" t="s">
        <v>92</v>
      </c>
    </row>
    <row r="10330" spans="1:8" x14ac:dyDescent="0.25">
      <c r="A10330" t="s">
        <v>334</v>
      </c>
      <c r="B10330" t="s">
        <v>876</v>
      </c>
      <c r="C10330" t="s">
        <v>88</v>
      </c>
      <c r="D10330" t="s">
        <v>8470</v>
      </c>
      <c r="E10330" t="s">
        <v>762</v>
      </c>
      <c r="F10330" t="s">
        <v>88</v>
      </c>
      <c r="G10330" t="s">
        <v>88</v>
      </c>
      <c r="H10330" t="s">
        <v>92</v>
      </c>
    </row>
    <row r="10331" spans="1:8" x14ac:dyDescent="0.25">
      <c r="A10331" t="s">
        <v>334</v>
      </c>
      <c r="B10331" t="s">
        <v>736</v>
      </c>
      <c r="C10331" t="s">
        <v>88</v>
      </c>
      <c r="D10331" t="s">
        <v>8471</v>
      </c>
      <c r="E10331" t="s">
        <v>780</v>
      </c>
      <c r="F10331" t="s">
        <v>88</v>
      </c>
      <c r="G10331" t="s">
        <v>88</v>
      </c>
      <c r="H10331" t="s">
        <v>92</v>
      </c>
    </row>
    <row r="10332" spans="1:8" x14ac:dyDescent="0.25">
      <c r="A10332" t="s">
        <v>334</v>
      </c>
      <c r="B10332" t="s">
        <v>106</v>
      </c>
      <c r="C10332" t="s">
        <v>88</v>
      </c>
      <c r="D10332" t="s">
        <v>8472</v>
      </c>
      <c r="E10332" t="s">
        <v>658</v>
      </c>
      <c r="F10332" t="s">
        <v>88</v>
      </c>
      <c r="G10332" t="s">
        <v>88</v>
      </c>
      <c r="H10332" t="s">
        <v>92</v>
      </c>
    </row>
    <row r="10333" spans="1:8" x14ac:dyDescent="0.25">
      <c r="A10333" t="s">
        <v>334</v>
      </c>
      <c r="B10333" t="s">
        <v>1398</v>
      </c>
      <c r="C10333" t="s">
        <v>88</v>
      </c>
      <c r="D10333" t="s">
        <v>88</v>
      </c>
      <c r="E10333" t="s">
        <v>679</v>
      </c>
      <c r="F10333" t="s">
        <v>88</v>
      </c>
      <c r="G10333" t="s">
        <v>88</v>
      </c>
      <c r="H10333" t="s">
        <v>92</v>
      </c>
    </row>
    <row r="10334" spans="1:8" x14ac:dyDescent="0.25">
      <c r="A10334" t="s">
        <v>334</v>
      </c>
      <c r="B10334" t="s">
        <v>8473</v>
      </c>
      <c r="C10334" t="s">
        <v>88</v>
      </c>
      <c r="D10334" t="s">
        <v>8474</v>
      </c>
      <c r="E10334" t="s">
        <v>2481</v>
      </c>
      <c r="F10334" t="s">
        <v>88</v>
      </c>
      <c r="G10334" t="s">
        <v>88</v>
      </c>
      <c r="H10334" t="s">
        <v>92</v>
      </c>
    </row>
    <row r="10335" spans="1:8" x14ac:dyDescent="0.25">
      <c r="A10335" t="s">
        <v>334</v>
      </c>
      <c r="B10335" t="s">
        <v>1342</v>
      </c>
      <c r="C10335" t="s">
        <v>88</v>
      </c>
      <c r="D10335" t="s">
        <v>3339</v>
      </c>
      <c r="E10335" t="s">
        <v>1282</v>
      </c>
      <c r="F10335" t="s">
        <v>88</v>
      </c>
      <c r="G10335" t="s">
        <v>88</v>
      </c>
      <c r="H10335" t="s">
        <v>92</v>
      </c>
    </row>
    <row r="10336" spans="1:8" x14ac:dyDescent="0.25">
      <c r="A10336" t="s">
        <v>334</v>
      </c>
      <c r="B10336" t="s">
        <v>8475</v>
      </c>
      <c r="C10336" t="s">
        <v>88</v>
      </c>
      <c r="D10336" t="s">
        <v>8476</v>
      </c>
      <c r="E10336" t="s">
        <v>655</v>
      </c>
      <c r="F10336" t="s">
        <v>88</v>
      </c>
      <c r="G10336" t="s">
        <v>88</v>
      </c>
      <c r="H10336" t="s">
        <v>92</v>
      </c>
    </row>
    <row r="10337" spans="1:8" x14ac:dyDescent="0.25">
      <c r="A10337" t="s">
        <v>334</v>
      </c>
      <c r="B10337" t="s">
        <v>6005</v>
      </c>
      <c r="C10337" t="s">
        <v>88</v>
      </c>
      <c r="D10337" t="s">
        <v>88</v>
      </c>
      <c r="E10337" t="s">
        <v>715</v>
      </c>
      <c r="F10337" t="s">
        <v>88</v>
      </c>
      <c r="G10337" t="s">
        <v>88</v>
      </c>
      <c r="H10337" t="s">
        <v>92</v>
      </c>
    </row>
    <row r="10338" spans="1:8" x14ac:dyDescent="0.25">
      <c r="A10338" t="s">
        <v>334</v>
      </c>
      <c r="B10338" t="s">
        <v>876</v>
      </c>
      <c r="C10338" t="s">
        <v>88</v>
      </c>
      <c r="D10338" t="s">
        <v>8470</v>
      </c>
      <c r="E10338" t="s">
        <v>762</v>
      </c>
      <c r="F10338" t="s">
        <v>88</v>
      </c>
      <c r="G10338" t="s">
        <v>88</v>
      </c>
      <c r="H10338" t="s">
        <v>92</v>
      </c>
    </row>
    <row r="10339" spans="1:8" x14ac:dyDescent="0.25">
      <c r="A10339" t="s">
        <v>334</v>
      </c>
      <c r="B10339" t="s">
        <v>759</v>
      </c>
      <c r="C10339" t="s">
        <v>88</v>
      </c>
      <c r="D10339" t="s">
        <v>8470</v>
      </c>
      <c r="E10339" t="s">
        <v>760</v>
      </c>
      <c r="F10339" t="s">
        <v>88</v>
      </c>
      <c r="G10339" t="s">
        <v>88</v>
      </c>
      <c r="H10339" t="s">
        <v>92</v>
      </c>
    </row>
    <row r="10340" spans="1:8" x14ac:dyDescent="0.25">
      <c r="A10340" t="s">
        <v>334</v>
      </c>
      <c r="B10340" t="s">
        <v>905</v>
      </c>
      <c r="C10340" t="s">
        <v>88</v>
      </c>
      <c r="D10340" t="s">
        <v>8470</v>
      </c>
      <c r="E10340" t="s">
        <v>760</v>
      </c>
      <c r="F10340" t="s">
        <v>88</v>
      </c>
      <c r="G10340" t="s">
        <v>88</v>
      </c>
      <c r="H10340" t="s">
        <v>92</v>
      </c>
    </row>
    <row r="10341" spans="1:8" x14ac:dyDescent="0.25">
      <c r="A10341" t="s">
        <v>334</v>
      </c>
      <c r="B10341" t="s">
        <v>8477</v>
      </c>
      <c r="C10341" t="s">
        <v>88</v>
      </c>
      <c r="D10341" t="s">
        <v>8470</v>
      </c>
      <c r="E10341" t="s">
        <v>760</v>
      </c>
      <c r="F10341" t="s">
        <v>88</v>
      </c>
      <c r="G10341" t="s">
        <v>88</v>
      </c>
      <c r="H10341" t="s">
        <v>92</v>
      </c>
    </row>
    <row r="10342" spans="1:8" x14ac:dyDescent="0.25">
      <c r="A10342" t="s">
        <v>334</v>
      </c>
      <c r="B10342" t="s">
        <v>769</v>
      </c>
      <c r="C10342" t="s">
        <v>88</v>
      </c>
      <c r="D10342" t="s">
        <v>8478</v>
      </c>
      <c r="E10342" t="s">
        <v>676</v>
      </c>
      <c r="F10342" t="s">
        <v>88</v>
      </c>
      <c r="G10342" t="s">
        <v>88</v>
      </c>
      <c r="H10342" t="s">
        <v>92</v>
      </c>
    </row>
    <row r="10343" spans="1:8" x14ac:dyDescent="0.25">
      <c r="A10343" t="s">
        <v>334</v>
      </c>
      <c r="B10343" t="s">
        <v>7308</v>
      </c>
      <c r="C10343" t="s">
        <v>88</v>
      </c>
      <c r="D10343" t="s">
        <v>8470</v>
      </c>
      <c r="E10343" t="s">
        <v>1353</v>
      </c>
      <c r="F10343" t="s">
        <v>88</v>
      </c>
      <c r="G10343" t="s">
        <v>88</v>
      </c>
      <c r="H10343" t="s">
        <v>92</v>
      </c>
    </row>
    <row r="10344" spans="1:8" x14ac:dyDescent="0.25">
      <c r="A10344" t="s">
        <v>334</v>
      </c>
      <c r="B10344" t="s">
        <v>740</v>
      </c>
      <c r="C10344" t="s">
        <v>88</v>
      </c>
      <c r="D10344" t="s">
        <v>8470</v>
      </c>
      <c r="E10344" t="s">
        <v>717</v>
      </c>
      <c r="F10344" t="s">
        <v>88</v>
      </c>
      <c r="G10344" t="s">
        <v>88</v>
      </c>
      <c r="H10344" t="s">
        <v>92</v>
      </c>
    </row>
    <row r="10345" spans="1:8" x14ac:dyDescent="0.25">
      <c r="A10345" t="s">
        <v>334</v>
      </c>
      <c r="B10345" t="s">
        <v>764</v>
      </c>
      <c r="C10345" t="s">
        <v>88</v>
      </c>
      <c r="D10345" t="s">
        <v>8470</v>
      </c>
      <c r="E10345" t="s">
        <v>717</v>
      </c>
      <c r="F10345" t="s">
        <v>88</v>
      </c>
      <c r="G10345" t="s">
        <v>88</v>
      </c>
      <c r="H10345" t="s">
        <v>92</v>
      </c>
    </row>
    <row r="10346" spans="1:8" x14ac:dyDescent="0.25">
      <c r="A10346" t="s">
        <v>334</v>
      </c>
      <c r="B10346" t="s">
        <v>881</v>
      </c>
      <c r="C10346" t="s">
        <v>88</v>
      </c>
      <c r="D10346" t="s">
        <v>8470</v>
      </c>
      <c r="E10346" t="s">
        <v>717</v>
      </c>
      <c r="F10346" t="s">
        <v>88</v>
      </c>
      <c r="G10346" t="s">
        <v>88</v>
      </c>
      <c r="H10346" t="s">
        <v>92</v>
      </c>
    </row>
    <row r="10347" spans="1:8" x14ac:dyDescent="0.25">
      <c r="A10347" t="s">
        <v>334</v>
      </c>
      <c r="B10347" t="s">
        <v>8479</v>
      </c>
      <c r="C10347" t="s">
        <v>88</v>
      </c>
      <c r="D10347" t="s">
        <v>88</v>
      </c>
      <c r="E10347" t="s">
        <v>760</v>
      </c>
      <c r="F10347" t="s">
        <v>88</v>
      </c>
      <c r="G10347" t="s">
        <v>88</v>
      </c>
      <c r="H10347" t="s">
        <v>92</v>
      </c>
    </row>
    <row r="10348" spans="1:8" x14ac:dyDescent="0.25">
      <c r="A10348" t="s">
        <v>334</v>
      </c>
      <c r="B10348" t="s">
        <v>736</v>
      </c>
      <c r="C10348" t="s">
        <v>88</v>
      </c>
      <c r="D10348" t="s">
        <v>8471</v>
      </c>
      <c r="E10348" t="s">
        <v>780</v>
      </c>
      <c r="F10348" t="s">
        <v>88</v>
      </c>
      <c r="G10348" t="s">
        <v>88</v>
      </c>
      <c r="H10348" t="s">
        <v>92</v>
      </c>
    </row>
    <row r="10349" spans="1:8" x14ac:dyDescent="0.25">
      <c r="A10349" t="s">
        <v>334</v>
      </c>
      <c r="B10349" t="s">
        <v>739</v>
      </c>
      <c r="C10349" t="s">
        <v>88</v>
      </c>
      <c r="D10349" t="s">
        <v>8471</v>
      </c>
      <c r="E10349" t="s">
        <v>738</v>
      </c>
      <c r="F10349" t="s">
        <v>88</v>
      </c>
      <c r="G10349" t="s">
        <v>88</v>
      </c>
      <c r="H10349" t="s">
        <v>92</v>
      </c>
    </row>
    <row r="10350" spans="1:8" x14ac:dyDescent="0.25">
      <c r="A10350" t="s">
        <v>334</v>
      </c>
      <c r="B10350" t="s">
        <v>8480</v>
      </c>
      <c r="C10350" t="s">
        <v>88</v>
      </c>
      <c r="D10350" t="s">
        <v>8471</v>
      </c>
      <c r="E10350" t="s">
        <v>937</v>
      </c>
      <c r="F10350" t="s">
        <v>88</v>
      </c>
      <c r="G10350" t="s">
        <v>88</v>
      </c>
      <c r="H10350" t="s">
        <v>92</v>
      </c>
    </row>
    <row r="10351" spans="1:8" x14ac:dyDescent="0.25">
      <c r="A10351" t="s">
        <v>334</v>
      </c>
      <c r="B10351" t="s">
        <v>777</v>
      </c>
      <c r="C10351" t="s">
        <v>88</v>
      </c>
      <c r="D10351" t="s">
        <v>8471</v>
      </c>
      <c r="E10351" t="s">
        <v>738</v>
      </c>
      <c r="F10351" t="s">
        <v>88</v>
      </c>
      <c r="G10351" t="s">
        <v>88</v>
      </c>
      <c r="H10351" t="s">
        <v>92</v>
      </c>
    </row>
    <row r="10352" spans="1:8" x14ac:dyDescent="0.25">
      <c r="A10352" t="s">
        <v>334</v>
      </c>
      <c r="B10352" t="s">
        <v>2021</v>
      </c>
      <c r="C10352" t="s">
        <v>88</v>
      </c>
      <c r="D10352" t="s">
        <v>8469</v>
      </c>
      <c r="E10352" t="s">
        <v>702</v>
      </c>
      <c r="F10352" t="s">
        <v>88</v>
      </c>
      <c r="G10352" t="s">
        <v>88</v>
      </c>
      <c r="H10352" t="s">
        <v>92</v>
      </c>
    </row>
    <row r="10353" spans="1:8" x14ac:dyDescent="0.25">
      <c r="A10353" t="s">
        <v>334</v>
      </c>
      <c r="B10353" t="s">
        <v>890</v>
      </c>
      <c r="C10353" t="s">
        <v>88</v>
      </c>
      <c r="D10353" t="s">
        <v>88</v>
      </c>
      <c r="E10353" t="s">
        <v>700</v>
      </c>
      <c r="F10353" t="s">
        <v>88</v>
      </c>
      <c r="G10353" t="s">
        <v>88</v>
      </c>
      <c r="H10353" t="s">
        <v>92</v>
      </c>
    </row>
    <row r="10354" spans="1:8" x14ac:dyDescent="0.25">
      <c r="A10354" t="s">
        <v>334</v>
      </c>
      <c r="B10354" t="s">
        <v>892</v>
      </c>
      <c r="C10354" t="s">
        <v>88</v>
      </c>
      <c r="D10354" t="s">
        <v>88</v>
      </c>
      <c r="E10354" t="s">
        <v>762</v>
      </c>
      <c r="F10354" t="s">
        <v>88</v>
      </c>
      <c r="G10354" t="s">
        <v>88</v>
      </c>
      <c r="H10354" t="s">
        <v>92</v>
      </c>
    </row>
    <row r="10355" spans="1:8" x14ac:dyDescent="0.25">
      <c r="A10355" t="s">
        <v>334</v>
      </c>
      <c r="B10355" t="s">
        <v>895</v>
      </c>
      <c r="C10355" t="s">
        <v>88</v>
      </c>
      <c r="D10355" t="s">
        <v>88</v>
      </c>
      <c r="E10355" t="s">
        <v>655</v>
      </c>
      <c r="F10355" t="s">
        <v>88</v>
      </c>
      <c r="G10355" t="s">
        <v>88</v>
      </c>
      <c r="H10355" t="s">
        <v>92</v>
      </c>
    </row>
    <row r="10356" spans="1:8" x14ac:dyDescent="0.25">
      <c r="A10356" t="s">
        <v>334</v>
      </c>
      <c r="B10356" t="s">
        <v>1380</v>
      </c>
      <c r="C10356" t="s">
        <v>88</v>
      </c>
      <c r="D10356" t="s">
        <v>8481</v>
      </c>
      <c r="E10356" t="s">
        <v>760</v>
      </c>
      <c r="F10356" t="s">
        <v>88</v>
      </c>
      <c r="G10356" t="s">
        <v>88</v>
      </c>
      <c r="H10356" t="s">
        <v>92</v>
      </c>
    </row>
    <row r="10357" spans="1:8" x14ac:dyDescent="0.25">
      <c r="A10357" t="s">
        <v>334</v>
      </c>
      <c r="B10357" t="s">
        <v>106</v>
      </c>
      <c r="C10357" t="s">
        <v>88</v>
      </c>
      <c r="D10357" t="s">
        <v>8472</v>
      </c>
      <c r="E10357" t="s">
        <v>658</v>
      </c>
      <c r="F10357" t="s">
        <v>88</v>
      </c>
      <c r="G10357" t="s">
        <v>88</v>
      </c>
      <c r="H10357" t="s">
        <v>92</v>
      </c>
    </row>
    <row r="10358" spans="1:8" x14ac:dyDescent="0.25">
      <c r="A10358" t="s">
        <v>334</v>
      </c>
      <c r="B10358" t="s">
        <v>823</v>
      </c>
      <c r="C10358" t="s">
        <v>88</v>
      </c>
      <c r="D10358" t="s">
        <v>88</v>
      </c>
      <c r="E10358" t="s">
        <v>814</v>
      </c>
      <c r="F10358" t="s">
        <v>88</v>
      </c>
      <c r="G10358" t="s">
        <v>88</v>
      </c>
      <c r="H10358" t="s">
        <v>92</v>
      </c>
    </row>
    <row r="10359" spans="1:8" x14ac:dyDescent="0.25">
      <c r="A10359" t="s">
        <v>334</v>
      </c>
      <c r="B10359" t="s">
        <v>789</v>
      </c>
      <c r="C10359" t="s">
        <v>88</v>
      </c>
      <c r="D10359" t="s">
        <v>8482</v>
      </c>
      <c r="E10359" t="s">
        <v>715</v>
      </c>
      <c r="F10359" t="s">
        <v>88</v>
      </c>
      <c r="G10359" t="s">
        <v>88</v>
      </c>
      <c r="H10359" t="s">
        <v>92</v>
      </c>
    </row>
    <row r="10360" spans="1:8" x14ac:dyDescent="0.25">
      <c r="A10360" t="s">
        <v>334</v>
      </c>
      <c r="B10360" t="s">
        <v>1398</v>
      </c>
      <c r="C10360" t="s">
        <v>88</v>
      </c>
      <c r="D10360" t="s">
        <v>88</v>
      </c>
      <c r="E10360" t="s">
        <v>679</v>
      </c>
      <c r="F10360" t="s">
        <v>88</v>
      </c>
      <c r="G10360" t="s">
        <v>88</v>
      </c>
      <c r="H10360" t="s">
        <v>92</v>
      </c>
    </row>
    <row r="10361" spans="1:8" x14ac:dyDescent="0.25">
      <c r="A10361" t="s">
        <v>334</v>
      </c>
      <c r="B10361" t="s">
        <v>615</v>
      </c>
      <c r="C10361" t="s">
        <v>88</v>
      </c>
      <c r="D10361" t="s">
        <v>88</v>
      </c>
      <c r="E10361" t="s">
        <v>734</v>
      </c>
      <c r="F10361" t="s">
        <v>88</v>
      </c>
      <c r="G10361" t="s">
        <v>88</v>
      </c>
      <c r="H10361" t="s">
        <v>92</v>
      </c>
    </row>
    <row r="10362" spans="1:8" x14ac:dyDescent="0.25">
      <c r="A10362" t="s">
        <v>334</v>
      </c>
      <c r="B10362" t="s">
        <v>616</v>
      </c>
      <c r="C10362" t="s">
        <v>88</v>
      </c>
      <c r="D10362" t="s">
        <v>88</v>
      </c>
      <c r="E10362" t="s">
        <v>734</v>
      </c>
      <c r="F10362" t="s">
        <v>88</v>
      </c>
      <c r="G10362" t="s">
        <v>88</v>
      </c>
      <c r="H10362" t="s">
        <v>92</v>
      </c>
    </row>
    <row r="10363" spans="1:8" x14ac:dyDescent="0.25">
      <c r="A10363" t="s">
        <v>334</v>
      </c>
      <c r="B10363" t="s">
        <v>846</v>
      </c>
      <c r="C10363" t="s">
        <v>88</v>
      </c>
      <c r="D10363" t="s">
        <v>88</v>
      </c>
      <c r="E10363" t="s">
        <v>734</v>
      </c>
      <c r="F10363" t="s">
        <v>88</v>
      </c>
      <c r="G10363" t="s">
        <v>88</v>
      </c>
      <c r="H10363" t="s">
        <v>92</v>
      </c>
    </row>
    <row r="10364" spans="1:8" x14ac:dyDescent="0.25">
      <c r="A10364" t="s">
        <v>334</v>
      </c>
      <c r="B10364" t="s">
        <v>618</v>
      </c>
      <c r="C10364" t="s">
        <v>88</v>
      </c>
      <c r="D10364" t="s">
        <v>88</v>
      </c>
      <c r="E10364" t="s">
        <v>710</v>
      </c>
      <c r="F10364" t="s">
        <v>88</v>
      </c>
      <c r="G10364" t="s">
        <v>88</v>
      </c>
      <c r="H10364" t="s">
        <v>92</v>
      </c>
    </row>
    <row r="10365" spans="1:8" x14ac:dyDescent="0.25">
      <c r="A10365" t="s">
        <v>334</v>
      </c>
      <c r="B10365" t="s">
        <v>622</v>
      </c>
      <c r="C10365" t="s">
        <v>88</v>
      </c>
      <c r="D10365" t="s">
        <v>88</v>
      </c>
      <c r="E10365" t="s">
        <v>711</v>
      </c>
      <c r="F10365" t="s">
        <v>88</v>
      </c>
      <c r="G10365" t="s">
        <v>88</v>
      </c>
      <c r="H10365" t="s">
        <v>92</v>
      </c>
    </row>
    <row r="10366" spans="1:8" x14ac:dyDescent="0.25">
      <c r="A10366" t="s">
        <v>334</v>
      </c>
      <c r="B10366" t="s">
        <v>623</v>
      </c>
      <c r="C10366" t="s">
        <v>88</v>
      </c>
      <c r="D10366" t="s">
        <v>88</v>
      </c>
      <c r="E10366" t="s">
        <v>849</v>
      </c>
      <c r="F10366" t="s">
        <v>88</v>
      </c>
      <c r="G10366" t="s">
        <v>88</v>
      </c>
      <c r="H10366" t="s">
        <v>92</v>
      </c>
    </row>
    <row r="10367" spans="1:8" x14ac:dyDescent="0.25">
      <c r="A10367" t="s">
        <v>335</v>
      </c>
      <c r="B10367" t="s">
        <v>8483</v>
      </c>
      <c r="C10367" t="s">
        <v>88</v>
      </c>
      <c r="D10367" t="s">
        <v>8484</v>
      </c>
      <c r="E10367" t="s">
        <v>1006</v>
      </c>
      <c r="F10367" t="s">
        <v>88</v>
      </c>
      <c r="G10367" t="s">
        <v>88</v>
      </c>
      <c r="H10367" t="s">
        <v>92</v>
      </c>
    </row>
    <row r="10368" spans="1:8" x14ac:dyDescent="0.25">
      <c r="A10368" t="s">
        <v>335</v>
      </c>
      <c r="B10368" t="s">
        <v>8485</v>
      </c>
      <c r="C10368" t="s">
        <v>88</v>
      </c>
      <c r="D10368" t="s">
        <v>8486</v>
      </c>
      <c r="E10368" t="s">
        <v>760</v>
      </c>
      <c r="F10368" t="s">
        <v>88</v>
      </c>
      <c r="G10368" t="s">
        <v>88</v>
      </c>
      <c r="H10368" t="s">
        <v>92</v>
      </c>
    </row>
    <row r="10369" spans="1:8" x14ac:dyDescent="0.25">
      <c r="A10369" t="s">
        <v>335</v>
      </c>
      <c r="B10369" t="s">
        <v>8487</v>
      </c>
      <c r="C10369" t="s">
        <v>88</v>
      </c>
      <c r="D10369" t="s">
        <v>8488</v>
      </c>
      <c r="E10369" t="s">
        <v>760</v>
      </c>
      <c r="F10369" t="s">
        <v>88</v>
      </c>
      <c r="G10369" t="s">
        <v>88</v>
      </c>
      <c r="H10369" t="s">
        <v>92</v>
      </c>
    </row>
    <row r="10370" spans="1:8" x14ac:dyDescent="0.25">
      <c r="A10370" t="s">
        <v>335</v>
      </c>
      <c r="B10370" t="s">
        <v>8489</v>
      </c>
      <c r="C10370" t="s">
        <v>88</v>
      </c>
      <c r="D10370" t="s">
        <v>8490</v>
      </c>
      <c r="E10370" t="s">
        <v>717</v>
      </c>
      <c r="F10370" t="s">
        <v>88</v>
      </c>
      <c r="G10370" t="s">
        <v>88</v>
      </c>
      <c r="H10370" t="s">
        <v>92</v>
      </c>
    </row>
    <row r="10371" spans="1:8" x14ac:dyDescent="0.25">
      <c r="A10371" t="s">
        <v>335</v>
      </c>
      <c r="B10371" t="s">
        <v>8491</v>
      </c>
      <c r="C10371" t="s">
        <v>88</v>
      </c>
      <c r="D10371" t="s">
        <v>8492</v>
      </c>
      <c r="E10371" t="s">
        <v>760</v>
      </c>
      <c r="F10371" t="s">
        <v>88</v>
      </c>
      <c r="G10371" t="s">
        <v>88</v>
      </c>
      <c r="H10371" t="s">
        <v>92</v>
      </c>
    </row>
    <row r="10372" spans="1:8" x14ac:dyDescent="0.25">
      <c r="A10372" t="s">
        <v>335</v>
      </c>
      <c r="B10372" t="s">
        <v>8493</v>
      </c>
      <c r="C10372" t="s">
        <v>88</v>
      </c>
      <c r="D10372" t="s">
        <v>8494</v>
      </c>
      <c r="E10372" t="s">
        <v>692</v>
      </c>
      <c r="F10372" t="s">
        <v>88</v>
      </c>
      <c r="G10372" t="s">
        <v>88</v>
      </c>
      <c r="H10372" t="s">
        <v>92</v>
      </c>
    </row>
    <row r="10373" spans="1:8" x14ac:dyDescent="0.25">
      <c r="A10373" t="s">
        <v>335</v>
      </c>
      <c r="B10373" t="s">
        <v>8495</v>
      </c>
      <c r="C10373" t="s">
        <v>88</v>
      </c>
      <c r="D10373" t="s">
        <v>8496</v>
      </c>
      <c r="E10373" t="s">
        <v>655</v>
      </c>
      <c r="F10373" t="s">
        <v>88</v>
      </c>
      <c r="G10373" t="s">
        <v>88</v>
      </c>
      <c r="H10373" t="s">
        <v>92</v>
      </c>
    </row>
    <row r="10374" spans="1:8" x14ac:dyDescent="0.25">
      <c r="A10374" t="s">
        <v>335</v>
      </c>
      <c r="B10374" t="s">
        <v>8497</v>
      </c>
      <c r="C10374" t="s">
        <v>88</v>
      </c>
      <c r="D10374" t="s">
        <v>8498</v>
      </c>
      <c r="E10374" t="s">
        <v>655</v>
      </c>
      <c r="F10374" t="s">
        <v>88</v>
      </c>
      <c r="G10374" t="s">
        <v>88</v>
      </c>
      <c r="H10374" t="s">
        <v>92</v>
      </c>
    </row>
    <row r="10375" spans="1:8" x14ac:dyDescent="0.25">
      <c r="A10375" t="s">
        <v>335</v>
      </c>
      <c r="B10375" t="s">
        <v>8499</v>
      </c>
      <c r="C10375" t="s">
        <v>88</v>
      </c>
      <c r="D10375" t="s">
        <v>8500</v>
      </c>
      <c r="E10375" t="s">
        <v>655</v>
      </c>
      <c r="F10375" t="s">
        <v>88</v>
      </c>
      <c r="G10375" t="s">
        <v>88</v>
      </c>
      <c r="H10375" t="s">
        <v>92</v>
      </c>
    </row>
    <row r="10376" spans="1:8" x14ac:dyDescent="0.25">
      <c r="A10376" t="s">
        <v>335</v>
      </c>
      <c r="B10376" t="s">
        <v>8501</v>
      </c>
      <c r="C10376" t="s">
        <v>88</v>
      </c>
      <c r="D10376" t="s">
        <v>8502</v>
      </c>
      <c r="E10376" t="s">
        <v>725</v>
      </c>
      <c r="F10376" t="s">
        <v>88</v>
      </c>
      <c r="G10376" t="s">
        <v>88</v>
      </c>
      <c r="H10376" t="s">
        <v>92</v>
      </c>
    </row>
    <row r="10377" spans="1:8" x14ac:dyDescent="0.25">
      <c r="A10377" t="s">
        <v>335</v>
      </c>
      <c r="B10377" t="s">
        <v>5266</v>
      </c>
      <c r="C10377" t="s">
        <v>88</v>
      </c>
      <c r="D10377" t="s">
        <v>8503</v>
      </c>
      <c r="E10377" t="s">
        <v>663</v>
      </c>
      <c r="F10377" t="s">
        <v>88</v>
      </c>
      <c r="G10377" t="s">
        <v>88</v>
      </c>
      <c r="H10377" t="s">
        <v>92</v>
      </c>
    </row>
    <row r="10378" spans="1:8" x14ac:dyDescent="0.25">
      <c r="A10378" t="s">
        <v>335</v>
      </c>
      <c r="B10378" t="s">
        <v>8504</v>
      </c>
      <c r="C10378" t="s">
        <v>88</v>
      </c>
      <c r="D10378" t="s">
        <v>8505</v>
      </c>
      <c r="E10378" t="s">
        <v>663</v>
      </c>
      <c r="F10378" t="s">
        <v>88</v>
      </c>
      <c r="G10378" t="s">
        <v>88</v>
      </c>
      <c r="H10378" t="s">
        <v>92</v>
      </c>
    </row>
    <row r="10379" spans="1:8" x14ac:dyDescent="0.25">
      <c r="A10379" t="s">
        <v>335</v>
      </c>
      <c r="B10379" t="s">
        <v>8506</v>
      </c>
      <c r="C10379" t="s">
        <v>88</v>
      </c>
      <c r="D10379" t="s">
        <v>8507</v>
      </c>
      <c r="E10379" t="s">
        <v>723</v>
      </c>
      <c r="F10379" t="s">
        <v>88</v>
      </c>
      <c r="G10379" t="s">
        <v>88</v>
      </c>
      <c r="H10379" t="s">
        <v>92</v>
      </c>
    </row>
    <row r="10380" spans="1:8" x14ac:dyDescent="0.25">
      <c r="A10380" t="s">
        <v>335</v>
      </c>
      <c r="B10380" t="s">
        <v>8508</v>
      </c>
      <c r="C10380" t="s">
        <v>88</v>
      </c>
      <c r="D10380" t="s">
        <v>8509</v>
      </c>
      <c r="E10380" t="s">
        <v>715</v>
      </c>
      <c r="F10380" t="s">
        <v>88</v>
      </c>
      <c r="G10380" t="s">
        <v>88</v>
      </c>
      <c r="H10380" t="s">
        <v>92</v>
      </c>
    </row>
    <row r="10381" spans="1:8" x14ac:dyDescent="0.25">
      <c r="A10381" t="s">
        <v>335</v>
      </c>
      <c r="B10381" t="s">
        <v>8510</v>
      </c>
      <c r="C10381" t="s">
        <v>88</v>
      </c>
      <c r="D10381" t="s">
        <v>8511</v>
      </c>
      <c r="E10381" t="s">
        <v>673</v>
      </c>
      <c r="F10381" t="s">
        <v>88</v>
      </c>
      <c r="G10381" t="s">
        <v>88</v>
      </c>
      <c r="H10381" t="s">
        <v>92</v>
      </c>
    </row>
    <row r="10382" spans="1:8" x14ac:dyDescent="0.25">
      <c r="A10382" t="s">
        <v>335</v>
      </c>
      <c r="B10382" t="s">
        <v>8512</v>
      </c>
      <c r="C10382" t="s">
        <v>88</v>
      </c>
      <c r="D10382" t="s">
        <v>8513</v>
      </c>
      <c r="E10382" t="s">
        <v>762</v>
      </c>
      <c r="F10382" t="s">
        <v>88</v>
      </c>
      <c r="G10382" t="s">
        <v>88</v>
      </c>
      <c r="H10382" t="s">
        <v>92</v>
      </c>
    </row>
    <row r="10383" spans="1:8" x14ac:dyDescent="0.25">
      <c r="A10383" t="s">
        <v>335</v>
      </c>
      <c r="B10383" t="s">
        <v>8514</v>
      </c>
      <c r="C10383" t="s">
        <v>88</v>
      </c>
      <c r="D10383" t="s">
        <v>8515</v>
      </c>
      <c r="E10383" t="s">
        <v>762</v>
      </c>
      <c r="F10383" t="s">
        <v>88</v>
      </c>
      <c r="G10383" t="s">
        <v>88</v>
      </c>
      <c r="H10383" t="s">
        <v>92</v>
      </c>
    </row>
    <row r="10384" spans="1:8" x14ac:dyDescent="0.25">
      <c r="A10384" t="s">
        <v>335</v>
      </c>
      <c r="B10384" t="s">
        <v>8516</v>
      </c>
      <c r="C10384" t="s">
        <v>88</v>
      </c>
      <c r="D10384" t="s">
        <v>88</v>
      </c>
      <c r="E10384" t="s">
        <v>709</v>
      </c>
      <c r="F10384" t="s">
        <v>88</v>
      </c>
      <c r="G10384" t="s">
        <v>88</v>
      </c>
      <c r="H10384" t="s">
        <v>92</v>
      </c>
    </row>
    <row r="10385" spans="1:8" x14ac:dyDescent="0.25">
      <c r="A10385" t="s">
        <v>335</v>
      </c>
      <c r="B10385" t="s">
        <v>8517</v>
      </c>
      <c r="C10385" t="s">
        <v>88</v>
      </c>
      <c r="D10385" t="s">
        <v>88</v>
      </c>
      <c r="E10385" t="s">
        <v>709</v>
      </c>
      <c r="F10385" t="s">
        <v>88</v>
      </c>
      <c r="G10385" t="s">
        <v>88</v>
      </c>
      <c r="H10385" t="s">
        <v>92</v>
      </c>
    </row>
    <row r="10386" spans="1:8" x14ac:dyDescent="0.25">
      <c r="A10386" t="s">
        <v>335</v>
      </c>
      <c r="B10386" t="s">
        <v>8518</v>
      </c>
      <c r="C10386" t="s">
        <v>88</v>
      </c>
      <c r="D10386" t="s">
        <v>88</v>
      </c>
      <c r="E10386" t="s">
        <v>709</v>
      </c>
      <c r="F10386" t="s">
        <v>88</v>
      </c>
      <c r="G10386" t="s">
        <v>88</v>
      </c>
      <c r="H10386" t="s">
        <v>92</v>
      </c>
    </row>
    <row r="10387" spans="1:8" x14ac:dyDescent="0.25">
      <c r="A10387" t="s">
        <v>335</v>
      </c>
      <c r="B10387" t="s">
        <v>8519</v>
      </c>
      <c r="C10387" t="s">
        <v>88</v>
      </c>
      <c r="D10387" t="s">
        <v>88</v>
      </c>
      <c r="E10387" t="s">
        <v>709</v>
      </c>
      <c r="F10387" t="s">
        <v>88</v>
      </c>
      <c r="G10387" t="s">
        <v>88</v>
      </c>
      <c r="H10387" t="s">
        <v>92</v>
      </c>
    </row>
    <row r="10388" spans="1:8" x14ac:dyDescent="0.25">
      <c r="A10388" t="s">
        <v>335</v>
      </c>
      <c r="B10388" t="s">
        <v>8520</v>
      </c>
      <c r="C10388" t="s">
        <v>88</v>
      </c>
      <c r="D10388" t="s">
        <v>88</v>
      </c>
      <c r="E10388" t="s">
        <v>709</v>
      </c>
      <c r="F10388" t="s">
        <v>88</v>
      </c>
      <c r="G10388" t="s">
        <v>88</v>
      </c>
      <c r="H10388" t="s">
        <v>92</v>
      </c>
    </row>
    <row r="10389" spans="1:8" x14ac:dyDescent="0.25">
      <c r="A10389" t="s">
        <v>335</v>
      </c>
      <c r="B10389" t="s">
        <v>8521</v>
      </c>
      <c r="C10389" t="s">
        <v>88</v>
      </c>
      <c r="D10389" t="s">
        <v>88</v>
      </c>
      <c r="E10389" t="s">
        <v>709</v>
      </c>
      <c r="F10389" t="s">
        <v>88</v>
      </c>
      <c r="G10389" t="s">
        <v>88</v>
      </c>
      <c r="H10389" t="s">
        <v>92</v>
      </c>
    </row>
    <row r="10390" spans="1:8" x14ac:dyDescent="0.25">
      <c r="A10390" t="s">
        <v>335</v>
      </c>
      <c r="B10390" t="s">
        <v>8522</v>
      </c>
      <c r="C10390" t="s">
        <v>88</v>
      </c>
      <c r="D10390" t="s">
        <v>88</v>
      </c>
      <c r="E10390" t="s">
        <v>709</v>
      </c>
      <c r="F10390" t="s">
        <v>88</v>
      </c>
      <c r="G10390" t="s">
        <v>88</v>
      </c>
      <c r="H10390" t="s">
        <v>92</v>
      </c>
    </row>
    <row r="10391" spans="1:8" x14ac:dyDescent="0.25">
      <c r="A10391" t="s">
        <v>335</v>
      </c>
      <c r="B10391" t="s">
        <v>8523</v>
      </c>
      <c r="C10391" t="s">
        <v>88</v>
      </c>
      <c r="D10391" t="s">
        <v>88</v>
      </c>
      <c r="E10391" t="s">
        <v>709</v>
      </c>
      <c r="F10391" t="s">
        <v>88</v>
      </c>
      <c r="G10391" t="s">
        <v>88</v>
      </c>
      <c r="H10391" t="s">
        <v>92</v>
      </c>
    </row>
    <row r="10392" spans="1:8" x14ac:dyDescent="0.25">
      <c r="A10392" t="s">
        <v>335</v>
      </c>
      <c r="B10392" t="s">
        <v>8524</v>
      </c>
      <c r="C10392" t="s">
        <v>88</v>
      </c>
      <c r="D10392" t="s">
        <v>88</v>
      </c>
      <c r="E10392" t="s">
        <v>709</v>
      </c>
      <c r="F10392" t="s">
        <v>88</v>
      </c>
      <c r="G10392" t="s">
        <v>88</v>
      </c>
      <c r="H10392" t="s">
        <v>92</v>
      </c>
    </row>
    <row r="10393" spans="1:8" x14ac:dyDescent="0.25">
      <c r="A10393" t="s">
        <v>335</v>
      </c>
      <c r="B10393" t="s">
        <v>8525</v>
      </c>
      <c r="C10393" t="s">
        <v>88</v>
      </c>
      <c r="D10393" t="s">
        <v>88</v>
      </c>
      <c r="E10393" t="s">
        <v>709</v>
      </c>
      <c r="F10393" t="s">
        <v>88</v>
      </c>
      <c r="G10393" t="s">
        <v>88</v>
      </c>
      <c r="H10393" t="s">
        <v>92</v>
      </c>
    </row>
    <row r="10394" spans="1:8" x14ac:dyDescent="0.25">
      <c r="A10394" t="s">
        <v>335</v>
      </c>
      <c r="B10394" t="s">
        <v>8526</v>
      </c>
      <c r="C10394" t="s">
        <v>88</v>
      </c>
      <c r="D10394" t="s">
        <v>88</v>
      </c>
      <c r="E10394" t="s">
        <v>848</v>
      </c>
      <c r="F10394" t="s">
        <v>88</v>
      </c>
      <c r="G10394" t="s">
        <v>88</v>
      </c>
      <c r="H10394" t="s">
        <v>92</v>
      </c>
    </row>
    <row r="10395" spans="1:8" x14ac:dyDescent="0.25">
      <c r="A10395" t="s">
        <v>335</v>
      </c>
      <c r="B10395" t="s">
        <v>8527</v>
      </c>
      <c r="C10395" t="s">
        <v>88</v>
      </c>
      <c r="D10395" t="s">
        <v>88</v>
      </c>
      <c r="E10395" t="s">
        <v>848</v>
      </c>
      <c r="F10395" t="s">
        <v>88</v>
      </c>
      <c r="G10395" t="s">
        <v>88</v>
      </c>
      <c r="H10395" t="s">
        <v>92</v>
      </c>
    </row>
    <row r="10396" spans="1:8" x14ac:dyDescent="0.25">
      <c r="A10396" t="s">
        <v>335</v>
      </c>
      <c r="B10396" t="s">
        <v>8528</v>
      </c>
      <c r="C10396" t="s">
        <v>88</v>
      </c>
      <c r="D10396" t="s">
        <v>88</v>
      </c>
      <c r="E10396" t="s">
        <v>848</v>
      </c>
      <c r="F10396" t="s">
        <v>88</v>
      </c>
      <c r="G10396" t="s">
        <v>88</v>
      </c>
      <c r="H10396" t="s">
        <v>92</v>
      </c>
    </row>
    <row r="10397" spans="1:8" x14ac:dyDescent="0.25">
      <c r="A10397" t="s">
        <v>335</v>
      </c>
      <c r="B10397" t="s">
        <v>8529</v>
      </c>
      <c r="C10397" t="s">
        <v>88</v>
      </c>
      <c r="D10397" t="s">
        <v>88</v>
      </c>
      <c r="E10397" t="s">
        <v>848</v>
      </c>
      <c r="F10397" t="s">
        <v>88</v>
      </c>
      <c r="G10397" t="s">
        <v>88</v>
      </c>
      <c r="H10397" t="s">
        <v>92</v>
      </c>
    </row>
    <row r="10398" spans="1:8" x14ac:dyDescent="0.25">
      <c r="A10398" t="s">
        <v>335</v>
      </c>
      <c r="B10398" t="s">
        <v>8530</v>
      </c>
      <c r="C10398" t="s">
        <v>88</v>
      </c>
      <c r="D10398" t="s">
        <v>88</v>
      </c>
      <c r="E10398" t="s">
        <v>780</v>
      </c>
      <c r="F10398" t="s">
        <v>88</v>
      </c>
      <c r="G10398" t="s">
        <v>88</v>
      </c>
      <c r="H10398" t="s">
        <v>92</v>
      </c>
    </row>
    <row r="10399" spans="1:8" x14ac:dyDescent="0.25">
      <c r="A10399" t="s">
        <v>335</v>
      </c>
      <c r="B10399" t="s">
        <v>8531</v>
      </c>
      <c r="C10399" t="s">
        <v>88</v>
      </c>
      <c r="D10399" t="s">
        <v>88</v>
      </c>
      <c r="E10399" t="s">
        <v>780</v>
      </c>
      <c r="F10399" t="s">
        <v>88</v>
      </c>
      <c r="G10399" t="s">
        <v>88</v>
      </c>
      <c r="H10399" t="s">
        <v>92</v>
      </c>
    </row>
    <row r="10400" spans="1:8" x14ac:dyDescent="0.25">
      <c r="A10400" t="s">
        <v>335</v>
      </c>
      <c r="B10400" t="s">
        <v>8532</v>
      </c>
      <c r="C10400" t="s">
        <v>88</v>
      </c>
      <c r="D10400" t="s">
        <v>88</v>
      </c>
      <c r="E10400" t="s">
        <v>780</v>
      </c>
      <c r="F10400" t="s">
        <v>88</v>
      </c>
      <c r="G10400" t="s">
        <v>88</v>
      </c>
      <c r="H10400" t="s">
        <v>92</v>
      </c>
    </row>
    <row r="10401" spans="1:8" x14ac:dyDescent="0.25">
      <c r="A10401" t="s">
        <v>335</v>
      </c>
      <c r="B10401" t="s">
        <v>8533</v>
      </c>
      <c r="C10401" t="s">
        <v>88</v>
      </c>
      <c r="D10401" t="s">
        <v>88</v>
      </c>
      <c r="E10401" t="s">
        <v>780</v>
      </c>
      <c r="F10401" t="s">
        <v>88</v>
      </c>
      <c r="G10401" t="s">
        <v>88</v>
      </c>
      <c r="H10401" t="s">
        <v>92</v>
      </c>
    </row>
    <row r="10402" spans="1:8" x14ac:dyDescent="0.25">
      <c r="A10402" t="s">
        <v>335</v>
      </c>
      <c r="B10402" t="s">
        <v>8534</v>
      </c>
      <c r="C10402" t="s">
        <v>88</v>
      </c>
      <c r="D10402" t="s">
        <v>88</v>
      </c>
      <c r="E10402" t="s">
        <v>893</v>
      </c>
      <c r="F10402" t="s">
        <v>88</v>
      </c>
      <c r="G10402" t="s">
        <v>88</v>
      </c>
      <c r="H10402" t="s">
        <v>92</v>
      </c>
    </row>
    <row r="10403" spans="1:8" x14ac:dyDescent="0.25">
      <c r="A10403" t="s">
        <v>335</v>
      </c>
      <c r="B10403" t="s">
        <v>8535</v>
      </c>
      <c r="C10403" t="s">
        <v>88</v>
      </c>
      <c r="D10403" t="s">
        <v>88</v>
      </c>
      <c r="E10403" t="s">
        <v>655</v>
      </c>
      <c r="F10403" t="s">
        <v>88</v>
      </c>
      <c r="G10403" t="s">
        <v>88</v>
      </c>
      <c r="H10403" t="s">
        <v>92</v>
      </c>
    </row>
    <row r="10404" spans="1:8" x14ac:dyDescent="0.25">
      <c r="A10404" t="s">
        <v>335</v>
      </c>
      <c r="B10404" t="s">
        <v>8536</v>
      </c>
      <c r="C10404" t="s">
        <v>88</v>
      </c>
      <c r="D10404" t="s">
        <v>88</v>
      </c>
      <c r="E10404" t="s">
        <v>655</v>
      </c>
      <c r="F10404" t="s">
        <v>88</v>
      </c>
      <c r="G10404" t="s">
        <v>88</v>
      </c>
      <c r="H10404" t="s">
        <v>92</v>
      </c>
    </row>
    <row r="10405" spans="1:8" x14ac:dyDescent="0.25">
      <c r="A10405" t="s">
        <v>335</v>
      </c>
      <c r="B10405" t="s">
        <v>8537</v>
      </c>
      <c r="C10405" t="s">
        <v>88</v>
      </c>
      <c r="D10405" t="s">
        <v>88</v>
      </c>
      <c r="E10405" t="s">
        <v>655</v>
      </c>
      <c r="F10405" t="s">
        <v>88</v>
      </c>
      <c r="G10405" t="s">
        <v>88</v>
      </c>
      <c r="H10405" t="s">
        <v>92</v>
      </c>
    </row>
    <row r="10406" spans="1:8" x14ac:dyDescent="0.25">
      <c r="A10406" t="s">
        <v>335</v>
      </c>
      <c r="B10406" t="s">
        <v>8538</v>
      </c>
      <c r="C10406" t="s">
        <v>88</v>
      </c>
      <c r="D10406" t="s">
        <v>88</v>
      </c>
      <c r="E10406" t="s">
        <v>655</v>
      </c>
      <c r="F10406" t="s">
        <v>88</v>
      </c>
      <c r="G10406" t="s">
        <v>88</v>
      </c>
      <c r="H10406" t="s">
        <v>92</v>
      </c>
    </row>
    <row r="10407" spans="1:8" x14ac:dyDescent="0.25">
      <c r="A10407" t="s">
        <v>335</v>
      </c>
      <c r="B10407" t="s">
        <v>8539</v>
      </c>
      <c r="C10407" t="s">
        <v>88</v>
      </c>
      <c r="D10407" t="s">
        <v>88</v>
      </c>
      <c r="E10407" t="s">
        <v>655</v>
      </c>
      <c r="F10407" t="s">
        <v>88</v>
      </c>
      <c r="G10407" t="s">
        <v>88</v>
      </c>
      <c r="H10407" t="s">
        <v>92</v>
      </c>
    </row>
    <row r="10408" spans="1:8" x14ac:dyDescent="0.25">
      <c r="A10408" t="s">
        <v>335</v>
      </c>
      <c r="B10408" t="s">
        <v>8540</v>
      </c>
      <c r="C10408" t="s">
        <v>88</v>
      </c>
      <c r="D10408" t="s">
        <v>88</v>
      </c>
      <c r="E10408" t="s">
        <v>700</v>
      </c>
      <c r="F10408" t="s">
        <v>88</v>
      </c>
      <c r="G10408" t="s">
        <v>88</v>
      </c>
      <c r="H10408" t="s">
        <v>92</v>
      </c>
    </row>
    <row r="10409" spans="1:8" x14ac:dyDescent="0.25">
      <c r="A10409" t="s">
        <v>335</v>
      </c>
      <c r="B10409" t="s">
        <v>8541</v>
      </c>
      <c r="C10409" t="s">
        <v>88</v>
      </c>
      <c r="D10409" t="s">
        <v>88</v>
      </c>
      <c r="E10409" t="s">
        <v>700</v>
      </c>
      <c r="F10409" t="s">
        <v>88</v>
      </c>
      <c r="G10409" t="s">
        <v>88</v>
      </c>
      <c r="H10409" t="s">
        <v>92</v>
      </c>
    </row>
    <row r="10410" spans="1:8" x14ac:dyDescent="0.25">
      <c r="A10410" t="s">
        <v>335</v>
      </c>
      <c r="B10410" t="s">
        <v>8542</v>
      </c>
      <c r="C10410" t="s">
        <v>88</v>
      </c>
      <c r="D10410" t="s">
        <v>88</v>
      </c>
      <c r="E10410" t="s">
        <v>748</v>
      </c>
      <c r="F10410" t="s">
        <v>88</v>
      </c>
      <c r="G10410" t="s">
        <v>88</v>
      </c>
      <c r="H10410" t="s">
        <v>92</v>
      </c>
    </row>
    <row r="10411" spans="1:8" x14ac:dyDescent="0.25">
      <c r="A10411" t="s">
        <v>335</v>
      </c>
      <c r="B10411" t="s">
        <v>8543</v>
      </c>
      <c r="C10411" t="s">
        <v>88</v>
      </c>
      <c r="D10411" t="s">
        <v>88</v>
      </c>
      <c r="E10411" t="s">
        <v>700</v>
      </c>
      <c r="F10411" t="s">
        <v>88</v>
      </c>
      <c r="G10411" t="s">
        <v>88</v>
      </c>
      <c r="H10411" t="s">
        <v>92</v>
      </c>
    </row>
    <row r="10412" spans="1:8" x14ac:dyDescent="0.25">
      <c r="A10412" t="s">
        <v>335</v>
      </c>
      <c r="B10412" t="s">
        <v>8544</v>
      </c>
      <c r="C10412" t="s">
        <v>88</v>
      </c>
      <c r="D10412" t="s">
        <v>88</v>
      </c>
      <c r="E10412" t="s">
        <v>715</v>
      </c>
      <c r="F10412" t="s">
        <v>88</v>
      </c>
      <c r="G10412" t="s">
        <v>88</v>
      </c>
      <c r="H10412" t="s">
        <v>92</v>
      </c>
    </row>
    <row r="10413" spans="1:8" x14ac:dyDescent="0.25">
      <c r="A10413" t="s">
        <v>335</v>
      </c>
      <c r="B10413" t="s">
        <v>8545</v>
      </c>
      <c r="C10413" t="s">
        <v>88</v>
      </c>
      <c r="D10413" t="s">
        <v>88</v>
      </c>
      <c r="E10413" t="s">
        <v>700</v>
      </c>
      <c r="F10413" t="s">
        <v>88</v>
      </c>
      <c r="G10413" t="s">
        <v>88</v>
      </c>
      <c r="H10413" t="s">
        <v>92</v>
      </c>
    </row>
    <row r="10414" spans="1:8" x14ac:dyDescent="0.25">
      <c r="A10414" t="s">
        <v>335</v>
      </c>
      <c r="B10414" t="s">
        <v>8546</v>
      </c>
      <c r="C10414" t="s">
        <v>88</v>
      </c>
      <c r="D10414" t="s">
        <v>88</v>
      </c>
      <c r="E10414" t="s">
        <v>700</v>
      </c>
      <c r="F10414" t="s">
        <v>88</v>
      </c>
      <c r="G10414" t="s">
        <v>88</v>
      </c>
      <c r="H10414" t="s">
        <v>92</v>
      </c>
    </row>
    <row r="10415" spans="1:8" x14ac:dyDescent="0.25">
      <c r="A10415" t="s">
        <v>335</v>
      </c>
      <c r="B10415" t="s">
        <v>8547</v>
      </c>
      <c r="C10415" t="s">
        <v>88</v>
      </c>
      <c r="D10415" t="s">
        <v>88</v>
      </c>
      <c r="E10415" t="s">
        <v>673</v>
      </c>
      <c r="F10415" t="s">
        <v>88</v>
      </c>
      <c r="G10415" t="s">
        <v>88</v>
      </c>
      <c r="H10415" t="s">
        <v>92</v>
      </c>
    </row>
    <row r="10416" spans="1:8" x14ac:dyDescent="0.25">
      <c r="A10416" t="s">
        <v>335</v>
      </c>
      <c r="B10416" t="s">
        <v>8393</v>
      </c>
      <c r="C10416" t="s">
        <v>88</v>
      </c>
      <c r="D10416" t="s">
        <v>88</v>
      </c>
      <c r="E10416" t="s">
        <v>959</v>
      </c>
      <c r="F10416" t="s">
        <v>88</v>
      </c>
      <c r="G10416" t="s">
        <v>88</v>
      </c>
      <c r="H10416" t="s">
        <v>92</v>
      </c>
    </row>
    <row r="10417" spans="1:8" x14ac:dyDescent="0.25">
      <c r="A10417" t="s">
        <v>335</v>
      </c>
      <c r="B10417" t="s">
        <v>5451</v>
      </c>
      <c r="C10417" t="s">
        <v>88</v>
      </c>
      <c r="D10417" t="s">
        <v>88</v>
      </c>
      <c r="E10417" t="s">
        <v>715</v>
      </c>
      <c r="F10417" t="s">
        <v>88</v>
      </c>
      <c r="G10417" t="s">
        <v>88</v>
      </c>
      <c r="H10417" t="s">
        <v>92</v>
      </c>
    </row>
    <row r="10418" spans="1:8" x14ac:dyDescent="0.25">
      <c r="A10418" t="s">
        <v>335</v>
      </c>
      <c r="B10418" t="s">
        <v>8548</v>
      </c>
      <c r="C10418" t="s">
        <v>88</v>
      </c>
      <c r="D10418" t="s">
        <v>88</v>
      </c>
      <c r="E10418" t="s">
        <v>791</v>
      </c>
      <c r="F10418" t="s">
        <v>88</v>
      </c>
      <c r="G10418" t="s">
        <v>88</v>
      </c>
      <c r="H10418" t="s">
        <v>92</v>
      </c>
    </row>
    <row r="10419" spans="1:8" x14ac:dyDescent="0.25">
      <c r="A10419" t="s">
        <v>335</v>
      </c>
      <c r="B10419" t="s">
        <v>8405</v>
      </c>
      <c r="C10419" t="s">
        <v>88</v>
      </c>
      <c r="D10419" t="s">
        <v>88</v>
      </c>
      <c r="E10419" t="s">
        <v>2513</v>
      </c>
      <c r="F10419" t="s">
        <v>88</v>
      </c>
      <c r="G10419" t="s">
        <v>88</v>
      </c>
      <c r="H10419" t="s">
        <v>92</v>
      </c>
    </row>
    <row r="10420" spans="1:8" x14ac:dyDescent="0.25">
      <c r="A10420" t="s">
        <v>335</v>
      </c>
      <c r="B10420" t="s">
        <v>8403</v>
      </c>
      <c r="C10420" t="s">
        <v>88</v>
      </c>
      <c r="D10420" t="s">
        <v>88</v>
      </c>
      <c r="E10420" t="s">
        <v>723</v>
      </c>
      <c r="F10420" t="s">
        <v>88</v>
      </c>
      <c r="G10420" t="s">
        <v>88</v>
      </c>
      <c r="H10420" t="s">
        <v>92</v>
      </c>
    </row>
    <row r="10421" spans="1:8" x14ac:dyDescent="0.25">
      <c r="A10421" t="s">
        <v>335</v>
      </c>
      <c r="B10421" t="s">
        <v>8410</v>
      </c>
      <c r="C10421" t="s">
        <v>88</v>
      </c>
      <c r="D10421" t="s">
        <v>88</v>
      </c>
      <c r="E10421" t="s">
        <v>723</v>
      </c>
      <c r="F10421" t="s">
        <v>88</v>
      </c>
      <c r="G10421" t="s">
        <v>88</v>
      </c>
      <c r="H10421" t="s">
        <v>92</v>
      </c>
    </row>
    <row r="10422" spans="1:8" x14ac:dyDescent="0.25">
      <c r="A10422" t="s">
        <v>335</v>
      </c>
      <c r="B10422" t="s">
        <v>8398</v>
      </c>
      <c r="C10422" t="s">
        <v>88</v>
      </c>
      <c r="D10422" t="s">
        <v>88</v>
      </c>
      <c r="E10422" t="s">
        <v>723</v>
      </c>
      <c r="F10422" t="s">
        <v>88</v>
      </c>
      <c r="G10422" t="s">
        <v>88</v>
      </c>
      <c r="H10422" t="s">
        <v>92</v>
      </c>
    </row>
    <row r="10423" spans="1:8" x14ac:dyDescent="0.25">
      <c r="A10423" t="s">
        <v>335</v>
      </c>
      <c r="B10423" t="s">
        <v>8400</v>
      </c>
      <c r="C10423" t="s">
        <v>88</v>
      </c>
      <c r="D10423" t="s">
        <v>88</v>
      </c>
      <c r="E10423" t="s">
        <v>723</v>
      </c>
      <c r="F10423" t="s">
        <v>88</v>
      </c>
      <c r="G10423" t="s">
        <v>88</v>
      </c>
      <c r="H10423" t="s">
        <v>92</v>
      </c>
    </row>
    <row r="10424" spans="1:8" x14ac:dyDescent="0.25">
      <c r="A10424" t="s">
        <v>335</v>
      </c>
      <c r="B10424" t="s">
        <v>8549</v>
      </c>
      <c r="C10424" t="s">
        <v>88</v>
      </c>
      <c r="D10424" t="s">
        <v>88</v>
      </c>
      <c r="E10424" t="s">
        <v>738</v>
      </c>
      <c r="F10424" t="s">
        <v>88</v>
      </c>
      <c r="G10424" t="s">
        <v>88</v>
      </c>
      <c r="H10424" t="s">
        <v>92</v>
      </c>
    </row>
    <row r="10425" spans="1:8" x14ac:dyDescent="0.25">
      <c r="A10425" t="s">
        <v>335</v>
      </c>
      <c r="B10425" t="s">
        <v>8391</v>
      </c>
      <c r="C10425" t="s">
        <v>88</v>
      </c>
      <c r="D10425" t="s">
        <v>88</v>
      </c>
      <c r="E10425" t="s">
        <v>721</v>
      </c>
      <c r="F10425" t="s">
        <v>88</v>
      </c>
      <c r="G10425" t="s">
        <v>88</v>
      </c>
      <c r="H10425" t="s">
        <v>92</v>
      </c>
    </row>
    <row r="10426" spans="1:8" x14ac:dyDescent="0.25">
      <c r="A10426" t="s">
        <v>335</v>
      </c>
      <c r="B10426" t="s">
        <v>8550</v>
      </c>
      <c r="C10426" t="s">
        <v>88</v>
      </c>
      <c r="D10426" t="s">
        <v>88</v>
      </c>
      <c r="E10426" t="s">
        <v>738</v>
      </c>
      <c r="F10426" t="s">
        <v>88</v>
      </c>
      <c r="G10426" t="s">
        <v>88</v>
      </c>
      <c r="H10426" t="s">
        <v>92</v>
      </c>
    </row>
    <row r="10427" spans="1:8" x14ac:dyDescent="0.25">
      <c r="A10427" t="s">
        <v>335</v>
      </c>
      <c r="B10427" t="s">
        <v>8551</v>
      </c>
      <c r="C10427" t="s">
        <v>88</v>
      </c>
      <c r="D10427" t="s">
        <v>88</v>
      </c>
      <c r="E10427" t="s">
        <v>937</v>
      </c>
      <c r="F10427" t="s">
        <v>88</v>
      </c>
      <c r="G10427" t="s">
        <v>88</v>
      </c>
      <c r="H10427" t="s">
        <v>92</v>
      </c>
    </row>
    <row r="10428" spans="1:8" x14ac:dyDescent="0.25">
      <c r="A10428" t="s">
        <v>335</v>
      </c>
      <c r="B10428" t="s">
        <v>8552</v>
      </c>
      <c r="C10428" t="s">
        <v>88</v>
      </c>
      <c r="D10428" t="s">
        <v>88</v>
      </c>
      <c r="E10428" t="s">
        <v>937</v>
      </c>
      <c r="F10428" t="s">
        <v>88</v>
      </c>
      <c r="G10428" t="s">
        <v>88</v>
      </c>
      <c r="H10428" t="s">
        <v>92</v>
      </c>
    </row>
    <row r="10429" spans="1:8" x14ac:dyDescent="0.25">
      <c r="A10429" t="s">
        <v>335</v>
      </c>
      <c r="B10429" t="s">
        <v>8553</v>
      </c>
      <c r="C10429" t="s">
        <v>88</v>
      </c>
      <c r="D10429" t="s">
        <v>88</v>
      </c>
      <c r="E10429" t="s">
        <v>937</v>
      </c>
      <c r="F10429" t="s">
        <v>88</v>
      </c>
      <c r="G10429" t="s">
        <v>88</v>
      </c>
      <c r="H10429" t="s">
        <v>92</v>
      </c>
    </row>
    <row r="10430" spans="1:8" x14ac:dyDescent="0.25">
      <c r="A10430" t="s">
        <v>335</v>
      </c>
      <c r="B10430" t="s">
        <v>8554</v>
      </c>
      <c r="C10430" t="s">
        <v>88</v>
      </c>
      <c r="D10430" t="s">
        <v>88</v>
      </c>
      <c r="E10430" t="s">
        <v>937</v>
      </c>
      <c r="F10430" t="s">
        <v>88</v>
      </c>
      <c r="G10430" t="s">
        <v>88</v>
      </c>
      <c r="H10430" t="s">
        <v>92</v>
      </c>
    </row>
    <row r="10431" spans="1:8" x14ac:dyDescent="0.25">
      <c r="A10431" t="s">
        <v>335</v>
      </c>
      <c r="B10431" t="s">
        <v>8555</v>
      </c>
      <c r="C10431" t="s">
        <v>88</v>
      </c>
      <c r="D10431" t="s">
        <v>88</v>
      </c>
      <c r="E10431" t="s">
        <v>937</v>
      </c>
      <c r="F10431" t="s">
        <v>88</v>
      </c>
      <c r="G10431" t="s">
        <v>88</v>
      </c>
      <c r="H10431" t="s">
        <v>92</v>
      </c>
    </row>
    <row r="10432" spans="1:8" x14ac:dyDescent="0.25">
      <c r="A10432" t="s">
        <v>335</v>
      </c>
      <c r="B10432" t="s">
        <v>8556</v>
      </c>
      <c r="C10432" t="s">
        <v>88</v>
      </c>
      <c r="D10432" t="s">
        <v>88</v>
      </c>
      <c r="E10432" t="s">
        <v>937</v>
      </c>
      <c r="F10432" t="s">
        <v>88</v>
      </c>
      <c r="G10432" t="s">
        <v>88</v>
      </c>
      <c r="H10432" t="s">
        <v>92</v>
      </c>
    </row>
    <row r="10433" spans="1:8" x14ac:dyDescent="0.25">
      <c r="A10433" t="s">
        <v>335</v>
      </c>
      <c r="B10433" t="s">
        <v>8557</v>
      </c>
      <c r="C10433" t="s">
        <v>88</v>
      </c>
      <c r="D10433" t="s">
        <v>88</v>
      </c>
      <c r="E10433" t="s">
        <v>937</v>
      </c>
      <c r="F10433" t="s">
        <v>88</v>
      </c>
      <c r="G10433" t="s">
        <v>88</v>
      </c>
      <c r="H10433" t="s">
        <v>92</v>
      </c>
    </row>
    <row r="10434" spans="1:8" x14ac:dyDescent="0.25">
      <c r="A10434" t="s">
        <v>335</v>
      </c>
      <c r="B10434" t="s">
        <v>8558</v>
      </c>
      <c r="C10434" t="s">
        <v>88</v>
      </c>
      <c r="D10434" t="s">
        <v>88</v>
      </c>
      <c r="E10434" t="s">
        <v>937</v>
      </c>
      <c r="F10434" t="s">
        <v>88</v>
      </c>
      <c r="G10434" t="s">
        <v>88</v>
      </c>
      <c r="H10434" t="s">
        <v>92</v>
      </c>
    </row>
    <row r="10435" spans="1:8" x14ac:dyDescent="0.25">
      <c r="A10435" t="s">
        <v>335</v>
      </c>
      <c r="B10435" t="s">
        <v>8559</v>
      </c>
      <c r="C10435" t="s">
        <v>88</v>
      </c>
      <c r="D10435" t="s">
        <v>88</v>
      </c>
      <c r="E10435" t="s">
        <v>937</v>
      </c>
      <c r="F10435" t="s">
        <v>88</v>
      </c>
      <c r="G10435" t="s">
        <v>88</v>
      </c>
      <c r="H10435" t="s">
        <v>92</v>
      </c>
    </row>
    <row r="10436" spans="1:8" x14ac:dyDescent="0.25">
      <c r="A10436" t="s">
        <v>335</v>
      </c>
      <c r="B10436" t="s">
        <v>8560</v>
      </c>
      <c r="C10436" t="s">
        <v>88</v>
      </c>
      <c r="D10436" t="s">
        <v>88</v>
      </c>
      <c r="E10436" t="s">
        <v>937</v>
      </c>
      <c r="F10436" t="s">
        <v>88</v>
      </c>
      <c r="G10436" t="s">
        <v>88</v>
      </c>
      <c r="H10436" t="s">
        <v>92</v>
      </c>
    </row>
    <row r="10437" spans="1:8" x14ac:dyDescent="0.25">
      <c r="A10437" t="s">
        <v>335</v>
      </c>
      <c r="B10437" t="s">
        <v>8561</v>
      </c>
      <c r="C10437" t="s">
        <v>88</v>
      </c>
      <c r="D10437" t="s">
        <v>88</v>
      </c>
      <c r="E10437" t="s">
        <v>663</v>
      </c>
      <c r="F10437" t="s">
        <v>88</v>
      </c>
      <c r="G10437" t="s">
        <v>88</v>
      </c>
      <c r="H10437" t="s">
        <v>92</v>
      </c>
    </row>
    <row r="10438" spans="1:8" x14ac:dyDescent="0.25">
      <c r="A10438" t="s">
        <v>335</v>
      </c>
      <c r="B10438" t="s">
        <v>8562</v>
      </c>
      <c r="C10438" t="s">
        <v>88</v>
      </c>
      <c r="D10438" t="s">
        <v>88</v>
      </c>
      <c r="E10438" t="s">
        <v>700</v>
      </c>
      <c r="F10438" t="s">
        <v>88</v>
      </c>
      <c r="G10438" t="s">
        <v>88</v>
      </c>
      <c r="H10438" t="s">
        <v>92</v>
      </c>
    </row>
    <row r="10439" spans="1:8" x14ac:dyDescent="0.25">
      <c r="A10439" t="s">
        <v>335</v>
      </c>
      <c r="B10439" t="s">
        <v>8563</v>
      </c>
      <c r="C10439" t="s">
        <v>88</v>
      </c>
      <c r="D10439" t="s">
        <v>8564</v>
      </c>
      <c r="E10439" t="s">
        <v>679</v>
      </c>
      <c r="F10439" t="s">
        <v>88</v>
      </c>
      <c r="G10439" t="s">
        <v>88</v>
      </c>
      <c r="H10439" t="s">
        <v>92</v>
      </c>
    </row>
    <row r="10440" spans="1:8" x14ac:dyDescent="0.25">
      <c r="A10440" t="s">
        <v>335</v>
      </c>
      <c r="B10440" t="s">
        <v>8565</v>
      </c>
      <c r="C10440" t="s">
        <v>88</v>
      </c>
      <c r="D10440" t="s">
        <v>8566</v>
      </c>
      <c r="E10440" t="s">
        <v>679</v>
      </c>
      <c r="F10440" t="s">
        <v>88</v>
      </c>
      <c r="G10440" t="s">
        <v>88</v>
      </c>
      <c r="H10440" t="s">
        <v>92</v>
      </c>
    </row>
    <row r="10441" spans="1:8" x14ac:dyDescent="0.25">
      <c r="A10441" t="s">
        <v>335</v>
      </c>
      <c r="B10441" t="s">
        <v>8567</v>
      </c>
      <c r="C10441" t="s">
        <v>88</v>
      </c>
      <c r="D10441" t="s">
        <v>88</v>
      </c>
      <c r="E10441" t="s">
        <v>738</v>
      </c>
      <c r="F10441" t="s">
        <v>88</v>
      </c>
      <c r="G10441" t="s">
        <v>88</v>
      </c>
      <c r="H10441" t="s">
        <v>92</v>
      </c>
    </row>
    <row r="10442" spans="1:8" x14ac:dyDescent="0.25">
      <c r="A10442" t="s">
        <v>335</v>
      </c>
      <c r="B10442" t="s">
        <v>8568</v>
      </c>
      <c r="C10442" t="s">
        <v>88</v>
      </c>
      <c r="D10442" t="s">
        <v>88</v>
      </c>
      <c r="E10442" t="s">
        <v>937</v>
      </c>
      <c r="F10442" t="s">
        <v>88</v>
      </c>
      <c r="G10442" t="s">
        <v>88</v>
      </c>
      <c r="H10442" t="s">
        <v>92</v>
      </c>
    </row>
    <row r="10443" spans="1:8" x14ac:dyDescent="0.25">
      <c r="A10443" t="s">
        <v>335</v>
      </c>
      <c r="B10443" t="s">
        <v>8414</v>
      </c>
      <c r="C10443" t="s">
        <v>88</v>
      </c>
      <c r="D10443" t="s">
        <v>88</v>
      </c>
      <c r="E10443" t="s">
        <v>937</v>
      </c>
      <c r="F10443" t="s">
        <v>88</v>
      </c>
      <c r="G10443" t="s">
        <v>88</v>
      </c>
      <c r="H10443" t="s">
        <v>92</v>
      </c>
    </row>
    <row r="10444" spans="1:8" x14ac:dyDescent="0.25">
      <c r="A10444" t="s">
        <v>335</v>
      </c>
      <c r="B10444" t="s">
        <v>8569</v>
      </c>
      <c r="C10444" t="s">
        <v>88</v>
      </c>
      <c r="D10444" t="s">
        <v>88</v>
      </c>
      <c r="E10444" t="s">
        <v>937</v>
      </c>
      <c r="F10444" t="s">
        <v>88</v>
      </c>
      <c r="G10444" t="s">
        <v>88</v>
      </c>
      <c r="H10444" t="s">
        <v>92</v>
      </c>
    </row>
    <row r="10445" spans="1:8" x14ac:dyDescent="0.25">
      <c r="A10445" t="s">
        <v>335</v>
      </c>
      <c r="B10445" t="s">
        <v>8570</v>
      </c>
      <c r="C10445" t="s">
        <v>88</v>
      </c>
      <c r="D10445" t="s">
        <v>88</v>
      </c>
      <c r="E10445" t="s">
        <v>1221</v>
      </c>
      <c r="F10445" t="s">
        <v>88</v>
      </c>
      <c r="G10445" t="s">
        <v>88</v>
      </c>
      <c r="H10445" t="s">
        <v>92</v>
      </c>
    </row>
    <row r="10446" spans="1:8" x14ac:dyDescent="0.25">
      <c r="A10446" t="s">
        <v>335</v>
      </c>
      <c r="B10446" t="s">
        <v>8571</v>
      </c>
      <c r="C10446" t="s">
        <v>88</v>
      </c>
      <c r="D10446" t="s">
        <v>88</v>
      </c>
      <c r="E10446" t="s">
        <v>1221</v>
      </c>
      <c r="F10446" t="s">
        <v>88</v>
      </c>
      <c r="G10446" t="s">
        <v>88</v>
      </c>
      <c r="H10446" t="s">
        <v>92</v>
      </c>
    </row>
    <row r="10447" spans="1:8" x14ac:dyDescent="0.25">
      <c r="A10447" t="s">
        <v>335</v>
      </c>
      <c r="B10447" t="s">
        <v>8572</v>
      </c>
      <c r="C10447" t="s">
        <v>88</v>
      </c>
      <c r="D10447" t="s">
        <v>88</v>
      </c>
      <c r="E10447" t="s">
        <v>1221</v>
      </c>
      <c r="F10447" t="s">
        <v>88</v>
      </c>
      <c r="G10447" t="s">
        <v>88</v>
      </c>
      <c r="H10447" t="s">
        <v>92</v>
      </c>
    </row>
    <row r="10448" spans="1:8" x14ac:dyDescent="0.25">
      <c r="A10448" t="s">
        <v>335</v>
      </c>
      <c r="B10448" t="s">
        <v>8573</v>
      </c>
      <c r="C10448" t="s">
        <v>88</v>
      </c>
      <c r="D10448" t="s">
        <v>88</v>
      </c>
      <c r="E10448" t="s">
        <v>1221</v>
      </c>
      <c r="F10448" t="s">
        <v>88</v>
      </c>
      <c r="G10448" t="s">
        <v>88</v>
      </c>
      <c r="H10448" t="s">
        <v>92</v>
      </c>
    </row>
    <row r="10449" spans="1:8" x14ac:dyDescent="0.25">
      <c r="A10449" t="s">
        <v>335</v>
      </c>
      <c r="B10449" t="s">
        <v>8574</v>
      </c>
      <c r="C10449" t="s">
        <v>88</v>
      </c>
      <c r="D10449" t="s">
        <v>88</v>
      </c>
      <c r="E10449" t="s">
        <v>1221</v>
      </c>
      <c r="F10449" t="s">
        <v>88</v>
      </c>
      <c r="G10449" t="s">
        <v>88</v>
      </c>
      <c r="H10449" t="s">
        <v>92</v>
      </c>
    </row>
    <row r="10450" spans="1:8" x14ac:dyDescent="0.25">
      <c r="A10450" t="s">
        <v>335</v>
      </c>
      <c r="B10450" t="s">
        <v>8575</v>
      </c>
      <c r="C10450" t="s">
        <v>88</v>
      </c>
      <c r="D10450" t="s">
        <v>88</v>
      </c>
      <c r="E10450" t="s">
        <v>1221</v>
      </c>
      <c r="F10450" t="s">
        <v>88</v>
      </c>
      <c r="G10450" t="s">
        <v>88</v>
      </c>
      <c r="H10450" t="s">
        <v>92</v>
      </c>
    </row>
    <row r="10451" spans="1:8" x14ac:dyDescent="0.25">
      <c r="A10451" t="s">
        <v>335</v>
      </c>
      <c r="B10451" t="s">
        <v>8576</v>
      </c>
      <c r="C10451" t="s">
        <v>88</v>
      </c>
      <c r="D10451" t="s">
        <v>88</v>
      </c>
      <c r="E10451" t="s">
        <v>679</v>
      </c>
      <c r="F10451" t="s">
        <v>88</v>
      </c>
      <c r="G10451" t="s">
        <v>88</v>
      </c>
      <c r="H10451" t="s">
        <v>92</v>
      </c>
    </row>
    <row r="10452" spans="1:8" x14ac:dyDescent="0.25">
      <c r="A10452" t="s">
        <v>335</v>
      </c>
      <c r="B10452" t="s">
        <v>8577</v>
      </c>
      <c r="C10452" t="s">
        <v>88</v>
      </c>
      <c r="D10452" t="s">
        <v>88</v>
      </c>
      <c r="E10452" t="s">
        <v>679</v>
      </c>
      <c r="F10452" t="s">
        <v>88</v>
      </c>
      <c r="G10452" t="s">
        <v>88</v>
      </c>
      <c r="H10452" t="s">
        <v>92</v>
      </c>
    </row>
    <row r="10453" spans="1:8" x14ac:dyDescent="0.25">
      <c r="A10453" t="s">
        <v>335</v>
      </c>
      <c r="B10453" t="s">
        <v>8578</v>
      </c>
      <c r="C10453" t="s">
        <v>88</v>
      </c>
      <c r="D10453" t="s">
        <v>88</v>
      </c>
      <c r="E10453" t="s">
        <v>762</v>
      </c>
      <c r="F10453" t="s">
        <v>88</v>
      </c>
      <c r="G10453" t="s">
        <v>88</v>
      </c>
      <c r="H10453" t="s">
        <v>92</v>
      </c>
    </row>
    <row r="10454" spans="1:8" x14ac:dyDescent="0.25">
      <c r="A10454" t="s">
        <v>335</v>
      </c>
      <c r="B10454" t="s">
        <v>8579</v>
      </c>
      <c r="C10454" t="s">
        <v>88</v>
      </c>
      <c r="D10454" t="s">
        <v>88</v>
      </c>
      <c r="E10454" t="s">
        <v>723</v>
      </c>
      <c r="F10454" t="s">
        <v>88</v>
      </c>
      <c r="G10454" t="s">
        <v>88</v>
      </c>
      <c r="H10454" t="s">
        <v>92</v>
      </c>
    </row>
    <row r="10455" spans="1:8" x14ac:dyDescent="0.25">
      <c r="A10455" t="s">
        <v>335</v>
      </c>
      <c r="B10455" t="s">
        <v>8580</v>
      </c>
      <c r="C10455" t="s">
        <v>88</v>
      </c>
      <c r="D10455" t="s">
        <v>88</v>
      </c>
      <c r="E10455" t="s">
        <v>723</v>
      </c>
      <c r="F10455" t="s">
        <v>88</v>
      </c>
      <c r="G10455" t="s">
        <v>88</v>
      </c>
      <c r="H10455" t="s">
        <v>92</v>
      </c>
    </row>
    <row r="10456" spans="1:8" x14ac:dyDescent="0.25">
      <c r="A10456" t="s">
        <v>335</v>
      </c>
      <c r="B10456" t="s">
        <v>8581</v>
      </c>
      <c r="C10456" t="s">
        <v>88</v>
      </c>
      <c r="D10456" t="s">
        <v>88</v>
      </c>
      <c r="E10456" t="s">
        <v>723</v>
      </c>
      <c r="F10456" t="s">
        <v>88</v>
      </c>
      <c r="G10456" t="s">
        <v>88</v>
      </c>
      <c r="H10456" t="s">
        <v>92</v>
      </c>
    </row>
    <row r="10457" spans="1:8" x14ac:dyDescent="0.25">
      <c r="A10457" t="s">
        <v>335</v>
      </c>
      <c r="B10457" t="s">
        <v>8582</v>
      </c>
      <c r="C10457" t="s">
        <v>88</v>
      </c>
      <c r="D10457" t="s">
        <v>88</v>
      </c>
      <c r="E10457" t="s">
        <v>723</v>
      </c>
      <c r="F10457" t="s">
        <v>88</v>
      </c>
      <c r="G10457" t="s">
        <v>88</v>
      </c>
      <c r="H10457" t="s">
        <v>92</v>
      </c>
    </row>
    <row r="10458" spans="1:8" x14ac:dyDescent="0.25">
      <c r="A10458" t="s">
        <v>335</v>
      </c>
      <c r="B10458" t="s">
        <v>8583</v>
      </c>
      <c r="C10458" t="s">
        <v>88</v>
      </c>
      <c r="D10458" t="s">
        <v>88</v>
      </c>
      <c r="E10458" t="s">
        <v>723</v>
      </c>
      <c r="F10458" t="s">
        <v>88</v>
      </c>
      <c r="G10458" t="s">
        <v>88</v>
      </c>
      <c r="H10458" t="s">
        <v>92</v>
      </c>
    </row>
    <row r="10459" spans="1:8" x14ac:dyDescent="0.25">
      <c r="A10459" t="s">
        <v>335</v>
      </c>
      <c r="B10459" t="s">
        <v>8584</v>
      </c>
      <c r="C10459" t="s">
        <v>88</v>
      </c>
      <c r="D10459" t="s">
        <v>88</v>
      </c>
      <c r="E10459" t="s">
        <v>957</v>
      </c>
      <c r="F10459" t="s">
        <v>88</v>
      </c>
      <c r="G10459" t="s">
        <v>88</v>
      </c>
      <c r="H10459" t="s">
        <v>92</v>
      </c>
    </row>
    <row r="10460" spans="1:8" x14ac:dyDescent="0.25">
      <c r="A10460" t="s">
        <v>335</v>
      </c>
      <c r="B10460" t="s">
        <v>8585</v>
      </c>
      <c r="C10460" t="s">
        <v>88</v>
      </c>
      <c r="D10460" t="s">
        <v>88</v>
      </c>
      <c r="E10460" t="s">
        <v>721</v>
      </c>
      <c r="F10460" t="s">
        <v>88</v>
      </c>
      <c r="G10460" t="s">
        <v>88</v>
      </c>
      <c r="H10460" t="s">
        <v>92</v>
      </c>
    </row>
    <row r="10461" spans="1:8" x14ac:dyDescent="0.25">
      <c r="A10461" t="s">
        <v>335</v>
      </c>
      <c r="B10461" t="s">
        <v>8586</v>
      </c>
      <c r="C10461" t="s">
        <v>88</v>
      </c>
      <c r="D10461" t="s">
        <v>88</v>
      </c>
      <c r="E10461" t="s">
        <v>723</v>
      </c>
      <c r="F10461" t="s">
        <v>88</v>
      </c>
      <c r="G10461" t="s">
        <v>88</v>
      </c>
      <c r="H10461" t="s">
        <v>92</v>
      </c>
    </row>
    <row r="10462" spans="1:8" x14ac:dyDescent="0.25">
      <c r="A10462" t="s">
        <v>335</v>
      </c>
      <c r="B10462" t="s">
        <v>8587</v>
      </c>
      <c r="C10462" t="s">
        <v>88</v>
      </c>
      <c r="D10462" t="s">
        <v>8588</v>
      </c>
      <c r="E10462" t="s">
        <v>663</v>
      </c>
      <c r="F10462" t="s">
        <v>88</v>
      </c>
      <c r="G10462" t="s">
        <v>88</v>
      </c>
      <c r="H10462" t="s">
        <v>92</v>
      </c>
    </row>
    <row r="10463" spans="1:8" x14ac:dyDescent="0.25">
      <c r="A10463" t="s">
        <v>335</v>
      </c>
      <c r="B10463" t="s">
        <v>8589</v>
      </c>
      <c r="C10463" t="s">
        <v>88</v>
      </c>
      <c r="D10463" t="s">
        <v>88</v>
      </c>
      <c r="E10463" t="s">
        <v>725</v>
      </c>
      <c r="F10463" t="s">
        <v>88</v>
      </c>
      <c r="G10463" t="s">
        <v>88</v>
      </c>
      <c r="H10463" t="s">
        <v>92</v>
      </c>
    </row>
    <row r="10464" spans="1:8" x14ac:dyDescent="0.25">
      <c r="A10464" t="s">
        <v>335</v>
      </c>
      <c r="B10464" t="s">
        <v>8590</v>
      </c>
      <c r="C10464" t="s">
        <v>88</v>
      </c>
      <c r="D10464" t="s">
        <v>88</v>
      </c>
      <c r="E10464" t="s">
        <v>725</v>
      </c>
      <c r="F10464" t="s">
        <v>88</v>
      </c>
      <c r="G10464" t="s">
        <v>88</v>
      </c>
      <c r="H10464" t="s">
        <v>92</v>
      </c>
    </row>
    <row r="10465" spans="1:8" x14ac:dyDescent="0.25">
      <c r="A10465" t="s">
        <v>335</v>
      </c>
      <c r="B10465" t="s">
        <v>8591</v>
      </c>
      <c r="C10465" t="s">
        <v>88</v>
      </c>
      <c r="D10465" t="s">
        <v>8592</v>
      </c>
      <c r="E10465" t="s">
        <v>663</v>
      </c>
      <c r="F10465" t="s">
        <v>88</v>
      </c>
      <c r="G10465" t="s">
        <v>88</v>
      </c>
      <c r="H10465" t="s">
        <v>92</v>
      </c>
    </row>
    <row r="10466" spans="1:8" x14ac:dyDescent="0.25">
      <c r="A10466" t="s">
        <v>335</v>
      </c>
      <c r="B10466" t="s">
        <v>8593</v>
      </c>
      <c r="C10466" t="s">
        <v>88</v>
      </c>
      <c r="D10466" t="s">
        <v>8594</v>
      </c>
      <c r="E10466" t="s">
        <v>725</v>
      </c>
      <c r="F10466" t="s">
        <v>88</v>
      </c>
      <c r="G10466" t="s">
        <v>88</v>
      </c>
      <c r="H10466" t="s">
        <v>92</v>
      </c>
    </row>
    <row r="10467" spans="1:8" x14ac:dyDescent="0.25">
      <c r="A10467" t="s">
        <v>335</v>
      </c>
      <c r="B10467" t="s">
        <v>8595</v>
      </c>
      <c r="C10467" t="s">
        <v>88</v>
      </c>
      <c r="D10467" t="s">
        <v>8596</v>
      </c>
      <c r="E10467" t="s">
        <v>725</v>
      </c>
      <c r="F10467" t="s">
        <v>88</v>
      </c>
      <c r="G10467" t="s">
        <v>88</v>
      </c>
      <c r="H10467" t="s">
        <v>92</v>
      </c>
    </row>
    <row r="10468" spans="1:8" x14ac:dyDescent="0.25">
      <c r="A10468" t="s">
        <v>335</v>
      </c>
      <c r="B10468" t="s">
        <v>8597</v>
      </c>
      <c r="C10468" t="s">
        <v>88</v>
      </c>
      <c r="D10468" t="s">
        <v>8598</v>
      </c>
      <c r="E10468" t="s">
        <v>725</v>
      </c>
      <c r="F10468" t="s">
        <v>88</v>
      </c>
      <c r="G10468" t="s">
        <v>88</v>
      </c>
      <c r="H10468" t="s">
        <v>92</v>
      </c>
    </row>
    <row r="10469" spans="1:8" x14ac:dyDescent="0.25">
      <c r="A10469" t="s">
        <v>335</v>
      </c>
      <c r="B10469" t="s">
        <v>8599</v>
      </c>
      <c r="C10469" t="s">
        <v>88</v>
      </c>
      <c r="D10469" t="s">
        <v>8600</v>
      </c>
      <c r="E10469" t="s">
        <v>725</v>
      </c>
      <c r="F10469" t="s">
        <v>88</v>
      </c>
      <c r="G10469" t="s">
        <v>88</v>
      </c>
      <c r="H10469" t="s">
        <v>92</v>
      </c>
    </row>
    <row r="10470" spans="1:8" x14ac:dyDescent="0.25">
      <c r="A10470" t="s">
        <v>335</v>
      </c>
      <c r="B10470" t="s">
        <v>8601</v>
      </c>
      <c r="C10470" t="s">
        <v>88</v>
      </c>
      <c r="D10470" t="s">
        <v>88</v>
      </c>
      <c r="E10470" t="s">
        <v>721</v>
      </c>
      <c r="F10470" t="s">
        <v>88</v>
      </c>
      <c r="G10470" t="s">
        <v>88</v>
      </c>
      <c r="H10470" t="s">
        <v>92</v>
      </c>
    </row>
    <row r="10471" spans="1:8" x14ac:dyDescent="0.25">
      <c r="A10471" t="s">
        <v>335</v>
      </c>
      <c r="B10471" t="s">
        <v>8602</v>
      </c>
      <c r="C10471" t="s">
        <v>88</v>
      </c>
      <c r="D10471" t="s">
        <v>88</v>
      </c>
      <c r="E10471" t="s">
        <v>721</v>
      </c>
      <c r="F10471" t="s">
        <v>88</v>
      </c>
      <c r="G10471" t="s">
        <v>88</v>
      </c>
      <c r="H10471" t="s">
        <v>92</v>
      </c>
    </row>
    <row r="10472" spans="1:8" x14ac:dyDescent="0.25">
      <c r="A10472" t="s">
        <v>335</v>
      </c>
      <c r="B10472" t="s">
        <v>8603</v>
      </c>
      <c r="C10472" t="s">
        <v>88</v>
      </c>
      <c r="D10472" t="s">
        <v>88</v>
      </c>
      <c r="E10472" t="s">
        <v>732</v>
      </c>
      <c r="F10472" t="s">
        <v>88</v>
      </c>
      <c r="G10472" t="s">
        <v>88</v>
      </c>
      <c r="H10472" t="s">
        <v>92</v>
      </c>
    </row>
    <row r="10473" spans="1:8" x14ac:dyDescent="0.25">
      <c r="A10473" t="s">
        <v>335</v>
      </c>
      <c r="B10473" t="s">
        <v>8604</v>
      </c>
      <c r="C10473" t="s">
        <v>88</v>
      </c>
      <c r="D10473" t="s">
        <v>88</v>
      </c>
      <c r="E10473" t="s">
        <v>709</v>
      </c>
      <c r="F10473" t="s">
        <v>88</v>
      </c>
      <c r="G10473" t="s">
        <v>88</v>
      </c>
      <c r="H10473" t="s">
        <v>92</v>
      </c>
    </row>
    <row r="10474" spans="1:8" x14ac:dyDescent="0.25">
      <c r="A10474" t="s">
        <v>335</v>
      </c>
      <c r="B10474" t="s">
        <v>8605</v>
      </c>
      <c r="C10474" t="s">
        <v>88</v>
      </c>
      <c r="D10474" t="s">
        <v>88</v>
      </c>
      <c r="E10474" t="s">
        <v>725</v>
      </c>
      <c r="F10474" t="s">
        <v>88</v>
      </c>
      <c r="G10474" t="s">
        <v>88</v>
      </c>
      <c r="H10474" t="s">
        <v>92</v>
      </c>
    </row>
    <row r="10475" spans="1:8" x14ac:dyDescent="0.25">
      <c r="A10475" t="s">
        <v>335</v>
      </c>
      <c r="B10475" t="s">
        <v>8606</v>
      </c>
      <c r="C10475" t="s">
        <v>88</v>
      </c>
      <c r="D10475" t="s">
        <v>88</v>
      </c>
      <c r="E10475" t="s">
        <v>679</v>
      </c>
      <c r="F10475" t="s">
        <v>88</v>
      </c>
      <c r="G10475" t="s">
        <v>88</v>
      </c>
      <c r="H10475" t="s">
        <v>92</v>
      </c>
    </row>
    <row r="10476" spans="1:8" x14ac:dyDescent="0.25">
      <c r="A10476" t="s">
        <v>335</v>
      </c>
      <c r="B10476" t="s">
        <v>8607</v>
      </c>
      <c r="C10476" t="s">
        <v>88</v>
      </c>
      <c r="D10476" t="s">
        <v>88</v>
      </c>
      <c r="E10476" t="s">
        <v>738</v>
      </c>
      <c r="F10476" t="s">
        <v>88</v>
      </c>
      <c r="G10476" t="s">
        <v>88</v>
      </c>
      <c r="H10476" t="s">
        <v>92</v>
      </c>
    </row>
    <row r="10477" spans="1:8" x14ac:dyDescent="0.25">
      <c r="A10477" t="s">
        <v>335</v>
      </c>
      <c r="B10477" t="s">
        <v>1149</v>
      </c>
      <c r="C10477" t="s">
        <v>88</v>
      </c>
      <c r="D10477" t="s">
        <v>88</v>
      </c>
      <c r="E10477" t="s">
        <v>738</v>
      </c>
      <c r="F10477" t="s">
        <v>88</v>
      </c>
      <c r="G10477" t="s">
        <v>88</v>
      </c>
      <c r="H10477" t="s">
        <v>92</v>
      </c>
    </row>
    <row r="10478" spans="1:8" x14ac:dyDescent="0.25">
      <c r="A10478" t="s">
        <v>335</v>
      </c>
      <c r="B10478" t="s">
        <v>8370</v>
      </c>
      <c r="C10478" t="s">
        <v>88</v>
      </c>
      <c r="D10478" t="s">
        <v>88</v>
      </c>
      <c r="E10478" t="s">
        <v>679</v>
      </c>
      <c r="F10478" t="s">
        <v>88</v>
      </c>
      <c r="G10478" t="s">
        <v>88</v>
      </c>
      <c r="H10478" t="s">
        <v>92</v>
      </c>
    </row>
    <row r="10479" spans="1:8" x14ac:dyDescent="0.25">
      <c r="A10479" t="s">
        <v>335</v>
      </c>
      <c r="B10479" t="s">
        <v>8608</v>
      </c>
      <c r="C10479" t="s">
        <v>88</v>
      </c>
      <c r="D10479" t="s">
        <v>88</v>
      </c>
      <c r="E10479" t="s">
        <v>679</v>
      </c>
      <c r="F10479" t="s">
        <v>88</v>
      </c>
      <c r="G10479" t="s">
        <v>88</v>
      </c>
      <c r="H10479" t="s">
        <v>92</v>
      </c>
    </row>
    <row r="10480" spans="1:8" x14ac:dyDescent="0.25">
      <c r="A10480" t="s">
        <v>335</v>
      </c>
      <c r="B10480" t="s">
        <v>625</v>
      </c>
      <c r="C10480" t="s">
        <v>88</v>
      </c>
      <c r="D10480" t="s">
        <v>88</v>
      </c>
      <c r="E10480" t="s">
        <v>626</v>
      </c>
      <c r="F10480" t="s">
        <v>88</v>
      </c>
      <c r="G10480" t="s">
        <v>88</v>
      </c>
      <c r="H10480" t="s">
        <v>92</v>
      </c>
    </row>
    <row r="10481" spans="1:8" x14ac:dyDescent="0.25">
      <c r="A10481" t="s">
        <v>336</v>
      </c>
      <c r="B10481" t="s">
        <v>8609</v>
      </c>
      <c r="C10481" t="s">
        <v>88</v>
      </c>
      <c r="D10481" t="s">
        <v>8610</v>
      </c>
      <c r="E10481" t="s">
        <v>8611</v>
      </c>
      <c r="F10481" t="s">
        <v>88</v>
      </c>
      <c r="G10481" t="s">
        <v>88</v>
      </c>
      <c r="H10481" t="s">
        <v>92</v>
      </c>
    </row>
    <row r="10482" spans="1:8" x14ac:dyDescent="0.25">
      <c r="A10482" t="s">
        <v>336</v>
      </c>
      <c r="B10482" t="s">
        <v>8612</v>
      </c>
      <c r="C10482" t="s">
        <v>88</v>
      </c>
      <c r="D10482" t="s">
        <v>8613</v>
      </c>
      <c r="E10482" t="s">
        <v>8614</v>
      </c>
      <c r="F10482" t="s">
        <v>88</v>
      </c>
      <c r="G10482" t="s">
        <v>88</v>
      </c>
      <c r="H10482" t="s">
        <v>92</v>
      </c>
    </row>
    <row r="10483" spans="1:8" x14ac:dyDescent="0.25">
      <c r="A10483" t="s">
        <v>336</v>
      </c>
      <c r="B10483" t="s">
        <v>8615</v>
      </c>
      <c r="C10483" t="s">
        <v>88</v>
      </c>
      <c r="D10483" t="s">
        <v>8616</v>
      </c>
      <c r="E10483" t="s">
        <v>6353</v>
      </c>
      <c r="F10483" t="s">
        <v>88</v>
      </c>
      <c r="G10483" t="s">
        <v>88</v>
      </c>
      <c r="H10483" t="s">
        <v>92</v>
      </c>
    </row>
    <row r="10484" spans="1:8" x14ac:dyDescent="0.25">
      <c r="A10484" t="s">
        <v>336</v>
      </c>
      <c r="B10484" t="s">
        <v>3686</v>
      </c>
      <c r="C10484" t="s">
        <v>88</v>
      </c>
      <c r="D10484" t="s">
        <v>8617</v>
      </c>
      <c r="E10484" t="s">
        <v>8618</v>
      </c>
      <c r="F10484" t="s">
        <v>88</v>
      </c>
      <c r="G10484" t="s">
        <v>88</v>
      </c>
      <c r="H10484" t="s">
        <v>92</v>
      </c>
    </row>
    <row r="10485" spans="1:8" x14ac:dyDescent="0.25">
      <c r="A10485" t="s">
        <v>336</v>
      </c>
      <c r="B10485" t="s">
        <v>8619</v>
      </c>
      <c r="C10485" t="s">
        <v>88</v>
      </c>
      <c r="D10485" t="s">
        <v>8620</v>
      </c>
      <c r="E10485" t="s">
        <v>8621</v>
      </c>
      <c r="F10485" t="s">
        <v>88</v>
      </c>
      <c r="G10485" t="s">
        <v>88</v>
      </c>
      <c r="H10485" t="s">
        <v>92</v>
      </c>
    </row>
    <row r="10486" spans="1:8" x14ac:dyDescent="0.25">
      <c r="A10486" t="s">
        <v>336</v>
      </c>
      <c r="B10486" t="s">
        <v>8622</v>
      </c>
      <c r="C10486" t="s">
        <v>88</v>
      </c>
      <c r="D10486" t="s">
        <v>8623</v>
      </c>
      <c r="E10486" t="s">
        <v>8624</v>
      </c>
      <c r="F10486" t="s">
        <v>88</v>
      </c>
      <c r="G10486" t="s">
        <v>88</v>
      </c>
      <c r="H10486" t="s">
        <v>92</v>
      </c>
    </row>
    <row r="10487" spans="1:8" x14ac:dyDescent="0.25">
      <c r="A10487" t="s">
        <v>336</v>
      </c>
      <c r="B10487" t="s">
        <v>3695</v>
      </c>
      <c r="C10487" t="s">
        <v>88</v>
      </c>
      <c r="D10487" t="s">
        <v>8625</v>
      </c>
      <c r="E10487" t="s">
        <v>1236</v>
      </c>
      <c r="F10487" t="s">
        <v>88</v>
      </c>
      <c r="G10487" t="s">
        <v>88</v>
      </c>
      <c r="H10487" t="s">
        <v>92</v>
      </c>
    </row>
    <row r="10488" spans="1:8" x14ac:dyDescent="0.25">
      <c r="A10488" t="s">
        <v>336</v>
      </c>
      <c r="B10488" t="s">
        <v>8626</v>
      </c>
      <c r="C10488" t="s">
        <v>88</v>
      </c>
      <c r="D10488" t="s">
        <v>8627</v>
      </c>
      <c r="E10488" t="s">
        <v>8628</v>
      </c>
      <c r="F10488" t="s">
        <v>88</v>
      </c>
      <c r="G10488" t="s">
        <v>88</v>
      </c>
      <c r="H10488" t="s">
        <v>92</v>
      </c>
    </row>
    <row r="10489" spans="1:8" x14ac:dyDescent="0.25">
      <c r="A10489" t="s">
        <v>336</v>
      </c>
      <c r="B10489" t="s">
        <v>8629</v>
      </c>
      <c r="C10489" t="s">
        <v>88</v>
      </c>
      <c r="D10489" t="s">
        <v>8630</v>
      </c>
      <c r="E10489" t="s">
        <v>8631</v>
      </c>
      <c r="F10489" t="s">
        <v>88</v>
      </c>
      <c r="G10489" t="s">
        <v>88</v>
      </c>
      <c r="H10489" t="s">
        <v>92</v>
      </c>
    </row>
    <row r="10490" spans="1:8" x14ac:dyDescent="0.25">
      <c r="A10490" t="s">
        <v>336</v>
      </c>
      <c r="B10490" t="s">
        <v>674</v>
      </c>
      <c r="C10490" t="s">
        <v>88</v>
      </c>
      <c r="D10490" t="s">
        <v>8632</v>
      </c>
      <c r="E10490" t="s">
        <v>8633</v>
      </c>
      <c r="F10490" t="s">
        <v>88</v>
      </c>
      <c r="G10490" t="s">
        <v>88</v>
      </c>
      <c r="H10490" t="s">
        <v>92</v>
      </c>
    </row>
    <row r="10491" spans="1:8" x14ac:dyDescent="0.25">
      <c r="A10491" t="s">
        <v>336</v>
      </c>
      <c r="B10491" t="s">
        <v>8634</v>
      </c>
      <c r="C10491" t="s">
        <v>88</v>
      </c>
      <c r="D10491" t="s">
        <v>8635</v>
      </c>
      <c r="E10491" t="s">
        <v>588</v>
      </c>
      <c r="F10491" t="s">
        <v>88</v>
      </c>
      <c r="G10491" t="s">
        <v>88</v>
      </c>
      <c r="H10491" t="s">
        <v>92</v>
      </c>
    </row>
    <row r="10492" spans="1:8" x14ac:dyDescent="0.25">
      <c r="A10492" t="s">
        <v>336</v>
      </c>
      <c r="B10492" t="s">
        <v>8636</v>
      </c>
      <c r="C10492" t="s">
        <v>88</v>
      </c>
      <c r="D10492" t="s">
        <v>8637</v>
      </c>
      <c r="E10492" t="s">
        <v>588</v>
      </c>
      <c r="F10492" t="s">
        <v>88</v>
      </c>
      <c r="G10492" t="s">
        <v>88</v>
      </c>
      <c r="H10492" t="s">
        <v>92</v>
      </c>
    </row>
    <row r="10493" spans="1:8" x14ac:dyDescent="0.25">
      <c r="A10493" t="s">
        <v>336</v>
      </c>
      <c r="B10493" t="s">
        <v>8638</v>
      </c>
      <c r="C10493" t="s">
        <v>88</v>
      </c>
      <c r="D10493" t="s">
        <v>8639</v>
      </c>
      <c r="E10493" t="s">
        <v>640</v>
      </c>
      <c r="F10493" t="s">
        <v>88</v>
      </c>
      <c r="G10493" t="s">
        <v>88</v>
      </c>
      <c r="H10493" t="s">
        <v>92</v>
      </c>
    </row>
    <row r="10494" spans="1:8" x14ac:dyDescent="0.25">
      <c r="A10494" t="s">
        <v>336</v>
      </c>
      <c r="B10494" t="s">
        <v>8640</v>
      </c>
      <c r="C10494" t="s">
        <v>88</v>
      </c>
      <c r="D10494" t="s">
        <v>8641</v>
      </c>
      <c r="E10494" t="s">
        <v>2232</v>
      </c>
      <c r="F10494" t="s">
        <v>88</v>
      </c>
      <c r="G10494" t="s">
        <v>88</v>
      </c>
      <c r="H10494" t="s">
        <v>92</v>
      </c>
    </row>
    <row r="10495" spans="1:8" x14ac:dyDescent="0.25">
      <c r="A10495" t="s">
        <v>336</v>
      </c>
      <c r="B10495" t="s">
        <v>8642</v>
      </c>
      <c r="C10495" t="s">
        <v>88</v>
      </c>
      <c r="D10495" t="s">
        <v>8643</v>
      </c>
      <c r="E10495" t="s">
        <v>2581</v>
      </c>
      <c r="F10495" t="s">
        <v>88</v>
      </c>
      <c r="G10495" t="s">
        <v>88</v>
      </c>
      <c r="H10495" t="s">
        <v>92</v>
      </c>
    </row>
    <row r="10496" spans="1:8" x14ac:dyDescent="0.25">
      <c r="A10496" t="s">
        <v>336</v>
      </c>
      <c r="B10496" t="s">
        <v>8644</v>
      </c>
      <c r="C10496" t="s">
        <v>88</v>
      </c>
      <c r="D10496" t="s">
        <v>8645</v>
      </c>
      <c r="E10496" t="s">
        <v>643</v>
      </c>
      <c r="F10496" t="s">
        <v>88</v>
      </c>
      <c r="G10496" t="s">
        <v>88</v>
      </c>
      <c r="H10496" t="s">
        <v>92</v>
      </c>
    </row>
    <row r="10497" spans="1:8" x14ac:dyDescent="0.25">
      <c r="A10497" t="s">
        <v>336</v>
      </c>
      <c r="B10497" t="s">
        <v>8646</v>
      </c>
      <c r="C10497" t="s">
        <v>88</v>
      </c>
      <c r="D10497" t="s">
        <v>8647</v>
      </c>
      <c r="E10497" t="s">
        <v>8628</v>
      </c>
      <c r="F10497" t="s">
        <v>88</v>
      </c>
      <c r="G10497" t="s">
        <v>88</v>
      </c>
      <c r="H10497" t="s">
        <v>92</v>
      </c>
    </row>
    <row r="10498" spans="1:8" x14ac:dyDescent="0.25">
      <c r="A10498" t="s">
        <v>336</v>
      </c>
      <c r="B10498" t="s">
        <v>8648</v>
      </c>
      <c r="C10498" t="s">
        <v>88</v>
      </c>
      <c r="D10498" t="s">
        <v>8649</v>
      </c>
      <c r="E10498" t="s">
        <v>8631</v>
      </c>
      <c r="F10498" t="s">
        <v>88</v>
      </c>
      <c r="G10498" t="s">
        <v>88</v>
      </c>
      <c r="H10498" t="s">
        <v>92</v>
      </c>
    </row>
    <row r="10499" spans="1:8" x14ac:dyDescent="0.25">
      <c r="A10499" t="s">
        <v>336</v>
      </c>
      <c r="B10499" t="s">
        <v>8650</v>
      </c>
      <c r="C10499" t="s">
        <v>88</v>
      </c>
      <c r="D10499" t="s">
        <v>8651</v>
      </c>
      <c r="E10499" t="s">
        <v>2232</v>
      </c>
      <c r="F10499" t="s">
        <v>88</v>
      </c>
      <c r="G10499" t="s">
        <v>88</v>
      </c>
      <c r="H10499" t="s">
        <v>92</v>
      </c>
    </row>
    <row r="10500" spans="1:8" x14ac:dyDescent="0.25">
      <c r="A10500" t="s">
        <v>336</v>
      </c>
      <c r="B10500" t="s">
        <v>8652</v>
      </c>
      <c r="C10500" t="s">
        <v>88</v>
      </c>
      <c r="D10500" t="s">
        <v>8653</v>
      </c>
      <c r="E10500" t="s">
        <v>8633</v>
      </c>
      <c r="F10500" t="s">
        <v>88</v>
      </c>
      <c r="G10500" t="s">
        <v>88</v>
      </c>
      <c r="H10500" t="s">
        <v>92</v>
      </c>
    </row>
    <row r="10501" spans="1:8" x14ac:dyDescent="0.25">
      <c r="A10501" t="s">
        <v>336</v>
      </c>
      <c r="B10501" t="s">
        <v>8654</v>
      </c>
      <c r="C10501" t="s">
        <v>88</v>
      </c>
      <c r="D10501" t="s">
        <v>8655</v>
      </c>
      <c r="E10501" t="s">
        <v>635</v>
      </c>
      <c r="F10501" t="s">
        <v>88</v>
      </c>
      <c r="G10501" t="s">
        <v>88</v>
      </c>
      <c r="H10501" t="s">
        <v>92</v>
      </c>
    </row>
    <row r="10502" spans="1:8" x14ac:dyDescent="0.25">
      <c r="A10502" t="s">
        <v>336</v>
      </c>
      <c r="B10502" t="s">
        <v>8656</v>
      </c>
      <c r="C10502" t="s">
        <v>88</v>
      </c>
      <c r="D10502" t="s">
        <v>8657</v>
      </c>
      <c r="E10502" t="s">
        <v>632</v>
      </c>
      <c r="F10502" t="s">
        <v>88</v>
      </c>
      <c r="G10502" t="s">
        <v>88</v>
      </c>
      <c r="H10502" t="s">
        <v>92</v>
      </c>
    </row>
    <row r="10503" spans="1:8" x14ac:dyDescent="0.25">
      <c r="A10503" t="s">
        <v>336</v>
      </c>
      <c r="B10503" t="s">
        <v>8658</v>
      </c>
      <c r="C10503" t="s">
        <v>88</v>
      </c>
      <c r="D10503" t="s">
        <v>8659</v>
      </c>
      <c r="E10503" t="s">
        <v>588</v>
      </c>
      <c r="F10503" t="s">
        <v>88</v>
      </c>
      <c r="G10503" t="s">
        <v>88</v>
      </c>
      <c r="H10503" t="s">
        <v>92</v>
      </c>
    </row>
    <row r="10504" spans="1:8" x14ac:dyDescent="0.25">
      <c r="A10504" t="s">
        <v>336</v>
      </c>
      <c r="B10504" t="s">
        <v>8660</v>
      </c>
      <c r="C10504" t="s">
        <v>88</v>
      </c>
      <c r="D10504" t="s">
        <v>8661</v>
      </c>
      <c r="E10504" t="s">
        <v>591</v>
      </c>
      <c r="F10504" t="s">
        <v>88</v>
      </c>
      <c r="G10504" t="s">
        <v>88</v>
      </c>
      <c r="H10504" t="s">
        <v>92</v>
      </c>
    </row>
    <row r="10505" spans="1:8" x14ac:dyDescent="0.25">
      <c r="A10505" t="s">
        <v>336</v>
      </c>
      <c r="B10505" t="s">
        <v>6782</v>
      </c>
      <c r="C10505" t="s">
        <v>88</v>
      </c>
      <c r="D10505" t="s">
        <v>8662</v>
      </c>
      <c r="E10505" t="s">
        <v>2581</v>
      </c>
      <c r="F10505" t="s">
        <v>88</v>
      </c>
      <c r="G10505" t="s">
        <v>88</v>
      </c>
      <c r="H10505" t="s">
        <v>92</v>
      </c>
    </row>
    <row r="10506" spans="1:8" x14ac:dyDescent="0.25">
      <c r="A10506" t="s">
        <v>336</v>
      </c>
      <c r="B10506" t="s">
        <v>8663</v>
      </c>
      <c r="C10506" t="s">
        <v>88</v>
      </c>
      <c r="D10506" t="s">
        <v>8664</v>
      </c>
      <c r="E10506" t="s">
        <v>2581</v>
      </c>
      <c r="F10506" t="s">
        <v>88</v>
      </c>
      <c r="G10506" t="s">
        <v>88</v>
      </c>
      <c r="H10506" t="s">
        <v>92</v>
      </c>
    </row>
    <row r="10507" spans="1:8" x14ac:dyDescent="0.25">
      <c r="A10507" t="s">
        <v>336</v>
      </c>
      <c r="B10507" t="s">
        <v>8665</v>
      </c>
      <c r="C10507" t="s">
        <v>88</v>
      </c>
      <c r="D10507" t="s">
        <v>8666</v>
      </c>
      <c r="E10507" t="s">
        <v>588</v>
      </c>
      <c r="F10507" t="s">
        <v>88</v>
      </c>
      <c r="G10507" t="s">
        <v>88</v>
      </c>
      <c r="H10507" t="s">
        <v>92</v>
      </c>
    </row>
    <row r="10508" spans="1:8" x14ac:dyDescent="0.25">
      <c r="A10508" t="s">
        <v>336</v>
      </c>
      <c r="B10508" t="s">
        <v>8667</v>
      </c>
      <c r="C10508" t="s">
        <v>88</v>
      </c>
      <c r="D10508" t="s">
        <v>8668</v>
      </c>
      <c r="E10508" t="s">
        <v>2584</v>
      </c>
      <c r="F10508" t="s">
        <v>88</v>
      </c>
      <c r="G10508" t="s">
        <v>88</v>
      </c>
      <c r="H10508" t="s">
        <v>92</v>
      </c>
    </row>
    <row r="10509" spans="1:8" x14ac:dyDescent="0.25">
      <c r="A10509" t="s">
        <v>336</v>
      </c>
      <c r="B10509" t="s">
        <v>8669</v>
      </c>
      <c r="C10509" t="s">
        <v>88</v>
      </c>
      <c r="D10509" t="s">
        <v>8670</v>
      </c>
      <c r="E10509" t="s">
        <v>2235</v>
      </c>
      <c r="F10509" t="s">
        <v>88</v>
      </c>
      <c r="G10509" t="s">
        <v>88</v>
      </c>
      <c r="H10509" t="s">
        <v>92</v>
      </c>
    </row>
    <row r="10510" spans="1:8" x14ac:dyDescent="0.25">
      <c r="A10510" t="s">
        <v>336</v>
      </c>
      <c r="B10510" t="s">
        <v>8671</v>
      </c>
      <c r="C10510" t="s">
        <v>88</v>
      </c>
      <c r="D10510" t="s">
        <v>8672</v>
      </c>
      <c r="E10510" t="s">
        <v>2235</v>
      </c>
      <c r="F10510" t="s">
        <v>88</v>
      </c>
      <c r="G10510" t="s">
        <v>88</v>
      </c>
      <c r="H10510" t="s">
        <v>92</v>
      </c>
    </row>
    <row r="10511" spans="1:8" x14ac:dyDescent="0.25">
      <c r="A10511" t="s">
        <v>336</v>
      </c>
      <c r="B10511" t="s">
        <v>8673</v>
      </c>
      <c r="C10511" t="s">
        <v>88</v>
      </c>
      <c r="D10511" t="s">
        <v>8674</v>
      </c>
      <c r="E10511" t="s">
        <v>629</v>
      </c>
      <c r="F10511" t="s">
        <v>88</v>
      </c>
      <c r="G10511" t="s">
        <v>88</v>
      </c>
      <c r="H10511" t="s">
        <v>92</v>
      </c>
    </row>
    <row r="10512" spans="1:8" x14ac:dyDescent="0.25">
      <c r="A10512" t="s">
        <v>336</v>
      </c>
      <c r="B10512" t="s">
        <v>8675</v>
      </c>
      <c r="C10512" t="s">
        <v>88</v>
      </c>
      <c r="D10512" t="s">
        <v>8676</v>
      </c>
      <c r="E10512" t="s">
        <v>2232</v>
      </c>
      <c r="F10512" t="s">
        <v>88</v>
      </c>
      <c r="G10512" t="s">
        <v>88</v>
      </c>
      <c r="H10512" t="s">
        <v>92</v>
      </c>
    </row>
    <row r="10513" spans="1:8" x14ac:dyDescent="0.25">
      <c r="A10513" t="s">
        <v>336</v>
      </c>
      <c r="B10513" t="s">
        <v>8677</v>
      </c>
      <c r="C10513" t="s">
        <v>88</v>
      </c>
      <c r="D10513" t="s">
        <v>8678</v>
      </c>
      <c r="E10513" t="s">
        <v>588</v>
      </c>
      <c r="F10513" t="s">
        <v>88</v>
      </c>
      <c r="G10513" t="s">
        <v>88</v>
      </c>
      <c r="H10513" t="s">
        <v>92</v>
      </c>
    </row>
    <row r="10514" spans="1:8" x14ac:dyDescent="0.25">
      <c r="A10514" t="s">
        <v>336</v>
      </c>
      <c r="B10514" t="s">
        <v>8679</v>
      </c>
      <c r="C10514" t="s">
        <v>88</v>
      </c>
      <c r="D10514" t="s">
        <v>8666</v>
      </c>
      <c r="E10514" t="s">
        <v>638</v>
      </c>
      <c r="F10514" t="s">
        <v>88</v>
      </c>
      <c r="G10514" t="s">
        <v>88</v>
      </c>
      <c r="H10514" t="s">
        <v>92</v>
      </c>
    </row>
    <row r="10515" spans="1:8" x14ac:dyDescent="0.25">
      <c r="A10515" t="s">
        <v>336</v>
      </c>
      <c r="B10515" t="s">
        <v>1859</v>
      </c>
      <c r="C10515" t="s">
        <v>88</v>
      </c>
      <c r="D10515" t="s">
        <v>8680</v>
      </c>
      <c r="E10515" t="s">
        <v>642</v>
      </c>
      <c r="F10515" t="s">
        <v>88</v>
      </c>
      <c r="G10515" t="s">
        <v>88</v>
      </c>
      <c r="H10515" t="s">
        <v>92</v>
      </c>
    </row>
    <row r="10516" spans="1:8" x14ac:dyDescent="0.25">
      <c r="A10516" t="s">
        <v>336</v>
      </c>
      <c r="B10516" t="s">
        <v>8681</v>
      </c>
      <c r="C10516" t="s">
        <v>88</v>
      </c>
      <c r="D10516" t="s">
        <v>8682</v>
      </c>
      <c r="E10516" t="s">
        <v>2096</v>
      </c>
      <c r="F10516" t="s">
        <v>88</v>
      </c>
      <c r="G10516" t="s">
        <v>88</v>
      </c>
      <c r="H10516" t="s">
        <v>92</v>
      </c>
    </row>
    <row r="10517" spans="1:8" x14ac:dyDescent="0.25">
      <c r="A10517" t="s">
        <v>336</v>
      </c>
      <c r="B10517" t="s">
        <v>8683</v>
      </c>
      <c r="C10517" t="s">
        <v>88</v>
      </c>
      <c r="D10517" t="s">
        <v>8684</v>
      </c>
      <c r="E10517" t="s">
        <v>2585</v>
      </c>
      <c r="F10517" t="s">
        <v>88</v>
      </c>
      <c r="G10517" t="s">
        <v>88</v>
      </c>
      <c r="H10517" t="s">
        <v>92</v>
      </c>
    </row>
    <row r="10518" spans="1:8" x14ac:dyDescent="0.25">
      <c r="A10518" t="s">
        <v>336</v>
      </c>
      <c r="B10518" t="s">
        <v>4158</v>
      </c>
      <c r="C10518" t="s">
        <v>88</v>
      </c>
      <c r="D10518" t="s">
        <v>8685</v>
      </c>
      <c r="E10518" t="s">
        <v>2064</v>
      </c>
      <c r="F10518" t="s">
        <v>88</v>
      </c>
      <c r="G10518" t="s">
        <v>88</v>
      </c>
      <c r="H10518" t="s">
        <v>92</v>
      </c>
    </row>
    <row r="10519" spans="1:8" x14ac:dyDescent="0.25">
      <c r="A10519" t="s">
        <v>336</v>
      </c>
      <c r="B10519" t="s">
        <v>8686</v>
      </c>
      <c r="C10519" t="s">
        <v>88</v>
      </c>
      <c r="D10519" t="s">
        <v>8687</v>
      </c>
      <c r="E10519" t="s">
        <v>642</v>
      </c>
      <c r="F10519" t="s">
        <v>88</v>
      </c>
      <c r="G10519" t="s">
        <v>88</v>
      </c>
      <c r="H10519" t="s">
        <v>92</v>
      </c>
    </row>
    <row r="10520" spans="1:8" x14ac:dyDescent="0.25">
      <c r="A10520" t="s">
        <v>336</v>
      </c>
      <c r="B10520" t="s">
        <v>671</v>
      </c>
      <c r="C10520" t="s">
        <v>88</v>
      </c>
      <c r="D10520" t="s">
        <v>8688</v>
      </c>
      <c r="E10520" t="s">
        <v>2540</v>
      </c>
      <c r="F10520" t="s">
        <v>88</v>
      </c>
      <c r="G10520" t="s">
        <v>88</v>
      </c>
      <c r="H10520" t="s">
        <v>92</v>
      </c>
    </row>
    <row r="10521" spans="1:8" x14ac:dyDescent="0.25">
      <c r="A10521" t="s">
        <v>336</v>
      </c>
      <c r="B10521" t="s">
        <v>8689</v>
      </c>
      <c r="C10521" t="s">
        <v>88</v>
      </c>
      <c r="D10521" t="s">
        <v>8690</v>
      </c>
      <c r="E10521" t="s">
        <v>2096</v>
      </c>
      <c r="F10521" t="s">
        <v>88</v>
      </c>
      <c r="G10521" t="s">
        <v>88</v>
      </c>
      <c r="H10521" t="s">
        <v>92</v>
      </c>
    </row>
    <row r="10522" spans="1:8" x14ac:dyDescent="0.25">
      <c r="A10522" t="s">
        <v>336</v>
      </c>
      <c r="B10522" t="s">
        <v>4172</v>
      </c>
      <c r="C10522" t="s">
        <v>88</v>
      </c>
      <c r="D10522" t="s">
        <v>8691</v>
      </c>
      <c r="E10522" t="s">
        <v>638</v>
      </c>
      <c r="F10522" t="s">
        <v>88</v>
      </c>
      <c r="G10522" t="s">
        <v>88</v>
      </c>
      <c r="H10522" t="s">
        <v>92</v>
      </c>
    </row>
    <row r="10523" spans="1:8" x14ac:dyDescent="0.25">
      <c r="A10523" t="s">
        <v>336</v>
      </c>
      <c r="B10523" t="s">
        <v>8692</v>
      </c>
      <c r="C10523" t="s">
        <v>88</v>
      </c>
      <c r="D10523" t="s">
        <v>8693</v>
      </c>
      <c r="E10523" t="s">
        <v>2101</v>
      </c>
      <c r="F10523" t="s">
        <v>88</v>
      </c>
      <c r="G10523" t="s">
        <v>88</v>
      </c>
      <c r="H10523" t="s">
        <v>92</v>
      </c>
    </row>
    <row r="10524" spans="1:8" x14ac:dyDescent="0.25">
      <c r="A10524" t="s">
        <v>336</v>
      </c>
      <c r="B10524" t="s">
        <v>2458</v>
      </c>
      <c r="C10524" t="s">
        <v>88</v>
      </c>
      <c r="D10524" t="s">
        <v>8694</v>
      </c>
      <c r="E10524" t="s">
        <v>2585</v>
      </c>
      <c r="F10524" t="s">
        <v>88</v>
      </c>
      <c r="G10524" t="s">
        <v>88</v>
      </c>
      <c r="H10524" t="s">
        <v>92</v>
      </c>
    </row>
    <row r="10525" spans="1:8" x14ac:dyDescent="0.25">
      <c r="A10525" t="s">
        <v>336</v>
      </c>
      <c r="B10525" t="s">
        <v>8695</v>
      </c>
      <c r="C10525" t="s">
        <v>88</v>
      </c>
      <c r="D10525" t="s">
        <v>8696</v>
      </c>
      <c r="E10525" t="s">
        <v>3172</v>
      </c>
      <c r="F10525" t="s">
        <v>88</v>
      </c>
      <c r="G10525" t="s">
        <v>88</v>
      </c>
      <c r="H10525" t="s">
        <v>92</v>
      </c>
    </row>
    <row r="10526" spans="1:8" x14ac:dyDescent="0.25">
      <c r="A10526" t="s">
        <v>336</v>
      </c>
      <c r="B10526" t="s">
        <v>8697</v>
      </c>
      <c r="C10526" t="s">
        <v>88</v>
      </c>
      <c r="D10526" t="s">
        <v>8698</v>
      </c>
      <c r="E10526" t="s">
        <v>2686</v>
      </c>
      <c r="F10526" t="s">
        <v>88</v>
      </c>
      <c r="G10526" t="s">
        <v>88</v>
      </c>
      <c r="H10526" t="s">
        <v>92</v>
      </c>
    </row>
    <row r="10527" spans="1:8" x14ac:dyDescent="0.25">
      <c r="A10527" t="s">
        <v>336</v>
      </c>
      <c r="B10527" t="s">
        <v>8699</v>
      </c>
      <c r="C10527" t="s">
        <v>88</v>
      </c>
      <c r="D10527" t="s">
        <v>8700</v>
      </c>
      <c r="E10527" t="s">
        <v>3172</v>
      </c>
      <c r="F10527" t="s">
        <v>88</v>
      </c>
      <c r="G10527" t="s">
        <v>88</v>
      </c>
      <c r="H10527" t="s">
        <v>92</v>
      </c>
    </row>
    <row r="10528" spans="1:8" x14ac:dyDescent="0.25">
      <c r="A10528" t="s">
        <v>336</v>
      </c>
      <c r="B10528" t="s">
        <v>8701</v>
      </c>
      <c r="C10528" t="s">
        <v>88</v>
      </c>
      <c r="D10528" t="s">
        <v>8702</v>
      </c>
      <c r="E10528" t="s">
        <v>2814</v>
      </c>
      <c r="F10528" t="s">
        <v>88</v>
      </c>
      <c r="G10528" t="s">
        <v>88</v>
      </c>
      <c r="H10528" t="s">
        <v>92</v>
      </c>
    </row>
    <row r="10529" spans="1:8" x14ac:dyDescent="0.25">
      <c r="A10529" t="s">
        <v>336</v>
      </c>
      <c r="B10529" t="s">
        <v>8703</v>
      </c>
      <c r="C10529" t="s">
        <v>88</v>
      </c>
      <c r="D10529" t="s">
        <v>8704</v>
      </c>
      <c r="E10529" t="s">
        <v>2814</v>
      </c>
      <c r="F10529" t="s">
        <v>88</v>
      </c>
      <c r="G10529" t="s">
        <v>88</v>
      </c>
      <c r="H10529" t="s">
        <v>92</v>
      </c>
    </row>
    <row r="10530" spans="1:8" x14ac:dyDescent="0.25">
      <c r="A10530" t="s">
        <v>336</v>
      </c>
      <c r="B10530" t="s">
        <v>8705</v>
      </c>
      <c r="C10530" t="s">
        <v>88</v>
      </c>
      <c r="D10530" t="s">
        <v>8706</v>
      </c>
      <c r="E10530" t="s">
        <v>2814</v>
      </c>
      <c r="F10530" t="s">
        <v>88</v>
      </c>
      <c r="G10530" t="s">
        <v>88</v>
      </c>
      <c r="H10530" t="s">
        <v>92</v>
      </c>
    </row>
    <row r="10531" spans="1:8" x14ac:dyDescent="0.25">
      <c r="A10531" t="s">
        <v>336</v>
      </c>
      <c r="B10531" t="s">
        <v>8707</v>
      </c>
      <c r="C10531" t="s">
        <v>88</v>
      </c>
      <c r="D10531" t="s">
        <v>8708</v>
      </c>
      <c r="E10531" t="s">
        <v>2686</v>
      </c>
      <c r="F10531" t="s">
        <v>88</v>
      </c>
      <c r="G10531" t="s">
        <v>88</v>
      </c>
      <c r="H10531" t="s">
        <v>92</v>
      </c>
    </row>
    <row r="10532" spans="1:8" x14ac:dyDescent="0.25">
      <c r="A10532" t="s">
        <v>336</v>
      </c>
      <c r="B10532" t="s">
        <v>8709</v>
      </c>
      <c r="C10532" t="s">
        <v>88</v>
      </c>
      <c r="D10532" t="s">
        <v>8710</v>
      </c>
      <c r="E10532" t="s">
        <v>2686</v>
      </c>
      <c r="F10532" t="s">
        <v>88</v>
      </c>
      <c r="G10532" t="s">
        <v>88</v>
      </c>
      <c r="H10532" t="s">
        <v>92</v>
      </c>
    </row>
    <row r="10533" spans="1:8" x14ac:dyDescent="0.25">
      <c r="A10533" t="s">
        <v>336</v>
      </c>
      <c r="B10533" t="s">
        <v>3849</v>
      </c>
      <c r="C10533" t="s">
        <v>88</v>
      </c>
      <c r="D10533" t="s">
        <v>8711</v>
      </c>
      <c r="E10533" t="s">
        <v>3172</v>
      </c>
      <c r="F10533" t="s">
        <v>88</v>
      </c>
      <c r="G10533" t="s">
        <v>88</v>
      </c>
      <c r="H10533" t="s">
        <v>92</v>
      </c>
    </row>
    <row r="10534" spans="1:8" x14ac:dyDescent="0.25">
      <c r="A10534" t="s">
        <v>336</v>
      </c>
      <c r="B10534" t="s">
        <v>8712</v>
      </c>
      <c r="C10534" t="s">
        <v>88</v>
      </c>
      <c r="D10534" t="s">
        <v>8713</v>
      </c>
      <c r="E10534" t="s">
        <v>2814</v>
      </c>
      <c r="F10534" t="s">
        <v>88</v>
      </c>
      <c r="G10534" t="s">
        <v>88</v>
      </c>
      <c r="H10534" t="s">
        <v>92</v>
      </c>
    </row>
    <row r="10535" spans="1:8" x14ac:dyDescent="0.25">
      <c r="A10535" t="s">
        <v>336</v>
      </c>
      <c r="B10535" t="s">
        <v>8714</v>
      </c>
      <c r="C10535" t="s">
        <v>88</v>
      </c>
      <c r="D10535" t="s">
        <v>8715</v>
      </c>
      <c r="E10535" t="s">
        <v>2686</v>
      </c>
      <c r="F10535" t="s">
        <v>88</v>
      </c>
      <c r="G10535" t="s">
        <v>88</v>
      </c>
      <c r="H10535" t="s">
        <v>92</v>
      </c>
    </row>
    <row r="10536" spans="1:8" x14ac:dyDescent="0.25">
      <c r="A10536" t="s">
        <v>336</v>
      </c>
      <c r="B10536" t="s">
        <v>8716</v>
      </c>
      <c r="C10536" t="s">
        <v>88</v>
      </c>
      <c r="D10536" t="s">
        <v>8717</v>
      </c>
      <c r="E10536" t="s">
        <v>2686</v>
      </c>
      <c r="F10536" t="s">
        <v>88</v>
      </c>
      <c r="G10536" t="s">
        <v>88</v>
      </c>
      <c r="H10536" t="s">
        <v>92</v>
      </c>
    </row>
    <row r="10537" spans="1:8" x14ac:dyDescent="0.25">
      <c r="A10537" t="s">
        <v>336</v>
      </c>
      <c r="B10537" t="s">
        <v>8718</v>
      </c>
      <c r="C10537" t="s">
        <v>88</v>
      </c>
      <c r="D10537" t="s">
        <v>8719</v>
      </c>
      <c r="E10537" t="s">
        <v>2814</v>
      </c>
      <c r="F10537" t="s">
        <v>88</v>
      </c>
      <c r="G10537" t="s">
        <v>88</v>
      </c>
      <c r="H10537" t="s">
        <v>92</v>
      </c>
    </row>
    <row r="10538" spans="1:8" x14ac:dyDescent="0.25">
      <c r="A10538" t="s">
        <v>336</v>
      </c>
      <c r="B10538" t="s">
        <v>8720</v>
      </c>
      <c r="C10538" t="s">
        <v>88</v>
      </c>
      <c r="D10538" t="s">
        <v>8721</v>
      </c>
      <c r="E10538" t="s">
        <v>2686</v>
      </c>
      <c r="F10538" t="s">
        <v>88</v>
      </c>
      <c r="G10538" t="s">
        <v>88</v>
      </c>
      <c r="H10538" t="s">
        <v>92</v>
      </c>
    </row>
    <row r="10539" spans="1:8" x14ac:dyDescent="0.25">
      <c r="A10539" t="s">
        <v>336</v>
      </c>
      <c r="B10539" t="s">
        <v>8722</v>
      </c>
      <c r="C10539" t="s">
        <v>88</v>
      </c>
      <c r="D10539" t="s">
        <v>8723</v>
      </c>
      <c r="E10539" t="s">
        <v>3172</v>
      </c>
      <c r="F10539" t="s">
        <v>88</v>
      </c>
      <c r="G10539" t="s">
        <v>88</v>
      </c>
      <c r="H10539" t="s">
        <v>92</v>
      </c>
    </row>
    <row r="10540" spans="1:8" x14ac:dyDescent="0.25">
      <c r="A10540" t="s">
        <v>336</v>
      </c>
      <c r="B10540" t="s">
        <v>8724</v>
      </c>
      <c r="C10540" t="s">
        <v>88</v>
      </c>
      <c r="D10540" t="s">
        <v>8725</v>
      </c>
      <c r="E10540" t="s">
        <v>2814</v>
      </c>
      <c r="F10540" t="s">
        <v>88</v>
      </c>
      <c r="G10540" t="s">
        <v>88</v>
      </c>
      <c r="H10540" t="s">
        <v>92</v>
      </c>
    </row>
    <row r="10541" spans="1:8" x14ac:dyDescent="0.25">
      <c r="A10541" t="s">
        <v>336</v>
      </c>
      <c r="B10541" t="s">
        <v>8726</v>
      </c>
      <c r="C10541" t="s">
        <v>88</v>
      </c>
      <c r="D10541" t="s">
        <v>8727</v>
      </c>
      <c r="E10541" t="s">
        <v>2814</v>
      </c>
      <c r="F10541" t="s">
        <v>88</v>
      </c>
      <c r="G10541" t="s">
        <v>88</v>
      </c>
      <c r="H10541" t="s">
        <v>92</v>
      </c>
    </row>
    <row r="10542" spans="1:8" x14ac:dyDescent="0.25">
      <c r="A10542" t="s">
        <v>336</v>
      </c>
      <c r="B10542" t="s">
        <v>8728</v>
      </c>
      <c r="C10542" t="s">
        <v>88</v>
      </c>
      <c r="D10542" t="s">
        <v>8696</v>
      </c>
      <c r="E10542" t="s">
        <v>1236</v>
      </c>
      <c r="F10542" t="s">
        <v>88</v>
      </c>
      <c r="G10542" t="s">
        <v>88</v>
      </c>
      <c r="H10542" t="s">
        <v>92</v>
      </c>
    </row>
    <row r="10543" spans="1:8" x14ac:dyDescent="0.25">
      <c r="A10543" t="s">
        <v>336</v>
      </c>
      <c r="B10543" t="s">
        <v>8729</v>
      </c>
      <c r="C10543" t="s">
        <v>88</v>
      </c>
      <c r="D10543" t="s">
        <v>8698</v>
      </c>
      <c r="E10543" t="s">
        <v>2814</v>
      </c>
      <c r="F10543" t="s">
        <v>88</v>
      </c>
      <c r="G10543" t="s">
        <v>88</v>
      </c>
      <c r="H10543" t="s">
        <v>92</v>
      </c>
    </row>
    <row r="10544" spans="1:8" x14ac:dyDescent="0.25">
      <c r="A10544" t="s">
        <v>336</v>
      </c>
      <c r="B10544" t="s">
        <v>8730</v>
      </c>
      <c r="C10544" t="s">
        <v>88</v>
      </c>
      <c r="D10544" t="s">
        <v>8700</v>
      </c>
      <c r="E10544" t="s">
        <v>1236</v>
      </c>
      <c r="F10544" t="s">
        <v>88</v>
      </c>
      <c r="G10544" t="s">
        <v>88</v>
      </c>
      <c r="H10544" t="s">
        <v>92</v>
      </c>
    </row>
    <row r="10545" spans="1:8" x14ac:dyDescent="0.25">
      <c r="A10545" t="s">
        <v>336</v>
      </c>
      <c r="B10545" t="s">
        <v>8731</v>
      </c>
      <c r="C10545" t="s">
        <v>88</v>
      </c>
      <c r="D10545" t="s">
        <v>8702</v>
      </c>
      <c r="E10545" t="s">
        <v>1985</v>
      </c>
      <c r="F10545" t="s">
        <v>88</v>
      </c>
      <c r="G10545" t="s">
        <v>88</v>
      </c>
      <c r="H10545" t="s">
        <v>92</v>
      </c>
    </row>
    <row r="10546" spans="1:8" x14ac:dyDescent="0.25">
      <c r="A10546" t="s">
        <v>336</v>
      </c>
      <c r="B10546" t="s">
        <v>8732</v>
      </c>
      <c r="C10546" t="s">
        <v>88</v>
      </c>
      <c r="D10546" t="s">
        <v>8704</v>
      </c>
      <c r="E10546" t="s">
        <v>1985</v>
      </c>
      <c r="F10546" t="s">
        <v>88</v>
      </c>
      <c r="G10546" t="s">
        <v>88</v>
      </c>
      <c r="H10546" t="s">
        <v>92</v>
      </c>
    </row>
    <row r="10547" spans="1:8" x14ac:dyDescent="0.25">
      <c r="A10547" t="s">
        <v>336</v>
      </c>
      <c r="B10547" t="s">
        <v>8733</v>
      </c>
      <c r="C10547" t="s">
        <v>88</v>
      </c>
      <c r="D10547" t="s">
        <v>8706</v>
      </c>
      <c r="E10547" t="s">
        <v>1985</v>
      </c>
      <c r="F10547" t="s">
        <v>88</v>
      </c>
      <c r="G10547" t="s">
        <v>88</v>
      </c>
      <c r="H10547" t="s">
        <v>92</v>
      </c>
    </row>
    <row r="10548" spans="1:8" x14ac:dyDescent="0.25">
      <c r="A10548" t="s">
        <v>336</v>
      </c>
      <c r="B10548" t="s">
        <v>8734</v>
      </c>
      <c r="C10548" t="s">
        <v>88</v>
      </c>
      <c r="D10548" t="s">
        <v>8708</v>
      </c>
      <c r="E10548" t="s">
        <v>2814</v>
      </c>
      <c r="F10548" t="s">
        <v>88</v>
      </c>
      <c r="G10548" t="s">
        <v>88</v>
      </c>
      <c r="H10548" t="s">
        <v>92</v>
      </c>
    </row>
    <row r="10549" spans="1:8" x14ac:dyDescent="0.25">
      <c r="A10549" t="s">
        <v>336</v>
      </c>
      <c r="B10549" t="s">
        <v>8735</v>
      </c>
      <c r="C10549" t="s">
        <v>88</v>
      </c>
      <c r="D10549" t="s">
        <v>8710</v>
      </c>
      <c r="E10549" t="s">
        <v>2814</v>
      </c>
      <c r="F10549" t="s">
        <v>88</v>
      </c>
      <c r="G10549" t="s">
        <v>88</v>
      </c>
      <c r="H10549" t="s">
        <v>92</v>
      </c>
    </row>
    <row r="10550" spans="1:8" x14ac:dyDescent="0.25">
      <c r="A10550" t="s">
        <v>336</v>
      </c>
      <c r="B10550" t="s">
        <v>8736</v>
      </c>
      <c r="C10550" t="s">
        <v>88</v>
      </c>
      <c r="D10550" t="s">
        <v>8711</v>
      </c>
      <c r="E10550" t="s">
        <v>1236</v>
      </c>
      <c r="F10550" t="s">
        <v>88</v>
      </c>
      <c r="G10550" t="s">
        <v>88</v>
      </c>
      <c r="H10550" t="s">
        <v>92</v>
      </c>
    </row>
    <row r="10551" spans="1:8" x14ac:dyDescent="0.25">
      <c r="A10551" t="s">
        <v>336</v>
      </c>
      <c r="B10551" t="s">
        <v>8737</v>
      </c>
      <c r="C10551" t="s">
        <v>88</v>
      </c>
      <c r="D10551" t="s">
        <v>8713</v>
      </c>
      <c r="E10551" t="s">
        <v>1985</v>
      </c>
      <c r="F10551" t="s">
        <v>88</v>
      </c>
      <c r="G10551" t="s">
        <v>88</v>
      </c>
      <c r="H10551" t="s">
        <v>92</v>
      </c>
    </row>
    <row r="10552" spans="1:8" x14ac:dyDescent="0.25">
      <c r="A10552" t="s">
        <v>336</v>
      </c>
      <c r="B10552" t="s">
        <v>8738</v>
      </c>
      <c r="C10552" t="s">
        <v>88</v>
      </c>
      <c r="D10552" t="s">
        <v>8715</v>
      </c>
      <c r="E10552" t="s">
        <v>2814</v>
      </c>
      <c r="F10552" t="s">
        <v>88</v>
      </c>
      <c r="G10552" t="s">
        <v>88</v>
      </c>
      <c r="H10552" t="s">
        <v>92</v>
      </c>
    </row>
    <row r="10553" spans="1:8" x14ac:dyDescent="0.25">
      <c r="A10553" t="s">
        <v>336</v>
      </c>
      <c r="B10553" t="s">
        <v>8739</v>
      </c>
      <c r="C10553" t="s">
        <v>88</v>
      </c>
      <c r="D10553" t="s">
        <v>8717</v>
      </c>
      <c r="E10553" t="s">
        <v>2814</v>
      </c>
      <c r="F10553" t="s">
        <v>88</v>
      </c>
      <c r="G10553" t="s">
        <v>88</v>
      </c>
      <c r="H10553" t="s">
        <v>92</v>
      </c>
    </row>
    <row r="10554" spans="1:8" x14ac:dyDescent="0.25">
      <c r="A10554" t="s">
        <v>336</v>
      </c>
      <c r="B10554" t="s">
        <v>8740</v>
      </c>
      <c r="C10554" t="s">
        <v>88</v>
      </c>
      <c r="D10554" t="s">
        <v>8719</v>
      </c>
      <c r="E10554" t="s">
        <v>1985</v>
      </c>
      <c r="F10554" t="s">
        <v>88</v>
      </c>
      <c r="G10554" t="s">
        <v>88</v>
      </c>
      <c r="H10554" t="s">
        <v>92</v>
      </c>
    </row>
    <row r="10555" spans="1:8" x14ac:dyDescent="0.25">
      <c r="A10555" t="s">
        <v>336</v>
      </c>
      <c r="B10555" t="s">
        <v>8741</v>
      </c>
      <c r="C10555" t="s">
        <v>88</v>
      </c>
      <c r="D10555" t="s">
        <v>8721</v>
      </c>
      <c r="E10555" t="s">
        <v>2814</v>
      </c>
      <c r="F10555" t="s">
        <v>88</v>
      </c>
      <c r="G10555" t="s">
        <v>88</v>
      </c>
      <c r="H10555" t="s">
        <v>92</v>
      </c>
    </row>
    <row r="10556" spans="1:8" x14ac:dyDescent="0.25">
      <c r="A10556" t="s">
        <v>336</v>
      </c>
      <c r="B10556" t="s">
        <v>8742</v>
      </c>
      <c r="C10556" t="s">
        <v>88</v>
      </c>
      <c r="D10556" t="s">
        <v>8723</v>
      </c>
      <c r="E10556" t="s">
        <v>1236</v>
      </c>
      <c r="F10556" t="s">
        <v>88</v>
      </c>
      <c r="G10556" t="s">
        <v>88</v>
      </c>
      <c r="H10556" t="s">
        <v>92</v>
      </c>
    </row>
    <row r="10557" spans="1:8" x14ac:dyDescent="0.25">
      <c r="A10557" t="s">
        <v>336</v>
      </c>
      <c r="B10557" t="s">
        <v>8743</v>
      </c>
      <c r="C10557" t="s">
        <v>88</v>
      </c>
      <c r="D10557" t="s">
        <v>8725</v>
      </c>
      <c r="E10557" t="s">
        <v>1985</v>
      </c>
      <c r="F10557" t="s">
        <v>88</v>
      </c>
      <c r="G10557" t="s">
        <v>88</v>
      </c>
      <c r="H10557" t="s">
        <v>92</v>
      </c>
    </row>
    <row r="10558" spans="1:8" x14ac:dyDescent="0.25">
      <c r="A10558" t="s">
        <v>336</v>
      </c>
      <c r="B10558" t="s">
        <v>8744</v>
      </c>
      <c r="C10558" t="s">
        <v>88</v>
      </c>
      <c r="D10558" t="s">
        <v>8727</v>
      </c>
      <c r="E10558" t="s">
        <v>1985</v>
      </c>
      <c r="F10558" t="s">
        <v>88</v>
      </c>
      <c r="G10558" t="s">
        <v>88</v>
      </c>
      <c r="H10558" t="s">
        <v>92</v>
      </c>
    </row>
    <row r="10559" spans="1:8" x14ac:dyDescent="0.25">
      <c r="A10559" t="s">
        <v>336</v>
      </c>
      <c r="B10559" t="s">
        <v>8745</v>
      </c>
      <c r="C10559" t="s">
        <v>88</v>
      </c>
      <c r="D10559" t="s">
        <v>8696</v>
      </c>
      <c r="E10559" t="s">
        <v>8746</v>
      </c>
      <c r="F10559" t="s">
        <v>88</v>
      </c>
      <c r="G10559" t="s">
        <v>88</v>
      </c>
      <c r="H10559" t="s">
        <v>92</v>
      </c>
    </row>
    <row r="10560" spans="1:8" x14ac:dyDescent="0.25">
      <c r="A10560" t="s">
        <v>336</v>
      </c>
      <c r="B10560" t="s">
        <v>8747</v>
      </c>
      <c r="C10560" t="s">
        <v>88</v>
      </c>
      <c r="D10560" t="s">
        <v>8727</v>
      </c>
      <c r="E10560" t="s">
        <v>6358</v>
      </c>
      <c r="F10560" t="s">
        <v>88</v>
      </c>
      <c r="G10560" t="s">
        <v>88</v>
      </c>
      <c r="H10560" t="s">
        <v>92</v>
      </c>
    </row>
    <row r="10561" spans="1:8" x14ac:dyDescent="0.25">
      <c r="A10561" t="s">
        <v>336</v>
      </c>
      <c r="B10561" t="s">
        <v>8748</v>
      </c>
      <c r="C10561" t="s">
        <v>88</v>
      </c>
      <c r="D10561" t="s">
        <v>8698</v>
      </c>
      <c r="E10561" t="s">
        <v>2791</v>
      </c>
      <c r="F10561" t="s">
        <v>88</v>
      </c>
      <c r="G10561" t="s">
        <v>88</v>
      </c>
      <c r="H10561" t="s">
        <v>92</v>
      </c>
    </row>
    <row r="10562" spans="1:8" x14ac:dyDescent="0.25">
      <c r="A10562" t="s">
        <v>336</v>
      </c>
      <c r="B10562" t="s">
        <v>8749</v>
      </c>
      <c r="C10562" t="s">
        <v>88</v>
      </c>
      <c r="D10562" t="s">
        <v>8700</v>
      </c>
      <c r="E10562" t="s">
        <v>8746</v>
      </c>
      <c r="F10562" t="s">
        <v>88</v>
      </c>
      <c r="G10562" t="s">
        <v>88</v>
      </c>
      <c r="H10562" t="s">
        <v>92</v>
      </c>
    </row>
    <row r="10563" spans="1:8" x14ac:dyDescent="0.25">
      <c r="A10563" t="s">
        <v>336</v>
      </c>
      <c r="B10563" t="s">
        <v>8750</v>
      </c>
      <c r="C10563" t="s">
        <v>88</v>
      </c>
      <c r="D10563" t="s">
        <v>8702</v>
      </c>
      <c r="E10563" t="s">
        <v>6358</v>
      </c>
      <c r="F10563" t="s">
        <v>88</v>
      </c>
      <c r="G10563" t="s">
        <v>88</v>
      </c>
      <c r="H10563" t="s">
        <v>92</v>
      </c>
    </row>
    <row r="10564" spans="1:8" x14ac:dyDescent="0.25">
      <c r="A10564" t="s">
        <v>336</v>
      </c>
      <c r="B10564" t="s">
        <v>8751</v>
      </c>
      <c r="C10564" t="s">
        <v>88</v>
      </c>
      <c r="D10564" t="s">
        <v>8704</v>
      </c>
      <c r="E10564" t="s">
        <v>6358</v>
      </c>
      <c r="F10564" t="s">
        <v>88</v>
      </c>
      <c r="G10564" t="s">
        <v>88</v>
      </c>
      <c r="H10564" t="s">
        <v>92</v>
      </c>
    </row>
    <row r="10565" spans="1:8" x14ac:dyDescent="0.25">
      <c r="A10565" t="s">
        <v>336</v>
      </c>
      <c r="B10565" t="s">
        <v>8752</v>
      </c>
      <c r="C10565" t="s">
        <v>88</v>
      </c>
      <c r="D10565" t="s">
        <v>8706</v>
      </c>
      <c r="E10565" t="s">
        <v>6358</v>
      </c>
      <c r="F10565" t="s">
        <v>88</v>
      </c>
      <c r="G10565" t="s">
        <v>88</v>
      </c>
      <c r="H10565" t="s">
        <v>92</v>
      </c>
    </row>
    <row r="10566" spans="1:8" x14ac:dyDescent="0.25">
      <c r="A10566" t="s">
        <v>336</v>
      </c>
      <c r="B10566" t="s">
        <v>8753</v>
      </c>
      <c r="C10566" t="s">
        <v>88</v>
      </c>
      <c r="D10566" t="s">
        <v>8708</v>
      </c>
      <c r="E10566" t="s">
        <v>2791</v>
      </c>
      <c r="F10566" t="s">
        <v>88</v>
      </c>
      <c r="G10566" t="s">
        <v>88</v>
      </c>
      <c r="H10566" t="s">
        <v>92</v>
      </c>
    </row>
    <row r="10567" spans="1:8" x14ac:dyDescent="0.25">
      <c r="A10567" t="s">
        <v>336</v>
      </c>
      <c r="B10567" t="s">
        <v>8754</v>
      </c>
      <c r="C10567" t="s">
        <v>88</v>
      </c>
      <c r="D10567" t="s">
        <v>8710</v>
      </c>
      <c r="E10567" t="s">
        <v>2791</v>
      </c>
      <c r="F10567" t="s">
        <v>88</v>
      </c>
      <c r="G10567" t="s">
        <v>88</v>
      </c>
      <c r="H10567" t="s">
        <v>92</v>
      </c>
    </row>
    <row r="10568" spans="1:8" x14ac:dyDescent="0.25">
      <c r="A10568" t="s">
        <v>336</v>
      </c>
      <c r="B10568" t="s">
        <v>3821</v>
      </c>
      <c r="C10568" t="s">
        <v>88</v>
      </c>
      <c r="D10568" t="s">
        <v>8711</v>
      </c>
      <c r="E10568" t="s">
        <v>8746</v>
      </c>
      <c r="F10568" t="s">
        <v>88</v>
      </c>
      <c r="G10568" t="s">
        <v>88</v>
      </c>
      <c r="H10568" t="s">
        <v>92</v>
      </c>
    </row>
    <row r="10569" spans="1:8" x14ac:dyDescent="0.25">
      <c r="A10569" t="s">
        <v>336</v>
      </c>
      <c r="B10569" t="s">
        <v>8755</v>
      </c>
      <c r="C10569" t="s">
        <v>88</v>
      </c>
      <c r="D10569" t="s">
        <v>8713</v>
      </c>
      <c r="E10569" t="s">
        <v>6358</v>
      </c>
      <c r="F10569" t="s">
        <v>88</v>
      </c>
      <c r="G10569" t="s">
        <v>88</v>
      </c>
      <c r="H10569" t="s">
        <v>92</v>
      </c>
    </row>
    <row r="10570" spans="1:8" x14ac:dyDescent="0.25">
      <c r="A10570" t="s">
        <v>336</v>
      </c>
      <c r="B10570" t="s">
        <v>8756</v>
      </c>
      <c r="C10570" t="s">
        <v>88</v>
      </c>
      <c r="D10570" t="s">
        <v>8715</v>
      </c>
      <c r="E10570" t="s">
        <v>2791</v>
      </c>
      <c r="F10570" t="s">
        <v>88</v>
      </c>
      <c r="G10570" t="s">
        <v>88</v>
      </c>
      <c r="H10570" t="s">
        <v>92</v>
      </c>
    </row>
    <row r="10571" spans="1:8" x14ac:dyDescent="0.25">
      <c r="A10571" t="s">
        <v>336</v>
      </c>
      <c r="B10571" t="s">
        <v>8757</v>
      </c>
      <c r="C10571" t="s">
        <v>88</v>
      </c>
      <c r="D10571" t="s">
        <v>8717</v>
      </c>
      <c r="E10571" t="s">
        <v>2791</v>
      </c>
      <c r="F10571" t="s">
        <v>88</v>
      </c>
      <c r="G10571" t="s">
        <v>88</v>
      </c>
      <c r="H10571" t="s">
        <v>92</v>
      </c>
    </row>
    <row r="10572" spans="1:8" x14ac:dyDescent="0.25">
      <c r="A10572" t="s">
        <v>336</v>
      </c>
      <c r="B10572" t="s">
        <v>8758</v>
      </c>
      <c r="C10572" t="s">
        <v>88</v>
      </c>
      <c r="D10572" t="s">
        <v>8719</v>
      </c>
      <c r="E10572" t="s">
        <v>6358</v>
      </c>
      <c r="F10572" t="s">
        <v>88</v>
      </c>
      <c r="G10572" t="s">
        <v>88</v>
      </c>
      <c r="H10572" t="s">
        <v>92</v>
      </c>
    </row>
    <row r="10573" spans="1:8" x14ac:dyDescent="0.25">
      <c r="A10573" t="s">
        <v>336</v>
      </c>
      <c r="B10573" t="s">
        <v>8759</v>
      </c>
      <c r="C10573" t="s">
        <v>88</v>
      </c>
      <c r="D10573" t="s">
        <v>8721</v>
      </c>
      <c r="E10573" t="s">
        <v>2791</v>
      </c>
      <c r="F10573" t="s">
        <v>88</v>
      </c>
      <c r="G10573" t="s">
        <v>88</v>
      </c>
      <c r="H10573" t="s">
        <v>92</v>
      </c>
    </row>
    <row r="10574" spans="1:8" x14ac:dyDescent="0.25">
      <c r="A10574" t="s">
        <v>336</v>
      </c>
      <c r="B10574" t="s">
        <v>8760</v>
      </c>
      <c r="C10574" t="s">
        <v>88</v>
      </c>
      <c r="D10574" t="s">
        <v>8723</v>
      </c>
      <c r="E10574" t="s">
        <v>8746</v>
      </c>
      <c r="F10574" t="s">
        <v>88</v>
      </c>
      <c r="G10574" t="s">
        <v>88</v>
      </c>
      <c r="H10574" t="s">
        <v>92</v>
      </c>
    </row>
    <row r="10575" spans="1:8" x14ac:dyDescent="0.25">
      <c r="A10575" t="s">
        <v>336</v>
      </c>
      <c r="B10575" t="s">
        <v>8761</v>
      </c>
      <c r="C10575" t="s">
        <v>88</v>
      </c>
      <c r="D10575" t="s">
        <v>8725</v>
      </c>
      <c r="E10575" t="s">
        <v>6358</v>
      </c>
      <c r="F10575" t="s">
        <v>88</v>
      </c>
      <c r="G10575" t="s">
        <v>88</v>
      </c>
      <c r="H10575" t="s">
        <v>92</v>
      </c>
    </row>
    <row r="10576" spans="1:8" x14ac:dyDescent="0.25">
      <c r="A10576" t="s">
        <v>336</v>
      </c>
      <c r="B10576" t="s">
        <v>8762</v>
      </c>
      <c r="C10576" t="s">
        <v>88</v>
      </c>
      <c r="D10576" t="s">
        <v>8725</v>
      </c>
      <c r="E10576" t="s">
        <v>8763</v>
      </c>
      <c r="F10576" t="s">
        <v>88</v>
      </c>
      <c r="G10576" t="s">
        <v>88</v>
      </c>
      <c r="H10576" t="s">
        <v>92</v>
      </c>
    </row>
    <row r="10577" spans="1:8" x14ac:dyDescent="0.25">
      <c r="A10577" t="s">
        <v>336</v>
      </c>
      <c r="B10577" t="s">
        <v>8764</v>
      </c>
      <c r="C10577" t="s">
        <v>88</v>
      </c>
      <c r="D10577" t="s">
        <v>8727</v>
      </c>
      <c r="E10577" t="s">
        <v>8763</v>
      </c>
      <c r="F10577" t="s">
        <v>88</v>
      </c>
      <c r="G10577" t="s">
        <v>88</v>
      </c>
      <c r="H10577" t="s">
        <v>92</v>
      </c>
    </row>
    <row r="10578" spans="1:8" x14ac:dyDescent="0.25">
      <c r="A10578" t="s">
        <v>336</v>
      </c>
      <c r="B10578" t="s">
        <v>8765</v>
      </c>
      <c r="C10578" t="s">
        <v>88</v>
      </c>
      <c r="D10578" t="s">
        <v>8766</v>
      </c>
      <c r="E10578" t="s">
        <v>613</v>
      </c>
      <c r="F10578" t="s">
        <v>88</v>
      </c>
      <c r="G10578" t="s">
        <v>88</v>
      </c>
      <c r="H10578" t="s">
        <v>92</v>
      </c>
    </row>
    <row r="10579" spans="1:8" x14ac:dyDescent="0.25">
      <c r="A10579" t="s">
        <v>336</v>
      </c>
      <c r="B10579" t="s">
        <v>8767</v>
      </c>
      <c r="C10579" t="s">
        <v>88</v>
      </c>
      <c r="D10579" t="s">
        <v>8768</v>
      </c>
      <c r="E10579" t="s">
        <v>2585</v>
      </c>
      <c r="F10579" t="s">
        <v>88</v>
      </c>
      <c r="G10579" t="s">
        <v>88</v>
      </c>
      <c r="H10579" t="s">
        <v>92</v>
      </c>
    </row>
    <row r="10580" spans="1:8" x14ac:dyDescent="0.25">
      <c r="A10580" t="s">
        <v>336</v>
      </c>
      <c r="B10580" t="s">
        <v>8769</v>
      </c>
      <c r="C10580" t="s">
        <v>88</v>
      </c>
      <c r="D10580" t="s">
        <v>88</v>
      </c>
      <c r="E10580" t="s">
        <v>1221</v>
      </c>
      <c r="F10580" t="s">
        <v>88</v>
      </c>
      <c r="G10580" t="s">
        <v>88</v>
      </c>
      <c r="H10580" t="s">
        <v>92</v>
      </c>
    </row>
    <row r="10581" spans="1:8" x14ac:dyDescent="0.25">
      <c r="A10581" t="s">
        <v>336</v>
      </c>
      <c r="B10581" t="s">
        <v>8770</v>
      </c>
      <c r="C10581" t="s">
        <v>88</v>
      </c>
      <c r="D10581" t="s">
        <v>88</v>
      </c>
      <c r="E10581" t="s">
        <v>889</v>
      </c>
      <c r="F10581" t="s">
        <v>88</v>
      </c>
      <c r="G10581" t="s">
        <v>88</v>
      </c>
      <c r="H10581" t="s">
        <v>92</v>
      </c>
    </row>
    <row r="10582" spans="1:8" x14ac:dyDescent="0.25">
      <c r="A10582" t="s">
        <v>336</v>
      </c>
      <c r="B10582" t="s">
        <v>8771</v>
      </c>
      <c r="C10582" t="s">
        <v>88</v>
      </c>
      <c r="D10582" t="s">
        <v>88</v>
      </c>
      <c r="E10582" t="s">
        <v>2662</v>
      </c>
      <c r="F10582" t="s">
        <v>88</v>
      </c>
      <c r="G10582" t="s">
        <v>88</v>
      </c>
      <c r="H10582" t="s">
        <v>92</v>
      </c>
    </row>
    <row r="10583" spans="1:8" x14ac:dyDescent="0.25">
      <c r="A10583" t="s">
        <v>336</v>
      </c>
      <c r="B10583" t="s">
        <v>1868</v>
      </c>
      <c r="C10583" t="s">
        <v>88</v>
      </c>
      <c r="D10583" t="s">
        <v>8772</v>
      </c>
      <c r="E10583" t="s">
        <v>2066</v>
      </c>
      <c r="F10583" t="s">
        <v>88</v>
      </c>
      <c r="G10583" t="s">
        <v>88</v>
      </c>
      <c r="H10583" t="s">
        <v>92</v>
      </c>
    </row>
    <row r="10584" spans="1:8" x14ac:dyDescent="0.25">
      <c r="A10584" t="s">
        <v>336</v>
      </c>
      <c r="B10584" t="s">
        <v>8773</v>
      </c>
      <c r="C10584" t="s">
        <v>88</v>
      </c>
      <c r="D10584" t="s">
        <v>88</v>
      </c>
      <c r="E10584" t="s">
        <v>2464</v>
      </c>
      <c r="F10584" t="s">
        <v>88</v>
      </c>
      <c r="G10584" t="s">
        <v>88</v>
      </c>
      <c r="H10584" t="s">
        <v>92</v>
      </c>
    </row>
    <row r="10585" spans="1:8" x14ac:dyDescent="0.25">
      <c r="A10585" t="s">
        <v>336</v>
      </c>
      <c r="B10585" t="s">
        <v>8774</v>
      </c>
      <c r="C10585" t="s">
        <v>88</v>
      </c>
      <c r="D10585" t="s">
        <v>88</v>
      </c>
      <c r="E10585" t="s">
        <v>1221</v>
      </c>
      <c r="F10585" t="s">
        <v>88</v>
      </c>
      <c r="G10585" t="s">
        <v>88</v>
      </c>
      <c r="H10585" t="s">
        <v>92</v>
      </c>
    </row>
    <row r="10586" spans="1:8" x14ac:dyDescent="0.25">
      <c r="A10586" t="s">
        <v>336</v>
      </c>
      <c r="B10586" t="s">
        <v>8775</v>
      </c>
      <c r="C10586" t="s">
        <v>88</v>
      </c>
      <c r="D10586" t="s">
        <v>88</v>
      </c>
      <c r="E10586" t="s">
        <v>1139</v>
      </c>
      <c r="F10586" t="s">
        <v>88</v>
      </c>
      <c r="G10586" t="s">
        <v>88</v>
      </c>
      <c r="H10586" t="s">
        <v>92</v>
      </c>
    </row>
    <row r="10587" spans="1:8" x14ac:dyDescent="0.25">
      <c r="A10587" t="s">
        <v>336</v>
      </c>
      <c r="B10587" t="s">
        <v>8776</v>
      </c>
      <c r="C10587" t="s">
        <v>88</v>
      </c>
      <c r="D10587" t="s">
        <v>88</v>
      </c>
      <c r="E10587" t="s">
        <v>2464</v>
      </c>
      <c r="F10587" t="s">
        <v>88</v>
      </c>
      <c r="G10587" t="s">
        <v>88</v>
      </c>
      <c r="H10587" t="s">
        <v>92</v>
      </c>
    </row>
    <row r="10588" spans="1:8" x14ac:dyDescent="0.25">
      <c r="A10588" t="s">
        <v>336</v>
      </c>
      <c r="B10588" t="s">
        <v>1873</v>
      </c>
      <c r="C10588" t="s">
        <v>88</v>
      </c>
      <c r="D10588" t="s">
        <v>88</v>
      </c>
      <c r="E10588" t="s">
        <v>1839</v>
      </c>
      <c r="F10588" t="s">
        <v>88</v>
      </c>
      <c r="G10588" t="s">
        <v>88</v>
      </c>
      <c r="H10588" t="s">
        <v>92</v>
      </c>
    </row>
    <row r="10589" spans="1:8" x14ac:dyDescent="0.25">
      <c r="A10589" t="s">
        <v>336</v>
      </c>
      <c r="B10589" t="s">
        <v>8777</v>
      </c>
      <c r="C10589" t="s">
        <v>88</v>
      </c>
      <c r="D10589" t="s">
        <v>88</v>
      </c>
      <c r="E10589" t="s">
        <v>2662</v>
      </c>
      <c r="F10589" t="s">
        <v>88</v>
      </c>
      <c r="G10589" t="s">
        <v>88</v>
      </c>
      <c r="H10589" t="s">
        <v>92</v>
      </c>
    </row>
    <row r="10590" spans="1:8" x14ac:dyDescent="0.25">
      <c r="A10590" t="s">
        <v>336</v>
      </c>
      <c r="B10590" t="s">
        <v>2567</v>
      </c>
      <c r="C10590" t="s">
        <v>88</v>
      </c>
      <c r="D10590" t="s">
        <v>88</v>
      </c>
      <c r="E10590" t="s">
        <v>1221</v>
      </c>
      <c r="F10590" t="s">
        <v>88</v>
      </c>
      <c r="G10590" t="s">
        <v>88</v>
      </c>
      <c r="H10590" t="s">
        <v>92</v>
      </c>
    </row>
    <row r="10591" spans="1:8" x14ac:dyDescent="0.25">
      <c r="A10591" t="s">
        <v>336</v>
      </c>
      <c r="B10591" t="s">
        <v>1874</v>
      </c>
      <c r="C10591" t="s">
        <v>88</v>
      </c>
      <c r="D10591" t="s">
        <v>88</v>
      </c>
      <c r="E10591" t="s">
        <v>1598</v>
      </c>
      <c r="F10591" t="s">
        <v>88</v>
      </c>
      <c r="G10591" t="s">
        <v>88</v>
      </c>
      <c r="H10591" t="s">
        <v>92</v>
      </c>
    </row>
    <row r="10592" spans="1:8" x14ac:dyDescent="0.25">
      <c r="A10592" t="s">
        <v>336</v>
      </c>
      <c r="B10592" t="s">
        <v>8778</v>
      </c>
      <c r="C10592" t="s">
        <v>88</v>
      </c>
      <c r="D10592" t="s">
        <v>8779</v>
      </c>
      <c r="E10592" t="s">
        <v>613</v>
      </c>
      <c r="F10592" t="s">
        <v>88</v>
      </c>
      <c r="G10592" t="s">
        <v>88</v>
      </c>
      <c r="H10592" t="s">
        <v>92</v>
      </c>
    </row>
    <row r="10593" spans="1:8" x14ac:dyDescent="0.25">
      <c r="A10593" t="s">
        <v>336</v>
      </c>
      <c r="B10593" t="s">
        <v>603</v>
      </c>
      <c r="C10593" t="s">
        <v>88</v>
      </c>
      <c r="D10593" t="s">
        <v>8772</v>
      </c>
      <c r="E10593" t="s">
        <v>647</v>
      </c>
      <c r="F10593" t="s">
        <v>88</v>
      </c>
      <c r="G10593" t="s">
        <v>88</v>
      </c>
      <c r="H10593" t="s">
        <v>92</v>
      </c>
    </row>
    <row r="10594" spans="1:8" x14ac:dyDescent="0.25">
      <c r="A10594" t="s">
        <v>336</v>
      </c>
      <c r="B10594" t="s">
        <v>8780</v>
      </c>
      <c r="C10594" t="s">
        <v>88</v>
      </c>
      <c r="D10594" t="s">
        <v>88</v>
      </c>
      <c r="E10594" t="s">
        <v>1596</v>
      </c>
      <c r="F10594" t="s">
        <v>88</v>
      </c>
      <c r="G10594" t="s">
        <v>88</v>
      </c>
      <c r="H10594" t="s">
        <v>92</v>
      </c>
    </row>
    <row r="10595" spans="1:8" x14ac:dyDescent="0.25">
      <c r="A10595" t="s">
        <v>336</v>
      </c>
      <c r="B10595" t="s">
        <v>8781</v>
      </c>
      <c r="C10595" t="s">
        <v>88</v>
      </c>
      <c r="D10595" t="s">
        <v>88</v>
      </c>
      <c r="E10595" t="s">
        <v>1596</v>
      </c>
      <c r="F10595" t="s">
        <v>88</v>
      </c>
      <c r="G10595" t="s">
        <v>88</v>
      </c>
      <c r="H10595" t="s">
        <v>92</v>
      </c>
    </row>
    <row r="10596" spans="1:8" x14ac:dyDescent="0.25">
      <c r="A10596" t="s">
        <v>336</v>
      </c>
      <c r="B10596" t="s">
        <v>3138</v>
      </c>
      <c r="C10596" t="s">
        <v>88</v>
      </c>
      <c r="D10596" t="s">
        <v>88</v>
      </c>
      <c r="E10596" t="s">
        <v>621</v>
      </c>
      <c r="F10596" t="s">
        <v>88</v>
      </c>
      <c r="G10596" t="s">
        <v>88</v>
      </c>
      <c r="H10596" t="s">
        <v>92</v>
      </c>
    </row>
    <row r="10597" spans="1:8" x14ac:dyDescent="0.25">
      <c r="A10597" t="s">
        <v>336</v>
      </c>
      <c r="B10597" t="s">
        <v>7753</v>
      </c>
      <c r="C10597" t="s">
        <v>88</v>
      </c>
      <c r="D10597" t="s">
        <v>88</v>
      </c>
      <c r="E10597" t="s">
        <v>2864</v>
      </c>
      <c r="F10597" t="s">
        <v>88</v>
      </c>
      <c r="G10597" t="s">
        <v>88</v>
      </c>
      <c r="H10597" t="s">
        <v>92</v>
      </c>
    </row>
    <row r="10598" spans="1:8" x14ac:dyDescent="0.25">
      <c r="A10598" t="s">
        <v>336</v>
      </c>
      <c r="B10598" t="s">
        <v>701</v>
      </c>
      <c r="C10598" t="s">
        <v>88</v>
      </c>
      <c r="D10598" t="s">
        <v>88</v>
      </c>
      <c r="E10598" t="s">
        <v>650</v>
      </c>
      <c r="F10598" t="s">
        <v>88</v>
      </c>
      <c r="G10598" t="s">
        <v>88</v>
      </c>
      <c r="H10598" t="s">
        <v>92</v>
      </c>
    </row>
    <row r="10599" spans="1:8" x14ac:dyDescent="0.25">
      <c r="A10599" t="s">
        <v>336</v>
      </c>
      <c r="B10599" t="s">
        <v>703</v>
      </c>
      <c r="C10599" t="s">
        <v>88</v>
      </c>
      <c r="D10599" t="s">
        <v>88</v>
      </c>
      <c r="E10599" t="s">
        <v>650</v>
      </c>
      <c r="F10599" t="s">
        <v>88</v>
      </c>
      <c r="G10599" t="s">
        <v>88</v>
      </c>
      <c r="H10599" t="s">
        <v>92</v>
      </c>
    </row>
    <row r="10600" spans="1:8" x14ac:dyDescent="0.25">
      <c r="A10600" t="s">
        <v>336</v>
      </c>
      <c r="B10600" t="s">
        <v>704</v>
      </c>
      <c r="C10600" t="s">
        <v>88</v>
      </c>
      <c r="D10600" t="s">
        <v>88</v>
      </c>
      <c r="E10600" t="s">
        <v>650</v>
      </c>
      <c r="F10600" t="s">
        <v>88</v>
      </c>
      <c r="G10600" t="s">
        <v>88</v>
      </c>
      <c r="H10600" t="s">
        <v>92</v>
      </c>
    </row>
    <row r="10601" spans="1:8" x14ac:dyDescent="0.25">
      <c r="A10601" t="s">
        <v>336</v>
      </c>
      <c r="B10601" t="s">
        <v>705</v>
      </c>
      <c r="C10601" t="s">
        <v>88</v>
      </c>
      <c r="D10601" t="s">
        <v>88</v>
      </c>
      <c r="E10601" t="s">
        <v>650</v>
      </c>
      <c r="F10601" t="s">
        <v>88</v>
      </c>
      <c r="G10601" t="s">
        <v>88</v>
      </c>
      <c r="H10601" t="s">
        <v>92</v>
      </c>
    </row>
    <row r="10602" spans="1:8" x14ac:dyDescent="0.25">
      <c r="A10602" t="s">
        <v>336</v>
      </c>
      <c r="B10602" t="s">
        <v>706</v>
      </c>
      <c r="C10602" t="s">
        <v>88</v>
      </c>
      <c r="D10602" t="s">
        <v>88</v>
      </c>
      <c r="E10602" t="s">
        <v>650</v>
      </c>
      <c r="F10602" t="s">
        <v>88</v>
      </c>
      <c r="G10602" t="s">
        <v>88</v>
      </c>
      <c r="H10602" t="s">
        <v>92</v>
      </c>
    </row>
    <row r="10603" spans="1:8" x14ac:dyDescent="0.25">
      <c r="A10603" t="s">
        <v>336</v>
      </c>
      <c r="B10603" t="s">
        <v>707</v>
      </c>
      <c r="C10603" t="s">
        <v>88</v>
      </c>
      <c r="D10603" t="s">
        <v>88</v>
      </c>
      <c r="E10603" t="s">
        <v>650</v>
      </c>
      <c r="F10603" t="s">
        <v>88</v>
      </c>
      <c r="G10603" t="s">
        <v>88</v>
      </c>
      <c r="H10603" t="s">
        <v>92</v>
      </c>
    </row>
    <row r="10604" spans="1:8" x14ac:dyDescent="0.25">
      <c r="A10604" t="s">
        <v>336</v>
      </c>
      <c r="B10604" t="s">
        <v>708</v>
      </c>
      <c r="C10604" t="s">
        <v>88</v>
      </c>
      <c r="D10604" t="s">
        <v>88</v>
      </c>
      <c r="E10604" t="s">
        <v>650</v>
      </c>
      <c r="F10604" t="s">
        <v>88</v>
      </c>
      <c r="G10604" t="s">
        <v>88</v>
      </c>
      <c r="H10604" t="s">
        <v>92</v>
      </c>
    </row>
    <row r="10605" spans="1:8" x14ac:dyDescent="0.25">
      <c r="A10605" t="s">
        <v>336</v>
      </c>
      <c r="B10605" t="s">
        <v>6879</v>
      </c>
      <c r="C10605" t="s">
        <v>88</v>
      </c>
      <c r="D10605" t="s">
        <v>88</v>
      </c>
      <c r="E10605" t="s">
        <v>709</v>
      </c>
      <c r="F10605" t="s">
        <v>88</v>
      </c>
      <c r="G10605" t="s">
        <v>88</v>
      </c>
      <c r="H10605" t="s">
        <v>92</v>
      </c>
    </row>
    <row r="10606" spans="1:8" x14ac:dyDescent="0.25">
      <c r="A10606" t="s">
        <v>336</v>
      </c>
      <c r="B10606" t="s">
        <v>3146</v>
      </c>
      <c r="C10606" t="s">
        <v>88</v>
      </c>
      <c r="D10606" t="s">
        <v>88</v>
      </c>
      <c r="E10606" t="s">
        <v>711</v>
      </c>
      <c r="F10606" t="s">
        <v>88</v>
      </c>
      <c r="G10606" t="s">
        <v>88</v>
      </c>
      <c r="H10606" t="s">
        <v>92</v>
      </c>
    </row>
    <row r="10607" spans="1:8" x14ac:dyDescent="0.25">
      <c r="A10607" t="s">
        <v>336</v>
      </c>
      <c r="B10607" t="s">
        <v>714</v>
      </c>
      <c r="C10607" t="s">
        <v>88</v>
      </c>
      <c r="D10607" t="s">
        <v>88</v>
      </c>
      <c r="E10607" t="s">
        <v>2068</v>
      </c>
      <c r="F10607" t="s">
        <v>88</v>
      </c>
      <c r="G10607" t="s">
        <v>88</v>
      </c>
      <c r="H10607" t="s">
        <v>92</v>
      </c>
    </row>
    <row r="10608" spans="1:8" x14ac:dyDescent="0.25">
      <c r="A10608" t="s">
        <v>336</v>
      </c>
      <c r="B10608" t="s">
        <v>1074</v>
      </c>
      <c r="C10608" t="s">
        <v>88</v>
      </c>
      <c r="D10608" t="s">
        <v>88</v>
      </c>
      <c r="E10608" t="s">
        <v>2068</v>
      </c>
      <c r="F10608" t="s">
        <v>88</v>
      </c>
      <c r="G10608" t="s">
        <v>88</v>
      </c>
      <c r="H10608" t="s">
        <v>92</v>
      </c>
    </row>
    <row r="10609" spans="1:8" x14ac:dyDescent="0.25">
      <c r="A10609" t="s">
        <v>336</v>
      </c>
      <c r="B10609" t="s">
        <v>1671</v>
      </c>
      <c r="C10609" t="s">
        <v>88</v>
      </c>
      <c r="D10609" t="s">
        <v>88</v>
      </c>
      <c r="E10609" t="s">
        <v>2068</v>
      </c>
      <c r="F10609" t="s">
        <v>88</v>
      </c>
      <c r="G10609" t="s">
        <v>88</v>
      </c>
      <c r="H10609" t="s">
        <v>92</v>
      </c>
    </row>
    <row r="10610" spans="1:8" x14ac:dyDescent="0.25">
      <c r="A10610" t="s">
        <v>336</v>
      </c>
      <c r="B10610" t="s">
        <v>1073</v>
      </c>
      <c r="C10610" t="s">
        <v>88</v>
      </c>
      <c r="D10610" t="s">
        <v>88</v>
      </c>
      <c r="E10610" t="s">
        <v>2068</v>
      </c>
      <c r="F10610" t="s">
        <v>88</v>
      </c>
      <c r="G10610" t="s">
        <v>88</v>
      </c>
      <c r="H10610" t="s">
        <v>92</v>
      </c>
    </row>
    <row r="10611" spans="1:8" x14ac:dyDescent="0.25">
      <c r="A10611" t="s">
        <v>336</v>
      </c>
      <c r="B10611" t="s">
        <v>998</v>
      </c>
      <c r="C10611" t="s">
        <v>88</v>
      </c>
      <c r="D10611" t="s">
        <v>88</v>
      </c>
      <c r="E10611" t="s">
        <v>2068</v>
      </c>
      <c r="F10611" t="s">
        <v>88</v>
      </c>
      <c r="G10611" t="s">
        <v>88</v>
      </c>
      <c r="H10611" t="s">
        <v>92</v>
      </c>
    </row>
    <row r="10612" spans="1:8" x14ac:dyDescent="0.25">
      <c r="A10612" t="s">
        <v>336</v>
      </c>
      <c r="B10612" t="s">
        <v>2572</v>
      </c>
      <c r="C10612" t="s">
        <v>88</v>
      </c>
      <c r="D10612" t="s">
        <v>88</v>
      </c>
      <c r="E10612" t="s">
        <v>2068</v>
      </c>
      <c r="F10612" t="s">
        <v>88</v>
      </c>
      <c r="G10612" t="s">
        <v>88</v>
      </c>
      <c r="H10612" t="s">
        <v>92</v>
      </c>
    </row>
    <row r="10613" spans="1:8" x14ac:dyDescent="0.25">
      <c r="A10613" t="s">
        <v>336</v>
      </c>
      <c r="B10613" t="s">
        <v>1609</v>
      </c>
      <c r="C10613" t="s">
        <v>88</v>
      </c>
      <c r="D10613" t="s">
        <v>88</v>
      </c>
      <c r="E10613" t="s">
        <v>7755</v>
      </c>
      <c r="F10613" t="s">
        <v>88</v>
      </c>
      <c r="G10613" t="s">
        <v>88</v>
      </c>
      <c r="H10613" t="s">
        <v>92</v>
      </c>
    </row>
    <row r="10614" spans="1:8" x14ac:dyDescent="0.25">
      <c r="A10614" t="s">
        <v>336</v>
      </c>
      <c r="B10614" t="s">
        <v>1611</v>
      </c>
      <c r="C10614" t="s">
        <v>88</v>
      </c>
      <c r="D10614" t="s">
        <v>88</v>
      </c>
      <c r="E10614" t="s">
        <v>7755</v>
      </c>
      <c r="F10614" t="s">
        <v>88</v>
      </c>
      <c r="G10614" t="s">
        <v>88</v>
      </c>
      <c r="H10614" t="s">
        <v>92</v>
      </c>
    </row>
    <row r="10615" spans="1:8" x14ac:dyDescent="0.25">
      <c r="A10615" t="s">
        <v>336</v>
      </c>
      <c r="B10615" t="s">
        <v>2573</v>
      </c>
      <c r="C10615" t="s">
        <v>88</v>
      </c>
      <c r="D10615" t="s">
        <v>88</v>
      </c>
      <c r="E10615" t="s">
        <v>735</v>
      </c>
      <c r="F10615" t="s">
        <v>88</v>
      </c>
      <c r="G10615" t="s">
        <v>88</v>
      </c>
      <c r="H10615" t="s">
        <v>92</v>
      </c>
    </row>
    <row r="10616" spans="1:8" x14ac:dyDescent="0.25">
      <c r="A10616" t="s">
        <v>336</v>
      </c>
      <c r="B10616" t="s">
        <v>6220</v>
      </c>
      <c r="C10616" t="s">
        <v>88</v>
      </c>
      <c r="D10616" t="s">
        <v>88</v>
      </c>
      <c r="E10616" t="s">
        <v>735</v>
      </c>
      <c r="F10616" t="s">
        <v>88</v>
      </c>
      <c r="G10616" t="s">
        <v>88</v>
      </c>
      <c r="H10616" t="s">
        <v>92</v>
      </c>
    </row>
    <row r="10617" spans="1:8" x14ac:dyDescent="0.25">
      <c r="A10617" t="s">
        <v>336</v>
      </c>
      <c r="B10617" t="s">
        <v>2579</v>
      </c>
      <c r="C10617" t="s">
        <v>88</v>
      </c>
      <c r="D10617" t="s">
        <v>88</v>
      </c>
      <c r="E10617" t="s">
        <v>735</v>
      </c>
      <c r="F10617" t="s">
        <v>88</v>
      </c>
      <c r="G10617" t="s">
        <v>88</v>
      </c>
      <c r="H10617" t="s">
        <v>92</v>
      </c>
    </row>
    <row r="10618" spans="1:8" x14ac:dyDescent="0.25">
      <c r="A10618" t="s">
        <v>336</v>
      </c>
      <c r="B10618" t="s">
        <v>1612</v>
      </c>
      <c r="C10618" t="s">
        <v>88</v>
      </c>
      <c r="D10618" t="s">
        <v>88</v>
      </c>
      <c r="E10618" t="s">
        <v>735</v>
      </c>
      <c r="F10618" t="s">
        <v>88</v>
      </c>
      <c r="G10618" t="s">
        <v>88</v>
      </c>
      <c r="H10618" t="s">
        <v>92</v>
      </c>
    </row>
    <row r="10619" spans="1:8" x14ac:dyDescent="0.25">
      <c r="A10619" t="s">
        <v>336</v>
      </c>
      <c r="B10619" t="s">
        <v>625</v>
      </c>
      <c r="C10619" t="s">
        <v>88</v>
      </c>
      <c r="D10619" t="s">
        <v>88</v>
      </c>
      <c r="E10619" t="s">
        <v>626</v>
      </c>
      <c r="F10619" t="s">
        <v>88</v>
      </c>
      <c r="G10619" t="s">
        <v>88</v>
      </c>
      <c r="H10619" t="s">
        <v>92</v>
      </c>
    </row>
    <row r="10620" spans="1:8" x14ac:dyDescent="0.25">
      <c r="A10620" t="s">
        <v>338</v>
      </c>
      <c r="B10620" t="s">
        <v>2021</v>
      </c>
      <c r="C10620" t="s">
        <v>88</v>
      </c>
      <c r="D10620" t="s">
        <v>8782</v>
      </c>
      <c r="E10620" t="s">
        <v>8783</v>
      </c>
      <c r="F10620" t="s">
        <v>88</v>
      </c>
      <c r="G10620" t="s">
        <v>88</v>
      </c>
      <c r="H10620" t="s">
        <v>92</v>
      </c>
    </row>
    <row r="10621" spans="1:8" x14ac:dyDescent="0.25">
      <c r="A10621" t="s">
        <v>338</v>
      </c>
      <c r="B10621" t="s">
        <v>1656</v>
      </c>
      <c r="C10621" t="s">
        <v>88</v>
      </c>
      <c r="D10621" t="s">
        <v>8784</v>
      </c>
      <c r="E10621" t="s">
        <v>799</v>
      </c>
      <c r="F10621" t="s">
        <v>88</v>
      </c>
      <c r="G10621" t="s">
        <v>88</v>
      </c>
      <c r="H10621" t="s">
        <v>92</v>
      </c>
    </row>
    <row r="10622" spans="1:8" x14ac:dyDescent="0.25">
      <c r="A10622" t="s">
        <v>338</v>
      </c>
      <c r="B10622" t="s">
        <v>736</v>
      </c>
      <c r="C10622" t="s">
        <v>88</v>
      </c>
      <c r="D10622" t="s">
        <v>8785</v>
      </c>
      <c r="E10622" t="s">
        <v>4088</v>
      </c>
      <c r="F10622" t="s">
        <v>88</v>
      </c>
      <c r="G10622" t="s">
        <v>88</v>
      </c>
      <c r="H10622" t="s">
        <v>92</v>
      </c>
    </row>
    <row r="10623" spans="1:8" x14ac:dyDescent="0.25">
      <c r="A10623" t="s">
        <v>338</v>
      </c>
      <c r="B10623" t="s">
        <v>741</v>
      </c>
      <c r="C10623" t="s">
        <v>88</v>
      </c>
      <c r="D10623" t="s">
        <v>8786</v>
      </c>
      <c r="E10623" t="s">
        <v>8787</v>
      </c>
      <c r="F10623" t="s">
        <v>88</v>
      </c>
      <c r="G10623" t="s">
        <v>88</v>
      </c>
      <c r="H10623" t="s">
        <v>92</v>
      </c>
    </row>
    <row r="10624" spans="1:8" x14ac:dyDescent="0.25">
      <c r="A10624" t="s">
        <v>338</v>
      </c>
      <c r="B10624" t="s">
        <v>876</v>
      </c>
      <c r="C10624" t="s">
        <v>88</v>
      </c>
      <c r="D10624" t="s">
        <v>8788</v>
      </c>
      <c r="E10624" t="s">
        <v>8789</v>
      </c>
      <c r="F10624" t="s">
        <v>88</v>
      </c>
      <c r="G10624" t="s">
        <v>88</v>
      </c>
      <c r="H10624" t="s">
        <v>92</v>
      </c>
    </row>
    <row r="10625" spans="1:8" x14ac:dyDescent="0.25">
      <c r="A10625" t="s">
        <v>338</v>
      </c>
      <c r="B10625" t="s">
        <v>8790</v>
      </c>
      <c r="C10625" t="s">
        <v>88</v>
      </c>
      <c r="D10625" t="s">
        <v>8791</v>
      </c>
      <c r="E10625" t="s">
        <v>2464</v>
      </c>
      <c r="F10625" t="s">
        <v>88</v>
      </c>
      <c r="G10625" t="s">
        <v>88</v>
      </c>
      <c r="H10625" t="s">
        <v>92</v>
      </c>
    </row>
    <row r="10626" spans="1:8" x14ac:dyDescent="0.25">
      <c r="A10626" t="s">
        <v>338</v>
      </c>
      <c r="B10626" t="s">
        <v>8792</v>
      </c>
      <c r="C10626" t="s">
        <v>88</v>
      </c>
      <c r="D10626" t="s">
        <v>8793</v>
      </c>
      <c r="E10626" t="s">
        <v>2464</v>
      </c>
      <c r="F10626" t="s">
        <v>88</v>
      </c>
      <c r="G10626" t="s">
        <v>88</v>
      </c>
      <c r="H10626" t="s">
        <v>92</v>
      </c>
    </row>
    <row r="10627" spans="1:8" x14ac:dyDescent="0.25">
      <c r="A10627" t="s">
        <v>338</v>
      </c>
      <c r="B10627" t="s">
        <v>8794</v>
      </c>
      <c r="C10627" t="s">
        <v>88</v>
      </c>
      <c r="D10627" t="s">
        <v>8795</v>
      </c>
      <c r="E10627" t="s">
        <v>2800</v>
      </c>
      <c r="F10627" t="s">
        <v>88</v>
      </c>
      <c r="G10627" t="s">
        <v>88</v>
      </c>
      <c r="H10627" t="s">
        <v>92</v>
      </c>
    </row>
    <row r="10628" spans="1:8" x14ac:dyDescent="0.25">
      <c r="A10628" t="s">
        <v>338</v>
      </c>
      <c r="B10628" t="s">
        <v>8796</v>
      </c>
      <c r="C10628" t="s">
        <v>88</v>
      </c>
      <c r="D10628" t="s">
        <v>3339</v>
      </c>
      <c r="E10628" t="s">
        <v>2464</v>
      </c>
      <c r="F10628" t="s">
        <v>88</v>
      </c>
      <c r="G10628" t="s">
        <v>88</v>
      </c>
      <c r="H10628" t="s">
        <v>92</v>
      </c>
    </row>
    <row r="10629" spans="1:8" x14ac:dyDescent="0.25">
      <c r="A10629" t="s">
        <v>338</v>
      </c>
      <c r="B10629" t="s">
        <v>8797</v>
      </c>
      <c r="C10629" t="s">
        <v>88</v>
      </c>
      <c r="D10629" t="s">
        <v>8798</v>
      </c>
      <c r="E10629" t="s">
        <v>8799</v>
      </c>
      <c r="F10629" t="s">
        <v>88</v>
      </c>
      <c r="G10629" t="s">
        <v>88</v>
      </c>
      <c r="H10629" t="s">
        <v>92</v>
      </c>
    </row>
    <row r="10630" spans="1:8" x14ac:dyDescent="0.25">
      <c r="A10630" t="s">
        <v>338</v>
      </c>
      <c r="B10630" t="s">
        <v>8800</v>
      </c>
      <c r="C10630" t="s">
        <v>88</v>
      </c>
      <c r="D10630" t="s">
        <v>8801</v>
      </c>
      <c r="E10630" t="s">
        <v>8802</v>
      </c>
      <c r="F10630" t="s">
        <v>88</v>
      </c>
      <c r="G10630" t="s">
        <v>88</v>
      </c>
      <c r="H10630" t="s">
        <v>92</v>
      </c>
    </row>
    <row r="10631" spans="1:8" x14ac:dyDescent="0.25">
      <c r="A10631" t="s">
        <v>338</v>
      </c>
      <c r="B10631" t="s">
        <v>8803</v>
      </c>
      <c r="C10631" t="s">
        <v>88</v>
      </c>
      <c r="D10631" t="s">
        <v>8804</v>
      </c>
      <c r="E10631" t="s">
        <v>8805</v>
      </c>
      <c r="F10631" t="s">
        <v>88</v>
      </c>
      <c r="G10631" t="s">
        <v>88</v>
      </c>
      <c r="H10631" t="s">
        <v>92</v>
      </c>
    </row>
    <row r="10632" spans="1:8" x14ac:dyDescent="0.25">
      <c r="A10632" t="s">
        <v>338</v>
      </c>
      <c r="B10632" t="s">
        <v>8806</v>
      </c>
      <c r="C10632" t="s">
        <v>88</v>
      </c>
      <c r="D10632" t="s">
        <v>8807</v>
      </c>
      <c r="E10632" t="s">
        <v>8808</v>
      </c>
      <c r="F10632" t="s">
        <v>88</v>
      </c>
      <c r="G10632" t="s">
        <v>88</v>
      </c>
      <c r="H10632" t="s">
        <v>92</v>
      </c>
    </row>
    <row r="10633" spans="1:8" x14ac:dyDescent="0.25">
      <c r="A10633" t="s">
        <v>338</v>
      </c>
      <c r="B10633" t="s">
        <v>1360</v>
      </c>
      <c r="C10633" t="s">
        <v>88</v>
      </c>
      <c r="D10633" t="s">
        <v>8809</v>
      </c>
      <c r="E10633" t="s">
        <v>8810</v>
      </c>
      <c r="F10633" t="s">
        <v>88</v>
      </c>
      <c r="G10633" t="s">
        <v>88</v>
      </c>
      <c r="H10633" t="s">
        <v>92</v>
      </c>
    </row>
    <row r="10634" spans="1:8" x14ac:dyDescent="0.25">
      <c r="A10634" t="s">
        <v>338</v>
      </c>
      <c r="B10634" t="s">
        <v>741</v>
      </c>
      <c r="C10634" t="s">
        <v>88</v>
      </c>
      <c r="D10634" t="s">
        <v>8786</v>
      </c>
      <c r="E10634" t="s">
        <v>8787</v>
      </c>
      <c r="F10634" t="s">
        <v>88</v>
      </c>
      <c r="G10634" t="s">
        <v>88</v>
      </c>
      <c r="H10634" t="s">
        <v>92</v>
      </c>
    </row>
    <row r="10635" spans="1:8" x14ac:dyDescent="0.25">
      <c r="A10635" t="s">
        <v>338</v>
      </c>
      <c r="B10635" t="s">
        <v>8811</v>
      </c>
      <c r="C10635" t="s">
        <v>88</v>
      </c>
      <c r="D10635" t="s">
        <v>8788</v>
      </c>
      <c r="E10635" t="s">
        <v>2464</v>
      </c>
      <c r="F10635" t="s">
        <v>88</v>
      </c>
      <c r="G10635" t="s">
        <v>88</v>
      </c>
      <c r="H10635" t="s">
        <v>92</v>
      </c>
    </row>
    <row r="10636" spans="1:8" x14ac:dyDescent="0.25">
      <c r="A10636" t="s">
        <v>338</v>
      </c>
      <c r="B10636" t="s">
        <v>8812</v>
      </c>
      <c r="C10636" t="s">
        <v>88</v>
      </c>
      <c r="D10636" t="s">
        <v>8788</v>
      </c>
      <c r="E10636" t="s">
        <v>8789</v>
      </c>
      <c r="F10636" t="s">
        <v>88</v>
      </c>
      <c r="G10636" t="s">
        <v>88</v>
      </c>
      <c r="H10636" t="s">
        <v>92</v>
      </c>
    </row>
    <row r="10637" spans="1:8" x14ac:dyDescent="0.25">
      <c r="A10637" t="s">
        <v>338</v>
      </c>
      <c r="B10637" t="s">
        <v>876</v>
      </c>
      <c r="C10637" t="s">
        <v>88</v>
      </c>
      <c r="D10637" t="s">
        <v>8788</v>
      </c>
      <c r="E10637" t="s">
        <v>8789</v>
      </c>
      <c r="F10637" t="s">
        <v>88</v>
      </c>
      <c r="G10637" t="s">
        <v>88</v>
      </c>
      <c r="H10637" t="s">
        <v>92</v>
      </c>
    </row>
    <row r="10638" spans="1:8" x14ac:dyDescent="0.25">
      <c r="A10638" t="s">
        <v>338</v>
      </c>
      <c r="B10638" t="s">
        <v>8813</v>
      </c>
      <c r="C10638" t="s">
        <v>88</v>
      </c>
      <c r="D10638" t="s">
        <v>8788</v>
      </c>
      <c r="E10638" t="s">
        <v>8789</v>
      </c>
      <c r="F10638" t="s">
        <v>88</v>
      </c>
      <c r="G10638" t="s">
        <v>88</v>
      </c>
      <c r="H10638" t="s">
        <v>92</v>
      </c>
    </row>
    <row r="10639" spans="1:8" x14ac:dyDescent="0.25">
      <c r="A10639" t="s">
        <v>338</v>
      </c>
      <c r="B10639" t="s">
        <v>7377</v>
      </c>
      <c r="C10639" t="s">
        <v>88</v>
      </c>
      <c r="D10639" t="s">
        <v>8788</v>
      </c>
      <c r="E10639" t="s">
        <v>8789</v>
      </c>
      <c r="F10639" t="s">
        <v>88</v>
      </c>
      <c r="G10639" t="s">
        <v>88</v>
      </c>
      <c r="H10639" t="s">
        <v>92</v>
      </c>
    </row>
    <row r="10640" spans="1:8" x14ac:dyDescent="0.25">
      <c r="A10640" t="s">
        <v>338</v>
      </c>
      <c r="B10640" t="s">
        <v>907</v>
      </c>
      <c r="C10640" t="s">
        <v>88</v>
      </c>
      <c r="D10640" t="s">
        <v>8814</v>
      </c>
      <c r="E10640" t="s">
        <v>8815</v>
      </c>
      <c r="F10640" t="s">
        <v>88</v>
      </c>
      <c r="G10640" t="s">
        <v>88</v>
      </c>
      <c r="H10640" t="s">
        <v>92</v>
      </c>
    </row>
    <row r="10641" spans="1:8" x14ac:dyDescent="0.25">
      <c r="A10641" t="s">
        <v>338</v>
      </c>
      <c r="B10641" t="s">
        <v>2021</v>
      </c>
      <c r="C10641" t="s">
        <v>88</v>
      </c>
      <c r="D10641" t="s">
        <v>8782</v>
      </c>
      <c r="E10641" t="s">
        <v>8783</v>
      </c>
      <c r="F10641" t="s">
        <v>88</v>
      </c>
      <c r="G10641" t="s">
        <v>88</v>
      </c>
      <c r="H10641" t="s">
        <v>92</v>
      </c>
    </row>
    <row r="10642" spans="1:8" x14ac:dyDescent="0.25">
      <c r="A10642" t="s">
        <v>338</v>
      </c>
      <c r="B10642" t="s">
        <v>896</v>
      </c>
      <c r="C10642" t="s">
        <v>88</v>
      </c>
      <c r="D10642" t="s">
        <v>8816</v>
      </c>
      <c r="E10642" t="s">
        <v>8817</v>
      </c>
      <c r="F10642" t="s">
        <v>88</v>
      </c>
      <c r="G10642" t="s">
        <v>88</v>
      </c>
      <c r="H10642" t="s">
        <v>92</v>
      </c>
    </row>
    <row r="10643" spans="1:8" x14ac:dyDescent="0.25">
      <c r="A10643" t="s">
        <v>338</v>
      </c>
      <c r="B10643" t="s">
        <v>895</v>
      </c>
      <c r="C10643" t="s">
        <v>88</v>
      </c>
      <c r="D10643" t="s">
        <v>8816</v>
      </c>
      <c r="E10643" t="s">
        <v>1139</v>
      </c>
      <c r="F10643" t="s">
        <v>88</v>
      </c>
      <c r="G10643" t="s">
        <v>88</v>
      </c>
      <c r="H10643" t="s">
        <v>92</v>
      </c>
    </row>
    <row r="10644" spans="1:8" x14ac:dyDescent="0.25">
      <c r="A10644" t="s">
        <v>338</v>
      </c>
      <c r="B10644" t="s">
        <v>2024</v>
      </c>
      <c r="C10644" t="s">
        <v>88</v>
      </c>
      <c r="D10644" t="s">
        <v>8816</v>
      </c>
      <c r="E10644" t="s">
        <v>8817</v>
      </c>
      <c r="F10644" t="s">
        <v>88</v>
      </c>
      <c r="G10644" t="s">
        <v>88</v>
      </c>
      <c r="H10644" t="s">
        <v>92</v>
      </c>
    </row>
    <row r="10645" spans="1:8" x14ac:dyDescent="0.25">
      <c r="A10645" t="s">
        <v>338</v>
      </c>
      <c r="B10645" t="s">
        <v>2026</v>
      </c>
      <c r="C10645" t="s">
        <v>88</v>
      </c>
      <c r="D10645" t="s">
        <v>8816</v>
      </c>
      <c r="E10645" t="s">
        <v>1139</v>
      </c>
      <c r="F10645" t="s">
        <v>88</v>
      </c>
      <c r="G10645" t="s">
        <v>88</v>
      </c>
      <c r="H10645" t="s">
        <v>92</v>
      </c>
    </row>
    <row r="10646" spans="1:8" x14ac:dyDescent="0.25">
      <c r="A10646" t="s">
        <v>338</v>
      </c>
      <c r="B10646" t="s">
        <v>892</v>
      </c>
      <c r="C10646" t="s">
        <v>88</v>
      </c>
      <c r="D10646" t="s">
        <v>8816</v>
      </c>
      <c r="E10646" t="s">
        <v>1139</v>
      </c>
      <c r="F10646" t="s">
        <v>88</v>
      </c>
      <c r="G10646" t="s">
        <v>88</v>
      </c>
      <c r="H10646" t="s">
        <v>92</v>
      </c>
    </row>
    <row r="10647" spans="1:8" x14ac:dyDescent="0.25">
      <c r="A10647" t="s">
        <v>338</v>
      </c>
      <c r="B10647" t="s">
        <v>8818</v>
      </c>
      <c r="C10647" t="s">
        <v>88</v>
      </c>
      <c r="D10647" t="s">
        <v>8816</v>
      </c>
      <c r="E10647" t="s">
        <v>8817</v>
      </c>
      <c r="F10647" t="s">
        <v>88</v>
      </c>
      <c r="G10647" t="s">
        <v>88</v>
      </c>
      <c r="H10647" t="s">
        <v>92</v>
      </c>
    </row>
    <row r="10648" spans="1:8" x14ac:dyDescent="0.25">
      <c r="A10648" t="s">
        <v>338</v>
      </c>
      <c r="B10648" t="s">
        <v>894</v>
      </c>
      <c r="C10648" t="s">
        <v>88</v>
      </c>
      <c r="D10648" t="s">
        <v>8816</v>
      </c>
      <c r="E10648" t="s">
        <v>8817</v>
      </c>
      <c r="F10648" t="s">
        <v>88</v>
      </c>
      <c r="G10648" t="s">
        <v>88</v>
      </c>
      <c r="H10648" t="s">
        <v>92</v>
      </c>
    </row>
    <row r="10649" spans="1:8" x14ac:dyDescent="0.25">
      <c r="A10649" t="s">
        <v>338</v>
      </c>
      <c r="B10649" t="s">
        <v>890</v>
      </c>
      <c r="C10649" t="s">
        <v>88</v>
      </c>
      <c r="D10649" t="s">
        <v>8816</v>
      </c>
      <c r="E10649" t="s">
        <v>1139</v>
      </c>
      <c r="F10649" t="s">
        <v>88</v>
      </c>
      <c r="G10649" t="s">
        <v>88</v>
      </c>
      <c r="H10649" t="s">
        <v>92</v>
      </c>
    </row>
    <row r="10650" spans="1:8" x14ac:dyDescent="0.25">
      <c r="A10650" t="s">
        <v>338</v>
      </c>
      <c r="B10650" t="s">
        <v>1733</v>
      </c>
      <c r="C10650" t="s">
        <v>88</v>
      </c>
      <c r="D10650" t="s">
        <v>8816</v>
      </c>
      <c r="E10650" t="s">
        <v>8817</v>
      </c>
      <c r="F10650" t="s">
        <v>88</v>
      </c>
      <c r="G10650" t="s">
        <v>88</v>
      </c>
      <c r="H10650" t="s">
        <v>92</v>
      </c>
    </row>
    <row r="10651" spans="1:8" x14ac:dyDescent="0.25">
      <c r="A10651" t="s">
        <v>338</v>
      </c>
      <c r="B10651" t="s">
        <v>8819</v>
      </c>
      <c r="C10651" t="s">
        <v>88</v>
      </c>
      <c r="D10651" t="s">
        <v>8816</v>
      </c>
      <c r="E10651" t="s">
        <v>8789</v>
      </c>
      <c r="F10651" t="s">
        <v>88</v>
      </c>
      <c r="G10651" t="s">
        <v>88</v>
      </c>
      <c r="H10651" t="s">
        <v>92</v>
      </c>
    </row>
    <row r="10652" spans="1:8" x14ac:dyDescent="0.25">
      <c r="A10652" t="s">
        <v>338</v>
      </c>
      <c r="B10652" t="s">
        <v>1669</v>
      </c>
      <c r="C10652" t="s">
        <v>88</v>
      </c>
      <c r="D10652" t="s">
        <v>8820</v>
      </c>
      <c r="E10652" t="s">
        <v>1971</v>
      </c>
      <c r="F10652" t="s">
        <v>88</v>
      </c>
      <c r="G10652" t="s">
        <v>88</v>
      </c>
      <c r="H10652" t="s">
        <v>92</v>
      </c>
    </row>
    <row r="10653" spans="1:8" x14ac:dyDescent="0.25">
      <c r="A10653" t="s">
        <v>338</v>
      </c>
      <c r="B10653" t="s">
        <v>736</v>
      </c>
      <c r="C10653" t="s">
        <v>88</v>
      </c>
      <c r="D10653" t="s">
        <v>8785</v>
      </c>
      <c r="E10653" t="s">
        <v>4088</v>
      </c>
      <c r="F10653" t="s">
        <v>88</v>
      </c>
      <c r="G10653" t="s">
        <v>88</v>
      </c>
      <c r="H10653" t="s">
        <v>92</v>
      </c>
    </row>
    <row r="10654" spans="1:8" x14ac:dyDescent="0.25">
      <c r="A10654" t="s">
        <v>338</v>
      </c>
      <c r="B10654" t="s">
        <v>1656</v>
      </c>
      <c r="C10654" t="s">
        <v>88</v>
      </c>
      <c r="D10654" t="s">
        <v>8784</v>
      </c>
      <c r="E10654" t="s">
        <v>799</v>
      </c>
      <c r="F10654" t="s">
        <v>88</v>
      </c>
      <c r="G10654" t="s">
        <v>88</v>
      </c>
      <c r="H10654" t="s">
        <v>92</v>
      </c>
    </row>
    <row r="10655" spans="1:8" x14ac:dyDescent="0.25">
      <c r="A10655" t="s">
        <v>338</v>
      </c>
      <c r="B10655" t="s">
        <v>8821</v>
      </c>
      <c r="C10655" t="s">
        <v>88</v>
      </c>
      <c r="D10655" t="s">
        <v>8785</v>
      </c>
      <c r="E10655" t="s">
        <v>4088</v>
      </c>
      <c r="F10655" t="s">
        <v>88</v>
      </c>
      <c r="G10655" t="s">
        <v>88</v>
      </c>
      <c r="H10655" t="s">
        <v>92</v>
      </c>
    </row>
    <row r="10656" spans="1:8" x14ac:dyDescent="0.25">
      <c r="A10656" t="s">
        <v>338</v>
      </c>
      <c r="B10656" t="s">
        <v>923</v>
      </c>
      <c r="C10656" t="s">
        <v>88</v>
      </c>
      <c r="D10656" t="s">
        <v>8785</v>
      </c>
      <c r="E10656" t="s">
        <v>4088</v>
      </c>
      <c r="F10656" t="s">
        <v>88</v>
      </c>
      <c r="G10656" t="s">
        <v>88</v>
      </c>
      <c r="H10656" t="s">
        <v>92</v>
      </c>
    </row>
    <row r="10657" spans="1:8" x14ac:dyDescent="0.25">
      <c r="A10657" t="s">
        <v>338</v>
      </c>
      <c r="B10657" t="s">
        <v>1396</v>
      </c>
      <c r="C10657" t="s">
        <v>88</v>
      </c>
      <c r="D10657" t="s">
        <v>8785</v>
      </c>
      <c r="E10657" t="s">
        <v>780</v>
      </c>
      <c r="F10657" t="s">
        <v>88</v>
      </c>
      <c r="G10657" t="s">
        <v>88</v>
      </c>
      <c r="H10657" t="s">
        <v>92</v>
      </c>
    </row>
    <row r="10658" spans="1:8" x14ac:dyDescent="0.25">
      <c r="A10658" t="s">
        <v>338</v>
      </c>
      <c r="B10658" t="s">
        <v>789</v>
      </c>
      <c r="C10658" t="s">
        <v>88</v>
      </c>
      <c r="D10658" t="s">
        <v>8822</v>
      </c>
      <c r="E10658" t="s">
        <v>1594</v>
      </c>
      <c r="F10658" t="s">
        <v>88</v>
      </c>
      <c r="G10658" t="s">
        <v>88</v>
      </c>
      <c r="H10658" t="s">
        <v>92</v>
      </c>
    </row>
    <row r="10659" spans="1:8" x14ac:dyDescent="0.25">
      <c r="A10659" t="s">
        <v>338</v>
      </c>
      <c r="B10659" t="s">
        <v>701</v>
      </c>
      <c r="C10659" t="s">
        <v>88</v>
      </c>
      <c r="D10659" t="s">
        <v>88</v>
      </c>
      <c r="E10659" t="s">
        <v>4092</v>
      </c>
      <c r="F10659" t="s">
        <v>88</v>
      </c>
      <c r="G10659" t="s">
        <v>88</v>
      </c>
      <c r="H10659" t="s">
        <v>92</v>
      </c>
    </row>
    <row r="10660" spans="1:8" x14ac:dyDescent="0.25">
      <c r="A10660" t="s">
        <v>338</v>
      </c>
      <c r="B10660" t="s">
        <v>703</v>
      </c>
      <c r="C10660" t="s">
        <v>88</v>
      </c>
      <c r="D10660" t="s">
        <v>88</v>
      </c>
      <c r="E10660" t="s">
        <v>4092</v>
      </c>
      <c r="F10660" t="s">
        <v>88</v>
      </c>
      <c r="G10660" t="s">
        <v>88</v>
      </c>
      <c r="H10660" t="s">
        <v>92</v>
      </c>
    </row>
    <row r="10661" spans="1:8" x14ac:dyDescent="0.25">
      <c r="A10661" t="s">
        <v>338</v>
      </c>
      <c r="B10661" t="s">
        <v>705</v>
      </c>
      <c r="C10661" t="s">
        <v>88</v>
      </c>
      <c r="D10661" t="s">
        <v>88</v>
      </c>
      <c r="E10661" t="s">
        <v>4092</v>
      </c>
      <c r="F10661" t="s">
        <v>88</v>
      </c>
      <c r="G10661" t="s">
        <v>88</v>
      </c>
      <c r="H10661" t="s">
        <v>92</v>
      </c>
    </row>
    <row r="10662" spans="1:8" x14ac:dyDescent="0.25">
      <c r="A10662" t="s">
        <v>338</v>
      </c>
      <c r="B10662" t="s">
        <v>706</v>
      </c>
      <c r="C10662" t="s">
        <v>88</v>
      </c>
      <c r="D10662" t="s">
        <v>88</v>
      </c>
      <c r="E10662" t="s">
        <v>4092</v>
      </c>
      <c r="F10662" t="s">
        <v>88</v>
      </c>
      <c r="G10662" t="s">
        <v>88</v>
      </c>
      <c r="H10662" t="s">
        <v>92</v>
      </c>
    </row>
    <row r="10663" spans="1:8" x14ac:dyDescent="0.25">
      <c r="A10663" t="s">
        <v>338</v>
      </c>
      <c r="B10663" t="s">
        <v>707</v>
      </c>
      <c r="C10663" t="s">
        <v>88</v>
      </c>
      <c r="D10663" t="s">
        <v>88</v>
      </c>
      <c r="E10663" t="s">
        <v>4092</v>
      </c>
      <c r="F10663" t="s">
        <v>88</v>
      </c>
      <c r="G10663" t="s">
        <v>88</v>
      </c>
      <c r="H10663" t="s">
        <v>92</v>
      </c>
    </row>
    <row r="10664" spans="1:8" x14ac:dyDescent="0.25">
      <c r="A10664" t="s">
        <v>338</v>
      </c>
      <c r="B10664" t="s">
        <v>708</v>
      </c>
      <c r="C10664" t="s">
        <v>88</v>
      </c>
      <c r="D10664" t="s">
        <v>88</v>
      </c>
      <c r="E10664" t="s">
        <v>4092</v>
      </c>
      <c r="F10664" t="s">
        <v>88</v>
      </c>
      <c r="G10664" t="s">
        <v>88</v>
      </c>
      <c r="H10664" t="s">
        <v>92</v>
      </c>
    </row>
    <row r="10665" spans="1:8" x14ac:dyDescent="0.25">
      <c r="A10665" t="s">
        <v>338</v>
      </c>
      <c r="B10665" t="s">
        <v>733</v>
      </c>
      <c r="C10665" t="s">
        <v>88</v>
      </c>
      <c r="D10665" t="s">
        <v>88</v>
      </c>
      <c r="E10665" t="s">
        <v>4092</v>
      </c>
      <c r="F10665" t="s">
        <v>88</v>
      </c>
      <c r="G10665" t="s">
        <v>88</v>
      </c>
      <c r="H10665" t="s">
        <v>92</v>
      </c>
    </row>
    <row r="10666" spans="1:8" x14ac:dyDescent="0.25">
      <c r="A10666" t="s">
        <v>338</v>
      </c>
      <c r="B10666" t="s">
        <v>1685</v>
      </c>
      <c r="C10666" t="s">
        <v>88</v>
      </c>
      <c r="D10666" t="s">
        <v>88</v>
      </c>
      <c r="E10666" t="s">
        <v>2751</v>
      </c>
      <c r="F10666" t="s">
        <v>88</v>
      </c>
      <c r="G10666" t="s">
        <v>88</v>
      </c>
      <c r="H10666" t="s">
        <v>92</v>
      </c>
    </row>
    <row r="10667" spans="1:8" x14ac:dyDescent="0.25">
      <c r="A10667" t="s">
        <v>338</v>
      </c>
      <c r="B10667" t="s">
        <v>6014</v>
      </c>
      <c r="C10667" t="s">
        <v>88</v>
      </c>
      <c r="D10667" t="s">
        <v>88</v>
      </c>
      <c r="E10667" t="s">
        <v>711</v>
      </c>
      <c r="F10667" t="s">
        <v>88</v>
      </c>
      <c r="G10667" t="s">
        <v>88</v>
      </c>
      <c r="H10667" t="s">
        <v>92</v>
      </c>
    </row>
    <row r="10668" spans="1:8" x14ac:dyDescent="0.25">
      <c r="A10668" t="s">
        <v>338</v>
      </c>
      <c r="B10668" t="s">
        <v>620</v>
      </c>
      <c r="C10668" t="s">
        <v>88</v>
      </c>
      <c r="D10668" t="s">
        <v>88</v>
      </c>
      <c r="E10668" t="s">
        <v>711</v>
      </c>
      <c r="F10668" t="s">
        <v>88</v>
      </c>
      <c r="G10668" t="s">
        <v>88</v>
      </c>
      <c r="H10668" t="s">
        <v>92</v>
      </c>
    </row>
    <row r="10669" spans="1:8" x14ac:dyDescent="0.25">
      <c r="A10669" t="s">
        <v>338</v>
      </c>
      <c r="B10669" t="s">
        <v>622</v>
      </c>
      <c r="C10669" t="s">
        <v>88</v>
      </c>
      <c r="D10669" t="s">
        <v>88</v>
      </c>
      <c r="E10669" t="s">
        <v>8823</v>
      </c>
      <c r="F10669" t="s">
        <v>88</v>
      </c>
      <c r="G10669" t="s">
        <v>88</v>
      </c>
      <c r="H10669" t="s">
        <v>92</v>
      </c>
    </row>
    <row r="10670" spans="1:8" x14ac:dyDescent="0.25">
      <c r="A10670" t="s">
        <v>338</v>
      </c>
      <c r="B10670" t="s">
        <v>623</v>
      </c>
      <c r="C10670" t="s">
        <v>88</v>
      </c>
      <c r="D10670" t="s">
        <v>88</v>
      </c>
      <c r="E10670" t="s">
        <v>8823</v>
      </c>
      <c r="F10670" t="s">
        <v>88</v>
      </c>
      <c r="G10670" t="s">
        <v>88</v>
      </c>
      <c r="H10670" t="s">
        <v>92</v>
      </c>
    </row>
    <row r="10671" spans="1:8" x14ac:dyDescent="0.25">
      <c r="A10671" t="s">
        <v>338</v>
      </c>
      <c r="B10671" t="s">
        <v>714</v>
      </c>
      <c r="C10671" t="s">
        <v>88</v>
      </c>
      <c r="D10671" t="s">
        <v>88</v>
      </c>
      <c r="E10671" t="s">
        <v>1594</v>
      </c>
      <c r="F10671" t="s">
        <v>88</v>
      </c>
      <c r="G10671" t="s">
        <v>88</v>
      </c>
      <c r="H10671" t="s">
        <v>92</v>
      </c>
    </row>
    <row r="10672" spans="1:8" x14ac:dyDescent="0.25">
      <c r="A10672" t="s">
        <v>338</v>
      </c>
      <c r="B10672" t="s">
        <v>1074</v>
      </c>
      <c r="C10672" t="s">
        <v>88</v>
      </c>
      <c r="D10672" t="s">
        <v>88</v>
      </c>
      <c r="E10672" t="s">
        <v>1594</v>
      </c>
      <c r="F10672" t="s">
        <v>88</v>
      </c>
      <c r="G10672" t="s">
        <v>88</v>
      </c>
      <c r="H10672" t="s">
        <v>92</v>
      </c>
    </row>
    <row r="10673" spans="1:8" x14ac:dyDescent="0.25">
      <c r="A10673" t="s">
        <v>338</v>
      </c>
      <c r="B10673" t="s">
        <v>998</v>
      </c>
      <c r="C10673" t="s">
        <v>88</v>
      </c>
      <c r="D10673" t="s">
        <v>88</v>
      </c>
      <c r="E10673" t="s">
        <v>1594</v>
      </c>
      <c r="F10673" t="s">
        <v>88</v>
      </c>
      <c r="G10673" t="s">
        <v>88</v>
      </c>
      <c r="H10673" t="s">
        <v>92</v>
      </c>
    </row>
    <row r="10674" spans="1:8" x14ac:dyDescent="0.25">
      <c r="A10674" t="s">
        <v>338</v>
      </c>
      <c r="B10674" t="s">
        <v>1073</v>
      </c>
      <c r="C10674" t="s">
        <v>88</v>
      </c>
      <c r="D10674" t="s">
        <v>88</v>
      </c>
      <c r="E10674" t="s">
        <v>1594</v>
      </c>
      <c r="F10674" t="s">
        <v>88</v>
      </c>
      <c r="G10674" t="s">
        <v>88</v>
      </c>
      <c r="H10674" t="s">
        <v>92</v>
      </c>
    </row>
    <row r="10675" spans="1:8" x14ac:dyDescent="0.25">
      <c r="A10675" t="s">
        <v>339</v>
      </c>
      <c r="B10675" t="s">
        <v>4158</v>
      </c>
      <c r="C10675" t="s">
        <v>88</v>
      </c>
      <c r="D10675" t="s">
        <v>8824</v>
      </c>
      <c r="E10675" t="s">
        <v>658</v>
      </c>
      <c r="F10675" t="s">
        <v>88</v>
      </c>
      <c r="G10675" t="s">
        <v>88</v>
      </c>
      <c r="H10675" t="s">
        <v>92</v>
      </c>
    </row>
    <row r="10676" spans="1:8" x14ac:dyDescent="0.25">
      <c r="A10676" t="s">
        <v>339</v>
      </c>
      <c r="B10676" t="s">
        <v>7556</v>
      </c>
      <c r="C10676" t="s">
        <v>88</v>
      </c>
      <c r="D10676" t="s">
        <v>8825</v>
      </c>
      <c r="E10676" t="s">
        <v>762</v>
      </c>
      <c r="F10676" t="s">
        <v>88</v>
      </c>
      <c r="G10676" t="s">
        <v>88</v>
      </c>
      <c r="H10676" t="s">
        <v>92</v>
      </c>
    </row>
    <row r="10677" spans="1:8" x14ac:dyDescent="0.25">
      <c r="A10677" t="s">
        <v>339</v>
      </c>
      <c r="B10677" t="s">
        <v>4172</v>
      </c>
      <c r="C10677" t="s">
        <v>88</v>
      </c>
      <c r="D10677" t="s">
        <v>8826</v>
      </c>
      <c r="E10677" t="s">
        <v>692</v>
      </c>
      <c r="F10677" t="s">
        <v>88</v>
      </c>
      <c r="G10677" t="s">
        <v>88</v>
      </c>
      <c r="H10677" t="s">
        <v>92</v>
      </c>
    </row>
    <row r="10678" spans="1:8" x14ac:dyDescent="0.25">
      <c r="A10678" t="s">
        <v>339</v>
      </c>
      <c r="B10678" t="s">
        <v>7547</v>
      </c>
      <c r="C10678" t="s">
        <v>88</v>
      </c>
      <c r="D10678" t="s">
        <v>8827</v>
      </c>
      <c r="E10678" t="s">
        <v>838</v>
      </c>
      <c r="F10678" t="s">
        <v>88</v>
      </c>
      <c r="G10678" t="s">
        <v>88</v>
      </c>
      <c r="H10678" t="s">
        <v>92</v>
      </c>
    </row>
    <row r="10679" spans="1:8" x14ac:dyDescent="0.25">
      <c r="A10679" t="s">
        <v>339</v>
      </c>
      <c r="B10679" t="s">
        <v>671</v>
      </c>
      <c r="C10679" t="s">
        <v>88</v>
      </c>
      <c r="D10679" t="s">
        <v>8828</v>
      </c>
      <c r="E10679" t="s">
        <v>658</v>
      </c>
      <c r="F10679" t="s">
        <v>88</v>
      </c>
      <c r="G10679" t="s">
        <v>88</v>
      </c>
      <c r="H10679" t="s">
        <v>92</v>
      </c>
    </row>
    <row r="10680" spans="1:8" x14ac:dyDescent="0.25">
      <c r="A10680" t="s">
        <v>339</v>
      </c>
      <c r="B10680" t="s">
        <v>8829</v>
      </c>
      <c r="C10680" t="s">
        <v>88</v>
      </c>
      <c r="D10680" t="s">
        <v>8830</v>
      </c>
      <c r="E10680" t="s">
        <v>1714</v>
      </c>
      <c r="F10680" t="s">
        <v>88</v>
      </c>
      <c r="G10680" t="s">
        <v>88</v>
      </c>
      <c r="H10680" t="s">
        <v>92</v>
      </c>
    </row>
    <row r="10681" spans="1:8" x14ac:dyDescent="0.25">
      <c r="A10681" t="s">
        <v>339</v>
      </c>
      <c r="B10681" t="s">
        <v>7547</v>
      </c>
      <c r="C10681" t="s">
        <v>88</v>
      </c>
      <c r="D10681" t="s">
        <v>8827</v>
      </c>
      <c r="E10681" t="s">
        <v>838</v>
      </c>
      <c r="F10681" t="s">
        <v>88</v>
      </c>
      <c r="G10681" t="s">
        <v>88</v>
      </c>
      <c r="H10681" t="s">
        <v>92</v>
      </c>
    </row>
    <row r="10682" spans="1:8" x14ac:dyDescent="0.25">
      <c r="A10682" t="s">
        <v>339</v>
      </c>
      <c r="B10682" t="s">
        <v>8831</v>
      </c>
      <c r="C10682" t="s">
        <v>88</v>
      </c>
      <c r="D10682" t="s">
        <v>8832</v>
      </c>
      <c r="E10682" t="s">
        <v>1241</v>
      </c>
      <c r="F10682" t="s">
        <v>88</v>
      </c>
      <c r="G10682" t="s">
        <v>88</v>
      </c>
      <c r="H10682" t="s">
        <v>92</v>
      </c>
    </row>
    <row r="10683" spans="1:8" x14ac:dyDescent="0.25">
      <c r="A10683" t="s">
        <v>339</v>
      </c>
      <c r="B10683" t="s">
        <v>1842</v>
      </c>
      <c r="C10683" t="s">
        <v>88</v>
      </c>
      <c r="D10683" t="s">
        <v>8833</v>
      </c>
      <c r="E10683" t="s">
        <v>658</v>
      </c>
      <c r="F10683" t="s">
        <v>88</v>
      </c>
      <c r="G10683" t="s">
        <v>88</v>
      </c>
      <c r="H10683" t="s">
        <v>92</v>
      </c>
    </row>
    <row r="10684" spans="1:8" x14ac:dyDescent="0.25">
      <c r="A10684" t="s">
        <v>339</v>
      </c>
      <c r="B10684" t="s">
        <v>2586</v>
      </c>
      <c r="C10684" t="s">
        <v>88</v>
      </c>
      <c r="D10684" t="s">
        <v>8834</v>
      </c>
      <c r="E10684" t="s">
        <v>655</v>
      </c>
      <c r="F10684" t="s">
        <v>88</v>
      </c>
      <c r="G10684" t="s">
        <v>88</v>
      </c>
      <c r="H10684" t="s">
        <v>92</v>
      </c>
    </row>
    <row r="10685" spans="1:8" x14ac:dyDescent="0.25">
      <c r="A10685" t="s">
        <v>339</v>
      </c>
      <c r="B10685" t="s">
        <v>2598</v>
      </c>
      <c r="C10685" t="s">
        <v>88</v>
      </c>
      <c r="D10685" t="s">
        <v>8835</v>
      </c>
      <c r="E10685" t="s">
        <v>748</v>
      </c>
      <c r="F10685" t="s">
        <v>88</v>
      </c>
      <c r="G10685" t="s">
        <v>88</v>
      </c>
      <c r="H10685" t="s">
        <v>92</v>
      </c>
    </row>
    <row r="10686" spans="1:8" x14ac:dyDescent="0.25">
      <c r="A10686" t="s">
        <v>339</v>
      </c>
      <c r="B10686" t="s">
        <v>4194</v>
      </c>
      <c r="C10686" t="s">
        <v>88</v>
      </c>
      <c r="D10686" t="s">
        <v>8836</v>
      </c>
      <c r="E10686" t="s">
        <v>717</v>
      </c>
      <c r="F10686" t="s">
        <v>88</v>
      </c>
      <c r="G10686" t="s">
        <v>88</v>
      </c>
      <c r="H10686" t="s">
        <v>92</v>
      </c>
    </row>
    <row r="10687" spans="1:8" x14ac:dyDescent="0.25">
      <c r="A10687" t="s">
        <v>339</v>
      </c>
      <c r="B10687" t="s">
        <v>8683</v>
      </c>
      <c r="C10687" t="s">
        <v>88</v>
      </c>
      <c r="D10687" t="s">
        <v>8837</v>
      </c>
      <c r="E10687" t="s">
        <v>883</v>
      </c>
      <c r="F10687" t="s">
        <v>88</v>
      </c>
      <c r="G10687" t="s">
        <v>88</v>
      </c>
      <c r="H10687" t="s">
        <v>92</v>
      </c>
    </row>
    <row r="10688" spans="1:8" x14ac:dyDescent="0.25">
      <c r="A10688" t="s">
        <v>339</v>
      </c>
      <c r="B10688" t="s">
        <v>4158</v>
      </c>
      <c r="C10688" t="s">
        <v>88</v>
      </c>
      <c r="D10688" t="s">
        <v>8824</v>
      </c>
      <c r="E10688" t="s">
        <v>658</v>
      </c>
      <c r="F10688" t="s">
        <v>88</v>
      </c>
      <c r="G10688" t="s">
        <v>88</v>
      </c>
      <c r="H10688" t="s">
        <v>92</v>
      </c>
    </row>
    <row r="10689" spans="1:8" x14ac:dyDescent="0.25">
      <c r="A10689" t="s">
        <v>339</v>
      </c>
      <c r="B10689" t="s">
        <v>7223</v>
      </c>
      <c r="C10689" t="s">
        <v>88</v>
      </c>
      <c r="D10689" t="s">
        <v>8838</v>
      </c>
      <c r="E10689" t="s">
        <v>979</v>
      </c>
      <c r="F10689" t="s">
        <v>88</v>
      </c>
      <c r="G10689" t="s">
        <v>88</v>
      </c>
      <c r="H10689" t="s">
        <v>92</v>
      </c>
    </row>
    <row r="10690" spans="1:8" x14ac:dyDescent="0.25">
      <c r="A10690" t="s">
        <v>339</v>
      </c>
      <c r="B10690" t="s">
        <v>8839</v>
      </c>
      <c r="C10690" t="s">
        <v>88</v>
      </c>
      <c r="D10690" t="s">
        <v>8840</v>
      </c>
      <c r="E10690" t="s">
        <v>883</v>
      </c>
      <c r="F10690" t="s">
        <v>88</v>
      </c>
      <c r="G10690" t="s">
        <v>88</v>
      </c>
      <c r="H10690" t="s">
        <v>92</v>
      </c>
    </row>
    <row r="10691" spans="1:8" x14ac:dyDescent="0.25">
      <c r="A10691" t="s">
        <v>339</v>
      </c>
      <c r="B10691" t="s">
        <v>4192</v>
      </c>
      <c r="C10691" t="s">
        <v>88</v>
      </c>
      <c r="D10691" t="s">
        <v>8841</v>
      </c>
      <c r="E10691" t="s">
        <v>762</v>
      </c>
      <c r="F10691" t="s">
        <v>88</v>
      </c>
      <c r="G10691" t="s">
        <v>88</v>
      </c>
      <c r="H10691" t="s">
        <v>92</v>
      </c>
    </row>
    <row r="10692" spans="1:8" x14ac:dyDescent="0.25">
      <c r="A10692" t="s">
        <v>339</v>
      </c>
      <c r="B10692" t="s">
        <v>4190</v>
      </c>
      <c r="C10692" t="s">
        <v>88</v>
      </c>
      <c r="D10692" t="s">
        <v>8842</v>
      </c>
      <c r="E10692" t="s">
        <v>762</v>
      </c>
      <c r="F10692" t="s">
        <v>88</v>
      </c>
      <c r="G10692" t="s">
        <v>88</v>
      </c>
      <c r="H10692" t="s">
        <v>92</v>
      </c>
    </row>
    <row r="10693" spans="1:8" x14ac:dyDescent="0.25">
      <c r="A10693" t="s">
        <v>339</v>
      </c>
      <c r="B10693" t="s">
        <v>7441</v>
      </c>
      <c r="C10693" t="s">
        <v>88</v>
      </c>
      <c r="D10693" t="s">
        <v>8843</v>
      </c>
      <c r="E10693" t="s">
        <v>883</v>
      </c>
      <c r="F10693" t="s">
        <v>88</v>
      </c>
      <c r="G10693" t="s">
        <v>88</v>
      </c>
      <c r="H10693" t="s">
        <v>92</v>
      </c>
    </row>
    <row r="10694" spans="1:8" x14ac:dyDescent="0.25">
      <c r="A10694" t="s">
        <v>339</v>
      </c>
      <c r="B10694" t="s">
        <v>7556</v>
      </c>
      <c r="C10694" t="s">
        <v>88</v>
      </c>
      <c r="D10694" t="s">
        <v>8825</v>
      </c>
      <c r="E10694" t="s">
        <v>762</v>
      </c>
      <c r="F10694" t="s">
        <v>88</v>
      </c>
      <c r="G10694" t="s">
        <v>88</v>
      </c>
      <c r="H10694" t="s">
        <v>92</v>
      </c>
    </row>
    <row r="10695" spans="1:8" x14ac:dyDescent="0.25">
      <c r="A10695" t="s">
        <v>339</v>
      </c>
      <c r="B10695" t="s">
        <v>4188</v>
      </c>
      <c r="C10695" t="s">
        <v>88</v>
      </c>
      <c r="D10695" t="s">
        <v>8844</v>
      </c>
      <c r="E10695" t="s">
        <v>673</v>
      </c>
      <c r="F10695" t="s">
        <v>88</v>
      </c>
      <c r="G10695" t="s">
        <v>88</v>
      </c>
      <c r="H10695" t="s">
        <v>92</v>
      </c>
    </row>
    <row r="10696" spans="1:8" x14ac:dyDescent="0.25">
      <c r="A10696" t="s">
        <v>339</v>
      </c>
      <c r="B10696" t="s">
        <v>671</v>
      </c>
      <c r="C10696" t="s">
        <v>88</v>
      </c>
      <c r="D10696" t="s">
        <v>8828</v>
      </c>
      <c r="E10696" t="s">
        <v>658</v>
      </c>
      <c r="F10696" t="s">
        <v>88</v>
      </c>
      <c r="G10696" t="s">
        <v>88</v>
      </c>
      <c r="H10696" t="s">
        <v>92</v>
      </c>
    </row>
    <row r="10697" spans="1:8" x14ac:dyDescent="0.25">
      <c r="A10697" t="s">
        <v>339</v>
      </c>
      <c r="B10697" t="s">
        <v>8845</v>
      </c>
      <c r="C10697" t="s">
        <v>88</v>
      </c>
      <c r="D10697" t="s">
        <v>8846</v>
      </c>
      <c r="E10697" t="s">
        <v>700</v>
      </c>
      <c r="F10697" t="s">
        <v>88</v>
      </c>
      <c r="G10697" t="s">
        <v>88</v>
      </c>
      <c r="H10697" t="s">
        <v>92</v>
      </c>
    </row>
    <row r="10698" spans="1:8" x14ac:dyDescent="0.25">
      <c r="A10698" t="s">
        <v>339</v>
      </c>
      <c r="B10698" t="s">
        <v>8847</v>
      </c>
      <c r="C10698" t="s">
        <v>88</v>
      </c>
      <c r="D10698" t="s">
        <v>8848</v>
      </c>
      <c r="E10698" t="s">
        <v>2833</v>
      </c>
      <c r="F10698" t="s">
        <v>88</v>
      </c>
      <c r="G10698" t="s">
        <v>88</v>
      </c>
      <c r="H10698" t="s">
        <v>92</v>
      </c>
    </row>
    <row r="10699" spans="1:8" x14ac:dyDescent="0.25">
      <c r="A10699" t="s">
        <v>339</v>
      </c>
      <c r="B10699" t="s">
        <v>8849</v>
      </c>
      <c r="C10699" t="s">
        <v>88</v>
      </c>
      <c r="D10699" t="s">
        <v>8850</v>
      </c>
      <c r="E10699" t="s">
        <v>1171</v>
      </c>
      <c r="F10699" t="s">
        <v>88</v>
      </c>
      <c r="G10699" t="s">
        <v>88</v>
      </c>
      <c r="H10699" t="s">
        <v>92</v>
      </c>
    </row>
    <row r="10700" spans="1:8" x14ac:dyDescent="0.25">
      <c r="A10700" t="s">
        <v>339</v>
      </c>
      <c r="B10700" t="s">
        <v>8851</v>
      </c>
      <c r="C10700" t="s">
        <v>88</v>
      </c>
      <c r="D10700" t="s">
        <v>8840</v>
      </c>
      <c r="E10700" t="s">
        <v>883</v>
      </c>
      <c r="F10700" t="s">
        <v>88</v>
      </c>
      <c r="G10700" t="s">
        <v>88</v>
      </c>
      <c r="H10700" t="s">
        <v>92</v>
      </c>
    </row>
    <row r="10701" spans="1:8" x14ac:dyDescent="0.25">
      <c r="A10701" t="s">
        <v>339</v>
      </c>
      <c r="B10701" t="s">
        <v>8852</v>
      </c>
      <c r="C10701" t="s">
        <v>88</v>
      </c>
      <c r="D10701" t="s">
        <v>8853</v>
      </c>
      <c r="E10701" t="s">
        <v>655</v>
      </c>
      <c r="F10701" t="s">
        <v>88</v>
      </c>
      <c r="G10701" t="s">
        <v>88</v>
      </c>
      <c r="H10701" t="s">
        <v>92</v>
      </c>
    </row>
    <row r="10702" spans="1:8" x14ac:dyDescent="0.25">
      <c r="A10702" t="s">
        <v>339</v>
      </c>
      <c r="B10702" t="s">
        <v>8854</v>
      </c>
      <c r="C10702" t="s">
        <v>88</v>
      </c>
      <c r="D10702" t="s">
        <v>8855</v>
      </c>
      <c r="E10702" t="s">
        <v>762</v>
      </c>
      <c r="F10702" t="s">
        <v>88</v>
      </c>
      <c r="G10702" t="s">
        <v>88</v>
      </c>
      <c r="H10702" t="s">
        <v>92</v>
      </c>
    </row>
    <row r="10703" spans="1:8" x14ac:dyDescent="0.25">
      <c r="A10703" t="s">
        <v>339</v>
      </c>
      <c r="B10703" t="s">
        <v>8856</v>
      </c>
      <c r="C10703" t="s">
        <v>88</v>
      </c>
      <c r="D10703" t="s">
        <v>8857</v>
      </c>
      <c r="E10703" t="s">
        <v>841</v>
      </c>
      <c r="F10703" t="s">
        <v>88</v>
      </c>
      <c r="G10703" t="s">
        <v>88</v>
      </c>
      <c r="H10703" t="s">
        <v>92</v>
      </c>
    </row>
    <row r="10704" spans="1:8" x14ac:dyDescent="0.25">
      <c r="A10704" t="s">
        <v>339</v>
      </c>
      <c r="B10704" t="s">
        <v>8858</v>
      </c>
      <c r="C10704" t="s">
        <v>88</v>
      </c>
      <c r="D10704" t="s">
        <v>8859</v>
      </c>
      <c r="E10704" t="s">
        <v>1006</v>
      </c>
      <c r="F10704" t="s">
        <v>88</v>
      </c>
      <c r="G10704" t="s">
        <v>88</v>
      </c>
      <c r="H10704" t="s">
        <v>92</v>
      </c>
    </row>
    <row r="10705" spans="1:8" x14ac:dyDescent="0.25">
      <c r="A10705" t="s">
        <v>339</v>
      </c>
      <c r="B10705" t="s">
        <v>4168</v>
      </c>
      <c r="C10705" t="s">
        <v>88</v>
      </c>
      <c r="D10705" t="s">
        <v>8860</v>
      </c>
      <c r="E10705" t="s">
        <v>762</v>
      </c>
      <c r="F10705" t="s">
        <v>88</v>
      </c>
      <c r="G10705" t="s">
        <v>88</v>
      </c>
      <c r="H10705" t="s">
        <v>92</v>
      </c>
    </row>
    <row r="10706" spans="1:8" x14ac:dyDescent="0.25">
      <c r="A10706" t="s">
        <v>339</v>
      </c>
      <c r="B10706" t="s">
        <v>8861</v>
      </c>
      <c r="C10706" t="s">
        <v>88</v>
      </c>
      <c r="D10706" t="s">
        <v>8862</v>
      </c>
      <c r="E10706" t="s">
        <v>844</v>
      </c>
      <c r="F10706" t="s">
        <v>88</v>
      </c>
      <c r="G10706" t="s">
        <v>88</v>
      </c>
      <c r="H10706" t="s">
        <v>92</v>
      </c>
    </row>
    <row r="10707" spans="1:8" x14ac:dyDescent="0.25">
      <c r="A10707" t="s">
        <v>339</v>
      </c>
      <c r="B10707" t="s">
        <v>4172</v>
      </c>
      <c r="C10707" t="s">
        <v>88</v>
      </c>
      <c r="D10707" t="s">
        <v>8826</v>
      </c>
      <c r="E10707" t="s">
        <v>692</v>
      </c>
      <c r="F10707" t="s">
        <v>88</v>
      </c>
      <c r="G10707" t="s">
        <v>88</v>
      </c>
      <c r="H10707" t="s">
        <v>92</v>
      </c>
    </row>
    <row r="10708" spans="1:8" x14ac:dyDescent="0.25">
      <c r="A10708" t="s">
        <v>339</v>
      </c>
      <c r="B10708" t="s">
        <v>8863</v>
      </c>
      <c r="C10708" t="s">
        <v>88</v>
      </c>
      <c r="D10708" t="s">
        <v>8864</v>
      </c>
      <c r="E10708" t="s">
        <v>841</v>
      </c>
      <c r="F10708" t="s">
        <v>88</v>
      </c>
      <c r="G10708" t="s">
        <v>88</v>
      </c>
      <c r="H10708" t="s">
        <v>92</v>
      </c>
    </row>
    <row r="10709" spans="1:8" x14ac:dyDescent="0.25">
      <c r="A10709" t="s">
        <v>339</v>
      </c>
      <c r="B10709" t="s">
        <v>4174</v>
      </c>
      <c r="C10709" t="s">
        <v>88</v>
      </c>
      <c r="D10709" t="s">
        <v>8865</v>
      </c>
      <c r="E10709" t="s">
        <v>700</v>
      </c>
      <c r="F10709" t="s">
        <v>88</v>
      </c>
      <c r="G10709" t="s">
        <v>88</v>
      </c>
      <c r="H10709" t="s">
        <v>92</v>
      </c>
    </row>
    <row r="10710" spans="1:8" x14ac:dyDescent="0.25">
      <c r="A10710" t="s">
        <v>339</v>
      </c>
      <c r="B10710" t="s">
        <v>630</v>
      </c>
      <c r="C10710" t="s">
        <v>88</v>
      </c>
      <c r="D10710" t="s">
        <v>4176</v>
      </c>
      <c r="E10710" t="s">
        <v>655</v>
      </c>
      <c r="F10710" t="s">
        <v>88</v>
      </c>
      <c r="G10710" t="s">
        <v>88</v>
      </c>
      <c r="H10710" t="s">
        <v>92</v>
      </c>
    </row>
    <row r="10711" spans="1:8" x14ac:dyDescent="0.25">
      <c r="A10711" t="s">
        <v>339</v>
      </c>
      <c r="B10711" t="s">
        <v>8692</v>
      </c>
      <c r="C10711" t="s">
        <v>88</v>
      </c>
      <c r="D10711" t="s">
        <v>8866</v>
      </c>
      <c r="E10711" t="s">
        <v>893</v>
      </c>
      <c r="F10711" t="s">
        <v>88</v>
      </c>
      <c r="G10711" t="s">
        <v>88</v>
      </c>
      <c r="H10711" t="s">
        <v>92</v>
      </c>
    </row>
    <row r="10712" spans="1:8" x14ac:dyDescent="0.25">
      <c r="A10712" t="s">
        <v>339</v>
      </c>
      <c r="B10712" t="s">
        <v>8867</v>
      </c>
      <c r="C10712" t="s">
        <v>88</v>
      </c>
      <c r="D10712" t="s">
        <v>8868</v>
      </c>
      <c r="E10712" t="s">
        <v>883</v>
      </c>
      <c r="F10712" t="s">
        <v>88</v>
      </c>
      <c r="G10712" t="s">
        <v>88</v>
      </c>
      <c r="H10712" t="s">
        <v>92</v>
      </c>
    </row>
    <row r="10713" spans="1:8" x14ac:dyDescent="0.25">
      <c r="A10713" t="s">
        <v>339</v>
      </c>
      <c r="B10713" t="s">
        <v>4179</v>
      </c>
      <c r="C10713" t="s">
        <v>88</v>
      </c>
      <c r="D10713" t="s">
        <v>8869</v>
      </c>
      <c r="E10713" t="s">
        <v>893</v>
      </c>
      <c r="F10713" t="s">
        <v>88</v>
      </c>
      <c r="G10713" t="s">
        <v>88</v>
      </c>
      <c r="H10713" t="s">
        <v>92</v>
      </c>
    </row>
    <row r="10714" spans="1:8" x14ac:dyDescent="0.25">
      <c r="A10714" t="s">
        <v>339</v>
      </c>
      <c r="B10714" t="s">
        <v>8870</v>
      </c>
      <c r="C10714" t="s">
        <v>88</v>
      </c>
      <c r="D10714" t="s">
        <v>8871</v>
      </c>
      <c r="E10714" t="s">
        <v>3598</v>
      </c>
      <c r="F10714" t="s">
        <v>88</v>
      </c>
      <c r="G10714" t="s">
        <v>88</v>
      </c>
      <c r="H10714" t="s">
        <v>92</v>
      </c>
    </row>
    <row r="10715" spans="1:8" x14ac:dyDescent="0.25">
      <c r="A10715" t="s">
        <v>339</v>
      </c>
      <c r="B10715" t="s">
        <v>8872</v>
      </c>
      <c r="C10715" t="s">
        <v>88</v>
      </c>
      <c r="D10715" t="s">
        <v>8873</v>
      </c>
      <c r="E10715" t="s">
        <v>799</v>
      </c>
      <c r="F10715" t="s">
        <v>88</v>
      </c>
      <c r="G10715" t="s">
        <v>88</v>
      </c>
      <c r="H10715" t="s">
        <v>92</v>
      </c>
    </row>
    <row r="10716" spans="1:8" x14ac:dyDescent="0.25">
      <c r="A10716" t="s">
        <v>339</v>
      </c>
      <c r="B10716" t="s">
        <v>4203</v>
      </c>
      <c r="C10716" t="s">
        <v>88</v>
      </c>
      <c r="D10716" t="s">
        <v>8874</v>
      </c>
      <c r="E10716" t="s">
        <v>663</v>
      </c>
      <c r="F10716" t="s">
        <v>88</v>
      </c>
      <c r="G10716" t="s">
        <v>88</v>
      </c>
      <c r="H10716" t="s">
        <v>92</v>
      </c>
    </row>
    <row r="10717" spans="1:8" x14ac:dyDescent="0.25">
      <c r="A10717" t="s">
        <v>339</v>
      </c>
      <c r="B10717" t="s">
        <v>4231</v>
      </c>
      <c r="C10717" t="s">
        <v>88</v>
      </c>
      <c r="D10717" t="s">
        <v>4232</v>
      </c>
      <c r="E10717" t="s">
        <v>663</v>
      </c>
      <c r="F10717" t="s">
        <v>88</v>
      </c>
      <c r="G10717" t="s">
        <v>88</v>
      </c>
      <c r="H10717" t="s">
        <v>92</v>
      </c>
    </row>
    <row r="10718" spans="1:8" x14ac:dyDescent="0.25">
      <c r="A10718" t="s">
        <v>339</v>
      </c>
      <c r="B10718" t="s">
        <v>4223</v>
      </c>
      <c r="C10718" t="s">
        <v>88</v>
      </c>
      <c r="D10718" t="s">
        <v>4224</v>
      </c>
      <c r="E10718" t="s">
        <v>663</v>
      </c>
      <c r="F10718" t="s">
        <v>88</v>
      </c>
      <c r="G10718" t="s">
        <v>88</v>
      </c>
      <c r="H10718" t="s">
        <v>92</v>
      </c>
    </row>
    <row r="10719" spans="1:8" x14ac:dyDescent="0.25">
      <c r="A10719" t="s">
        <v>339</v>
      </c>
      <c r="B10719" t="s">
        <v>4205</v>
      </c>
      <c r="C10719" t="s">
        <v>88</v>
      </c>
      <c r="D10719" t="s">
        <v>4206</v>
      </c>
      <c r="E10719" t="s">
        <v>663</v>
      </c>
      <c r="F10719" t="s">
        <v>88</v>
      </c>
      <c r="G10719" t="s">
        <v>88</v>
      </c>
      <c r="H10719" t="s">
        <v>92</v>
      </c>
    </row>
    <row r="10720" spans="1:8" x14ac:dyDescent="0.25">
      <c r="A10720" t="s">
        <v>339</v>
      </c>
      <c r="B10720" t="s">
        <v>8875</v>
      </c>
      <c r="C10720" t="s">
        <v>88</v>
      </c>
      <c r="D10720" t="s">
        <v>8876</v>
      </c>
      <c r="E10720" t="s">
        <v>663</v>
      </c>
      <c r="F10720" t="s">
        <v>88</v>
      </c>
      <c r="G10720" t="s">
        <v>88</v>
      </c>
      <c r="H10720" t="s">
        <v>92</v>
      </c>
    </row>
    <row r="10721" spans="1:8" x14ac:dyDescent="0.25">
      <c r="A10721" t="s">
        <v>339</v>
      </c>
      <c r="B10721" t="s">
        <v>8877</v>
      </c>
      <c r="C10721" t="s">
        <v>88</v>
      </c>
      <c r="D10721" t="s">
        <v>8878</v>
      </c>
      <c r="E10721" t="s">
        <v>663</v>
      </c>
      <c r="F10721" t="s">
        <v>88</v>
      </c>
      <c r="G10721" t="s">
        <v>88</v>
      </c>
      <c r="H10721" t="s">
        <v>92</v>
      </c>
    </row>
    <row r="10722" spans="1:8" x14ac:dyDescent="0.25">
      <c r="A10722" t="s">
        <v>339</v>
      </c>
      <c r="B10722" t="s">
        <v>4201</v>
      </c>
      <c r="C10722" t="s">
        <v>88</v>
      </c>
      <c r="D10722" t="s">
        <v>4202</v>
      </c>
      <c r="E10722" t="s">
        <v>679</v>
      </c>
      <c r="F10722" t="s">
        <v>88</v>
      </c>
      <c r="G10722" t="s">
        <v>88</v>
      </c>
      <c r="H10722" t="s">
        <v>92</v>
      </c>
    </row>
    <row r="10723" spans="1:8" x14ac:dyDescent="0.25">
      <c r="A10723" t="s">
        <v>339</v>
      </c>
      <c r="B10723" t="s">
        <v>8879</v>
      </c>
      <c r="C10723" t="s">
        <v>88</v>
      </c>
      <c r="D10723" t="s">
        <v>8880</v>
      </c>
      <c r="E10723" t="s">
        <v>883</v>
      </c>
      <c r="F10723" t="s">
        <v>88</v>
      </c>
      <c r="G10723" t="s">
        <v>88</v>
      </c>
      <c r="H10723" t="s">
        <v>92</v>
      </c>
    </row>
    <row r="10724" spans="1:8" x14ac:dyDescent="0.25">
      <c r="A10724" t="s">
        <v>339</v>
      </c>
      <c r="B10724" t="s">
        <v>7569</v>
      </c>
      <c r="C10724" t="s">
        <v>88</v>
      </c>
      <c r="D10724" t="s">
        <v>8881</v>
      </c>
      <c r="E10724" t="s">
        <v>663</v>
      </c>
      <c r="F10724" t="s">
        <v>88</v>
      </c>
      <c r="G10724" t="s">
        <v>88</v>
      </c>
      <c r="H10724" t="s">
        <v>92</v>
      </c>
    </row>
    <row r="10725" spans="1:8" x14ac:dyDescent="0.25">
      <c r="A10725" t="s">
        <v>339</v>
      </c>
      <c r="B10725" t="s">
        <v>4225</v>
      </c>
      <c r="C10725" t="s">
        <v>88</v>
      </c>
      <c r="D10725" t="s">
        <v>8882</v>
      </c>
      <c r="E10725" t="s">
        <v>679</v>
      </c>
      <c r="F10725" t="s">
        <v>88</v>
      </c>
      <c r="G10725" t="s">
        <v>88</v>
      </c>
      <c r="H10725" t="s">
        <v>92</v>
      </c>
    </row>
    <row r="10726" spans="1:8" x14ac:dyDescent="0.25">
      <c r="A10726" t="s">
        <v>339</v>
      </c>
      <c r="B10726" t="s">
        <v>4213</v>
      </c>
      <c r="C10726" t="s">
        <v>88</v>
      </c>
      <c r="D10726" t="s">
        <v>4214</v>
      </c>
      <c r="E10726" t="s">
        <v>658</v>
      </c>
      <c r="F10726" t="s">
        <v>88</v>
      </c>
      <c r="G10726" t="s">
        <v>88</v>
      </c>
      <c r="H10726" t="s">
        <v>92</v>
      </c>
    </row>
    <row r="10727" spans="1:8" x14ac:dyDescent="0.25">
      <c r="A10727" t="s">
        <v>339</v>
      </c>
      <c r="B10727" t="s">
        <v>7258</v>
      </c>
      <c r="C10727" t="s">
        <v>88</v>
      </c>
      <c r="D10727" t="s">
        <v>8883</v>
      </c>
      <c r="E10727" t="s">
        <v>663</v>
      </c>
      <c r="F10727" t="s">
        <v>88</v>
      </c>
      <c r="G10727" t="s">
        <v>88</v>
      </c>
      <c r="H10727" t="s">
        <v>92</v>
      </c>
    </row>
    <row r="10728" spans="1:8" x14ac:dyDescent="0.25">
      <c r="A10728" t="s">
        <v>339</v>
      </c>
      <c r="B10728" t="s">
        <v>4233</v>
      </c>
      <c r="C10728" t="s">
        <v>88</v>
      </c>
      <c r="D10728" t="s">
        <v>4234</v>
      </c>
      <c r="E10728" t="s">
        <v>663</v>
      </c>
      <c r="F10728" t="s">
        <v>88</v>
      </c>
      <c r="G10728" t="s">
        <v>88</v>
      </c>
      <c r="H10728" t="s">
        <v>92</v>
      </c>
    </row>
    <row r="10729" spans="1:8" x14ac:dyDescent="0.25">
      <c r="A10729" t="s">
        <v>339</v>
      </c>
      <c r="B10729" t="s">
        <v>4211</v>
      </c>
      <c r="C10729" t="s">
        <v>88</v>
      </c>
      <c r="D10729" t="s">
        <v>4212</v>
      </c>
      <c r="E10729" t="s">
        <v>663</v>
      </c>
      <c r="F10729" t="s">
        <v>88</v>
      </c>
      <c r="G10729" t="s">
        <v>88</v>
      </c>
      <c r="H10729" t="s">
        <v>92</v>
      </c>
    </row>
    <row r="10730" spans="1:8" x14ac:dyDescent="0.25">
      <c r="A10730" t="s">
        <v>339</v>
      </c>
      <c r="B10730" t="s">
        <v>4217</v>
      </c>
      <c r="C10730" t="s">
        <v>88</v>
      </c>
      <c r="D10730" t="s">
        <v>8884</v>
      </c>
      <c r="E10730" t="s">
        <v>883</v>
      </c>
      <c r="F10730" t="s">
        <v>88</v>
      </c>
      <c r="G10730" t="s">
        <v>88</v>
      </c>
      <c r="H10730" t="s">
        <v>92</v>
      </c>
    </row>
    <row r="10731" spans="1:8" x14ac:dyDescent="0.25">
      <c r="A10731" t="s">
        <v>339</v>
      </c>
      <c r="B10731" t="s">
        <v>4207</v>
      </c>
      <c r="C10731" t="s">
        <v>88</v>
      </c>
      <c r="D10731" t="s">
        <v>4208</v>
      </c>
      <c r="E10731" t="s">
        <v>663</v>
      </c>
      <c r="F10731" t="s">
        <v>88</v>
      </c>
      <c r="G10731" t="s">
        <v>88</v>
      </c>
      <c r="H10731" t="s">
        <v>92</v>
      </c>
    </row>
    <row r="10732" spans="1:8" x14ac:dyDescent="0.25">
      <c r="A10732" t="s">
        <v>339</v>
      </c>
      <c r="B10732" t="s">
        <v>4219</v>
      </c>
      <c r="C10732" t="s">
        <v>88</v>
      </c>
      <c r="D10732" t="s">
        <v>4220</v>
      </c>
      <c r="E10732" t="s">
        <v>883</v>
      </c>
      <c r="F10732" t="s">
        <v>88</v>
      </c>
      <c r="G10732" t="s">
        <v>88</v>
      </c>
      <c r="H10732" t="s">
        <v>92</v>
      </c>
    </row>
    <row r="10733" spans="1:8" x14ac:dyDescent="0.25">
      <c r="A10733" t="s">
        <v>339</v>
      </c>
      <c r="B10733" t="s">
        <v>4227</v>
      </c>
      <c r="C10733" t="s">
        <v>88</v>
      </c>
      <c r="D10733" t="s">
        <v>4228</v>
      </c>
      <c r="E10733" t="s">
        <v>673</v>
      </c>
      <c r="F10733" t="s">
        <v>88</v>
      </c>
      <c r="G10733" t="s">
        <v>88</v>
      </c>
      <c r="H10733" t="s">
        <v>92</v>
      </c>
    </row>
    <row r="10734" spans="1:8" x14ac:dyDescent="0.25">
      <c r="A10734" t="s">
        <v>339</v>
      </c>
      <c r="B10734" t="s">
        <v>8885</v>
      </c>
      <c r="C10734" t="s">
        <v>88</v>
      </c>
      <c r="D10734" t="s">
        <v>8886</v>
      </c>
      <c r="E10734" t="s">
        <v>658</v>
      </c>
      <c r="F10734" t="s">
        <v>88</v>
      </c>
      <c r="G10734" t="s">
        <v>88</v>
      </c>
      <c r="H10734" t="s">
        <v>92</v>
      </c>
    </row>
    <row r="10735" spans="1:8" x14ac:dyDescent="0.25">
      <c r="A10735" t="s">
        <v>339</v>
      </c>
      <c r="B10735" t="s">
        <v>4209</v>
      </c>
      <c r="C10735" t="s">
        <v>88</v>
      </c>
      <c r="D10735" t="s">
        <v>4210</v>
      </c>
      <c r="E10735" t="s">
        <v>663</v>
      </c>
      <c r="F10735" t="s">
        <v>88</v>
      </c>
      <c r="G10735" t="s">
        <v>88</v>
      </c>
      <c r="H10735" t="s">
        <v>92</v>
      </c>
    </row>
    <row r="10736" spans="1:8" x14ac:dyDescent="0.25">
      <c r="A10736" t="s">
        <v>339</v>
      </c>
      <c r="B10736" t="s">
        <v>4245</v>
      </c>
      <c r="C10736" t="s">
        <v>88</v>
      </c>
      <c r="D10736" t="s">
        <v>4206</v>
      </c>
      <c r="E10736" t="s">
        <v>655</v>
      </c>
      <c r="F10736" t="s">
        <v>88</v>
      </c>
      <c r="G10736" t="s">
        <v>88</v>
      </c>
      <c r="H10736" t="s">
        <v>92</v>
      </c>
    </row>
    <row r="10737" spans="1:8" x14ac:dyDescent="0.25">
      <c r="A10737" t="s">
        <v>339</v>
      </c>
      <c r="B10737" t="s">
        <v>8887</v>
      </c>
      <c r="C10737" t="s">
        <v>88</v>
      </c>
      <c r="D10737" t="s">
        <v>8878</v>
      </c>
      <c r="E10737" t="s">
        <v>655</v>
      </c>
      <c r="F10737" t="s">
        <v>88</v>
      </c>
      <c r="G10737" t="s">
        <v>88</v>
      </c>
      <c r="H10737" t="s">
        <v>92</v>
      </c>
    </row>
    <row r="10738" spans="1:8" x14ac:dyDescent="0.25">
      <c r="A10738" t="s">
        <v>339</v>
      </c>
      <c r="B10738" t="s">
        <v>4235</v>
      </c>
      <c r="C10738" t="s">
        <v>88</v>
      </c>
      <c r="D10738" t="s">
        <v>4204</v>
      </c>
      <c r="E10738" t="s">
        <v>655</v>
      </c>
      <c r="F10738" t="s">
        <v>88</v>
      </c>
      <c r="G10738" t="s">
        <v>88</v>
      </c>
      <c r="H10738" t="s">
        <v>92</v>
      </c>
    </row>
    <row r="10739" spans="1:8" x14ac:dyDescent="0.25">
      <c r="A10739" t="s">
        <v>339</v>
      </c>
      <c r="B10739" t="s">
        <v>4247</v>
      </c>
      <c r="C10739" t="s">
        <v>88</v>
      </c>
      <c r="D10739" t="s">
        <v>4224</v>
      </c>
      <c r="E10739" t="s">
        <v>655</v>
      </c>
      <c r="F10739" t="s">
        <v>88</v>
      </c>
      <c r="G10739" t="s">
        <v>88</v>
      </c>
      <c r="H10739" t="s">
        <v>92</v>
      </c>
    </row>
    <row r="10740" spans="1:8" x14ac:dyDescent="0.25">
      <c r="A10740" t="s">
        <v>339</v>
      </c>
      <c r="B10740" t="s">
        <v>4242</v>
      </c>
      <c r="C10740" t="s">
        <v>88</v>
      </c>
      <c r="D10740" t="s">
        <v>4232</v>
      </c>
      <c r="E10740" t="s">
        <v>655</v>
      </c>
      <c r="F10740" t="s">
        <v>88</v>
      </c>
      <c r="G10740" t="s">
        <v>88</v>
      </c>
      <c r="H10740" t="s">
        <v>92</v>
      </c>
    </row>
    <row r="10741" spans="1:8" x14ac:dyDescent="0.25">
      <c r="A10741" t="s">
        <v>339</v>
      </c>
      <c r="B10741" t="s">
        <v>8888</v>
      </c>
      <c r="C10741" t="s">
        <v>88</v>
      </c>
      <c r="D10741" t="s">
        <v>8876</v>
      </c>
      <c r="E10741" t="s">
        <v>655</v>
      </c>
      <c r="F10741" t="s">
        <v>88</v>
      </c>
      <c r="G10741" t="s">
        <v>88</v>
      </c>
      <c r="H10741" t="s">
        <v>92</v>
      </c>
    </row>
    <row r="10742" spans="1:8" x14ac:dyDescent="0.25">
      <c r="A10742" t="s">
        <v>339</v>
      </c>
      <c r="B10742" t="s">
        <v>4238</v>
      </c>
      <c r="C10742" t="s">
        <v>88</v>
      </c>
      <c r="D10742" t="s">
        <v>4202</v>
      </c>
      <c r="E10742" t="s">
        <v>883</v>
      </c>
      <c r="F10742" t="s">
        <v>88</v>
      </c>
      <c r="G10742" t="s">
        <v>88</v>
      </c>
      <c r="H10742" t="s">
        <v>92</v>
      </c>
    </row>
    <row r="10743" spans="1:8" x14ac:dyDescent="0.25">
      <c r="A10743" t="s">
        <v>339</v>
      </c>
      <c r="B10743" t="s">
        <v>8889</v>
      </c>
      <c r="C10743" t="s">
        <v>88</v>
      </c>
      <c r="D10743" t="s">
        <v>8880</v>
      </c>
      <c r="E10743" t="s">
        <v>1006</v>
      </c>
      <c r="F10743" t="s">
        <v>88</v>
      </c>
      <c r="G10743" t="s">
        <v>88</v>
      </c>
      <c r="H10743" t="s">
        <v>92</v>
      </c>
    </row>
    <row r="10744" spans="1:8" x14ac:dyDescent="0.25">
      <c r="A10744" t="s">
        <v>339</v>
      </c>
      <c r="B10744" t="s">
        <v>7574</v>
      </c>
      <c r="C10744" t="s">
        <v>88</v>
      </c>
      <c r="D10744" t="s">
        <v>8881</v>
      </c>
      <c r="E10744" t="s">
        <v>655</v>
      </c>
      <c r="F10744" t="s">
        <v>88</v>
      </c>
      <c r="G10744" t="s">
        <v>88</v>
      </c>
      <c r="H10744" t="s">
        <v>92</v>
      </c>
    </row>
    <row r="10745" spans="1:8" x14ac:dyDescent="0.25">
      <c r="A10745" t="s">
        <v>339</v>
      </c>
      <c r="B10745" t="s">
        <v>4251</v>
      </c>
      <c r="C10745" t="s">
        <v>88</v>
      </c>
      <c r="D10745" t="s">
        <v>4226</v>
      </c>
      <c r="E10745" t="s">
        <v>883</v>
      </c>
      <c r="F10745" t="s">
        <v>88</v>
      </c>
      <c r="G10745" t="s">
        <v>88</v>
      </c>
      <c r="H10745" t="s">
        <v>92</v>
      </c>
    </row>
    <row r="10746" spans="1:8" x14ac:dyDescent="0.25">
      <c r="A10746" t="s">
        <v>339</v>
      </c>
      <c r="B10746" t="s">
        <v>4237</v>
      </c>
      <c r="C10746" t="s">
        <v>88</v>
      </c>
      <c r="D10746" t="s">
        <v>4214</v>
      </c>
      <c r="E10746" t="s">
        <v>655</v>
      </c>
      <c r="F10746" t="s">
        <v>88</v>
      </c>
      <c r="G10746" t="s">
        <v>88</v>
      </c>
      <c r="H10746" t="s">
        <v>92</v>
      </c>
    </row>
    <row r="10747" spans="1:8" x14ac:dyDescent="0.25">
      <c r="A10747" t="s">
        <v>339</v>
      </c>
      <c r="B10747" t="s">
        <v>7269</v>
      </c>
      <c r="C10747" t="s">
        <v>88</v>
      </c>
      <c r="D10747" t="s">
        <v>8883</v>
      </c>
      <c r="E10747" t="s">
        <v>655</v>
      </c>
      <c r="F10747" t="s">
        <v>88</v>
      </c>
      <c r="G10747" t="s">
        <v>88</v>
      </c>
      <c r="H10747" t="s">
        <v>92</v>
      </c>
    </row>
    <row r="10748" spans="1:8" x14ac:dyDescent="0.25">
      <c r="A10748" t="s">
        <v>339</v>
      </c>
      <c r="B10748" t="s">
        <v>4236</v>
      </c>
      <c r="C10748" t="s">
        <v>88</v>
      </c>
      <c r="D10748" t="s">
        <v>4234</v>
      </c>
      <c r="E10748" t="s">
        <v>655</v>
      </c>
      <c r="F10748" t="s">
        <v>88</v>
      </c>
      <c r="G10748" t="s">
        <v>88</v>
      </c>
      <c r="H10748" t="s">
        <v>92</v>
      </c>
    </row>
    <row r="10749" spans="1:8" x14ac:dyDescent="0.25">
      <c r="A10749" t="s">
        <v>339</v>
      </c>
      <c r="B10749" t="s">
        <v>4243</v>
      </c>
      <c r="C10749" t="s">
        <v>88</v>
      </c>
      <c r="D10749" t="s">
        <v>4212</v>
      </c>
      <c r="E10749" t="s">
        <v>655</v>
      </c>
      <c r="F10749" t="s">
        <v>88</v>
      </c>
      <c r="G10749" t="s">
        <v>88</v>
      </c>
      <c r="H10749" t="s">
        <v>92</v>
      </c>
    </row>
    <row r="10750" spans="1:8" x14ac:dyDescent="0.25">
      <c r="A10750" t="s">
        <v>339</v>
      </c>
      <c r="B10750" t="s">
        <v>4240</v>
      </c>
      <c r="C10750" t="s">
        <v>88</v>
      </c>
      <c r="D10750" t="s">
        <v>8884</v>
      </c>
      <c r="E10750" t="s">
        <v>820</v>
      </c>
      <c r="F10750" t="s">
        <v>88</v>
      </c>
      <c r="G10750" t="s">
        <v>88</v>
      </c>
      <c r="H10750" t="s">
        <v>92</v>
      </c>
    </row>
    <row r="10751" spans="1:8" x14ac:dyDescent="0.25">
      <c r="A10751" t="s">
        <v>339</v>
      </c>
      <c r="B10751" t="s">
        <v>4244</v>
      </c>
      <c r="C10751" t="s">
        <v>88</v>
      </c>
      <c r="D10751" t="s">
        <v>4208</v>
      </c>
      <c r="E10751" t="s">
        <v>655</v>
      </c>
      <c r="F10751" t="s">
        <v>88</v>
      </c>
      <c r="G10751" t="s">
        <v>88</v>
      </c>
      <c r="H10751" t="s">
        <v>92</v>
      </c>
    </row>
    <row r="10752" spans="1:8" x14ac:dyDescent="0.25">
      <c r="A10752" t="s">
        <v>339</v>
      </c>
      <c r="B10752" t="s">
        <v>4241</v>
      </c>
      <c r="C10752" t="s">
        <v>88</v>
      </c>
      <c r="D10752" t="s">
        <v>4220</v>
      </c>
      <c r="E10752" t="s">
        <v>692</v>
      </c>
      <c r="F10752" t="s">
        <v>88</v>
      </c>
      <c r="G10752" t="s">
        <v>88</v>
      </c>
      <c r="H10752" t="s">
        <v>92</v>
      </c>
    </row>
    <row r="10753" spans="1:8" x14ac:dyDescent="0.25">
      <c r="A10753" t="s">
        <v>339</v>
      </c>
      <c r="B10753" t="s">
        <v>4248</v>
      </c>
      <c r="C10753" t="s">
        <v>88</v>
      </c>
      <c r="D10753" t="s">
        <v>4228</v>
      </c>
      <c r="E10753" t="s">
        <v>893</v>
      </c>
      <c r="F10753" t="s">
        <v>88</v>
      </c>
      <c r="G10753" t="s">
        <v>88</v>
      </c>
      <c r="H10753" t="s">
        <v>92</v>
      </c>
    </row>
    <row r="10754" spans="1:8" x14ac:dyDescent="0.25">
      <c r="A10754" t="s">
        <v>339</v>
      </c>
      <c r="B10754" t="s">
        <v>8890</v>
      </c>
      <c r="C10754" t="s">
        <v>88</v>
      </c>
      <c r="D10754" t="s">
        <v>8886</v>
      </c>
      <c r="E10754" t="s">
        <v>760</v>
      </c>
      <c r="F10754" t="s">
        <v>88</v>
      </c>
      <c r="G10754" t="s">
        <v>88</v>
      </c>
      <c r="H10754" t="s">
        <v>92</v>
      </c>
    </row>
    <row r="10755" spans="1:8" x14ac:dyDescent="0.25">
      <c r="A10755" t="s">
        <v>339</v>
      </c>
      <c r="B10755" t="s">
        <v>4250</v>
      </c>
      <c r="C10755" t="s">
        <v>88</v>
      </c>
      <c r="D10755" t="s">
        <v>4210</v>
      </c>
      <c r="E10755" t="s">
        <v>655</v>
      </c>
      <c r="F10755" t="s">
        <v>88</v>
      </c>
      <c r="G10755" t="s">
        <v>88</v>
      </c>
      <c r="H10755" t="s">
        <v>92</v>
      </c>
    </row>
    <row r="10756" spans="1:8" x14ac:dyDescent="0.25">
      <c r="A10756" t="s">
        <v>339</v>
      </c>
      <c r="B10756" t="s">
        <v>4267</v>
      </c>
      <c r="C10756" t="s">
        <v>88</v>
      </c>
      <c r="D10756" t="s">
        <v>4224</v>
      </c>
      <c r="E10756" t="s">
        <v>2833</v>
      </c>
      <c r="F10756" t="s">
        <v>88</v>
      </c>
      <c r="G10756" t="s">
        <v>88</v>
      </c>
      <c r="H10756" t="s">
        <v>92</v>
      </c>
    </row>
    <row r="10757" spans="1:8" x14ac:dyDescent="0.25">
      <c r="A10757" t="s">
        <v>339</v>
      </c>
      <c r="B10757" t="s">
        <v>4254</v>
      </c>
      <c r="C10757" t="s">
        <v>88</v>
      </c>
      <c r="D10757" t="s">
        <v>4232</v>
      </c>
      <c r="E10757" t="s">
        <v>2833</v>
      </c>
      <c r="F10757" t="s">
        <v>88</v>
      </c>
      <c r="G10757" t="s">
        <v>88</v>
      </c>
      <c r="H10757" t="s">
        <v>92</v>
      </c>
    </row>
    <row r="10758" spans="1:8" x14ac:dyDescent="0.25">
      <c r="A10758" t="s">
        <v>339</v>
      </c>
      <c r="B10758" t="s">
        <v>8891</v>
      </c>
      <c r="C10758" t="s">
        <v>88</v>
      </c>
      <c r="D10758" t="s">
        <v>8878</v>
      </c>
      <c r="E10758" t="s">
        <v>2833</v>
      </c>
      <c r="F10758" t="s">
        <v>88</v>
      </c>
      <c r="G10758" t="s">
        <v>88</v>
      </c>
      <c r="H10758" t="s">
        <v>92</v>
      </c>
    </row>
    <row r="10759" spans="1:8" x14ac:dyDescent="0.25">
      <c r="A10759" t="s">
        <v>339</v>
      </c>
      <c r="B10759" t="s">
        <v>8892</v>
      </c>
      <c r="C10759" t="s">
        <v>88</v>
      </c>
      <c r="D10759" t="s">
        <v>8876</v>
      </c>
      <c r="E10759" t="s">
        <v>2833</v>
      </c>
      <c r="F10759" t="s">
        <v>88</v>
      </c>
      <c r="G10759" t="s">
        <v>88</v>
      </c>
      <c r="H10759" t="s">
        <v>92</v>
      </c>
    </row>
    <row r="10760" spans="1:8" x14ac:dyDescent="0.25">
      <c r="A10760" t="s">
        <v>339</v>
      </c>
      <c r="B10760" t="s">
        <v>4263</v>
      </c>
      <c r="C10760" t="s">
        <v>88</v>
      </c>
      <c r="D10760" t="s">
        <v>4204</v>
      </c>
      <c r="E10760" t="s">
        <v>2833</v>
      </c>
      <c r="F10760" t="s">
        <v>88</v>
      </c>
      <c r="G10760" t="s">
        <v>88</v>
      </c>
      <c r="H10760" t="s">
        <v>92</v>
      </c>
    </row>
    <row r="10761" spans="1:8" x14ac:dyDescent="0.25">
      <c r="A10761" t="s">
        <v>339</v>
      </c>
      <c r="B10761" t="s">
        <v>4264</v>
      </c>
      <c r="C10761" t="s">
        <v>88</v>
      </c>
      <c r="D10761" t="s">
        <v>4206</v>
      </c>
      <c r="E10761" t="s">
        <v>2833</v>
      </c>
      <c r="F10761" t="s">
        <v>88</v>
      </c>
      <c r="G10761" t="s">
        <v>88</v>
      </c>
      <c r="H10761" t="s">
        <v>92</v>
      </c>
    </row>
    <row r="10762" spans="1:8" x14ac:dyDescent="0.25">
      <c r="A10762" t="s">
        <v>339</v>
      </c>
      <c r="B10762" t="s">
        <v>4257</v>
      </c>
      <c r="C10762" t="s">
        <v>88</v>
      </c>
      <c r="D10762" t="s">
        <v>4202</v>
      </c>
      <c r="E10762" t="s">
        <v>836</v>
      </c>
      <c r="F10762" t="s">
        <v>88</v>
      </c>
      <c r="G10762" t="s">
        <v>88</v>
      </c>
      <c r="H10762" t="s">
        <v>92</v>
      </c>
    </row>
    <row r="10763" spans="1:8" x14ac:dyDescent="0.25">
      <c r="A10763" t="s">
        <v>339</v>
      </c>
      <c r="B10763" t="s">
        <v>8893</v>
      </c>
      <c r="C10763" t="s">
        <v>88</v>
      </c>
      <c r="D10763" t="s">
        <v>8880</v>
      </c>
      <c r="E10763" t="s">
        <v>3593</v>
      </c>
      <c r="F10763" t="s">
        <v>88</v>
      </c>
      <c r="G10763" t="s">
        <v>88</v>
      </c>
      <c r="H10763" t="s">
        <v>92</v>
      </c>
    </row>
    <row r="10764" spans="1:8" x14ac:dyDescent="0.25">
      <c r="A10764" t="s">
        <v>339</v>
      </c>
      <c r="B10764" t="s">
        <v>7578</v>
      </c>
      <c r="C10764" t="s">
        <v>88</v>
      </c>
      <c r="D10764" t="s">
        <v>8881</v>
      </c>
      <c r="E10764" t="s">
        <v>2833</v>
      </c>
      <c r="F10764" t="s">
        <v>88</v>
      </c>
      <c r="G10764" t="s">
        <v>88</v>
      </c>
      <c r="H10764" t="s">
        <v>92</v>
      </c>
    </row>
    <row r="10765" spans="1:8" x14ac:dyDescent="0.25">
      <c r="A10765" t="s">
        <v>339</v>
      </c>
      <c r="B10765" t="s">
        <v>4262</v>
      </c>
      <c r="C10765" t="s">
        <v>88</v>
      </c>
      <c r="D10765" t="s">
        <v>4226</v>
      </c>
      <c r="E10765" t="s">
        <v>836</v>
      </c>
      <c r="F10765" t="s">
        <v>88</v>
      </c>
      <c r="G10765" t="s">
        <v>88</v>
      </c>
      <c r="H10765" t="s">
        <v>92</v>
      </c>
    </row>
    <row r="10766" spans="1:8" x14ac:dyDescent="0.25">
      <c r="A10766" t="s">
        <v>339</v>
      </c>
      <c r="B10766" t="s">
        <v>4255</v>
      </c>
      <c r="C10766" t="s">
        <v>88</v>
      </c>
      <c r="D10766" t="s">
        <v>4214</v>
      </c>
      <c r="E10766" t="s">
        <v>2833</v>
      </c>
      <c r="F10766" t="s">
        <v>88</v>
      </c>
      <c r="G10766" t="s">
        <v>88</v>
      </c>
      <c r="H10766" t="s">
        <v>92</v>
      </c>
    </row>
    <row r="10767" spans="1:8" x14ac:dyDescent="0.25">
      <c r="A10767" t="s">
        <v>339</v>
      </c>
      <c r="B10767" t="s">
        <v>7273</v>
      </c>
      <c r="C10767" t="s">
        <v>88</v>
      </c>
      <c r="D10767" t="s">
        <v>8883</v>
      </c>
      <c r="E10767" t="s">
        <v>2833</v>
      </c>
      <c r="F10767" t="s">
        <v>88</v>
      </c>
      <c r="G10767" t="s">
        <v>88</v>
      </c>
      <c r="H10767" t="s">
        <v>92</v>
      </c>
    </row>
    <row r="10768" spans="1:8" x14ac:dyDescent="0.25">
      <c r="A10768" t="s">
        <v>339</v>
      </c>
      <c r="B10768" t="s">
        <v>4252</v>
      </c>
      <c r="C10768" t="s">
        <v>88</v>
      </c>
      <c r="D10768" t="s">
        <v>4234</v>
      </c>
      <c r="E10768" t="s">
        <v>2833</v>
      </c>
      <c r="F10768" t="s">
        <v>88</v>
      </c>
      <c r="G10768" t="s">
        <v>88</v>
      </c>
      <c r="H10768" t="s">
        <v>92</v>
      </c>
    </row>
    <row r="10769" spans="1:8" x14ac:dyDescent="0.25">
      <c r="A10769" t="s">
        <v>339</v>
      </c>
      <c r="B10769" t="s">
        <v>8894</v>
      </c>
      <c r="C10769" t="s">
        <v>88</v>
      </c>
      <c r="D10769" t="s">
        <v>4212</v>
      </c>
      <c r="E10769" t="s">
        <v>2833</v>
      </c>
      <c r="F10769" t="s">
        <v>88</v>
      </c>
      <c r="G10769" t="s">
        <v>88</v>
      </c>
      <c r="H10769" t="s">
        <v>92</v>
      </c>
    </row>
    <row r="10770" spans="1:8" x14ac:dyDescent="0.25">
      <c r="A10770" t="s">
        <v>339</v>
      </c>
      <c r="B10770" t="s">
        <v>4258</v>
      </c>
      <c r="C10770" t="s">
        <v>88</v>
      </c>
      <c r="D10770" t="s">
        <v>8884</v>
      </c>
      <c r="E10770" t="s">
        <v>841</v>
      </c>
      <c r="F10770" t="s">
        <v>88</v>
      </c>
      <c r="G10770" t="s">
        <v>88</v>
      </c>
      <c r="H10770" t="s">
        <v>92</v>
      </c>
    </row>
    <row r="10771" spans="1:8" x14ac:dyDescent="0.25">
      <c r="A10771" t="s">
        <v>339</v>
      </c>
      <c r="B10771" t="s">
        <v>4253</v>
      </c>
      <c r="C10771" t="s">
        <v>88</v>
      </c>
      <c r="D10771" t="s">
        <v>4208</v>
      </c>
      <c r="E10771" t="s">
        <v>2833</v>
      </c>
      <c r="F10771" t="s">
        <v>88</v>
      </c>
      <c r="G10771" t="s">
        <v>88</v>
      </c>
      <c r="H10771" t="s">
        <v>92</v>
      </c>
    </row>
    <row r="10772" spans="1:8" x14ac:dyDescent="0.25">
      <c r="A10772" t="s">
        <v>339</v>
      </c>
      <c r="B10772" t="s">
        <v>4261</v>
      </c>
      <c r="C10772" t="s">
        <v>88</v>
      </c>
      <c r="D10772" t="s">
        <v>4220</v>
      </c>
      <c r="E10772" t="s">
        <v>1015</v>
      </c>
      <c r="F10772" t="s">
        <v>88</v>
      </c>
      <c r="G10772" t="s">
        <v>88</v>
      </c>
      <c r="H10772" t="s">
        <v>92</v>
      </c>
    </row>
    <row r="10773" spans="1:8" x14ac:dyDescent="0.25">
      <c r="A10773" t="s">
        <v>339</v>
      </c>
      <c r="B10773" t="s">
        <v>4265</v>
      </c>
      <c r="C10773" t="s">
        <v>88</v>
      </c>
      <c r="D10773" t="s">
        <v>4228</v>
      </c>
      <c r="E10773" t="s">
        <v>2378</v>
      </c>
      <c r="F10773" t="s">
        <v>88</v>
      </c>
      <c r="G10773" t="s">
        <v>88</v>
      </c>
      <c r="H10773" t="s">
        <v>92</v>
      </c>
    </row>
    <row r="10774" spans="1:8" x14ac:dyDescent="0.25">
      <c r="A10774" t="s">
        <v>339</v>
      </c>
      <c r="B10774" t="s">
        <v>8895</v>
      </c>
      <c r="C10774" t="s">
        <v>88</v>
      </c>
      <c r="D10774" t="s">
        <v>8886</v>
      </c>
      <c r="E10774" t="s">
        <v>838</v>
      </c>
      <c r="F10774" t="s">
        <v>88</v>
      </c>
      <c r="G10774" t="s">
        <v>88</v>
      </c>
      <c r="H10774" t="s">
        <v>92</v>
      </c>
    </row>
    <row r="10775" spans="1:8" x14ac:dyDescent="0.25">
      <c r="A10775" t="s">
        <v>339</v>
      </c>
      <c r="B10775" t="s">
        <v>4266</v>
      </c>
      <c r="C10775" t="s">
        <v>88</v>
      </c>
      <c r="D10775" t="s">
        <v>4210</v>
      </c>
      <c r="E10775" t="s">
        <v>2833</v>
      </c>
      <c r="F10775" t="s">
        <v>88</v>
      </c>
      <c r="G10775" t="s">
        <v>88</v>
      </c>
      <c r="H10775" t="s">
        <v>92</v>
      </c>
    </row>
    <row r="10776" spans="1:8" x14ac:dyDescent="0.25">
      <c r="A10776" t="s">
        <v>339</v>
      </c>
      <c r="B10776" t="s">
        <v>8896</v>
      </c>
      <c r="C10776" t="s">
        <v>88</v>
      </c>
      <c r="D10776" t="s">
        <v>8878</v>
      </c>
      <c r="E10776" t="s">
        <v>1714</v>
      </c>
      <c r="F10776" t="s">
        <v>88</v>
      </c>
      <c r="G10776" t="s">
        <v>88</v>
      </c>
      <c r="H10776" t="s">
        <v>92</v>
      </c>
    </row>
    <row r="10777" spans="1:8" x14ac:dyDescent="0.25">
      <c r="A10777" t="s">
        <v>339</v>
      </c>
      <c r="B10777" t="s">
        <v>8897</v>
      </c>
      <c r="C10777" t="s">
        <v>88</v>
      </c>
      <c r="D10777" t="s">
        <v>8876</v>
      </c>
      <c r="E10777" t="s">
        <v>1714</v>
      </c>
      <c r="F10777" t="s">
        <v>88</v>
      </c>
      <c r="G10777" t="s">
        <v>88</v>
      </c>
      <c r="H10777" t="s">
        <v>92</v>
      </c>
    </row>
    <row r="10778" spans="1:8" x14ac:dyDescent="0.25">
      <c r="A10778" t="s">
        <v>339</v>
      </c>
      <c r="B10778" t="s">
        <v>8898</v>
      </c>
      <c r="C10778" t="s">
        <v>88</v>
      </c>
      <c r="D10778" t="s">
        <v>4232</v>
      </c>
      <c r="E10778" t="s">
        <v>1714</v>
      </c>
      <c r="F10778" t="s">
        <v>88</v>
      </c>
      <c r="G10778" t="s">
        <v>88</v>
      </c>
      <c r="H10778" t="s">
        <v>92</v>
      </c>
    </row>
    <row r="10779" spans="1:8" x14ac:dyDescent="0.25">
      <c r="A10779" t="s">
        <v>339</v>
      </c>
      <c r="B10779" t="s">
        <v>8899</v>
      </c>
      <c r="C10779" t="s">
        <v>88</v>
      </c>
      <c r="D10779" t="s">
        <v>4204</v>
      </c>
      <c r="E10779" t="s">
        <v>1714</v>
      </c>
      <c r="F10779" t="s">
        <v>88</v>
      </c>
      <c r="G10779" t="s">
        <v>88</v>
      </c>
      <c r="H10779" t="s">
        <v>92</v>
      </c>
    </row>
    <row r="10780" spans="1:8" x14ac:dyDescent="0.25">
      <c r="A10780" t="s">
        <v>339</v>
      </c>
      <c r="B10780" t="s">
        <v>8900</v>
      </c>
      <c r="C10780" t="s">
        <v>88</v>
      </c>
      <c r="D10780" t="s">
        <v>4206</v>
      </c>
      <c r="E10780" t="s">
        <v>1714</v>
      </c>
      <c r="F10780" t="s">
        <v>88</v>
      </c>
      <c r="G10780" t="s">
        <v>88</v>
      </c>
      <c r="H10780" t="s">
        <v>92</v>
      </c>
    </row>
    <row r="10781" spans="1:8" x14ac:dyDescent="0.25">
      <c r="A10781" t="s">
        <v>339</v>
      </c>
      <c r="B10781" t="s">
        <v>8901</v>
      </c>
      <c r="C10781" t="s">
        <v>88</v>
      </c>
      <c r="D10781" t="s">
        <v>4224</v>
      </c>
      <c r="E10781" t="s">
        <v>1714</v>
      </c>
      <c r="F10781" t="s">
        <v>88</v>
      </c>
      <c r="G10781" t="s">
        <v>88</v>
      </c>
      <c r="H10781" t="s">
        <v>92</v>
      </c>
    </row>
    <row r="10782" spans="1:8" x14ac:dyDescent="0.25">
      <c r="A10782" t="s">
        <v>339</v>
      </c>
      <c r="B10782" t="s">
        <v>8902</v>
      </c>
      <c r="C10782" t="s">
        <v>88</v>
      </c>
      <c r="D10782" t="s">
        <v>4202</v>
      </c>
      <c r="E10782" t="s">
        <v>4275</v>
      </c>
      <c r="F10782" t="s">
        <v>88</v>
      </c>
      <c r="G10782" t="s">
        <v>88</v>
      </c>
      <c r="H10782" t="s">
        <v>92</v>
      </c>
    </row>
    <row r="10783" spans="1:8" x14ac:dyDescent="0.25">
      <c r="A10783" t="s">
        <v>339</v>
      </c>
      <c r="B10783" t="s">
        <v>8903</v>
      </c>
      <c r="C10783" t="s">
        <v>88</v>
      </c>
      <c r="D10783" t="s">
        <v>8880</v>
      </c>
      <c r="E10783" t="s">
        <v>1135</v>
      </c>
      <c r="F10783" t="s">
        <v>88</v>
      </c>
      <c r="G10783" t="s">
        <v>88</v>
      </c>
      <c r="H10783" t="s">
        <v>92</v>
      </c>
    </row>
    <row r="10784" spans="1:8" x14ac:dyDescent="0.25">
      <c r="A10784" t="s">
        <v>339</v>
      </c>
      <c r="B10784" t="s">
        <v>8904</v>
      </c>
      <c r="C10784" t="s">
        <v>88</v>
      </c>
      <c r="D10784" t="s">
        <v>8881</v>
      </c>
      <c r="E10784" t="s">
        <v>1714</v>
      </c>
      <c r="F10784" t="s">
        <v>88</v>
      </c>
      <c r="G10784" t="s">
        <v>88</v>
      </c>
      <c r="H10784" t="s">
        <v>92</v>
      </c>
    </row>
    <row r="10785" spans="1:8" x14ac:dyDescent="0.25">
      <c r="A10785" t="s">
        <v>339</v>
      </c>
      <c r="B10785" t="s">
        <v>8905</v>
      </c>
      <c r="C10785" t="s">
        <v>88</v>
      </c>
      <c r="D10785" t="s">
        <v>4226</v>
      </c>
      <c r="E10785" t="s">
        <v>4275</v>
      </c>
      <c r="F10785" t="s">
        <v>88</v>
      </c>
      <c r="G10785" t="s">
        <v>88</v>
      </c>
      <c r="H10785" t="s">
        <v>92</v>
      </c>
    </row>
    <row r="10786" spans="1:8" x14ac:dyDescent="0.25">
      <c r="A10786" t="s">
        <v>339</v>
      </c>
      <c r="B10786" t="s">
        <v>8906</v>
      </c>
      <c r="C10786" t="s">
        <v>88</v>
      </c>
      <c r="D10786" t="s">
        <v>4214</v>
      </c>
      <c r="E10786" t="s">
        <v>1714</v>
      </c>
      <c r="F10786" t="s">
        <v>88</v>
      </c>
      <c r="G10786" t="s">
        <v>88</v>
      </c>
      <c r="H10786" t="s">
        <v>92</v>
      </c>
    </row>
    <row r="10787" spans="1:8" x14ac:dyDescent="0.25">
      <c r="A10787" t="s">
        <v>339</v>
      </c>
      <c r="B10787" t="s">
        <v>8907</v>
      </c>
      <c r="C10787" t="s">
        <v>88</v>
      </c>
      <c r="D10787" t="s">
        <v>8883</v>
      </c>
      <c r="E10787" t="s">
        <v>1714</v>
      </c>
      <c r="F10787" t="s">
        <v>88</v>
      </c>
      <c r="G10787" t="s">
        <v>88</v>
      </c>
      <c r="H10787" t="s">
        <v>92</v>
      </c>
    </row>
    <row r="10788" spans="1:8" x14ac:dyDescent="0.25">
      <c r="A10788" t="s">
        <v>339</v>
      </c>
      <c r="B10788" t="s">
        <v>8908</v>
      </c>
      <c r="C10788" t="s">
        <v>88</v>
      </c>
      <c r="D10788" t="s">
        <v>4234</v>
      </c>
      <c r="E10788" t="s">
        <v>1714</v>
      </c>
      <c r="F10788" t="s">
        <v>88</v>
      </c>
      <c r="G10788" t="s">
        <v>88</v>
      </c>
      <c r="H10788" t="s">
        <v>92</v>
      </c>
    </row>
    <row r="10789" spans="1:8" x14ac:dyDescent="0.25">
      <c r="A10789" t="s">
        <v>339</v>
      </c>
      <c r="B10789" t="s">
        <v>8909</v>
      </c>
      <c r="C10789" t="s">
        <v>88</v>
      </c>
      <c r="D10789" t="s">
        <v>4212</v>
      </c>
      <c r="E10789" t="s">
        <v>1714</v>
      </c>
      <c r="F10789" t="s">
        <v>88</v>
      </c>
      <c r="G10789" t="s">
        <v>88</v>
      </c>
      <c r="H10789" t="s">
        <v>92</v>
      </c>
    </row>
    <row r="10790" spans="1:8" x14ac:dyDescent="0.25">
      <c r="A10790" t="s">
        <v>339</v>
      </c>
      <c r="B10790" t="s">
        <v>8910</v>
      </c>
      <c r="C10790" t="s">
        <v>88</v>
      </c>
      <c r="D10790" t="s">
        <v>8884</v>
      </c>
      <c r="E10790" t="s">
        <v>1153</v>
      </c>
      <c r="F10790" t="s">
        <v>88</v>
      </c>
      <c r="G10790" t="s">
        <v>88</v>
      </c>
      <c r="H10790" t="s">
        <v>92</v>
      </c>
    </row>
    <row r="10791" spans="1:8" x14ac:dyDescent="0.25">
      <c r="A10791" t="s">
        <v>339</v>
      </c>
      <c r="B10791" t="s">
        <v>8911</v>
      </c>
      <c r="C10791" t="s">
        <v>88</v>
      </c>
      <c r="D10791" t="s">
        <v>4208</v>
      </c>
      <c r="E10791" t="s">
        <v>1714</v>
      </c>
      <c r="F10791" t="s">
        <v>88</v>
      </c>
      <c r="G10791" t="s">
        <v>88</v>
      </c>
      <c r="H10791" t="s">
        <v>92</v>
      </c>
    </row>
    <row r="10792" spans="1:8" x14ac:dyDescent="0.25">
      <c r="A10792" t="s">
        <v>339</v>
      </c>
      <c r="B10792" t="s">
        <v>8912</v>
      </c>
      <c r="C10792" t="s">
        <v>88</v>
      </c>
      <c r="D10792" t="s">
        <v>4220</v>
      </c>
      <c r="E10792" t="s">
        <v>4278</v>
      </c>
      <c r="F10792" t="s">
        <v>88</v>
      </c>
      <c r="G10792" t="s">
        <v>88</v>
      </c>
      <c r="H10792" t="s">
        <v>92</v>
      </c>
    </row>
    <row r="10793" spans="1:8" x14ac:dyDescent="0.25">
      <c r="A10793" t="s">
        <v>339</v>
      </c>
      <c r="B10793" t="s">
        <v>8913</v>
      </c>
      <c r="C10793" t="s">
        <v>88</v>
      </c>
      <c r="D10793" t="s">
        <v>4228</v>
      </c>
      <c r="E10793" t="s">
        <v>812</v>
      </c>
      <c r="F10793" t="s">
        <v>88</v>
      </c>
      <c r="G10793" t="s">
        <v>88</v>
      </c>
      <c r="H10793" t="s">
        <v>92</v>
      </c>
    </row>
    <row r="10794" spans="1:8" x14ac:dyDescent="0.25">
      <c r="A10794" t="s">
        <v>339</v>
      </c>
      <c r="B10794" t="s">
        <v>8914</v>
      </c>
      <c r="C10794" t="s">
        <v>88</v>
      </c>
      <c r="D10794" t="s">
        <v>8886</v>
      </c>
      <c r="E10794" t="s">
        <v>1714</v>
      </c>
      <c r="F10794" t="s">
        <v>88</v>
      </c>
      <c r="G10794" t="s">
        <v>88</v>
      </c>
      <c r="H10794" t="s">
        <v>92</v>
      </c>
    </row>
    <row r="10795" spans="1:8" x14ac:dyDescent="0.25">
      <c r="A10795" t="s">
        <v>339</v>
      </c>
      <c r="B10795" t="s">
        <v>8915</v>
      </c>
      <c r="C10795" t="s">
        <v>88</v>
      </c>
      <c r="D10795" t="s">
        <v>4210</v>
      </c>
      <c r="E10795" t="s">
        <v>1714</v>
      </c>
      <c r="F10795" t="s">
        <v>88</v>
      </c>
      <c r="G10795" t="s">
        <v>88</v>
      </c>
      <c r="H10795" t="s">
        <v>92</v>
      </c>
    </row>
    <row r="10796" spans="1:8" x14ac:dyDescent="0.25">
      <c r="A10796" t="s">
        <v>339</v>
      </c>
      <c r="B10796" t="s">
        <v>8916</v>
      </c>
      <c r="C10796" t="s">
        <v>88</v>
      </c>
      <c r="D10796" t="s">
        <v>8878</v>
      </c>
      <c r="E10796" t="s">
        <v>1135</v>
      </c>
      <c r="F10796" t="s">
        <v>88</v>
      </c>
      <c r="G10796" t="s">
        <v>88</v>
      </c>
      <c r="H10796" t="s">
        <v>92</v>
      </c>
    </row>
    <row r="10797" spans="1:8" x14ac:dyDescent="0.25">
      <c r="A10797" t="s">
        <v>339</v>
      </c>
      <c r="B10797" t="s">
        <v>8917</v>
      </c>
      <c r="C10797" t="s">
        <v>88</v>
      </c>
      <c r="D10797" t="s">
        <v>8876</v>
      </c>
      <c r="E10797" t="s">
        <v>1135</v>
      </c>
      <c r="F10797" t="s">
        <v>88</v>
      </c>
      <c r="G10797" t="s">
        <v>88</v>
      </c>
      <c r="H10797" t="s">
        <v>92</v>
      </c>
    </row>
    <row r="10798" spans="1:8" x14ac:dyDescent="0.25">
      <c r="A10798" t="s">
        <v>339</v>
      </c>
      <c r="B10798" t="s">
        <v>4302</v>
      </c>
      <c r="C10798" t="s">
        <v>88</v>
      </c>
      <c r="D10798" t="s">
        <v>4206</v>
      </c>
      <c r="E10798" t="s">
        <v>1135</v>
      </c>
      <c r="F10798" t="s">
        <v>88</v>
      </c>
      <c r="G10798" t="s">
        <v>88</v>
      </c>
      <c r="H10798" t="s">
        <v>92</v>
      </c>
    </row>
    <row r="10799" spans="1:8" x14ac:dyDescent="0.25">
      <c r="A10799" t="s">
        <v>339</v>
      </c>
      <c r="B10799" t="s">
        <v>4295</v>
      </c>
      <c r="C10799" t="s">
        <v>88</v>
      </c>
      <c r="D10799" t="s">
        <v>4204</v>
      </c>
      <c r="E10799" t="s">
        <v>1135</v>
      </c>
      <c r="F10799" t="s">
        <v>88</v>
      </c>
      <c r="G10799" t="s">
        <v>88</v>
      </c>
      <c r="H10799" t="s">
        <v>92</v>
      </c>
    </row>
    <row r="10800" spans="1:8" x14ac:dyDescent="0.25">
      <c r="A10800" t="s">
        <v>339</v>
      </c>
      <c r="B10800" t="s">
        <v>4322</v>
      </c>
      <c r="C10800" t="s">
        <v>88</v>
      </c>
      <c r="D10800" t="s">
        <v>4232</v>
      </c>
      <c r="E10800" t="s">
        <v>1135</v>
      </c>
      <c r="F10800" t="s">
        <v>88</v>
      </c>
      <c r="G10800" t="s">
        <v>88</v>
      </c>
      <c r="H10800" t="s">
        <v>92</v>
      </c>
    </row>
    <row r="10801" spans="1:8" x14ac:dyDescent="0.25">
      <c r="A10801" t="s">
        <v>339</v>
      </c>
      <c r="B10801" t="s">
        <v>4318</v>
      </c>
      <c r="C10801" t="s">
        <v>88</v>
      </c>
      <c r="D10801" t="s">
        <v>4224</v>
      </c>
      <c r="E10801" t="s">
        <v>1135</v>
      </c>
      <c r="F10801" t="s">
        <v>88</v>
      </c>
      <c r="G10801" t="s">
        <v>88</v>
      </c>
      <c r="H10801" t="s">
        <v>92</v>
      </c>
    </row>
    <row r="10802" spans="1:8" x14ac:dyDescent="0.25">
      <c r="A10802" t="s">
        <v>339</v>
      </c>
      <c r="B10802" t="s">
        <v>4304</v>
      </c>
      <c r="C10802" t="s">
        <v>88</v>
      </c>
      <c r="D10802" t="s">
        <v>4202</v>
      </c>
      <c r="E10802" t="s">
        <v>1153</v>
      </c>
      <c r="F10802" t="s">
        <v>88</v>
      </c>
      <c r="G10802" t="s">
        <v>88</v>
      </c>
      <c r="H10802" t="s">
        <v>92</v>
      </c>
    </row>
    <row r="10803" spans="1:8" x14ac:dyDescent="0.25">
      <c r="A10803" t="s">
        <v>339</v>
      </c>
      <c r="B10803" t="s">
        <v>7736</v>
      </c>
      <c r="C10803" t="s">
        <v>88</v>
      </c>
      <c r="D10803" t="s">
        <v>8880</v>
      </c>
      <c r="E10803" t="s">
        <v>1068</v>
      </c>
      <c r="F10803" t="s">
        <v>88</v>
      </c>
      <c r="G10803" t="s">
        <v>88</v>
      </c>
      <c r="H10803" t="s">
        <v>92</v>
      </c>
    </row>
    <row r="10804" spans="1:8" x14ac:dyDescent="0.25">
      <c r="A10804" t="s">
        <v>339</v>
      </c>
      <c r="B10804" t="s">
        <v>7582</v>
      </c>
      <c r="C10804" t="s">
        <v>88</v>
      </c>
      <c r="D10804" t="s">
        <v>8881</v>
      </c>
      <c r="E10804" t="s">
        <v>1135</v>
      </c>
      <c r="F10804" t="s">
        <v>88</v>
      </c>
      <c r="G10804" t="s">
        <v>88</v>
      </c>
      <c r="H10804" t="s">
        <v>92</v>
      </c>
    </row>
    <row r="10805" spans="1:8" x14ac:dyDescent="0.25">
      <c r="A10805" t="s">
        <v>339</v>
      </c>
      <c r="B10805" t="s">
        <v>4292</v>
      </c>
      <c r="C10805" t="s">
        <v>88</v>
      </c>
      <c r="D10805" t="s">
        <v>4226</v>
      </c>
      <c r="E10805" t="s">
        <v>1153</v>
      </c>
      <c r="F10805" t="s">
        <v>88</v>
      </c>
      <c r="G10805" t="s">
        <v>88</v>
      </c>
      <c r="H10805" t="s">
        <v>92</v>
      </c>
    </row>
    <row r="10806" spans="1:8" x14ac:dyDescent="0.25">
      <c r="A10806" t="s">
        <v>339</v>
      </c>
      <c r="B10806" t="s">
        <v>4314</v>
      </c>
      <c r="C10806" t="s">
        <v>88</v>
      </c>
      <c r="D10806" t="s">
        <v>4214</v>
      </c>
      <c r="E10806" t="s">
        <v>1135</v>
      </c>
      <c r="F10806" t="s">
        <v>88</v>
      </c>
      <c r="G10806" t="s">
        <v>88</v>
      </c>
      <c r="H10806" t="s">
        <v>92</v>
      </c>
    </row>
    <row r="10807" spans="1:8" x14ac:dyDescent="0.25">
      <c r="A10807" t="s">
        <v>339</v>
      </c>
      <c r="B10807" t="s">
        <v>7293</v>
      </c>
      <c r="C10807" t="s">
        <v>88</v>
      </c>
      <c r="D10807" t="s">
        <v>4214</v>
      </c>
      <c r="E10807" t="s">
        <v>1135</v>
      </c>
      <c r="F10807" t="s">
        <v>88</v>
      </c>
      <c r="G10807" t="s">
        <v>88</v>
      </c>
      <c r="H10807" t="s">
        <v>92</v>
      </c>
    </row>
    <row r="10808" spans="1:8" x14ac:dyDescent="0.25">
      <c r="A10808" t="s">
        <v>339</v>
      </c>
      <c r="B10808" t="s">
        <v>4298</v>
      </c>
      <c r="C10808" t="s">
        <v>88</v>
      </c>
      <c r="D10808" t="s">
        <v>4234</v>
      </c>
      <c r="E10808" t="s">
        <v>1135</v>
      </c>
      <c r="F10808" t="s">
        <v>88</v>
      </c>
      <c r="G10808" t="s">
        <v>88</v>
      </c>
      <c r="H10808" t="s">
        <v>92</v>
      </c>
    </row>
    <row r="10809" spans="1:8" x14ac:dyDescent="0.25">
      <c r="A10809" t="s">
        <v>339</v>
      </c>
      <c r="B10809" t="s">
        <v>8918</v>
      </c>
      <c r="C10809" t="s">
        <v>88</v>
      </c>
      <c r="D10809" t="s">
        <v>4212</v>
      </c>
      <c r="E10809" t="s">
        <v>1135</v>
      </c>
      <c r="F10809" t="s">
        <v>88</v>
      </c>
      <c r="G10809" t="s">
        <v>88</v>
      </c>
      <c r="H10809" t="s">
        <v>92</v>
      </c>
    </row>
    <row r="10810" spans="1:8" x14ac:dyDescent="0.25">
      <c r="A10810" t="s">
        <v>339</v>
      </c>
      <c r="B10810" t="s">
        <v>4306</v>
      </c>
      <c r="C10810" t="s">
        <v>88</v>
      </c>
      <c r="D10810" t="s">
        <v>8884</v>
      </c>
      <c r="E10810" t="s">
        <v>1068</v>
      </c>
      <c r="F10810" t="s">
        <v>88</v>
      </c>
      <c r="G10810" t="s">
        <v>88</v>
      </c>
      <c r="H10810" t="s">
        <v>92</v>
      </c>
    </row>
    <row r="10811" spans="1:8" x14ac:dyDescent="0.25">
      <c r="A10811" t="s">
        <v>339</v>
      </c>
      <c r="B10811" t="s">
        <v>4316</v>
      </c>
      <c r="C10811" t="s">
        <v>88</v>
      </c>
      <c r="D10811" t="s">
        <v>4208</v>
      </c>
      <c r="E10811" t="s">
        <v>1135</v>
      </c>
      <c r="F10811" t="s">
        <v>88</v>
      </c>
      <c r="G10811" t="s">
        <v>88</v>
      </c>
      <c r="H10811" t="s">
        <v>92</v>
      </c>
    </row>
    <row r="10812" spans="1:8" x14ac:dyDescent="0.25">
      <c r="A10812" t="s">
        <v>339</v>
      </c>
      <c r="B10812" t="s">
        <v>4324</v>
      </c>
      <c r="C10812" t="s">
        <v>88</v>
      </c>
      <c r="D10812" t="s">
        <v>4220</v>
      </c>
      <c r="E10812" t="s">
        <v>1137</v>
      </c>
      <c r="F10812" t="s">
        <v>88</v>
      </c>
      <c r="G10812" t="s">
        <v>88</v>
      </c>
      <c r="H10812" t="s">
        <v>92</v>
      </c>
    </row>
    <row r="10813" spans="1:8" x14ac:dyDescent="0.25">
      <c r="A10813" t="s">
        <v>339</v>
      </c>
      <c r="B10813" t="s">
        <v>4300</v>
      </c>
      <c r="C10813" t="s">
        <v>88</v>
      </c>
      <c r="D10813" t="s">
        <v>4228</v>
      </c>
      <c r="E10813" t="s">
        <v>1135</v>
      </c>
      <c r="F10813" t="s">
        <v>88</v>
      </c>
      <c r="G10813" t="s">
        <v>88</v>
      </c>
      <c r="H10813" t="s">
        <v>92</v>
      </c>
    </row>
    <row r="10814" spans="1:8" x14ac:dyDescent="0.25">
      <c r="A10814" t="s">
        <v>339</v>
      </c>
      <c r="B10814" t="s">
        <v>8919</v>
      </c>
      <c r="C10814" t="s">
        <v>88</v>
      </c>
      <c r="D10814" t="s">
        <v>8886</v>
      </c>
      <c r="E10814" t="s">
        <v>1135</v>
      </c>
      <c r="F10814" t="s">
        <v>88</v>
      </c>
      <c r="G10814" t="s">
        <v>88</v>
      </c>
      <c r="H10814" t="s">
        <v>92</v>
      </c>
    </row>
    <row r="10815" spans="1:8" x14ac:dyDescent="0.25">
      <c r="A10815" t="s">
        <v>339</v>
      </c>
      <c r="B10815" t="s">
        <v>4310</v>
      </c>
      <c r="C10815" t="s">
        <v>88</v>
      </c>
      <c r="D10815" t="s">
        <v>4210</v>
      </c>
      <c r="E10815" t="s">
        <v>1135</v>
      </c>
      <c r="F10815" t="s">
        <v>88</v>
      </c>
      <c r="G10815" t="s">
        <v>88</v>
      </c>
      <c r="H10815" t="s">
        <v>92</v>
      </c>
    </row>
    <row r="10816" spans="1:8" x14ac:dyDescent="0.25">
      <c r="A10816" t="s">
        <v>339</v>
      </c>
      <c r="B10816" t="s">
        <v>1868</v>
      </c>
      <c r="C10816" t="s">
        <v>88</v>
      </c>
      <c r="D10816" t="s">
        <v>8920</v>
      </c>
      <c r="E10816" t="s">
        <v>738</v>
      </c>
      <c r="F10816" t="s">
        <v>88</v>
      </c>
      <c r="G10816" t="s">
        <v>88</v>
      </c>
      <c r="H10816" t="s">
        <v>92</v>
      </c>
    </row>
    <row r="10817" spans="1:8" x14ac:dyDescent="0.25">
      <c r="A10817" t="s">
        <v>339</v>
      </c>
      <c r="B10817" t="s">
        <v>4200</v>
      </c>
      <c r="C10817" t="s">
        <v>88</v>
      </c>
      <c r="D10817" t="s">
        <v>8921</v>
      </c>
      <c r="E10817" t="s">
        <v>679</v>
      </c>
      <c r="F10817" t="s">
        <v>88</v>
      </c>
      <c r="G10817" t="s">
        <v>88</v>
      </c>
      <c r="H10817" t="s">
        <v>92</v>
      </c>
    </row>
    <row r="10818" spans="1:8" x14ac:dyDescent="0.25">
      <c r="A10818" t="s">
        <v>339</v>
      </c>
      <c r="B10818" t="s">
        <v>1871</v>
      </c>
      <c r="C10818" t="s">
        <v>88</v>
      </c>
      <c r="D10818" t="s">
        <v>8922</v>
      </c>
      <c r="E10818" t="s">
        <v>959</v>
      </c>
      <c r="F10818" t="s">
        <v>88</v>
      </c>
      <c r="G10818" t="s">
        <v>88</v>
      </c>
      <c r="H10818" t="s">
        <v>92</v>
      </c>
    </row>
    <row r="10819" spans="1:8" x14ac:dyDescent="0.25">
      <c r="A10819" t="s">
        <v>339</v>
      </c>
      <c r="B10819" t="s">
        <v>8923</v>
      </c>
      <c r="C10819" t="s">
        <v>88</v>
      </c>
      <c r="D10819" t="s">
        <v>8924</v>
      </c>
      <c r="E10819" t="s">
        <v>715</v>
      </c>
      <c r="F10819" t="s">
        <v>88</v>
      </c>
      <c r="G10819" t="s">
        <v>88</v>
      </c>
      <c r="H10819" t="s">
        <v>92</v>
      </c>
    </row>
    <row r="10820" spans="1:8" x14ac:dyDescent="0.25">
      <c r="A10820" t="s">
        <v>339</v>
      </c>
      <c r="B10820" t="s">
        <v>8925</v>
      </c>
      <c r="C10820" t="s">
        <v>88</v>
      </c>
      <c r="D10820" t="s">
        <v>88</v>
      </c>
      <c r="E10820" t="s">
        <v>738</v>
      </c>
      <c r="F10820" t="s">
        <v>88</v>
      </c>
      <c r="G10820" t="s">
        <v>88</v>
      </c>
      <c r="H10820" t="s">
        <v>92</v>
      </c>
    </row>
    <row r="10821" spans="1:8" x14ac:dyDescent="0.25">
      <c r="A10821" t="s">
        <v>339</v>
      </c>
      <c r="B10821" t="s">
        <v>8926</v>
      </c>
      <c r="C10821" t="s">
        <v>88</v>
      </c>
      <c r="D10821" t="s">
        <v>88</v>
      </c>
      <c r="E10821" t="s">
        <v>762</v>
      </c>
      <c r="F10821" t="s">
        <v>88</v>
      </c>
      <c r="G10821" t="s">
        <v>88</v>
      </c>
      <c r="H10821" t="s">
        <v>92</v>
      </c>
    </row>
    <row r="10822" spans="1:8" x14ac:dyDescent="0.25">
      <c r="A10822" t="s">
        <v>339</v>
      </c>
      <c r="B10822" t="s">
        <v>8927</v>
      </c>
      <c r="C10822" t="s">
        <v>88</v>
      </c>
      <c r="D10822" t="s">
        <v>88</v>
      </c>
      <c r="E10822" t="s">
        <v>655</v>
      </c>
      <c r="F10822" t="s">
        <v>88</v>
      </c>
      <c r="G10822" t="s">
        <v>88</v>
      </c>
      <c r="H10822" t="s">
        <v>92</v>
      </c>
    </row>
    <row r="10823" spans="1:8" x14ac:dyDescent="0.25">
      <c r="A10823" t="s">
        <v>339</v>
      </c>
      <c r="B10823" t="s">
        <v>2863</v>
      </c>
      <c r="C10823" t="s">
        <v>88</v>
      </c>
      <c r="D10823" t="s">
        <v>88</v>
      </c>
      <c r="E10823" t="s">
        <v>1323</v>
      </c>
      <c r="F10823" t="s">
        <v>88</v>
      </c>
      <c r="G10823" t="s">
        <v>88</v>
      </c>
      <c r="H10823" t="s">
        <v>92</v>
      </c>
    </row>
    <row r="10824" spans="1:8" x14ac:dyDescent="0.25">
      <c r="A10824" t="s">
        <v>339</v>
      </c>
      <c r="B10824" t="s">
        <v>7739</v>
      </c>
      <c r="C10824" t="s">
        <v>88</v>
      </c>
      <c r="D10824" t="s">
        <v>88</v>
      </c>
      <c r="E10824" t="s">
        <v>673</v>
      </c>
      <c r="F10824" t="s">
        <v>88</v>
      </c>
      <c r="G10824" t="s">
        <v>88</v>
      </c>
      <c r="H10824" t="s">
        <v>92</v>
      </c>
    </row>
    <row r="10825" spans="1:8" x14ac:dyDescent="0.25">
      <c r="A10825" t="s">
        <v>339</v>
      </c>
      <c r="B10825" t="s">
        <v>8928</v>
      </c>
      <c r="C10825" t="s">
        <v>88</v>
      </c>
      <c r="D10825" t="s">
        <v>88</v>
      </c>
      <c r="E10825" t="s">
        <v>1006</v>
      </c>
      <c r="F10825" t="s">
        <v>88</v>
      </c>
      <c r="G10825" t="s">
        <v>88</v>
      </c>
      <c r="H10825" t="s">
        <v>92</v>
      </c>
    </row>
    <row r="10826" spans="1:8" x14ac:dyDescent="0.25">
      <c r="A10826" t="s">
        <v>339</v>
      </c>
      <c r="B10826" t="s">
        <v>1874</v>
      </c>
      <c r="C10826" t="s">
        <v>88</v>
      </c>
      <c r="D10826" t="s">
        <v>88</v>
      </c>
      <c r="E10826" t="s">
        <v>799</v>
      </c>
      <c r="F10826" t="s">
        <v>88</v>
      </c>
      <c r="G10826" t="s">
        <v>88</v>
      </c>
      <c r="H10826" t="s">
        <v>92</v>
      </c>
    </row>
    <row r="10827" spans="1:8" x14ac:dyDescent="0.25">
      <c r="A10827" t="s">
        <v>339</v>
      </c>
      <c r="B10827" t="s">
        <v>2210</v>
      </c>
      <c r="C10827" t="s">
        <v>88</v>
      </c>
      <c r="D10827" t="s">
        <v>88</v>
      </c>
      <c r="E10827" t="s">
        <v>791</v>
      </c>
      <c r="F10827" t="s">
        <v>88</v>
      </c>
      <c r="G10827" t="s">
        <v>88</v>
      </c>
      <c r="H10827" t="s">
        <v>92</v>
      </c>
    </row>
    <row r="10828" spans="1:8" x14ac:dyDescent="0.25">
      <c r="A10828" t="s">
        <v>339</v>
      </c>
      <c r="B10828" t="s">
        <v>8929</v>
      </c>
      <c r="C10828" t="s">
        <v>88</v>
      </c>
      <c r="D10828" t="s">
        <v>88</v>
      </c>
      <c r="E10828" t="s">
        <v>723</v>
      </c>
      <c r="F10828" t="s">
        <v>88</v>
      </c>
      <c r="G10828" t="s">
        <v>88</v>
      </c>
      <c r="H10828" t="s">
        <v>92</v>
      </c>
    </row>
    <row r="10829" spans="1:8" x14ac:dyDescent="0.25">
      <c r="A10829" t="s">
        <v>339</v>
      </c>
      <c r="B10829" t="s">
        <v>8930</v>
      </c>
      <c r="C10829" t="s">
        <v>88</v>
      </c>
      <c r="D10829" t="s">
        <v>88</v>
      </c>
      <c r="E10829" t="s">
        <v>799</v>
      </c>
      <c r="F10829" t="s">
        <v>88</v>
      </c>
      <c r="G10829" t="s">
        <v>88</v>
      </c>
      <c r="H10829" t="s">
        <v>92</v>
      </c>
    </row>
    <row r="10830" spans="1:8" x14ac:dyDescent="0.25">
      <c r="A10830" t="s">
        <v>339</v>
      </c>
      <c r="B10830" t="s">
        <v>8931</v>
      </c>
      <c r="C10830" t="s">
        <v>88</v>
      </c>
      <c r="D10830" t="s">
        <v>88</v>
      </c>
      <c r="E10830" t="s">
        <v>937</v>
      </c>
      <c r="F10830" t="s">
        <v>88</v>
      </c>
      <c r="G10830" t="s">
        <v>88</v>
      </c>
      <c r="H10830" t="s">
        <v>92</v>
      </c>
    </row>
    <row r="10831" spans="1:8" x14ac:dyDescent="0.25">
      <c r="A10831" t="s">
        <v>339</v>
      </c>
      <c r="B10831" t="s">
        <v>8932</v>
      </c>
      <c r="C10831" t="s">
        <v>88</v>
      </c>
      <c r="D10831" t="s">
        <v>88</v>
      </c>
      <c r="E10831" t="s">
        <v>721</v>
      </c>
      <c r="F10831" t="s">
        <v>88</v>
      </c>
      <c r="G10831" t="s">
        <v>88</v>
      </c>
      <c r="H10831" t="s">
        <v>92</v>
      </c>
    </row>
    <row r="10832" spans="1:8" x14ac:dyDescent="0.25">
      <c r="A10832" t="s">
        <v>339</v>
      </c>
      <c r="B10832" t="s">
        <v>4919</v>
      </c>
      <c r="C10832" t="s">
        <v>88</v>
      </c>
      <c r="D10832" t="s">
        <v>88</v>
      </c>
      <c r="E10832" t="s">
        <v>715</v>
      </c>
      <c r="F10832" t="s">
        <v>88</v>
      </c>
      <c r="G10832" t="s">
        <v>88</v>
      </c>
      <c r="H10832" t="s">
        <v>92</v>
      </c>
    </row>
    <row r="10833" spans="1:8" x14ac:dyDescent="0.25">
      <c r="A10833" t="s">
        <v>339</v>
      </c>
      <c r="B10833" t="s">
        <v>608</v>
      </c>
      <c r="C10833" t="s">
        <v>88</v>
      </c>
      <c r="D10833" t="s">
        <v>88</v>
      </c>
      <c r="E10833" t="s">
        <v>738</v>
      </c>
      <c r="F10833" t="s">
        <v>88</v>
      </c>
      <c r="G10833" t="s">
        <v>88</v>
      </c>
      <c r="H10833" t="s">
        <v>92</v>
      </c>
    </row>
    <row r="10834" spans="1:8" x14ac:dyDescent="0.25">
      <c r="A10834" t="s">
        <v>339</v>
      </c>
      <c r="B10834" t="s">
        <v>7301</v>
      </c>
      <c r="C10834" t="s">
        <v>88</v>
      </c>
      <c r="D10834" t="s">
        <v>88</v>
      </c>
      <c r="E10834" t="s">
        <v>732</v>
      </c>
      <c r="F10834" t="s">
        <v>88</v>
      </c>
      <c r="G10834" t="s">
        <v>88</v>
      </c>
      <c r="H10834" t="s">
        <v>92</v>
      </c>
    </row>
    <row r="10835" spans="1:8" x14ac:dyDescent="0.25">
      <c r="A10835" t="s">
        <v>339</v>
      </c>
      <c r="B10835" t="s">
        <v>7738</v>
      </c>
      <c r="C10835" t="s">
        <v>88</v>
      </c>
      <c r="D10835" t="s">
        <v>8933</v>
      </c>
      <c r="E10835" t="s">
        <v>959</v>
      </c>
      <c r="F10835" t="s">
        <v>88</v>
      </c>
      <c r="G10835" t="s">
        <v>88</v>
      </c>
      <c r="H10835" t="s">
        <v>92</v>
      </c>
    </row>
    <row r="10836" spans="1:8" x14ac:dyDescent="0.25">
      <c r="A10836" t="s">
        <v>339</v>
      </c>
      <c r="B10836" t="s">
        <v>1873</v>
      </c>
      <c r="C10836" t="s">
        <v>88</v>
      </c>
      <c r="D10836" t="s">
        <v>88</v>
      </c>
      <c r="E10836" t="s">
        <v>959</v>
      </c>
      <c r="F10836" t="s">
        <v>88</v>
      </c>
      <c r="G10836" t="s">
        <v>88</v>
      </c>
      <c r="H10836" t="s">
        <v>92</v>
      </c>
    </row>
    <row r="10837" spans="1:8" x14ac:dyDescent="0.25">
      <c r="A10837" t="s">
        <v>339</v>
      </c>
      <c r="B10837" t="s">
        <v>7302</v>
      </c>
      <c r="C10837" t="s">
        <v>88</v>
      </c>
      <c r="D10837" t="s">
        <v>88</v>
      </c>
      <c r="E10837" t="s">
        <v>937</v>
      </c>
      <c r="F10837" t="s">
        <v>88</v>
      </c>
      <c r="G10837" t="s">
        <v>88</v>
      </c>
      <c r="H10837" t="s">
        <v>92</v>
      </c>
    </row>
    <row r="10838" spans="1:8" x14ac:dyDescent="0.25">
      <c r="A10838" t="s">
        <v>339</v>
      </c>
      <c r="B10838" t="s">
        <v>7297</v>
      </c>
      <c r="C10838" t="s">
        <v>88</v>
      </c>
      <c r="D10838" t="s">
        <v>88</v>
      </c>
      <c r="E10838" t="s">
        <v>709</v>
      </c>
      <c r="F10838" t="s">
        <v>88</v>
      </c>
      <c r="G10838" t="s">
        <v>88</v>
      </c>
      <c r="H10838" t="s">
        <v>92</v>
      </c>
    </row>
    <row r="10839" spans="1:8" x14ac:dyDescent="0.25">
      <c r="A10839" t="s">
        <v>339</v>
      </c>
      <c r="B10839" t="s">
        <v>4920</v>
      </c>
      <c r="C10839" t="s">
        <v>88</v>
      </c>
      <c r="D10839" t="s">
        <v>88</v>
      </c>
      <c r="E10839" t="s">
        <v>723</v>
      </c>
      <c r="F10839" t="s">
        <v>88</v>
      </c>
      <c r="G10839" t="s">
        <v>88</v>
      </c>
      <c r="H10839" t="s">
        <v>92</v>
      </c>
    </row>
    <row r="10840" spans="1:8" x14ac:dyDescent="0.25">
      <c r="A10840" t="s">
        <v>339</v>
      </c>
      <c r="B10840" t="s">
        <v>701</v>
      </c>
      <c r="C10840" t="s">
        <v>88</v>
      </c>
      <c r="D10840" t="s">
        <v>88</v>
      </c>
      <c r="E10840" t="s">
        <v>734</v>
      </c>
      <c r="F10840" t="s">
        <v>88</v>
      </c>
      <c r="G10840" t="s">
        <v>88</v>
      </c>
      <c r="H10840" t="s">
        <v>92</v>
      </c>
    </row>
    <row r="10841" spans="1:8" x14ac:dyDescent="0.25">
      <c r="A10841" t="s">
        <v>339</v>
      </c>
      <c r="B10841" t="s">
        <v>703</v>
      </c>
      <c r="C10841" t="s">
        <v>88</v>
      </c>
      <c r="D10841" t="s">
        <v>88</v>
      </c>
      <c r="E10841" t="s">
        <v>734</v>
      </c>
      <c r="F10841" t="s">
        <v>88</v>
      </c>
      <c r="G10841" t="s">
        <v>88</v>
      </c>
      <c r="H10841" t="s">
        <v>92</v>
      </c>
    </row>
    <row r="10842" spans="1:8" x14ac:dyDescent="0.25">
      <c r="A10842" t="s">
        <v>339</v>
      </c>
      <c r="B10842" t="s">
        <v>704</v>
      </c>
      <c r="C10842" t="s">
        <v>88</v>
      </c>
      <c r="D10842" t="s">
        <v>88</v>
      </c>
      <c r="E10842" t="s">
        <v>734</v>
      </c>
      <c r="F10842" t="s">
        <v>88</v>
      </c>
      <c r="G10842" t="s">
        <v>88</v>
      </c>
      <c r="H10842" t="s">
        <v>92</v>
      </c>
    </row>
    <row r="10843" spans="1:8" x14ac:dyDescent="0.25">
      <c r="A10843" t="s">
        <v>339</v>
      </c>
      <c r="B10843" t="s">
        <v>705</v>
      </c>
      <c r="C10843" t="s">
        <v>88</v>
      </c>
      <c r="D10843" t="s">
        <v>88</v>
      </c>
      <c r="E10843" t="s">
        <v>734</v>
      </c>
      <c r="F10843" t="s">
        <v>88</v>
      </c>
      <c r="G10843" t="s">
        <v>88</v>
      </c>
      <c r="H10843" t="s">
        <v>92</v>
      </c>
    </row>
    <row r="10844" spans="1:8" x14ac:dyDescent="0.25">
      <c r="A10844" t="s">
        <v>339</v>
      </c>
      <c r="B10844" t="s">
        <v>706</v>
      </c>
      <c r="C10844" t="s">
        <v>88</v>
      </c>
      <c r="D10844" t="s">
        <v>88</v>
      </c>
      <c r="E10844" t="s">
        <v>734</v>
      </c>
      <c r="F10844" t="s">
        <v>88</v>
      </c>
      <c r="G10844" t="s">
        <v>88</v>
      </c>
      <c r="H10844" t="s">
        <v>92</v>
      </c>
    </row>
    <row r="10845" spans="1:8" x14ac:dyDescent="0.25">
      <c r="A10845" t="s">
        <v>339</v>
      </c>
      <c r="B10845" t="s">
        <v>707</v>
      </c>
      <c r="C10845" t="s">
        <v>88</v>
      </c>
      <c r="D10845" t="s">
        <v>88</v>
      </c>
      <c r="E10845" t="s">
        <v>734</v>
      </c>
      <c r="F10845" t="s">
        <v>88</v>
      </c>
      <c r="G10845" t="s">
        <v>88</v>
      </c>
      <c r="H10845" t="s">
        <v>92</v>
      </c>
    </row>
    <row r="10846" spans="1:8" x14ac:dyDescent="0.25">
      <c r="A10846" t="s">
        <v>339</v>
      </c>
      <c r="B10846" t="s">
        <v>708</v>
      </c>
      <c r="C10846" t="s">
        <v>88</v>
      </c>
      <c r="D10846" t="s">
        <v>88</v>
      </c>
      <c r="E10846" t="s">
        <v>734</v>
      </c>
      <c r="F10846" t="s">
        <v>88</v>
      </c>
      <c r="G10846" t="s">
        <v>88</v>
      </c>
      <c r="H10846" t="s">
        <v>92</v>
      </c>
    </row>
    <row r="10847" spans="1:8" x14ac:dyDescent="0.25">
      <c r="A10847" t="s">
        <v>339</v>
      </c>
      <c r="B10847" t="s">
        <v>618</v>
      </c>
      <c r="C10847" t="s">
        <v>88</v>
      </c>
      <c r="D10847" t="s">
        <v>88</v>
      </c>
      <c r="E10847" t="s">
        <v>710</v>
      </c>
      <c r="F10847" t="s">
        <v>88</v>
      </c>
      <c r="G10847" t="s">
        <v>88</v>
      </c>
      <c r="H10847" t="s">
        <v>92</v>
      </c>
    </row>
    <row r="10848" spans="1:8" x14ac:dyDescent="0.25">
      <c r="A10848" t="s">
        <v>339</v>
      </c>
      <c r="B10848" t="s">
        <v>620</v>
      </c>
      <c r="C10848" t="s">
        <v>88</v>
      </c>
      <c r="D10848" t="s">
        <v>88</v>
      </c>
      <c r="E10848" t="s">
        <v>710</v>
      </c>
      <c r="F10848" t="s">
        <v>88</v>
      </c>
      <c r="G10848" t="s">
        <v>88</v>
      </c>
      <c r="H10848" t="s">
        <v>92</v>
      </c>
    </row>
    <row r="10849" spans="1:8" x14ac:dyDescent="0.25">
      <c r="A10849" t="s">
        <v>339</v>
      </c>
      <c r="B10849" t="s">
        <v>8934</v>
      </c>
      <c r="C10849" t="s">
        <v>88</v>
      </c>
      <c r="D10849" t="s">
        <v>88</v>
      </c>
      <c r="E10849" t="s">
        <v>711</v>
      </c>
      <c r="F10849" t="s">
        <v>88</v>
      </c>
      <c r="G10849" t="s">
        <v>88</v>
      </c>
      <c r="H10849" t="s">
        <v>92</v>
      </c>
    </row>
    <row r="10850" spans="1:8" x14ac:dyDescent="0.25">
      <c r="A10850" t="s">
        <v>339</v>
      </c>
      <c r="B10850" t="s">
        <v>623</v>
      </c>
      <c r="C10850" t="s">
        <v>88</v>
      </c>
      <c r="D10850" t="s">
        <v>88</v>
      </c>
      <c r="E10850" t="s">
        <v>735</v>
      </c>
      <c r="F10850" t="s">
        <v>88</v>
      </c>
      <c r="G10850" t="s">
        <v>88</v>
      </c>
      <c r="H10850" t="s">
        <v>92</v>
      </c>
    </row>
    <row r="10851" spans="1:8" x14ac:dyDescent="0.25">
      <c r="A10851" t="s">
        <v>339</v>
      </c>
      <c r="B10851" t="s">
        <v>714</v>
      </c>
      <c r="C10851" t="s">
        <v>88</v>
      </c>
      <c r="D10851" t="s">
        <v>88</v>
      </c>
      <c r="E10851" t="s">
        <v>799</v>
      </c>
      <c r="F10851" t="s">
        <v>88</v>
      </c>
      <c r="G10851" t="s">
        <v>88</v>
      </c>
      <c r="H10851" t="s">
        <v>92</v>
      </c>
    </row>
    <row r="10852" spans="1:8" x14ac:dyDescent="0.25">
      <c r="A10852" t="s">
        <v>339</v>
      </c>
      <c r="B10852" t="s">
        <v>1074</v>
      </c>
      <c r="C10852" t="s">
        <v>88</v>
      </c>
      <c r="D10852" t="s">
        <v>88</v>
      </c>
      <c r="E10852" t="s">
        <v>799</v>
      </c>
      <c r="F10852" t="s">
        <v>88</v>
      </c>
      <c r="G10852" t="s">
        <v>88</v>
      </c>
      <c r="H10852" t="s">
        <v>92</v>
      </c>
    </row>
    <row r="10853" spans="1:8" x14ac:dyDescent="0.25">
      <c r="A10853" t="s">
        <v>339</v>
      </c>
      <c r="B10853" t="s">
        <v>1671</v>
      </c>
      <c r="C10853" t="s">
        <v>88</v>
      </c>
      <c r="D10853" t="s">
        <v>88</v>
      </c>
      <c r="E10853" t="s">
        <v>799</v>
      </c>
      <c r="F10853" t="s">
        <v>88</v>
      </c>
      <c r="G10853" t="s">
        <v>88</v>
      </c>
      <c r="H10853" t="s">
        <v>92</v>
      </c>
    </row>
    <row r="10854" spans="1:8" x14ac:dyDescent="0.25">
      <c r="A10854" t="s">
        <v>339</v>
      </c>
      <c r="B10854" t="s">
        <v>998</v>
      </c>
      <c r="C10854" t="s">
        <v>88</v>
      </c>
      <c r="D10854" t="s">
        <v>88</v>
      </c>
      <c r="E10854" t="s">
        <v>799</v>
      </c>
      <c r="F10854" t="s">
        <v>88</v>
      </c>
      <c r="G10854" t="s">
        <v>88</v>
      </c>
      <c r="H10854" t="s">
        <v>92</v>
      </c>
    </row>
    <row r="10855" spans="1:8" x14ac:dyDescent="0.25">
      <c r="A10855" t="s">
        <v>339</v>
      </c>
      <c r="B10855" t="s">
        <v>1073</v>
      </c>
      <c r="C10855" t="s">
        <v>88</v>
      </c>
      <c r="D10855" t="s">
        <v>88</v>
      </c>
      <c r="E10855" t="s">
        <v>799</v>
      </c>
      <c r="F10855" t="s">
        <v>88</v>
      </c>
      <c r="G10855" t="s">
        <v>88</v>
      </c>
      <c r="H10855" t="s">
        <v>92</v>
      </c>
    </row>
    <row r="10856" spans="1:8" x14ac:dyDescent="0.25">
      <c r="A10856" t="s">
        <v>339</v>
      </c>
      <c r="B10856" t="s">
        <v>1989</v>
      </c>
      <c r="C10856" t="s">
        <v>88</v>
      </c>
      <c r="D10856" t="s">
        <v>88</v>
      </c>
      <c r="E10856" t="s">
        <v>959</v>
      </c>
      <c r="F10856" t="s">
        <v>88</v>
      </c>
      <c r="G10856" t="s">
        <v>88</v>
      </c>
      <c r="H10856" t="s">
        <v>92</v>
      </c>
    </row>
    <row r="10857" spans="1:8" x14ac:dyDescent="0.25">
      <c r="A10857" t="s">
        <v>339</v>
      </c>
      <c r="B10857" t="s">
        <v>625</v>
      </c>
      <c r="C10857" t="s">
        <v>88</v>
      </c>
      <c r="D10857" t="s">
        <v>88</v>
      </c>
      <c r="E10857" t="s">
        <v>626</v>
      </c>
      <c r="F10857" t="s">
        <v>88</v>
      </c>
      <c r="G10857" t="s">
        <v>88</v>
      </c>
      <c r="H10857" t="s">
        <v>92</v>
      </c>
    </row>
    <row r="10858" spans="1:8" x14ac:dyDescent="0.25">
      <c r="A10858" t="s">
        <v>340</v>
      </c>
      <c r="B10858" t="s">
        <v>4158</v>
      </c>
      <c r="C10858" t="s">
        <v>88</v>
      </c>
      <c r="D10858" t="s">
        <v>8935</v>
      </c>
      <c r="E10858" t="s">
        <v>748</v>
      </c>
      <c r="F10858" t="s">
        <v>88</v>
      </c>
      <c r="G10858" t="s">
        <v>88</v>
      </c>
      <c r="H10858" t="s">
        <v>92</v>
      </c>
    </row>
    <row r="10859" spans="1:8" x14ac:dyDescent="0.25">
      <c r="A10859" t="s">
        <v>340</v>
      </c>
      <c r="B10859" t="s">
        <v>8936</v>
      </c>
      <c r="C10859" t="s">
        <v>88</v>
      </c>
      <c r="D10859" t="s">
        <v>8937</v>
      </c>
      <c r="E10859" t="s">
        <v>820</v>
      </c>
      <c r="F10859" t="s">
        <v>88</v>
      </c>
      <c r="G10859" t="s">
        <v>88</v>
      </c>
      <c r="H10859" t="s">
        <v>92</v>
      </c>
    </row>
    <row r="10860" spans="1:8" x14ac:dyDescent="0.25">
      <c r="A10860" t="s">
        <v>340</v>
      </c>
      <c r="B10860" t="s">
        <v>8938</v>
      </c>
      <c r="C10860" t="s">
        <v>88</v>
      </c>
      <c r="D10860" t="s">
        <v>8939</v>
      </c>
      <c r="E10860" t="s">
        <v>6044</v>
      </c>
      <c r="F10860" t="s">
        <v>88</v>
      </c>
      <c r="G10860" t="s">
        <v>88</v>
      </c>
      <c r="H10860" t="s">
        <v>92</v>
      </c>
    </row>
    <row r="10861" spans="1:8" x14ac:dyDescent="0.25">
      <c r="A10861" t="s">
        <v>340</v>
      </c>
      <c r="B10861" t="s">
        <v>4172</v>
      </c>
      <c r="C10861" t="s">
        <v>88</v>
      </c>
      <c r="D10861" t="s">
        <v>8940</v>
      </c>
      <c r="E10861" t="s">
        <v>820</v>
      </c>
      <c r="F10861" t="s">
        <v>88</v>
      </c>
      <c r="G10861" t="s">
        <v>88</v>
      </c>
      <c r="H10861" t="s">
        <v>92</v>
      </c>
    </row>
    <row r="10862" spans="1:8" x14ac:dyDescent="0.25">
      <c r="A10862" t="s">
        <v>340</v>
      </c>
      <c r="B10862" t="s">
        <v>8941</v>
      </c>
      <c r="C10862" t="s">
        <v>88</v>
      </c>
      <c r="D10862" t="s">
        <v>8942</v>
      </c>
      <c r="E10862" t="s">
        <v>1680</v>
      </c>
      <c r="F10862" t="s">
        <v>88</v>
      </c>
      <c r="G10862" t="s">
        <v>88</v>
      </c>
      <c r="H10862" t="s">
        <v>92</v>
      </c>
    </row>
    <row r="10863" spans="1:8" x14ac:dyDescent="0.25">
      <c r="A10863" t="s">
        <v>340</v>
      </c>
      <c r="B10863" t="s">
        <v>8634</v>
      </c>
      <c r="C10863" t="s">
        <v>88</v>
      </c>
      <c r="D10863" t="s">
        <v>8943</v>
      </c>
      <c r="E10863" t="s">
        <v>3593</v>
      </c>
      <c r="F10863" t="s">
        <v>88</v>
      </c>
      <c r="G10863" t="s">
        <v>88</v>
      </c>
      <c r="H10863" t="s">
        <v>92</v>
      </c>
    </row>
    <row r="10864" spans="1:8" x14ac:dyDescent="0.25">
      <c r="A10864" t="s">
        <v>340</v>
      </c>
      <c r="B10864" t="s">
        <v>7547</v>
      </c>
      <c r="C10864" t="s">
        <v>88</v>
      </c>
      <c r="D10864" t="s">
        <v>8944</v>
      </c>
      <c r="E10864" t="s">
        <v>7290</v>
      </c>
      <c r="F10864" t="s">
        <v>88</v>
      </c>
      <c r="G10864" t="s">
        <v>88</v>
      </c>
      <c r="H10864" t="s">
        <v>92</v>
      </c>
    </row>
    <row r="10865" spans="1:8" x14ac:dyDescent="0.25">
      <c r="A10865" t="s">
        <v>340</v>
      </c>
      <c r="B10865" t="s">
        <v>8945</v>
      </c>
      <c r="C10865" t="s">
        <v>88</v>
      </c>
      <c r="D10865" t="s">
        <v>8946</v>
      </c>
      <c r="E10865" t="s">
        <v>3598</v>
      </c>
      <c r="F10865" t="s">
        <v>88</v>
      </c>
      <c r="G10865" t="s">
        <v>88</v>
      </c>
      <c r="H10865" t="s">
        <v>92</v>
      </c>
    </row>
    <row r="10866" spans="1:8" x14ac:dyDescent="0.25">
      <c r="A10866" t="s">
        <v>340</v>
      </c>
      <c r="B10866" t="s">
        <v>8947</v>
      </c>
      <c r="C10866" t="s">
        <v>88</v>
      </c>
      <c r="D10866" t="s">
        <v>8948</v>
      </c>
      <c r="E10866" t="s">
        <v>725</v>
      </c>
      <c r="F10866" t="s">
        <v>88</v>
      </c>
      <c r="G10866" t="s">
        <v>88</v>
      </c>
      <c r="H10866" t="s">
        <v>92</v>
      </c>
    </row>
    <row r="10867" spans="1:8" x14ac:dyDescent="0.25">
      <c r="A10867" t="s">
        <v>340</v>
      </c>
      <c r="B10867" t="s">
        <v>8949</v>
      </c>
      <c r="C10867" t="s">
        <v>88</v>
      </c>
      <c r="D10867" t="s">
        <v>8950</v>
      </c>
      <c r="E10867" t="s">
        <v>725</v>
      </c>
      <c r="F10867" t="s">
        <v>88</v>
      </c>
      <c r="G10867" t="s">
        <v>88</v>
      </c>
      <c r="H10867" t="s">
        <v>92</v>
      </c>
    </row>
    <row r="10868" spans="1:8" x14ac:dyDescent="0.25">
      <c r="A10868" t="s">
        <v>340</v>
      </c>
      <c r="B10868" t="s">
        <v>8951</v>
      </c>
      <c r="C10868" t="s">
        <v>88</v>
      </c>
      <c r="D10868" t="s">
        <v>8952</v>
      </c>
      <c r="E10868" t="s">
        <v>700</v>
      </c>
      <c r="F10868" t="s">
        <v>88</v>
      </c>
      <c r="G10868" t="s">
        <v>88</v>
      </c>
      <c r="H10868" t="s">
        <v>92</v>
      </c>
    </row>
    <row r="10869" spans="1:8" x14ac:dyDescent="0.25">
      <c r="A10869" t="s">
        <v>340</v>
      </c>
      <c r="B10869" t="s">
        <v>8953</v>
      </c>
      <c r="C10869" t="s">
        <v>88</v>
      </c>
      <c r="D10869" t="s">
        <v>8954</v>
      </c>
      <c r="E10869" t="s">
        <v>762</v>
      </c>
      <c r="F10869" t="s">
        <v>88</v>
      </c>
      <c r="G10869" t="s">
        <v>88</v>
      </c>
      <c r="H10869" t="s">
        <v>92</v>
      </c>
    </row>
    <row r="10870" spans="1:8" x14ac:dyDescent="0.25">
      <c r="A10870" t="s">
        <v>340</v>
      </c>
      <c r="B10870" t="s">
        <v>4158</v>
      </c>
      <c r="C10870" t="s">
        <v>88</v>
      </c>
      <c r="D10870" t="s">
        <v>8935</v>
      </c>
      <c r="E10870" t="s">
        <v>748</v>
      </c>
      <c r="F10870" t="s">
        <v>88</v>
      </c>
      <c r="G10870" t="s">
        <v>88</v>
      </c>
      <c r="H10870" t="s">
        <v>92</v>
      </c>
    </row>
    <row r="10871" spans="1:8" x14ac:dyDescent="0.25">
      <c r="A10871" t="s">
        <v>340</v>
      </c>
      <c r="B10871" t="s">
        <v>7636</v>
      </c>
      <c r="C10871" t="s">
        <v>88</v>
      </c>
      <c r="D10871" t="s">
        <v>8955</v>
      </c>
      <c r="E10871" t="s">
        <v>1241</v>
      </c>
      <c r="F10871" t="s">
        <v>88</v>
      </c>
      <c r="G10871" t="s">
        <v>88</v>
      </c>
      <c r="H10871" t="s">
        <v>92</v>
      </c>
    </row>
    <row r="10872" spans="1:8" x14ac:dyDescent="0.25">
      <c r="A10872" t="s">
        <v>340</v>
      </c>
      <c r="B10872" t="s">
        <v>4160</v>
      </c>
      <c r="C10872" t="s">
        <v>88</v>
      </c>
      <c r="D10872" t="s">
        <v>8956</v>
      </c>
      <c r="E10872" t="s">
        <v>1241</v>
      </c>
      <c r="F10872" t="s">
        <v>88</v>
      </c>
      <c r="G10872" t="s">
        <v>88</v>
      </c>
      <c r="H10872" t="s">
        <v>92</v>
      </c>
    </row>
    <row r="10873" spans="1:8" x14ac:dyDescent="0.25">
      <c r="A10873" t="s">
        <v>340</v>
      </c>
      <c r="B10873" t="s">
        <v>7639</v>
      </c>
      <c r="C10873" t="s">
        <v>88</v>
      </c>
      <c r="D10873" t="s">
        <v>8957</v>
      </c>
      <c r="E10873" t="s">
        <v>1353</v>
      </c>
      <c r="F10873" t="s">
        <v>88</v>
      </c>
      <c r="G10873" t="s">
        <v>88</v>
      </c>
      <c r="H10873" t="s">
        <v>92</v>
      </c>
    </row>
    <row r="10874" spans="1:8" x14ac:dyDescent="0.25">
      <c r="A10874" t="s">
        <v>340</v>
      </c>
      <c r="B10874" t="s">
        <v>671</v>
      </c>
      <c r="C10874" t="s">
        <v>88</v>
      </c>
      <c r="D10874" t="s">
        <v>8958</v>
      </c>
      <c r="E10874" t="s">
        <v>700</v>
      </c>
      <c r="F10874" t="s">
        <v>88</v>
      </c>
      <c r="G10874" t="s">
        <v>88</v>
      </c>
      <c r="H10874" t="s">
        <v>92</v>
      </c>
    </row>
    <row r="10875" spans="1:8" x14ac:dyDescent="0.25">
      <c r="A10875" t="s">
        <v>340</v>
      </c>
      <c r="B10875" t="s">
        <v>1842</v>
      </c>
      <c r="C10875" t="s">
        <v>88</v>
      </c>
      <c r="D10875" t="s">
        <v>8959</v>
      </c>
      <c r="E10875" t="s">
        <v>700</v>
      </c>
      <c r="F10875" t="s">
        <v>88</v>
      </c>
      <c r="G10875" t="s">
        <v>88</v>
      </c>
      <c r="H10875" t="s">
        <v>92</v>
      </c>
    </row>
    <row r="10876" spans="1:8" x14ac:dyDescent="0.25">
      <c r="A10876" t="s">
        <v>340</v>
      </c>
      <c r="B10876" t="s">
        <v>1859</v>
      </c>
      <c r="C10876" t="s">
        <v>88</v>
      </c>
      <c r="D10876" t="s">
        <v>8960</v>
      </c>
      <c r="E10876" t="s">
        <v>883</v>
      </c>
      <c r="F10876" t="s">
        <v>88</v>
      </c>
      <c r="G10876" t="s">
        <v>88</v>
      </c>
      <c r="H10876" t="s">
        <v>92</v>
      </c>
    </row>
    <row r="10877" spans="1:8" x14ac:dyDescent="0.25">
      <c r="A10877" t="s">
        <v>340</v>
      </c>
      <c r="B10877" t="s">
        <v>7610</v>
      </c>
      <c r="C10877" t="s">
        <v>88</v>
      </c>
      <c r="D10877" t="s">
        <v>8961</v>
      </c>
      <c r="E10877" t="s">
        <v>692</v>
      </c>
      <c r="F10877" t="s">
        <v>88</v>
      </c>
      <c r="G10877" t="s">
        <v>88</v>
      </c>
      <c r="H10877" t="s">
        <v>92</v>
      </c>
    </row>
    <row r="10878" spans="1:8" x14ac:dyDescent="0.25">
      <c r="A10878" t="s">
        <v>340</v>
      </c>
      <c r="B10878" t="s">
        <v>7612</v>
      </c>
      <c r="C10878" t="s">
        <v>88</v>
      </c>
      <c r="D10878" t="s">
        <v>8962</v>
      </c>
      <c r="E10878" t="s">
        <v>723</v>
      </c>
      <c r="F10878" t="s">
        <v>88</v>
      </c>
      <c r="G10878" t="s">
        <v>88</v>
      </c>
      <c r="H10878" t="s">
        <v>92</v>
      </c>
    </row>
    <row r="10879" spans="1:8" x14ac:dyDescent="0.25">
      <c r="A10879" t="s">
        <v>340</v>
      </c>
      <c r="B10879" t="s">
        <v>8963</v>
      </c>
      <c r="C10879" t="s">
        <v>88</v>
      </c>
      <c r="D10879" t="s">
        <v>8964</v>
      </c>
      <c r="E10879" t="s">
        <v>1282</v>
      </c>
      <c r="F10879" t="s">
        <v>88</v>
      </c>
      <c r="G10879" t="s">
        <v>88</v>
      </c>
      <c r="H10879" t="s">
        <v>92</v>
      </c>
    </row>
    <row r="10880" spans="1:8" x14ac:dyDescent="0.25">
      <c r="A10880" t="s">
        <v>340</v>
      </c>
      <c r="B10880" t="s">
        <v>8936</v>
      </c>
      <c r="C10880" t="s">
        <v>88</v>
      </c>
      <c r="D10880" t="s">
        <v>8937</v>
      </c>
      <c r="E10880" t="s">
        <v>820</v>
      </c>
      <c r="F10880" t="s">
        <v>88</v>
      </c>
      <c r="G10880" t="s">
        <v>88</v>
      </c>
      <c r="H10880" t="s">
        <v>92</v>
      </c>
    </row>
    <row r="10881" spans="1:8" x14ac:dyDescent="0.25">
      <c r="A10881" t="s">
        <v>340</v>
      </c>
      <c r="B10881" t="s">
        <v>4172</v>
      </c>
      <c r="C10881" t="s">
        <v>88</v>
      </c>
      <c r="D10881" t="s">
        <v>8940</v>
      </c>
      <c r="E10881" t="s">
        <v>820</v>
      </c>
      <c r="F10881" t="s">
        <v>88</v>
      </c>
      <c r="G10881" t="s">
        <v>88</v>
      </c>
      <c r="H10881" t="s">
        <v>92</v>
      </c>
    </row>
    <row r="10882" spans="1:8" x14ac:dyDescent="0.25">
      <c r="A10882" t="s">
        <v>340</v>
      </c>
      <c r="B10882" t="s">
        <v>8965</v>
      </c>
      <c r="C10882" t="s">
        <v>88</v>
      </c>
      <c r="D10882" t="s">
        <v>8966</v>
      </c>
      <c r="E10882" t="s">
        <v>820</v>
      </c>
      <c r="F10882" t="s">
        <v>88</v>
      </c>
      <c r="G10882" t="s">
        <v>88</v>
      </c>
      <c r="H10882" t="s">
        <v>92</v>
      </c>
    </row>
    <row r="10883" spans="1:8" x14ac:dyDescent="0.25">
      <c r="A10883" t="s">
        <v>340</v>
      </c>
      <c r="B10883" t="s">
        <v>8967</v>
      </c>
      <c r="C10883" t="s">
        <v>88</v>
      </c>
      <c r="D10883" t="s">
        <v>8968</v>
      </c>
      <c r="E10883" t="s">
        <v>893</v>
      </c>
      <c r="F10883" t="s">
        <v>88</v>
      </c>
      <c r="G10883" t="s">
        <v>88</v>
      </c>
      <c r="H10883" t="s">
        <v>92</v>
      </c>
    </row>
    <row r="10884" spans="1:8" x14ac:dyDescent="0.25">
      <c r="A10884" t="s">
        <v>340</v>
      </c>
      <c r="B10884" t="s">
        <v>8969</v>
      </c>
      <c r="C10884" t="s">
        <v>88</v>
      </c>
      <c r="D10884" t="s">
        <v>8970</v>
      </c>
      <c r="E10884" t="s">
        <v>893</v>
      </c>
      <c r="F10884" t="s">
        <v>88</v>
      </c>
      <c r="G10884" t="s">
        <v>88</v>
      </c>
      <c r="H10884" t="s">
        <v>92</v>
      </c>
    </row>
    <row r="10885" spans="1:8" x14ac:dyDescent="0.25">
      <c r="A10885" t="s">
        <v>340</v>
      </c>
      <c r="B10885" t="s">
        <v>8971</v>
      </c>
      <c r="C10885" t="s">
        <v>88</v>
      </c>
      <c r="D10885" t="s">
        <v>8972</v>
      </c>
      <c r="E10885" t="s">
        <v>760</v>
      </c>
      <c r="F10885" t="s">
        <v>88</v>
      </c>
      <c r="G10885" t="s">
        <v>88</v>
      </c>
      <c r="H10885" t="s">
        <v>92</v>
      </c>
    </row>
    <row r="10886" spans="1:8" x14ac:dyDescent="0.25">
      <c r="A10886" t="s">
        <v>340</v>
      </c>
      <c r="B10886" t="s">
        <v>8973</v>
      </c>
      <c r="C10886" t="s">
        <v>88</v>
      </c>
      <c r="D10886" t="s">
        <v>8974</v>
      </c>
      <c r="E10886" t="s">
        <v>893</v>
      </c>
      <c r="F10886" t="s">
        <v>88</v>
      </c>
      <c r="G10886" t="s">
        <v>88</v>
      </c>
      <c r="H10886" t="s">
        <v>92</v>
      </c>
    </row>
    <row r="10887" spans="1:8" x14ac:dyDescent="0.25">
      <c r="A10887" t="s">
        <v>340</v>
      </c>
      <c r="B10887" t="s">
        <v>8975</v>
      </c>
      <c r="C10887" t="s">
        <v>88</v>
      </c>
      <c r="D10887" t="s">
        <v>8976</v>
      </c>
      <c r="E10887" t="s">
        <v>1282</v>
      </c>
      <c r="F10887" t="s">
        <v>88</v>
      </c>
      <c r="G10887" t="s">
        <v>88</v>
      </c>
      <c r="H10887" t="s">
        <v>92</v>
      </c>
    </row>
    <row r="10888" spans="1:8" x14ac:dyDescent="0.25">
      <c r="A10888" t="s">
        <v>340</v>
      </c>
      <c r="B10888" t="s">
        <v>8977</v>
      </c>
      <c r="C10888" t="s">
        <v>88</v>
      </c>
      <c r="D10888" t="s">
        <v>8978</v>
      </c>
      <c r="E10888" t="s">
        <v>692</v>
      </c>
      <c r="F10888" t="s">
        <v>88</v>
      </c>
      <c r="G10888" t="s">
        <v>88</v>
      </c>
      <c r="H10888" t="s">
        <v>92</v>
      </c>
    </row>
    <row r="10889" spans="1:8" x14ac:dyDescent="0.25">
      <c r="A10889" t="s">
        <v>340</v>
      </c>
      <c r="B10889" t="s">
        <v>8979</v>
      </c>
      <c r="C10889" t="s">
        <v>88</v>
      </c>
      <c r="D10889" t="s">
        <v>8980</v>
      </c>
      <c r="E10889" t="s">
        <v>692</v>
      </c>
      <c r="F10889" t="s">
        <v>88</v>
      </c>
      <c r="G10889" t="s">
        <v>88</v>
      </c>
      <c r="H10889" t="s">
        <v>92</v>
      </c>
    </row>
    <row r="10890" spans="1:8" x14ac:dyDescent="0.25">
      <c r="A10890" t="s">
        <v>340</v>
      </c>
      <c r="B10890" t="s">
        <v>8981</v>
      </c>
      <c r="C10890" t="s">
        <v>88</v>
      </c>
      <c r="D10890" t="s">
        <v>8982</v>
      </c>
      <c r="E10890" t="s">
        <v>692</v>
      </c>
      <c r="F10890" t="s">
        <v>88</v>
      </c>
      <c r="G10890" t="s">
        <v>88</v>
      </c>
      <c r="H10890" t="s">
        <v>92</v>
      </c>
    </row>
    <row r="10891" spans="1:8" x14ac:dyDescent="0.25">
      <c r="A10891" t="s">
        <v>340</v>
      </c>
      <c r="B10891" t="s">
        <v>8983</v>
      </c>
      <c r="C10891" t="s">
        <v>88</v>
      </c>
      <c r="D10891" t="s">
        <v>8984</v>
      </c>
      <c r="E10891" t="s">
        <v>1006</v>
      </c>
      <c r="F10891" t="s">
        <v>88</v>
      </c>
      <c r="G10891" t="s">
        <v>88</v>
      </c>
      <c r="H10891" t="s">
        <v>92</v>
      </c>
    </row>
    <row r="10892" spans="1:8" x14ac:dyDescent="0.25">
      <c r="A10892" t="s">
        <v>340</v>
      </c>
      <c r="B10892" t="s">
        <v>8985</v>
      </c>
      <c r="C10892" t="s">
        <v>88</v>
      </c>
      <c r="D10892" t="s">
        <v>8986</v>
      </c>
      <c r="E10892" t="s">
        <v>1006</v>
      </c>
      <c r="F10892" t="s">
        <v>88</v>
      </c>
      <c r="G10892" t="s">
        <v>88</v>
      </c>
      <c r="H10892" t="s">
        <v>92</v>
      </c>
    </row>
    <row r="10893" spans="1:8" x14ac:dyDescent="0.25">
      <c r="A10893" t="s">
        <v>340</v>
      </c>
      <c r="B10893" t="s">
        <v>8987</v>
      </c>
      <c r="C10893" t="s">
        <v>88</v>
      </c>
      <c r="D10893" t="s">
        <v>8988</v>
      </c>
      <c r="E10893" t="s">
        <v>1353</v>
      </c>
      <c r="F10893" t="s">
        <v>88</v>
      </c>
      <c r="G10893" t="s">
        <v>88</v>
      </c>
      <c r="H10893" t="s">
        <v>92</v>
      </c>
    </row>
    <row r="10894" spans="1:8" x14ac:dyDescent="0.25">
      <c r="A10894" t="s">
        <v>340</v>
      </c>
      <c r="B10894" t="s">
        <v>8989</v>
      </c>
      <c r="C10894" t="s">
        <v>88</v>
      </c>
      <c r="D10894" t="s">
        <v>8990</v>
      </c>
      <c r="E10894" t="s">
        <v>1006</v>
      </c>
      <c r="F10894" t="s">
        <v>88</v>
      </c>
      <c r="G10894" t="s">
        <v>88</v>
      </c>
      <c r="H10894" t="s">
        <v>92</v>
      </c>
    </row>
    <row r="10895" spans="1:8" x14ac:dyDescent="0.25">
      <c r="A10895" t="s">
        <v>340</v>
      </c>
      <c r="B10895" t="s">
        <v>8991</v>
      </c>
      <c r="C10895" t="s">
        <v>88</v>
      </c>
      <c r="D10895" t="s">
        <v>8992</v>
      </c>
      <c r="E10895" t="s">
        <v>1756</v>
      </c>
      <c r="F10895" t="s">
        <v>88</v>
      </c>
      <c r="G10895" t="s">
        <v>88</v>
      </c>
      <c r="H10895" t="s">
        <v>92</v>
      </c>
    </row>
    <row r="10896" spans="1:8" x14ac:dyDescent="0.25">
      <c r="A10896" t="s">
        <v>340</v>
      </c>
      <c r="B10896" t="s">
        <v>8993</v>
      </c>
      <c r="C10896" t="s">
        <v>88</v>
      </c>
      <c r="D10896" t="s">
        <v>8994</v>
      </c>
      <c r="E10896" t="s">
        <v>1756</v>
      </c>
      <c r="F10896" t="s">
        <v>88</v>
      </c>
      <c r="G10896" t="s">
        <v>88</v>
      </c>
      <c r="H10896" t="s">
        <v>92</v>
      </c>
    </row>
    <row r="10897" spans="1:8" x14ac:dyDescent="0.25">
      <c r="A10897" t="s">
        <v>340</v>
      </c>
      <c r="B10897" t="s">
        <v>8995</v>
      </c>
      <c r="C10897" t="s">
        <v>88</v>
      </c>
      <c r="D10897" t="s">
        <v>8996</v>
      </c>
      <c r="E10897" t="s">
        <v>1756</v>
      </c>
      <c r="F10897" t="s">
        <v>88</v>
      </c>
      <c r="G10897" t="s">
        <v>88</v>
      </c>
      <c r="H10897" t="s">
        <v>92</v>
      </c>
    </row>
    <row r="10898" spans="1:8" x14ac:dyDescent="0.25">
      <c r="A10898" t="s">
        <v>340</v>
      </c>
      <c r="B10898" t="s">
        <v>8997</v>
      </c>
      <c r="C10898" t="s">
        <v>88</v>
      </c>
      <c r="D10898" t="s">
        <v>8998</v>
      </c>
      <c r="E10898" t="s">
        <v>1756</v>
      </c>
      <c r="F10898" t="s">
        <v>88</v>
      </c>
      <c r="G10898" t="s">
        <v>88</v>
      </c>
      <c r="H10898" t="s">
        <v>92</v>
      </c>
    </row>
    <row r="10899" spans="1:8" x14ac:dyDescent="0.25">
      <c r="A10899" t="s">
        <v>340</v>
      </c>
      <c r="B10899" t="s">
        <v>8999</v>
      </c>
      <c r="C10899" t="s">
        <v>88</v>
      </c>
      <c r="D10899" t="s">
        <v>9000</v>
      </c>
      <c r="E10899" t="s">
        <v>836</v>
      </c>
      <c r="F10899" t="s">
        <v>88</v>
      </c>
      <c r="G10899" t="s">
        <v>88</v>
      </c>
      <c r="H10899" t="s">
        <v>92</v>
      </c>
    </row>
    <row r="10900" spans="1:8" x14ac:dyDescent="0.25">
      <c r="A10900" t="s">
        <v>340</v>
      </c>
      <c r="B10900" t="s">
        <v>9001</v>
      </c>
      <c r="C10900" t="s">
        <v>88</v>
      </c>
      <c r="D10900" t="s">
        <v>9002</v>
      </c>
      <c r="E10900" t="s">
        <v>836</v>
      </c>
      <c r="F10900" t="s">
        <v>88</v>
      </c>
      <c r="G10900" t="s">
        <v>88</v>
      </c>
      <c r="H10900" t="s">
        <v>92</v>
      </c>
    </row>
    <row r="10901" spans="1:8" x14ac:dyDescent="0.25">
      <c r="A10901" t="s">
        <v>340</v>
      </c>
      <c r="B10901" t="s">
        <v>9003</v>
      </c>
      <c r="C10901" t="s">
        <v>88</v>
      </c>
      <c r="D10901" t="s">
        <v>9004</v>
      </c>
      <c r="E10901" t="s">
        <v>836</v>
      </c>
      <c r="F10901" t="s">
        <v>88</v>
      </c>
      <c r="G10901" t="s">
        <v>88</v>
      </c>
      <c r="H10901" t="s">
        <v>92</v>
      </c>
    </row>
    <row r="10902" spans="1:8" x14ac:dyDescent="0.25">
      <c r="A10902" t="s">
        <v>340</v>
      </c>
      <c r="B10902" t="s">
        <v>9005</v>
      </c>
      <c r="C10902" t="s">
        <v>88</v>
      </c>
      <c r="D10902" t="s">
        <v>9006</v>
      </c>
      <c r="E10902" t="s">
        <v>836</v>
      </c>
      <c r="F10902" t="s">
        <v>88</v>
      </c>
      <c r="G10902" t="s">
        <v>88</v>
      </c>
      <c r="H10902" t="s">
        <v>92</v>
      </c>
    </row>
    <row r="10903" spans="1:8" x14ac:dyDescent="0.25">
      <c r="A10903" t="s">
        <v>340</v>
      </c>
      <c r="B10903" t="s">
        <v>9007</v>
      </c>
      <c r="C10903" t="s">
        <v>88</v>
      </c>
      <c r="D10903" t="s">
        <v>9008</v>
      </c>
      <c r="E10903" t="s">
        <v>1680</v>
      </c>
      <c r="F10903" t="s">
        <v>88</v>
      </c>
      <c r="G10903" t="s">
        <v>88</v>
      </c>
      <c r="H10903" t="s">
        <v>92</v>
      </c>
    </row>
    <row r="10904" spans="1:8" x14ac:dyDescent="0.25">
      <c r="A10904" t="s">
        <v>340</v>
      </c>
      <c r="B10904" t="s">
        <v>9009</v>
      </c>
      <c r="C10904" t="s">
        <v>88</v>
      </c>
      <c r="D10904" t="s">
        <v>9010</v>
      </c>
      <c r="E10904" t="s">
        <v>1680</v>
      </c>
      <c r="F10904" t="s">
        <v>88</v>
      </c>
      <c r="G10904" t="s">
        <v>88</v>
      </c>
      <c r="H10904" t="s">
        <v>92</v>
      </c>
    </row>
    <row r="10905" spans="1:8" x14ac:dyDescent="0.25">
      <c r="A10905" t="s">
        <v>340</v>
      </c>
      <c r="B10905" t="s">
        <v>8941</v>
      </c>
      <c r="C10905" t="s">
        <v>88</v>
      </c>
      <c r="D10905" t="s">
        <v>8942</v>
      </c>
      <c r="E10905" t="s">
        <v>1680</v>
      </c>
      <c r="F10905" t="s">
        <v>88</v>
      </c>
      <c r="G10905" t="s">
        <v>88</v>
      </c>
      <c r="H10905" t="s">
        <v>92</v>
      </c>
    </row>
    <row r="10906" spans="1:8" x14ac:dyDescent="0.25">
      <c r="A10906" t="s">
        <v>340</v>
      </c>
      <c r="B10906" t="s">
        <v>9011</v>
      </c>
      <c r="C10906" t="s">
        <v>88</v>
      </c>
      <c r="D10906" t="s">
        <v>9012</v>
      </c>
      <c r="E10906" t="s">
        <v>1259</v>
      </c>
      <c r="F10906" t="s">
        <v>88</v>
      </c>
      <c r="G10906" t="s">
        <v>88</v>
      </c>
      <c r="H10906" t="s">
        <v>92</v>
      </c>
    </row>
    <row r="10907" spans="1:8" x14ac:dyDescent="0.25">
      <c r="A10907" t="s">
        <v>340</v>
      </c>
      <c r="B10907" t="s">
        <v>9013</v>
      </c>
      <c r="C10907" t="s">
        <v>88</v>
      </c>
      <c r="D10907" t="s">
        <v>9014</v>
      </c>
      <c r="E10907" t="s">
        <v>1259</v>
      </c>
      <c r="F10907" t="s">
        <v>88</v>
      </c>
      <c r="G10907" t="s">
        <v>88</v>
      </c>
      <c r="H10907" t="s">
        <v>92</v>
      </c>
    </row>
    <row r="10908" spans="1:8" x14ac:dyDescent="0.25">
      <c r="A10908" t="s">
        <v>340</v>
      </c>
      <c r="B10908" t="s">
        <v>9015</v>
      </c>
      <c r="C10908" t="s">
        <v>88</v>
      </c>
      <c r="D10908" t="s">
        <v>9016</v>
      </c>
      <c r="E10908" t="s">
        <v>1259</v>
      </c>
      <c r="F10908" t="s">
        <v>88</v>
      </c>
      <c r="G10908" t="s">
        <v>88</v>
      </c>
      <c r="H10908" t="s">
        <v>92</v>
      </c>
    </row>
    <row r="10909" spans="1:8" x14ac:dyDescent="0.25">
      <c r="A10909" t="s">
        <v>340</v>
      </c>
      <c r="B10909" t="s">
        <v>8938</v>
      </c>
      <c r="C10909" t="s">
        <v>88</v>
      </c>
      <c r="D10909" t="s">
        <v>8939</v>
      </c>
      <c r="E10909" t="s">
        <v>6044</v>
      </c>
      <c r="F10909" t="s">
        <v>88</v>
      </c>
      <c r="G10909" t="s">
        <v>88</v>
      </c>
      <c r="H10909" t="s">
        <v>92</v>
      </c>
    </row>
    <row r="10910" spans="1:8" x14ac:dyDescent="0.25">
      <c r="A10910" t="s">
        <v>340</v>
      </c>
      <c r="B10910" t="s">
        <v>9017</v>
      </c>
      <c r="C10910" t="s">
        <v>88</v>
      </c>
      <c r="D10910" t="s">
        <v>9018</v>
      </c>
      <c r="E10910" t="s">
        <v>6044</v>
      </c>
      <c r="F10910" t="s">
        <v>88</v>
      </c>
      <c r="G10910" t="s">
        <v>88</v>
      </c>
      <c r="H10910" t="s">
        <v>92</v>
      </c>
    </row>
    <row r="10911" spans="1:8" x14ac:dyDescent="0.25">
      <c r="A10911" t="s">
        <v>340</v>
      </c>
      <c r="B10911" t="s">
        <v>9019</v>
      </c>
      <c r="C10911" t="s">
        <v>88</v>
      </c>
      <c r="D10911" t="s">
        <v>9020</v>
      </c>
      <c r="E10911" t="s">
        <v>6044</v>
      </c>
      <c r="F10911" t="s">
        <v>88</v>
      </c>
      <c r="G10911" t="s">
        <v>88</v>
      </c>
      <c r="H10911" t="s">
        <v>92</v>
      </c>
    </row>
    <row r="10912" spans="1:8" x14ac:dyDescent="0.25">
      <c r="A10912" t="s">
        <v>340</v>
      </c>
      <c r="B10912" t="s">
        <v>9021</v>
      </c>
      <c r="C10912" t="s">
        <v>88</v>
      </c>
      <c r="D10912" t="s">
        <v>9022</v>
      </c>
      <c r="E10912" t="s">
        <v>6044</v>
      </c>
      <c r="F10912" t="s">
        <v>88</v>
      </c>
      <c r="G10912" t="s">
        <v>88</v>
      </c>
      <c r="H10912" t="s">
        <v>92</v>
      </c>
    </row>
    <row r="10913" spans="1:8" x14ac:dyDescent="0.25">
      <c r="A10913" t="s">
        <v>340</v>
      </c>
      <c r="B10913" t="s">
        <v>9023</v>
      </c>
      <c r="C10913" t="s">
        <v>88</v>
      </c>
      <c r="D10913" t="s">
        <v>9024</v>
      </c>
      <c r="E10913" t="s">
        <v>6044</v>
      </c>
      <c r="F10913" t="s">
        <v>88</v>
      </c>
      <c r="G10913" t="s">
        <v>88</v>
      </c>
      <c r="H10913" t="s">
        <v>92</v>
      </c>
    </row>
    <row r="10914" spans="1:8" x14ac:dyDescent="0.25">
      <c r="A10914" t="s">
        <v>340</v>
      </c>
      <c r="B10914" t="s">
        <v>9025</v>
      </c>
      <c r="C10914" t="s">
        <v>88</v>
      </c>
      <c r="D10914" t="s">
        <v>9026</v>
      </c>
      <c r="E10914" t="s">
        <v>1714</v>
      </c>
      <c r="F10914" t="s">
        <v>88</v>
      </c>
      <c r="G10914" t="s">
        <v>88</v>
      </c>
      <c r="H10914" t="s">
        <v>92</v>
      </c>
    </row>
    <row r="10915" spans="1:8" x14ac:dyDescent="0.25">
      <c r="A10915" t="s">
        <v>340</v>
      </c>
      <c r="B10915" t="s">
        <v>9027</v>
      </c>
      <c r="C10915" t="s">
        <v>88</v>
      </c>
      <c r="D10915" t="s">
        <v>9028</v>
      </c>
      <c r="E10915" t="s">
        <v>1714</v>
      </c>
      <c r="F10915" t="s">
        <v>88</v>
      </c>
      <c r="G10915" t="s">
        <v>88</v>
      </c>
      <c r="H10915" t="s">
        <v>92</v>
      </c>
    </row>
    <row r="10916" spans="1:8" x14ac:dyDescent="0.25">
      <c r="A10916" t="s">
        <v>340</v>
      </c>
      <c r="B10916" t="s">
        <v>9029</v>
      </c>
      <c r="C10916" t="s">
        <v>88</v>
      </c>
      <c r="D10916" t="s">
        <v>9030</v>
      </c>
      <c r="E10916" t="s">
        <v>1714</v>
      </c>
      <c r="F10916" t="s">
        <v>88</v>
      </c>
      <c r="G10916" t="s">
        <v>88</v>
      </c>
      <c r="H10916" t="s">
        <v>92</v>
      </c>
    </row>
    <row r="10917" spans="1:8" x14ac:dyDescent="0.25">
      <c r="A10917" t="s">
        <v>340</v>
      </c>
      <c r="B10917" t="s">
        <v>9031</v>
      </c>
      <c r="C10917" t="s">
        <v>88</v>
      </c>
      <c r="D10917" t="s">
        <v>9032</v>
      </c>
      <c r="E10917" t="s">
        <v>1714</v>
      </c>
      <c r="F10917" t="s">
        <v>88</v>
      </c>
      <c r="G10917" t="s">
        <v>88</v>
      </c>
      <c r="H10917" t="s">
        <v>92</v>
      </c>
    </row>
    <row r="10918" spans="1:8" x14ac:dyDescent="0.25">
      <c r="A10918" t="s">
        <v>340</v>
      </c>
      <c r="B10918" t="s">
        <v>9033</v>
      </c>
      <c r="C10918" t="s">
        <v>88</v>
      </c>
      <c r="D10918" t="s">
        <v>9034</v>
      </c>
      <c r="E10918" t="s">
        <v>5524</v>
      </c>
      <c r="F10918" t="s">
        <v>88</v>
      </c>
      <c r="G10918" t="s">
        <v>88</v>
      </c>
      <c r="H10918" t="s">
        <v>92</v>
      </c>
    </row>
    <row r="10919" spans="1:8" x14ac:dyDescent="0.25">
      <c r="A10919" t="s">
        <v>340</v>
      </c>
      <c r="B10919" t="s">
        <v>9035</v>
      </c>
      <c r="C10919" t="s">
        <v>88</v>
      </c>
      <c r="D10919" t="s">
        <v>9036</v>
      </c>
      <c r="E10919" t="s">
        <v>5524</v>
      </c>
      <c r="F10919" t="s">
        <v>88</v>
      </c>
      <c r="G10919" t="s">
        <v>88</v>
      </c>
      <c r="H10919" t="s">
        <v>92</v>
      </c>
    </row>
    <row r="10920" spans="1:8" x14ac:dyDescent="0.25">
      <c r="A10920" t="s">
        <v>340</v>
      </c>
      <c r="B10920" t="s">
        <v>9037</v>
      </c>
      <c r="C10920" t="s">
        <v>88</v>
      </c>
      <c r="D10920" t="s">
        <v>9038</v>
      </c>
      <c r="E10920" t="s">
        <v>5524</v>
      </c>
      <c r="F10920" t="s">
        <v>88</v>
      </c>
      <c r="G10920" t="s">
        <v>88</v>
      </c>
      <c r="H10920" t="s">
        <v>92</v>
      </c>
    </row>
    <row r="10921" spans="1:8" x14ac:dyDescent="0.25">
      <c r="A10921" t="s">
        <v>340</v>
      </c>
      <c r="B10921" t="s">
        <v>9039</v>
      </c>
      <c r="C10921" t="s">
        <v>88</v>
      </c>
      <c r="D10921" t="s">
        <v>9040</v>
      </c>
      <c r="E10921" t="s">
        <v>5524</v>
      </c>
      <c r="F10921" t="s">
        <v>88</v>
      </c>
      <c r="G10921" t="s">
        <v>88</v>
      </c>
      <c r="H10921" t="s">
        <v>92</v>
      </c>
    </row>
    <row r="10922" spans="1:8" x14ac:dyDescent="0.25">
      <c r="A10922" t="s">
        <v>340</v>
      </c>
      <c r="B10922" t="s">
        <v>9041</v>
      </c>
      <c r="C10922" t="s">
        <v>88</v>
      </c>
      <c r="D10922" t="s">
        <v>9042</v>
      </c>
      <c r="E10922" t="s">
        <v>1153</v>
      </c>
      <c r="F10922" t="s">
        <v>88</v>
      </c>
      <c r="G10922" t="s">
        <v>88</v>
      </c>
      <c r="H10922" t="s">
        <v>92</v>
      </c>
    </row>
    <row r="10923" spans="1:8" x14ac:dyDescent="0.25">
      <c r="A10923" t="s">
        <v>340</v>
      </c>
      <c r="B10923" t="s">
        <v>9043</v>
      </c>
      <c r="C10923" t="s">
        <v>88</v>
      </c>
      <c r="D10923" t="s">
        <v>9044</v>
      </c>
      <c r="E10923" t="s">
        <v>1153</v>
      </c>
      <c r="F10923" t="s">
        <v>88</v>
      </c>
      <c r="G10923" t="s">
        <v>88</v>
      </c>
      <c r="H10923" t="s">
        <v>92</v>
      </c>
    </row>
    <row r="10924" spans="1:8" x14ac:dyDescent="0.25">
      <c r="A10924" t="s">
        <v>340</v>
      </c>
      <c r="B10924" t="s">
        <v>9045</v>
      </c>
      <c r="C10924" t="s">
        <v>88</v>
      </c>
      <c r="D10924" t="s">
        <v>9046</v>
      </c>
      <c r="E10924" t="s">
        <v>1153</v>
      </c>
      <c r="F10924" t="s">
        <v>88</v>
      </c>
      <c r="G10924" t="s">
        <v>88</v>
      </c>
      <c r="H10924" t="s">
        <v>92</v>
      </c>
    </row>
    <row r="10925" spans="1:8" x14ac:dyDescent="0.25">
      <c r="A10925" t="s">
        <v>340</v>
      </c>
      <c r="B10925" t="s">
        <v>9047</v>
      </c>
      <c r="C10925" t="s">
        <v>88</v>
      </c>
      <c r="D10925" t="s">
        <v>9048</v>
      </c>
      <c r="E10925" t="s">
        <v>5524</v>
      </c>
      <c r="F10925" t="s">
        <v>88</v>
      </c>
      <c r="G10925" t="s">
        <v>88</v>
      </c>
      <c r="H10925" t="s">
        <v>92</v>
      </c>
    </row>
    <row r="10926" spans="1:8" x14ac:dyDescent="0.25">
      <c r="A10926" t="s">
        <v>340</v>
      </c>
      <c r="B10926" t="s">
        <v>9049</v>
      </c>
      <c r="C10926" t="s">
        <v>88</v>
      </c>
      <c r="D10926" t="s">
        <v>9050</v>
      </c>
      <c r="E10926" t="s">
        <v>1171</v>
      </c>
      <c r="F10926" t="s">
        <v>88</v>
      </c>
      <c r="G10926" t="s">
        <v>88</v>
      </c>
      <c r="H10926" t="s">
        <v>92</v>
      </c>
    </row>
    <row r="10927" spans="1:8" x14ac:dyDescent="0.25">
      <c r="A10927" t="s">
        <v>340</v>
      </c>
      <c r="B10927" t="s">
        <v>9051</v>
      </c>
      <c r="C10927" t="s">
        <v>88</v>
      </c>
      <c r="D10927" t="s">
        <v>9052</v>
      </c>
      <c r="E10927" t="s">
        <v>1171</v>
      </c>
      <c r="F10927" t="s">
        <v>88</v>
      </c>
      <c r="G10927" t="s">
        <v>88</v>
      </c>
      <c r="H10927" t="s">
        <v>92</v>
      </c>
    </row>
    <row r="10928" spans="1:8" x14ac:dyDescent="0.25">
      <c r="A10928" t="s">
        <v>340</v>
      </c>
      <c r="B10928" t="s">
        <v>9053</v>
      </c>
      <c r="C10928" t="s">
        <v>88</v>
      </c>
      <c r="D10928" t="s">
        <v>9054</v>
      </c>
      <c r="E10928" t="s">
        <v>1171</v>
      </c>
      <c r="F10928" t="s">
        <v>88</v>
      </c>
      <c r="G10928" t="s">
        <v>88</v>
      </c>
      <c r="H10928" t="s">
        <v>92</v>
      </c>
    </row>
    <row r="10929" spans="1:8" x14ac:dyDescent="0.25">
      <c r="A10929" t="s">
        <v>340</v>
      </c>
      <c r="B10929" t="s">
        <v>9055</v>
      </c>
      <c r="C10929" t="s">
        <v>88</v>
      </c>
      <c r="D10929" t="s">
        <v>9056</v>
      </c>
      <c r="E10929" t="s">
        <v>1171</v>
      </c>
      <c r="F10929" t="s">
        <v>88</v>
      </c>
      <c r="G10929" t="s">
        <v>88</v>
      </c>
      <c r="H10929" t="s">
        <v>92</v>
      </c>
    </row>
    <row r="10930" spans="1:8" x14ac:dyDescent="0.25">
      <c r="A10930" t="s">
        <v>340</v>
      </c>
      <c r="B10930" t="s">
        <v>9057</v>
      </c>
      <c r="C10930" t="s">
        <v>88</v>
      </c>
      <c r="D10930" t="s">
        <v>9058</v>
      </c>
      <c r="E10930" t="s">
        <v>4510</v>
      </c>
      <c r="F10930" t="s">
        <v>88</v>
      </c>
      <c r="G10930" t="s">
        <v>88</v>
      </c>
      <c r="H10930" t="s">
        <v>92</v>
      </c>
    </row>
    <row r="10931" spans="1:8" x14ac:dyDescent="0.25">
      <c r="A10931" t="s">
        <v>340</v>
      </c>
      <c r="B10931" t="s">
        <v>9059</v>
      </c>
      <c r="C10931" t="s">
        <v>88</v>
      </c>
      <c r="D10931" t="s">
        <v>9060</v>
      </c>
      <c r="E10931" t="s">
        <v>4510</v>
      </c>
      <c r="F10931" t="s">
        <v>88</v>
      </c>
      <c r="G10931" t="s">
        <v>88</v>
      </c>
      <c r="H10931" t="s">
        <v>92</v>
      </c>
    </row>
    <row r="10932" spans="1:8" x14ac:dyDescent="0.25">
      <c r="A10932" t="s">
        <v>340</v>
      </c>
      <c r="B10932" t="s">
        <v>9061</v>
      </c>
      <c r="C10932" t="s">
        <v>88</v>
      </c>
      <c r="D10932" t="s">
        <v>9062</v>
      </c>
      <c r="E10932" t="s">
        <v>4510</v>
      </c>
      <c r="F10932" t="s">
        <v>88</v>
      </c>
      <c r="G10932" t="s">
        <v>88</v>
      </c>
      <c r="H10932" t="s">
        <v>92</v>
      </c>
    </row>
    <row r="10933" spans="1:8" x14ac:dyDescent="0.25">
      <c r="A10933" t="s">
        <v>340</v>
      </c>
      <c r="B10933" t="s">
        <v>9063</v>
      </c>
      <c r="C10933" t="s">
        <v>88</v>
      </c>
      <c r="D10933" t="s">
        <v>9064</v>
      </c>
      <c r="E10933" t="s">
        <v>4510</v>
      </c>
      <c r="F10933" t="s">
        <v>88</v>
      </c>
      <c r="G10933" t="s">
        <v>88</v>
      </c>
      <c r="H10933" t="s">
        <v>92</v>
      </c>
    </row>
    <row r="10934" spans="1:8" x14ac:dyDescent="0.25">
      <c r="A10934" t="s">
        <v>340</v>
      </c>
      <c r="B10934" t="s">
        <v>9065</v>
      </c>
      <c r="C10934" t="s">
        <v>88</v>
      </c>
      <c r="D10934" t="s">
        <v>9066</v>
      </c>
      <c r="E10934" t="s">
        <v>4294</v>
      </c>
      <c r="F10934" t="s">
        <v>88</v>
      </c>
      <c r="G10934" t="s">
        <v>88</v>
      </c>
      <c r="H10934" t="s">
        <v>92</v>
      </c>
    </row>
    <row r="10935" spans="1:8" x14ac:dyDescent="0.25">
      <c r="A10935" t="s">
        <v>340</v>
      </c>
      <c r="B10935" t="s">
        <v>9067</v>
      </c>
      <c r="C10935" t="s">
        <v>88</v>
      </c>
      <c r="D10935" t="s">
        <v>9068</v>
      </c>
      <c r="E10935" t="s">
        <v>4294</v>
      </c>
      <c r="F10935" t="s">
        <v>88</v>
      </c>
      <c r="G10935" t="s">
        <v>88</v>
      </c>
      <c r="H10935" t="s">
        <v>92</v>
      </c>
    </row>
    <row r="10936" spans="1:8" x14ac:dyDescent="0.25">
      <c r="A10936" t="s">
        <v>340</v>
      </c>
      <c r="B10936" t="s">
        <v>9069</v>
      </c>
      <c r="C10936" t="s">
        <v>88</v>
      </c>
      <c r="D10936" t="s">
        <v>9070</v>
      </c>
      <c r="E10936" t="s">
        <v>4294</v>
      </c>
      <c r="F10936" t="s">
        <v>88</v>
      </c>
      <c r="G10936" t="s">
        <v>88</v>
      </c>
      <c r="H10936" t="s">
        <v>92</v>
      </c>
    </row>
    <row r="10937" spans="1:8" x14ac:dyDescent="0.25">
      <c r="A10937" t="s">
        <v>340</v>
      </c>
      <c r="B10937" t="s">
        <v>9071</v>
      </c>
      <c r="C10937" t="s">
        <v>88</v>
      </c>
      <c r="D10937" t="s">
        <v>9072</v>
      </c>
      <c r="E10937" t="s">
        <v>1171</v>
      </c>
      <c r="F10937" t="s">
        <v>88</v>
      </c>
      <c r="G10937" t="s">
        <v>88</v>
      </c>
      <c r="H10937" t="s">
        <v>92</v>
      </c>
    </row>
    <row r="10938" spans="1:8" x14ac:dyDescent="0.25">
      <c r="A10938" t="s">
        <v>340</v>
      </c>
      <c r="B10938" t="s">
        <v>9073</v>
      </c>
      <c r="C10938" t="s">
        <v>88</v>
      </c>
      <c r="D10938" t="s">
        <v>9074</v>
      </c>
      <c r="E10938" t="s">
        <v>1171</v>
      </c>
      <c r="F10938" t="s">
        <v>88</v>
      </c>
      <c r="G10938" t="s">
        <v>88</v>
      </c>
      <c r="H10938" t="s">
        <v>92</v>
      </c>
    </row>
    <row r="10939" spans="1:8" x14ac:dyDescent="0.25">
      <c r="A10939" t="s">
        <v>340</v>
      </c>
      <c r="B10939" t="s">
        <v>9075</v>
      </c>
      <c r="C10939" t="s">
        <v>88</v>
      </c>
      <c r="D10939" t="s">
        <v>9076</v>
      </c>
      <c r="E10939" t="s">
        <v>1171</v>
      </c>
      <c r="F10939" t="s">
        <v>88</v>
      </c>
      <c r="G10939" t="s">
        <v>88</v>
      </c>
      <c r="H10939" t="s">
        <v>92</v>
      </c>
    </row>
    <row r="10940" spans="1:8" x14ac:dyDescent="0.25">
      <c r="A10940" t="s">
        <v>340</v>
      </c>
      <c r="B10940" t="s">
        <v>9077</v>
      </c>
      <c r="C10940" t="s">
        <v>88</v>
      </c>
      <c r="D10940" t="s">
        <v>9078</v>
      </c>
      <c r="E10940" t="s">
        <v>1171</v>
      </c>
      <c r="F10940" t="s">
        <v>88</v>
      </c>
      <c r="G10940" t="s">
        <v>88</v>
      </c>
      <c r="H10940" t="s">
        <v>92</v>
      </c>
    </row>
    <row r="10941" spans="1:8" x14ac:dyDescent="0.25">
      <c r="A10941" t="s">
        <v>340</v>
      </c>
      <c r="B10941" t="s">
        <v>9079</v>
      </c>
      <c r="C10941" t="s">
        <v>88</v>
      </c>
      <c r="D10941" t="s">
        <v>9080</v>
      </c>
      <c r="E10941" t="s">
        <v>1068</v>
      </c>
      <c r="F10941" t="s">
        <v>88</v>
      </c>
      <c r="G10941" t="s">
        <v>88</v>
      </c>
      <c r="H10941" t="s">
        <v>92</v>
      </c>
    </row>
    <row r="10942" spans="1:8" x14ac:dyDescent="0.25">
      <c r="A10942" t="s">
        <v>340</v>
      </c>
      <c r="B10942" t="s">
        <v>9081</v>
      </c>
      <c r="C10942" t="s">
        <v>88</v>
      </c>
      <c r="D10942" t="s">
        <v>9082</v>
      </c>
      <c r="E10942" t="s">
        <v>1068</v>
      </c>
      <c r="F10942" t="s">
        <v>88</v>
      </c>
      <c r="G10942" t="s">
        <v>88</v>
      </c>
      <c r="H10942" t="s">
        <v>92</v>
      </c>
    </row>
    <row r="10943" spans="1:8" x14ac:dyDescent="0.25">
      <c r="A10943" t="s">
        <v>340</v>
      </c>
      <c r="B10943" t="s">
        <v>9083</v>
      </c>
      <c r="C10943" t="s">
        <v>88</v>
      </c>
      <c r="D10943" t="s">
        <v>9084</v>
      </c>
      <c r="E10943" t="s">
        <v>1068</v>
      </c>
      <c r="F10943" t="s">
        <v>88</v>
      </c>
      <c r="G10943" t="s">
        <v>88</v>
      </c>
      <c r="H10943" t="s">
        <v>92</v>
      </c>
    </row>
    <row r="10944" spans="1:8" x14ac:dyDescent="0.25">
      <c r="A10944" t="s">
        <v>340</v>
      </c>
      <c r="B10944" t="s">
        <v>9085</v>
      </c>
      <c r="C10944" t="s">
        <v>88</v>
      </c>
      <c r="D10944" t="s">
        <v>9086</v>
      </c>
      <c r="E10944" t="s">
        <v>1068</v>
      </c>
      <c r="F10944" t="s">
        <v>88</v>
      </c>
      <c r="G10944" t="s">
        <v>88</v>
      </c>
      <c r="H10944" t="s">
        <v>92</v>
      </c>
    </row>
    <row r="10945" spans="1:8" x14ac:dyDescent="0.25">
      <c r="A10945" t="s">
        <v>340</v>
      </c>
      <c r="B10945" t="s">
        <v>9087</v>
      </c>
      <c r="C10945" t="s">
        <v>88</v>
      </c>
      <c r="D10945" t="s">
        <v>9088</v>
      </c>
      <c r="E10945" t="s">
        <v>1068</v>
      </c>
      <c r="F10945" t="s">
        <v>88</v>
      </c>
      <c r="G10945" t="s">
        <v>88</v>
      </c>
      <c r="H10945" t="s">
        <v>92</v>
      </c>
    </row>
    <row r="10946" spans="1:8" x14ac:dyDescent="0.25">
      <c r="A10946" t="s">
        <v>340</v>
      </c>
      <c r="B10946" t="s">
        <v>9089</v>
      </c>
      <c r="C10946" t="s">
        <v>88</v>
      </c>
      <c r="D10946" t="s">
        <v>9090</v>
      </c>
      <c r="E10946" t="s">
        <v>738</v>
      </c>
      <c r="F10946" t="s">
        <v>88</v>
      </c>
      <c r="G10946" t="s">
        <v>88</v>
      </c>
      <c r="H10946" t="s">
        <v>92</v>
      </c>
    </row>
    <row r="10947" spans="1:8" x14ac:dyDescent="0.25">
      <c r="A10947" t="s">
        <v>340</v>
      </c>
      <c r="B10947" t="s">
        <v>9091</v>
      </c>
      <c r="C10947" t="s">
        <v>88</v>
      </c>
      <c r="D10947" t="s">
        <v>9092</v>
      </c>
      <c r="E10947" t="s">
        <v>723</v>
      </c>
      <c r="F10947" t="s">
        <v>88</v>
      </c>
      <c r="G10947" t="s">
        <v>88</v>
      </c>
      <c r="H10947" t="s">
        <v>92</v>
      </c>
    </row>
    <row r="10948" spans="1:8" x14ac:dyDescent="0.25">
      <c r="A10948" t="s">
        <v>340</v>
      </c>
      <c r="B10948" t="s">
        <v>1871</v>
      </c>
      <c r="C10948" t="s">
        <v>88</v>
      </c>
      <c r="D10948" t="s">
        <v>9093</v>
      </c>
      <c r="E10948" t="s">
        <v>738</v>
      </c>
      <c r="F10948" t="s">
        <v>88</v>
      </c>
      <c r="G10948" t="s">
        <v>88</v>
      </c>
      <c r="H10948" t="s">
        <v>92</v>
      </c>
    </row>
    <row r="10949" spans="1:8" x14ac:dyDescent="0.25">
      <c r="A10949" t="s">
        <v>340</v>
      </c>
      <c r="B10949" t="s">
        <v>583</v>
      </c>
      <c r="C10949" t="s">
        <v>88</v>
      </c>
      <c r="D10949" t="s">
        <v>9094</v>
      </c>
      <c r="E10949" t="s">
        <v>723</v>
      </c>
      <c r="F10949" t="s">
        <v>88</v>
      </c>
      <c r="G10949" t="s">
        <v>88</v>
      </c>
      <c r="H10949" t="s">
        <v>92</v>
      </c>
    </row>
    <row r="10950" spans="1:8" x14ac:dyDescent="0.25">
      <c r="A10950" t="s">
        <v>340</v>
      </c>
      <c r="B10950" t="s">
        <v>9095</v>
      </c>
      <c r="C10950" t="s">
        <v>88</v>
      </c>
      <c r="D10950" t="s">
        <v>88</v>
      </c>
      <c r="E10950" t="s">
        <v>738</v>
      </c>
      <c r="F10950" t="s">
        <v>88</v>
      </c>
      <c r="G10950" t="s">
        <v>88</v>
      </c>
      <c r="H10950" t="s">
        <v>92</v>
      </c>
    </row>
    <row r="10951" spans="1:8" x14ac:dyDescent="0.25">
      <c r="A10951" t="s">
        <v>340</v>
      </c>
      <c r="B10951" t="s">
        <v>4329</v>
      </c>
      <c r="C10951" t="s">
        <v>88</v>
      </c>
      <c r="D10951" t="s">
        <v>88</v>
      </c>
      <c r="E10951" t="s">
        <v>702</v>
      </c>
      <c r="F10951" t="s">
        <v>88</v>
      </c>
      <c r="G10951" t="s">
        <v>88</v>
      </c>
      <c r="H10951" t="s">
        <v>92</v>
      </c>
    </row>
    <row r="10952" spans="1:8" x14ac:dyDescent="0.25">
      <c r="A10952" t="s">
        <v>340</v>
      </c>
      <c r="B10952" t="s">
        <v>606</v>
      </c>
      <c r="C10952" t="s">
        <v>88</v>
      </c>
      <c r="D10952" t="s">
        <v>88</v>
      </c>
      <c r="E10952" t="s">
        <v>702</v>
      </c>
      <c r="F10952" t="s">
        <v>88</v>
      </c>
      <c r="G10952" t="s">
        <v>88</v>
      </c>
      <c r="H10952" t="s">
        <v>92</v>
      </c>
    </row>
    <row r="10953" spans="1:8" x14ac:dyDescent="0.25">
      <c r="A10953" t="s">
        <v>340</v>
      </c>
      <c r="B10953" t="s">
        <v>1322</v>
      </c>
      <c r="C10953" t="s">
        <v>88</v>
      </c>
      <c r="D10953" t="s">
        <v>88</v>
      </c>
      <c r="E10953" t="s">
        <v>738</v>
      </c>
      <c r="F10953" t="s">
        <v>88</v>
      </c>
      <c r="G10953" t="s">
        <v>88</v>
      </c>
      <c r="H10953" t="s">
        <v>92</v>
      </c>
    </row>
    <row r="10954" spans="1:8" x14ac:dyDescent="0.25">
      <c r="A10954" t="s">
        <v>340</v>
      </c>
      <c r="B10954" t="s">
        <v>701</v>
      </c>
      <c r="C10954" t="s">
        <v>88</v>
      </c>
      <c r="D10954" t="s">
        <v>88</v>
      </c>
      <c r="E10954" t="s">
        <v>732</v>
      </c>
      <c r="F10954" t="s">
        <v>88</v>
      </c>
      <c r="G10954" t="s">
        <v>88</v>
      </c>
      <c r="H10954" t="s">
        <v>92</v>
      </c>
    </row>
    <row r="10955" spans="1:8" x14ac:dyDescent="0.25">
      <c r="A10955" t="s">
        <v>340</v>
      </c>
      <c r="B10955" t="s">
        <v>707</v>
      </c>
      <c r="C10955" t="s">
        <v>88</v>
      </c>
      <c r="D10955" t="s">
        <v>88</v>
      </c>
      <c r="E10955" t="s">
        <v>734</v>
      </c>
      <c r="F10955" t="s">
        <v>88</v>
      </c>
      <c r="G10955" t="s">
        <v>88</v>
      </c>
      <c r="H10955" t="s">
        <v>92</v>
      </c>
    </row>
    <row r="10956" spans="1:8" x14ac:dyDescent="0.25">
      <c r="A10956" t="s">
        <v>340</v>
      </c>
      <c r="B10956" t="s">
        <v>733</v>
      </c>
      <c r="C10956" t="s">
        <v>88</v>
      </c>
      <c r="D10956" t="s">
        <v>88</v>
      </c>
      <c r="E10956" t="s">
        <v>732</v>
      </c>
      <c r="F10956" t="s">
        <v>88</v>
      </c>
      <c r="G10956" t="s">
        <v>88</v>
      </c>
      <c r="H10956" t="s">
        <v>92</v>
      </c>
    </row>
    <row r="10957" spans="1:8" x14ac:dyDescent="0.25">
      <c r="A10957" t="s">
        <v>340</v>
      </c>
      <c r="B10957" t="s">
        <v>620</v>
      </c>
      <c r="C10957" t="s">
        <v>88</v>
      </c>
      <c r="D10957" t="s">
        <v>88</v>
      </c>
      <c r="E10957" t="s">
        <v>710</v>
      </c>
      <c r="F10957" t="s">
        <v>88</v>
      </c>
      <c r="G10957" t="s">
        <v>88</v>
      </c>
      <c r="H10957" t="s">
        <v>92</v>
      </c>
    </row>
    <row r="10958" spans="1:8" x14ac:dyDescent="0.25">
      <c r="A10958" t="s">
        <v>340</v>
      </c>
      <c r="B10958" t="s">
        <v>622</v>
      </c>
      <c r="C10958" t="s">
        <v>88</v>
      </c>
      <c r="D10958" t="s">
        <v>88</v>
      </c>
      <c r="E10958" t="s">
        <v>711</v>
      </c>
      <c r="F10958" t="s">
        <v>88</v>
      </c>
      <c r="G10958" t="s">
        <v>88</v>
      </c>
      <c r="H10958" t="s">
        <v>92</v>
      </c>
    </row>
    <row r="10959" spans="1:8" x14ac:dyDescent="0.25">
      <c r="A10959" t="s">
        <v>340</v>
      </c>
      <c r="B10959" t="s">
        <v>623</v>
      </c>
      <c r="C10959" t="s">
        <v>88</v>
      </c>
      <c r="D10959" t="s">
        <v>88</v>
      </c>
      <c r="E10959" t="s">
        <v>735</v>
      </c>
      <c r="F10959" t="s">
        <v>88</v>
      </c>
      <c r="G10959" t="s">
        <v>88</v>
      </c>
      <c r="H10959" t="s">
        <v>92</v>
      </c>
    </row>
    <row r="10960" spans="1:8" x14ac:dyDescent="0.25">
      <c r="A10960" t="s">
        <v>340</v>
      </c>
      <c r="B10960" t="s">
        <v>714</v>
      </c>
      <c r="C10960" t="s">
        <v>88</v>
      </c>
      <c r="D10960" t="s">
        <v>88</v>
      </c>
      <c r="E10960" t="s">
        <v>702</v>
      </c>
      <c r="F10960" t="s">
        <v>88</v>
      </c>
      <c r="G10960" t="s">
        <v>88</v>
      </c>
      <c r="H10960" t="s">
        <v>92</v>
      </c>
    </row>
    <row r="10961" spans="1:8" x14ac:dyDescent="0.25">
      <c r="A10961" t="s">
        <v>340</v>
      </c>
      <c r="B10961" t="s">
        <v>998</v>
      </c>
      <c r="C10961" t="s">
        <v>88</v>
      </c>
      <c r="D10961" t="s">
        <v>88</v>
      </c>
      <c r="E10961" t="s">
        <v>732</v>
      </c>
      <c r="F10961" t="s">
        <v>88</v>
      </c>
      <c r="G10961" t="s">
        <v>88</v>
      </c>
      <c r="H10961" t="s">
        <v>92</v>
      </c>
    </row>
    <row r="10962" spans="1:8" x14ac:dyDescent="0.25">
      <c r="A10962" t="s">
        <v>340</v>
      </c>
      <c r="B10962" t="s">
        <v>1609</v>
      </c>
      <c r="C10962" t="s">
        <v>88</v>
      </c>
      <c r="D10962" t="s">
        <v>88</v>
      </c>
      <c r="E10962" t="s">
        <v>850</v>
      </c>
      <c r="F10962" t="s">
        <v>88</v>
      </c>
      <c r="G10962" t="s">
        <v>88</v>
      </c>
      <c r="H10962" t="s">
        <v>92</v>
      </c>
    </row>
    <row r="10963" spans="1:8" x14ac:dyDescent="0.25">
      <c r="A10963" t="s">
        <v>340</v>
      </c>
      <c r="B10963" t="s">
        <v>1611</v>
      </c>
      <c r="C10963" t="s">
        <v>88</v>
      </c>
      <c r="D10963" t="s">
        <v>88</v>
      </c>
      <c r="E10963" t="s">
        <v>850</v>
      </c>
      <c r="F10963" t="s">
        <v>88</v>
      </c>
      <c r="G10963" t="s">
        <v>88</v>
      </c>
      <c r="H10963" t="s">
        <v>92</v>
      </c>
    </row>
    <row r="10964" spans="1:8" x14ac:dyDescent="0.25">
      <c r="A10964" t="s">
        <v>340</v>
      </c>
      <c r="B10964" t="s">
        <v>625</v>
      </c>
      <c r="C10964" t="s">
        <v>88</v>
      </c>
      <c r="D10964" t="s">
        <v>88</v>
      </c>
      <c r="E10964" t="s">
        <v>626</v>
      </c>
      <c r="F10964" t="s">
        <v>88</v>
      </c>
      <c r="G10964" t="s">
        <v>88</v>
      </c>
      <c r="H10964" t="s">
        <v>92</v>
      </c>
    </row>
    <row r="10965" spans="1:8" x14ac:dyDescent="0.25">
      <c r="A10965" t="s">
        <v>341</v>
      </c>
      <c r="B10965" t="s">
        <v>9096</v>
      </c>
      <c r="C10965" t="s">
        <v>88</v>
      </c>
      <c r="D10965" t="s">
        <v>9097</v>
      </c>
      <c r="E10965" t="s">
        <v>676</v>
      </c>
      <c r="F10965" t="s">
        <v>88</v>
      </c>
      <c r="G10965" t="s">
        <v>88</v>
      </c>
      <c r="H10965" t="s">
        <v>92</v>
      </c>
    </row>
    <row r="10966" spans="1:8" x14ac:dyDescent="0.25">
      <c r="A10966" t="s">
        <v>341</v>
      </c>
      <c r="B10966" t="s">
        <v>4158</v>
      </c>
      <c r="C10966" t="s">
        <v>88</v>
      </c>
      <c r="D10966" t="s">
        <v>4159</v>
      </c>
      <c r="E10966" t="s">
        <v>1139</v>
      </c>
      <c r="F10966" t="s">
        <v>88</v>
      </c>
      <c r="G10966" t="s">
        <v>88</v>
      </c>
      <c r="H10966" t="s">
        <v>92</v>
      </c>
    </row>
    <row r="10967" spans="1:8" x14ac:dyDescent="0.25">
      <c r="A10967" t="s">
        <v>341</v>
      </c>
      <c r="B10967" t="s">
        <v>9098</v>
      </c>
      <c r="C10967" t="s">
        <v>88</v>
      </c>
      <c r="D10967" t="s">
        <v>9099</v>
      </c>
      <c r="E10967" t="s">
        <v>2503</v>
      </c>
      <c r="F10967" t="s">
        <v>88</v>
      </c>
      <c r="G10967" t="s">
        <v>88</v>
      </c>
      <c r="H10967" t="s">
        <v>92</v>
      </c>
    </row>
    <row r="10968" spans="1:8" x14ac:dyDescent="0.25">
      <c r="A10968" t="s">
        <v>341</v>
      </c>
      <c r="B10968" t="s">
        <v>9100</v>
      </c>
      <c r="C10968" t="s">
        <v>88</v>
      </c>
      <c r="D10968" t="s">
        <v>9101</v>
      </c>
      <c r="E10968" t="s">
        <v>5985</v>
      </c>
      <c r="F10968" t="s">
        <v>88</v>
      </c>
      <c r="G10968" t="s">
        <v>88</v>
      </c>
      <c r="H10968" t="s">
        <v>92</v>
      </c>
    </row>
    <row r="10969" spans="1:8" x14ac:dyDescent="0.25">
      <c r="A10969" t="s">
        <v>341</v>
      </c>
      <c r="B10969" t="s">
        <v>9102</v>
      </c>
      <c r="C10969" t="s">
        <v>88</v>
      </c>
      <c r="D10969" t="s">
        <v>9103</v>
      </c>
      <c r="E10969" t="s">
        <v>814</v>
      </c>
      <c r="F10969" t="s">
        <v>88</v>
      </c>
      <c r="G10969" t="s">
        <v>88</v>
      </c>
      <c r="H10969" t="s">
        <v>92</v>
      </c>
    </row>
    <row r="10970" spans="1:8" x14ac:dyDescent="0.25">
      <c r="A10970" t="s">
        <v>341</v>
      </c>
      <c r="B10970" t="s">
        <v>9100</v>
      </c>
      <c r="C10970" t="s">
        <v>88</v>
      </c>
      <c r="D10970" t="s">
        <v>9101</v>
      </c>
      <c r="E10970" t="s">
        <v>5985</v>
      </c>
      <c r="F10970" t="s">
        <v>88</v>
      </c>
      <c r="G10970" t="s">
        <v>88</v>
      </c>
      <c r="H10970" t="s">
        <v>92</v>
      </c>
    </row>
    <row r="10971" spans="1:8" x14ac:dyDescent="0.25">
      <c r="A10971" t="s">
        <v>341</v>
      </c>
      <c r="B10971" t="s">
        <v>9104</v>
      </c>
      <c r="C10971" t="s">
        <v>88</v>
      </c>
      <c r="D10971" t="s">
        <v>9105</v>
      </c>
      <c r="E10971" t="s">
        <v>886</v>
      </c>
      <c r="F10971" t="s">
        <v>88</v>
      </c>
      <c r="G10971" t="s">
        <v>88</v>
      </c>
      <c r="H10971" t="s">
        <v>92</v>
      </c>
    </row>
    <row r="10972" spans="1:8" x14ac:dyDescent="0.25">
      <c r="A10972" t="s">
        <v>341</v>
      </c>
      <c r="B10972" t="s">
        <v>9102</v>
      </c>
      <c r="C10972" t="s">
        <v>88</v>
      </c>
      <c r="D10972" t="s">
        <v>9103</v>
      </c>
      <c r="E10972" t="s">
        <v>814</v>
      </c>
      <c r="F10972" t="s">
        <v>88</v>
      </c>
      <c r="G10972" t="s">
        <v>88</v>
      </c>
      <c r="H10972" t="s">
        <v>92</v>
      </c>
    </row>
    <row r="10973" spans="1:8" x14ac:dyDescent="0.25">
      <c r="A10973" t="s">
        <v>341</v>
      </c>
      <c r="B10973" t="s">
        <v>9106</v>
      </c>
      <c r="C10973" t="s">
        <v>88</v>
      </c>
      <c r="D10973" t="s">
        <v>9107</v>
      </c>
      <c r="E10973" t="s">
        <v>1241</v>
      </c>
      <c r="F10973" t="s">
        <v>88</v>
      </c>
      <c r="G10973" t="s">
        <v>88</v>
      </c>
      <c r="H10973" t="s">
        <v>92</v>
      </c>
    </row>
    <row r="10974" spans="1:8" x14ac:dyDescent="0.25">
      <c r="A10974" t="s">
        <v>341</v>
      </c>
      <c r="B10974" t="s">
        <v>671</v>
      </c>
      <c r="C10974" t="s">
        <v>88</v>
      </c>
      <c r="D10974" t="s">
        <v>9108</v>
      </c>
      <c r="E10974" t="s">
        <v>717</v>
      </c>
      <c r="F10974" t="s">
        <v>88</v>
      </c>
      <c r="G10974" t="s">
        <v>88</v>
      </c>
      <c r="H10974" t="s">
        <v>92</v>
      </c>
    </row>
    <row r="10975" spans="1:8" x14ac:dyDescent="0.25">
      <c r="A10975" t="s">
        <v>341</v>
      </c>
      <c r="B10975" t="s">
        <v>4158</v>
      </c>
      <c r="C10975" t="s">
        <v>88</v>
      </c>
      <c r="D10975" t="s">
        <v>4159</v>
      </c>
      <c r="E10975" t="s">
        <v>1139</v>
      </c>
      <c r="F10975" t="s">
        <v>88</v>
      </c>
      <c r="G10975" t="s">
        <v>88</v>
      </c>
      <c r="H10975" t="s">
        <v>92</v>
      </c>
    </row>
    <row r="10976" spans="1:8" x14ac:dyDescent="0.25">
      <c r="A10976" t="s">
        <v>341</v>
      </c>
      <c r="B10976" t="s">
        <v>9109</v>
      </c>
      <c r="C10976" t="s">
        <v>88</v>
      </c>
      <c r="D10976" t="s">
        <v>4189</v>
      </c>
      <c r="E10976" t="s">
        <v>5256</v>
      </c>
      <c r="F10976" t="s">
        <v>88</v>
      </c>
      <c r="G10976" t="s">
        <v>88</v>
      </c>
      <c r="H10976" t="s">
        <v>92</v>
      </c>
    </row>
    <row r="10977" spans="1:8" x14ac:dyDescent="0.25">
      <c r="A10977" t="s">
        <v>341</v>
      </c>
      <c r="B10977" t="s">
        <v>1859</v>
      </c>
      <c r="C10977" t="s">
        <v>88</v>
      </c>
      <c r="D10977" t="s">
        <v>2844</v>
      </c>
      <c r="E10977" t="s">
        <v>2464</v>
      </c>
      <c r="F10977" t="s">
        <v>88</v>
      </c>
      <c r="G10977" t="s">
        <v>88</v>
      </c>
      <c r="H10977" t="s">
        <v>92</v>
      </c>
    </row>
    <row r="10978" spans="1:8" x14ac:dyDescent="0.25">
      <c r="A10978" t="s">
        <v>341</v>
      </c>
      <c r="B10978" t="s">
        <v>1842</v>
      </c>
      <c r="C10978" t="s">
        <v>88</v>
      </c>
      <c r="D10978" t="s">
        <v>2845</v>
      </c>
      <c r="E10978" t="s">
        <v>700</v>
      </c>
      <c r="F10978" t="s">
        <v>88</v>
      </c>
      <c r="G10978" t="s">
        <v>88</v>
      </c>
      <c r="H10978" t="s">
        <v>92</v>
      </c>
    </row>
    <row r="10979" spans="1:8" x14ac:dyDescent="0.25">
      <c r="A10979" t="s">
        <v>341</v>
      </c>
      <c r="B10979" t="s">
        <v>2965</v>
      </c>
      <c r="C10979" t="s">
        <v>88</v>
      </c>
      <c r="D10979" t="s">
        <v>7622</v>
      </c>
      <c r="E10979" t="s">
        <v>2800</v>
      </c>
      <c r="F10979" t="s">
        <v>88</v>
      </c>
      <c r="G10979" t="s">
        <v>88</v>
      </c>
      <c r="H10979" t="s">
        <v>92</v>
      </c>
    </row>
    <row r="10980" spans="1:8" x14ac:dyDescent="0.25">
      <c r="A10980" t="s">
        <v>341</v>
      </c>
      <c r="B10980" t="s">
        <v>4192</v>
      </c>
      <c r="C10980" t="s">
        <v>88</v>
      </c>
      <c r="D10980" t="s">
        <v>4193</v>
      </c>
      <c r="E10980" t="s">
        <v>2464</v>
      </c>
      <c r="F10980" t="s">
        <v>88</v>
      </c>
      <c r="G10980" t="s">
        <v>88</v>
      </c>
      <c r="H10980" t="s">
        <v>92</v>
      </c>
    </row>
    <row r="10981" spans="1:8" x14ac:dyDescent="0.25">
      <c r="A10981" t="s">
        <v>341</v>
      </c>
      <c r="B10981" t="s">
        <v>4190</v>
      </c>
      <c r="C10981" t="s">
        <v>88</v>
      </c>
      <c r="D10981" t="s">
        <v>4191</v>
      </c>
      <c r="E10981" t="s">
        <v>979</v>
      </c>
      <c r="F10981" t="s">
        <v>88</v>
      </c>
      <c r="G10981" t="s">
        <v>88</v>
      </c>
      <c r="H10981" t="s">
        <v>92</v>
      </c>
    </row>
    <row r="10982" spans="1:8" x14ac:dyDescent="0.25">
      <c r="A10982" t="s">
        <v>341</v>
      </c>
      <c r="B10982" t="s">
        <v>8686</v>
      </c>
      <c r="C10982" t="s">
        <v>88</v>
      </c>
      <c r="D10982" t="s">
        <v>9110</v>
      </c>
      <c r="E10982" t="s">
        <v>979</v>
      </c>
      <c r="F10982" t="s">
        <v>88</v>
      </c>
      <c r="G10982" t="s">
        <v>88</v>
      </c>
      <c r="H10982" t="s">
        <v>92</v>
      </c>
    </row>
    <row r="10983" spans="1:8" x14ac:dyDescent="0.25">
      <c r="A10983" t="s">
        <v>341</v>
      </c>
      <c r="B10983" t="s">
        <v>9111</v>
      </c>
      <c r="C10983" t="s">
        <v>88</v>
      </c>
      <c r="D10983" t="s">
        <v>9112</v>
      </c>
      <c r="E10983" t="s">
        <v>748</v>
      </c>
      <c r="F10983" t="s">
        <v>88</v>
      </c>
      <c r="G10983" t="s">
        <v>88</v>
      </c>
      <c r="H10983" t="s">
        <v>92</v>
      </c>
    </row>
    <row r="10984" spans="1:8" x14ac:dyDescent="0.25">
      <c r="A10984" t="s">
        <v>341</v>
      </c>
      <c r="B10984" t="s">
        <v>9113</v>
      </c>
      <c r="C10984" t="s">
        <v>88</v>
      </c>
      <c r="D10984" t="s">
        <v>4178</v>
      </c>
      <c r="E10984" t="s">
        <v>889</v>
      </c>
      <c r="F10984" t="s">
        <v>88</v>
      </c>
      <c r="G10984" t="s">
        <v>88</v>
      </c>
      <c r="H10984" t="s">
        <v>92</v>
      </c>
    </row>
    <row r="10985" spans="1:8" x14ac:dyDescent="0.25">
      <c r="A10985" t="s">
        <v>341</v>
      </c>
      <c r="B10985" t="s">
        <v>8851</v>
      </c>
      <c r="C10985" t="s">
        <v>88</v>
      </c>
      <c r="D10985" t="s">
        <v>9114</v>
      </c>
      <c r="E10985" t="s">
        <v>5256</v>
      </c>
      <c r="F10985" t="s">
        <v>88</v>
      </c>
      <c r="G10985" t="s">
        <v>88</v>
      </c>
      <c r="H10985" t="s">
        <v>92</v>
      </c>
    </row>
    <row r="10986" spans="1:8" x14ac:dyDescent="0.25">
      <c r="A10986" t="s">
        <v>341</v>
      </c>
      <c r="B10986" t="s">
        <v>8852</v>
      </c>
      <c r="C10986" t="s">
        <v>88</v>
      </c>
      <c r="D10986" t="s">
        <v>9115</v>
      </c>
      <c r="E10986" t="s">
        <v>2464</v>
      </c>
      <c r="F10986" t="s">
        <v>88</v>
      </c>
      <c r="G10986" t="s">
        <v>88</v>
      </c>
      <c r="H10986" t="s">
        <v>92</v>
      </c>
    </row>
    <row r="10987" spans="1:8" x14ac:dyDescent="0.25">
      <c r="A10987" t="s">
        <v>341</v>
      </c>
      <c r="B10987" t="s">
        <v>9116</v>
      </c>
      <c r="C10987" t="s">
        <v>88</v>
      </c>
      <c r="D10987" t="s">
        <v>9117</v>
      </c>
      <c r="E10987" t="s">
        <v>2445</v>
      </c>
      <c r="F10987" t="s">
        <v>88</v>
      </c>
      <c r="G10987" t="s">
        <v>88</v>
      </c>
      <c r="H10987" t="s">
        <v>92</v>
      </c>
    </row>
    <row r="10988" spans="1:8" x14ac:dyDescent="0.25">
      <c r="A10988" t="s">
        <v>341</v>
      </c>
      <c r="B10988" t="s">
        <v>9118</v>
      </c>
      <c r="C10988" t="s">
        <v>88</v>
      </c>
      <c r="D10988" t="s">
        <v>4161</v>
      </c>
      <c r="E10988" t="s">
        <v>2464</v>
      </c>
      <c r="F10988" t="s">
        <v>88</v>
      </c>
      <c r="G10988" t="s">
        <v>88</v>
      </c>
      <c r="H10988" t="s">
        <v>92</v>
      </c>
    </row>
    <row r="10989" spans="1:8" x14ac:dyDescent="0.25">
      <c r="A10989" t="s">
        <v>341</v>
      </c>
      <c r="B10989" t="s">
        <v>9098</v>
      </c>
      <c r="C10989" t="s">
        <v>88</v>
      </c>
      <c r="D10989" t="s">
        <v>9099</v>
      </c>
      <c r="E10989" t="s">
        <v>2503</v>
      </c>
      <c r="F10989" t="s">
        <v>88</v>
      </c>
      <c r="G10989" t="s">
        <v>88</v>
      </c>
      <c r="H10989" t="s">
        <v>92</v>
      </c>
    </row>
    <row r="10990" spans="1:8" x14ac:dyDescent="0.25">
      <c r="A10990" t="s">
        <v>341</v>
      </c>
      <c r="B10990" t="s">
        <v>9119</v>
      </c>
      <c r="C10990" t="s">
        <v>88</v>
      </c>
      <c r="D10990" t="s">
        <v>9120</v>
      </c>
      <c r="E10990" t="s">
        <v>3015</v>
      </c>
      <c r="F10990" t="s">
        <v>88</v>
      </c>
      <c r="G10990" t="s">
        <v>88</v>
      </c>
      <c r="H10990" t="s">
        <v>92</v>
      </c>
    </row>
    <row r="10991" spans="1:8" x14ac:dyDescent="0.25">
      <c r="A10991" t="s">
        <v>341</v>
      </c>
      <c r="B10991" t="s">
        <v>9096</v>
      </c>
      <c r="C10991" t="s">
        <v>88</v>
      </c>
      <c r="D10991" t="s">
        <v>9097</v>
      </c>
      <c r="E10991" t="s">
        <v>676</v>
      </c>
      <c r="F10991" t="s">
        <v>88</v>
      </c>
      <c r="G10991" t="s">
        <v>88</v>
      </c>
      <c r="H10991" t="s">
        <v>92</v>
      </c>
    </row>
    <row r="10992" spans="1:8" x14ac:dyDescent="0.25">
      <c r="A10992" t="s">
        <v>341</v>
      </c>
      <c r="B10992" t="s">
        <v>4174</v>
      </c>
      <c r="C10992" t="s">
        <v>88</v>
      </c>
      <c r="D10992" t="s">
        <v>4175</v>
      </c>
      <c r="E10992" t="s">
        <v>5256</v>
      </c>
      <c r="F10992" t="s">
        <v>88</v>
      </c>
      <c r="G10992" t="s">
        <v>88</v>
      </c>
      <c r="H10992" t="s">
        <v>92</v>
      </c>
    </row>
    <row r="10993" spans="1:8" x14ac:dyDescent="0.25">
      <c r="A10993" t="s">
        <v>341</v>
      </c>
      <c r="B10993" t="s">
        <v>9121</v>
      </c>
      <c r="C10993" t="s">
        <v>88</v>
      </c>
      <c r="D10993" t="s">
        <v>9122</v>
      </c>
      <c r="E10993" t="s">
        <v>889</v>
      </c>
      <c r="F10993" t="s">
        <v>88</v>
      </c>
      <c r="G10993" t="s">
        <v>88</v>
      </c>
      <c r="H10993" t="s">
        <v>92</v>
      </c>
    </row>
    <row r="10994" spans="1:8" x14ac:dyDescent="0.25">
      <c r="A10994" t="s">
        <v>341</v>
      </c>
      <c r="B10994" t="s">
        <v>9123</v>
      </c>
      <c r="C10994" t="s">
        <v>88</v>
      </c>
      <c r="D10994" t="s">
        <v>8878</v>
      </c>
      <c r="E10994" t="s">
        <v>2481</v>
      </c>
      <c r="F10994" t="s">
        <v>88</v>
      </c>
      <c r="G10994" t="s">
        <v>88</v>
      </c>
      <c r="H10994" t="s">
        <v>92</v>
      </c>
    </row>
    <row r="10995" spans="1:8" x14ac:dyDescent="0.25">
      <c r="A10995" t="s">
        <v>341</v>
      </c>
      <c r="B10995" t="s">
        <v>4217</v>
      </c>
      <c r="C10995" t="s">
        <v>88</v>
      </c>
      <c r="D10995" t="s">
        <v>9124</v>
      </c>
      <c r="E10995" t="s">
        <v>1194</v>
      </c>
      <c r="F10995" t="s">
        <v>88</v>
      </c>
      <c r="G10995" t="s">
        <v>88</v>
      </c>
      <c r="H10995" t="s">
        <v>92</v>
      </c>
    </row>
    <row r="10996" spans="1:8" x14ac:dyDescent="0.25">
      <c r="A10996" t="s">
        <v>341</v>
      </c>
      <c r="B10996" t="s">
        <v>4225</v>
      </c>
      <c r="C10996" t="s">
        <v>88</v>
      </c>
      <c r="D10996" t="s">
        <v>4226</v>
      </c>
      <c r="E10996" t="s">
        <v>2478</v>
      </c>
      <c r="F10996" t="s">
        <v>88</v>
      </c>
      <c r="G10996" t="s">
        <v>88</v>
      </c>
      <c r="H10996" t="s">
        <v>92</v>
      </c>
    </row>
    <row r="10997" spans="1:8" x14ac:dyDescent="0.25">
      <c r="A10997" t="s">
        <v>341</v>
      </c>
      <c r="B10997" t="s">
        <v>4229</v>
      </c>
      <c r="C10997" t="s">
        <v>88</v>
      </c>
      <c r="D10997" t="s">
        <v>9125</v>
      </c>
      <c r="E10997" t="s">
        <v>5256</v>
      </c>
      <c r="F10997" t="s">
        <v>88</v>
      </c>
      <c r="G10997" t="s">
        <v>88</v>
      </c>
      <c r="H10997" t="s">
        <v>92</v>
      </c>
    </row>
    <row r="10998" spans="1:8" x14ac:dyDescent="0.25">
      <c r="A10998" t="s">
        <v>341</v>
      </c>
      <c r="B10998" t="s">
        <v>9126</v>
      </c>
      <c r="C10998" t="s">
        <v>88</v>
      </c>
      <c r="D10998" t="s">
        <v>4208</v>
      </c>
      <c r="E10998" t="s">
        <v>1139</v>
      </c>
      <c r="F10998" t="s">
        <v>88</v>
      </c>
      <c r="G10998" t="s">
        <v>88</v>
      </c>
      <c r="H10998" t="s">
        <v>92</v>
      </c>
    </row>
    <row r="10999" spans="1:8" x14ac:dyDescent="0.25">
      <c r="A10999" t="s">
        <v>341</v>
      </c>
      <c r="B10999" t="s">
        <v>9127</v>
      </c>
      <c r="C10999" t="s">
        <v>88</v>
      </c>
      <c r="D10999" t="s">
        <v>9128</v>
      </c>
      <c r="E10999" t="s">
        <v>2470</v>
      </c>
      <c r="F10999" t="s">
        <v>88</v>
      </c>
      <c r="G10999" t="s">
        <v>88</v>
      </c>
      <c r="H10999" t="s">
        <v>92</v>
      </c>
    </row>
    <row r="11000" spans="1:8" x14ac:dyDescent="0.25">
      <c r="A11000" t="s">
        <v>341</v>
      </c>
      <c r="B11000" t="s">
        <v>9129</v>
      </c>
      <c r="C11000" t="s">
        <v>88</v>
      </c>
      <c r="D11000" t="s">
        <v>4232</v>
      </c>
      <c r="E11000" t="s">
        <v>2481</v>
      </c>
      <c r="F11000" t="s">
        <v>88</v>
      </c>
      <c r="G11000" t="s">
        <v>88</v>
      </c>
      <c r="H11000" t="s">
        <v>92</v>
      </c>
    </row>
    <row r="11001" spans="1:8" x14ac:dyDescent="0.25">
      <c r="A11001" t="s">
        <v>341</v>
      </c>
      <c r="B11001" t="s">
        <v>9130</v>
      </c>
      <c r="C11001" t="s">
        <v>88</v>
      </c>
      <c r="D11001" t="s">
        <v>9131</v>
      </c>
      <c r="E11001" t="s">
        <v>2989</v>
      </c>
      <c r="F11001" t="s">
        <v>88</v>
      </c>
      <c r="G11001" t="s">
        <v>88</v>
      </c>
      <c r="H11001" t="s">
        <v>92</v>
      </c>
    </row>
    <row r="11002" spans="1:8" x14ac:dyDescent="0.25">
      <c r="A11002" t="s">
        <v>341</v>
      </c>
      <c r="B11002" t="s">
        <v>9132</v>
      </c>
      <c r="C11002" t="s">
        <v>88</v>
      </c>
      <c r="D11002" t="s">
        <v>4216</v>
      </c>
      <c r="E11002" t="s">
        <v>658</v>
      </c>
      <c r="F11002" t="s">
        <v>88</v>
      </c>
      <c r="G11002" t="s">
        <v>88</v>
      </c>
      <c r="H11002" t="s">
        <v>92</v>
      </c>
    </row>
    <row r="11003" spans="1:8" x14ac:dyDescent="0.25">
      <c r="A11003" t="s">
        <v>341</v>
      </c>
      <c r="B11003" t="s">
        <v>7570</v>
      </c>
      <c r="C11003" t="s">
        <v>88</v>
      </c>
      <c r="D11003" t="s">
        <v>9133</v>
      </c>
      <c r="E11003" t="s">
        <v>2464</v>
      </c>
      <c r="F11003" t="s">
        <v>88</v>
      </c>
      <c r="G11003" t="s">
        <v>88</v>
      </c>
      <c r="H11003" t="s">
        <v>92</v>
      </c>
    </row>
    <row r="11004" spans="1:8" x14ac:dyDescent="0.25">
      <c r="A11004" t="s">
        <v>341</v>
      </c>
      <c r="B11004" t="s">
        <v>9134</v>
      </c>
      <c r="C11004" t="s">
        <v>88</v>
      </c>
      <c r="D11004" t="s">
        <v>8880</v>
      </c>
      <c r="E11004" t="s">
        <v>760</v>
      </c>
      <c r="F11004" t="s">
        <v>88</v>
      </c>
      <c r="G11004" t="s">
        <v>88</v>
      </c>
      <c r="H11004" t="s">
        <v>92</v>
      </c>
    </row>
    <row r="11005" spans="1:8" x14ac:dyDescent="0.25">
      <c r="A11005" t="s">
        <v>341</v>
      </c>
      <c r="B11005" t="s">
        <v>9135</v>
      </c>
      <c r="C11005" t="s">
        <v>88</v>
      </c>
      <c r="D11005" t="s">
        <v>8878</v>
      </c>
      <c r="E11005" t="s">
        <v>2464</v>
      </c>
      <c r="F11005" t="s">
        <v>88</v>
      </c>
      <c r="G11005" t="s">
        <v>88</v>
      </c>
      <c r="H11005" t="s">
        <v>92</v>
      </c>
    </row>
    <row r="11006" spans="1:8" x14ac:dyDescent="0.25">
      <c r="A11006" t="s">
        <v>341</v>
      </c>
      <c r="B11006" t="s">
        <v>4240</v>
      </c>
      <c r="C11006" t="s">
        <v>88</v>
      </c>
      <c r="D11006" t="s">
        <v>9124</v>
      </c>
      <c r="E11006" t="s">
        <v>2686</v>
      </c>
      <c r="F11006" t="s">
        <v>88</v>
      </c>
      <c r="G11006" t="s">
        <v>88</v>
      </c>
      <c r="H11006" t="s">
        <v>92</v>
      </c>
    </row>
    <row r="11007" spans="1:8" x14ac:dyDescent="0.25">
      <c r="A11007" t="s">
        <v>341</v>
      </c>
      <c r="B11007" t="s">
        <v>4251</v>
      </c>
      <c r="C11007" t="s">
        <v>88</v>
      </c>
      <c r="D11007" t="s">
        <v>4226</v>
      </c>
      <c r="E11007" t="s">
        <v>889</v>
      </c>
      <c r="F11007" t="s">
        <v>88</v>
      </c>
      <c r="G11007" t="s">
        <v>88</v>
      </c>
      <c r="H11007" t="s">
        <v>92</v>
      </c>
    </row>
    <row r="11008" spans="1:8" x14ac:dyDescent="0.25">
      <c r="A11008" t="s">
        <v>341</v>
      </c>
      <c r="B11008" t="s">
        <v>4249</v>
      </c>
      <c r="C11008" t="s">
        <v>88</v>
      </c>
      <c r="D11008" t="s">
        <v>9125</v>
      </c>
      <c r="E11008" t="s">
        <v>1194</v>
      </c>
      <c r="F11008" t="s">
        <v>88</v>
      </c>
      <c r="G11008" t="s">
        <v>88</v>
      </c>
      <c r="H11008" t="s">
        <v>92</v>
      </c>
    </row>
    <row r="11009" spans="1:8" x14ac:dyDescent="0.25">
      <c r="A11009" t="s">
        <v>341</v>
      </c>
      <c r="B11009" t="s">
        <v>9136</v>
      </c>
      <c r="C11009" t="s">
        <v>88</v>
      </c>
      <c r="D11009" t="s">
        <v>4208</v>
      </c>
      <c r="E11009" t="s">
        <v>2470</v>
      </c>
      <c r="F11009" t="s">
        <v>88</v>
      </c>
      <c r="G11009" t="s">
        <v>88</v>
      </c>
      <c r="H11009" t="s">
        <v>92</v>
      </c>
    </row>
    <row r="11010" spans="1:8" x14ac:dyDescent="0.25">
      <c r="A11010" t="s">
        <v>341</v>
      </c>
      <c r="B11010" t="s">
        <v>9137</v>
      </c>
      <c r="C11010" t="s">
        <v>88</v>
      </c>
      <c r="D11010" t="s">
        <v>9128</v>
      </c>
      <c r="E11010" t="s">
        <v>2805</v>
      </c>
      <c r="F11010" t="s">
        <v>88</v>
      </c>
      <c r="G11010" t="s">
        <v>88</v>
      </c>
      <c r="H11010" t="s">
        <v>92</v>
      </c>
    </row>
    <row r="11011" spans="1:8" x14ac:dyDescent="0.25">
      <c r="A11011" t="s">
        <v>341</v>
      </c>
      <c r="B11011" t="s">
        <v>9138</v>
      </c>
      <c r="C11011" t="s">
        <v>88</v>
      </c>
      <c r="D11011" t="s">
        <v>4232</v>
      </c>
      <c r="E11011" t="s">
        <v>3015</v>
      </c>
      <c r="F11011" t="s">
        <v>88</v>
      </c>
      <c r="G11011" t="s">
        <v>88</v>
      </c>
      <c r="H11011" t="s">
        <v>92</v>
      </c>
    </row>
    <row r="11012" spans="1:8" x14ac:dyDescent="0.25">
      <c r="A11012" t="s">
        <v>341</v>
      </c>
      <c r="B11012" t="s">
        <v>9139</v>
      </c>
      <c r="C11012" t="s">
        <v>88</v>
      </c>
      <c r="D11012" t="s">
        <v>9131</v>
      </c>
      <c r="E11012" t="s">
        <v>3172</v>
      </c>
      <c r="F11012" t="s">
        <v>88</v>
      </c>
      <c r="G11012" t="s">
        <v>88</v>
      </c>
      <c r="H11012" t="s">
        <v>92</v>
      </c>
    </row>
    <row r="11013" spans="1:8" x14ac:dyDescent="0.25">
      <c r="A11013" t="s">
        <v>341</v>
      </c>
      <c r="B11013" t="s">
        <v>9140</v>
      </c>
      <c r="C11013" t="s">
        <v>88</v>
      </c>
      <c r="D11013" t="s">
        <v>4216</v>
      </c>
      <c r="E11013" t="s">
        <v>655</v>
      </c>
      <c r="F11013" t="s">
        <v>88</v>
      </c>
      <c r="G11013" t="s">
        <v>88</v>
      </c>
      <c r="H11013" t="s">
        <v>92</v>
      </c>
    </row>
    <row r="11014" spans="1:8" x14ac:dyDescent="0.25">
      <c r="A11014" t="s">
        <v>341</v>
      </c>
      <c r="B11014" t="s">
        <v>7576</v>
      </c>
      <c r="C11014" t="s">
        <v>88</v>
      </c>
      <c r="D11014" t="s">
        <v>9133</v>
      </c>
      <c r="E11014" t="s">
        <v>2445</v>
      </c>
      <c r="F11014" t="s">
        <v>88</v>
      </c>
      <c r="G11014" t="s">
        <v>88</v>
      </c>
      <c r="H11014" t="s">
        <v>92</v>
      </c>
    </row>
    <row r="11015" spans="1:8" x14ac:dyDescent="0.25">
      <c r="A11015" t="s">
        <v>341</v>
      </c>
      <c r="B11015" t="s">
        <v>9141</v>
      </c>
      <c r="C11015" t="s">
        <v>88</v>
      </c>
      <c r="D11015" t="s">
        <v>8880</v>
      </c>
      <c r="E11015" t="s">
        <v>1006</v>
      </c>
      <c r="F11015" t="s">
        <v>88</v>
      </c>
      <c r="G11015" t="s">
        <v>88</v>
      </c>
      <c r="H11015" t="s">
        <v>92</v>
      </c>
    </row>
    <row r="11016" spans="1:8" x14ac:dyDescent="0.25">
      <c r="A11016" t="s">
        <v>341</v>
      </c>
      <c r="B11016" t="s">
        <v>9142</v>
      </c>
      <c r="C11016" t="s">
        <v>88</v>
      </c>
      <c r="D11016" t="s">
        <v>8878</v>
      </c>
      <c r="E11016" t="s">
        <v>1236</v>
      </c>
      <c r="F11016" t="s">
        <v>88</v>
      </c>
      <c r="G11016" t="s">
        <v>88</v>
      </c>
      <c r="H11016" t="s">
        <v>92</v>
      </c>
    </row>
    <row r="11017" spans="1:8" x14ac:dyDescent="0.25">
      <c r="A11017" t="s">
        <v>341</v>
      </c>
      <c r="B11017" t="s">
        <v>4258</v>
      </c>
      <c r="C11017" t="s">
        <v>88</v>
      </c>
      <c r="D11017" t="s">
        <v>9124</v>
      </c>
      <c r="E11017" t="s">
        <v>8181</v>
      </c>
      <c r="F11017" t="s">
        <v>88</v>
      </c>
      <c r="G11017" t="s">
        <v>88</v>
      </c>
      <c r="H11017" t="s">
        <v>92</v>
      </c>
    </row>
    <row r="11018" spans="1:8" x14ac:dyDescent="0.25">
      <c r="A11018" t="s">
        <v>341</v>
      </c>
      <c r="B11018" t="s">
        <v>4262</v>
      </c>
      <c r="C11018" t="s">
        <v>88</v>
      </c>
      <c r="D11018" t="s">
        <v>4226</v>
      </c>
      <c r="E11018" t="s">
        <v>2686</v>
      </c>
      <c r="F11018" t="s">
        <v>88</v>
      </c>
      <c r="G11018" t="s">
        <v>88</v>
      </c>
      <c r="H11018" t="s">
        <v>92</v>
      </c>
    </row>
    <row r="11019" spans="1:8" x14ac:dyDescent="0.25">
      <c r="A11019" t="s">
        <v>341</v>
      </c>
      <c r="B11019" t="s">
        <v>4269</v>
      </c>
      <c r="C11019" t="s">
        <v>88</v>
      </c>
      <c r="D11019" t="s">
        <v>9125</v>
      </c>
      <c r="E11019" t="s">
        <v>2814</v>
      </c>
      <c r="F11019" t="s">
        <v>88</v>
      </c>
      <c r="G11019" t="s">
        <v>88</v>
      </c>
      <c r="H11019" t="s">
        <v>92</v>
      </c>
    </row>
    <row r="11020" spans="1:8" x14ac:dyDescent="0.25">
      <c r="A11020" t="s">
        <v>341</v>
      </c>
      <c r="B11020" t="s">
        <v>9143</v>
      </c>
      <c r="C11020" t="s">
        <v>88</v>
      </c>
      <c r="D11020" t="s">
        <v>4208</v>
      </c>
      <c r="E11020" t="s">
        <v>2856</v>
      </c>
      <c r="F11020" t="s">
        <v>88</v>
      </c>
      <c r="G11020" t="s">
        <v>88</v>
      </c>
      <c r="H11020" t="s">
        <v>92</v>
      </c>
    </row>
    <row r="11021" spans="1:8" x14ac:dyDescent="0.25">
      <c r="A11021" t="s">
        <v>341</v>
      </c>
      <c r="B11021" t="s">
        <v>9144</v>
      </c>
      <c r="C11021" t="s">
        <v>88</v>
      </c>
      <c r="D11021" t="s">
        <v>9128</v>
      </c>
      <c r="E11021" t="s">
        <v>6325</v>
      </c>
      <c r="F11021" t="s">
        <v>88</v>
      </c>
      <c r="G11021" t="s">
        <v>88</v>
      </c>
      <c r="H11021" t="s">
        <v>92</v>
      </c>
    </row>
    <row r="11022" spans="1:8" x14ac:dyDescent="0.25">
      <c r="A11022" t="s">
        <v>341</v>
      </c>
      <c r="B11022" t="s">
        <v>9145</v>
      </c>
      <c r="C11022" t="s">
        <v>88</v>
      </c>
      <c r="D11022" t="s">
        <v>4232</v>
      </c>
      <c r="E11022" t="s">
        <v>1236</v>
      </c>
      <c r="F11022" t="s">
        <v>88</v>
      </c>
      <c r="G11022" t="s">
        <v>88</v>
      </c>
      <c r="H11022" t="s">
        <v>92</v>
      </c>
    </row>
    <row r="11023" spans="1:8" x14ac:dyDescent="0.25">
      <c r="A11023" t="s">
        <v>341</v>
      </c>
      <c r="B11023" t="s">
        <v>9146</v>
      </c>
      <c r="C11023" t="s">
        <v>88</v>
      </c>
      <c r="D11023" t="s">
        <v>9131</v>
      </c>
      <c r="E11023" t="s">
        <v>7148</v>
      </c>
      <c r="F11023" t="s">
        <v>88</v>
      </c>
      <c r="G11023" t="s">
        <v>88</v>
      </c>
      <c r="H11023" t="s">
        <v>92</v>
      </c>
    </row>
    <row r="11024" spans="1:8" x14ac:dyDescent="0.25">
      <c r="A11024" t="s">
        <v>341</v>
      </c>
      <c r="B11024" t="s">
        <v>9147</v>
      </c>
      <c r="C11024" t="s">
        <v>88</v>
      </c>
      <c r="D11024" t="s">
        <v>4216</v>
      </c>
      <c r="E11024" t="s">
        <v>899</v>
      </c>
      <c r="F11024" t="s">
        <v>88</v>
      </c>
      <c r="G11024" t="s">
        <v>88</v>
      </c>
      <c r="H11024" t="s">
        <v>92</v>
      </c>
    </row>
    <row r="11025" spans="1:8" x14ac:dyDescent="0.25">
      <c r="A11025" t="s">
        <v>341</v>
      </c>
      <c r="B11025" t="s">
        <v>7577</v>
      </c>
      <c r="C11025" t="s">
        <v>88</v>
      </c>
      <c r="D11025" t="s">
        <v>9133</v>
      </c>
      <c r="E11025" t="s">
        <v>1189</v>
      </c>
      <c r="F11025" t="s">
        <v>88</v>
      </c>
      <c r="G11025" t="s">
        <v>88</v>
      </c>
      <c r="H11025" t="s">
        <v>92</v>
      </c>
    </row>
    <row r="11026" spans="1:8" x14ac:dyDescent="0.25">
      <c r="A11026" t="s">
        <v>341</v>
      </c>
      <c r="B11026" t="s">
        <v>9148</v>
      </c>
      <c r="C11026" t="s">
        <v>88</v>
      </c>
      <c r="D11026" t="s">
        <v>8880</v>
      </c>
      <c r="E11026" t="s">
        <v>3593</v>
      </c>
      <c r="F11026" t="s">
        <v>88</v>
      </c>
      <c r="G11026" t="s">
        <v>88</v>
      </c>
      <c r="H11026" t="s">
        <v>92</v>
      </c>
    </row>
    <row r="11027" spans="1:8" x14ac:dyDescent="0.25">
      <c r="A11027" t="s">
        <v>341</v>
      </c>
      <c r="B11027" t="s">
        <v>9149</v>
      </c>
      <c r="C11027" t="s">
        <v>88</v>
      </c>
      <c r="D11027" t="s">
        <v>8878</v>
      </c>
      <c r="E11027" t="s">
        <v>1985</v>
      </c>
      <c r="F11027" t="s">
        <v>88</v>
      </c>
      <c r="G11027" t="s">
        <v>88</v>
      </c>
      <c r="H11027" t="s">
        <v>92</v>
      </c>
    </row>
    <row r="11028" spans="1:8" x14ac:dyDescent="0.25">
      <c r="A11028" t="s">
        <v>341</v>
      </c>
      <c r="B11028" t="s">
        <v>8910</v>
      </c>
      <c r="C11028" t="s">
        <v>88</v>
      </c>
      <c r="D11028" t="s">
        <v>9124</v>
      </c>
      <c r="E11028" t="s">
        <v>3573</v>
      </c>
      <c r="F11028" t="s">
        <v>88</v>
      </c>
      <c r="G11028" t="s">
        <v>88</v>
      </c>
      <c r="H11028" t="s">
        <v>92</v>
      </c>
    </row>
    <row r="11029" spans="1:8" x14ac:dyDescent="0.25">
      <c r="A11029" t="s">
        <v>341</v>
      </c>
      <c r="B11029" t="s">
        <v>8905</v>
      </c>
      <c r="C11029" t="s">
        <v>88</v>
      </c>
      <c r="D11029" t="s">
        <v>4226</v>
      </c>
      <c r="E11029" t="s">
        <v>8746</v>
      </c>
      <c r="F11029" t="s">
        <v>88</v>
      </c>
      <c r="G11029" t="s">
        <v>88</v>
      </c>
      <c r="H11029" t="s">
        <v>92</v>
      </c>
    </row>
    <row r="11030" spans="1:8" x14ac:dyDescent="0.25">
      <c r="A11030" t="s">
        <v>341</v>
      </c>
      <c r="B11030" t="s">
        <v>9150</v>
      </c>
      <c r="C11030" t="s">
        <v>88</v>
      </c>
      <c r="D11030" t="s">
        <v>9125</v>
      </c>
      <c r="E11030" t="s">
        <v>8181</v>
      </c>
      <c r="F11030" t="s">
        <v>88</v>
      </c>
      <c r="G11030" t="s">
        <v>88</v>
      </c>
      <c r="H11030" t="s">
        <v>92</v>
      </c>
    </row>
    <row r="11031" spans="1:8" x14ac:dyDescent="0.25">
      <c r="A11031" t="s">
        <v>341</v>
      </c>
      <c r="B11031" t="s">
        <v>9151</v>
      </c>
      <c r="C11031" t="s">
        <v>88</v>
      </c>
      <c r="D11031" t="s">
        <v>4208</v>
      </c>
      <c r="E11031" t="s">
        <v>1985</v>
      </c>
      <c r="F11031" t="s">
        <v>88</v>
      </c>
      <c r="G11031" t="s">
        <v>88</v>
      </c>
      <c r="H11031" t="s">
        <v>92</v>
      </c>
    </row>
    <row r="11032" spans="1:8" x14ac:dyDescent="0.25">
      <c r="A11032" t="s">
        <v>341</v>
      </c>
      <c r="B11032" t="s">
        <v>9152</v>
      </c>
      <c r="C11032" t="s">
        <v>88</v>
      </c>
      <c r="D11032" t="s">
        <v>9128</v>
      </c>
      <c r="E11032" t="s">
        <v>8621</v>
      </c>
      <c r="F11032" t="s">
        <v>88</v>
      </c>
      <c r="G11032" t="s">
        <v>88</v>
      </c>
      <c r="H11032" t="s">
        <v>92</v>
      </c>
    </row>
    <row r="11033" spans="1:8" x14ac:dyDescent="0.25">
      <c r="A11033" t="s">
        <v>341</v>
      </c>
      <c r="B11033" t="s">
        <v>9153</v>
      </c>
      <c r="C11033" t="s">
        <v>88</v>
      </c>
      <c r="D11033" t="s">
        <v>4232</v>
      </c>
      <c r="E11033" t="s">
        <v>8746</v>
      </c>
      <c r="F11033" t="s">
        <v>88</v>
      </c>
      <c r="G11033" t="s">
        <v>88</v>
      </c>
      <c r="H11033" t="s">
        <v>92</v>
      </c>
    </row>
    <row r="11034" spans="1:8" x14ac:dyDescent="0.25">
      <c r="A11034" t="s">
        <v>341</v>
      </c>
      <c r="B11034" t="s">
        <v>9154</v>
      </c>
      <c r="C11034" t="s">
        <v>88</v>
      </c>
      <c r="D11034" t="s">
        <v>9131</v>
      </c>
      <c r="E11034" t="s">
        <v>2791</v>
      </c>
      <c r="F11034" t="s">
        <v>88</v>
      </c>
      <c r="G11034" t="s">
        <v>88</v>
      </c>
      <c r="H11034" t="s">
        <v>92</v>
      </c>
    </row>
    <row r="11035" spans="1:8" x14ac:dyDescent="0.25">
      <c r="A11035" t="s">
        <v>341</v>
      </c>
      <c r="B11035" t="s">
        <v>9155</v>
      </c>
      <c r="C11035" t="s">
        <v>88</v>
      </c>
      <c r="D11035" t="s">
        <v>4216</v>
      </c>
      <c r="E11035" t="s">
        <v>2294</v>
      </c>
      <c r="F11035" t="s">
        <v>88</v>
      </c>
      <c r="G11035" t="s">
        <v>88</v>
      </c>
      <c r="H11035" t="s">
        <v>92</v>
      </c>
    </row>
    <row r="11036" spans="1:8" x14ac:dyDescent="0.25">
      <c r="A11036" t="s">
        <v>341</v>
      </c>
      <c r="B11036" t="s">
        <v>9156</v>
      </c>
      <c r="C11036" t="s">
        <v>88</v>
      </c>
      <c r="D11036" t="s">
        <v>9133</v>
      </c>
      <c r="E11036" t="s">
        <v>2882</v>
      </c>
      <c r="F11036" t="s">
        <v>88</v>
      </c>
      <c r="G11036" t="s">
        <v>88</v>
      </c>
      <c r="H11036" t="s">
        <v>92</v>
      </c>
    </row>
    <row r="11037" spans="1:8" x14ac:dyDescent="0.25">
      <c r="A11037" t="s">
        <v>341</v>
      </c>
      <c r="B11037" t="s">
        <v>9157</v>
      </c>
      <c r="C11037" t="s">
        <v>88</v>
      </c>
      <c r="D11037" t="s">
        <v>8880</v>
      </c>
      <c r="E11037" t="s">
        <v>4275</v>
      </c>
      <c r="F11037" t="s">
        <v>88</v>
      </c>
      <c r="G11037" t="s">
        <v>88</v>
      </c>
      <c r="H11037" t="s">
        <v>92</v>
      </c>
    </row>
    <row r="11038" spans="1:8" x14ac:dyDescent="0.25">
      <c r="A11038" t="s">
        <v>341</v>
      </c>
      <c r="B11038" t="s">
        <v>9158</v>
      </c>
      <c r="C11038" t="s">
        <v>88</v>
      </c>
      <c r="D11038" t="s">
        <v>8878</v>
      </c>
      <c r="E11038" t="s">
        <v>6752</v>
      </c>
      <c r="F11038" t="s">
        <v>88</v>
      </c>
      <c r="G11038" t="s">
        <v>88</v>
      </c>
      <c r="H11038" t="s">
        <v>92</v>
      </c>
    </row>
    <row r="11039" spans="1:8" x14ac:dyDescent="0.25">
      <c r="A11039" t="s">
        <v>341</v>
      </c>
      <c r="B11039" t="s">
        <v>4306</v>
      </c>
      <c r="C11039" t="s">
        <v>88</v>
      </c>
      <c r="D11039" t="s">
        <v>9124</v>
      </c>
      <c r="E11039" t="s">
        <v>9159</v>
      </c>
      <c r="F11039" t="s">
        <v>88</v>
      </c>
      <c r="G11039" t="s">
        <v>88</v>
      </c>
      <c r="H11039" t="s">
        <v>92</v>
      </c>
    </row>
    <row r="11040" spans="1:8" x14ac:dyDescent="0.25">
      <c r="A11040" t="s">
        <v>341</v>
      </c>
      <c r="B11040" t="s">
        <v>4292</v>
      </c>
      <c r="C11040" t="s">
        <v>88</v>
      </c>
      <c r="D11040" t="s">
        <v>4226</v>
      </c>
      <c r="E11040" t="s">
        <v>3181</v>
      </c>
      <c r="F11040" t="s">
        <v>88</v>
      </c>
      <c r="G11040" t="s">
        <v>88</v>
      </c>
      <c r="H11040" t="s">
        <v>92</v>
      </c>
    </row>
    <row r="11041" spans="1:8" x14ac:dyDescent="0.25">
      <c r="A11041" t="s">
        <v>341</v>
      </c>
      <c r="B11041" t="s">
        <v>4320</v>
      </c>
      <c r="C11041" t="s">
        <v>88</v>
      </c>
      <c r="D11041" t="s">
        <v>9125</v>
      </c>
      <c r="E11041" t="s">
        <v>4575</v>
      </c>
      <c r="F11041" t="s">
        <v>88</v>
      </c>
      <c r="G11041" t="s">
        <v>88</v>
      </c>
      <c r="H11041" t="s">
        <v>92</v>
      </c>
    </row>
    <row r="11042" spans="1:8" x14ac:dyDescent="0.25">
      <c r="A11042" t="s">
        <v>341</v>
      </c>
      <c r="B11042" t="s">
        <v>9160</v>
      </c>
      <c r="C11042" t="s">
        <v>88</v>
      </c>
      <c r="D11042" t="s">
        <v>4208</v>
      </c>
      <c r="E11042" t="s">
        <v>9161</v>
      </c>
      <c r="F11042" t="s">
        <v>88</v>
      </c>
      <c r="G11042" t="s">
        <v>88</v>
      </c>
      <c r="H11042" t="s">
        <v>92</v>
      </c>
    </row>
    <row r="11043" spans="1:8" x14ac:dyDescent="0.25">
      <c r="A11043" t="s">
        <v>341</v>
      </c>
      <c r="B11043" t="s">
        <v>7732</v>
      </c>
      <c r="C11043" t="s">
        <v>88</v>
      </c>
      <c r="D11043" t="s">
        <v>9128</v>
      </c>
      <c r="E11043" t="s">
        <v>9162</v>
      </c>
      <c r="F11043" t="s">
        <v>88</v>
      </c>
      <c r="G11043" t="s">
        <v>88</v>
      </c>
      <c r="H11043" t="s">
        <v>92</v>
      </c>
    </row>
    <row r="11044" spans="1:8" x14ac:dyDescent="0.25">
      <c r="A11044" t="s">
        <v>341</v>
      </c>
      <c r="B11044" t="s">
        <v>9163</v>
      </c>
      <c r="C11044" t="s">
        <v>88</v>
      </c>
      <c r="D11044" t="s">
        <v>4232</v>
      </c>
      <c r="E11044" t="s">
        <v>6752</v>
      </c>
      <c r="F11044" t="s">
        <v>88</v>
      </c>
      <c r="G11044" t="s">
        <v>88</v>
      </c>
      <c r="H11044" t="s">
        <v>92</v>
      </c>
    </row>
    <row r="11045" spans="1:8" x14ac:dyDescent="0.25">
      <c r="A11045" t="s">
        <v>341</v>
      </c>
      <c r="B11045" t="s">
        <v>7733</v>
      </c>
      <c r="C11045" t="s">
        <v>88</v>
      </c>
      <c r="D11045" t="s">
        <v>9131</v>
      </c>
      <c r="E11045" t="s">
        <v>6358</v>
      </c>
      <c r="F11045" t="s">
        <v>88</v>
      </c>
      <c r="G11045" t="s">
        <v>88</v>
      </c>
      <c r="H11045" t="s">
        <v>92</v>
      </c>
    </row>
    <row r="11046" spans="1:8" x14ac:dyDescent="0.25">
      <c r="A11046" t="s">
        <v>341</v>
      </c>
      <c r="B11046" t="s">
        <v>9164</v>
      </c>
      <c r="C11046" t="s">
        <v>88</v>
      </c>
      <c r="D11046" t="s">
        <v>4216</v>
      </c>
      <c r="E11046" t="s">
        <v>7810</v>
      </c>
      <c r="F11046" t="s">
        <v>88</v>
      </c>
      <c r="G11046" t="s">
        <v>88</v>
      </c>
      <c r="H11046" t="s">
        <v>92</v>
      </c>
    </row>
    <row r="11047" spans="1:8" x14ac:dyDescent="0.25">
      <c r="A11047" t="s">
        <v>341</v>
      </c>
      <c r="B11047" t="s">
        <v>7583</v>
      </c>
      <c r="C11047" t="s">
        <v>88</v>
      </c>
      <c r="D11047" t="s">
        <v>9133</v>
      </c>
      <c r="E11047" t="s">
        <v>9165</v>
      </c>
      <c r="F11047" t="s">
        <v>88</v>
      </c>
      <c r="G11047" t="s">
        <v>88</v>
      </c>
      <c r="H11047" t="s">
        <v>92</v>
      </c>
    </row>
    <row r="11048" spans="1:8" x14ac:dyDescent="0.25">
      <c r="A11048" t="s">
        <v>341</v>
      </c>
      <c r="B11048" t="s">
        <v>9166</v>
      </c>
      <c r="C11048" t="s">
        <v>88</v>
      </c>
      <c r="D11048" t="s">
        <v>8880</v>
      </c>
      <c r="E11048" t="s">
        <v>814</v>
      </c>
      <c r="F11048" t="s">
        <v>88</v>
      </c>
      <c r="G11048" t="s">
        <v>88</v>
      </c>
      <c r="H11048" t="s">
        <v>92</v>
      </c>
    </row>
    <row r="11049" spans="1:8" x14ac:dyDescent="0.25">
      <c r="A11049" t="s">
        <v>341</v>
      </c>
      <c r="B11049" t="s">
        <v>9167</v>
      </c>
      <c r="C11049" t="s">
        <v>88</v>
      </c>
      <c r="D11049" t="s">
        <v>88</v>
      </c>
      <c r="E11049" t="s">
        <v>1971</v>
      </c>
      <c r="F11049" t="s">
        <v>88</v>
      </c>
      <c r="G11049" t="s">
        <v>88</v>
      </c>
      <c r="H11049" t="s">
        <v>92</v>
      </c>
    </row>
    <row r="11050" spans="1:8" x14ac:dyDescent="0.25">
      <c r="A11050" t="s">
        <v>341</v>
      </c>
      <c r="B11050" t="s">
        <v>9168</v>
      </c>
      <c r="C11050" t="s">
        <v>88</v>
      </c>
      <c r="D11050" t="s">
        <v>88</v>
      </c>
      <c r="E11050" t="s">
        <v>1839</v>
      </c>
      <c r="F11050" t="s">
        <v>88</v>
      </c>
      <c r="G11050" t="s">
        <v>88</v>
      </c>
      <c r="H11050" t="s">
        <v>92</v>
      </c>
    </row>
    <row r="11051" spans="1:8" x14ac:dyDescent="0.25">
      <c r="A11051" t="s">
        <v>341</v>
      </c>
      <c r="B11051" t="s">
        <v>7584</v>
      </c>
      <c r="C11051" t="s">
        <v>88</v>
      </c>
      <c r="D11051" t="s">
        <v>88</v>
      </c>
      <c r="E11051" t="s">
        <v>780</v>
      </c>
      <c r="F11051" t="s">
        <v>88</v>
      </c>
      <c r="G11051" t="s">
        <v>88</v>
      </c>
      <c r="H11051" t="s">
        <v>92</v>
      </c>
    </row>
    <row r="11052" spans="1:8" x14ac:dyDescent="0.25">
      <c r="A11052" t="s">
        <v>341</v>
      </c>
      <c r="B11052" t="s">
        <v>7585</v>
      </c>
      <c r="C11052" t="s">
        <v>88</v>
      </c>
      <c r="D11052" t="s">
        <v>88</v>
      </c>
      <c r="E11052" t="s">
        <v>655</v>
      </c>
      <c r="F11052" t="s">
        <v>88</v>
      </c>
      <c r="G11052" t="s">
        <v>88</v>
      </c>
      <c r="H11052" t="s">
        <v>92</v>
      </c>
    </row>
    <row r="11053" spans="1:8" x14ac:dyDescent="0.25">
      <c r="A11053" t="s">
        <v>341</v>
      </c>
      <c r="B11053" t="s">
        <v>7586</v>
      </c>
      <c r="C11053" t="s">
        <v>88</v>
      </c>
      <c r="D11053" t="s">
        <v>88</v>
      </c>
      <c r="E11053" t="s">
        <v>844</v>
      </c>
      <c r="F11053" t="s">
        <v>88</v>
      </c>
      <c r="G11053" t="s">
        <v>88</v>
      </c>
      <c r="H11053" t="s">
        <v>92</v>
      </c>
    </row>
    <row r="11054" spans="1:8" x14ac:dyDescent="0.25">
      <c r="A11054" t="s">
        <v>341</v>
      </c>
      <c r="B11054" t="s">
        <v>7301</v>
      </c>
      <c r="C11054" t="s">
        <v>88</v>
      </c>
      <c r="D11054" t="s">
        <v>88</v>
      </c>
      <c r="E11054" t="s">
        <v>715</v>
      </c>
      <c r="F11054" t="s">
        <v>88</v>
      </c>
      <c r="G11054" t="s">
        <v>88</v>
      </c>
      <c r="H11054" t="s">
        <v>92</v>
      </c>
    </row>
    <row r="11055" spans="1:8" x14ac:dyDescent="0.25">
      <c r="A11055" t="s">
        <v>341</v>
      </c>
      <c r="B11055" t="s">
        <v>1873</v>
      </c>
      <c r="C11055" t="s">
        <v>88</v>
      </c>
      <c r="D11055" t="s">
        <v>88</v>
      </c>
      <c r="E11055" t="s">
        <v>748</v>
      </c>
      <c r="F11055" t="s">
        <v>88</v>
      </c>
      <c r="G11055" t="s">
        <v>88</v>
      </c>
      <c r="H11055" t="s">
        <v>92</v>
      </c>
    </row>
    <row r="11056" spans="1:8" x14ac:dyDescent="0.25">
      <c r="A11056" t="s">
        <v>341</v>
      </c>
      <c r="B11056" t="s">
        <v>7302</v>
      </c>
      <c r="C11056" t="s">
        <v>88</v>
      </c>
      <c r="D11056" t="s">
        <v>88</v>
      </c>
      <c r="E11056" t="s">
        <v>760</v>
      </c>
      <c r="F11056" t="s">
        <v>88</v>
      </c>
      <c r="G11056" t="s">
        <v>88</v>
      </c>
      <c r="H11056" t="s">
        <v>92</v>
      </c>
    </row>
    <row r="11057" spans="1:8" x14ac:dyDescent="0.25">
      <c r="A11057" t="s">
        <v>341</v>
      </c>
      <c r="B11057" t="s">
        <v>7298</v>
      </c>
      <c r="C11057" t="s">
        <v>88</v>
      </c>
      <c r="D11057" t="s">
        <v>88</v>
      </c>
      <c r="E11057" t="s">
        <v>780</v>
      </c>
      <c r="F11057" t="s">
        <v>88</v>
      </c>
      <c r="G11057" t="s">
        <v>88</v>
      </c>
      <c r="H11057" t="s">
        <v>92</v>
      </c>
    </row>
    <row r="11058" spans="1:8" x14ac:dyDescent="0.25">
      <c r="A11058" t="s">
        <v>341</v>
      </c>
      <c r="B11058" t="s">
        <v>9169</v>
      </c>
      <c r="C11058" t="s">
        <v>88</v>
      </c>
      <c r="D11058" t="s">
        <v>88</v>
      </c>
      <c r="E11058" t="s">
        <v>655</v>
      </c>
      <c r="F11058" t="s">
        <v>88</v>
      </c>
      <c r="G11058" t="s">
        <v>88</v>
      </c>
      <c r="H11058" t="s">
        <v>92</v>
      </c>
    </row>
    <row r="11059" spans="1:8" x14ac:dyDescent="0.25">
      <c r="A11059" t="s">
        <v>341</v>
      </c>
      <c r="B11059" t="s">
        <v>9170</v>
      </c>
      <c r="C11059" t="s">
        <v>88</v>
      </c>
      <c r="D11059" t="s">
        <v>88</v>
      </c>
      <c r="E11059" t="s">
        <v>844</v>
      </c>
      <c r="F11059" t="s">
        <v>88</v>
      </c>
      <c r="G11059" t="s">
        <v>88</v>
      </c>
      <c r="H11059" t="s">
        <v>92</v>
      </c>
    </row>
    <row r="11060" spans="1:8" x14ac:dyDescent="0.25">
      <c r="A11060" t="s">
        <v>341</v>
      </c>
      <c r="B11060" t="s">
        <v>9171</v>
      </c>
      <c r="C11060" t="s">
        <v>88</v>
      </c>
      <c r="D11060" t="s">
        <v>88</v>
      </c>
      <c r="E11060" t="s">
        <v>780</v>
      </c>
      <c r="F11060" t="s">
        <v>88</v>
      </c>
      <c r="G11060" t="s">
        <v>88</v>
      </c>
      <c r="H11060" t="s">
        <v>92</v>
      </c>
    </row>
    <row r="11061" spans="1:8" x14ac:dyDescent="0.25">
      <c r="A11061" t="s">
        <v>341</v>
      </c>
      <c r="B11061" t="s">
        <v>608</v>
      </c>
      <c r="C11061" t="s">
        <v>88</v>
      </c>
      <c r="D11061" t="s">
        <v>88</v>
      </c>
      <c r="E11061" t="s">
        <v>780</v>
      </c>
      <c r="F11061" t="s">
        <v>88</v>
      </c>
      <c r="G11061" t="s">
        <v>88</v>
      </c>
      <c r="H11061" t="s">
        <v>92</v>
      </c>
    </row>
    <row r="11062" spans="1:8" x14ac:dyDescent="0.25">
      <c r="A11062" t="s">
        <v>341</v>
      </c>
      <c r="B11062" t="s">
        <v>2210</v>
      </c>
      <c r="C11062" t="s">
        <v>88</v>
      </c>
      <c r="D11062" t="s">
        <v>88</v>
      </c>
      <c r="E11062" t="s">
        <v>2513</v>
      </c>
      <c r="F11062" t="s">
        <v>88</v>
      </c>
      <c r="G11062" t="s">
        <v>88</v>
      </c>
      <c r="H11062" t="s">
        <v>92</v>
      </c>
    </row>
    <row r="11063" spans="1:8" x14ac:dyDescent="0.25">
      <c r="A11063" t="s">
        <v>341</v>
      </c>
      <c r="B11063" t="s">
        <v>7297</v>
      </c>
      <c r="C11063" t="s">
        <v>88</v>
      </c>
      <c r="D11063" t="s">
        <v>88</v>
      </c>
      <c r="E11063" t="s">
        <v>799</v>
      </c>
      <c r="F11063" t="s">
        <v>88</v>
      </c>
      <c r="G11063" t="s">
        <v>88</v>
      </c>
      <c r="H11063" t="s">
        <v>92</v>
      </c>
    </row>
    <row r="11064" spans="1:8" x14ac:dyDescent="0.25">
      <c r="A11064" t="s">
        <v>341</v>
      </c>
      <c r="B11064" t="s">
        <v>1874</v>
      </c>
      <c r="C11064" t="s">
        <v>88</v>
      </c>
      <c r="D11064" t="s">
        <v>88</v>
      </c>
      <c r="E11064" t="s">
        <v>679</v>
      </c>
      <c r="F11064" t="s">
        <v>88</v>
      </c>
      <c r="G11064" t="s">
        <v>88</v>
      </c>
      <c r="H11064" t="s">
        <v>92</v>
      </c>
    </row>
    <row r="11065" spans="1:8" x14ac:dyDescent="0.25">
      <c r="A11065" t="s">
        <v>341</v>
      </c>
      <c r="B11065" t="s">
        <v>2863</v>
      </c>
      <c r="C11065" t="s">
        <v>88</v>
      </c>
      <c r="D11065" t="s">
        <v>88</v>
      </c>
      <c r="E11065" t="s">
        <v>748</v>
      </c>
      <c r="F11065" t="s">
        <v>88</v>
      </c>
      <c r="G11065" t="s">
        <v>88</v>
      </c>
      <c r="H11065" t="s">
        <v>92</v>
      </c>
    </row>
    <row r="11066" spans="1:8" x14ac:dyDescent="0.25">
      <c r="A11066" t="s">
        <v>341</v>
      </c>
      <c r="B11066" t="s">
        <v>701</v>
      </c>
      <c r="C11066" t="s">
        <v>88</v>
      </c>
      <c r="D11066" t="s">
        <v>88</v>
      </c>
      <c r="E11066" t="s">
        <v>734</v>
      </c>
      <c r="F11066" t="s">
        <v>88</v>
      </c>
      <c r="G11066" t="s">
        <v>88</v>
      </c>
      <c r="H11066" t="s">
        <v>92</v>
      </c>
    </row>
    <row r="11067" spans="1:8" x14ac:dyDescent="0.25">
      <c r="A11067" t="s">
        <v>341</v>
      </c>
      <c r="B11067" t="s">
        <v>706</v>
      </c>
      <c r="C11067" t="s">
        <v>88</v>
      </c>
      <c r="D11067" t="s">
        <v>88</v>
      </c>
      <c r="E11067" t="s">
        <v>734</v>
      </c>
      <c r="F11067" t="s">
        <v>88</v>
      </c>
      <c r="G11067" t="s">
        <v>88</v>
      </c>
      <c r="H11067" t="s">
        <v>92</v>
      </c>
    </row>
    <row r="11068" spans="1:8" x14ac:dyDescent="0.25">
      <c r="A11068" t="s">
        <v>341</v>
      </c>
      <c r="B11068" t="s">
        <v>705</v>
      </c>
      <c r="C11068" t="s">
        <v>88</v>
      </c>
      <c r="D11068" t="s">
        <v>88</v>
      </c>
      <c r="E11068" t="s">
        <v>734</v>
      </c>
      <c r="F11068" t="s">
        <v>88</v>
      </c>
      <c r="G11068" t="s">
        <v>88</v>
      </c>
      <c r="H11068" t="s">
        <v>92</v>
      </c>
    </row>
    <row r="11069" spans="1:8" x14ac:dyDescent="0.25">
      <c r="A11069" t="s">
        <v>341</v>
      </c>
      <c r="B11069" t="s">
        <v>707</v>
      </c>
      <c r="C11069" t="s">
        <v>88</v>
      </c>
      <c r="D11069" t="s">
        <v>88</v>
      </c>
      <c r="E11069" t="s">
        <v>734</v>
      </c>
      <c r="F11069" t="s">
        <v>88</v>
      </c>
      <c r="G11069" t="s">
        <v>88</v>
      </c>
      <c r="H11069" t="s">
        <v>92</v>
      </c>
    </row>
    <row r="11070" spans="1:8" x14ac:dyDescent="0.25">
      <c r="A11070" t="s">
        <v>341</v>
      </c>
      <c r="B11070" t="s">
        <v>3259</v>
      </c>
      <c r="C11070" t="s">
        <v>88</v>
      </c>
      <c r="D11070" t="s">
        <v>88</v>
      </c>
      <c r="E11070" t="s">
        <v>735</v>
      </c>
      <c r="F11070" t="s">
        <v>88</v>
      </c>
      <c r="G11070" t="s">
        <v>88</v>
      </c>
      <c r="H11070" t="s">
        <v>92</v>
      </c>
    </row>
    <row r="11071" spans="1:8" x14ac:dyDescent="0.25">
      <c r="A11071" t="s">
        <v>341</v>
      </c>
      <c r="B11071" t="s">
        <v>714</v>
      </c>
      <c r="C11071" t="s">
        <v>88</v>
      </c>
      <c r="D11071" t="s">
        <v>88</v>
      </c>
      <c r="E11071" t="s">
        <v>1596</v>
      </c>
      <c r="F11071" t="s">
        <v>88</v>
      </c>
      <c r="G11071" t="s">
        <v>88</v>
      </c>
      <c r="H11071" t="s">
        <v>92</v>
      </c>
    </row>
    <row r="11072" spans="1:8" x14ac:dyDescent="0.25">
      <c r="A11072" t="s">
        <v>341</v>
      </c>
      <c r="B11072" t="s">
        <v>998</v>
      </c>
      <c r="C11072" t="s">
        <v>88</v>
      </c>
      <c r="D11072" t="s">
        <v>88</v>
      </c>
      <c r="E11072" t="s">
        <v>1596</v>
      </c>
      <c r="F11072" t="s">
        <v>88</v>
      </c>
      <c r="G11072" t="s">
        <v>88</v>
      </c>
      <c r="H11072" t="s">
        <v>92</v>
      </c>
    </row>
    <row r="11073" spans="1:8" x14ac:dyDescent="0.25">
      <c r="A11073" t="s">
        <v>341</v>
      </c>
      <c r="B11073" t="s">
        <v>625</v>
      </c>
      <c r="C11073" t="s">
        <v>88</v>
      </c>
      <c r="D11073" t="s">
        <v>88</v>
      </c>
      <c r="E11073" t="s">
        <v>626</v>
      </c>
      <c r="F11073" t="s">
        <v>88</v>
      </c>
      <c r="G11073" t="s">
        <v>88</v>
      </c>
      <c r="H11073" t="s">
        <v>92</v>
      </c>
    </row>
    <row r="11074" spans="1:8" x14ac:dyDescent="0.25">
      <c r="A11074" t="s">
        <v>342</v>
      </c>
      <c r="B11074" t="s">
        <v>9172</v>
      </c>
      <c r="C11074" t="s">
        <v>88</v>
      </c>
      <c r="D11074" t="s">
        <v>9173</v>
      </c>
      <c r="E11074" t="s">
        <v>836</v>
      </c>
      <c r="F11074" t="s">
        <v>88</v>
      </c>
      <c r="G11074" t="s">
        <v>88</v>
      </c>
      <c r="H11074" t="s">
        <v>92</v>
      </c>
    </row>
    <row r="11075" spans="1:8" x14ac:dyDescent="0.25">
      <c r="A11075" t="s">
        <v>342</v>
      </c>
      <c r="B11075" t="s">
        <v>4248</v>
      </c>
      <c r="C11075" t="s">
        <v>88</v>
      </c>
      <c r="D11075" t="s">
        <v>9174</v>
      </c>
      <c r="E11075" t="s">
        <v>1006</v>
      </c>
      <c r="F11075" t="s">
        <v>88</v>
      </c>
      <c r="G11075" t="s">
        <v>88</v>
      </c>
      <c r="H11075" t="s">
        <v>92</v>
      </c>
    </row>
    <row r="11076" spans="1:8" x14ac:dyDescent="0.25">
      <c r="A11076" t="s">
        <v>342</v>
      </c>
      <c r="B11076" t="s">
        <v>9175</v>
      </c>
      <c r="C11076" t="s">
        <v>88</v>
      </c>
      <c r="D11076" t="s">
        <v>9176</v>
      </c>
      <c r="E11076" t="s">
        <v>692</v>
      </c>
      <c r="F11076" t="s">
        <v>88</v>
      </c>
      <c r="G11076" t="s">
        <v>88</v>
      </c>
      <c r="H11076" t="s">
        <v>92</v>
      </c>
    </row>
    <row r="11077" spans="1:8" x14ac:dyDescent="0.25">
      <c r="A11077" t="s">
        <v>342</v>
      </c>
      <c r="B11077" t="s">
        <v>9177</v>
      </c>
      <c r="C11077" t="s">
        <v>88</v>
      </c>
      <c r="D11077" t="s">
        <v>9178</v>
      </c>
      <c r="E11077" t="s">
        <v>655</v>
      </c>
      <c r="F11077" t="s">
        <v>88</v>
      </c>
      <c r="G11077" t="s">
        <v>88</v>
      </c>
      <c r="H11077" t="s">
        <v>92</v>
      </c>
    </row>
    <row r="11078" spans="1:8" x14ac:dyDescent="0.25">
      <c r="A11078" t="s">
        <v>342</v>
      </c>
      <c r="B11078" t="s">
        <v>671</v>
      </c>
      <c r="C11078" t="s">
        <v>88</v>
      </c>
      <c r="D11078" t="s">
        <v>4187</v>
      </c>
      <c r="E11078" t="s">
        <v>883</v>
      </c>
      <c r="F11078" t="s">
        <v>88</v>
      </c>
      <c r="G11078" t="s">
        <v>88</v>
      </c>
      <c r="H11078" t="s">
        <v>92</v>
      </c>
    </row>
    <row r="11079" spans="1:8" x14ac:dyDescent="0.25">
      <c r="A11079" t="s">
        <v>342</v>
      </c>
      <c r="B11079" t="s">
        <v>4194</v>
      </c>
      <c r="C11079" t="s">
        <v>88</v>
      </c>
      <c r="D11079" t="s">
        <v>9179</v>
      </c>
      <c r="E11079" t="s">
        <v>655</v>
      </c>
      <c r="F11079" t="s">
        <v>88</v>
      </c>
      <c r="G11079" t="s">
        <v>88</v>
      </c>
      <c r="H11079" t="s">
        <v>92</v>
      </c>
    </row>
    <row r="11080" spans="1:8" x14ac:dyDescent="0.25">
      <c r="A11080" t="s">
        <v>342</v>
      </c>
      <c r="B11080" t="s">
        <v>8683</v>
      </c>
      <c r="C11080" t="s">
        <v>88</v>
      </c>
      <c r="D11080" t="s">
        <v>9180</v>
      </c>
      <c r="E11080" t="s">
        <v>655</v>
      </c>
      <c r="F11080" t="s">
        <v>88</v>
      </c>
      <c r="G11080" t="s">
        <v>88</v>
      </c>
      <c r="H11080" t="s">
        <v>92</v>
      </c>
    </row>
    <row r="11081" spans="1:8" x14ac:dyDescent="0.25">
      <c r="A11081" t="s">
        <v>342</v>
      </c>
      <c r="B11081" t="s">
        <v>7223</v>
      </c>
      <c r="C11081" t="s">
        <v>88</v>
      </c>
      <c r="D11081" t="s">
        <v>9181</v>
      </c>
      <c r="E11081" t="s">
        <v>893</v>
      </c>
      <c r="F11081" t="s">
        <v>88</v>
      </c>
      <c r="G11081" t="s">
        <v>88</v>
      </c>
      <c r="H11081" t="s">
        <v>92</v>
      </c>
    </row>
    <row r="11082" spans="1:8" x14ac:dyDescent="0.25">
      <c r="A11082" t="s">
        <v>342</v>
      </c>
      <c r="B11082" t="s">
        <v>7625</v>
      </c>
      <c r="C11082" t="s">
        <v>88</v>
      </c>
      <c r="D11082" t="s">
        <v>9182</v>
      </c>
      <c r="E11082" t="s">
        <v>979</v>
      </c>
      <c r="F11082" t="s">
        <v>88</v>
      </c>
      <c r="G11082" t="s">
        <v>88</v>
      </c>
      <c r="H11082" t="s">
        <v>92</v>
      </c>
    </row>
    <row r="11083" spans="1:8" x14ac:dyDescent="0.25">
      <c r="A11083" t="s">
        <v>342</v>
      </c>
      <c r="B11083" t="s">
        <v>4164</v>
      </c>
      <c r="C11083" t="s">
        <v>88</v>
      </c>
      <c r="D11083" t="s">
        <v>9183</v>
      </c>
      <c r="E11083" t="s">
        <v>979</v>
      </c>
      <c r="F11083" t="s">
        <v>88</v>
      </c>
      <c r="G11083" t="s">
        <v>88</v>
      </c>
      <c r="H11083" t="s">
        <v>92</v>
      </c>
    </row>
    <row r="11084" spans="1:8" x14ac:dyDescent="0.25">
      <c r="A11084" t="s">
        <v>342</v>
      </c>
      <c r="B11084" t="s">
        <v>4168</v>
      </c>
      <c r="C11084" t="s">
        <v>88</v>
      </c>
      <c r="D11084" t="s">
        <v>9184</v>
      </c>
      <c r="E11084" t="s">
        <v>760</v>
      </c>
      <c r="F11084" t="s">
        <v>88</v>
      </c>
      <c r="G11084" t="s">
        <v>88</v>
      </c>
      <c r="H11084" t="s">
        <v>92</v>
      </c>
    </row>
    <row r="11085" spans="1:8" x14ac:dyDescent="0.25">
      <c r="A11085" t="s">
        <v>342</v>
      </c>
      <c r="B11085" t="s">
        <v>9172</v>
      </c>
      <c r="C11085" t="s">
        <v>88</v>
      </c>
      <c r="D11085" t="s">
        <v>9173</v>
      </c>
      <c r="E11085" t="s">
        <v>836</v>
      </c>
      <c r="F11085" t="s">
        <v>88</v>
      </c>
      <c r="G11085" t="s">
        <v>88</v>
      </c>
      <c r="H11085" t="s">
        <v>92</v>
      </c>
    </row>
    <row r="11086" spans="1:8" x14ac:dyDescent="0.25">
      <c r="A11086" t="s">
        <v>342</v>
      </c>
      <c r="B11086" t="s">
        <v>7634</v>
      </c>
      <c r="C11086" t="s">
        <v>88</v>
      </c>
      <c r="D11086" t="s">
        <v>9185</v>
      </c>
      <c r="E11086" t="s">
        <v>655</v>
      </c>
      <c r="F11086" t="s">
        <v>88</v>
      </c>
      <c r="G11086" t="s">
        <v>88</v>
      </c>
      <c r="H11086" t="s">
        <v>92</v>
      </c>
    </row>
    <row r="11087" spans="1:8" x14ac:dyDescent="0.25">
      <c r="A11087" t="s">
        <v>342</v>
      </c>
      <c r="B11087" t="s">
        <v>4172</v>
      </c>
      <c r="C11087" t="s">
        <v>88</v>
      </c>
      <c r="D11087" t="s">
        <v>9186</v>
      </c>
      <c r="E11087" t="s">
        <v>899</v>
      </c>
      <c r="F11087" t="s">
        <v>88</v>
      </c>
      <c r="G11087" t="s">
        <v>88</v>
      </c>
      <c r="H11087" t="s">
        <v>92</v>
      </c>
    </row>
    <row r="11088" spans="1:8" x14ac:dyDescent="0.25">
      <c r="A11088" t="s">
        <v>342</v>
      </c>
      <c r="B11088" t="s">
        <v>8692</v>
      </c>
      <c r="C11088" t="s">
        <v>88</v>
      </c>
      <c r="D11088" t="s">
        <v>9187</v>
      </c>
      <c r="E11088" t="s">
        <v>692</v>
      </c>
      <c r="F11088" t="s">
        <v>88</v>
      </c>
      <c r="G11088" t="s">
        <v>88</v>
      </c>
      <c r="H11088" t="s">
        <v>92</v>
      </c>
    </row>
    <row r="11089" spans="1:8" x14ac:dyDescent="0.25">
      <c r="A11089" t="s">
        <v>342</v>
      </c>
      <c r="B11089" t="s">
        <v>9188</v>
      </c>
      <c r="C11089" t="s">
        <v>88</v>
      </c>
      <c r="D11089" t="s">
        <v>9189</v>
      </c>
      <c r="E11089" t="s">
        <v>655</v>
      </c>
      <c r="F11089" t="s">
        <v>88</v>
      </c>
      <c r="G11089" t="s">
        <v>88</v>
      </c>
      <c r="H11089" t="s">
        <v>92</v>
      </c>
    </row>
    <row r="11090" spans="1:8" x14ac:dyDescent="0.25">
      <c r="A11090" t="s">
        <v>342</v>
      </c>
      <c r="B11090" t="s">
        <v>9177</v>
      </c>
      <c r="C11090" t="s">
        <v>88</v>
      </c>
      <c r="D11090" t="s">
        <v>9178</v>
      </c>
      <c r="E11090" t="s">
        <v>655</v>
      </c>
      <c r="F11090" t="s">
        <v>88</v>
      </c>
      <c r="G11090" t="s">
        <v>88</v>
      </c>
      <c r="H11090" t="s">
        <v>92</v>
      </c>
    </row>
    <row r="11091" spans="1:8" x14ac:dyDescent="0.25">
      <c r="A11091" t="s">
        <v>342</v>
      </c>
      <c r="B11091" t="s">
        <v>9190</v>
      </c>
      <c r="C11091" t="s">
        <v>88</v>
      </c>
      <c r="D11091" t="s">
        <v>9187</v>
      </c>
      <c r="E11091" t="s">
        <v>692</v>
      </c>
      <c r="F11091" t="s">
        <v>88</v>
      </c>
      <c r="G11091" t="s">
        <v>88</v>
      </c>
      <c r="H11091" t="s">
        <v>92</v>
      </c>
    </row>
    <row r="11092" spans="1:8" x14ac:dyDescent="0.25">
      <c r="A11092" t="s">
        <v>342</v>
      </c>
      <c r="B11092" t="s">
        <v>7566</v>
      </c>
      <c r="C11092" t="s">
        <v>88</v>
      </c>
      <c r="D11092" t="s">
        <v>9191</v>
      </c>
      <c r="E11092" t="s">
        <v>1353</v>
      </c>
      <c r="F11092" t="s">
        <v>88</v>
      </c>
      <c r="G11092" t="s">
        <v>88</v>
      </c>
      <c r="H11092" t="s">
        <v>92</v>
      </c>
    </row>
    <row r="11093" spans="1:8" x14ac:dyDescent="0.25">
      <c r="A11093" t="s">
        <v>342</v>
      </c>
      <c r="B11093" t="s">
        <v>4181</v>
      </c>
      <c r="C11093" t="s">
        <v>88</v>
      </c>
      <c r="D11093" t="s">
        <v>9192</v>
      </c>
      <c r="E11093" t="s">
        <v>979</v>
      </c>
      <c r="F11093" t="s">
        <v>88</v>
      </c>
      <c r="G11093" t="s">
        <v>88</v>
      </c>
      <c r="H11093" t="s">
        <v>92</v>
      </c>
    </row>
    <row r="11094" spans="1:8" x14ac:dyDescent="0.25">
      <c r="A11094" t="s">
        <v>342</v>
      </c>
      <c r="B11094" t="s">
        <v>6309</v>
      </c>
      <c r="C11094" t="s">
        <v>88</v>
      </c>
      <c r="D11094" t="s">
        <v>9193</v>
      </c>
      <c r="E11094" t="s">
        <v>762</v>
      </c>
      <c r="F11094" t="s">
        <v>88</v>
      </c>
      <c r="G11094" t="s">
        <v>88</v>
      </c>
      <c r="H11094" t="s">
        <v>92</v>
      </c>
    </row>
    <row r="11095" spans="1:8" x14ac:dyDescent="0.25">
      <c r="A11095" t="s">
        <v>342</v>
      </c>
      <c r="B11095" t="s">
        <v>2586</v>
      </c>
      <c r="C11095" t="s">
        <v>88</v>
      </c>
      <c r="D11095" t="s">
        <v>7611</v>
      </c>
      <c r="E11095" t="s">
        <v>692</v>
      </c>
      <c r="F11095" t="s">
        <v>88</v>
      </c>
      <c r="G11095" t="s">
        <v>88</v>
      </c>
      <c r="H11095" t="s">
        <v>92</v>
      </c>
    </row>
    <row r="11096" spans="1:8" x14ac:dyDescent="0.25">
      <c r="A11096" t="s">
        <v>342</v>
      </c>
      <c r="B11096" t="s">
        <v>9194</v>
      </c>
      <c r="C11096" t="s">
        <v>88</v>
      </c>
      <c r="D11096" t="s">
        <v>9195</v>
      </c>
      <c r="E11096" t="s">
        <v>692</v>
      </c>
      <c r="F11096" t="s">
        <v>88</v>
      </c>
      <c r="G11096" t="s">
        <v>88</v>
      </c>
      <c r="H11096" t="s">
        <v>92</v>
      </c>
    </row>
    <row r="11097" spans="1:8" x14ac:dyDescent="0.25">
      <c r="A11097" t="s">
        <v>342</v>
      </c>
      <c r="B11097" t="s">
        <v>9196</v>
      </c>
      <c r="C11097" t="s">
        <v>88</v>
      </c>
      <c r="D11097" t="s">
        <v>9197</v>
      </c>
      <c r="E11097" t="s">
        <v>820</v>
      </c>
      <c r="F11097" t="s">
        <v>88</v>
      </c>
      <c r="G11097" t="s">
        <v>88</v>
      </c>
      <c r="H11097" t="s">
        <v>92</v>
      </c>
    </row>
    <row r="11098" spans="1:8" x14ac:dyDescent="0.25">
      <c r="A11098" t="s">
        <v>342</v>
      </c>
      <c r="B11098" t="s">
        <v>4196</v>
      </c>
      <c r="C11098" t="s">
        <v>88</v>
      </c>
      <c r="D11098" t="s">
        <v>9198</v>
      </c>
      <c r="E11098" t="s">
        <v>655</v>
      </c>
      <c r="F11098" t="s">
        <v>88</v>
      </c>
      <c r="G11098" t="s">
        <v>88</v>
      </c>
      <c r="H11098" t="s">
        <v>92</v>
      </c>
    </row>
    <row r="11099" spans="1:8" x14ac:dyDescent="0.25">
      <c r="A11099" t="s">
        <v>342</v>
      </c>
      <c r="B11099" t="s">
        <v>9199</v>
      </c>
      <c r="C11099" t="s">
        <v>88</v>
      </c>
      <c r="D11099" t="s">
        <v>9200</v>
      </c>
      <c r="E11099" t="s">
        <v>893</v>
      </c>
      <c r="F11099" t="s">
        <v>88</v>
      </c>
      <c r="G11099" t="s">
        <v>88</v>
      </c>
      <c r="H11099" t="s">
        <v>92</v>
      </c>
    </row>
    <row r="11100" spans="1:8" x14ac:dyDescent="0.25">
      <c r="A11100" t="s">
        <v>342</v>
      </c>
      <c r="B11100" t="s">
        <v>671</v>
      </c>
      <c r="C11100" t="s">
        <v>88</v>
      </c>
      <c r="D11100" t="s">
        <v>4187</v>
      </c>
      <c r="E11100" t="s">
        <v>883</v>
      </c>
      <c r="F11100" t="s">
        <v>88</v>
      </c>
      <c r="G11100" t="s">
        <v>88</v>
      </c>
      <c r="H11100" t="s">
        <v>92</v>
      </c>
    </row>
    <row r="11101" spans="1:8" x14ac:dyDescent="0.25">
      <c r="A11101" t="s">
        <v>342</v>
      </c>
      <c r="B11101" t="s">
        <v>4190</v>
      </c>
      <c r="C11101" t="s">
        <v>88</v>
      </c>
      <c r="D11101" t="s">
        <v>4191</v>
      </c>
      <c r="E11101" t="s">
        <v>893</v>
      </c>
      <c r="F11101" t="s">
        <v>88</v>
      </c>
      <c r="G11101" t="s">
        <v>88</v>
      </c>
      <c r="H11101" t="s">
        <v>92</v>
      </c>
    </row>
    <row r="11102" spans="1:8" x14ac:dyDescent="0.25">
      <c r="A11102" t="s">
        <v>342</v>
      </c>
      <c r="B11102" t="s">
        <v>1859</v>
      </c>
      <c r="C11102" t="s">
        <v>88</v>
      </c>
      <c r="D11102" t="s">
        <v>2844</v>
      </c>
      <c r="E11102" t="s">
        <v>893</v>
      </c>
      <c r="F11102" t="s">
        <v>88</v>
      </c>
      <c r="G11102" t="s">
        <v>88</v>
      </c>
      <c r="H11102" t="s">
        <v>92</v>
      </c>
    </row>
    <row r="11103" spans="1:8" x14ac:dyDescent="0.25">
      <c r="A11103" t="s">
        <v>342</v>
      </c>
      <c r="B11103" t="s">
        <v>2965</v>
      </c>
      <c r="C11103" t="s">
        <v>88</v>
      </c>
      <c r="D11103" t="s">
        <v>7622</v>
      </c>
      <c r="E11103" t="s">
        <v>1353</v>
      </c>
      <c r="F11103" t="s">
        <v>88</v>
      </c>
      <c r="G11103" t="s">
        <v>88</v>
      </c>
      <c r="H11103" t="s">
        <v>92</v>
      </c>
    </row>
    <row r="11104" spans="1:8" x14ac:dyDescent="0.25">
      <c r="A11104" t="s">
        <v>342</v>
      </c>
      <c r="B11104" t="s">
        <v>8845</v>
      </c>
      <c r="C11104" t="s">
        <v>88</v>
      </c>
      <c r="D11104" t="s">
        <v>7616</v>
      </c>
      <c r="E11104" t="s">
        <v>979</v>
      </c>
      <c r="F11104" t="s">
        <v>88</v>
      </c>
      <c r="G11104" t="s">
        <v>88</v>
      </c>
      <c r="H11104" t="s">
        <v>92</v>
      </c>
    </row>
    <row r="11105" spans="1:8" x14ac:dyDescent="0.25">
      <c r="A11105" t="s">
        <v>342</v>
      </c>
      <c r="B11105" t="s">
        <v>4192</v>
      </c>
      <c r="C11105" t="s">
        <v>88</v>
      </c>
      <c r="D11105" t="s">
        <v>4193</v>
      </c>
      <c r="E11105" t="s">
        <v>760</v>
      </c>
      <c r="F11105" t="s">
        <v>88</v>
      </c>
      <c r="G11105" t="s">
        <v>88</v>
      </c>
      <c r="H11105" t="s">
        <v>92</v>
      </c>
    </row>
    <row r="11106" spans="1:8" x14ac:dyDescent="0.25">
      <c r="A11106" t="s">
        <v>342</v>
      </c>
      <c r="B11106" t="s">
        <v>4162</v>
      </c>
      <c r="C11106" t="s">
        <v>88</v>
      </c>
      <c r="D11106" t="s">
        <v>9201</v>
      </c>
      <c r="E11106" t="s">
        <v>760</v>
      </c>
      <c r="F11106" t="s">
        <v>88</v>
      </c>
      <c r="G11106" t="s">
        <v>88</v>
      </c>
      <c r="H11106" t="s">
        <v>92</v>
      </c>
    </row>
    <row r="11107" spans="1:8" x14ac:dyDescent="0.25">
      <c r="A11107" t="s">
        <v>342</v>
      </c>
      <c r="B11107" t="s">
        <v>8854</v>
      </c>
      <c r="C11107" t="s">
        <v>88</v>
      </c>
      <c r="D11107" t="s">
        <v>9202</v>
      </c>
      <c r="E11107" t="s">
        <v>893</v>
      </c>
      <c r="F11107" t="s">
        <v>88</v>
      </c>
      <c r="G11107" t="s">
        <v>88</v>
      </c>
      <c r="H11107" t="s">
        <v>92</v>
      </c>
    </row>
    <row r="11108" spans="1:8" x14ac:dyDescent="0.25">
      <c r="A11108" t="s">
        <v>342</v>
      </c>
      <c r="B11108" t="s">
        <v>9203</v>
      </c>
      <c r="C11108" t="s">
        <v>88</v>
      </c>
      <c r="D11108" t="s">
        <v>9204</v>
      </c>
      <c r="E11108" t="s">
        <v>700</v>
      </c>
      <c r="F11108" t="s">
        <v>88</v>
      </c>
      <c r="G11108" t="s">
        <v>88</v>
      </c>
      <c r="H11108" t="s">
        <v>92</v>
      </c>
    </row>
    <row r="11109" spans="1:8" x14ac:dyDescent="0.25">
      <c r="A11109" t="s">
        <v>342</v>
      </c>
      <c r="B11109" t="s">
        <v>9205</v>
      </c>
      <c r="C11109" t="s">
        <v>88</v>
      </c>
      <c r="D11109" t="s">
        <v>9206</v>
      </c>
      <c r="E11109" t="s">
        <v>700</v>
      </c>
      <c r="F11109" t="s">
        <v>88</v>
      </c>
      <c r="G11109" t="s">
        <v>88</v>
      </c>
      <c r="H11109" t="s">
        <v>92</v>
      </c>
    </row>
    <row r="11110" spans="1:8" x14ac:dyDescent="0.25">
      <c r="A11110" t="s">
        <v>342</v>
      </c>
      <c r="B11110" t="s">
        <v>7258</v>
      </c>
      <c r="C11110" t="s">
        <v>88</v>
      </c>
      <c r="D11110" t="s">
        <v>9207</v>
      </c>
      <c r="E11110" t="s">
        <v>700</v>
      </c>
      <c r="F11110" t="s">
        <v>88</v>
      </c>
      <c r="G11110" t="s">
        <v>88</v>
      </c>
      <c r="H11110" t="s">
        <v>92</v>
      </c>
    </row>
    <row r="11111" spans="1:8" x14ac:dyDescent="0.25">
      <c r="A11111" t="s">
        <v>342</v>
      </c>
      <c r="B11111" t="s">
        <v>4233</v>
      </c>
      <c r="C11111" t="s">
        <v>88</v>
      </c>
      <c r="D11111" t="s">
        <v>9208</v>
      </c>
      <c r="E11111" t="s">
        <v>700</v>
      </c>
      <c r="F11111" t="s">
        <v>88</v>
      </c>
      <c r="G11111" t="s">
        <v>88</v>
      </c>
      <c r="H11111" t="s">
        <v>92</v>
      </c>
    </row>
    <row r="11112" spans="1:8" x14ac:dyDescent="0.25">
      <c r="A11112" t="s">
        <v>342</v>
      </c>
      <c r="B11112" t="s">
        <v>9209</v>
      </c>
      <c r="C11112" t="s">
        <v>88</v>
      </c>
      <c r="D11112" t="s">
        <v>9176</v>
      </c>
      <c r="E11112" t="s">
        <v>700</v>
      </c>
      <c r="F11112" t="s">
        <v>88</v>
      </c>
      <c r="G11112" t="s">
        <v>88</v>
      </c>
      <c r="H11112" t="s">
        <v>92</v>
      </c>
    </row>
    <row r="11113" spans="1:8" x14ac:dyDescent="0.25">
      <c r="A11113" t="s">
        <v>342</v>
      </c>
      <c r="B11113" t="s">
        <v>9210</v>
      </c>
      <c r="C11113" t="s">
        <v>88</v>
      </c>
      <c r="D11113" t="s">
        <v>9211</v>
      </c>
      <c r="E11113" t="s">
        <v>700</v>
      </c>
      <c r="F11113" t="s">
        <v>88</v>
      </c>
      <c r="G11113" t="s">
        <v>88</v>
      </c>
      <c r="H11113" t="s">
        <v>92</v>
      </c>
    </row>
    <row r="11114" spans="1:8" x14ac:dyDescent="0.25">
      <c r="A11114" t="s">
        <v>342</v>
      </c>
      <c r="B11114" t="s">
        <v>9212</v>
      </c>
      <c r="C11114" t="s">
        <v>88</v>
      </c>
      <c r="D11114" t="s">
        <v>9213</v>
      </c>
      <c r="E11114" t="s">
        <v>700</v>
      </c>
      <c r="F11114" t="s">
        <v>88</v>
      </c>
      <c r="G11114" t="s">
        <v>88</v>
      </c>
      <c r="H11114" t="s">
        <v>92</v>
      </c>
    </row>
    <row r="11115" spans="1:8" x14ac:dyDescent="0.25">
      <c r="A11115" t="s">
        <v>342</v>
      </c>
      <c r="B11115" t="s">
        <v>9214</v>
      </c>
      <c r="C11115" t="s">
        <v>88</v>
      </c>
      <c r="D11115" t="s">
        <v>9215</v>
      </c>
      <c r="E11115" t="s">
        <v>748</v>
      </c>
      <c r="F11115" t="s">
        <v>88</v>
      </c>
      <c r="G11115" t="s">
        <v>88</v>
      </c>
      <c r="H11115" t="s">
        <v>92</v>
      </c>
    </row>
    <row r="11116" spans="1:8" x14ac:dyDescent="0.25">
      <c r="A11116" t="s">
        <v>342</v>
      </c>
      <c r="B11116" t="s">
        <v>4225</v>
      </c>
      <c r="C11116" t="s">
        <v>88</v>
      </c>
      <c r="D11116" t="s">
        <v>9216</v>
      </c>
      <c r="E11116" t="s">
        <v>748</v>
      </c>
      <c r="F11116" t="s">
        <v>88</v>
      </c>
      <c r="G11116" t="s">
        <v>88</v>
      </c>
      <c r="H11116" t="s">
        <v>92</v>
      </c>
    </row>
    <row r="11117" spans="1:8" x14ac:dyDescent="0.25">
      <c r="A11117" t="s">
        <v>342</v>
      </c>
      <c r="B11117" t="s">
        <v>4207</v>
      </c>
      <c r="C11117" t="s">
        <v>88</v>
      </c>
      <c r="D11117" t="s">
        <v>9217</v>
      </c>
      <c r="E11117" t="s">
        <v>700</v>
      </c>
      <c r="F11117" t="s">
        <v>88</v>
      </c>
      <c r="G11117" t="s">
        <v>88</v>
      </c>
      <c r="H11117" t="s">
        <v>92</v>
      </c>
    </row>
    <row r="11118" spans="1:8" x14ac:dyDescent="0.25">
      <c r="A11118" t="s">
        <v>342</v>
      </c>
      <c r="B11118" t="s">
        <v>4229</v>
      </c>
      <c r="C11118" t="s">
        <v>88</v>
      </c>
      <c r="D11118" t="s">
        <v>9218</v>
      </c>
      <c r="E11118" t="s">
        <v>717</v>
      </c>
      <c r="F11118" t="s">
        <v>88</v>
      </c>
      <c r="G11118" t="s">
        <v>88</v>
      </c>
      <c r="H11118" t="s">
        <v>92</v>
      </c>
    </row>
    <row r="11119" spans="1:8" x14ac:dyDescent="0.25">
      <c r="A11119" t="s">
        <v>342</v>
      </c>
      <c r="B11119" t="s">
        <v>4231</v>
      </c>
      <c r="C11119" t="s">
        <v>88</v>
      </c>
      <c r="D11119" t="s">
        <v>9219</v>
      </c>
      <c r="E11119" t="s">
        <v>700</v>
      </c>
      <c r="F11119" t="s">
        <v>88</v>
      </c>
      <c r="G11119" t="s">
        <v>88</v>
      </c>
      <c r="H11119" t="s">
        <v>92</v>
      </c>
    </row>
    <row r="11120" spans="1:8" x14ac:dyDescent="0.25">
      <c r="A11120" t="s">
        <v>342</v>
      </c>
      <c r="B11120" t="s">
        <v>9220</v>
      </c>
      <c r="C11120" t="s">
        <v>88</v>
      </c>
      <c r="D11120" t="s">
        <v>9221</v>
      </c>
      <c r="E11120" t="s">
        <v>717</v>
      </c>
      <c r="F11120" t="s">
        <v>88</v>
      </c>
      <c r="G11120" t="s">
        <v>88</v>
      </c>
      <c r="H11120" t="s">
        <v>92</v>
      </c>
    </row>
    <row r="11121" spans="1:8" x14ac:dyDescent="0.25">
      <c r="A11121" t="s">
        <v>342</v>
      </c>
      <c r="B11121" t="s">
        <v>4201</v>
      </c>
      <c r="C11121" t="s">
        <v>88</v>
      </c>
      <c r="D11121" t="s">
        <v>9222</v>
      </c>
      <c r="E11121" t="s">
        <v>748</v>
      </c>
      <c r="F11121" t="s">
        <v>88</v>
      </c>
      <c r="G11121" t="s">
        <v>88</v>
      </c>
      <c r="H11121" t="s">
        <v>92</v>
      </c>
    </row>
    <row r="11122" spans="1:8" x14ac:dyDescent="0.25">
      <c r="A11122" t="s">
        <v>342</v>
      </c>
      <c r="B11122" t="s">
        <v>9127</v>
      </c>
      <c r="C11122" t="s">
        <v>88</v>
      </c>
      <c r="D11122" t="s">
        <v>9223</v>
      </c>
      <c r="E11122" t="s">
        <v>655</v>
      </c>
      <c r="F11122" t="s">
        <v>88</v>
      </c>
      <c r="G11122" t="s">
        <v>88</v>
      </c>
      <c r="H11122" t="s">
        <v>92</v>
      </c>
    </row>
    <row r="11123" spans="1:8" x14ac:dyDescent="0.25">
      <c r="A11123" t="s">
        <v>342</v>
      </c>
      <c r="B11123" t="s">
        <v>9224</v>
      </c>
      <c r="C11123" t="s">
        <v>88</v>
      </c>
      <c r="D11123" t="s">
        <v>9225</v>
      </c>
      <c r="E11123" t="s">
        <v>655</v>
      </c>
      <c r="F11123" t="s">
        <v>88</v>
      </c>
      <c r="G11123" t="s">
        <v>88</v>
      </c>
      <c r="H11123" t="s">
        <v>92</v>
      </c>
    </row>
    <row r="11124" spans="1:8" x14ac:dyDescent="0.25">
      <c r="A11124" t="s">
        <v>342</v>
      </c>
      <c r="B11124" t="s">
        <v>4227</v>
      </c>
      <c r="C11124" t="s">
        <v>88</v>
      </c>
      <c r="D11124" t="s">
        <v>9174</v>
      </c>
      <c r="E11124" t="s">
        <v>883</v>
      </c>
      <c r="F11124" t="s">
        <v>88</v>
      </c>
      <c r="G11124" t="s">
        <v>88</v>
      </c>
      <c r="H11124" t="s">
        <v>92</v>
      </c>
    </row>
    <row r="11125" spans="1:8" x14ac:dyDescent="0.25">
      <c r="A11125" t="s">
        <v>342</v>
      </c>
      <c r="B11125" t="s">
        <v>4213</v>
      </c>
      <c r="C11125" t="s">
        <v>88</v>
      </c>
      <c r="D11125" t="s">
        <v>9226</v>
      </c>
      <c r="E11125" t="s">
        <v>700</v>
      </c>
      <c r="F11125" t="s">
        <v>88</v>
      </c>
      <c r="G11125" t="s">
        <v>88</v>
      </c>
      <c r="H11125" t="s">
        <v>92</v>
      </c>
    </row>
    <row r="11126" spans="1:8" x14ac:dyDescent="0.25">
      <c r="A11126" t="s">
        <v>342</v>
      </c>
      <c r="B11126" t="s">
        <v>9134</v>
      </c>
      <c r="C11126" t="s">
        <v>88</v>
      </c>
      <c r="D11126" t="s">
        <v>9227</v>
      </c>
      <c r="E11126" t="s">
        <v>655</v>
      </c>
      <c r="F11126" t="s">
        <v>88</v>
      </c>
      <c r="G11126" t="s">
        <v>88</v>
      </c>
      <c r="H11126" t="s">
        <v>92</v>
      </c>
    </row>
    <row r="11127" spans="1:8" x14ac:dyDescent="0.25">
      <c r="A11127" t="s">
        <v>342</v>
      </c>
      <c r="B11127" t="s">
        <v>9228</v>
      </c>
      <c r="C11127" t="s">
        <v>88</v>
      </c>
      <c r="D11127" t="s">
        <v>9229</v>
      </c>
      <c r="E11127" t="s">
        <v>748</v>
      </c>
      <c r="F11127" t="s">
        <v>88</v>
      </c>
      <c r="G11127" t="s">
        <v>88</v>
      </c>
      <c r="H11127" t="s">
        <v>92</v>
      </c>
    </row>
    <row r="11128" spans="1:8" x14ac:dyDescent="0.25">
      <c r="A11128" t="s">
        <v>342</v>
      </c>
      <c r="B11128" t="s">
        <v>9230</v>
      </c>
      <c r="C11128" t="s">
        <v>88</v>
      </c>
      <c r="D11128" t="s">
        <v>9231</v>
      </c>
      <c r="E11128" t="s">
        <v>762</v>
      </c>
      <c r="F11128" t="s">
        <v>88</v>
      </c>
      <c r="G11128" t="s">
        <v>88</v>
      </c>
      <c r="H11128" t="s">
        <v>92</v>
      </c>
    </row>
    <row r="11129" spans="1:8" x14ac:dyDescent="0.25">
      <c r="A11129" t="s">
        <v>342</v>
      </c>
      <c r="B11129" t="s">
        <v>9232</v>
      </c>
      <c r="C11129" t="s">
        <v>88</v>
      </c>
      <c r="D11129" t="s">
        <v>9204</v>
      </c>
      <c r="E11129" t="s">
        <v>692</v>
      </c>
      <c r="F11129" t="s">
        <v>88</v>
      </c>
      <c r="G11129" t="s">
        <v>88</v>
      </c>
      <c r="H11129" t="s">
        <v>92</v>
      </c>
    </row>
    <row r="11130" spans="1:8" x14ac:dyDescent="0.25">
      <c r="A11130" t="s">
        <v>342</v>
      </c>
      <c r="B11130" t="s">
        <v>9233</v>
      </c>
      <c r="C11130" t="s">
        <v>88</v>
      </c>
      <c r="D11130" t="s">
        <v>9206</v>
      </c>
      <c r="E11130" t="s">
        <v>692</v>
      </c>
      <c r="F11130" t="s">
        <v>88</v>
      </c>
      <c r="G11130" t="s">
        <v>88</v>
      </c>
      <c r="H11130" t="s">
        <v>92</v>
      </c>
    </row>
    <row r="11131" spans="1:8" x14ac:dyDescent="0.25">
      <c r="A11131" t="s">
        <v>342</v>
      </c>
      <c r="B11131" t="s">
        <v>7269</v>
      </c>
      <c r="C11131" t="s">
        <v>88</v>
      </c>
      <c r="D11131" t="s">
        <v>9207</v>
      </c>
      <c r="E11131" t="s">
        <v>692</v>
      </c>
      <c r="F11131" t="s">
        <v>88</v>
      </c>
      <c r="G11131" t="s">
        <v>88</v>
      </c>
      <c r="H11131" t="s">
        <v>92</v>
      </c>
    </row>
    <row r="11132" spans="1:8" x14ac:dyDescent="0.25">
      <c r="A11132" t="s">
        <v>342</v>
      </c>
      <c r="B11132" t="s">
        <v>4236</v>
      </c>
      <c r="C11132" t="s">
        <v>88</v>
      </c>
      <c r="D11132" t="s">
        <v>9208</v>
      </c>
      <c r="E11132" t="s">
        <v>692</v>
      </c>
      <c r="F11132" t="s">
        <v>88</v>
      </c>
      <c r="G11132" t="s">
        <v>88</v>
      </c>
      <c r="H11132" t="s">
        <v>92</v>
      </c>
    </row>
    <row r="11133" spans="1:8" x14ac:dyDescent="0.25">
      <c r="A11133" t="s">
        <v>342</v>
      </c>
      <c r="B11133" t="s">
        <v>9175</v>
      </c>
      <c r="C11133" t="s">
        <v>88</v>
      </c>
      <c r="D11133" t="s">
        <v>9176</v>
      </c>
      <c r="E11133" t="s">
        <v>692</v>
      </c>
      <c r="F11133" t="s">
        <v>88</v>
      </c>
      <c r="G11133" t="s">
        <v>88</v>
      </c>
      <c r="H11133" t="s">
        <v>92</v>
      </c>
    </row>
    <row r="11134" spans="1:8" x14ac:dyDescent="0.25">
      <c r="A11134" t="s">
        <v>342</v>
      </c>
      <c r="B11134" t="s">
        <v>9234</v>
      </c>
      <c r="C11134" t="s">
        <v>88</v>
      </c>
      <c r="D11134" t="s">
        <v>9211</v>
      </c>
      <c r="E11134" t="s">
        <v>692</v>
      </c>
      <c r="F11134" t="s">
        <v>88</v>
      </c>
      <c r="G11134" t="s">
        <v>88</v>
      </c>
      <c r="H11134" t="s">
        <v>92</v>
      </c>
    </row>
    <row r="11135" spans="1:8" x14ac:dyDescent="0.25">
      <c r="A11135" t="s">
        <v>342</v>
      </c>
      <c r="B11135" t="s">
        <v>9235</v>
      </c>
      <c r="C11135" t="s">
        <v>88</v>
      </c>
      <c r="D11135" t="s">
        <v>9213</v>
      </c>
      <c r="E11135" t="s">
        <v>692</v>
      </c>
      <c r="F11135" t="s">
        <v>88</v>
      </c>
      <c r="G11135" t="s">
        <v>88</v>
      </c>
      <c r="H11135" t="s">
        <v>92</v>
      </c>
    </row>
    <row r="11136" spans="1:8" x14ac:dyDescent="0.25">
      <c r="A11136" t="s">
        <v>342</v>
      </c>
      <c r="B11136" t="s">
        <v>9236</v>
      </c>
      <c r="C11136" t="s">
        <v>88</v>
      </c>
      <c r="D11136" t="s">
        <v>9215</v>
      </c>
      <c r="E11136" t="s">
        <v>692</v>
      </c>
      <c r="F11136" t="s">
        <v>88</v>
      </c>
      <c r="G11136" t="s">
        <v>88</v>
      </c>
      <c r="H11136" t="s">
        <v>92</v>
      </c>
    </row>
    <row r="11137" spans="1:8" x14ac:dyDescent="0.25">
      <c r="A11137" t="s">
        <v>342</v>
      </c>
      <c r="B11137" t="s">
        <v>4251</v>
      </c>
      <c r="C11137" t="s">
        <v>88</v>
      </c>
      <c r="D11137" t="s">
        <v>9216</v>
      </c>
      <c r="E11137" t="s">
        <v>893</v>
      </c>
      <c r="F11137" t="s">
        <v>88</v>
      </c>
      <c r="G11137" t="s">
        <v>88</v>
      </c>
      <c r="H11137" t="s">
        <v>92</v>
      </c>
    </row>
    <row r="11138" spans="1:8" x14ac:dyDescent="0.25">
      <c r="A11138" t="s">
        <v>342</v>
      </c>
      <c r="B11138" t="s">
        <v>4244</v>
      </c>
      <c r="C11138" t="s">
        <v>88</v>
      </c>
      <c r="D11138" t="s">
        <v>9217</v>
      </c>
      <c r="E11138" t="s">
        <v>692</v>
      </c>
      <c r="F11138" t="s">
        <v>88</v>
      </c>
      <c r="G11138" t="s">
        <v>88</v>
      </c>
      <c r="H11138" t="s">
        <v>92</v>
      </c>
    </row>
    <row r="11139" spans="1:8" x14ac:dyDescent="0.25">
      <c r="A11139" t="s">
        <v>342</v>
      </c>
      <c r="B11139" t="s">
        <v>4249</v>
      </c>
      <c r="C11139" t="s">
        <v>88</v>
      </c>
      <c r="D11139" t="s">
        <v>9218</v>
      </c>
      <c r="E11139" t="s">
        <v>820</v>
      </c>
      <c r="F11139" t="s">
        <v>88</v>
      </c>
      <c r="G11139" t="s">
        <v>88</v>
      </c>
      <c r="H11139" t="s">
        <v>92</v>
      </c>
    </row>
    <row r="11140" spans="1:8" x14ac:dyDescent="0.25">
      <c r="A11140" t="s">
        <v>342</v>
      </c>
      <c r="B11140" t="s">
        <v>4242</v>
      </c>
      <c r="C11140" t="s">
        <v>88</v>
      </c>
      <c r="D11140" t="s">
        <v>9219</v>
      </c>
      <c r="E11140" t="s">
        <v>692</v>
      </c>
      <c r="F11140" t="s">
        <v>88</v>
      </c>
      <c r="G11140" t="s">
        <v>88</v>
      </c>
      <c r="H11140" t="s">
        <v>92</v>
      </c>
    </row>
    <row r="11141" spans="1:8" x14ac:dyDescent="0.25">
      <c r="A11141" t="s">
        <v>342</v>
      </c>
      <c r="B11141" t="s">
        <v>9237</v>
      </c>
      <c r="C11141" t="s">
        <v>88</v>
      </c>
      <c r="D11141" t="s">
        <v>9221</v>
      </c>
      <c r="E11141" t="s">
        <v>820</v>
      </c>
      <c r="F11141" t="s">
        <v>88</v>
      </c>
      <c r="G11141" t="s">
        <v>88</v>
      </c>
      <c r="H11141" t="s">
        <v>92</v>
      </c>
    </row>
    <row r="11142" spans="1:8" x14ac:dyDescent="0.25">
      <c r="A11142" t="s">
        <v>342</v>
      </c>
      <c r="B11142" t="s">
        <v>4238</v>
      </c>
      <c r="C11142" t="s">
        <v>88</v>
      </c>
      <c r="D11142" t="s">
        <v>9222</v>
      </c>
      <c r="E11142" t="s">
        <v>893</v>
      </c>
      <c r="F11142" t="s">
        <v>88</v>
      </c>
      <c r="G11142" t="s">
        <v>88</v>
      </c>
      <c r="H11142" t="s">
        <v>92</v>
      </c>
    </row>
    <row r="11143" spans="1:8" x14ac:dyDescent="0.25">
      <c r="A11143" t="s">
        <v>342</v>
      </c>
      <c r="B11143" t="s">
        <v>9137</v>
      </c>
      <c r="C11143" t="s">
        <v>88</v>
      </c>
      <c r="D11143" t="s">
        <v>9223</v>
      </c>
      <c r="E11143" t="s">
        <v>2289</v>
      </c>
      <c r="F11143" t="s">
        <v>88</v>
      </c>
      <c r="G11143" t="s">
        <v>88</v>
      </c>
      <c r="H11143" t="s">
        <v>92</v>
      </c>
    </row>
    <row r="11144" spans="1:8" x14ac:dyDescent="0.25">
      <c r="A11144" t="s">
        <v>342</v>
      </c>
      <c r="B11144" t="s">
        <v>9238</v>
      </c>
      <c r="C11144" t="s">
        <v>88</v>
      </c>
      <c r="D11144" t="s">
        <v>9225</v>
      </c>
      <c r="E11144" t="s">
        <v>2289</v>
      </c>
      <c r="F11144" t="s">
        <v>88</v>
      </c>
      <c r="G11144" t="s">
        <v>88</v>
      </c>
      <c r="H11144" t="s">
        <v>92</v>
      </c>
    </row>
    <row r="11145" spans="1:8" x14ac:dyDescent="0.25">
      <c r="A11145" t="s">
        <v>342</v>
      </c>
      <c r="B11145" t="s">
        <v>4248</v>
      </c>
      <c r="C11145" t="s">
        <v>88</v>
      </c>
      <c r="D11145" t="s">
        <v>9174</v>
      </c>
      <c r="E11145" t="s">
        <v>1006</v>
      </c>
      <c r="F11145" t="s">
        <v>88</v>
      </c>
      <c r="G11145" t="s">
        <v>88</v>
      </c>
      <c r="H11145" t="s">
        <v>92</v>
      </c>
    </row>
    <row r="11146" spans="1:8" x14ac:dyDescent="0.25">
      <c r="A11146" t="s">
        <v>342</v>
      </c>
      <c r="B11146" t="s">
        <v>4237</v>
      </c>
      <c r="C11146" t="s">
        <v>88</v>
      </c>
      <c r="D11146" t="s">
        <v>9226</v>
      </c>
      <c r="E11146" t="s">
        <v>692</v>
      </c>
      <c r="F11146" t="s">
        <v>88</v>
      </c>
      <c r="G11146" t="s">
        <v>88</v>
      </c>
      <c r="H11146" t="s">
        <v>92</v>
      </c>
    </row>
    <row r="11147" spans="1:8" x14ac:dyDescent="0.25">
      <c r="A11147" t="s">
        <v>342</v>
      </c>
      <c r="B11147" t="s">
        <v>9141</v>
      </c>
      <c r="C11147" t="s">
        <v>88</v>
      </c>
      <c r="D11147" t="s">
        <v>9227</v>
      </c>
      <c r="E11147" t="s">
        <v>2289</v>
      </c>
      <c r="F11147" t="s">
        <v>88</v>
      </c>
      <c r="G11147" t="s">
        <v>88</v>
      </c>
      <c r="H11147" t="s">
        <v>92</v>
      </c>
    </row>
    <row r="11148" spans="1:8" x14ac:dyDescent="0.25">
      <c r="A11148" t="s">
        <v>342</v>
      </c>
      <c r="B11148" t="s">
        <v>9239</v>
      </c>
      <c r="C11148" t="s">
        <v>88</v>
      </c>
      <c r="D11148" t="s">
        <v>9229</v>
      </c>
      <c r="E11148" t="s">
        <v>692</v>
      </c>
      <c r="F11148" t="s">
        <v>88</v>
      </c>
      <c r="G11148" t="s">
        <v>88</v>
      </c>
      <c r="H11148" t="s">
        <v>92</v>
      </c>
    </row>
    <row r="11149" spans="1:8" x14ac:dyDescent="0.25">
      <c r="A11149" t="s">
        <v>342</v>
      </c>
      <c r="B11149" t="s">
        <v>9240</v>
      </c>
      <c r="C11149" t="s">
        <v>88</v>
      </c>
      <c r="D11149" t="s">
        <v>9231</v>
      </c>
      <c r="E11149" t="s">
        <v>899</v>
      </c>
      <c r="F11149" t="s">
        <v>88</v>
      </c>
      <c r="G11149" t="s">
        <v>88</v>
      </c>
      <c r="H11149" t="s">
        <v>92</v>
      </c>
    </row>
    <row r="11150" spans="1:8" x14ac:dyDescent="0.25">
      <c r="A11150" t="s">
        <v>342</v>
      </c>
      <c r="B11150" t="s">
        <v>9241</v>
      </c>
      <c r="C11150" t="s">
        <v>88</v>
      </c>
      <c r="D11150" t="s">
        <v>9204</v>
      </c>
      <c r="E11150" t="s">
        <v>964</v>
      </c>
      <c r="F11150" t="s">
        <v>88</v>
      </c>
      <c r="G11150" t="s">
        <v>88</v>
      </c>
      <c r="H11150" t="s">
        <v>92</v>
      </c>
    </row>
    <row r="11151" spans="1:8" x14ac:dyDescent="0.25">
      <c r="A11151" t="s">
        <v>342</v>
      </c>
      <c r="B11151" t="s">
        <v>9242</v>
      </c>
      <c r="C11151" t="s">
        <v>88</v>
      </c>
      <c r="D11151" t="s">
        <v>9206</v>
      </c>
      <c r="E11151" t="s">
        <v>964</v>
      </c>
      <c r="F11151" t="s">
        <v>88</v>
      </c>
      <c r="G11151" t="s">
        <v>88</v>
      </c>
      <c r="H11151" t="s">
        <v>92</v>
      </c>
    </row>
    <row r="11152" spans="1:8" x14ac:dyDescent="0.25">
      <c r="A11152" t="s">
        <v>342</v>
      </c>
      <c r="B11152" t="s">
        <v>7273</v>
      </c>
      <c r="C11152" t="s">
        <v>88</v>
      </c>
      <c r="D11152" t="s">
        <v>9207</v>
      </c>
      <c r="E11152" t="s">
        <v>964</v>
      </c>
      <c r="F11152" t="s">
        <v>88</v>
      </c>
      <c r="G11152" t="s">
        <v>88</v>
      </c>
      <c r="H11152" t="s">
        <v>92</v>
      </c>
    </row>
    <row r="11153" spans="1:8" x14ac:dyDescent="0.25">
      <c r="A11153" t="s">
        <v>342</v>
      </c>
      <c r="B11153" t="s">
        <v>4252</v>
      </c>
      <c r="C11153" t="s">
        <v>88</v>
      </c>
      <c r="D11153" t="s">
        <v>9208</v>
      </c>
      <c r="E11153" t="s">
        <v>964</v>
      </c>
      <c r="F11153" t="s">
        <v>88</v>
      </c>
      <c r="G11153" t="s">
        <v>88</v>
      </c>
      <c r="H11153" t="s">
        <v>92</v>
      </c>
    </row>
    <row r="11154" spans="1:8" x14ac:dyDescent="0.25">
      <c r="A11154" t="s">
        <v>342</v>
      </c>
      <c r="B11154" t="s">
        <v>9243</v>
      </c>
      <c r="C11154" t="s">
        <v>88</v>
      </c>
      <c r="D11154" t="s">
        <v>9176</v>
      </c>
      <c r="E11154" t="s">
        <v>964</v>
      </c>
      <c r="F11154" t="s">
        <v>88</v>
      </c>
      <c r="G11154" t="s">
        <v>88</v>
      </c>
      <c r="H11154" t="s">
        <v>92</v>
      </c>
    </row>
    <row r="11155" spans="1:8" x14ac:dyDescent="0.25">
      <c r="A11155" t="s">
        <v>342</v>
      </c>
      <c r="B11155" t="s">
        <v>9244</v>
      </c>
      <c r="C11155" t="s">
        <v>88</v>
      </c>
      <c r="D11155" t="s">
        <v>9211</v>
      </c>
      <c r="E11155" t="s">
        <v>964</v>
      </c>
      <c r="F11155" t="s">
        <v>88</v>
      </c>
      <c r="G11155" t="s">
        <v>88</v>
      </c>
      <c r="H11155" t="s">
        <v>92</v>
      </c>
    </row>
    <row r="11156" spans="1:8" x14ac:dyDescent="0.25">
      <c r="A11156" t="s">
        <v>342</v>
      </c>
      <c r="B11156" t="s">
        <v>9245</v>
      </c>
      <c r="C11156" t="s">
        <v>88</v>
      </c>
      <c r="D11156" t="s">
        <v>9213</v>
      </c>
      <c r="E11156" t="s">
        <v>964</v>
      </c>
      <c r="F11156" t="s">
        <v>88</v>
      </c>
      <c r="G11156" t="s">
        <v>88</v>
      </c>
      <c r="H11156" t="s">
        <v>92</v>
      </c>
    </row>
    <row r="11157" spans="1:8" x14ac:dyDescent="0.25">
      <c r="A11157" t="s">
        <v>342</v>
      </c>
      <c r="B11157" t="s">
        <v>9246</v>
      </c>
      <c r="C11157" t="s">
        <v>88</v>
      </c>
      <c r="D11157" t="s">
        <v>9215</v>
      </c>
      <c r="E11157" t="s">
        <v>838</v>
      </c>
      <c r="F11157" t="s">
        <v>88</v>
      </c>
      <c r="G11157" t="s">
        <v>88</v>
      </c>
      <c r="H11157" t="s">
        <v>92</v>
      </c>
    </row>
    <row r="11158" spans="1:8" x14ac:dyDescent="0.25">
      <c r="A11158" t="s">
        <v>342</v>
      </c>
      <c r="B11158" t="s">
        <v>4262</v>
      </c>
      <c r="C11158" t="s">
        <v>88</v>
      </c>
      <c r="D11158" t="s">
        <v>9216</v>
      </c>
      <c r="E11158" t="s">
        <v>964</v>
      </c>
      <c r="F11158" t="s">
        <v>88</v>
      </c>
      <c r="G11158" t="s">
        <v>88</v>
      </c>
      <c r="H11158" t="s">
        <v>92</v>
      </c>
    </row>
    <row r="11159" spans="1:8" x14ac:dyDescent="0.25">
      <c r="A11159" t="s">
        <v>342</v>
      </c>
      <c r="B11159" t="s">
        <v>4253</v>
      </c>
      <c r="C11159" t="s">
        <v>88</v>
      </c>
      <c r="D11159" t="s">
        <v>9217</v>
      </c>
      <c r="E11159" t="s">
        <v>964</v>
      </c>
      <c r="F11159" t="s">
        <v>88</v>
      </c>
      <c r="G11159" t="s">
        <v>88</v>
      </c>
      <c r="H11159" t="s">
        <v>92</v>
      </c>
    </row>
    <row r="11160" spans="1:8" x14ac:dyDescent="0.25">
      <c r="A11160" t="s">
        <v>342</v>
      </c>
      <c r="B11160" t="s">
        <v>4269</v>
      </c>
      <c r="C11160" t="s">
        <v>88</v>
      </c>
      <c r="D11160" t="s">
        <v>9218</v>
      </c>
      <c r="E11160" t="s">
        <v>3593</v>
      </c>
      <c r="F11160" t="s">
        <v>88</v>
      </c>
      <c r="G11160" t="s">
        <v>88</v>
      </c>
      <c r="H11160" t="s">
        <v>92</v>
      </c>
    </row>
    <row r="11161" spans="1:8" x14ac:dyDescent="0.25">
      <c r="A11161" t="s">
        <v>342</v>
      </c>
      <c r="B11161" t="s">
        <v>4254</v>
      </c>
      <c r="C11161" t="s">
        <v>88</v>
      </c>
      <c r="D11161" t="s">
        <v>9219</v>
      </c>
      <c r="E11161" t="s">
        <v>964</v>
      </c>
      <c r="F11161" t="s">
        <v>88</v>
      </c>
      <c r="G11161" t="s">
        <v>88</v>
      </c>
      <c r="H11161" t="s">
        <v>92</v>
      </c>
    </row>
    <row r="11162" spans="1:8" x14ac:dyDescent="0.25">
      <c r="A11162" t="s">
        <v>342</v>
      </c>
      <c r="B11162" t="s">
        <v>9247</v>
      </c>
      <c r="C11162" t="s">
        <v>88</v>
      </c>
      <c r="D11162" t="s">
        <v>9221</v>
      </c>
      <c r="E11162" t="s">
        <v>964</v>
      </c>
      <c r="F11162" t="s">
        <v>88</v>
      </c>
      <c r="G11162" t="s">
        <v>88</v>
      </c>
      <c r="H11162" t="s">
        <v>92</v>
      </c>
    </row>
    <row r="11163" spans="1:8" x14ac:dyDescent="0.25">
      <c r="A11163" t="s">
        <v>342</v>
      </c>
      <c r="B11163" t="s">
        <v>4257</v>
      </c>
      <c r="C11163" t="s">
        <v>88</v>
      </c>
      <c r="D11163" t="s">
        <v>9222</v>
      </c>
      <c r="E11163" t="s">
        <v>1259</v>
      </c>
      <c r="F11163" t="s">
        <v>88</v>
      </c>
      <c r="G11163" t="s">
        <v>88</v>
      </c>
      <c r="H11163" t="s">
        <v>92</v>
      </c>
    </row>
    <row r="11164" spans="1:8" x14ac:dyDescent="0.25">
      <c r="A11164" t="s">
        <v>342</v>
      </c>
      <c r="B11164" t="s">
        <v>9144</v>
      </c>
      <c r="C11164" t="s">
        <v>88</v>
      </c>
      <c r="D11164" t="s">
        <v>9223</v>
      </c>
      <c r="E11164" t="s">
        <v>812</v>
      </c>
      <c r="F11164" t="s">
        <v>88</v>
      </c>
      <c r="G11164" t="s">
        <v>88</v>
      </c>
      <c r="H11164" t="s">
        <v>92</v>
      </c>
    </row>
    <row r="11165" spans="1:8" x14ac:dyDescent="0.25">
      <c r="A11165" t="s">
        <v>342</v>
      </c>
      <c r="B11165" t="s">
        <v>9248</v>
      </c>
      <c r="C11165" t="s">
        <v>88</v>
      </c>
      <c r="D11165" t="s">
        <v>9225</v>
      </c>
      <c r="E11165" t="s">
        <v>812</v>
      </c>
      <c r="F11165" t="s">
        <v>88</v>
      </c>
      <c r="G11165" t="s">
        <v>88</v>
      </c>
      <c r="H11165" t="s">
        <v>92</v>
      </c>
    </row>
    <row r="11166" spans="1:8" x14ac:dyDescent="0.25">
      <c r="A11166" t="s">
        <v>342</v>
      </c>
      <c r="B11166" t="s">
        <v>4265</v>
      </c>
      <c r="C11166" t="s">
        <v>88</v>
      </c>
      <c r="D11166" t="s">
        <v>9174</v>
      </c>
      <c r="E11166" t="s">
        <v>841</v>
      </c>
      <c r="F11166" t="s">
        <v>88</v>
      </c>
      <c r="G11166" t="s">
        <v>88</v>
      </c>
      <c r="H11166" t="s">
        <v>92</v>
      </c>
    </row>
    <row r="11167" spans="1:8" x14ac:dyDescent="0.25">
      <c r="A11167" t="s">
        <v>342</v>
      </c>
      <c r="B11167" t="s">
        <v>4255</v>
      </c>
      <c r="C11167" t="s">
        <v>88</v>
      </c>
      <c r="D11167" t="s">
        <v>9226</v>
      </c>
      <c r="E11167" t="s">
        <v>964</v>
      </c>
      <c r="F11167" t="s">
        <v>88</v>
      </c>
      <c r="G11167" t="s">
        <v>88</v>
      </c>
      <c r="H11167" t="s">
        <v>92</v>
      </c>
    </row>
    <row r="11168" spans="1:8" x14ac:dyDescent="0.25">
      <c r="A11168" t="s">
        <v>342</v>
      </c>
      <c r="B11168" t="s">
        <v>9148</v>
      </c>
      <c r="C11168" t="s">
        <v>88</v>
      </c>
      <c r="D11168" t="s">
        <v>9227</v>
      </c>
      <c r="E11168" t="s">
        <v>812</v>
      </c>
      <c r="F11168" t="s">
        <v>88</v>
      </c>
      <c r="G11168" t="s">
        <v>88</v>
      </c>
      <c r="H11168" t="s">
        <v>92</v>
      </c>
    </row>
    <row r="11169" spans="1:8" x14ac:dyDescent="0.25">
      <c r="A11169" t="s">
        <v>342</v>
      </c>
      <c r="B11169" t="s">
        <v>9249</v>
      </c>
      <c r="C11169" t="s">
        <v>88</v>
      </c>
      <c r="D11169" t="s">
        <v>9229</v>
      </c>
      <c r="E11169" t="s">
        <v>964</v>
      </c>
      <c r="F11169" t="s">
        <v>88</v>
      </c>
      <c r="G11169" t="s">
        <v>88</v>
      </c>
      <c r="H11169" t="s">
        <v>92</v>
      </c>
    </row>
    <row r="11170" spans="1:8" x14ac:dyDescent="0.25">
      <c r="A11170" t="s">
        <v>342</v>
      </c>
      <c r="B11170" t="s">
        <v>9250</v>
      </c>
      <c r="C11170" t="s">
        <v>88</v>
      </c>
      <c r="D11170" t="s">
        <v>9231</v>
      </c>
      <c r="E11170" t="s">
        <v>825</v>
      </c>
      <c r="F11170" t="s">
        <v>88</v>
      </c>
      <c r="G11170" t="s">
        <v>88</v>
      </c>
      <c r="H11170" t="s">
        <v>92</v>
      </c>
    </row>
    <row r="11171" spans="1:8" x14ac:dyDescent="0.25">
      <c r="A11171" t="s">
        <v>342</v>
      </c>
      <c r="B11171" t="s">
        <v>9251</v>
      </c>
      <c r="C11171" t="s">
        <v>88</v>
      </c>
      <c r="D11171" t="s">
        <v>9204</v>
      </c>
      <c r="E11171" t="s">
        <v>814</v>
      </c>
      <c r="F11171" t="s">
        <v>88</v>
      </c>
      <c r="G11171" t="s">
        <v>88</v>
      </c>
      <c r="H11171" t="s">
        <v>92</v>
      </c>
    </row>
    <row r="11172" spans="1:8" x14ac:dyDescent="0.25">
      <c r="A11172" t="s">
        <v>342</v>
      </c>
      <c r="B11172" t="s">
        <v>9252</v>
      </c>
      <c r="C11172" t="s">
        <v>88</v>
      </c>
      <c r="D11172" t="s">
        <v>9206</v>
      </c>
      <c r="E11172" t="s">
        <v>814</v>
      </c>
      <c r="F11172" t="s">
        <v>88</v>
      </c>
      <c r="G11172" t="s">
        <v>88</v>
      </c>
      <c r="H11172" t="s">
        <v>92</v>
      </c>
    </row>
    <row r="11173" spans="1:8" x14ac:dyDescent="0.25">
      <c r="A11173" t="s">
        <v>342</v>
      </c>
      <c r="B11173" t="s">
        <v>9253</v>
      </c>
      <c r="C11173" t="s">
        <v>88</v>
      </c>
      <c r="D11173" t="s">
        <v>9207</v>
      </c>
      <c r="E11173" t="s">
        <v>814</v>
      </c>
      <c r="F11173" t="s">
        <v>88</v>
      </c>
      <c r="G11173" t="s">
        <v>88</v>
      </c>
      <c r="H11173" t="s">
        <v>92</v>
      </c>
    </row>
    <row r="11174" spans="1:8" x14ac:dyDescent="0.25">
      <c r="A11174" t="s">
        <v>342</v>
      </c>
      <c r="B11174" t="s">
        <v>4272</v>
      </c>
      <c r="C11174" t="s">
        <v>88</v>
      </c>
      <c r="D11174" t="s">
        <v>9208</v>
      </c>
      <c r="E11174" t="s">
        <v>814</v>
      </c>
      <c r="F11174" t="s">
        <v>88</v>
      </c>
      <c r="G11174" t="s">
        <v>88</v>
      </c>
      <c r="H11174" t="s">
        <v>92</v>
      </c>
    </row>
    <row r="11175" spans="1:8" x14ac:dyDescent="0.25">
      <c r="A11175" t="s">
        <v>342</v>
      </c>
      <c r="B11175" t="s">
        <v>9254</v>
      </c>
      <c r="C11175" t="s">
        <v>88</v>
      </c>
      <c r="D11175" t="s">
        <v>9176</v>
      </c>
      <c r="E11175" t="s">
        <v>814</v>
      </c>
      <c r="F11175" t="s">
        <v>88</v>
      </c>
      <c r="G11175" t="s">
        <v>88</v>
      </c>
      <c r="H11175" t="s">
        <v>92</v>
      </c>
    </row>
    <row r="11176" spans="1:8" x14ac:dyDescent="0.25">
      <c r="A11176" t="s">
        <v>342</v>
      </c>
      <c r="B11176" t="s">
        <v>9255</v>
      </c>
      <c r="C11176" t="s">
        <v>88</v>
      </c>
      <c r="D11176" t="s">
        <v>9211</v>
      </c>
      <c r="E11176" t="s">
        <v>814</v>
      </c>
      <c r="F11176" t="s">
        <v>88</v>
      </c>
      <c r="G11176" t="s">
        <v>88</v>
      </c>
      <c r="H11176" t="s">
        <v>92</v>
      </c>
    </row>
    <row r="11177" spans="1:8" x14ac:dyDescent="0.25">
      <c r="A11177" t="s">
        <v>342</v>
      </c>
      <c r="B11177" t="s">
        <v>9256</v>
      </c>
      <c r="C11177" t="s">
        <v>88</v>
      </c>
      <c r="D11177" t="s">
        <v>9213</v>
      </c>
      <c r="E11177" t="s">
        <v>814</v>
      </c>
      <c r="F11177" t="s">
        <v>88</v>
      </c>
      <c r="G11177" t="s">
        <v>88</v>
      </c>
      <c r="H11177" t="s">
        <v>92</v>
      </c>
    </row>
    <row r="11178" spans="1:8" x14ac:dyDescent="0.25">
      <c r="A11178" t="s">
        <v>342</v>
      </c>
      <c r="B11178" t="s">
        <v>9257</v>
      </c>
      <c r="C11178" t="s">
        <v>88</v>
      </c>
      <c r="D11178" t="s">
        <v>9215</v>
      </c>
      <c r="E11178" t="s">
        <v>814</v>
      </c>
      <c r="F11178" t="s">
        <v>88</v>
      </c>
      <c r="G11178" t="s">
        <v>88</v>
      </c>
      <c r="H11178" t="s">
        <v>92</v>
      </c>
    </row>
    <row r="11179" spans="1:8" x14ac:dyDescent="0.25">
      <c r="A11179" t="s">
        <v>342</v>
      </c>
      <c r="B11179" t="s">
        <v>4281</v>
      </c>
      <c r="C11179" t="s">
        <v>88</v>
      </c>
      <c r="D11179" t="s">
        <v>9216</v>
      </c>
      <c r="E11179" t="s">
        <v>4285</v>
      </c>
      <c r="F11179" t="s">
        <v>88</v>
      </c>
      <c r="G11179" t="s">
        <v>88</v>
      </c>
      <c r="H11179" t="s">
        <v>92</v>
      </c>
    </row>
    <row r="11180" spans="1:8" x14ac:dyDescent="0.25">
      <c r="A11180" t="s">
        <v>342</v>
      </c>
      <c r="B11180" t="s">
        <v>4270</v>
      </c>
      <c r="C11180" t="s">
        <v>88</v>
      </c>
      <c r="D11180" t="s">
        <v>9217</v>
      </c>
      <c r="E11180" t="s">
        <v>814</v>
      </c>
      <c r="F11180" t="s">
        <v>88</v>
      </c>
      <c r="G11180" t="s">
        <v>88</v>
      </c>
      <c r="H11180" t="s">
        <v>92</v>
      </c>
    </row>
    <row r="11181" spans="1:8" x14ac:dyDescent="0.25">
      <c r="A11181" t="s">
        <v>342</v>
      </c>
      <c r="B11181" t="s">
        <v>4287</v>
      </c>
      <c r="C11181" t="s">
        <v>88</v>
      </c>
      <c r="D11181" t="s">
        <v>9218</v>
      </c>
      <c r="E11181" t="s">
        <v>814</v>
      </c>
      <c r="F11181" t="s">
        <v>88</v>
      </c>
      <c r="G11181" t="s">
        <v>88</v>
      </c>
      <c r="H11181" t="s">
        <v>92</v>
      </c>
    </row>
    <row r="11182" spans="1:8" x14ac:dyDescent="0.25">
      <c r="A11182" t="s">
        <v>342</v>
      </c>
      <c r="B11182" t="s">
        <v>4289</v>
      </c>
      <c r="C11182" t="s">
        <v>88</v>
      </c>
      <c r="D11182" t="s">
        <v>9219</v>
      </c>
      <c r="E11182" t="s">
        <v>814</v>
      </c>
      <c r="F11182" t="s">
        <v>88</v>
      </c>
      <c r="G11182" t="s">
        <v>88</v>
      </c>
      <c r="H11182" t="s">
        <v>92</v>
      </c>
    </row>
    <row r="11183" spans="1:8" x14ac:dyDescent="0.25">
      <c r="A11183" t="s">
        <v>342</v>
      </c>
      <c r="B11183" t="s">
        <v>9258</v>
      </c>
      <c r="C11183" t="s">
        <v>88</v>
      </c>
      <c r="D11183" t="s">
        <v>9221</v>
      </c>
      <c r="E11183" t="s">
        <v>814</v>
      </c>
      <c r="F11183" t="s">
        <v>88</v>
      </c>
      <c r="G11183" t="s">
        <v>88</v>
      </c>
      <c r="H11183" t="s">
        <v>92</v>
      </c>
    </row>
    <row r="11184" spans="1:8" x14ac:dyDescent="0.25">
      <c r="A11184" t="s">
        <v>342</v>
      </c>
      <c r="B11184" t="s">
        <v>4274</v>
      </c>
      <c r="C11184" t="s">
        <v>88</v>
      </c>
      <c r="D11184" t="s">
        <v>9222</v>
      </c>
      <c r="E11184" t="s">
        <v>4285</v>
      </c>
      <c r="F11184" t="s">
        <v>88</v>
      </c>
      <c r="G11184" t="s">
        <v>88</v>
      </c>
      <c r="H11184" t="s">
        <v>92</v>
      </c>
    </row>
    <row r="11185" spans="1:8" x14ac:dyDescent="0.25">
      <c r="A11185" t="s">
        <v>342</v>
      </c>
      <c r="B11185" t="s">
        <v>9259</v>
      </c>
      <c r="C11185" t="s">
        <v>88</v>
      </c>
      <c r="D11185" t="s">
        <v>9223</v>
      </c>
      <c r="E11185" t="s">
        <v>1171</v>
      </c>
      <c r="F11185" t="s">
        <v>88</v>
      </c>
      <c r="G11185" t="s">
        <v>88</v>
      </c>
      <c r="H11185" t="s">
        <v>92</v>
      </c>
    </row>
    <row r="11186" spans="1:8" x14ac:dyDescent="0.25">
      <c r="A11186" t="s">
        <v>342</v>
      </c>
      <c r="B11186" t="s">
        <v>9260</v>
      </c>
      <c r="C11186" t="s">
        <v>88</v>
      </c>
      <c r="D11186" t="s">
        <v>9225</v>
      </c>
      <c r="E11186" t="s">
        <v>1171</v>
      </c>
      <c r="F11186" t="s">
        <v>88</v>
      </c>
      <c r="G11186" t="s">
        <v>88</v>
      </c>
      <c r="H11186" t="s">
        <v>92</v>
      </c>
    </row>
    <row r="11187" spans="1:8" x14ac:dyDescent="0.25">
      <c r="A11187" t="s">
        <v>342</v>
      </c>
      <c r="B11187" t="s">
        <v>4279</v>
      </c>
      <c r="C11187" t="s">
        <v>88</v>
      </c>
      <c r="D11187" t="s">
        <v>9174</v>
      </c>
      <c r="E11187" t="s">
        <v>1135</v>
      </c>
      <c r="F11187" t="s">
        <v>88</v>
      </c>
      <c r="G11187" t="s">
        <v>88</v>
      </c>
      <c r="H11187" t="s">
        <v>92</v>
      </c>
    </row>
    <row r="11188" spans="1:8" x14ac:dyDescent="0.25">
      <c r="A11188" t="s">
        <v>342</v>
      </c>
      <c r="B11188" t="s">
        <v>4284</v>
      </c>
      <c r="C11188" t="s">
        <v>88</v>
      </c>
      <c r="D11188" t="s">
        <v>9226</v>
      </c>
      <c r="E11188" t="s">
        <v>814</v>
      </c>
      <c r="F11188" t="s">
        <v>88</v>
      </c>
      <c r="G11188" t="s">
        <v>88</v>
      </c>
      <c r="H11188" t="s">
        <v>92</v>
      </c>
    </row>
    <row r="11189" spans="1:8" x14ac:dyDescent="0.25">
      <c r="A11189" t="s">
        <v>342</v>
      </c>
      <c r="B11189" t="s">
        <v>9261</v>
      </c>
      <c r="C11189" t="s">
        <v>88</v>
      </c>
      <c r="D11189" t="s">
        <v>9227</v>
      </c>
      <c r="E11189" t="s">
        <v>1171</v>
      </c>
      <c r="F11189" t="s">
        <v>88</v>
      </c>
      <c r="G11189" t="s">
        <v>88</v>
      </c>
      <c r="H11189" t="s">
        <v>92</v>
      </c>
    </row>
    <row r="11190" spans="1:8" x14ac:dyDescent="0.25">
      <c r="A11190" t="s">
        <v>342</v>
      </c>
      <c r="B11190" t="s">
        <v>9262</v>
      </c>
      <c r="C11190" t="s">
        <v>88</v>
      </c>
      <c r="D11190" t="s">
        <v>9229</v>
      </c>
      <c r="E11190" t="s">
        <v>7292</v>
      </c>
      <c r="F11190" t="s">
        <v>88</v>
      </c>
      <c r="G11190" t="s">
        <v>88</v>
      </c>
      <c r="H11190" t="s">
        <v>92</v>
      </c>
    </row>
    <row r="11191" spans="1:8" x14ac:dyDescent="0.25">
      <c r="A11191" t="s">
        <v>342</v>
      </c>
      <c r="B11191" t="s">
        <v>9263</v>
      </c>
      <c r="C11191" t="s">
        <v>88</v>
      </c>
      <c r="D11191" t="s">
        <v>9231</v>
      </c>
      <c r="E11191" t="s">
        <v>1135</v>
      </c>
      <c r="F11191" t="s">
        <v>88</v>
      </c>
      <c r="G11191" t="s">
        <v>88</v>
      </c>
      <c r="H11191" t="s">
        <v>92</v>
      </c>
    </row>
    <row r="11192" spans="1:8" x14ac:dyDescent="0.25">
      <c r="A11192" t="s">
        <v>342</v>
      </c>
      <c r="B11192" t="s">
        <v>9264</v>
      </c>
      <c r="C11192" t="s">
        <v>88</v>
      </c>
      <c r="D11192" t="s">
        <v>9204</v>
      </c>
      <c r="E11192" t="s">
        <v>1171</v>
      </c>
      <c r="F11192" t="s">
        <v>88</v>
      </c>
      <c r="G11192" t="s">
        <v>88</v>
      </c>
      <c r="H11192" t="s">
        <v>92</v>
      </c>
    </row>
    <row r="11193" spans="1:8" x14ac:dyDescent="0.25">
      <c r="A11193" t="s">
        <v>342</v>
      </c>
      <c r="B11193" t="s">
        <v>9265</v>
      </c>
      <c r="C11193" t="s">
        <v>88</v>
      </c>
      <c r="D11193" t="s">
        <v>9206</v>
      </c>
      <c r="E11193" t="s">
        <v>1171</v>
      </c>
      <c r="F11193" t="s">
        <v>88</v>
      </c>
      <c r="G11193" t="s">
        <v>88</v>
      </c>
      <c r="H11193" t="s">
        <v>92</v>
      </c>
    </row>
    <row r="11194" spans="1:8" x14ac:dyDescent="0.25">
      <c r="A11194" t="s">
        <v>342</v>
      </c>
      <c r="B11194" t="s">
        <v>7293</v>
      </c>
      <c r="C11194" t="s">
        <v>88</v>
      </c>
      <c r="D11194" t="s">
        <v>9207</v>
      </c>
      <c r="E11194" t="s">
        <v>1171</v>
      </c>
      <c r="F11194" t="s">
        <v>88</v>
      </c>
      <c r="G11194" t="s">
        <v>88</v>
      </c>
      <c r="H11194" t="s">
        <v>92</v>
      </c>
    </row>
    <row r="11195" spans="1:8" x14ac:dyDescent="0.25">
      <c r="A11195" t="s">
        <v>342</v>
      </c>
      <c r="B11195" t="s">
        <v>4298</v>
      </c>
      <c r="C11195" t="s">
        <v>88</v>
      </c>
      <c r="D11195" t="s">
        <v>9208</v>
      </c>
      <c r="E11195" t="s">
        <v>1171</v>
      </c>
      <c r="F11195" t="s">
        <v>88</v>
      </c>
      <c r="G11195" t="s">
        <v>88</v>
      </c>
      <c r="H11195" t="s">
        <v>92</v>
      </c>
    </row>
    <row r="11196" spans="1:8" x14ac:dyDescent="0.25">
      <c r="A11196" t="s">
        <v>342</v>
      </c>
      <c r="B11196" t="s">
        <v>9266</v>
      </c>
      <c r="C11196" t="s">
        <v>88</v>
      </c>
      <c r="D11196" t="s">
        <v>9176</v>
      </c>
      <c r="E11196" t="s">
        <v>1171</v>
      </c>
      <c r="F11196" t="s">
        <v>88</v>
      </c>
      <c r="G11196" t="s">
        <v>88</v>
      </c>
      <c r="H11196" t="s">
        <v>92</v>
      </c>
    </row>
    <row r="11197" spans="1:8" x14ac:dyDescent="0.25">
      <c r="A11197" t="s">
        <v>342</v>
      </c>
      <c r="B11197" t="s">
        <v>9267</v>
      </c>
      <c r="C11197" t="s">
        <v>88</v>
      </c>
      <c r="D11197" t="s">
        <v>9211</v>
      </c>
      <c r="E11197" t="s">
        <v>1171</v>
      </c>
      <c r="F11197" t="s">
        <v>88</v>
      </c>
      <c r="G11197" t="s">
        <v>88</v>
      </c>
      <c r="H11197" t="s">
        <v>92</v>
      </c>
    </row>
    <row r="11198" spans="1:8" x14ac:dyDescent="0.25">
      <c r="A11198" t="s">
        <v>342</v>
      </c>
      <c r="B11198" t="s">
        <v>9268</v>
      </c>
      <c r="C11198" t="s">
        <v>88</v>
      </c>
      <c r="D11198" t="s">
        <v>9213</v>
      </c>
      <c r="E11198" t="s">
        <v>1171</v>
      </c>
      <c r="F11198" t="s">
        <v>88</v>
      </c>
      <c r="G11198" t="s">
        <v>88</v>
      </c>
      <c r="H11198" t="s">
        <v>92</v>
      </c>
    </row>
    <row r="11199" spans="1:8" x14ac:dyDescent="0.25">
      <c r="A11199" t="s">
        <v>342</v>
      </c>
      <c r="B11199" t="s">
        <v>9269</v>
      </c>
      <c r="C11199" t="s">
        <v>88</v>
      </c>
      <c r="D11199" t="s">
        <v>9215</v>
      </c>
      <c r="E11199" t="s">
        <v>4297</v>
      </c>
      <c r="F11199" t="s">
        <v>88</v>
      </c>
      <c r="G11199" t="s">
        <v>88</v>
      </c>
      <c r="H11199" t="s">
        <v>92</v>
      </c>
    </row>
    <row r="11200" spans="1:8" x14ac:dyDescent="0.25">
      <c r="A11200" t="s">
        <v>342</v>
      </c>
      <c r="B11200" t="s">
        <v>4292</v>
      </c>
      <c r="C11200" t="s">
        <v>88</v>
      </c>
      <c r="D11200" t="s">
        <v>9216</v>
      </c>
      <c r="E11200" t="s">
        <v>1135</v>
      </c>
      <c r="F11200" t="s">
        <v>88</v>
      </c>
      <c r="G11200" t="s">
        <v>88</v>
      </c>
      <c r="H11200" t="s">
        <v>92</v>
      </c>
    </row>
    <row r="11201" spans="1:8" x14ac:dyDescent="0.25">
      <c r="A11201" t="s">
        <v>342</v>
      </c>
      <c r="B11201" t="s">
        <v>4316</v>
      </c>
      <c r="C11201" t="s">
        <v>88</v>
      </c>
      <c r="D11201" t="s">
        <v>9217</v>
      </c>
      <c r="E11201" t="s">
        <v>1171</v>
      </c>
      <c r="F11201" t="s">
        <v>88</v>
      </c>
      <c r="G11201" t="s">
        <v>88</v>
      </c>
      <c r="H11201" t="s">
        <v>92</v>
      </c>
    </row>
    <row r="11202" spans="1:8" x14ac:dyDescent="0.25">
      <c r="A11202" t="s">
        <v>342</v>
      </c>
      <c r="B11202" t="s">
        <v>4320</v>
      </c>
      <c r="C11202" t="s">
        <v>88</v>
      </c>
      <c r="D11202" t="s">
        <v>9218</v>
      </c>
      <c r="E11202" t="s">
        <v>1171</v>
      </c>
      <c r="F11202" t="s">
        <v>88</v>
      </c>
      <c r="G11202" t="s">
        <v>88</v>
      </c>
      <c r="H11202" t="s">
        <v>92</v>
      </c>
    </row>
    <row r="11203" spans="1:8" x14ac:dyDescent="0.25">
      <c r="A11203" t="s">
        <v>342</v>
      </c>
      <c r="B11203" t="s">
        <v>4322</v>
      </c>
      <c r="C11203" t="s">
        <v>88</v>
      </c>
      <c r="D11203" t="s">
        <v>9219</v>
      </c>
      <c r="E11203" t="s">
        <v>1171</v>
      </c>
      <c r="F11203" t="s">
        <v>88</v>
      </c>
      <c r="G11203" t="s">
        <v>88</v>
      </c>
      <c r="H11203" t="s">
        <v>92</v>
      </c>
    </row>
    <row r="11204" spans="1:8" x14ac:dyDescent="0.25">
      <c r="A11204" t="s">
        <v>342</v>
      </c>
      <c r="B11204" t="s">
        <v>9270</v>
      </c>
      <c r="C11204" t="s">
        <v>88</v>
      </c>
      <c r="D11204" t="s">
        <v>9221</v>
      </c>
      <c r="E11204" t="s">
        <v>5831</v>
      </c>
      <c r="F11204" t="s">
        <v>88</v>
      </c>
      <c r="G11204" t="s">
        <v>88</v>
      </c>
      <c r="H11204" t="s">
        <v>92</v>
      </c>
    </row>
    <row r="11205" spans="1:8" x14ac:dyDescent="0.25">
      <c r="A11205" t="s">
        <v>342</v>
      </c>
      <c r="B11205" t="s">
        <v>4304</v>
      </c>
      <c r="C11205" t="s">
        <v>88</v>
      </c>
      <c r="D11205" t="s">
        <v>9222</v>
      </c>
      <c r="E11205" t="s">
        <v>1135</v>
      </c>
      <c r="F11205" t="s">
        <v>88</v>
      </c>
      <c r="G11205" t="s">
        <v>88</v>
      </c>
      <c r="H11205" t="s">
        <v>92</v>
      </c>
    </row>
    <row r="11206" spans="1:8" x14ac:dyDescent="0.25">
      <c r="A11206" t="s">
        <v>342</v>
      </c>
      <c r="B11206" t="s">
        <v>7732</v>
      </c>
      <c r="C11206" t="s">
        <v>88</v>
      </c>
      <c r="D11206" t="s">
        <v>9223</v>
      </c>
      <c r="E11206" t="s">
        <v>807</v>
      </c>
      <c r="F11206" t="s">
        <v>88</v>
      </c>
      <c r="G11206" t="s">
        <v>88</v>
      </c>
      <c r="H11206" t="s">
        <v>92</v>
      </c>
    </row>
    <row r="11207" spans="1:8" x14ac:dyDescent="0.25">
      <c r="A11207" t="s">
        <v>342</v>
      </c>
      <c r="B11207" t="s">
        <v>9271</v>
      </c>
      <c r="C11207" t="s">
        <v>88</v>
      </c>
      <c r="D11207" t="s">
        <v>9225</v>
      </c>
      <c r="E11207" t="s">
        <v>807</v>
      </c>
      <c r="F11207" t="s">
        <v>88</v>
      </c>
      <c r="G11207" t="s">
        <v>88</v>
      </c>
      <c r="H11207" t="s">
        <v>92</v>
      </c>
    </row>
    <row r="11208" spans="1:8" x14ac:dyDescent="0.25">
      <c r="A11208" t="s">
        <v>342</v>
      </c>
      <c r="B11208" t="s">
        <v>4300</v>
      </c>
      <c r="C11208" t="s">
        <v>88</v>
      </c>
      <c r="D11208" t="s">
        <v>9174</v>
      </c>
      <c r="E11208" t="s">
        <v>1137</v>
      </c>
      <c r="F11208" t="s">
        <v>88</v>
      </c>
      <c r="G11208" t="s">
        <v>88</v>
      </c>
      <c r="H11208" t="s">
        <v>92</v>
      </c>
    </row>
    <row r="11209" spans="1:8" x14ac:dyDescent="0.25">
      <c r="A11209" t="s">
        <v>342</v>
      </c>
      <c r="B11209" t="s">
        <v>4314</v>
      </c>
      <c r="C11209" t="s">
        <v>88</v>
      </c>
      <c r="D11209" t="s">
        <v>9226</v>
      </c>
      <c r="E11209" t="s">
        <v>1171</v>
      </c>
      <c r="F11209" t="s">
        <v>88</v>
      </c>
      <c r="G11209" t="s">
        <v>88</v>
      </c>
      <c r="H11209" t="s">
        <v>92</v>
      </c>
    </row>
    <row r="11210" spans="1:8" x14ac:dyDescent="0.25">
      <c r="A11210" t="s">
        <v>342</v>
      </c>
      <c r="B11210" t="s">
        <v>9166</v>
      </c>
      <c r="C11210" t="s">
        <v>88</v>
      </c>
      <c r="D11210" t="s">
        <v>9227</v>
      </c>
      <c r="E11210" t="s">
        <v>807</v>
      </c>
      <c r="F11210" t="s">
        <v>88</v>
      </c>
      <c r="G11210" t="s">
        <v>88</v>
      </c>
      <c r="H11210" t="s">
        <v>92</v>
      </c>
    </row>
    <row r="11211" spans="1:8" x14ac:dyDescent="0.25">
      <c r="A11211" t="s">
        <v>342</v>
      </c>
      <c r="B11211" t="s">
        <v>9272</v>
      </c>
      <c r="C11211" t="s">
        <v>88</v>
      </c>
      <c r="D11211" t="s">
        <v>9229</v>
      </c>
      <c r="E11211" t="s">
        <v>4297</v>
      </c>
      <c r="F11211" t="s">
        <v>88</v>
      </c>
      <c r="G11211" t="s">
        <v>88</v>
      </c>
      <c r="H11211" t="s">
        <v>92</v>
      </c>
    </row>
    <row r="11212" spans="1:8" x14ac:dyDescent="0.25">
      <c r="A11212" t="s">
        <v>342</v>
      </c>
      <c r="B11212" t="s">
        <v>9273</v>
      </c>
      <c r="C11212" t="s">
        <v>88</v>
      </c>
      <c r="D11212" t="s">
        <v>9231</v>
      </c>
      <c r="E11212" t="s">
        <v>1717</v>
      </c>
      <c r="F11212" t="s">
        <v>88</v>
      </c>
      <c r="G11212" t="s">
        <v>88</v>
      </c>
      <c r="H11212" t="s">
        <v>92</v>
      </c>
    </row>
    <row r="11213" spans="1:8" x14ac:dyDescent="0.25">
      <c r="A11213" t="s">
        <v>342</v>
      </c>
      <c r="B11213" t="s">
        <v>3679</v>
      </c>
      <c r="C11213" t="s">
        <v>88</v>
      </c>
      <c r="D11213" t="s">
        <v>88</v>
      </c>
      <c r="E11213" t="s">
        <v>959</v>
      </c>
      <c r="F11213" t="s">
        <v>88</v>
      </c>
      <c r="G11213" t="s">
        <v>88</v>
      </c>
      <c r="H11213" t="s">
        <v>92</v>
      </c>
    </row>
    <row r="11214" spans="1:8" x14ac:dyDescent="0.25">
      <c r="A11214" t="s">
        <v>342</v>
      </c>
      <c r="B11214" t="s">
        <v>9274</v>
      </c>
      <c r="C11214" t="s">
        <v>88</v>
      </c>
      <c r="D11214" t="s">
        <v>88</v>
      </c>
      <c r="E11214" t="s">
        <v>937</v>
      </c>
      <c r="F11214" t="s">
        <v>88</v>
      </c>
      <c r="G11214" t="s">
        <v>88</v>
      </c>
      <c r="H11214" t="s">
        <v>92</v>
      </c>
    </row>
    <row r="11215" spans="1:8" x14ac:dyDescent="0.25">
      <c r="A11215" t="s">
        <v>342</v>
      </c>
      <c r="B11215" t="s">
        <v>3681</v>
      </c>
      <c r="C11215" t="s">
        <v>88</v>
      </c>
      <c r="D11215" t="s">
        <v>88</v>
      </c>
      <c r="E11215" t="s">
        <v>937</v>
      </c>
      <c r="F11215" t="s">
        <v>88</v>
      </c>
      <c r="G11215" t="s">
        <v>88</v>
      </c>
      <c r="H11215" t="s">
        <v>92</v>
      </c>
    </row>
    <row r="11216" spans="1:8" x14ac:dyDescent="0.25">
      <c r="A11216" t="s">
        <v>342</v>
      </c>
      <c r="B11216" t="s">
        <v>606</v>
      </c>
      <c r="C11216" t="s">
        <v>88</v>
      </c>
      <c r="D11216" t="s">
        <v>88</v>
      </c>
      <c r="E11216" t="s">
        <v>1594</v>
      </c>
      <c r="F11216" t="s">
        <v>88</v>
      </c>
      <c r="G11216" t="s">
        <v>88</v>
      </c>
      <c r="H11216" t="s">
        <v>92</v>
      </c>
    </row>
    <row r="11217" spans="1:8" x14ac:dyDescent="0.25">
      <c r="A11217" t="s">
        <v>342</v>
      </c>
      <c r="B11217" t="s">
        <v>9275</v>
      </c>
      <c r="C11217" t="s">
        <v>88</v>
      </c>
      <c r="D11217" t="s">
        <v>88</v>
      </c>
      <c r="E11217" t="s">
        <v>780</v>
      </c>
      <c r="F11217" t="s">
        <v>88</v>
      </c>
      <c r="G11217" t="s">
        <v>88</v>
      </c>
      <c r="H11217" t="s">
        <v>92</v>
      </c>
    </row>
    <row r="11218" spans="1:8" x14ac:dyDescent="0.25">
      <c r="A11218" t="s">
        <v>342</v>
      </c>
      <c r="B11218" t="s">
        <v>7380</v>
      </c>
      <c r="C11218" t="s">
        <v>88</v>
      </c>
      <c r="D11218" t="s">
        <v>88</v>
      </c>
      <c r="E11218" t="s">
        <v>780</v>
      </c>
      <c r="F11218" t="s">
        <v>88</v>
      </c>
      <c r="G11218" t="s">
        <v>88</v>
      </c>
      <c r="H11218" t="s">
        <v>92</v>
      </c>
    </row>
    <row r="11219" spans="1:8" x14ac:dyDescent="0.25">
      <c r="A11219" t="s">
        <v>342</v>
      </c>
      <c r="B11219" t="s">
        <v>4329</v>
      </c>
      <c r="C11219" t="s">
        <v>88</v>
      </c>
      <c r="D11219" t="s">
        <v>88</v>
      </c>
      <c r="E11219" t="s">
        <v>1594</v>
      </c>
      <c r="F11219" t="s">
        <v>88</v>
      </c>
      <c r="G11219" t="s">
        <v>88</v>
      </c>
      <c r="H11219" t="s">
        <v>92</v>
      </c>
    </row>
    <row r="11220" spans="1:8" x14ac:dyDescent="0.25">
      <c r="A11220" t="s">
        <v>342</v>
      </c>
      <c r="B11220" t="s">
        <v>768</v>
      </c>
      <c r="C11220" t="s">
        <v>88</v>
      </c>
      <c r="D11220" t="s">
        <v>88</v>
      </c>
      <c r="E11220" t="s">
        <v>780</v>
      </c>
      <c r="F11220" t="s">
        <v>88</v>
      </c>
      <c r="G11220" t="s">
        <v>88</v>
      </c>
      <c r="H11220" t="s">
        <v>92</v>
      </c>
    </row>
    <row r="11221" spans="1:8" x14ac:dyDescent="0.25">
      <c r="A11221" t="s">
        <v>342</v>
      </c>
      <c r="B11221" t="s">
        <v>8778</v>
      </c>
      <c r="C11221" t="s">
        <v>88</v>
      </c>
      <c r="D11221" t="s">
        <v>88</v>
      </c>
      <c r="E11221" t="s">
        <v>959</v>
      </c>
      <c r="F11221" t="s">
        <v>88</v>
      </c>
      <c r="G11221" t="s">
        <v>88</v>
      </c>
      <c r="H11221" t="s">
        <v>92</v>
      </c>
    </row>
    <row r="11222" spans="1:8" x14ac:dyDescent="0.25">
      <c r="A11222" t="s">
        <v>342</v>
      </c>
      <c r="B11222" t="s">
        <v>9276</v>
      </c>
      <c r="C11222" t="s">
        <v>88</v>
      </c>
      <c r="D11222" t="s">
        <v>9277</v>
      </c>
      <c r="E11222" t="s">
        <v>1221</v>
      </c>
      <c r="F11222" t="s">
        <v>88</v>
      </c>
      <c r="G11222" t="s">
        <v>88</v>
      </c>
      <c r="H11222" t="s">
        <v>92</v>
      </c>
    </row>
    <row r="11223" spans="1:8" x14ac:dyDescent="0.25">
      <c r="A11223" t="s">
        <v>342</v>
      </c>
      <c r="B11223" t="s">
        <v>3457</v>
      </c>
      <c r="C11223" t="s">
        <v>88</v>
      </c>
      <c r="D11223" t="s">
        <v>9278</v>
      </c>
      <c r="E11223" t="s">
        <v>663</v>
      </c>
      <c r="F11223" t="s">
        <v>88</v>
      </c>
      <c r="G11223" t="s">
        <v>88</v>
      </c>
      <c r="H11223" t="s">
        <v>92</v>
      </c>
    </row>
    <row r="11224" spans="1:8" x14ac:dyDescent="0.25">
      <c r="A11224" t="s">
        <v>342</v>
      </c>
      <c r="B11224" t="s">
        <v>1794</v>
      </c>
      <c r="C11224" t="s">
        <v>88</v>
      </c>
      <c r="D11224" t="s">
        <v>9279</v>
      </c>
      <c r="E11224" t="s">
        <v>886</v>
      </c>
      <c r="F11224" t="s">
        <v>88</v>
      </c>
      <c r="G11224" t="s">
        <v>88</v>
      </c>
      <c r="H11224" t="s">
        <v>92</v>
      </c>
    </row>
    <row r="11225" spans="1:8" x14ac:dyDescent="0.25">
      <c r="A11225" t="s">
        <v>342</v>
      </c>
      <c r="B11225" t="s">
        <v>9280</v>
      </c>
      <c r="C11225" t="s">
        <v>88</v>
      </c>
      <c r="D11225" t="s">
        <v>9281</v>
      </c>
      <c r="E11225" t="s">
        <v>663</v>
      </c>
      <c r="F11225" t="s">
        <v>88</v>
      </c>
      <c r="G11225" t="s">
        <v>88</v>
      </c>
      <c r="H11225" t="s">
        <v>92</v>
      </c>
    </row>
    <row r="11226" spans="1:8" x14ac:dyDescent="0.25">
      <c r="A11226" t="s">
        <v>342</v>
      </c>
      <c r="B11226" t="s">
        <v>701</v>
      </c>
      <c r="C11226" t="s">
        <v>88</v>
      </c>
      <c r="D11226" t="s">
        <v>88</v>
      </c>
      <c r="E11226" t="s">
        <v>732</v>
      </c>
      <c r="F11226" t="s">
        <v>88</v>
      </c>
      <c r="G11226" t="s">
        <v>88</v>
      </c>
      <c r="H11226" t="s">
        <v>92</v>
      </c>
    </row>
    <row r="11227" spans="1:8" x14ac:dyDescent="0.25">
      <c r="A11227" t="s">
        <v>342</v>
      </c>
      <c r="B11227" t="s">
        <v>703</v>
      </c>
      <c r="C11227" t="s">
        <v>88</v>
      </c>
      <c r="D11227" t="s">
        <v>88</v>
      </c>
      <c r="E11227" t="s">
        <v>732</v>
      </c>
      <c r="F11227" t="s">
        <v>88</v>
      </c>
      <c r="G11227" t="s">
        <v>88</v>
      </c>
      <c r="H11227" t="s">
        <v>92</v>
      </c>
    </row>
    <row r="11228" spans="1:8" x14ac:dyDescent="0.25">
      <c r="A11228" t="s">
        <v>342</v>
      </c>
      <c r="B11228" t="s">
        <v>704</v>
      </c>
      <c r="C11228" t="s">
        <v>88</v>
      </c>
      <c r="D11228" t="s">
        <v>88</v>
      </c>
      <c r="E11228" t="s">
        <v>732</v>
      </c>
      <c r="F11228" t="s">
        <v>88</v>
      </c>
      <c r="G11228" t="s">
        <v>88</v>
      </c>
      <c r="H11228" t="s">
        <v>92</v>
      </c>
    </row>
    <row r="11229" spans="1:8" x14ac:dyDescent="0.25">
      <c r="A11229" t="s">
        <v>342</v>
      </c>
      <c r="B11229" t="s">
        <v>705</v>
      </c>
      <c r="C11229" t="s">
        <v>88</v>
      </c>
      <c r="D11229" t="s">
        <v>88</v>
      </c>
      <c r="E11229" t="s">
        <v>732</v>
      </c>
      <c r="F11229" t="s">
        <v>88</v>
      </c>
      <c r="G11229" t="s">
        <v>88</v>
      </c>
      <c r="H11229" t="s">
        <v>92</v>
      </c>
    </row>
    <row r="11230" spans="1:8" x14ac:dyDescent="0.25">
      <c r="A11230" t="s">
        <v>342</v>
      </c>
      <c r="B11230" t="s">
        <v>706</v>
      </c>
      <c r="C11230" t="s">
        <v>88</v>
      </c>
      <c r="D11230" t="s">
        <v>88</v>
      </c>
      <c r="E11230" t="s">
        <v>732</v>
      </c>
      <c r="F11230" t="s">
        <v>88</v>
      </c>
      <c r="G11230" t="s">
        <v>88</v>
      </c>
      <c r="H11230" t="s">
        <v>92</v>
      </c>
    </row>
    <row r="11231" spans="1:8" x14ac:dyDescent="0.25">
      <c r="A11231" t="s">
        <v>342</v>
      </c>
      <c r="B11231" t="s">
        <v>707</v>
      </c>
      <c r="C11231" t="s">
        <v>88</v>
      </c>
      <c r="D11231" t="s">
        <v>88</v>
      </c>
      <c r="E11231" t="s">
        <v>732</v>
      </c>
      <c r="F11231" t="s">
        <v>88</v>
      </c>
      <c r="G11231" t="s">
        <v>88</v>
      </c>
      <c r="H11231" t="s">
        <v>92</v>
      </c>
    </row>
    <row r="11232" spans="1:8" x14ac:dyDescent="0.25">
      <c r="A11232" t="s">
        <v>342</v>
      </c>
      <c r="B11232" t="s">
        <v>9282</v>
      </c>
      <c r="C11232" t="s">
        <v>88</v>
      </c>
      <c r="D11232" t="s">
        <v>88</v>
      </c>
      <c r="E11232" t="s">
        <v>732</v>
      </c>
      <c r="F11232" t="s">
        <v>88</v>
      </c>
      <c r="G11232" t="s">
        <v>88</v>
      </c>
      <c r="H11232" t="s">
        <v>92</v>
      </c>
    </row>
    <row r="11233" spans="1:8" x14ac:dyDescent="0.25">
      <c r="A11233" t="s">
        <v>342</v>
      </c>
      <c r="B11233" t="s">
        <v>733</v>
      </c>
      <c r="C11233" t="s">
        <v>88</v>
      </c>
      <c r="D11233" t="s">
        <v>88</v>
      </c>
      <c r="E11233" t="s">
        <v>732</v>
      </c>
      <c r="F11233" t="s">
        <v>88</v>
      </c>
      <c r="G11233" t="s">
        <v>88</v>
      </c>
      <c r="H11233" t="s">
        <v>92</v>
      </c>
    </row>
    <row r="11234" spans="1:8" x14ac:dyDescent="0.25">
      <c r="A11234" t="s">
        <v>342</v>
      </c>
      <c r="B11234" t="s">
        <v>708</v>
      </c>
      <c r="C11234" t="s">
        <v>88</v>
      </c>
      <c r="D11234" t="s">
        <v>88</v>
      </c>
      <c r="E11234" t="s">
        <v>732</v>
      </c>
      <c r="F11234" t="s">
        <v>88</v>
      </c>
      <c r="G11234" t="s">
        <v>88</v>
      </c>
      <c r="H11234" t="s">
        <v>92</v>
      </c>
    </row>
    <row r="11235" spans="1:8" x14ac:dyDescent="0.25">
      <c r="A11235" t="s">
        <v>342</v>
      </c>
      <c r="B11235" t="s">
        <v>618</v>
      </c>
      <c r="C11235" t="s">
        <v>88</v>
      </c>
      <c r="D11235" t="s">
        <v>88</v>
      </c>
      <c r="E11235" t="s">
        <v>1978</v>
      </c>
      <c r="F11235" t="s">
        <v>88</v>
      </c>
      <c r="G11235" t="s">
        <v>88</v>
      </c>
      <c r="H11235" t="s">
        <v>92</v>
      </c>
    </row>
    <row r="11236" spans="1:8" x14ac:dyDescent="0.25">
      <c r="A11236" t="s">
        <v>342</v>
      </c>
      <c r="B11236" t="s">
        <v>620</v>
      </c>
      <c r="C11236" t="s">
        <v>88</v>
      </c>
      <c r="D11236" t="s">
        <v>88</v>
      </c>
      <c r="E11236" t="s">
        <v>709</v>
      </c>
      <c r="F11236" t="s">
        <v>88</v>
      </c>
      <c r="G11236" t="s">
        <v>88</v>
      </c>
      <c r="H11236" t="s">
        <v>92</v>
      </c>
    </row>
    <row r="11237" spans="1:8" x14ac:dyDescent="0.25">
      <c r="A11237" t="s">
        <v>342</v>
      </c>
      <c r="B11237" t="s">
        <v>622</v>
      </c>
      <c r="C11237" t="s">
        <v>88</v>
      </c>
      <c r="D11237" t="s">
        <v>88</v>
      </c>
      <c r="E11237" t="s">
        <v>848</v>
      </c>
      <c r="F11237" t="s">
        <v>88</v>
      </c>
      <c r="G11237" t="s">
        <v>88</v>
      </c>
      <c r="H11237" t="s">
        <v>92</v>
      </c>
    </row>
    <row r="11238" spans="1:8" x14ac:dyDescent="0.25">
      <c r="A11238" t="s">
        <v>342</v>
      </c>
      <c r="B11238" t="s">
        <v>623</v>
      </c>
      <c r="C11238" t="s">
        <v>88</v>
      </c>
      <c r="D11238" t="s">
        <v>88</v>
      </c>
      <c r="E11238" t="s">
        <v>713</v>
      </c>
      <c r="F11238" t="s">
        <v>88</v>
      </c>
      <c r="G11238" t="s">
        <v>88</v>
      </c>
      <c r="H11238" t="s">
        <v>92</v>
      </c>
    </row>
    <row r="11239" spans="1:8" x14ac:dyDescent="0.25">
      <c r="A11239" t="s">
        <v>342</v>
      </c>
      <c r="B11239" t="s">
        <v>714</v>
      </c>
      <c r="C11239" t="s">
        <v>88</v>
      </c>
      <c r="D11239" t="s">
        <v>88</v>
      </c>
      <c r="E11239" t="s">
        <v>791</v>
      </c>
      <c r="F11239" t="s">
        <v>88</v>
      </c>
      <c r="G11239" t="s">
        <v>88</v>
      </c>
      <c r="H11239" t="s">
        <v>92</v>
      </c>
    </row>
    <row r="11240" spans="1:8" x14ac:dyDescent="0.25">
      <c r="A11240" t="s">
        <v>342</v>
      </c>
      <c r="B11240" t="s">
        <v>998</v>
      </c>
      <c r="C11240" t="s">
        <v>88</v>
      </c>
      <c r="D11240" t="s">
        <v>88</v>
      </c>
      <c r="E11240" t="s">
        <v>791</v>
      </c>
      <c r="F11240" t="s">
        <v>88</v>
      </c>
      <c r="G11240" t="s">
        <v>88</v>
      </c>
      <c r="H11240" t="s">
        <v>92</v>
      </c>
    </row>
    <row r="11241" spans="1:8" x14ac:dyDescent="0.25">
      <c r="A11241" t="s">
        <v>342</v>
      </c>
      <c r="B11241" t="s">
        <v>2579</v>
      </c>
      <c r="C11241" t="s">
        <v>88</v>
      </c>
      <c r="D11241" t="s">
        <v>88</v>
      </c>
      <c r="E11241" t="s">
        <v>735</v>
      </c>
      <c r="F11241" t="s">
        <v>88</v>
      </c>
      <c r="G11241" t="s">
        <v>88</v>
      </c>
      <c r="H11241" t="s">
        <v>92</v>
      </c>
    </row>
    <row r="11242" spans="1:8" x14ac:dyDescent="0.25">
      <c r="A11242" t="s">
        <v>342</v>
      </c>
      <c r="B11242" t="s">
        <v>2573</v>
      </c>
      <c r="C11242" t="s">
        <v>88</v>
      </c>
      <c r="D11242" t="s">
        <v>88</v>
      </c>
      <c r="E11242" t="s">
        <v>735</v>
      </c>
      <c r="F11242" t="s">
        <v>88</v>
      </c>
      <c r="G11242" t="s">
        <v>88</v>
      </c>
      <c r="H11242" t="s">
        <v>92</v>
      </c>
    </row>
    <row r="11243" spans="1:8" x14ac:dyDescent="0.25">
      <c r="A11243" t="s">
        <v>342</v>
      </c>
      <c r="B11243" t="s">
        <v>1612</v>
      </c>
      <c r="C11243" t="s">
        <v>88</v>
      </c>
      <c r="D11243" t="s">
        <v>88</v>
      </c>
      <c r="E11243" t="s">
        <v>735</v>
      </c>
      <c r="F11243" t="s">
        <v>88</v>
      </c>
      <c r="G11243" t="s">
        <v>88</v>
      </c>
      <c r="H11243" t="s">
        <v>92</v>
      </c>
    </row>
    <row r="11244" spans="1:8" x14ac:dyDescent="0.25">
      <c r="A11244" t="s">
        <v>342</v>
      </c>
      <c r="B11244" t="s">
        <v>9283</v>
      </c>
      <c r="C11244" t="s">
        <v>88</v>
      </c>
      <c r="D11244" t="s">
        <v>88</v>
      </c>
      <c r="E11244" t="s">
        <v>735</v>
      </c>
      <c r="F11244" t="s">
        <v>88</v>
      </c>
      <c r="G11244" t="s">
        <v>88</v>
      </c>
      <c r="H11244" t="s">
        <v>92</v>
      </c>
    </row>
    <row r="11245" spans="1:8" x14ac:dyDescent="0.25">
      <c r="A11245" t="s">
        <v>342</v>
      </c>
      <c r="B11245" t="s">
        <v>625</v>
      </c>
      <c r="C11245" t="s">
        <v>88</v>
      </c>
      <c r="D11245" t="s">
        <v>88</v>
      </c>
      <c r="E11245" t="s">
        <v>626</v>
      </c>
      <c r="F11245" t="s">
        <v>88</v>
      </c>
      <c r="G11245" t="s">
        <v>88</v>
      </c>
      <c r="H11245" t="s">
        <v>92</v>
      </c>
    </row>
    <row r="11246" spans="1:8" x14ac:dyDescent="0.25">
      <c r="A11246" t="s">
        <v>343</v>
      </c>
      <c r="B11246" t="s">
        <v>671</v>
      </c>
      <c r="C11246" t="s">
        <v>88</v>
      </c>
      <c r="D11246" t="s">
        <v>4187</v>
      </c>
      <c r="E11246" t="s">
        <v>700</v>
      </c>
      <c r="F11246" t="s">
        <v>88</v>
      </c>
      <c r="G11246" t="s">
        <v>88</v>
      </c>
      <c r="H11246" t="s">
        <v>92</v>
      </c>
    </row>
    <row r="11247" spans="1:8" x14ac:dyDescent="0.25">
      <c r="A11247" t="s">
        <v>343</v>
      </c>
      <c r="B11247" t="s">
        <v>4248</v>
      </c>
      <c r="C11247" t="s">
        <v>88</v>
      </c>
      <c r="D11247" t="s">
        <v>9174</v>
      </c>
      <c r="E11247" t="s">
        <v>1006</v>
      </c>
      <c r="F11247" t="s">
        <v>88</v>
      </c>
      <c r="G11247" t="s">
        <v>88</v>
      </c>
      <c r="H11247" t="s">
        <v>92</v>
      </c>
    </row>
    <row r="11248" spans="1:8" x14ac:dyDescent="0.25">
      <c r="A11248" t="s">
        <v>343</v>
      </c>
      <c r="B11248" t="s">
        <v>9177</v>
      </c>
      <c r="C11248" t="s">
        <v>88</v>
      </c>
      <c r="D11248" t="s">
        <v>9178</v>
      </c>
      <c r="E11248" t="s">
        <v>979</v>
      </c>
      <c r="F11248" t="s">
        <v>88</v>
      </c>
      <c r="G11248" t="s">
        <v>88</v>
      </c>
      <c r="H11248" t="s">
        <v>92</v>
      </c>
    </row>
    <row r="11249" spans="1:8" x14ac:dyDescent="0.25">
      <c r="A11249" t="s">
        <v>343</v>
      </c>
      <c r="B11249" t="s">
        <v>9172</v>
      </c>
      <c r="C11249" t="s">
        <v>88</v>
      </c>
      <c r="D11249" t="s">
        <v>9173</v>
      </c>
      <c r="E11249" t="s">
        <v>836</v>
      </c>
      <c r="F11249" t="s">
        <v>88</v>
      </c>
      <c r="G11249" t="s">
        <v>88</v>
      </c>
      <c r="H11249" t="s">
        <v>92</v>
      </c>
    </row>
    <row r="11250" spans="1:8" x14ac:dyDescent="0.25">
      <c r="A11250" t="s">
        <v>343</v>
      </c>
      <c r="B11250" t="s">
        <v>4227</v>
      </c>
      <c r="C11250" t="s">
        <v>88</v>
      </c>
      <c r="D11250" t="s">
        <v>9174</v>
      </c>
      <c r="E11250" t="s">
        <v>700</v>
      </c>
      <c r="F11250" t="s">
        <v>88</v>
      </c>
      <c r="G11250" t="s">
        <v>88</v>
      </c>
      <c r="H11250" t="s">
        <v>92</v>
      </c>
    </row>
    <row r="11251" spans="1:8" x14ac:dyDescent="0.25">
      <c r="A11251" t="s">
        <v>343</v>
      </c>
      <c r="B11251" t="s">
        <v>4194</v>
      </c>
      <c r="C11251" t="s">
        <v>88</v>
      </c>
      <c r="D11251" t="s">
        <v>9179</v>
      </c>
      <c r="E11251" t="s">
        <v>1241</v>
      </c>
      <c r="F11251" t="s">
        <v>88</v>
      </c>
      <c r="G11251" t="s">
        <v>88</v>
      </c>
      <c r="H11251" t="s">
        <v>92</v>
      </c>
    </row>
    <row r="11252" spans="1:8" x14ac:dyDescent="0.25">
      <c r="A11252" t="s">
        <v>343</v>
      </c>
      <c r="B11252" t="s">
        <v>7223</v>
      </c>
      <c r="C11252" t="s">
        <v>88</v>
      </c>
      <c r="D11252" t="s">
        <v>9181</v>
      </c>
      <c r="E11252" t="s">
        <v>760</v>
      </c>
      <c r="F11252" t="s">
        <v>88</v>
      </c>
      <c r="G11252" t="s">
        <v>88</v>
      </c>
      <c r="H11252" t="s">
        <v>92</v>
      </c>
    </row>
    <row r="11253" spans="1:8" x14ac:dyDescent="0.25">
      <c r="A11253" t="s">
        <v>343</v>
      </c>
      <c r="B11253" t="s">
        <v>7625</v>
      </c>
      <c r="C11253" t="s">
        <v>88</v>
      </c>
      <c r="D11253" t="s">
        <v>9182</v>
      </c>
      <c r="E11253" t="s">
        <v>979</v>
      </c>
      <c r="F11253" t="s">
        <v>88</v>
      </c>
      <c r="G11253" t="s">
        <v>88</v>
      </c>
      <c r="H11253" t="s">
        <v>92</v>
      </c>
    </row>
    <row r="11254" spans="1:8" x14ac:dyDescent="0.25">
      <c r="A11254" t="s">
        <v>343</v>
      </c>
      <c r="B11254" t="s">
        <v>8851</v>
      </c>
      <c r="C11254" t="s">
        <v>88</v>
      </c>
      <c r="D11254" t="s">
        <v>9284</v>
      </c>
      <c r="E11254" t="s">
        <v>717</v>
      </c>
      <c r="F11254" t="s">
        <v>88</v>
      </c>
      <c r="G11254" t="s">
        <v>88</v>
      </c>
      <c r="H11254" t="s">
        <v>92</v>
      </c>
    </row>
    <row r="11255" spans="1:8" x14ac:dyDescent="0.25">
      <c r="A11255" t="s">
        <v>343</v>
      </c>
      <c r="B11255" t="s">
        <v>4164</v>
      </c>
      <c r="C11255" t="s">
        <v>88</v>
      </c>
      <c r="D11255" t="s">
        <v>9183</v>
      </c>
      <c r="E11255" t="s">
        <v>979</v>
      </c>
      <c r="F11255" t="s">
        <v>88</v>
      </c>
      <c r="G11255" t="s">
        <v>88</v>
      </c>
      <c r="H11255" t="s">
        <v>92</v>
      </c>
    </row>
    <row r="11256" spans="1:8" x14ac:dyDescent="0.25">
      <c r="A11256" t="s">
        <v>343</v>
      </c>
      <c r="B11256" t="s">
        <v>4168</v>
      </c>
      <c r="C11256" t="s">
        <v>88</v>
      </c>
      <c r="D11256" t="s">
        <v>9184</v>
      </c>
      <c r="E11256" t="s">
        <v>760</v>
      </c>
      <c r="F11256" t="s">
        <v>88</v>
      </c>
      <c r="G11256" t="s">
        <v>88</v>
      </c>
      <c r="H11256" t="s">
        <v>92</v>
      </c>
    </row>
    <row r="11257" spans="1:8" x14ac:dyDescent="0.25">
      <c r="A11257" t="s">
        <v>343</v>
      </c>
      <c r="B11257" t="s">
        <v>9172</v>
      </c>
      <c r="C11257" t="s">
        <v>88</v>
      </c>
      <c r="D11257" t="s">
        <v>9173</v>
      </c>
      <c r="E11257" t="s">
        <v>836</v>
      </c>
      <c r="F11257" t="s">
        <v>88</v>
      </c>
      <c r="G11257" t="s">
        <v>88</v>
      </c>
      <c r="H11257" t="s">
        <v>92</v>
      </c>
    </row>
    <row r="11258" spans="1:8" x14ac:dyDescent="0.25">
      <c r="A11258" t="s">
        <v>343</v>
      </c>
      <c r="B11258" t="s">
        <v>7634</v>
      </c>
      <c r="C11258" t="s">
        <v>88</v>
      </c>
      <c r="D11258" t="s">
        <v>9185</v>
      </c>
      <c r="E11258" t="s">
        <v>655</v>
      </c>
      <c r="F11258" t="s">
        <v>88</v>
      </c>
      <c r="G11258" t="s">
        <v>88</v>
      </c>
      <c r="H11258" t="s">
        <v>92</v>
      </c>
    </row>
    <row r="11259" spans="1:8" x14ac:dyDescent="0.25">
      <c r="A11259" t="s">
        <v>343</v>
      </c>
      <c r="B11259" t="s">
        <v>4172</v>
      </c>
      <c r="C11259" t="s">
        <v>88</v>
      </c>
      <c r="D11259" t="s">
        <v>9186</v>
      </c>
      <c r="E11259" t="s">
        <v>844</v>
      </c>
      <c r="F11259" t="s">
        <v>88</v>
      </c>
      <c r="G11259" t="s">
        <v>88</v>
      </c>
      <c r="H11259" t="s">
        <v>92</v>
      </c>
    </row>
    <row r="11260" spans="1:8" x14ac:dyDescent="0.25">
      <c r="A11260" t="s">
        <v>343</v>
      </c>
      <c r="B11260" t="s">
        <v>9188</v>
      </c>
      <c r="C11260" t="s">
        <v>88</v>
      </c>
      <c r="D11260" t="s">
        <v>9189</v>
      </c>
      <c r="E11260" t="s">
        <v>979</v>
      </c>
      <c r="F11260" t="s">
        <v>88</v>
      </c>
      <c r="G11260" t="s">
        <v>88</v>
      </c>
      <c r="H11260" t="s">
        <v>92</v>
      </c>
    </row>
    <row r="11261" spans="1:8" x14ac:dyDescent="0.25">
      <c r="A11261" t="s">
        <v>343</v>
      </c>
      <c r="B11261" t="s">
        <v>9177</v>
      </c>
      <c r="C11261" t="s">
        <v>88</v>
      </c>
      <c r="D11261" t="s">
        <v>9178</v>
      </c>
      <c r="E11261" t="s">
        <v>979</v>
      </c>
      <c r="F11261" t="s">
        <v>88</v>
      </c>
      <c r="G11261" t="s">
        <v>88</v>
      </c>
      <c r="H11261" t="s">
        <v>92</v>
      </c>
    </row>
    <row r="11262" spans="1:8" x14ac:dyDescent="0.25">
      <c r="A11262" t="s">
        <v>343</v>
      </c>
      <c r="B11262" t="s">
        <v>9190</v>
      </c>
      <c r="C11262" t="s">
        <v>88</v>
      </c>
      <c r="D11262" t="s">
        <v>9187</v>
      </c>
      <c r="E11262" t="s">
        <v>1282</v>
      </c>
      <c r="F11262" t="s">
        <v>88</v>
      </c>
      <c r="G11262" t="s">
        <v>88</v>
      </c>
      <c r="H11262" t="s">
        <v>92</v>
      </c>
    </row>
    <row r="11263" spans="1:8" x14ac:dyDescent="0.25">
      <c r="A11263" t="s">
        <v>343</v>
      </c>
      <c r="B11263" t="s">
        <v>7566</v>
      </c>
      <c r="C11263" t="s">
        <v>88</v>
      </c>
      <c r="D11263" t="s">
        <v>9191</v>
      </c>
      <c r="E11263" t="s">
        <v>692</v>
      </c>
      <c r="F11263" t="s">
        <v>88</v>
      </c>
      <c r="G11263" t="s">
        <v>88</v>
      </c>
      <c r="H11263" t="s">
        <v>92</v>
      </c>
    </row>
    <row r="11264" spans="1:8" x14ac:dyDescent="0.25">
      <c r="A11264" t="s">
        <v>343</v>
      </c>
      <c r="B11264" t="s">
        <v>4181</v>
      </c>
      <c r="C11264" t="s">
        <v>88</v>
      </c>
      <c r="D11264" t="s">
        <v>9192</v>
      </c>
      <c r="E11264" t="s">
        <v>979</v>
      </c>
      <c r="F11264" t="s">
        <v>88</v>
      </c>
      <c r="G11264" t="s">
        <v>88</v>
      </c>
      <c r="H11264" t="s">
        <v>92</v>
      </c>
    </row>
    <row r="11265" spans="1:8" x14ac:dyDescent="0.25">
      <c r="A11265" t="s">
        <v>343</v>
      </c>
      <c r="B11265" t="s">
        <v>6309</v>
      </c>
      <c r="C11265" t="s">
        <v>88</v>
      </c>
      <c r="D11265" t="s">
        <v>9193</v>
      </c>
      <c r="E11265" t="s">
        <v>717</v>
      </c>
      <c r="F11265" t="s">
        <v>88</v>
      </c>
      <c r="G11265" t="s">
        <v>88</v>
      </c>
      <c r="H11265" t="s">
        <v>92</v>
      </c>
    </row>
    <row r="11266" spans="1:8" x14ac:dyDescent="0.25">
      <c r="A11266" t="s">
        <v>343</v>
      </c>
      <c r="B11266" t="s">
        <v>2586</v>
      </c>
      <c r="C11266" t="s">
        <v>88</v>
      </c>
      <c r="D11266" t="s">
        <v>7611</v>
      </c>
      <c r="E11266" t="s">
        <v>760</v>
      </c>
      <c r="F11266" t="s">
        <v>88</v>
      </c>
      <c r="G11266" t="s">
        <v>88</v>
      </c>
      <c r="H11266" t="s">
        <v>92</v>
      </c>
    </row>
    <row r="11267" spans="1:8" x14ac:dyDescent="0.25">
      <c r="A11267" t="s">
        <v>343</v>
      </c>
      <c r="B11267" t="s">
        <v>9194</v>
      </c>
      <c r="C11267" t="s">
        <v>88</v>
      </c>
      <c r="D11267" t="s">
        <v>9195</v>
      </c>
      <c r="E11267" t="s">
        <v>760</v>
      </c>
      <c r="F11267" t="s">
        <v>88</v>
      </c>
      <c r="G11267" t="s">
        <v>88</v>
      </c>
      <c r="H11267" t="s">
        <v>92</v>
      </c>
    </row>
    <row r="11268" spans="1:8" x14ac:dyDescent="0.25">
      <c r="A11268" t="s">
        <v>343</v>
      </c>
      <c r="B11268" t="s">
        <v>9196</v>
      </c>
      <c r="C11268" t="s">
        <v>88</v>
      </c>
      <c r="D11268" t="s">
        <v>9197</v>
      </c>
      <c r="E11268" t="s">
        <v>893</v>
      </c>
      <c r="F11268" t="s">
        <v>88</v>
      </c>
      <c r="G11268" t="s">
        <v>88</v>
      </c>
      <c r="H11268" t="s">
        <v>92</v>
      </c>
    </row>
    <row r="11269" spans="1:8" x14ac:dyDescent="0.25">
      <c r="A11269" t="s">
        <v>343</v>
      </c>
      <c r="B11269" t="s">
        <v>4196</v>
      </c>
      <c r="C11269" t="s">
        <v>88</v>
      </c>
      <c r="D11269" t="s">
        <v>9198</v>
      </c>
      <c r="E11269" t="s">
        <v>717</v>
      </c>
      <c r="F11269" t="s">
        <v>88</v>
      </c>
      <c r="G11269" t="s">
        <v>88</v>
      </c>
      <c r="H11269" t="s">
        <v>92</v>
      </c>
    </row>
    <row r="11270" spans="1:8" x14ac:dyDescent="0.25">
      <c r="A11270" t="s">
        <v>343</v>
      </c>
      <c r="B11270" t="s">
        <v>9199</v>
      </c>
      <c r="C11270" t="s">
        <v>88</v>
      </c>
      <c r="D11270" t="s">
        <v>9200</v>
      </c>
      <c r="E11270" t="s">
        <v>979</v>
      </c>
      <c r="F11270" t="s">
        <v>88</v>
      </c>
      <c r="G11270" t="s">
        <v>88</v>
      </c>
      <c r="H11270" t="s">
        <v>92</v>
      </c>
    </row>
    <row r="11271" spans="1:8" x14ac:dyDescent="0.25">
      <c r="A11271" t="s">
        <v>343</v>
      </c>
      <c r="B11271" t="s">
        <v>671</v>
      </c>
      <c r="C11271" t="s">
        <v>88</v>
      </c>
      <c r="D11271" t="s">
        <v>4187</v>
      </c>
      <c r="E11271" t="s">
        <v>700</v>
      </c>
      <c r="F11271" t="s">
        <v>88</v>
      </c>
      <c r="G11271" t="s">
        <v>88</v>
      </c>
      <c r="H11271" t="s">
        <v>92</v>
      </c>
    </row>
    <row r="11272" spans="1:8" x14ac:dyDescent="0.25">
      <c r="A11272" t="s">
        <v>343</v>
      </c>
      <c r="B11272" t="s">
        <v>4190</v>
      </c>
      <c r="C11272" t="s">
        <v>88</v>
      </c>
      <c r="D11272" t="s">
        <v>4191</v>
      </c>
      <c r="E11272" t="s">
        <v>760</v>
      </c>
      <c r="F11272" t="s">
        <v>88</v>
      </c>
      <c r="G11272" t="s">
        <v>88</v>
      </c>
      <c r="H11272" t="s">
        <v>92</v>
      </c>
    </row>
    <row r="11273" spans="1:8" x14ac:dyDescent="0.25">
      <c r="A11273" t="s">
        <v>343</v>
      </c>
      <c r="B11273" t="s">
        <v>1859</v>
      </c>
      <c r="C11273" t="s">
        <v>88</v>
      </c>
      <c r="D11273" t="s">
        <v>2844</v>
      </c>
      <c r="E11273" t="s">
        <v>760</v>
      </c>
      <c r="F11273" t="s">
        <v>88</v>
      </c>
      <c r="G11273" t="s">
        <v>88</v>
      </c>
      <c r="H11273" t="s">
        <v>92</v>
      </c>
    </row>
    <row r="11274" spans="1:8" x14ac:dyDescent="0.25">
      <c r="A11274" t="s">
        <v>343</v>
      </c>
      <c r="B11274" t="s">
        <v>2965</v>
      </c>
      <c r="C11274" t="s">
        <v>88</v>
      </c>
      <c r="D11274" t="s">
        <v>7622</v>
      </c>
      <c r="E11274" t="s">
        <v>692</v>
      </c>
      <c r="F11274" t="s">
        <v>88</v>
      </c>
      <c r="G11274" t="s">
        <v>88</v>
      </c>
      <c r="H11274" t="s">
        <v>92</v>
      </c>
    </row>
    <row r="11275" spans="1:8" x14ac:dyDescent="0.25">
      <c r="A11275" t="s">
        <v>343</v>
      </c>
      <c r="B11275" t="s">
        <v>8845</v>
      </c>
      <c r="C11275" t="s">
        <v>88</v>
      </c>
      <c r="D11275" t="s">
        <v>7616</v>
      </c>
      <c r="E11275" t="s">
        <v>655</v>
      </c>
      <c r="F11275" t="s">
        <v>88</v>
      </c>
      <c r="G11275" t="s">
        <v>88</v>
      </c>
      <c r="H11275" t="s">
        <v>92</v>
      </c>
    </row>
    <row r="11276" spans="1:8" x14ac:dyDescent="0.25">
      <c r="A11276" t="s">
        <v>343</v>
      </c>
      <c r="B11276" t="s">
        <v>4192</v>
      </c>
      <c r="C11276" t="s">
        <v>88</v>
      </c>
      <c r="D11276" t="s">
        <v>4193</v>
      </c>
      <c r="E11276" t="s">
        <v>760</v>
      </c>
      <c r="F11276" t="s">
        <v>88</v>
      </c>
      <c r="G11276" t="s">
        <v>88</v>
      </c>
      <c r="H11276" t="s">
        <v>92</v>
      </c>
    </row>
    <row r="11277" spans="1:8" x14ac:dyDescent="0.25">
      <c r="A11277" t="s">
        <v>343</v>
      </c>
      <c r="B11277" t="s">
        <v>4162</v>
      </c>
      <c r="C11277" t="s">
        <v>88</v>
      </c>
      <c r="D11277" t="s">
        <v>9201</v>
      </c>
      <c r="E11277" t="s">
        <v>760</v>
      </c>
      <c r="F11277" t="s">
        <v>88</v>
      </c>
      <c r="G11277" t="s">
        <v>88</v>
      </c>
      <c r="H11277" t="s">
        <v>92</v>
      </c>
    </row>
    <row r="11278" spans="1:8" x14ac:dyDescent="0.25">
      <c r="A11278" t="s">
        <v>343</v>
      </c>
      <c r="B11278" t="s">
        <v>8854</v>
      </c>
      <c r="C11278" t="s">
        <v>88</v>
      </c>
      <c r="D11278" t="s">
        <v>9202</v>
      </c>
      <c r="E11278" t="s">
        <v>979</v>
      </c>
      <c r="F11278" t="s">
        <v>88</v>
      </c>
      <c r="G11278" t="s">
        <v>88</v>
      </c>
      <c r="H11278" t="s">
        <v>92</v>
      </c>
    </row>
    <row r="11279" spans="1:8" x14ac:dyDescent="0.25">
      <c r="A11279" t="s">
        <v>343</v>
      </c>
      <c r="B11279" t="s">
        <v>9203</v>
      </c>
      <c r="C11279" t="s">
        <v>88</v>
      </c>
      <c r="D11279" t="s">
        <v>9204</v>
      </c>
      <c r="E11279" t="s">
        <v>748</v>
      </c>
      <c r="F11279" t="s">
        <v>88</v>
      </c>
      <c r="G11279" t="s">
        <v>88</v>
      </c>
      <c r="H11279" t="s">
        <v>92</v>
      </c>
    </row>
    <row r="11280" spans="1:8" x14ac:dyDescent="0.25">
      <c r="A11280" t="s">
        <v>343</v>
      </c>
      <c r="B11280" t="s">
        <v>9205</v>
      </c>
      <c r="C11280" t="s">
        <v>88</v>
      </c>
      <c r="D11280" t="s">
        <v>9206</v>
      </c>
      <c r="E11280" t="s">
        <v>748</v>
      </c>
      <c r="F11280" t="s">
        <v>88</v>
      </c>
      <c r="G11280" t="s">
        <v>88</v>
      </c>
      <c r="H11280" t="s">
        <v>92</v>
      </c>
    </row>
    <row r="11281" spans="1:8" x14ac:dyDescent="0.25">
      <c r="A11281" t="s">
        <v>343</v>
      </c>
      <c r="B11281" t="s">
        <v>7258</v>
      </c>
      <c r="C11281" t="s">
        <v>88</v>
      </c>
      <c r="D11281" t="s">
        <v>9207</v>
      </c>
      <c r="E11281" t="s">
        <v>748</v>
      </c>
      <c r="F11281" t="s">
        <v>88</v>
      </c>
      <c r="G11281" t="s">
        <v>88</v>
      </c>
      <c r="H11281" t="s">
        <v>92</v>
      </c>
    </row>
    <row r="11282" spans="1:8" x14ac:dyDescent="0.25">
      <c r="A11282" t="s">
        <v>343</v>
      </c>
      <c r="B11282" t="s">
        <v>4233</v>
      </c>
      <c r="C11282" t="s">
        <v>88</v>
      </c>
      <c r="D11282" t="s">
        <v>9208</v>
      </c>
      <c r="E11282" t="s">
        <v>748</v>
      </c>
      <c r="F11282" t="s">
        <v>88</v>
      </c>
      <c r="G11282" t="s">
        <v>88</v>
      </c>
      <c r="H11282" t="s">
        <v>92</v>
      </c>
    </row>
    <row r="11283" spans="1:8" x14ac:dyDescent="0.25">
      <c r="A11283" t="s">
        <v>343</v>
      </c>
      <c r="B11283" t="s">
        <v>9209</v>
      </c>
      <c r="C11283" t="s">
        <v>88</v>
      </c>
      <c r="D11283" t="s">
        <v>9176</v>
      </c>
      <c r="E11283" t="s">
        <v>748</v>
      </c>
      <c r="F11283" t="s">
        <v>88</v>
      </c>
      <c r="G11283" t="s">
        <v>88</v>
      </c>
      <c r="H11283" t="s">
        <v>92</v>
      </c>
    </row>
    <row r="11284" spans="1:8" x14ac:dyDescent="0.25">
      <c r="A11284" t="s">
        <v>343</v>
      </c>
      <c r="B11284" t="s">
        <v>9210</v>
      </c>
      <c r="C11284" t="s">
        <v>88</v>
      </c>
      <c r="D11284" t="s">
        <v>9211</v>
      </c>
      <c r="E11284" t="s">
        <v>748</v>
      </c>
      <c r="F11284" t="s">
        <v>88</v>
      </c>
      <c r="G11284" t="s">
        <v>88</v>
      </c>
      <c r="H11284" t="s">
        <v>92</v>
      </c>
    </row>
    <row r="11285" spans="1:8" x14ac:dyDescent="0.25">
      <c r="A11285" t="s">
        <v>343</v>
      </c>
      <c r="B11285" t="s">
        <v>9212</v>
      </c>
      <c r="C11285" t="s">
        <v>88</v>
      </c>
      <c r="D11285" t="s">
        <v>9213</v>
      </c>
      <c r="E11285" t="s">
        <v>748</v>
      </c>
      <c r="F11285" t="s">
        <v>88</v>
      </c>
      <c r="G11285" t="s">
        <v>88</v>
      </c>
      <c r="H11285" t="s">
        <v>92</v>
      </c>
    </row>
    <row r="11286" spans="1:8" x14ac:dyDescent="0.25">
      <c r="A11286" t="s">
        <v>343</v>
      </c>
      <c r="B11286" t="s">
        <v>9214</v>
      </c>
      <c r="C11286" t="s">
        <v>88</v>
      </c>
      <c r="D11286" t="s">
        <v>9215</v>
      </c>
      <c r="E11286" t="s">
        <v>673</v>
      </c>
      <c r="F11286" t="s">
        <v>88</v>
      </c>
      <c r="G11286" t="s">
        <v>88</v>
      </c>
      <c r="H11286" t="s">
        <v>92</v>
      </c>
    </row>
    <row r="11287" spans="1:8" x14ac:dyDescent="0.25">
      <c r="A11287" t="s">
        <v>343</v>
      </c>
      <c r="B11287" t="s">
        <v>4225</v>
      </c>
      <c r="C11287" t="s">
        <v>88</v>
      </c>
      <c r="D11287" t="s">
        <v>9216</v>
      </c>
      <c r="E11287" t="s">
        <v>658</v>
      </c>
      <c r="F11287" t="s">
        <v>88</v>
      </c>
      <c r="G11287" t="s">
        <v>88</v>
      </c>
      <c r="H11287" t="s">
        <v>92</v>
      </c>
    </row>
    <row r="11288" spans="1:8" x14ac:dyDescent="0.25">
      <c r="A11288" t="s">
        <v>343</v>
      </c>
      <c r="B11288" t="s">
        <v>4207</v>
      </c>
      <c r="C11288" t="s">
        <v>88</v>
      </c>
      <c r="D11288" t="s">
        <v>9217</v>
      </c>
      <c r="E11288" t="s">
        <v>748</v>
      </c>
      <c r="F11288" t="s">
        <v>88</v>
      </c>
      <c r="G11288" t="s">
        <v>88</v>
      </c>
      <c r="H11288" t="s">
        <v>92</v>
      </c>
    </row>
    <row r="11289" spans="1:8" x14ac:dyDescent="0.25">
      <c r="A11289" t="s">
        <v>343</v>
      </c>
      <c r="B11289" t="s">
        <v>4229</v>
      </c>
      <c r="C11289" t="s">
        <v>88</v>
      </c>
      <c r="D11289" t="s">
        <v>9218</v>
      </c>
      <c r="E11289" t="s">
        <v>700</v>
      </c>
      <c r="F11289" t="s">
        <v>88</v>
      </c>
      <c r="G11289" t="s">
        <v>88</v>
      </c>
      <c r="H11289" t="s">
        <v>92</v>
      </c>
    </row>
    <row r="11290" spans="1:8" x14ac:dyDescent="0.25">
      <c r="A11290" t="s">
        <v>343</v>
      </c>
      <c r="B11290" t="s">
        <v>4231</v>
      </c>
      <c r="C11290" t="s">
        <v>88</v>
      </c>
      <c r="D11290" t="s">
        <v>9219</v>
      </c>
      <c r="E11290" t="s">
        <v>748</v>
      </c>
      <c r="F11290" t="s">
        <v>88</v>
      </c>
      <c r="G11290" t="s">
        <v>88</v>
      </c>
      <c r="H11290" t="s">
        <v>92</v>
      </c>
    </row>
    <row r="11291" spans="1:8" x14ac:dyDescent="0.25">
      <c r="A11291" t="s">
        <v>343</v>
      </c>
      <c r="B11291" t="s">
        <v>9220</v>
      </c>
      <c r="C11291" t="s">
        <v>88</v>
      </c>
      <c r="D11291" t="s">
        <v>9221</v>
      </c>
      <c r="E11291" t="s">
        <v>700</v>
      </c>
      <c r="F11291" t="s">
        <v>88</v>
      </c>
      <c r="G11291" t="s">
        <v>88</v>
      </c>
      <c r="H11291" t="s">
        <v>92</v>
      </c>
    </row>
    <row r="11292" spans="1:8" x14ac:dyDescent="0.25">
      <c r="A11292" t="s">
        <v>343</v>
      </c>
      <c r="B11292" t="s">
        <v>4201</v>
      </c>
      <c r="C11292" t="s">
        <v>88</v>
      </c>
      <c r="D11292" t="s">
        <v>9222</v>
      </c>
      <c r="E11292" t="s">
        <v>658</v>
      </c>
      <c r="F11292" t="s">
        <v>88</v>
      </c>
      <c r="G11292" t="s">
        <v>88</v>
      </c>
      <c r="H11292" t="s">
        <v>92</v>
      </c>
    </row>
    <row r="11293" spans="1:8" x14ac:dyDescent="0.25">
      <c r="A11293" t="s">
        <v>343</v>
      </c>
      <c r="B11293" t="s">
        <v>9127</v>
      </c>
      <c r="C11293" t="s">
        <v>88</v>
      </c>
      <c r="D11293" t="s">
        <v>9223</v>
      </c>
      <c r="E11293" t="s">
        <v>1241</v>
      </c>
      <c r="F11293" t="s">
        <v>88</v>
      </c>
      <c r="G11293" t="s">
        <v>88</v>
      </c>
      <c r="H11293" t="s">
        <v>92</v>
      </c>
    </row>
    <row r="11294" spans="1:8" x14ac:dyDescent="0.25">
      <c r="A11294" t="s">
        <v>343</v>
      </c>
      <c r="B11294" t="s">
        <v>9224</v>
      </c>
      <c r="C11294" t="s">
        <v>88</v>
      </c>
      <c r="D11294" t="s">
        <v>9225</v>
      </c>
      <c r="E11294" t="s">
        <v>1241</v>
      </c>
      <c r="F11294" t="s">
        <v>88</v>
      </c>
      <c r="G11294" t="s">
        <v>88</v>
      </c>
      <c r="H11294" t="s">
        <v>92</v>
      </c>
    </row>
    <row r="11295" spans="1:8" x14ac:dyDescent="0.25">
      <c r="A11295" t="s">
        <v>343</v>
      </c>
      <c r="B11295" t="s">
        <v>4227</v>
      </c>
      <c r="C11295" t="s">
        <v>88</v>
      </c>
      <c r="D11295" t="s">
        <v>9174</v>
      </c>
      <c r="E11295" t="s">
        <v>700</v>
      </c>
      <c r="F11295" t="s">
        <v>88</v>
      </c>
      <c r="G11295" t="s">
        <v>88</v>
      </c>
      <c r="H11295" t="s">
        <v>92</v>
      </c>
    </row>
    <row r="11296" spans="1:8" x14ac:dyDescent="0.25">
      <c r="A11296" t="s">
        <v>343</v>
      </c>
      <c r="B11296" t="s">
        <v>4213</v>
      </c>
      <c r="C11296" t="s">
        <v>88</v>
      </c>
      <c r="D11296" t="s">
        <v>9226</v>
      </c>
      <c r="E11296" t="s">
        <v>748</v>
      </c>
      <c r="F11296" t="s">
        <v>88</v>
      </c>
      <c r="G11296" t="s">
        <v>88</v>
      </c>
      <c r="H11296" t="s">
        <v>92</v>
      </c>
    </row>
    <row r="11297" spans="1:8" x14ac:dyDescent="0.25">
      <c r="A11297" t="s">
        <v>343</v>
      </c>
      <c r="B11297" t="s">
        <v>9134</v>
      </c>
      <c r="C11297" t="s">
        <v>88</v>
      </c>
      <c r="D11297" t="s">
        <v>9227</v>
      </c>
      <c r="E11297" t="s">
        <v>1241</v>
      </c>
      <c r="F11297" t="s">
        <v>88</v>
      </c>
      <c r="G11297" t="s">
        <v>88</v>
      </c>
      <c r="H11297" t="s">
        <v>92</v>
      </c>
    </row>
    <row r="11298" spans="1:8" x14ac:dyDescent="0.25">
      <c r="A11298" t="s">
        <v>343</v>
      </c>
      <c r="B11298" t="s">
        <v>9228</v>
      </c>
      <c r="C11298" t="s">
        <v>88</v>
      </c>
      <c r="D11298" t="s">
        <v>9229</v>
      </c>
      <c r="E11298" t="s">
        <v>748</v>
      </c>
      <c r="F11298" t="s">
        <v>88</v>
      </c>
      <c r="G11298" t="s">
        <v>88</v>
      </c>
      <c r="H11298" t="s">
        <v>92</v>
      </c>
    </row>
    <row r="11299" spans="1:8" x14ac:dyDescent="0.25">
      <c r="A11299" t="s">
        <v>343</v>
      </c>
      <c r="B11299" t="s">
        <v>9230</v>
      </c>
      <c r="C11299" t="s">
        <v>88</v>
      </c>
      <c r="D11299" t="s">
        <v>9231</v>
      </c>
      <c r="E11299" t="s">
        <v>883</v>
      </c>
      <c r="F11299" t="s">
        <v>88</v>
      </c>
      <c r="G11299" t="s">
        <v>88</v>
      </c>
      <c r="H11299" t="s">
        <v>92</v>
      </c>
    </row>
    <row r="11300" spans="1:8" x14ac:dyDescent="0.25">
      <c r="A11300" t="s">
        <v>343</v>
      </c>
      <c r="B11300" t="s">
        <v>9232</v>
      </c>
      <c r="C11300" t="s">
        <v>88</v>
      </c>
      <c r="D11300" t="s">
        <v>9204</v>
      </c>
      <c r="E11300" t="s">
        <v>692</v>
      </c>
      <c r="F11300" t="s">
        <v>88</v>
      </c>
      <c r="G11300" t="s">
        <v>88</v>
      </c>
      <c r="H11300" t="s">
        <v>92</v>
      </c>
    </row>
    <row r="11301" spans="1:8" x14ac:dyDescent="0.25">
      <c r="A11301" t="s">
        <v>343</v>
      </c>
      <c r="B11301" t="s">
        <v>9233</v>
      </c>
      <c r="C11301" t="s">
        <v>88</v>
      </c>
      <c r="D11301" t="s">
        <v>9206</v>
      </c>
      <c r="E11301" t="s">
        <v>692</v>
      </c>
      <c r="F11301" t="s">
        <v>88</v>
      </c>
      <c r="G11301" t="s">
        <v>88</v>
      </c>
      <c r="H11301" t="s">
        <v>92</v>
      </c>
    </row>
    <row r="11302" spans="1:8" x14ac:dyDescent="0.25">
      <c r="A11302" t="s">
        <v>343</v>
      </c>
      <c r="B11302" t="s">
        <v>7269</v>
      </c>
      <c r="C11302" t="s">
        <v>88</v>
      </c>
      <c r="D11302" t="s">
        <v>9207</v>
      </c>
      <c r="E11302" t="s">
        <v>692</v>
      </c>
      <c r="F11302" t="s">
        <v>88</v>
      </c>
      <c r="G11302" t="s">
        <v>88</v>
      </c>
      <c r="H11302" t="s">
        <v>92</v>
      </c>
    </row>
    <row r="11303" spans="1:8" x14ac:dyDescent="0.25">
      <c r="A11303" t="s">
        <v>343</v>
      </c>
      <c r="B11303" t="s">
        <v>4236</v>
      </c>
      <c r="C11303" t="s">
        <v>88</v>
      </c>
      <c r="D11303" t="s">
        <v>9208</v>
      </c>
      <c r="E11303" t="s">
        <v>692</v>
      </c>
      <c r="F11303" t="s">
        <v>88</v>
      </c>
      <c r="G11303" t="s">
        <v>88</v>
      </c>
      <c r="H11303" t="s">
        <v>92</v>
      </c>
    </row>
    <row r="11304" spans="1:8" x14ac:dyDescent="0.25">
      <c r="A11304" t="s">
        <v>343</v>
      </c>
      <c r="B11304" t="s">
        <v>9175</v>
      </c>
      <c r="C11304" t="s">
        <v>88</v>
      </c>
      <c r="D11304" t="s">
        <v>9176</v>
      </c>
      <c r="E11304" t="s">
        <v>692</v>
      </c>
      <c r="F11304" t="s">
        <v>88</v>
      </c>
      <c r="G11304" t="s">
        <v>88</v>
      </c>
      <c r="H11304" t="s">
        <v>92</v>
      </c>
    </row>
    <row r="11305" spans="1:8" x14ac:dyDescent="0.25">
      <c r="A11305" t="s">
        <v>343</v>
      </c>
      <c r="B11305" t="s">
        <v>9234</v>
      </c>
      <c r="C11305" t="s">
        <v>88</v>
      </c>
      <c r="D11305" t="s">
        <v>9211</v>
      </c>
      <c r="E11305" t="s">
        <v>692</v>
      </c>
      <c r="F11305" t="s">
        <v>88</v>
      </c>
      <c r="G11305" t="s">
        <v>88</v>
      </c>
      <c r="H11305" t="s">
        <v>92</v>
      </c>
    </row>
    <row r="11306" spans="1:8" x14ac:dyDescent="0.25">
      <c r="A11306" t="s">
        <v>343</v>
      </c>
      <c r="B11306" t="s">
        <v>9235</v>
      </c>
      <c r="C11306" t="s">
        <v>88</v>
      </c>
      <c r="D11306" t="s">
        <v>9213</v>
      </c>
      <c r="E11306" t="s">
        <v>692</v>
      </c>
      <c r="F11306" t="s">
        <v>88</v>
      </c>
      <c r="G11306" t="s">
        <v>88</v>
      </c>
      <c r="H11306" t="s">
        <v>92</v>
      </c>
    </row>
    <row r="11307" spans="1:8" x14ac:dyDescent="0.25">
      <c r="A11307" t="s">
        <v>343</v>
      </c>
      <c r="B11307" t="s">
        <v>9236</v>
      </c>
      <c r="C11307" t="s">
        <v>88</v>
      </c>
      <c r="D11307" t="s">
        <v>9215</v>
      </c>
      <c r="E11307" t="s">
        <v>692</v>
      </c>
      <c r="F11307" t="s">
        <v>88</v>
      </c>
      <c r="G11307" t="s">
        <v>88</v>
      </c>
      <c r="H11307" t="s">
        <v>92</v>
      </c>
    </row>
    <row r="11308" spans="1:8" x14ac:dyDescent="0.25">
      <c r="A11308" t="s">
        <v>343</v>
      </c>
      <c r="B11308" t="s">
        <v>4251</v>
      </c>
      <c r="C11308" t="s">
        <v>88</v>
      </c>
      <c r="D11308" t="s">
        <v>9216</v>
      </c>
      <c r="E11308" t="s">
        <v>893</v>
      </c>
      <c r="F11308" t="s">
        <v>88</v>
      </c>
      <c r="G11308" t="s">
        <v>88</v>
      </c>
      <c r="H11308" t="s">
        <v>92</v>
      </c>
    </row>
    <row r="11309" spans="1:8" x14ac:dyDescent="0.25">
      <c r="A11309" t="s">
        <v>343</v>
      </c>
      <c r="B11309" t="s">
        <v>4244</v>
      </c>
      <c r="C11309" t="s">
        <v>88</v>
      </c>
      <c r="D11309" t="s">
        <v>9217</v>
      </c>
      <c r="E11309" t="s">
        <v>692</v>
      </c>
      <c r="F11309" t="s">
        <v>88</v>
      </c>
      <c r="G11309" t="s">
        <v>88</v>
      </c>
      <c r="H11309" t="s">
        <v>92</v>
      </c>
    </row>
    <row r="11310" spans="1:8" x14ac:dyDescent="0.25">
      <c r="A11310" t="s">
        <v>343</v>
      </c>
      <c r="B11310" t="s">
        <v>4249</v>
      </c>
      <c r="C11310" t="s">
        <v>88</v>
      </c>
      <c r="D11310" t="s">
        <v>9218</v>
      </c>
      <c r="E11310" t="s">
        <v>692</v>
      </c>
      <c r="F11310" t="s">
        <v>88</v>
      </c>
      <c r="G11310" t="s">
        <v>88</v>
      </c>
      <c r="H11310" t="s">
        <v>92</v>
      </c>
    </row>
    <row r="11311" spans="1:8" x14ac:dyDescent="0.25">
      <c r="A11311" t="s">
        <v>343</v>
      </c>
      <c r="B11311" t="s">
        <v>4242</v>
      </c>
      <c r="C11311" t="s">
        <v>88</v>
      </c>
      <c r="D11311" t="s">
        <v>9219</v>
      </c>
      <c r="E11311" t="s">
        <v>692</v>
      </c>
      <c r="F11311" t="s">
        <v>88</v>
      </c>
      <c r="G11311" t="s">
        <v>88</v>
      </c>
      <c r="H11311" t="s">
        <v>92</v>
      </c>
    </row>
    <row r="11312" spans="1:8" x14ac:dyDescent="0.25">
      <c r="A11312" t="s">
        <v>343</v>
      </c>
      <c r="B11312" t="s">
        <v>9237</v>
      </c>
      <c r="C11312" t="s">
        <v>88</v>
      </c>
      <c r="D11312" t="s">
        <v>9221</v>
      </c>
      <c r="E11312" t="s">
        <v>820</v>
      </c>
      <c r="F11312" t="s">
        <v>88</v>
      </c>
      <c r="G11312" t="s">
        <v>88</v>
      </c>
      <c r="H11312" t="s">
        <v>92</v>
      </c>
    </row>
    <row r="11313" spans="1:8" x14ac:dyDescent="0.25">
      <c r="A11313" t="s">
        <v>343</v>
      </c>
      <c r="B11313" t="s">
        <v>4238</v>
      </c>
      <c r="C11313" t="s">
        <v>88</v>
      </c>
      <c r="D11313" t="s">
        <v>9222</v>
      </c>
      <c r="E11313" t="s">
        <v>979</v>
      </c>
      <c r="F11313" t="s">
        <v>88</v>
      </c>
      <c r="G11313" t="s">
        <v>88</v>
      </c>
      <c r="H11313" t="s">
        <v>92</v>
      </c>
    </row>
    <row r="11314" spans="1:8" x14ac:dyDescent="0.25">
      <c r="A11314" t="s">
        <v>343</v>
      </c>
      <c r="B11314" t="s">
        <v>9137</v>
      </c>
      <c r="C11314" t="s">
        <v>88</v>
      </c>
      <c r="D11314" t="s">
        <v>9223</v>
      </c>
      <c r="E11314" t="s">
        <v>844</v>
      </c>
      <c r="F11314" t="s">
        <v>88</v>
      </c>
      <c r="G11314" t="s">
        <v>88</v>
      </c>
      <c r="H11314" t="s">
        <v>92</v>
      </c>
    </row>
    <row r="11315" spans="1:8" x14ac:dyDescent="0.25">
      <c r="A11315" t="s">
        <v>343</v>
      </c>
      <c r="B11315" t="s">
        <v>9238</v>
      </c>
      <c r="C11315" t="s">
        <v>88</v>
      </c>
      <c r="D11315" t="s">
        <v>9225</v>
      </c>
      <c r="E11315" t="s">
        <v>844</v>
      </c>
      <c r="F11315" t="s">
        <v>88</v>
      </c>
      <c r="G11315" t="s">
        <v>88</v>
      </c>
      <c r="H11315" t="s">
        <v>92</v>
      </c>
    </row>
    <row r="11316" spans="1:8" x14ac:dyDescent="0.25">
      <c r="A11316" t="s">
        <v>343</v>
      </c>
      <c r="B11316" t="s">
        <v>4248</v>
      </c>
      <c r="C11316" t="s">
        <v>88</v>
      </c>
      <c r="D11316" t="s">
        <v>9174</v>
      </c>
      <c r="E11316" t="s">
        <v>1006</v>
      </c>
      <c r="F11316" t="s">
        <v>88</v>
      </c>
      <c r="G11316" t="s">
        <v>88</v>
      </c>
      <c r="H11316" t="s">
        <v>92</v>
      </c>
    </row>
    <row r="11317" spans="1:8" x14ac:dyDescent="0.25">
      <c r="A11317" t="s">
        <v>343</v>
      </c>
      <c r="B11317" t="s">
        <v>4237</v>
      </c>
      <c r="C11317" t="s">
        <v>88</v>
      </c>
      <c r="D11317" t="s">
        <v>9226</v>
      </c>
      <c r="E11317" t="s">
        <v>692</v>
      </c>
      <c r="F11317" t="s">
        <v>88</v>
      </c>
      <c r="G11317" t="s">
        <v>88</v>
      </c>
      <c r="H11317" t="s">
        <v>92</v>
      </c>
    </row>
    <row r="11318" spans="1:8" x14ac:dyDescent="0.25">
      <c r="A11318" t="s">
        <v>343</v>
      </c>
      <c r="B11318" t="s">
        <v>9141</v>
      </c>
      <c r="C11318" t="s">
        <v>88</v>
      </c>
      <c r="D11318" t="s">
        <v>9227</v>
      </c>
      <c r="E11318" t="s">
        <v>844</v>
      </c>
      <c r="F11318" t="s">
        <v>88</v>
      </c>
      <c r="G11318" t="s">
        <v>88</v>
      </c>
      <c r="H11318" t="s">
        <v>92</v>
      </c>
    </row>
    <row r="11319" spans="1:8" x14ac:dyDescent="0.25">
      <c r="A11319" t="s">
        <v>343</v>
      </c>
      <c r="B11319" t="s">
        <v>9239</v>
      </c>
      <c r="C11319" t="s">
        <v>88</v>
      </c>
      <c r="D11319" t="s">
        <v>9229</v>
      </c>
      <c r="E11319" t="s">
        <v>692</v>
      </c>
      <c r="F11319" t="s">
        <v>88</v>
      </c>
      <c r="G11319" t="s">
        <v>88</v>
      </c>
      <c r="H11319" t="s">
        <v>92</v>
      </c>
    </row>
    <row r="11320" spans="1:8" x14ac:dyDescent="0.25">
      <c r="A11320" t="s">
        <v>343</v>
      </c>
      <c r="B11320" t="s">
        <v>9240</v>
      </c>
      <c r="C11320" t="s">
        <v>88</v>
      </c>
      <c r="D11320" t="s">
        <v>9231</v>
      </c>
      <c r="E11320" t="s">
        <v>1006</v>
      </c>
      <c r="F11320" t="s">
        <v>88</v>
      </c>
      <c r="G11320" t="s">
        <v>88</v>
      </c>
      <c r="H11320" t="s">
        <v>92</v>
      </c>
    </row>
    <row r="11321" spans="1:8" x14ac:dyDescent="0.25">
      <c r="A11321" t="s">
        <v>343</v>
      </c>
      <c r="B11321" t="s">
        <v>9241</v>
      </c>
      <c r="C11321" t="s">
        <v>88</v>
      </c>
      <c r="D11321" t="s">
        <v>9204</v>
      </c>
      <c r="E11321" t="s">
        <v>1255</v>
      </c>
      <c r="F11321" t="s">
        <v>88</v>
      </c>
      <c r="G11321" t="s">
        <v>88</v>
      </c>
      <c r="H11321" t="s">
        <v>92</v>
      </c>
    </row>
    <row r="11322" spans="1:8" x14ac:dyDescent="0.25">
      <c r="A11322" t="s">
        <v>343</v>
      </c>
      <c r="B11322" t="s">
        <v>9242</v>
      </c>
      <c r="C11322" t="s">
        <v>88</v>
      </c>
      <c r="D11322" t="s">
        <v>9206</v>
      </c>
      <c r="E11322" t="s">
        <v>1255</v>
      </c>
      <c r="F11322" t="s">
        <v>88</v>
      </c>
      <c r="G11322" t="s">
        <v>88</v>
      </c>
      <c r="H11322" t="s">
        <v>92</v>
      </c>
    </row>
    <row r="11323" spans="1:8" x14ac:dyDescent="0.25">
      <c r="A11323" t="s">
        <v>343</v>
      </c>
      <c r="B11323" t="s">
        <v>7273</v>
      </c>
      <c r="C11323" t="s">
        <v>88</v>
      </c>
      <c r="D11323" t="s">
        <v>9207</v>
      </c>
      <c r="E11323" t="s">
        <v>1255</v>
      </c>
      <c r="F11323" t="s">
        <v>88</v>
      </c>
      <c r="G11323" t="s">
        <v>88</v>
      </c>
      <c r="H11323" t="s">
        <v>92</v>
      </c>
    </row>
    <row r="11324" spans="1:8" x14ac:dyDescent="0.25">
      <c r="A11324" t="s">
        <v>343</v>
      </c>
      <c r="B11324" t="s">
        <v>4252</v>
      </c>
      <c r="C11324" t="s">
        <v>88</v>
      </c>
      <c r="D11324" t="s">
        <v>9208</v>
      </c>
      <c r="E11324" t="s">
        <v>1255</v>
      </c>
      <c r="F11324" t="s">
        <v>88</v>
      </c>
      <c r="G11324" t="s">
        <v>88</v>
      </c>
      <c r="H11324" t="s">
        <v>92</v>
      </c>
    </row>
    <row r="11325" spans="1:8" x14ac:dyDescent="0.25">
      <c r="A11325" t="s">
        <v>343</v>
      </c>
      <c r="B11325" t="s">
        <v>9243</v>
      </c>
      <c r="C11325" t="s">
        <v>88</v>
      </c>
      <c r="D11325" t="s">
        <v>9176</v>
      </c>
      <c r="E11325" t="s">
        <v>3593</v>
      </c>
      <c r="F11325" t="s">
        <v>88</v>
      </c>
      <c r="G11325" t="s">
        <v>88</v>
      </c>
      <c r="H11325" t="s">
        <v>92</v>
      </c>
    </row>
    <row r="11326" spans="1:8" x14ac:dyDescent="0.25">
      <c r="A11326" t="s">
        <v>343</v>
      </c>
      <c r="B11326" t="s">
        <v>9244</v>
      </c>
      <c r="C11326" t="s">
        <v>88</v>
      </c>
      <c r="D11326" t="s">
        <v>9211</v>
      </c>
      <c r="E11326" t="s">
        <v>1255</v>
      </c>
      <c r="F11326" t="s">
        <v>88</v>
      </c>
      <c r="G11326" t="s">
        <v>88</v>
      </c>
      <c r="H11326" t="s">
        <v>92</v>
      </c>
    </row>
    <row r="11327" spans="1:8" x14ac:dyDescent="0.25">
      <c r="A11327" t="s">
        <v>343</v>
      </c>
      <c r="B11327" t="s">
        <v>9245</v>
      </c>
      <c r="C11327" t="s">
        <v>88</v>
      </c>
      <c r="D11327" t="s">
        <v>9213</v>
      </c>
      <c r="E11327" t="s">
        <v>3593</v>
      </c>
      <c r="F11327" t="s">
        <v>88</v>
      </c>
      <c r="G11327" t="s">
        <v>88</v>
      </c>
      <c r="H11327" t="s">
        <v>92</v>
      </c>
    </row>
    <row r="11328" spans="1:8" x14ac:dyDescent="0.25">
      <c r="A11328" t="s">
        <v>343</v>
      </c>
      <c r="B11328" t="s">
        <v>9246</v>
      </c>
      <c r="C11328" t="s">
        <v>88</v>
      </c>
      <c r="D11328" t="s">
        <v>9215</v>
      </c>
      <c r="E11328" t="s">
        <v>964</v>
      </c>
      <c r="F11328" t="s">
        <v>88</v>
      </c>
      <c r="G11328" t="s">
        <v>88</v>
      </c>
      <c r="H11328" t="s">
        <v>92</v>
      </c>
    </row>
    <row r="11329" spans="1:8" x14ac:dyDescent="0.25">
      <c r="A11329" t="s">
        <v>343</v>
      </c>
      <c r="B11329" t="s">
        <v>4262</v>
      </c>
      <c r="C11329" t="s">
        <v>88</v>
      </c>
      <c r="D11329" t="s">
        <v>9216</v>
      </c>
      <c r="E11329" t="s">
        <v>838</v>
      </c>
      <c r="F11329" t="s">
        <v>88</v>
      </c>
      <c r="G11329" t="s">
        <v>88</v>
      </c>
      <c r="H11329" t="s">
        <v>92</v>
      </c>
    </row>
    <row r="11330" spans="1:8" x14ac:dyDescent="0.25">
      <c r="A11330" t="s">
        <v>343</v>
      </c>
      <c r="B11330" t="s">
        <v>4253</v>
      </c>
      <c r="C11330" t="s">
        <v>88</v>
      </c>
      <c r="D11330" t="s">
        <v>9217</v>
      </c>
      <c r="E11330" t="s">
        <v>1255</v>
      </c>
      <c r="F11330" t="s">
        <v>88</v>
      </c>
      <c r="G11330" t="s">
        <v>88</v>
      </c>
      <c r="H11330" t="s">
        <v>92</v>
      </c>
    </row>
    <row r="11331" spans="1:8" x14ac:dyDescent="0.25">
      <c r="A11331" t="s">
        <v>343</v>
      </c>
      <c r="B11331" t="s">
        <v>4269</v>
      </c>
      <c r="C11331" t="s">
        <v>88</v>
      </c>
      <c r="D11331" t="s">
        <v>9218</v>
      </c>
      <c r="E11331" t="s">
        <v>6044</v>
      </c>
      <c r="F11331" t="s">
        <v>88</v>
      </c>
      <c r="G11331" t="s">
        <v>88</v>
      </c>
      <c r="H11331" t="s">
        <v>92</v>
      </c>
    </row>
    <row r="11332" spans="1:8" x14ac:dyDescent="0.25">
      <c r="A11332" t="s">
        <v>343</v>
      </c>
      <c r="B11332" t="s">
        <v>4254</v>
      </c>
      <c r="C11332" t="s">
        <v>88</v>
      </c>
      <c r="D11332" t="s">
        <v>9219</v>
      </c>
      <c r="E11332" t="s">
        <v>1255</v>
      </c>
      <c r="F11332" t="s">
        <v>88</v>
      </c>
      <c r="G11332" t="s">
        <v>88</v>
      </c>
      <c r="H11332" t="s">
        <v>92</v>
      </c>
    </row>
    <row r="11333" spans="1:8" x14ac:dyDescent="0.25">
      <c r="A11333" t="s">
        <v>343</v>
      </c>
      <c r="B11333" t="s">
        <v>9247</v>
      </c>
      <c r="C11333" t="s">
        <v>88</v>
      </c>
      <c r="D11333" t="s">
        <v>9221</v>
      </c>
      <c r="E11333" t="s">
        <v>6044</v>
      </c>
      <c r="F11333" t="s">
        <v>88</v>
      </c>
      <c r="G11333" t="s">
        <v>88</v>
      </c>
      <c r="H11333" t="s">
        <v>92</v>
      </c>
    </row>
    <row r="11334" spans="1:8" x14ac:dyDescent="0.25">
      <c r="A11334" t="s">
        <v>343</v>
      </c>
      <c r="B11334" t="s">
        <v>4257</v>
      </c>
      <c r="C11334" t="s">
        <v>88</v>
      </c>
      <c r="D11334" t="s">
        <v>9222</v>
      </c>
      <c r="E11334" t="s">
        <v>838</v>
      </c>
      <c r="F11334" t="s">
        <v>88</v>
      </c>
      <c r="G11334" t="s">
        <v>88</v>
      </c>
      <c r="H11334" t="s">
        <v>92</v>
      </c>
    </row>
    <row r="11335" spans="1:8" x14ac:dyDescent="0.25">
      <c r="A11335" t="s">
        <v>343</v>
      </c>
      <c r="B11335" t="s">
        <v>9144</v>
      </c>
      <c r="C11335" t="s">
        <v>88</v>
      </c>
      <c r="D11335" t="s">
        <v>9223</v>
      </c>
      <c r="E11335" t="s">
        <v>812</v>
      </c>
      <c r="F11335" t="s">
        <v>88</v>
      </c>
      <c r="G11335" t="s">
        <v>88</v>
      </c>
      <c r="H11335" t="s">
        <v>92</v>
      </c>
    </row>
    <row r="11336" spans="1:8" x14ac:dyDescent="0.25">
      <c r="A11336" t="s">
        <v>343</v>
      </c>
      <c r="B11336" t="s">
        <v>9248</v>
      </c>
      <c r="C11336" t="s">
        <v>88</v>
      </c>
      <c r="D11336" t="s">
        <v>9225</v>
      </c>
      <c r="E11336" t="s">
        <v>812</v>
      </c>
      <c r="F11336" t="s">
        <v>88</v>
      </c>
      <c r="G11336" t="s">
        <v>88</v>
      </c>
      <c r="H11336" t="s">
        <v>92</v>
      </c>
    </row>
    <row r="11337" spans="1:8" x14ac:dyDescent="0.25">
      <c r="A11337" t="s">
        <v>343</v>
      </c>
      <c r="B11337" t="s">
        <v>4265</v>
      </c>
      <c r="C11337" t="s">
        <v>88</v>
      </c>
      <c r="D11337" t="s">
        <v>9174</v>
      </c>
      <c r="E11337" t="s">
        <v>2378</v>
      </c>
      <c r="F11337" t="s">
        <v>88</v>
      </c>
      <c r="G11337" t="s">
        <v>88</v>
      </c>
      <c r="H11337" t="s">
        <v>92</v>
      </c>
    </row>
    <row r="11338" spans="1:8" x14ac:dyDescent="0.25">
      <c r="A11338" t="s">
        <v>343</v>
      </c>
      <c r="B11338" t="s">
        <v>4255</v>
      </c>
      <c r="C11338" t="s">
        <v>88</v>
      </c>
      <c r="D11338" t="s">
        <v>9226</v>
      </c>
      <c r="E11338" t="s">
        <v>3593</v>
      </c>
      <c r="F11338" t="s">
        <v>88</v>
      </c>
      <c r="G11338" t="s">
        <v>88</v>
      </c>
      <c r="H11338" t="s">
        <v>92</v>
      </c>
    </row>
    <row r="11339" spans="1:8" x14ac:dyDescent="0.25">
      <c r="A11339" t="s">
        <v>343</v>
      </c>
      <c r="B11339" t="s">
        <v>9148</v>
      </c>
      <c r="C11339" t="s">
        <v>88</v>
      </c>
      <c r="D11339" t="s">
        <v>9227</v>
      </c>
      <c r="E11339" t="s">
        <v>812</v>
      </c>
      <c r="F11339" t="s">
        <v>88</v>
      </c>
      <c r="G11339" t="s">
        <v>88</v>
      </c>
      <c r="H11339" t="s">
        <v>92</v>
      </c>
    </row>
    <row r="11340" spans="1:8" x14ac:dyDescent="0.25">
      <c r="A11340" t="s">
        <v>343</v>
      </c>
      <c r="B11340" t="s">
        <v>9249</v>
      </c>
      <c r="C11340" t="s">
        <v>88</v>
      </c>
      <c r="D11340" t="s">
        <v>9229</v>
      </c>
      <c r="E11340" t="s">
        <v>964</v>
      </c>
      <c r="F11340" t="s">
        <v>88</v>
      </c>
      <c r="G11340" t="s">
        <v>88</v>
      </c>
      <c r="H11340" t="s">
        <v>92</v>
      </c>
    </row>
    <row r="11341" spans="1:8" x14ac:dyDescent="0.25">
      <c r="A11341" t="s">
        <v>343</v>
      </c>
      <c r="B11341" t="s">
        <v>9250</v>
      </c>
      <c r="C11341" t="s">
        <v>88</v>
      </c>
      <c r="D11341" t="s">
        <v>9231</v>
      </c>
      <c r="E11341" t="s">
        <v>7290</v>
      </c>
      <c r="F11341" t="s">
        <v>88</v>
      </c>
      <c r="G11341" t="s">
        <v>88</v>
      </c>
      <c r="H11341" t="s">
        <v>92</v>
      </c>
    </row>
    <row r="11342" spans="1:8" x14ac:dyDescent="0.25">
      <c r="A11342" t="s">
        <v>343</v>
      </c>
      <c r="B11342" t="s">
        <v>9251</v>
      </c>
      <c r="C11342" t="s">
        <v>88</v>
      </c>
      <c r="D11342" t="s">
        <v>9204</v>
      </c>
      <c r="E11342" t="s">
        <v>814</v>
      </c>
      <c r="F11342" t="s">
        <v>88</v>
      </c>
      <c r="G11342" t="s">
        <v>88</v>
      </c>
      <c r="H11342" t="s">
        <v>92</v>
      </c>
    </row>
    <row r="11343" spans="1:8" x14ac:dyDescent="0.25">
      <c r="A11343" t="s">
        <v>343</v>
      </c>
      <c r="B11343" t="s">
        <v>9252</v>
      </c>
      <c r="C11343" t="s">
        <v>88</v>
      </c>
      <c r="D11343" t="s">
        <v>9206</v>
      </c>
      <c r="E11343" t="s">
        <v>814</v>
      </c>
      <c r="F11343" t="s">
        <v>88</v>
      </c>
      <c r="G11343" t="s">
        <v>88</v>
      </c>
      <c r="H11343" t="s">
        <v>92</v>
      </c>
    </row>
    <row r="11344" spans="1:8" x14ac:dyDescent="0.25">
      <c r="A11344" t="s">
        <v>343</v>
      </c>
      <c r="B11344" t="s">
        <v>9253</v>
      </c>
      <c r="C11344" t="s">
        <v>88</v>
      </c>
      <c r="D11344" t="s">
        <v>9207</v>
      </c>
      <c r="E11344" t="s">
        <v>814</v>
      </c>
      <c r="F11344" t="s">
        <v>88</v>
      </c>
      <c r="G11344" t="s">
        <v>88</v>
      </c>
      <c r="H11344" t="s">
        <v>92</v>
      </c>
    </row>
    <row r="11345" spans="1:8" x14ac:dyDescent="0.25">
      <c r="A11345" t="s">
        <v>343</v>
      </c>
      <c r="B11345" t="s">
        <v>4272</v>
      </c>
      <c r="C11345" t="s">
        <v>88</v>
      </c>
      <c r="D11345" t="s">
        <v>9208</v>
      </c>
      <c r="E11345" t="s">
        <v>814</v>
      </c>
      <c r="F11345" t="s">
        <v>88</v>
      </c>
      <c r="G11345" t="s">
        <v>88</v>
      </c>
      <c r="H11345" t="s">
        <v>92</v>
      </c>
    </row>
    <row r="11346" spans="1:8" x14ac:dyDescent="0.25">
      <c r="A11346" t="s">
        <v>343</v>
      </c>
      <c r="B11346" t="s">
        <v>9254</v>
      </c>
      <c r="C11346" t="s">
        <v>88</v>
      </c>
      <c r="D11346" t="s">
        <v>9176</v>
      </c>
      <c r="E11346" t="s">
        <v>814</v>
      </c>
      <c r="F11346" t="s">
        <v>88</v>
      </c>
      <c r="G11346" t="s">
        <v>88</v>
      </c>
      <c r="H11346" t="s">
        <v>92</v>
      </c>
    </row>
    <row r="11347" spans="1:8" x14ac:dyDescent="0.25">
      <c r="A11347" t="s">
        <v>343</v>
      </c>
      <c r="B11347" t="s">
        <v>9255</v>
      </c>
      <c r="C11347" t="s">
        <v>88</v>
      </c>
      <c r="D11347" t="s">
        <v>9211</v>
      </c>
      <c r="E11347" t="s">
        <v>814</v>
      </c>
      <c r="F11347" t="s">
        <v>88</v>
      </c>
      <c r="G11347" t="s">
        <v>88</v>
      </c>
      <c r="H11347" t="s">
        <v>92</v>
      </c>
    </row>
    <row r="11348" spans="1:8" x14ac:dyDescent="0.25">
      <c r="A11348" t="s">
        <v>343</v>
      </c>
      <c r="B11348" t="s">
        <v>9256</v>
      </c>
      <c r="C11348" t="s">
        <v>88</v>
      </c>
      <c r="D11348" t="s">
        <v>9213</v>
      </c>
      <c r="E11348" t="s">
        <v>814</v>
      </c>
      <c r="F11348" t="s">
        <v>88</v>
      </c>
      <c r="G11348" t="s">
        <v>88</v>
      </c>
      <c r="H11348" t="s">
        <v>92</v>
      </c>
    </row>
    <row r="11349" spans="1:8" x14ac:dyDescent="0.25">
      <c r="A11349" t="s">
        <v>343</v>
      </c>
      <c r="B11349" t="s">
        <v>9257</v>
      </c>
      <c r="C11349" t="s">
        <v>88</v>
      </c>
      <c r="D11349" t="s">
        <v>9215</v>
      </c>
      <c r="E11349" t="s">
        <v>4579</v>
      </c>
      <c r="F11349" t="s">
        <v>88</v>
      </c>
      <c r="G11349" t="s">
        <v>88</v>
      </c>
      <c r="H11349" t="s">
        <v>92</v>
      </c>
    </row>
    <row r="11350" spans="1:8" x14ac:dyDescent="0.25">
      <c r="A11350" t="s">
        <v>343</v>
      </c>
      <c r="B11350" t="s">
        <v>4281</v>
      </c>
      <c r="C11350" t="s">
        <v>88</v>
      </c>
      <c r="D11350" t="s">
        <v>9216</v>
      </c>
      <c r="E11350" t="s">
        <v>5524</v>
      </c>
      <c r="F11350" t="s">
        <v>88</v>
      </c>
      <c r="G11350" t="s">
        <v>88</v>
      </c>
      <c r="H11350" t="s">
        <v>92</v>
      </c>
    </row>
    <row r="11351" spans="1:8" x14ac:dyDescent="0.25">
      <c r="A11351" t="s">
        <v>343</v>
      </c>
      <c r="B11351" t="s">
        <v>4270</v>
      </c>
      <c r="C11351" t="s">
        <v>88</v>
      </c>
      <c r="D11351" t="s">
        <v>9217</v>
      </c>
      <c r="E11351" t="s">
        <v>814</v>
      </c>
      <c r="F11351" t="s">
        <v>88</v>
      </c>
      <c r="G11351" t="s">
        <v>88</v>
      </c>
      <c r="H11351" t="s">
        <v>92</v>
      </c>
    </row>
    <row r="11352" spans="1:8" x14ac:dyDescent="0.25">
      <c r="A11352" t="s">
        <v>343</v>
      </c>
      <c r="B11352" t="s">
        <v>4287</v>
      </c>
      <c r="C11352" t="s">
        <v>88</v>
      </c>
      <c r="D11352" t="s">
        <v>9218</v>
      </c>
      <c r="E11352" t="s">
        <v>4510</v>
      </c>
      <c r="F11352" t="s">
        <v>88</v>
      </c>
      <c r="G11352" t="s">
        <v>88</v>
      </c>
      <c r="H11352" t="s">
        <v>92</v>
      </c>
    </row>
    <row r="11353" spans="1:8" x14ac:dyDescent="0.25">
      <c r="A11353" t="s">
        <v>343</v>
      </c>
      <c r="B11353" t="s">
        <v>4289</v>
      </c>
      <c r="C11353" t="s">
        <v>88</v>
      </c>
      <c r="D11353" t="s">
        <v>9219</v>
      </c>
      <c r="E11353" t="s">
        <v>2490</v>
      </c>
      <c r="F11353" t="s">
        <v>88</v>
      </c>
      <c r="G11353" t="s">
        <v>88</v>
      </c>
      <c r="H11353" t="s">
        <v>92</v>
      </c>
    </row>
    <row r="11354" spans="1:8" x14ac:dyDescent="0.25">
      <c r="A11354" t="s">
        <v>343</v>
      </c>
      <c r="B11354" t="s">
        <v>9258</v>
      </c>
      <c r="C11354" t="s">
        <v>88</v>
      </c>
      <c r="D11354" t="s">
        <v>9221</v>
      </c>
      <c r="E11354" t="s">
        <v>4510</v>
      </c>
      <c r="F11354" t="s">
        <v>88</v>
      </c>
      <c r="G11354" t="s">
        <v>88</v>
      </c>
      <c r="H11354" t="s">
        <v>92</v>
      </c>
    </row>
    <row r="11355" spans="1:8" x14ac:dyDescent="0.25">
      <c r="A11355" t="s">
        <v>343</v>
      </c>
      <c r="B11355" t="s">
        <v>4274</v>
      </c>
      <c r="C11355" t="s">
        <v>88</v>
      </c>
      <c r="D11355" t="s">
        <v>9222</v>
      </c>
      <c r="E11355" t="s">
        <v>5524</v>
      </c>
      <c r="F11355" t="s">
        <v>88</v>
      </c>
      <c r="G11355" t="s">
        <v>88</v>
      </c>
      <c r="H11355" t="s">
        <v>92</v>
      </c>
    </row>
    <row r="11356" spans="1:8" x14ac:dyDescent="0.25">
      <c r="A11356" t="s">
        <v>343</v>
      </c>
      <c r="B11356" t="s">
        <v>9259</v>
      </c>
      <c r="C11356" t="s">
        <v>88</v>
      </c>
      <c r="D11356" t="s">
        <v>9223</v>
      </c>
      <c r="E11356" t="s">
        <v>1171</v>
      </c>
      <c r="F11356" t="s">
        <v>88</v>
      </c>
      <c r="G11356" t="s">
        <v>88</v>
      </c>
      <c r="H11356" t="s">
        <v>92</v>
      </c>
    </row>
    <row r="11357" spans="1:8" x14ac:dyDescent="0.25">
      <c r="A11357" t="s">
        <v>343</v>
      </c>
      <c r="B11357" t="s">
        <v>9260</v>
      </c>
      <c r="C11357" t="s">
        <v>88</v>
      </c>
      <c r="D11357" t="s">
        <v>9225</v>
      </c>
      <c r="E11357" t="s">
        <v>1171</v>
      </c>
      <c r="F11357" t="s">
        <v>88</v>
      </c>
      <c r="G11357" t="s">
        <v>88</v>
      </c>
      <c r="H11357" t="s">
        <v>92</v>
      </c>
    </row>
    <row r="11358" spans="1:8" x14ac:dyDescent="0.25">
      <c r="A11358" t="s">
        <v>343</v>
      </c>
      <c r="B11358" t="s">
        <v>4279</v>
      </c>
      <c r="C11358" t="s">
        <v>88</v>
      </c>
      <c r="D11358" t="s">
        <v>9174</v>
      </c>
      <c r="E11358" t="s">
        <v>1135</v>
      </c>
      <c r="F11358" t="s">
        <v>88</v>
      </c>
      <c r="G11358" t="s">
        <v>88</v>
      </c>
      <c r="H11358" t="s">
        <v>92</v>
      </c>
    </row>
    <row r="11359" spans="1:8" x14ac:dyDescent="0.25">
      <c r="A11359" t="s">
        <v>343</v>
      </c>
      <c r="B11359" t="s">
        <v>4284</v>
      </c>
      <c r="C11359" t="s">
        <v>88</v>
      </c>
      <c r="D11359" t="s">
        <v>9226</v>
      </c>
      <c r="E11359" t="s">
        <v>4510</v>
      </c>
      <c r="F11359" t="s">
        <v>88</v>
      </c>
      <c r="G11359" t="s">
        <v>88</v>
      </c>
      <c r="H11359" t="s">
        <v>92</v>
      </c>
    </row>
    <row r="11360" spans="1:8" x14ac:dyDescent="0.25">
      <c r="A11360" t="s">
        <v>343</v>
      </c>
      <c r="B11360" t="s">
        <v>9261</v>
      </c>
      <c r="C11360" t="s">
        <v>88</v>
      </c>
      <c r="D11360" t="s">
        <v>9227</v>
      </c>
      <c r="E11360" t="s">
        <v>1171</v>
      </c>
      <c r="F11360" t="s">
        <v>88</v>
      </c>
      <c r="G11360" t="s">
        <v>88</v>
      </c>
      <c r="H11360" t="s">
        <v>92</v>
      </c>
    </row>
    <row r="11361" spans="1:8" x14ac:dyDescent="0.25">
      <c r="A11361" t="s">
        <v>343</v>
      </c>
      <c r="B11361" t="s">
        <v>9262</v>
      </c>
      <c r="C11361" t="s">
        <v>88</v>
      </c>
      <c r="D11361" t="s">
        <v>9229</v>
      </c>
      <c r="E11361" t="s">
        <v>2490</v>
      </c>
      <c r="F11361" t="s">
        <v>88</v>
      </c>
      <c r="G11361" t="s">
        <v>88</v>
      </c>
      <c r="H11361" t="s">
        <v>92</v>
      </c>
    </row>
    <row r="11362" spans="1:8" x14ac:dyDescent="0.25">
      <c r="A11362" t="s">
        <v>343</v>
      </c>
      <c r="B11362" t="s">
        <v>9263</v>
      </c>
      <c r="C11362" t="s">
        <v>88</v>
      </c>
      <c r="D11362" t="s">
        <v>9231</v>
      </c>
      <c r="E11362" t="s">
        <v>1135</v>
      </c>
      <c r="F11362" t="s">
        <v>88</v>
      </c>
      <c r="G11362" t="s">
        <v>88</v>
      </c>
      <c r="H11362" t="s">
        <v>92</v>
      </c>
    </row>
    <row r="11363" spans="1:8" x14ac:dyDescent="0.25">
      <c r="A11363" t="s">
        <v>343</v>
      </c>
      <c r="B11363" t="s">
        <v>9264</v>
      </c>
      <c r="C11363" t="s">
        <v>88</v>
      </c>
      <c r="D11363" t="s">
        <v>9204</v>
      </c>
      <c r="E11363" t="s">
        <v>1171</v>
      </c>
      <c r="F11363" t="s">
        <v>88</v>
      </c>
      <c r="G11363" t="s">
        <v>88</v>
      </c>
      <c r="H11363" t="s">
        <v>92</v>
      </c>
    </row>
    <row r="11364" spans="1:8" x14ac:dyDescent="0.25">
      <c r="A11364" t="s">
        <v>343</v>
      </c>
      <c r="B11364" t="s">
        <v>9265</v>
      </c>
      <c r="C11364" t="s">
        <v>88</v>
      </c>
      <c r="D11364" t="s">
        <v>9206</v>
      </c>
      <c r="E11364" t="s">
        <v>1171</v>
      </c>
      <c r="F11364" t="s">
        <v>88</v>
      </c>
      <c r="G11364" t="s">
        <v>88</v>
      </c>
      <c r="H11364" t="s">
        <v>92</v>
      </c>
    </row>
    <row r="11365" spans="1:8" x14ac:dyDescent="0.25">
      <c r="A11365" t="s">
        <v>343</v>
      </c>
      <c r="B11365" t="s">
        <v>7293</v>
      </c>
      <c r="C11365" t="s">
        <v>88</v>
      </c>
      <c r="D11365" t="s">
        <v>9207</v>
      </c>
      <c r="E11365" t="s">
        <v>4297</v>
      </c>
      <c r="F11365" t="s">
        <v>88</v>
      </c>
      <c r="G11365" t="s">
        <v>88</v>
      </c>
      <c r="H11365" t="s">
        <v>92</v>
      </c>
    </row>
    <row r="11366" spans="1:8" x14ac:dyDescent="0.25">
      <c r="A11366" t="s">
        <v>343</v>
      </c>
      <c r="B11366" t="s">
        <v>4298</v>
      </c>
      <c r="C11366" t="s">
        <v>88</v>
      </c>
      <c r="D11366" t="s">
        <v>9208</v>
      </c>
      <c r="E11366" t="s">
        <v>1171</v>
      </c>
      <c r="F11366" t="s">
        <v>88</v>
      </c>
      <c r="G11366" t="s">
        <v>88</v>
      </c>
      <c r="H11366" t="s">
        <v>92</v>
      </c>
    </row>
    <row r="11367" spans="1:8" x14ac:dyDescent="0.25">
      <c r="A11367" t="s">
        <v>343</v>
      </c>
      <c r="B11367" t="s">
        <v>9266</v>
      </c>
      <c r="C11367" t="s">
        <v>88</v>
      </c>
      <c r="D11367" t="s">
        <v>9176</v>
      </c>
      <c r="E11367" t="s">
        <v>1171</v>
      </c>
      <c r="F11367" t="s">
        <v>88</v>
      </c>
      <c r="G11367" t="s">
        <v>88</v>
      </c>
      <c r="H11367" t="s">
        <v>92</v>
      </c>
    </row>
    <row r="11368" spans="1:8" x14ac:dyDescent="0.25">
      <c r="A11368" t="s">
        <v>343</v>
      </c>
      <c r="B11368" t="s">
        <v>9267</v>
      </c>
      <c r="C11368" t="s">
        <v>88</v>
      </c>
      <c r="D11368" t="s">
        <v>9211</v>
      </c>
      <c r="E11368" t="s">
        <v>1171</v>
      </c>
      <c r="F11368" t="s">
        <v>88</v>
      </c>
      <c r="G11368" t="s">
        <v>88</v>
      </c>
      <c r="H11368" t="s">
        <v>92</v>
      </c>
    </row>
    <row r="11369" spans="1:8" x14ac:dyDescent="0.25">
      <c r="A11369" t="s">
        <v>343</v>
      </c>
      <c r="B11369" t="s">
        <v>9268</v>
      </c>
      <c r="C11369" t="s">
        <v>88</v>
      </c>
      <c r="D11369" t="s">
        <v>9213</v>
      </c>
      <c r="E11369" t="s">
        <v>1171</v>
      </c>
      <c r="F11369" t="s">
        <v>88</v>
      </c>
      <c r="G11369" t="s">
        <v>88</v>
      </c>
      <c r="H11369" t="s">
        <v>92</v>
      </c>
    </row>
    <row r="11370" spans="1:8" x14ac:dyDescent="0.25">
      <c r="A11370" t="s">
        <v>343</v>
      </c>
      <c r="B11370" t="s">
        <v>9269</v>
      </c>
      <c r="C11370" t="s">
        <v>88</v>
      </c>
      <c r="D11370" t="s">
        <v>9215</v>
      </c>
      <c r="E11370" t="s">
        <v>4297</v>
      </c>
      <c r="F11370" t="s">
        <v>88</v>
      </c>
      <c r="G11370" t="s">
        <v>88</v>
      </c>
      <c r="H11370" t="s">
        <v>92</v>
      </c>
    </row>
    <row r="11371" spans="1:8" x14ac:dyDescent="0.25">
      <c r="A11371" t="s">
        <v>343</v>
      </c>
      <c r="B11371" t="s">
        <v>4292</v>
      </c>
      <c r="C11371" t="s">
        <v>88</v>
      </c>
      <c r="D11371" t="s">
        <v>9216</v>
      </c>
      <c r="E11371" t="s">
        <v>1135</v>
      </c>
      <c r="F11371" t="s">
        <v>88</v>
      </c>
      <c r="G11371" t="s">
        <v>88</v>
      </c>
      <c r="H11371" t="s">
        <v>92</v>
      </c>
    </row>
    <row r="11372" spans="1:8" x14ac:dyDescent="0.25">
      <c r="A11372" t="s">
        <v>343</v>
      </c>
      <c r="B11372" t="s">
        <v>4316</v>
      </c>
      <c r="C11372" t="s">
        <v>88</v>
      </c>
      <c r="D11372" t="s">
        <v>9217</v>
      </c>
      <c r="E11372" t="s">
        <v>1171</v>
      </c>
      <c r="F11372" t="s">
        <v>88</v>
      </c>
      <c r="G11372" t="s">
        <v>88</v>
      </c>
      <c r="H11372" t="s">
        <v>92</v>
      </c>
    </row>
    <row r="11373" spans="1:8" x14ac:dyDescent="0.25">
      <c r="A11373" t="s">
        <v>343</v>
      </c>
      <c r="B11373" t="s">
        <v>4320</v>
      </c>
      <c r="C11373" t="s">
        <v>88</v>
      </c>
      <c r="D11373" t="s">
        <v>9218</v>
      </c>
      <c r="E11373" t="s">
        <v>1171</v>
      </c>
      <c r="F11373" t="s">
        <v>88</v>
      </c>
      <c r="G11373" t="s">
        <v>88</v>
      </c>
      <c r="H11373" t="s">
        <v>92</v>
      </c>
    </row>
    <row r="11374" spans="1:8" x14ac:dyDescent="0.25">
      <c r="A11374" t="s">
        <v>343</v>
      </c>
      <c r="B11374" t="s">
        <v>4322</v>
      </c>
      <c r="C11374" t="s">
        <v>88</v>
      </c>
      <c r="D11374" t="s">
        <v>9219</v>
      </c>
      <c r="E11374" t="s">
        <v>1171</v>
      </c>
      <c r="F11374" t="s">
        <v>88</v>
      </c>
      <c r="G11374" t="s">
        <v>88</v>
      </c>
      <c r="H11374" t="s">
        <v>92</v>
      </c>
    </row>
    <row r="11375" spans="1:8" x14ac:dyDescent="0.25">
      <c r="A11375" t="s">
        <v>343</v>
      </c>
      <c r="B11375" t="s">
        <v>9270</v>
      </c>
      <c r="C11375" t="s">
        <v>88</v>
      </c>
      <c r="D11375" t="s">
        <v>9221</v>
      </c>
      <c r="E11375" t="s">
        <v>1171</v>
      </c>
      <c r="F11375" t="s">
        <v>88</v>
      </c>
      <c r="G11375" t="s">
        <v>88</v>
      </c>
      <c r="H11375" t="s">
        <v>92</v>
      </c>
    </row>
    <row r="11376" spans="1:8" x14ac:dyDescent="0.25">
      <c r="A11376" t="s">
        <v>343</v>
      </c>
      <c r="B11376" t="s">
        <v>4304</v>
      </c>
      <c r="C11376" t="s">
        <v>88</v>
      </c>
      <c r="D11376" t="s">
        <v>9222</v>
      </c>
      <c r="E11376" t="s">
        <v>1135</v>
      </c>
      <c r="F11376" t="s">
        <v>88</v>
      </c>
      <c r="G11376" t="s">
        <v>88</v>
      </c>
      <c r="H11376" t="s">
        <v>92</v>
      </c>
    </row>
    <row r="11377" spans="1:8" x14ac:dyDescent="0.25">
      <c r="A11377" t="s">
        <v>343</v>
      </c>
      <c r="B11377" t="s">
        <v>7732</v>
      </c>
      <c r="C11377" t="s">
        <v>88</v>
      </c>
      <c r="D11377" t="s">
        <v>9223</v>
      </c>
      <c r="E11377" t="s">
        <v>807</v>
      </c>
      <c r="F11377" t="s">
        <v>88</v>
      </c>
      <c r="G11377" t="s">
        <v>88</v>
      </c>
      <c r="H11377" t="s">
        <v>92</v>
      </c>
    </row>
    <row r="11378" spans="1:8" x14ac:dyDescent="0.25">
      <c r="A11378" t="s">
        <v>343</v>
      </c>
      <c r="B11378" t="s">
        <v>9271</v>
      </c>
      <c r="C11378" t="s">
        <v>88</v>
      </c>
      <c r="D11378" t="s">
        <v>9225</v>
      </c>
      <c r="E11378" t="s">
        <v>3179</v>
      </c>
      <c r="F11378" t="s">
        <v>88</v>
      </c>
      <c r="G11378" t="s">
        <v>88</v>
      </c>
      <c r="H11378" t="s">
        <v>92</v>
      </c>
    </row>
    <row r="11379" spans="1:8" x14ac:dyDescent="0.25">
      <c r="A11379" t="s">
        <v>343</v>
      </c>
      <c r="B11379" t="s">
        <v>4300</v>
      </c>
      <c r="C11379" t="s">
        <v>88</v>
      </c>
      <c r="D11379" t="s">
        <v>9174</v>
      </c>
      <c r="E11379" t="s">
        <v>1068</v>
      </c>
      <c r="F11379" t="s">
        <v>88</v>
      </c>
      <c r="G11379" t="s">
        <v>88</v>
      </c>
      <c r="H11379" t="s">
        <v>92</v>
      </c>
    </row>
    <row r="11380" spans="1:8" x14ac:dyDescent="0.25">
      <c r="A11380" t="s">
        <v>343</v>
      </c>
      <c r="B11380" t="s">
        <v>4314</v>
      </c>
      <c r="C11380" t="s">
        <v>88</v>
      </c>
      <c r="D11380" t="s">
        <v>9226</v>
      </c>
      <c r="E11380" t="s">
        <v>1171</v>
      </c>
      <c r="F11380" t="s">
        <v>88</v>
      </c>
      <c r="G11380" t="s">
        <v>88</v>
      </c>
      <c r="H11380" t="s">
        <v>92</v>
      </c>
    </row>
    <row r="11381" spans="1:8" x14ac:dyDescent="0.25">
      <c r="A11381" t="s">
        <v>343</v>
      </c>
      <c r="B11381" t="s">
        <v>9166</v>
      </c>
      <c r="C11381" t="s">
        <v>88</v>
      </c>
      <c r="D11381" t="s">
        <v>9227</v>
      </c>
      <c r="E11381" t="s">
        <v>807</v>
      </c>
      <c r="F11381" t="s">
        <v>88</v>
      </c>
      <c r="G11381" t="s">
        <v>88</v>
      </c>
      <c r="H11381" t="s">
        <v>92</v>
      </c>
    </row>
    <row r="11382" spans="1:8" x14ac:dyDescent="0.25">
      <c r="A11382" t="s">
        <v>343</v>
      </c>
      <c r="B11382" t="s">
        <v>9272</v>
      </c>
      <c r="C11382" t="s">
        <v>88</v>
      </c>
      <c r="D11382" t="s">
        <v>9229</v>
      </c>
      <c r="E11382" t="s">
        <v>1171</v>
      </c>
      <c r="F11382" t="s">
        <v>88</v>
      </c>
      <c r="G11382" t="s">
        <v>88</v>
      </c>
      <c r="H11382" t="s">
        <v>92</v>
      </c>
    </row>
    <row r="11383" spans="1:8" x14ac:dyDescent="0.25">
      <c r="A11383" t="s">
        <v>343</v>
      </c>
      <c r="B11383" t="s">
        <v>9273</v>
      </c>
      <c r="C11383" t="s">
        <v>88</v>
      </c>
      <c r="D11383" t="s">
        <v>9231</v>
      </c>
      <c r="E11383" t="s">
        <v>1717</v>
      </c>
      <c r="F11383" t="s">
        <v>88</v>
      </c>
      <c r="G11383" t="s">
        <v>88</v>
      </c>
      <c r="H11383" t="s">
        <v>92</v>
      </c>
    </row>
    <row r="11384" spans="1:8" x14ac:dyDescent="0.25">
      <c r="A11384" t="s">
        <v>343</v>
      </c>
      <c r="B11384" t="s">
        <v>3679</v>
      </c>
      <c r="C11384" t="s">
        <v>88</v>
      </c>
      <c r="D11384" t="s">
        <v>88</v>
      </c>
      <c r="E11384" t="s">
        <v>715</v>
      </c>
      <c r="F11384" t="s">
        <v>88</v>
      </c>
      <c r="G11384" t="s">
        <v>88</v>
      </c>
      <c r="H11384" t="s">
        <v>92</v>
      </c>
    </row>
    <row r="11385" spans="1:8" x14ac:dyDescent="0.25">
      <c r="A11385" t="s">
        <v>343</v>
      </c>
      <c r="B11385" t="s">
        <v>9274</v>
      </c>
      <c r="C11385" t="s">
        <v>88</v>
      </c>
      <c r="D11385" t="s">
        <v>88</v>
      </c>
      <c r="E11385" t="s">
        <v>937</v>
      </c>
      <c r="F11385" t="s">
        <v>88</v>
      </c>
      <c r="G11385" t="s">
        <v>88</v>
      </c>
      <c r="H11385" t="s">
        <v>92</v>
      </c>
    </row>
    <row r="11386" spans="1:8" x14ac:dyDescent="0.25">
      <c r="A11386" t="s">
        <v>343</v>
      </c>
      <c r="B11386" t="s">
        <v>3681</v>
      </c>
      <c r="C11386" t="s">
        <v>88</v>
      </c>
      <c r="D11386" t="s">
        <v>88</v>
      </c>
      <c r="E11386" t="s">
        <v>723</v>
      </c>
      <c r="F11386" t="s">
        <v>88</v>
      </c>
      <c r="G11386" t="s">
        <v>88</v>
      </c>
      <c r="H11386" t="s">
        <v>92</v>
      </c>
    </row>
    <row r="11387" spans="1:8" x14ac:dyDescent="0.25">
      <c r="A11387" t="s">
        <v>343</v>
      </c>
      <c r="B11387" t="s">
        <v>606</v>
      </c>
      <c r="C11387" t="s">
        <v>88</v>
      </c>
      <c r="D11387" t="s">
        <v>88</v>
      </c>
      <c r="E11387" t="s">
        <v>732</v>
      </c>
      <c r="F11387" t="s">
        <v>88</v>
      </c>
      <c r="G11387" t="s">
        <v>88</v>
      </c>
      <c r="H11387" t="s">
        <v>92</v>
      </c>
    </row>
    <row r="11388" spans="1:8" x14ac:dyDescent="0.25">
      <c r="A11388" t="s">
        <v>343</v>
      </c>
      <c r="B11388" t="s">
        <v>9275</v>
      </c>
      <c r="C11388" t="s">
        <v>88</v>
      </c>
      <c r="D11388" t="s">
        <v>88</v>
      </c>
      <c r="E11388" t="s">
        <v>780</v>
      </c>
      <c r="F11388" t="s">
        <v>88</v>
      </c>
      <c r="G11388" t="s">
        <v>88</v>
      </c>
      <c r="H11388" t="s">
        <v>92</v>
      </c>
    </row>
    <row r="11389" spans="1:8" x14ac:dyDescent="0.25">
      <c r="A11389" t="s">
        <v>343</v>
      </c>
      <c r="B11389" t="s">
        <v>7380</v>
      </c>
      <c r="C11389" t="s">
        <v>88</v>
      </c>
      <c r="D11389" t="s">
        <v>88</v>
      </c>
      <c r="E11389" t="s">
        <v>780</v>
      </c>
      <c r="F11389" t="s">
        <v>88</v>
      </c>
      <c r="G11389" t="s">
        <v>88</v>
      </c>
      <c r="H11389" t="s">
        <v>92</v>
      </c>
    </row>
    <row r="11390" spans="1:8" x14ac:dyDescent="0.25">
      <c r="A11390" t="s">
        <v>343</v>
      </c>
      <c r="B11390" t="s">
        <v>4329</v>
      </c>
      <c r="C11390" t="s">
        <v>88</v>
      </c>
      <c r="D11390" t="s">
        <v>88</v>
      </c>
      <c r="E11390" t="s">
        <v>1594</v>
      </c>
      <c r="F11390" t="s">
        <v>88</v>
      </c>
      <c r="G11390" t="s">
        <v>88</v>
      </c>
      <c r="H11390" t="s">
        <v>92</v>
      </c>
    </row>
    <row r="11391" spans="1:8" x14ac:dyDescent="0.25">
      <c r="A11391" t="s">
        <v>343</v>
      </c>
      <c r="B11391" t="s">
        <v>9285</v>
      </c>
      <c r="C11391" t="s">
        <v>88</v>
      </c>
      <c r="D11391" t="s">
        <v>88</v>
      </c>
      <c r="E11391" t="s">
        <v>791</v>
      </c>
      <c r="F11391" t="s">
        <v>88</v>
      </c>
      <c r="G11391" t="s">
        <v>88</v>
      </c>
      <c r="H11391" t="s">
        <v>92</v>
      </c>
    </row>
    <row r="11392" spans="1:8" x14ac:dyDescent="0.25">
      <c r="A11392" t="s">
        <v>343</v>
      </c>
      <c r="B11392" t="s">
        <v>8778</v>
      </c>
      <c r="C11392" t="s">
        <v>88</v>
      </c>
      <c r="D11392" t="s">
        <v>88</v>
      </c>
      <c r="E11392" t="s">
        <v>738</v>
      </c>
      <c r="F11392" t="s">
        <v>88</v>
      </c>
      <c r="G11392" t="s">
        <v>88</v>
      </c>
      <c r="H11392" t="s">
        <v>92</v>
      </c>
    </row>
    <row r="11393" spans="1:8" x14ac:dyDescent="0.25">
      <c r="A11393" t="s">
        <v>343</v>
      </c>
      <c r="B11393" t="s">
        <v>701</v>
      </c>
      <c r="C11393" t="s">
        <v>88</v>
      </c>
      <c r="D11393" t="s">
        <v>88</v>
      </c>
      <c r="E11393" t="s">
        <v>732</v>
      </c>
      <c r="F11393" t="s">
        <v>88</v>
      </c>
      <c r="G11393" t="s">
        <v>88</v>
      </c>
      <c r="H11393" t="s">
        <v>92</v>
      </c>
    </row>
    <row r="11394" spans="1:8" x14ac:dyDescent="0.25">
      <c r="A11394" t="s">
        <v>343</v>
      </c>
      <c r="B11394" t="s">
        <v>703</v>
      </c>
      <c r="C11394" t="s">
        <v>88</v>
      </c>
      <c r="D11394" t="s">
        <v>88</v>
      </c>
      <c r="E11394" t="s">
        <v>732</v>
      </c>
      <c r="F11394" t="s">
        <v>88</v>
      </c>
      <c r="G11394" t="s">
        <v>88</v>
      </c>
      <c r="H11394" t="s">
        <v>92</v>
      </c>
    </row>
    <row r="11395" spans="1:8" x14ac:dyDescent="0.25">
      <c r="A11395" t="s">
        <v>343</v>
      </c>
      <c r="B11395" t="s">
        <v>704</v>
      </c>
      <c r="C11395" t="s">
        <v>88</v>
      </c>
      <c r="D11395" t="s">
        <v>88</v>
      </c>
      <c r="E11395" t="s">
        <v>732</v>
      </c>
      <c r="F11395" t="s">
        <v>88</v>
      </c>
      <c r="G11395" t="s">
        <v>88</v>
      </c>
      <c r="H11395" t="s">
        <v>92</v>
      </c>
    </row>
    <row r="11396" spans="1:8" x14ac:dyDescent="0.25">
      <c r="A11396" t="s">
        <v>343</v>
      </c>
      <c r="B11396" t="s">
        <v>705</v>
      </c>
      <c r="C11396" t="s">
        <v>88</v>
      </c>
      <c r="D11396" t="s">
        <v>88</v>
      </c>
      <c r="E11396" t="s">
        <v>732</v>
      </c>
      <c r="F11396" t="s">
        <v>88</v>
      </c>
      <c r="G11396" t="s">
        <v>88</v>
      </c>
      <c r="H11396" t="s">
        <v>92</v>
      </c>
    </row>
    <row r="11397" spans="1:8" x14ac:dyDescent="0.25">
      <c r="A11397" t="s">
        <v>343</v>
      </c>
      <c r="B11397" t="s">
        <v>706</v>
      </c>
      <c r="C11397" t="s">
        <v>88</v>
      </c>
      <c r="D11397" t="s">
        <v>88</v>
      </c>
      <c r="E11397" t="s">
        <v>732</v>
      </c>
      <c r="F11397" t="s">
        <v>88</v>
      </c>
      <c r="G11397" t="s">
        <v>88</v>
      </c>
      <c r="H11397" t="s">
        <v>92</v>
      </c>
    </row>
    <row r="11398" spans="1:8" x14ac:dyDescent="0.25">
      <c r="A11398" t="s">
        <v>343</v>
      </c>
      <c r="B11398" t="s">
        <v>707</v>
      </c>
      <c r="C11398" t="s">
        <v>88</v>
      </c>
      <c r="D11398" t="s">
        <v>88</v>
      </c>
      <c r="E11398" t="s">
        <v>732</v>
      </c>
      <c r="F11398" t="s">
        <v>88</v>
      </c>
      <c r="G11398" t="s">
        <v>88</v>
      </c>
      <c r="H11398" t="s">
        <v>92</v>
      </c>
    </row>
    <row r="11399" spans="1:8" x14ac:dyDescent="0.25">
      <c r="A11399" t="s">
        <v>343</v>
      </c>
      <c r="B11399" t="s">
        <v>9282</v>
      </c>
      <c r="C11399" t="s">
        <v>88</v>
      </c>
      <c r="D11399" t="s">
        <v>88</v>
      </c>
      <c r="E11399" t="s">
        <v>732</v>
      </c>
      <c r="F11399" t="s">
        <v>88</v>
      </c>
      <c r="G11399" t="s">
        <v>88</v>
      </c>
      <c r="H11399" t="s">
        <v>92</v>
      </c>
    </row>
    <row r="11400" spans="1:8" x14ac:dyDescent="0.25">
      <c r="A11400" t="s">
        <v>343</v>
      </c>
      <c r="B11400" t="s">
        <v>733</v>
      </c>
      <c r="C11400" t="s">
        <v>88</v>
      </c>
      <c r="D11400" t="s">
        <v>88</v>
      </c>
      <c r="E11400" t="s">
        <v>732</v>
      </c>
      <c r="F11400" t="s">
        <v>88</v>
      </c>
      <c r="G11400" t="s">
        <v>88</v>
      </c>
      <c r="H11400" t="s">
        <v>92</v>
      </c>
    </row>
    <row r="11401" spans="1:8" x14ac:dyDescent="0.25">
      <c r="A11401" t="s">
        <v>343</v>
      </c>
      <c r="B11401" t="s">
        <v>708</v>
      </c>
      <c r="C11401" t="s">
        <v>88</v>
      </c>
      <c r="D11401" t="s">
        <v>88</v>
      </c>
      <c r="E11401" t="s">
        <v>732</v>
      </c>
      <c r="F11401" t="s">
        <v>88</v>
      </c>
      <c r="G11401" t="s">
        <v>88</v>
      </c>
      <c r="H11401" t="s">
        <v>92</v>
      </c>
    </row>
    <row r="11402" spans="1:8" x14ac:dyDescent="0.25">
      <c r="A11402" t="s">
        <v>343</v>
      </c>
      <c r="B11402" t="s">
        <v>618</v>
      </c>
      <c r="C11402" t="s">
        <v>88</v>
      </c>
      <c r="D11402" t="s">
        <v>88</v>
      </c>
      <c r="E11402" t="s">
        <v>1978</v>
      </c>
      <c r="F11402" t="s">
        <v>88</v>
      </c>
      <c r="G11402" t="s">
        <v>88</v>
      </c>
      <c r="H11402" t="s">
        <v>92</v>
      </c>
    </row>
    <row r="11403" spans="1:8" x14ac:dyDescent="0.25">
      <c r="A11403" t="s">
        <v>343</v>
      </c>
      <c r="B11403" t="s">
        <v>620</v>
      </c>
      <c r="C11403" t="s">
        <v>88</v>
      </c>
      <c r="D11403" t="s">
        <v>88</v>
      </c>
      <c r="E11403" t="s">
        <v>710</v>
      </c>
      <c r="F11403" t="s">
        <v>88</v>
      </c>
      <c r="G11403" t="s">
        <v>88</v>
      </c>
      <c r="H11403" t="s">
        <v>92</v>
      </c>
    </row>
    <row r="11404" spans="1:8" x14ac:dyDescent="0.25">
      <c r="A11404" t="s">
        <v>343</v>
      </c>
      <c r="B11404" t="s">
        <v>622</v>
      </c>
      <c r="C11404" t="s">
        <v>88</v>
      </c>
      <c r="D11404" t="s">
        <v>88</v>
      </c>
      <c r="E11404" t="s">
        <v>848</v>
      </c>
      <c r="F11404" t="s">
        <v>88</v>
      </c>
      <c r="G11404" t="s">
        <v>88</v>
      </c>
      <c r="H11404" t="s">
        <v>92</v>
      </c>
    </row>
    <row r="11405" spans="1:8" x14ac:dyDescent="0.25">
      <c r="A11405" t="s">
        <v>343</v>
      </c>
      <c r="B11405" t="s">
        <v>623</v>
      </c>
      <c r="C11405" t="s">
        <v>88</v>
      </c>
      <c r="D11405" t="s">
        <v>88</v>
      </c>
      <c r="E11405" t="s">
        <v>713</v>
      </c>
      <c r="F11405" t="s">
        <v>88</v>
      </c>
      <c r="G11405" t="s">
        <v>88</v>
      </c>
      <c r="H11405" t="s">
        <v>92</v>
      </c>
    </row>
    <row r="11406" spans="1:8" x14ac:dyDescent="0.25">
      <c r="A11406" t="s">
        <v>343</v>
      </c>
      <c r="B11406" t="s">
        <v>714</v>
      </c>
      <c r="C11406" t="s">
        <v>88</v>
      </c>
      <c r="D11406" t="s">
        <v>88</v>
      </c>
      <c r="E11406" t="s">
        <v>791</v>
      </c>
      <c r="F11406" t="s">
        <v>88</v>
      </c>
      <c r="G11406" t="s">
        <v>88</v>
      </c>
      <c r="H11406" t="s">
        <v>92</v>
      </c>
    </row>
    <row r="11407" spans="1:8" x14ac:dyDescent="0.25">
      <c r="A11407" t="s">
        <v>343</v>
      </c>
      <c r="B11407" t="s">
        <v>998</v>
      </c>
      <c r="C11407" t="s">
        <v>88</v>
      </c>
      <c r="D11407" t="s">
        <v>88</v>
      </c>
      <c r="E11407" t="s">
        <v>791</v>
      </c>
      <c r="F11407" t="s">
        <v>88</v>
      </c>
      <c r="G11407" t="s">
        <v>88</v>
      </c>
      <c r="H11407" t="s">
        <v>92</v>
      </c>
    </row>
    <row r="11408" spans="1:8" x14ac:dyDescent="0.25">
      <c r="A11408" t="s">
        <v>343</v>
      </c>
      <c r="B11408" t="s">
        <v>1612</v>
      </c>
      <c r="C11408" t="s">
        <v>88</v>
      </c>
      <c r="D11408" t="s">
        <v>88</v>
      </c>
      <c r="E11408" t="s">
        <v>735</v>
      </c>
      <c r="F11408" t="s">
        <v>88</v>
      </c>
      <c r="G11408" t="s">
        <v>88</v>
      </c>
      <c r="H11408" t="s">
        <v>92</v>
      </c>
    </row>
    <row r="11409" spans="1:8" x14ac:dyDescent="0.25">
      <c r="A11409" t="s">
        <v>343</v>
      </c>
      <c r="B11409" t="s">
        <v>2579</v>
      </c>
      <c r="C11409" t="s">
        <v>88</v>
      </c>
      <c r="D11409" t="s">
        <v>88</v>
      </c>
      <c r="E11409" t="s">
        <v>735</v>
      </c>
      <c r="F11409" t="s">
        <v>88</v>
      </c>
      <c r="G11409" t="s">
        <v>88</v>
      </c>
      <c r="H11409" t="s">
        <v>92</v>
      </c>
    </row>
    <row r="11410" spans="1:8" x14ac:dyDescent="0.25">
      <c r="A11410" t="s">
        <v>343</v>
      </c>
      <c r="B11410" t="s">
        <v>9283</v>
      </c>
      <c r="C11410" t="s">
        <v>88</v>
      </c>
      <c r="D11410" t="s">
        <v>88</v>
      </c>
      <c r="E11410" t="s">
        <v>735</v>
      </c>
      <c r="F11410" t="s">
        <v>88</v>
      </c>
      <c r="G11410" t="s">
        <v>88</v>
      </c>
      <c r="H11410" t="s">
        <v>92</v>
      </c>
    </row>
    <row r="11411" spans="1:8" x14ac:dyDescent="0.25">
      <c r="A11411" t="s">
        <v>343</v>
      </c>
      <c r="B11411" t="s">
        <v>2573</v>
      </c>
      <c r="C11411" t="s">
        <v>88</v>
      </c>
      <c r="D11411" t="s">
        <v>88</v>
      </c>
      <c r="E11411" t="s">
        <v>735</v>
      </c>
      <c r="F11411" t="s">
        <v>88</v>
      </c>
      <c r="G11411" t="s">
        <v>88</v>
      </c>
      <c r="H11411" t="s">
        <v>92</v>
      </c>
    </row>
    <row r="11412" spans="1:8" x14ac:dyDescent="0.25">
      <c r="A11412" t="s">
        <v>343</v>
      </c>
      <c r="B11412" t="s">
        <v>625</v>
      </c>
      <c r="C11412" t="s">
        <v>88</v>
      </c>
      <c r="D11412" t="s">
        <v>88</v>
      </c>
      <c r="E11412" t="s">
        <v>626</v>
      </c>
      <c r="F11412" t="s">
        <v>88</v>
      </c>
      <c r="G11412" t="s">
        <v>88</v>
      </c>
      <c r="H11412" t="s">
        <v>92</v>
      </c>
    </row>
    <row r="11413" spans="1:8" x14ac:dyDescent="0.25">
      <c r="A11413" t="s">
        <v>344</v>
      </c>
      <c r="B11413" t="s">
        <v>7547</v>
      </c>
      <c r="C11413" t="s">
        <v>88</v>
      </c>
      <c r="D11413" t="s">
        <v>7454</v>
      </c>
      <c r="E11413" t="s">
        <v>3593</v>
      </c>
      <c r="F11413" t="s">
        <v>88</v>
      </c>
      <c r="G11413" t="s">
        <v>88</v>
      </c>
      <c r="H11413" t="s">
        <v>92</v>
      </c>
    </row>
    <row r="11414" spans="1:8" x14ac:dyDescent="0.25">
      <c r="A11414" t="s">
        <v>344</v>
      </c>
      <c r="B11414" t="s">
        <v>9286</v>
      </c>
      <c r="C11414" t="s">
        <v>88</v>
      </c>
      <c r="D11414" t="s">
        <v>9287</v>
      </c>
      <c r="E11414" t="s">
        <v>836</v>
      </c>
      <c r="F11414" t="s">
        <v>88</v>
      </c>
      <c r="G11414" t="s">
        <v>88</v>
      </c>
      <c r="H11414" t="s">
        <v>92</v>
      </c>
    </row>
    <row r="11415" spans="1:8" x14ac:dyDescent="0.25">
      <c r="A11415" t="s">
        <v>344</v>
      </c>
      <c r="B11415" t="s">
        <v>8863</v>
      </c>
      <c r="C11415" t="s">
        <v>88</v>
      </c>
      <c r="D11415" t="s">
        <v>4176</v>
      </c>
      <c r="E11415" t="s">
        <v>820</v>
      </c>
      <c r="F11415" t="s">
        <v>88</v>
      </c>
      <c r="G11415" t="s">
        <v>88</v>
      </c>
      <c r="H11415" t="s">
        <v>92</v>
      </c>
    </row>
    <row r="11416" spans="1:8" x14ac:dyDescent="0.25">
      <c r="A11416" t="s">
        <v>344</v>
      </c>
      <c r="B11416" t="s">
        <v>9209</v>
      </c>
      <c r="C11416" t="s">
        <v>88</v>
      </c>
      <c r="D11416" t="s">
        <v>9176</v>
      </c>
      <c r="E11416" t="s">
        <v>673</v>
      </c>
      <c r="F11416" t="s">
        <v>88</v>
      </c>
      <c r="G11416" t="s">
        <v>88</v>
      </c>
      <c r="H11416" t="s">
        <v>92</v>
      </c>
    </row>
    <row r="11417" spans="1:8" x14ac:dyDescent="0.25">
      <c r="A11417" t="s">
        <v>344</v>
      </c>
      <c r="B11417" t="s">
        <v>4172</v>
      </c>
      <c r="C11417" t="s">
        <v>88</v>
      </c>
      <c r="D11417" t="s">
        <v>9186</v>
      </c>
      <c r="E11417" t="s">
        <v>844</v>
      </c>
      <c r="F11417" t="s">
        <v>88</v>
      </c>
      <c r="G11417" t="s">
        <v>88</v>
      </c>
      <c r="H11417" t="s">
        <v>92</v>
      </c>
    </row>
    <row r="11418" spans="1:8" x14ac:dyDescent="0.25">
      <c r="A11418" t="s">
        <v>344</v>
      </c>
      <c r="B11418" t="s">
        <v>7547</v>
      </c>
      <c r="C11418" t="s">
        <v>88</v>
      </c>
      <c r="D11418" t="s">
        <v>7454</v>
      </c>
      <c r="E11418" t="s">
        <v>3593</v>
      </c>
      <c r="F11418" t="s">
        <v>88</v>
      </c>
      <c r="G11418" t="s">
        <v>88</v>
      </c>
      <c r="H11418" t="s">
        <v>92</v>
      </c>
    </row>
    <row r="11419" spans="1:8" x14ac:dyDescent="0.25">
      <c r="A11419" t="s">
        <v>344</v>
      </c>
      <c r="B11419" t="s">
        <v>9288</v>
      </c>
      <c r="C11419" t="s">
        <v>88</v>
      </c>
      <c r="D11419" t="s">
        <v>9289</v>
      </c>
      <c r="E11419" t="s">
        <v>836</v>
      </c>
      <c r="F11419" t="s">
        <v>88</v>
      </c>
      <c r="G11419" t="s">
        <v>88</v>
      </c>
      <c r="H11419" t="s">
        <v>92</v>
      </c>
    </row>
    <row r="11420" spans="1:8" x14ac:dyDescent="0.25">
      <c r="A11420" t="s">
        <v>344</v>
      </c>
      <c r="B11420" t="s">
        <v>9290</v>
      </c>
      <c r="C11420" t="s">
        <v>88</v>
      </c>
      <c r="D11420" t="s">
        <v>9291</v>
      </c>
      <c r="E11420" t="s">
        <v>4397</v>
      </c>
      <c r="F11420" t="s">
        <v>88</v>
      </c>
      <c r="G11420" t="s">
        <v>88</v>
      </c>
      <c r="H11420" t="s">
        <v>92</v>
      </c>
    </row>
    <row r="11421" spans="1:8" x14ac:dyDescent="0.25">
      <c r="A11421" t="s">
        <v>344</v>
      </c>
      <c r="B11421" t="s">
        <v>4156</v>
      </c>
      <c r="C11421" t="s">
        <v>88</v>
      </c>
      <c r="D11421" t="s">
        <v>9292</v>
      </c>
      <c r="E11421" t="s">
        <v>902</v>
      </c>
      <c r="F11421" t="s">
        <v>88</v>
      </c>
      <c r="G11421" t="s">
        <v>88</v>
      </c>
      <c r="H11421" t="s">
        <v>92</v>
      </c>
    </row>
    <row r="11422" spans="1:8" x14ac:dyDescent="0.25">
      <c r="A11422" t="s">
        <v>344</v>
      </c>
      <c r="B11422" t="s">
        <v>8863</v>
      </c>
      <c r="C11422" t="s">
        <v>88</v>
      </c>
      <c r="D11422" t="s">
        <v>4176</v>
      </c>
      <c r="E11422" t="s">
        <v>820</v>
      </c>
      <c r="F11422" t="s">
        <v>88</v>
      </c>
      <c r="G11422" t="s">
        <v>88</v>
      </c>
      <c r="H11422" t="s">
        <v>92</v>
      </c>
    </row>
    <row r="11423" spans="1:8" x14ac:dyDescent="0.25">
      <c r="A11423" t="s">
        <v>344</v>
      </c>
      <c r="B11423" t="s">
        <v>9286</v>
      </c>
      <c r="C11423" t="s">
        <v>88</v>
      </c>
      <c r="D11423" t="s">
        <v>9287</v>
      </c>
      <c r="E11423" t="s">
        <v>836</v>
      </c>
      <c r="F11423" t="s">
        <v>88</v>
      </c>
      <c r="G11423" t="s">
        <v>88</v>
      </c>
      <c r="H11423" t="s">
        <v>92</v>
      </c>
    </row>
    <row r="11424" spans="1:8" x14ac:dyDescent="0.25">
      <c r="A11424" t="s">
        <v>344</v>
      </c>
      <c r="B11424" t="s">
        <v>7246</v>
      </c>
      <c r="C11424" t="s">
        <v>88</v>
      </c>
      <c r="D11424" t="s">
        <v>9293</v>
      </c>
      <c r="E11424" t="s">
        <v>1153</v>
      </c>
      <c r="F11424" t="s">
        <v>88</v>
      </c>
      <c r="G11424" t="s">
        <v>88</v>
      </c>
      <c r="H11424" t="s">
        <v>92</v>
      </c>
    </row>
    <row r="11425" spans="1:8" x14ac:dyDescent="0.25">
      <c r="A11425" t="s">
        <v>344</v>
      </c>
      <c r="B11425" t="s">
        <v>9172</v>
      </c>
      <c r="C11425" t="s">
        <v>88</v>
      </c>
      <c r="D11425" t="s">
        <v>9173</v>
      </c>
      <c r="E11425" t="s">
        <v>836</v>
      </c>
      <c r="F11425" t="s">
        <v>88</v>
      </c>
      <c r="G11425" t="s">
        <v>88</v>
      </c>
      <c r="H11425" t="s">
        <v>92</v>
      </c>
    </row>
    <row r="11426" spans="1:8" x14ac:dyDescent="0.25">
      <c r="A11426" t="s">
        <v>344</v>
      </c>
      <c r="B11426" t="s">
        <v>4172</v>
      </c>
      <c r="C11426" t="s">
        <v>88</v>
      </c>
      <c r="D11426" t="s">
        <v>9186</v>
      </c>
      <c r="E11426" t="s">
        <v>844</v>
      </c>
      <c r="F11426" t="s">
        <v>88</v>
      </c>
      <c r="G11426" t="s">
        <v>88</v>
      </c>
      <c r="H11426" t="s">
        <v>92</v>
      </c>
    </row>
    <row r="11427" spans="1:8" x14ac:dyDescent="0.25">
      <c r="A11427" t="s">
        <v>344</v>
      </c>
      <c r="B11427" t="s">
        <v>630</v>
      </c>
      <c r="C11427" t="s">
        <v>88</v>
      </c>
      <c r="D11427" t="s">
        <v>9294</v>
      </c>
      <c r="E11427" t="s">
        <v>820</v>
      </c>
      <c r="F11427" t="s">
        <v>88</v>
      </c>
      <c r="G11427" t="s">
        <v>88</v>
      </c>
      <c r="H11427" t="s">
        <v>92</v>
      </c>
    </row>
    <row r="11428" spans="1:8" x14ac:dyDescent="0.25">
      <c r="A11428" t="s">
        <v>344</v>
      </c>
      <c r="B11428" t="s">
        <v>9295</v>
      </c>
      <c r="C11428" t="s">
        <v>88</v>
      </c>
      <c r="D11428" t="s">
        <v>9296</v>
      </c>
      <c r="E11428" t="s">
        <v>836</v>
      </c>
      <c r="F11428" t="s">
        <v>88</v>
      </c>
      <c r="G11428" t="s">
        <v>88</v>
      </c>
      <c r="H11428" t="s">
        <v>92</v>
      </c>
    </row>
    <row r="11429" spans="1:8" x14ac:dyDescent="0.25">
      <c r="A11429" t="s">
        <v>344</v>
      </c>
      <c r="B11429" t="s">
        <v>9203</v>
      </c>
      <c r="C11429" t="s">
        <v>88</v>
      </c>
      <c r="D11429" t="s">
        <v>9204</v>
      </c>
      <c r="E11429" t="s">
        <v>673</v>
      </c>
      <c r="F11429" t="s">
        <v>88</v>
      </c>
      <c r="G11429" t="s">
        <v>88</v>
      </c>
      <c r="H11429" t="s">
        <v>92</v>
      </c>
    </row>
    <row r="11430" spans="1:8" x14ac:dyDescent="0.25">
      <c r="A11430" t="s">
        <v>344</v>
      </c>
      <c r="B11430" t="s">
        <v>9205</v>
      </c>
      <c r="C11430" t="s">
        <v>88</v>
      </c>
      <c r="D11430" t="s">
        <v>9206</v>
      </c>
      <c r="E11430" t="s">
        <v>673</v>
      </c>
      <c r="F11430" t="s">
        <v>88</v>
      </c>
      <c r="G11430" t="s">
        <v>88</v>
      </c>
      <c r="H11430" t="s">
        <v>92</v>
      </c>
    </row>
    <row r="11431" spans="1:8" x14ac:dyDescent="0.25">
      <c r="A11431" t="s">
        <v>344</v>
      </c>
      <c r="B11431" t="s">
        <v>7258</v>
      </c>
      <c r="C11431" t="s">
        <v>88</v>
      </c>
      <c r="D11431" t="s">
        <v>9207</v>
      </c>
      <c r="E11431" t="s">
        <v>673</v>
      </c>
      <c r="F11431" t="s">
        <v>88</v>
      </c>
      <c r="G11431" t="s">
        <v>88</v>
      </c>
      <c r="H11431" t="s">
        <v>92</v>
      </c>
    </row>
    <row r="11432" spans="1:8" x14ac:dyDescent="0.25">
      <c r="A11432" t="s">
        <v>344</v>
      </c>
      <c r="B11432" t="s">
        <v>4233</v>
      </c>
      <c r="C11432" t="s">
        <v>88</v>
      </c>
      <c r="D11432" t="s">
        <v>9208</v>
      </c>
      <c r="E11432" t="s">
        <v>673</v>
      </c>
      <c r="F11432" t="s">
        <v>88</v>
      </c>
      <c r="G11432" t="s">
        <v>88</v>
      </c>
      <c r="H11432" t="s">
        <v>92</v>
      </c>
    </row>
    <row r="11433" spans="1:8" x14ac:dyDescent="0.25">
      <c r="A11433" t="s">
        <v>344</v>
      </c>
      <c r="B11433" t="s">
        <v>9209</v>
      </c>
      <c r="C11433" t="s">
        <v>88</v>
      </c>
      <c r="D11433" t="s">
        <v>9176</v>
      </c>
      <c r="E11433" t="s">
        <v>673</v>
      </c>
      <c r="F11433" t="s">
        <v>88</v>
      </c>
      <c r="G11433" t="s">
        <v>88</v>
      </c>
      <c r="H11433" t="s">
        <v>92</v>
      </c>
    </row>
    <row r="11434" spans="1:8" x14ac:dyDescent="0.25">
      <c r="A11434" t="s">
        <v>344</v>
      </c>
      <c r="B11434" t="s">
        <v>9210</v>
      </c>
      <c r="C11434" t="s">
        <v>88</v>
      </c>
      <c r="D11434" t="s">
        <v>9211</v>
      </c>
      <c r="E11434" t="s">
        <v>673</v>
      </c>
      <c r="F11434" t="s">
        <v>88</v>
      </c>
      <c r="G11434" t="s">
        <v>88</v>
      </c>
      <c r="H11434" t="s">
        <v>92</v>
      </c>
    </row>
    <row r="11435" spans="1:8" x14ac:dyDescent="0.25">
      <c r="A11435" t="s">
        <v>344</v>
      </c>
      <c r="B11435" t="s">
        <v>9212</v>
      </c>
      <c r="C11435" t="s">
        <v>88</v>
      </c>
      <c r="D11435" t="s">
        <v>9213</v>
      </c>
      <c r="E11435" t="s">
        <v>673</v>
      </c>
      <c r="F11435" t="s">
        <v>88</v>
      </c>
      <c r="G11435" t="s">
        <v>88</v>
      </c>
      <c r="H11435" t="s">
        <v>92</v>
      </c>
    </row>
    <row r="11436" spans="1:8" x14ac:dyDescent="0.25">
      <c r="A11436" t="s">
        <v>344</v>
      </c>
      <c r="B11436" t="s">
        <v>9214</v>
      </c>
      <c r="C11436" t="s">
        <v>88</v>
      </c>
      <c r="D11436" t="s">
        <v>9215</v>
      </c>
      <c r="E11436" t="s">
        <v>658</v>
      </c>
      <c r="F11436" t="s">
        <v>88</v>
      </c>
      <c r="G11436" t="s">
        <v>88</v>
      </c>
      <c r="H11436" t="s">
        <v>92</v>
      </c>
    </row>
    <row r="11437" spans="1:8" x14ac:dyDescent="0.25">
      <c r="A11437" t="s">
        <v>344</v>
      </c>
      <c r="B11437" t="s">
        <v>4225</v>
      </c>
      <c r="C11437" t="s">
        <v>88</v>
      </c>
      <c r="D11437" t="s">
        <v>9216</v>
      </c>
      <c r="E11437" t="s">
        <v>2481</v>
      </c>
      <c r="F11437" t="s">
        <v>88</v>
      </c>
      <c r="G11437" t="s">
        <v>88</v>
      </c>
      <c r="H11437" t="s">
        <v>92</v>
      </c>
    </row>
    <row r="11438" spans="1:8" x14ac:dyDescent="0.25">
      <c r="A11438" t="s">
        <v>344</v>
      </c>
      <c r="B11438" t="s">
        <v>4207</v>
      </c>
      <c r="C11438" t="s">
        <v>88</v>
      </c>
      <c r="D11438" t="s">
        <v>9217</v>
      </c>
      <c r="E11438" t="s">
        <v>673</v>
      </c>
      <c r="F11438" t="s">
        <v>88</v>
      </c>
      <c r="G11438" t="s">
        <v>88</v>
      </c>
      <c r="H11438" t="s">
        <v>92</v>
      </c>
    </row>
    <row r="11439" spans="1:8" x14ac:dyDescent="0.25">
      <c r="A11439" t="s">
        <v>344</v>
      </c>
      <c r="B11439" t="s">
        <v>4229</v>
      </c>
      <c r="C11439" t="s">
        <v>88</v>
      </c>
      <c r="D11439" t="s">
        <v>9218</v>
      </c>
      <c r="E11439" t="s">
        <v>748</v>
      </c>
      <c r="F11439" t="s">
        <v>88</v>
      </c>
      <c r="G11439" t="s">
        <v>88</v>
      </c>
      <c r="H11439" t="s">
        <v>92</v>
      </c>
    </row>
    <row r="11440" spans="1:8" x14ac:dyDescent="0.25">
      <c r="A11440" t="s">
        <v>344</v>
      </c>
      <c r="B11440" t="s">
        <v>4231</v>
      </c>
      <c r="C11440" t="s">
        <v>88</v>
      </c>
      <c r="D11440" t="s">
        <v>9219</v>
      </c>
      <c r="E11440" t="s">
        <v>673</v>
      </c>
      <c r="F11440" t="s">
        <v>88</v>
      </c>
      <c r="G11440" t="s">
        <v>88</v>
      </c>
      <c r="H11440" t="s">
        <v>92</v>
      </c>
    </row>
    <row r="11441" spans="1:8" x14ac:dyDescent="0.25">
      <c r="A11441" t="s">
        <v>344</v>
      </c>
      <c r="B11441" t="s">
        <v>9220</v>
      </c>
      <c r="C11441" t="s">
        <v>88</v>
      </c>
      <c r="D11441" t="s">
        <v>9221</v>
      </c>
      <c r="E11441" t="s">
        <v>673</v>
      </c>
      <c r="F11441" t="s">
        <v>88</v>
      </c>
      <c r="G11441" t="s">
        <v>88</v>
      </c>
      <c r="H11441" t="s">
        <v>92</v>
      </c>
    </row>
    <row r="11442" spans="1:8" x14ac:dyDescent="0.25">
      <c r="A11442" t="s">
        <v>344</v>
      </c>
      <c r="B11442" t="s">
        <v>4201</v>
      </c>
      <c r="C11442" t="s">
        <v>88</v>
      </c>
      <c r="D11442" t="s">
        <v>9222</v>
      </c>
      <c r="E11442" t="s">
        <v>2481</v>
      </c>
      <c r="F11442" t="s">
        <v>88</v>
      </c>
      <c r="G11442" t="s">
        <v>88</v>
      </c>
      <c r="H11442" t="s">
        <v>92</v>
      </c>
    </row>
    <row r="11443" spans="1:8" x14ac:dyDescent="0.25">
      <c r="A11443" t="s">
        <v>344</v>
      </c>
      <c r="B11443" t="s">
        <v>9127</v>
      </c>
      <c r="C11443" t="s">
        <v>88</v>
      </c>
      <c r="D11443" t="s">
        <v>9223</v>
      </c>
      <c r="E11443" t="s">
        <v>883</v>
      </c>
      <c r="F11443" t="s">
        <v>88</v>
      </c>
      <c r="G11443" t="s">
        <v>88</v>
      </c>
      <c r="H11443" t="s">
        <v>92</v>
      </c>
    </row>
    <row r="11444" spans="1:8" x14ac:dyDescent="0.25">
      <c r="A11444" t="s">
        <v>344</v>
      </c>
      <c r="B11444" t="s">
        <v>9224</v>
      </c>
      <c r="C11444" t="s">
        <v>88</v>
      </c>
      <c r="D11444" t="s">
        <v>9225</v>
      </c>
      <c r="E11444" t="s">
        <v>762</v>
      </c>
      <c r="F11444" t="s">
        <v>88</v>
      </c>
      <c r="G11444" t="s">
        <v>88</v>
      </c>
      <c r="H11444" t="s">
        <v>92</v>
      </c>
    </row>
    <row r="11445" spans="1:8" x14ac:dyDescent="0.25">
      <c r="A11445" t="s">
        <v>344</v>
      </c>
      <c r="B11445" t="s">
        <v>4227</v>
      </c>
      <c r="C11445" t="s">
        <v>88</v>
      </c>
      <c r="D11445" t="s">
        <v>9174</v>
      </c>
      <c r="E11445" t="s">
        <v>748</v>
      </c>
      <c r="F11445" t="s">
        <v>88</v>
      </c>
      <c r="G11445" t="s">
        <v>88</v>
      </c>
      <c r="H11445" t="s">
        <v>92</v>
      </c>
    </row>
    <row r="11446" spans="1:8" x14ac:dyDescent="0.25">
      <c r="A11446" t="s">
        <v>344</v>
      </c>
      <c r="B11446" t="s">
        <v>4213</v>
      </c>
      <c r="C11446" t="s">
        <v>88</v>
      </c>
      <c r="D11446" t="s">
        <v>9226</v>
      </c>
      <c r="E11446" t="s">
        <v>673</v>
      </c>
      <c r="F11446" t="s">
        <v>88</v>
      </c>
      <c r="G11446" t="s">
        <v>88</v>
      </c>
      <c r="H11446" t="s">
        <v>92</v>
      </c>
    </row>
    <row r="11447" spans="1:8" x14ac:dyDescent="0.25">
      <c r="A11447" t="s">
        <v>344</v>
      </c>
      <c r="B11447" t="s">
        <v>9134</v>
      </c>
      <c r="C11447" t="s">
        <v>88</v>
      </c>
      <c r="D11447" t="s">
        <v>9227</v>
      </c>
      <c r="E11447" t="s">
        <v>883</v>
      </c>
      <c r="F11447" t="s">
        <v>88</v>
      </c>
      <c r="G11447" t="s">
        <v>88</v>
      </c>
      <c r="H11447" t="s">
        <v>92</v>
      </c>
    </row>
    <row r="11448" spans="1:8" x14ac:dyDescent="0.25">
      <c r="A11448" t="s">
        <v>344</v>
      </c>
      <c r="B11448" t="s">
        <v>9228</v>
      </c>
      <c r="C11448" t="s">
        <v>88</v>
      </c>
      <c r="D11448" t="s">
        <v>9229</v>
      </c>
      <c r="E11448" t="s">
        <v>2481</v>
      </c>
      <c r="F11448" t="s">
        <v>88</v>
      </c>
      <c r="G11448" t="s">
        <v>88</v>
      </c>
      <c r="H11448" t="s">
        <v>92</v>
      </c>
    </row>
    <row r="11449" spans="1:8" x14ac:dyDescent="0.25">
      <c r="A11449" t="s">
        <v>344</v>
      </c>
      <c r="B11449" t="s">
        <v>9230</v>
      </c>
      <c r="C11449" t="s">
        <v>88</v>
      </c>
      <c r="D11449" t="s">
        <v>9231</v>
      </c>
      <c r="E11449" t="s">
        <v>717</v>
      </c>
      <c r="F11449" t="s">
        <v>88</v>
      </c>
      <c r="G11449" t="s">
        <v>88</v>
      </c>
      <c r="H11449" t="s">
        <v>92</v>
      </c>
    </row>
    <row r="11450" spans="1:8" x14ac:dyDescent="0.25">
      <c r="A11450" t="s">
        <v>344</v>
      </c>
      <c r="B11450" t="s">
        <v>9232</v>
      </c>
      <c r="C11450" t="s">
        <v>88</v>
      </c>
      <c r="D11450" t="s">
        <v>9204</v>
      </c>
      <c r="E11450" t="s">
        <v>760</v>
      </c>
      <c r="F11450" t="s">
        <v>88</v>
      </c>
      <c r="G11450" t="s">
        <v>88</v>
      </c>
      <c r="H11450" t="s">
        <v>92</v>
      </c>
    </row>
    <row r="11451" spans="1:8" x14ac:dyDescent="0.25">
      <c r="A11451" t="s">
        <v>344</v>
      </c>
      <c r="B11451" t="s">
        <v>9233</v>
      </c>
      <c r="C11451" t="s">
        <v>88</v>
      </c>
      <c r="D11451" t="s">
        <v>9206</v>
      </c>
      <c r="E11451" t="s">
        <v>760</v>
      </c>
      <c r="F11451" t="s">
        <v>88</v>
      </c>
      <c r="G11451" t="s">
        <v>88</v>
      </c>
      <c r="H11451" t="s">
        <v>92</v>
      </c>
    </row>
    <row r="11452" spans="1:8" x14ac:dyDescent="0.25">
      <c r="A11452" t="s">
        <v>344</v>
      </c>
      <c r="B11452" t="s">
        <v>7269</v>
      </c>
      <c r="C11452" t="s">
        <v>88</v>
      </c>
      <c r="D11452" t="s">
        <v>9207</v>
      </c>
      <c r="E11452" t="s">
        <v>760</v>
      </c>
      <c r="F11452" t="s">
        <v>88</v>
      </c>
      <c r="G11452" t="s">
        <v>88</v>
      </c>
      <c r="H11452" t="s">
        <v>92</v>
      </c>
    </row>
    <row r="11453" spans="1:8" x14ac:dyDescent="0.25">
      <c r="A11453" t="s">
        <v>344</v>
      </c>
      <c r="B11453" t="s">
        <v>4236</v>
      </c>
      <c r="C11453" t="s">
        <v>88</v>
      </c>
      <c r="D11453" t="s">
        <v>9208</v>
      </c>
      <c r="E11453" t="s">
        <v>760</v>
      </c>
      <c r="F11453" t="s">
        <v>88</v>
      </c>
      <c r="G11453" t="s">
        <v>88</v>
      </c>
      <c r="H11453" t="s">
        <v>92</v>
      </c>
    </row>
    <row r="11454" spans="1:8" x14ac:dyDescent="0.25">
      <c r="A11454" t="s">
        <v>344</v>
      </c>
      <c r="B11454" t="s">
        <v>9175</v>
      </c>
      <c r="C11454" t="s">
        <v>88</v>
      </c>
      <c r="D11454" t="s">
        <v>9176</v>
      </c>
      <c r="E11454" t="s">
        <v>760</v>
      </c>
      <c r="F11454" t="s">
        <v>88</v>
      </c>
      <c r="G11454" t="s">
        <v>88</v>
      </c>
      <c r="H11454" t="s">
        <v>92</v>
      </c>
    </row>
    <row r="11455" spans="1:8" x14ac:dyDescent="0.25">
      <c r="A11455" t="s">
        <v>344</v>
      </c>
      <c r="B11455" t="s">
        <v>9234</v>
      </c>
      <c r="C11455" t="s">
        <v>88</v>
      </c>
      <c r="D11455" t="s">
        <v>9211</v>
      </c>
      <c r="E11455" t="s">
        <v>760</v>
      </c>
      <c r="F11455" t="s">
        <v>88</v>
      </c>
      <c r="G11455" t="s">
        <v>88</v>
      </c>
      <c r="H11455" t="s">
        <v>92</v>
      </c>
    </row>
    <row r="11456" spans="1:8" x14ac:dyDescent="0.25">
      <c r="A11456" t="s">
        <v>344</v>
      </c>
      <c r="B11456" t="s">
        <v>9235</v>
      </c>
      <c r="C11456" t="s">
        <v>88</v>
      </c>
      <c r="D11456" t="s">
        <v>9213</v>
      </c>
      <c r="E11456" t="s">
        <v>760</v>
      </c>
      <c r="F11456" t="s">
        <v>88</v>
      </c>
      <c r="G11456" t="s">
        <v>88</v>
      </c>
      <c r="H11456" t="s">
        <v>92</v>
      </c>
    </row>
    <row r="11457" spans="1:8" x14ac:dyDescent="0.25">
      <c r="A11457" t="s">
        <v>344</v>
      </c>
      <c r="B11457" t="s">
        <v>9236</v>
      </c>
      <c r="C11457" t="s">
        <v>88</v>
      </c>
      <c r="D11457" t="s">
        <v>9215</v>
      </c>
      <c r="E11457" t="s">
        <v>760</v>
      </c>
      <c r="F11457" t="s">
        <v>88</v>
      </c>
      <c r="G11457" t="s">
        <v>88</v>
      </c>
      <c r="H11457" t="s">
        <v>92</v>
      </c>
    </row>
    <row r="11458" spans="1:8" x14ac:dyDescent="0.25">
      <c r="A11458" t="s">
        <v>344</v>
      </c>
      <c r="B11458" t="s">
        <v>4251</v>
      </c>
      <c r="C11458" t="s">
        <v>88</v>
      </c>
      <c r="D11458" t="s">
        <v>9216</v>
      </c>
      <c r="E11458" t="s">
        <v>655</v>
      </c>
      <c r="F11458" t="s">
        <v>88</v>
      </c>
      <c r="G11458" t="s">
        <v>88</v>
      </c>
      <c r="H11458" t="s">
        <v>92</v>
      </c>
    </row>
    <row r="11459" spans="1:8" x14ac:dyDescent="0.25">
      <c r="A11459" t="s">
        <v>344</v>
      </c>
      <c r="B11459" t="s">
        <v>4244</v>
      </c>
      <c r="C11459" t="s">
        <v>88</v>
      </c>
      <c r="D11459" t="s">
        <v>9217</v>
      </c>
      <c r="E11459" t="s">
        <v>760</v>
      </c>
      <c r="F11459" t="s">
        <v>88</v>
      </c>
      <c r="G11459" t="s">
        <v>88</v>
      </c>
      <c r="H11459" t="s">
        <v>92</v>
      </c>
    </row>
    <row r="11460" spans="1:8" x14ac:dyDescent="0.25">
      <c r="A11460" t="s">
        <v>344</v>
      </c>
      <c r="B11460" t="s">
        <v>4249</v>
      </c>
      <c r="C11460" t="s">
        <v>88</v>
      </c>
      <c r="D11460" t="s">
        <v>9218</v>
      </c>
      <c r="E11460" t="s">
        <v>893</v>
      </c>
      <c r="F11460" t="s">
        <v>88</v>
      </c>
      <c r="G11460" t="s">
        <v>88</v>
      </c>
      <c r="H11460" t="s">
        <v>92</v>
      </c>
    </row>
    <row r="11461" spans="1:8" x14ac:dyDescent="0.25">
      <c r="A11461" t="s">
        <v>344</v>
      </c>
      <c r="B11461" t="s">
        <v>4242</v>
      </c>
      <c r="C11461" t="s">
        <v>88</v>
      </c>
      <c r="D11461" t="s">
        <v>9219</v>
      </c>
      <c r="E11461" t="s">
        <v>760</v>
      </c>
      <c r="F11461" t="s">
        <v>88</v>
      </c>
      <c r="G11461" t="s">
        <v>88</v>
      </c>
      <c r="H11461" t="s">
        <v>92</v>
      </c>
    </row>
    <row r="11462" spans="1:8" x14ac:dyDescent="0.25">
      <c r="A11462" t="s">
        <v>344</v>
      </c>
      <c r="B11462" t="s">
        <v>9237</v>
      </c>
      <c r="C11462" t="s">
        <v>88</v>
      </c>
      <c r="D11462" t="s">
        <v>9221</v>
      </c>
      <c r="E11462" t="s">
        <v>893</v>
      </c>
      <c r="F11462" t="s">
        <v>88</v>
      </c>
      <c r="G11462" t="s">
        <v>88</v>
      </c>
      <c r="H11462" t="s">
        <v>92</v>
      </c>
    </row>
    <row r="11463" spans="1:8" x14ac:dyDescent="0.25">
      <c r="A11463" t="s">
        <v>344</v>
      </c>
      <c r="B11463" t="s">
        <v>4238</v>
      </c>
      <c r="C11463" t="s">
        <v>88</v>
      </c>
      <c r="D11463" t="s">
        <v>9222</v>
      </c>
      <c r="E11463" t="s">
        <v>883</v>
      </c>
      <c r="F11463" t="s">
        <v>88</v>
      </c>
      <c r="G11463" t="s">
        <v>88</v>
      </c>
      <c r="H11463" t="s">
        <v>92</v>
      </c>
    </row>
    <row r="11464" spans="1:8" x14ac:dyDescent="0.25">
      <c r="A11464" t="s">
        <v>344</v>
      </c>
      <c r="B11464" t="s">
        <v>9137</v>
      </c>
      <c r="C11464" t="s">
        <v>88</v>
      </c>
      <c r="D11464" t="s">
        <v>9223</v>
      </c>
      <c r="E11464" t="s">
        <v>1353</v>
      </c>
      <c r="F11464" t="s">
        <v>88</v>
      </c>
      <c r="G11464" t="s">
        <v>88</v>
      </c>
      <c r="H11464" t="s">
        <v>92</v>
      </c>
    </row>
    <row r="11465" spans="1:8" x14ac:dyDescent="0.25">
      <c r="A11465" t="s">
        <v>344</v>
      </c>
      <c r="B11465" t="s">
        <v>9238</v>
      </c>
      <c r="C11465" t="s">
        <v>88</v>
      </c>
      <c r="D11465" t="s">
        <v>9225</v>
      </c>
      <c r="E11465" t="s">
        <v>1353</v>
      </c>
      <c r="F11465" t="s">
        <v>88</v>
      </c>
      <c r="G11465" t="s">
        <v>88</v>
      </c>
      <c r="H11465" t="s">
        <v>92</v>
      </c>
    </row>
    <row r="11466" spans="1:8" x14ac:dyDescent="0.25">
      <c r="A11466" t="s">
        <v>344</v>
      </c>
      <c r="B11466" t="s">
        <v>4248</v>
      </c>
      <c r="C11466" t="s">
        <v>88</v>
      </c>
      <c r="D11466" t="s">
        <v>9174</v>
      </c>
      <c r="E11466" t="s">
        <v>760</v>
      </c>
      <c r="F11466" t="s">
        <v>88</v>
      </c>
      <c r="G11466" t="s">
        <v>88</v>
      </c>
      <c r="H11466" t="s">
        <v>92</v>
      </c>
    </row>
    <row r="11467" spans="1:8" x14ac:dyDescent="0.25">
      <c r="A11467" t="s">
        <v>344</v>
      </c>
      <c r="B11467" t="s">
        <v>4237</v>
      </c>
      <c r="C11467" t="s">
        <v>88</v>
      </c>
      <c r="D11467" t="s">
        <v>9226</v>
      </c>
      <c r="E11467" t="s">
        <v>760</v>
      </c>
      <c r="F11467" t="s">
        <v>88</v>
      </c>
      <c r="G11467" t="s">
        <v>88</v>
      </c>
      <c r="H11467" t="s">
        <v>92</v>
      </c>
    </row>
    <row r="11468" spans="1:8" x14ac:dyDescent="0.25">
      <c r="A11468" t="s">
        <v>344</v>
      </c>
      <c r="B11468" t="s">
        <v>9141</v>
      </c>
      <c r="C11468" t="s">
        <v>88</v>
      </c>
      <c r="D11468" t="s">
        <v>9227</v>
      </c>
      <c r="E11468" t="s">
        <v>1353</v>
      </c>
      <c r="F11468" t="s">
        <v>88</v>
      </c>
      <c r="G11468" t="s">
        <v>88</v>
      </c>
      <c r="H11468" t="s">
        <v>92</v>
      </c>
    </row>
    <row r="11469" spans="1:8" x14ac:dyDescent="0.25">
      <c r="A11469" t="s">
        <v>344</v>
      </c>
      <c r="B11469" t="s">
        <v>9239</v>
      </c>
      <c r="C11469" t="s">
        <v>88</v>
      </c>
      <c r="D11469" t="s">
        <v>9229</v>
      </c>
      <c r="E11469" t="s">
        <v>760</v>
      </c>
      <c r="F11469" t="s">
        <v>88</v>
      </c>
      <c r="G11469" t="s">
        <v>88</v>
      </c>
      <c r="H11469" t="s">
        <v>92</v>
      </c>
    </row>
    <row r="11470" spans="1:8" x14ac:dyDescent="0.25">
      <c r="A11470" t="s">
        <v>344</v>
      </c>
      <c r="B11470" t="s">
        <v>9240</v>
      </c>
      <c r="C11470" t="s">
        <v>88</v>
      </c>
      <c r="D11470" t="s">
        <v>9231</v>
      </c>
      <c r="E11470" t="s">
        <v>692</v>
      </c>
      <c r="F11470" t="s">
        <v>88</v>
      </c>
      <c r="G11470" t="s">
        <v>88</v>
      </c>
      <c r="H11470" t="s">
        <v>92</v>
      </c>
    </row>
    <row r="11471" spans="1:8" x14ac:dyDescent="0.25">
      <c r="A11471" t="s">
        <v>344</v>
      </c>
      <c r="B11471" t="s">
        <v>9241</v>
      </c>
      <c r="C11471" t="s">
        <v>88</v>
      </c>
      <c r="D11471" t="s">
        <v>9204</v>
      </c>
      <c r="E11471" t="s">
        <v>1259</v>
      </c>
      <c r="F11471" t="s">
        <v>88</v>
      </c>
      <c r="G11471" t="s">
        <v>88</v>
      </c>
      <c r="H11471" t="s">
        <v>92</v>
      </c>
    </row>
    <row r="11472" spans="1:8" x14ac:dyDescent="0.25">
      <c r="A11472" t="s">
        <v>344</v>
      </c>
      <c r="B11472" t="s">
        <v>9242</v>
      </c>
      <c r="C11472" t="s">
        <v>88</v>
      </c>
      <c r="D11472" t="s">
        <v>9206</v>
      </c>
      <c r="E11472" t="s">
        <v>1259</v>
      </c>
      <c r="F11472" t="s">
        <v>88</v>
      </c>
      <c r="G11472" t="s">
        <v>88</v>
      </c>
      <c r="H11472" t="s">
        <v>92</v>
      </c>
    </row>
    <row r="11473" spans="1:8" x14ac:dyDescent="0.25">
      <c r="A11473" t="s">
        <v>344</v>
      </c>
      <c r="B11473" t="s">
        <v>7273</v>
      </c>
      <c r="C11473" t="s">
        <v>88</v>
      </c>
      <c r="D11473" t="s">
        <v>9207</v>
      </c>
      <c r="E11473" t="s">
        <v>1259</v>
      </c>
      <c r="F11473" t="s">
        <v>88</v>
      </c>
      <c r="G11473" t="s">
        <v>88</v>
      </c>
      <c r="H11473" t="s">
        <v>92</v>
      </c>
    </row>
    <row r="11474" spans="1:8" x14ac:dyDescent="0.25">
      <c r="A11474" t="s">
        <v>344</v>
      </c>
      <c r="B11474" t="s">
        <v>4252</v>
      </c>
      <c r="C11474" t="s">
        <v>88</v>
      </c>
      <c r="D11474" t="s">
        <v>9208</v>
      </c>
      <c r="E11474" t="s">
        <v>2833</v>
      </c>
      <c r="F11474" t="s">
        <v>88</v>
      </c>
      <c r="G11474" t="s">
        <v>88</v>
      </c>
      <c r="H11474" t="s">
        <v>92</v>
      </c>
    </row>
    <row r="11475" spans="1:8" x14ac:dyDescent="0.25">
      <c r="A11475" t="s">
        <v>344</v>
      </c>
      <c r="B11475" t="s">
        <v>9243</v>
      </c>
      <c r="C11475" t="s">
        <v>88</v>
      </c>
      <c r="D11475" t="s">
        <v>9176</v>
      </c>
      <c r="E11475" t="s">
        <v>1259</v>
      </c>
      <c r="F11475" t="s">
        <v>88</v>
      </c>
      <c r="G11475" t="s">
        <v>88</v>
      </c>
      <c r="H11475" t="s">
        <v>92</v>
      </c>
    </row>
    <row r="11476" spans="1:8" x14ac:dyDescent="0.25">
      <c r="A11476" t="s">
        <v>344</v>
      </c>
      <c r="B11476" t="s">
        <v>9244</v>
      </c>
      <c r="C11476" t="s">
        <v>88</v>
      </c>
      <c r="D11476" t="s">
        <v>9211</v>
      </c>
      <c r="E11476" t="s">
        <v>1259</v>
      </c>
      <c r="F11476" t="s">
        <v>88</v>
      </c>
      <c r="G11476" t="s">
        <v>88</v>
      </c>
      <c r="H11476" t="s">
        <v>92</v>
      </c>
    </row>
    <row r="11477" spans="1:8" x14ac:dyDescent="0.25">
      <c r="A11477" t="s">
        <v>344</v>
      </c>
      <c r="B11477" t="s">
        <v>9245</v>
      </c>
      <c r="C11477" t="s">
        <v>88</v>
      </c>
      <c r="D11477" t="s">
        <v>9213</v>
      </c>
      <c r="E11477" t="s">
        <v>1259</v>
      </c>
      <c r="F11477" t="s">
        <v>88</v>
      </c>
      <c r="G11477" t="s">
        <v>88</v>
      </c>
      <c r="H11477" t="s">
        <v>92</v>
      </c>
    </row>
    <row r="11478" spans="1:8" x14ac:dyDescent="0.25">
      <c r="A11478" t="s">
        <v>344</v>
      </c>
      <c r="B11478" t="s">
        <v>9246</v>
      </c>
      <c r="C11478" t="s">
        <v>88</v>
      </c>
      <c r="D11478" t="s">
        <v>9215</v>
      </c>
      <c r="E11478" t="s">
        <v>676</v>
      </c>
      <c r="F11478" t="s">
        <v>88</v>
      </c>
      <c r="G11478" t="s">
        <v>88</v>
      </c>
      <c r="H11478" t="s">
        <v>92</v>
      </c>
    </row>
    <row r="11479" spans="1:8" x14ac:dyDescent="0.25">
      <c r="A11479" t="s">
        <v>344</v>
      </c>
      <c r="B11479" t="s">
        <v>4262</v>
      </c>
      <c r="C11479" t="s">
        <v>88</v>
      </c>
      <c r="D11479" t="s">
        <v>9216</v>
      </c>
      <c r="E11479" t="s">
        <v>1756</v>
      </c>
      <c r="F11479" t="s">
        <v>88</v>
      </c>
      <c r="G11479" t="s">
        <v>88</v>
      </c>
      <c r="H11479" t="s">
        <v>92</v>
      </c>
    </row>
    <row r="11480" spans="1:8" x14ac:dyDescent="0.25">
      <c r="A11480" t="s">
        <v>344</v>
      </c>
      <c r="B11480" t="s">
        <v>4253</v>
      </c>
      <c r="C11480" t="s">
        <v>88</v>
      </c>
      <c r="D11480" t="s">
        <v>9217</v>
      </c>
      <c r="E11480" t="s">
        <v>1259</v>
      </c>
      <c r="F11480" t="s">
        <v>88</v>
      </c>
      <c r="G11480" t="s">
        <v>88</v>
      </c>
      <c r="H11480" t="s">
        <v>92</v>
      </c>
    </row>
    <row r="11481" spans="1:8" x14ac:dyDescent="0.25">
      <c r="A11481" t="s">
        <v>344</v>
      </c>
      <c r="B11481" t="s">
        <v>4269</v>
      </c>
      <c r="C11481" t="s">
        <v>88</v>
      </c>
      <c r="D11481" t="s">
        <v>9218</v>
      </c>
      <c r="E11481" t="s">
        <v>838</v>
      </c>
      <c r="F11481" t="s">
        <v>88</v>
      </c>
      <c r="G11481" t="s">
        <v>88</v>
      </c>
      <c r="H11481" t="s">
        <v>92</v>
      </c>
    </row>
    <row r="11482" spans="1:8" x14ac:dyDescent="0.25">
      <c r="A11482" t="s">
        <v>344</v>
      </c>
      <c r="B11482" t="s">
        <v>4254</v>
      </c>
      <c r="C11482" t="s">
        <v>88</v>
      </c>
      <c r="D11482" t="s">
        <v>9219</v>
      </c>
      <c r="E11482" t="s">
        <v>1259</v>
      </c>
      <c r="F11482" t="s">
        <v>88</v>
      </c>
      <c r="G11482" t="s">
        <v>88</v>
      </c>
      <c r="H11482" t="s">
        <v>92</v>
      </c>
    </row>
    <row r="11483" spans="1:8" x14ac:dyDescent="0.25">
      <c r="A11483" t="s">
        <v>344</v>
      </c>
      <c r="B11483" t="s">
        <v>9247</v>
      </c>
      <c r="C11483" t="s">
        <v>88</v>
      </c>
      <c r="D11483" t="s">
        <v>9221</v>
      </c>
      <c r="E11483" t="s">
        <v>838</v>
      </c>
      <c r="F11483" t="s">
        <v>88</v>
      </c>
      <c r="G11483" t="s">
        <v>88</v>
      </c>
      <c r="H11483" t="s">
        <v>92</v>
      </c>
    </row>
    <row r="11484" spans="1:8" x14ac:dyDescent="0.25">
      <c r="A11484" t="s">
        <v>344</v>
      </c>
      <c r="B11484" t="s">
        <v>4257</v>
      </c>
      <c r="C11484" t="s">
        <v>88</v>
      </c>
      <c r="D11484" t="s">
        <v>9222</v>
      </c>
      <c r="E11484" t="s">
        <v>1756</v>
      </c>
      <c r="F11484" t="s">
        <v>88</v>
      </c>
      <c r="G11484" t="s">
        <v>88</v>
      </c>
      <c r="H11484" t="s">
        <v>92</v>
      </c>
    </row>
    <row r="11485" spans="1:8" x14ac:dyDescent="0.25">
      <c r="A11485" t="s">
        <v>344</v>
      </c>
      <c r="B11485" t="s">
        <v>9144</v>
      </c>
      <c r="C11485" t="s">
        <v>88</v>
      </c>
      <c r="D11485" t="s">
        <v>9223</v>
      </c>
      <c r="E11485" t="s">
        <v>1015</v>
      </c>
      <c r="F11485" t="s">
        <v>88</v>
      </c>
      <c r="G11485" t="s">
        <v>88</v>
      </c>
      <c r="H11485" t="s">
        <v>92</v>
      </c>
    </row>
    <row r="11486" spans="1:8" x14ac:dyDescent="0.25">
      <c r="A11486" t="s">
        <v>344</v>
      </c>
      <c r="B11486" t="s">
        <v>9248</v>
      </c>
      <c r="C11486" t="s">
        <v>88</v>
      </c>
      <c r="D11486" t="s">
        <v>9225</v>
      </c>
      <c r="E11486" t="s">
        <v>1015</v>
      </c>
      <c r="F11486" t="s">
        <v>88</v>
      </c>
      <c r="G11486" t="s">
        <v>88</v>
      </c>
      <c r="H11486" t="s">
        <v>92</v>
      </c>
    </row>
    <row r="11487" spans="1:8" x14ac:dyDescent="0.25">
      <c r="A11487" t="s">
        <v>344</v>
      </c>
      <c r="B11487" t="s">
        <v>4265</v>
      </c>
      <c r="C11487" t="s">
        <v>88</v>
      </c>
      <c r="D11487" t="s">
        <v>9174</v>
      </c>
      <c r="E11487" t="s">
        <v>1255</v>
      </c>
      <c r="F11487" t="s">
        <v>88</v>
      </c>
      <c r="G11487" t="s">
        <v>88</v>
      </c>
      <c r="H11487" t="s">
        <v>92</v>
      </c>
    </row>
    <row r="11488" spans="1:8" x14ac:dyDescent="0.25">
      <c r="A11488" t="s">
        <v>344</v>
      </c>
      <c r="B11488" t="s">
        <v>4255</v>
      </c>
      <c r="C11488" t="s">
        <v>88</v>
      </c>
      <c r="D11488" t="s">
        <v>9226</v>
      </c>
      <c r="E11488" t="s">
        <v>1259</v>
      </c>
      <c r="F11488" t="s">
        <v>88</v>
      </c>
      <c r="G11488" t="s">
        <v>88</v>
      </c>
      <c r="H11488" t="s">
        <v>92</v>
      </c>
    </row>
    <row r="11489" spans="1:8" x14ac:dyDescent="0.25">
      <c r="A11489" t="s">
        <v>344</v>
      </c>
      <c r="B11489" t="s">
        <v>9148</v>
      </c>
      <c r="C11489" t="s">
        <v>88</v>
      </c>
      <c r="D11489" t="s">
        <v>9227</v>
      </c>
      <c r="E11489" t="s">
        <v>1015</v>
      </c>
      <c r="F11489" t="s">
        <v>88</v>
      </c>
      <c r="G11489" t="s">
        <v>88</v>
      </c>
      <c r="H11489" t="s">
        <v>92</v>
      </c>
    </row>
    <row r="11490" spans="1:8" x14ac:dyDescent="0.25">
      <c r="A11490" t="s">
        <v>344</v>
      </c>
      <c r="B11490" t="s">
        <v>9249</v>
      </c>
      <c r="C11490" t="s">
        <v>88</v>
      </c>
      <c r="D11490" t="s">
        <v>9229</v>
      </c>
      <c r="E11490" t="s">
        <v>676</v>
      </c>
      <c r="F11490" t="s">
        <v>88</v>
      </c>
      <c r="G11490" t="s">
        <v>88</v>
      </c>
      <c r="H11490" t="s">
        <v>92</v>
      </c>
    </row>
    <row r="11491" spans="1:8" x14ac:dyDescent="0.25">
      <c r="A11491" t="s">
        <v>344</v>
      </c>
      <c r="B11491" t="s">
        <v>9250</v>
      </c>
      <c r="C11491" t="s">
        <v>88</v>
      </c>
      <c r="D11491" t="s">
        <v>9231</v>
      </c>
      <c r="E11491" t="s">
        <v>841</v>
      </c>
      <c r="F11491" t="s">
        <v>88</v>
      </c>
      <c r="G11491" t="s">
        <v>88</v>
      </c>
      <c r="H11491" t="s">
        <v>92</v>
      </c>
    </row>
    <row r="11492" spans="1:8" x14ac:dyDescent="0.25">
      <c r="A11492" t="s">
        <v>344</v>
      </c>
      <c r="B11492" t="s">
        <v>9251</v>
      </c>
      <c r="C11492" t="s">
        <v>88</v>
      </c>
      <c r="D11492" t="s">
        <v>9204</v>
      </c>
      <c r="E11492" t="s">
        <v>5524</v>
      </c>
      <c r="F11492" t="s">
        <v>88</v>
      </c>
      <c r="G11492" t="s">
        <v>88</v>
      </c>
      <c r="H11492" t="s">
        <v>92</v>
      </c>
    </row>
    <row r="11493" spans="1:8" x14ac:dyDescent="0.25">
      <c r="A11493" t="s">
        <v>344</v>
      </c>
      <c r="B11493" t="s">
        <v>9252</v>
      </c>
      <c r="C11493" t="s">
        <v>88</v>
      </c>
      <c r="D11493" t="s">
        <v>9206</v>
      </c>
      <c r="E11493" t="s">
        <v>5524</v>
      </c>
      <c r="F11493" t="s">
        <v>88</v>
      </c>
      <c r="G11493" t="s">
        <v>88</v>
      </c>
      <c r="H11493" t="s">
        <v>92</v>
      </c>
    </row>
    <row r="11494" spans="1:8" x14ac:dyDescent="0.25">
      <c r="A11494" t="s">
        <v>344</v>
      </c>
      <c r="B11494" t="s">
        <v>9253</v>
      </c>
      <c r="C11494" t="s">
        <v>88</v>
      </c>
      <c r="D11494" t="s">
        <v>9207</v>
      </c>
      <c r="E11494" t="s">
        <v>5524</v>
      </c>
      <c r="F11494" t="s">
        <v>88</v>
      </c>
      <c r="G11494" t="s">
        <v>88</v>
      </c>
      <c r="H11494" t="s">
        <v>92</v>
      </c>
    </row>
    <row r="11495" spans="1:8" x14ac:dyDescent="0.25">
      <c r="A11495" t="s">
        <v>344</v>
      </c>
      <c r="B11495" t="s">
        <v>4272</v>
      </c>
      <c r="C11495" t="s">
        <v>88</v>
      </c>
      <c r="D11495" t="s">
        <v>9208</v>
      </c>
      <c r="E11495" t="s">
        <v>5524</v>
      </c>
      <c r="F11495" t="s">
        <v>88</v>
      </c>
      <c r="G11495" t="s">
        <v>88</v>
      </c>
      <c r="H11495" t="s">
        <v>92</v>
      </c>
    </row>
    <row r="11496" spans="1:8" x14ac:dyDescent="0.25">
      <c r="A11496" t="s">
        <v>344</v>
      </c>
      <c r="B11496" t="s">
        <v>9254</v>
      </c>
      <c r="C11496" t="s">
        <v>88</v>
      </c>
      <c r="D11496" t="s">
        <v>9176</v>
      </c>
      <c r="E11496" t="s">
        <v>5524</v>
      </c>
      <c r="F11496" t="s">
        <v>88</v>
      </c>
      <c r="G11496" t="s">
        <v>88</v>
      </c>
      <c r="H11496" t="s">
        <v>92</v>
      </c>
    </row>
    <row r="11497" spans="1:8" x14ac:dyDescent="0.25">
      <c r="A11497" t="s">
        <v>344</v>
      </c>
      <c r="B11497" t="s">
        <v>9255</v>
      </c>
      <c r="C11497" t="s">
        <v>88</v>
      </c>
      <c r="D11497" t="s">
        <v>9211</v>
      </c>
      <c r="E11497" t="s">
        <v>5524</v>
      </c>
      <c r="F11497" t="s">
        <v>88</v>
      </c>
      <c r="G11497" t="s">
        <v>88</v>
      </c>
      <c r="H11497" t="s">
        <v>92</v>
      </c>
    </row>
    <row r="11498" spans="1:8" x14ac:dyDescent="0.25">
      <c r="A11498" t="s">
        <v>344</v>
      </c>
      <c r="B11498" t="s">
        <v>9256</v>
      </c>
      <c r="C11498" t="s">
        <v>88</v>
      </c>
      <c r="D11498" t="s">
        <v>9213</v>
      </c>
      <c r="E11498" t="s">
        <v>5524</v>
      </c>
      <c r="F11498" t="s">
        <v>88</v>
      </c>
      <c r="G11498" t="s">
        <v>88</v>
      </c>
      <c r="H11498" t="s">
        <v>92</v>
      </c>
    </row>
    <row r="11499" spans="1:8" x14ac:dyDescent="0.25">
      <c r="A11499" t="s">
        <v>344</v>
      </c>
      <c r="B11499" t="s">
        <v>9257</v>
      </c>
      <c r="C11499" t="s">
        <v>88</v>
      </c>
      <c r="D11499" t="s">
        <v>9215</v>
      </c>
      <c r="E11499" t="s">
        <v>5524</v>
      </c>
      <c r="F11499" t="s">
        <v>88</v>
      </c>
      <c r="G11499" t="s">
        <v>88</v>
      </c>
      <c r="H11499" t="s">
        <v>92</v>
      </c>
    </row>
    <row r="11500" spans="1:8" x14ac:dyDescent="0.25">
      <c r="A11500" t="s">
        <v>344</v>
      </c>
      <c r="B11500" t="s">
        <v>4281</v>
      </c>
      <c r="C11500" t="s">
        <v>88</v>
      </c>
      <c r="D11500" t="s">
        <v>9216</v>
      </c>
      <c r="E11500" t="s">
        <v>4285</v>
      </c>
      <c r="F11500" t="s">
        <v>88</v>
      </c>
      <c r="G11500" t="s">
        <v>88</v>
      </c>
      <c r="H11500" t="s">
        <v>92</v>
      </c>
    </row>
    <row r="11501" spans="1:8" x14ac:dyDescent="0.25">
      <c r="A11501" t="s">
        <v>344</v>
      </c>
      <c r="B11501" t="s">
        <v>4270</v>
      </c>
      <c r="C11501" t="s">
        <v>88</v>
      </c>
      <c r="D11501" t="s">
        <v>9217</v>
      </c>
      <c r="E11501" t="s">
        <v>5524</v>
      </c>
      <c r="F11501" t="s">
        <v>88</v>
      </c>
      <c r="G11501" t="s">
        <v>88</v>
      </c>
      <c r="H11501" t="s">
        <v>92</v>
      </c>
    </row>
    <row r="11502" spans="1:8" x14ac:dyDescent="0.25">
      <c r="A11502" t="s">
        <v>344</v>
      </c>
      <c r="B11502" t="s">
        <v>4287</v>
      </c>
      <c r="C11502" t="s">
        <v>88</v>
      </c>
      <c r="D11502" t="s">
        <v>9218</v>
      </c>
      <c r="E11502" t="s">
        <v>4510</v>
      </c>
      <c r="F11502" t="s">
        <v>88</v>
      </c>
      <c r="G11502" t="s">
        <v>88</v>
      </c>
      <c r="H11502" t="s">
        <v>92</v>
      </c>
    </row>
    <row r="11503" spans="1:8" x14ac:dyDescent="0.25">
      <c r="A11503" t="s">
        <v>344</v>
      </c>
      <c r="B11503" t="s">
        <v>4289</v>
      </c>
      <c r="C11503" t="s">
        <v>88</v>
      </c>
      <c r="D11503" t="s">
        <v>9219</v>
      </c>
      <c r="E11503" t="s">
        <v>5524</v>
      </c>
      <c r="F11503" t="s">
        <v>88</v>
      </c>
      <c r="G11503" t="s">
        <v>88</v>
      </c>
      <c r="H11503" t="s">
        <v>92</v>
      </c>
    </row>
    <row r="11504" spans="1:8" x14ac:dyDescent="0.25">
      <c r="A11504" t="s">
        <v>344</v>
      </c>
      <c r="B11504" t="s">
        <v>9258</v>
      </c>
      <c r="C11504" t="s">
        <v>88</v>
      </c>
      <c r="D11504" t="s">
        <v>9221</v>
      </c>
      <c r="E11504" t="s">
        <v>4510</v>
      </c>
      <c r="F11504" t="s">
        <v>88</v>
      </c>
      <c r="G11504" t="s">
        <v>88</v>
      </c>
      <c r="H11504" t="s">
        <v>92</v>
      </c>
    </row>
    <row r="11505" spans="1:8" x14ac:dyDescent="0.25">
      <c r="A11505" t="s">
        <v>344</v>
      </c>
      <c r="B11505" t="s">
        <v>4274</v>
      </c>
      <c r="C11505" t="s">
        <v>88</v>
      </c>
      <c r="D11505" t="s">
        <v>9222</v>
      </c>
      <c r="E11505" t="s">
        <v>4285</v>
      </c>
      <c r="F11505" t="s">
        <v>88</v>
      </c>
      <c r="G11505" t="s">
        <v>88</v>
      </c>
      <c r="H11505" t="s">
        <v>92</v>
      </c>
    </row>
    <row r="11506" spans="1:8" x14ac:dyDescent="0.25">
      <c r="A11506" t="s">
        <v>344</v>
      </c>
      <c r="B11506" t="s">
        <v>9259</v>
      </c>
      <c r="C11506" t="s">
        <v>88</v>
      </c>
      <c r="D11506" t="s">
        <v>9223</v>
      </c>
      <c r="E11506" t="s">
        <v>4670</v>
      </c>
      <c r="F11506" t="s">
        <v>88</v>
      </c>
      <c r="G11506" t="s">
        <v>88</v>
      </c>
      <c r="H11506" t="s">
        <v>92</v>
      </c>
    </row>
    <row r="11507" spans="1:8" x14ac:dyDescent="0.25">
      <c r="A11507" t="s">
        <v>344</v>
      </c>
      <c r="B11507" t="s">
        <v>9260</v>
      </c>
      <c r="C11507" t="s">
        <v>88</v>
      </c>
      <c r="D11507" t="s">
        <v>9225</v>
      </c>
      <c r="E11507" t="s">
        <v>4670</v>
      </c>
      <c r="F11507" t="s">
        <v>88</v>
      </c>
      <c r="G11507" t="s">
        <v>88</v>
      </c>
      <c r="H11507" t="s">
        <v>92</v>
      </c>
    </row>
    <row r="11508" spans="1:8" x14ac:dyDescent="0.25">
      <c r="A11508" t="s">
        <v>344</v>
      </c>
      <c r="B11508" t="s">
        <v>4279</v>
      </c>
      <c r="C11508" t="s">
        <v>88</v>
      </c>
      <c r="D11508" t="s">
        <v>9174</v>
      </c>
      <c r="E11508" t="s">
        <v>4510</v>
      </c>
      <c r="F11508" t="s">
        <v>88</v>
      </c>
      <c r="G11508" t="s">
        <v>88</v>
      </c>
      <c r="H11508" t="s">
        <v>92</v>
      </c>
    </row>
    <row r="11509" spans="1:8" x14ac:dyDescent="0.25">
      <c r="A11509" t="s">
        <v>344</v>
      </c>
      <c r="B11509" t="s">
        <v>4284</v>
      </c>
      <c r="C11509" t="s">
        <v>88</v>
      </c>
      <c r="D11509" t="s">
        <v>9226</v>
      </c>
      <c r="E11509" t="s">
        <v>5524</v>
      </c>
      <c r="F11509" t="s">
        <v>88</v>
      </c>
      <c r="G11509" t="s">
        <v>88</v>
      </c>
      <c r="H11509" t="s">
        <v>92</v>
      </c>
    </row>
    <row r="11510" spans="1:8" x14ac:dyDescent="0.25">
      <c r="A11510" t="s">
        <v>344</v>
      </c>
      <c r="B11510" t="s">
        <v>9261</v>
      </c>
      <c r="C11510" t="s">
        <v>88</v>
      </c>
      <c r="D11510" t="s">
        <v>9227</v>
      </c>
      <c r="E11510" t="s">
        <v>4670</v>
      </c>
      <c r="F11510" t="s">
        <v>88</v>
      </c>
      <c r="G11510" t="s">
        <v>88</v>
      </c>
      <c r="H11510" t="s">
        <v>92</v>
      </c>
    </row>
    <row r="11511" spans="1:8" x14ac:dyDescent="0.25">
      <c r="A11511" t="s">
        <v>344</v>
      </c>
      <c r="B11511" t="s">
        <v>9262</v>
      </c>
      <c r="C11511" t="s">
        <v>88</v>
      </c>
      <c r="D11511" t="s">
        <v>9229</v>
      </c>
      <c r="E11511" t="s">
        <v>5524</v>
      </c>
      <c r="F11511" t="s">
        <v>88</v>
      </c>
      <c r="G11511" t="s">
        <v>88</v>
      </c>
      <c r="H11511" t="s">
        <v>92</v>
      </c>
    </row>
    <row r="11512" spans="1:8" x14ac:dyDescent="0.25">
      <c r="A11512" t="s">
        <v>344</v>
      </c>
      <c r="B11512" t="s">
        <v>9263</v>
      </c>
      <c r="C11512" t="s">
        <v>88</v>
      </c>
      <c r="D11512" t="s">
        <v>9231</v>
      </c>
      <c r="E11512" t="s">
        <v>4512</v>
      </c>
      <c r="F11512" t="s">
        <v>88</v>
      </c>
      <c r="G11512" t="s">
        <v>88</v>
      </c>
      <c r="H11512" t="s">
        <v>92</v>
      </c>
    </row>
    <row r="11513" spans="1:8" x14ac:dyDescent="0.25">
      <c r="A11513" t="s">
        <v>344</v>
      </c>
      <c r="B11513" t="s">
        <v>9264</v>
      </c>
      <c r="C11513" t="s">
        <v>88</v>
      </c>
      <c r="D11513" t="s">
        <v>9204</v>
      </c>
      <c r="E11513" t="s">
        <v>9297</v>
      </c>
      <c r="F11513" t="s">
        <v>88</v>
      </c>
      <c r="G11513" t="s">
        <v>88</v>
      </c>
      <c r="H11513" t="s">
        <v>92</v>
      </c>
    </row>
    <row r="11514" spans="1:8" x14ac:dyDescent="0.25">
      <c r="A11514" t="s">
        <v>344</v>
      </c>
      <c r="B11514" t="s">
        <v>9265</v>
      </c>
      <c r="C11514" t="s">
        <v>88</v>
      </c>
      <c r="D11514" t="s">
        <v>9206</v>
      </c>
      <c r="E11514" t="s">
        <v>9297</v>
      </c>
      <c r="F11514" t="s">
        <v>88</v>
      </c>
      <c r="G11514" t="s">
        <v>88</v>
      </c>
      <c r="H11514" t="s">
        <v>92</v>
      </c>
    </row>
    <row r="11515" spans="1:8" x14ac:dyDescent="0.25">
      <c r="A11515" t="s">
        <v>344</v>
      </c>
      <c r="B11515" t="s">
        <v>7293</v>
      </c>
      <c r="C11515" t="s">
        <v>88</v>
      </c>
      <c r="D11515" t="s">
        <v>9207</v>
      </c>
      <c r="E11515" t="s">
        <v>9297</v>
      </c>
      <c r="F11515" t="s">
        <v>88</v>
      </c>
      <c r="G11515" t="s">
        <v>88</v>
      </c>
      <c r="H11515" t="s">
        <v>92</v>
      </c>
    </row>
    <row r="11516" spans="1:8" x14ac:dyDescent="0.25">
      <c r="A11516" t="s">
        <v>344</v>
      </c>
      <c r="B11516" t="s">
        <v>4298</v>
      </c>
      <c r="C11516" t="s">
        <v>88</v>
      </c>
      <c r="D11516" t="s">
        <v>9208</v>
      </c>
      <c r="E11516" t="s">
        <v>9297</v>
      </c>
      <c r="F11516" t="s">
        <v>88</v>
      </c>
      <c r="G11516" t="s">
        <v>88</v>
      </c>
      <c r="H11516" t="s">
        <v>92</v>
      </c>
    </row>
    <row r="11517" spans="1:8" x14ac:dyDescent="0.25">
      <c r="A11517" t="s">
        <v>344</v>
      </c>
      <c r="B11517" t="s">
        <v>9266</v>
      </c>
      <c r="C11517" t="s">
        <v>88</v>
      </c>
      <c r="D11517" t="s">
        <v>9176</v>
      </c>
      <c r="E11517" t="s">
        <v>9297</v>
      </c>
      <c r="F11517" t="s">
        <v>88</v>
      </c>
      <c r="G11517" t="s">
        <v>88</v>
      </c>
      <c r="H11517" t="s">
        <v>92</v>
      </c>
    </row>
    <row r="11518" spans="1:8" x14ac:dyDescent="0.25">
      <c r="A11518" t="s">
        <v>344</v>
      </c>
      <c r="B11518" t="s">
        <v>9267</v>
      </c>
      <c r="C11518" t="s">
        <v>88</v>
      </c>
      <c r="D11518" t="s">
        <v>9211</v>
      </c>
      <c r="E11518" t="s">
        <v>9297</v>
      </c>
      <c r="F11518" t="s">
        <v>88</v>
      </c>
      <c r="G11518" t="s">
        <v>88</v>
      </c>
      <c r="H11518" t="s">
        <v>92</v>
      </c>
    </row>
    <row r="11519" spans="1:8" x14ac:dyDescent="0.25">
      <c r="A11519" t="s">
        <v>344</v>
      </c>
      <c r="B11519" t="s">
        <v>9268</v>
      </c>
      <c r="C11519" t="s">
        <v>88</v>
      </c>
      <c r="D11519" t="s">
        <v>9213</v>
      </c>
      <c r="E11519" t="s">
        <v>9297</v>
      </c>
      <c r="F11519" t="s">
        <v>88</v>
      </c>
      <c r="G11519" t="s">
        <v>88</v>
      </c>
      <c r="H11519" t="s">
        <v>92</v>
      </c>
    </row>
    <row r="11520" spans="1:8" x14ac:dyDescent="0.25">
      <c r="A11520" t="s">
        <v>344</v>
      </c>
      <c r="B11520" t="s">
        <v>9269</v>
      </c>
      <c r="C11520" t="s">
        <v>88</v>
      </c>
      <c r="D11520" t="s">
        <v>9215</v>
      </c>
      <c r="E11520" t="s">
        <v>9297</v>
      </c>
      <c r="F11520" t="s">
        <v>88</v>
      </c>
      <c r="G11520" t="s">
        <v>88</v>
      </c>
      <c r="H11520" t="s">
        <v>92</v>
      </c>
    </row>
    <row r="11521" spans="1:8" x14ac:dyDescent="0.25">
      <c r="A11521" t="s">
        <v>344</v>
      </c>
      <c r="B11521" t="s">
        <v>4292</v>
      </c>
      <c r="C11521" t="s">
        <v>88</v>
      </c>
      <c r="D11521" t="s">
        <v>9216</v>
      </c>
      <c r="E11521" t="s">
        <v>4294</v>
      </c>
      <c r="F11521" t="s">
        <v>88</v>
      </c>
      <c r="G11521" t="s">
        <v>88</v>
      </c>
      <c r="H11521" t="s">
        <v>92</v>
      </c>
    </row>
    <row r="11522" spans="1:8" x14ac:dyDescent="0.25">
      <c r="A11522" t="s">
        <v>344</v>
      </c>
      <c r="B11522" t="s">
        <v>4316</v>
      </c>
      <c r="C11522" t="s">
        <v>88</v>
      </c>
      <c r="D11522" t="s">
        <v>9217</v>
      </c>
      <c r="E11522" t="s">
        <v>9297</v>
      </c>
      <c r="F11522" t="s">
        <v>88</v>
      </c>
      <c r="G11522" t="s">
        <v>88</v>
      </c>
      <c r="H11522" t="s">
        <v>92</v>
      </c>
    </row>
    <row r="11523" spans="1:8" x14ac:dyDescent="0.25">
      <c r="A11523" t="s">
        <v>344</v>
      </c>
      <c r="B11523" t="s">
        <v>4320</v>
      </c>
      <c r="C11523" t="s">
        <v>88</v>
      </c>
      <c r="D11523" t="s">
        <v>9218</v>
      </c>
      <c r="E11523" t="s">
        <v>1171</v>
      </c>
      <c r="F11523" t="s">
        <v>88</v>
      </c>
      <c r="G11523" t="s">
        <v>88</v>
      </c>
      <c r="H11523" t="s">
        <v>92</v>
      </c>
    </row>
    <row r="11524" spans="1:8" x14ac:dyDescent="0.25">
      <c r="A11524" t="s">
        <v>344</v>
      </c>
      <c r="B11524" t="s">
        <v>4322</v>
      </c>
      <c r="C11524" t="s">
        <v>88</v>
      </c>
      <c r="D11524" t="s">
        <v>9219</v>
      </c>
      <c r="E11524" t="s">
        <v>9297</v>
      </c>
      <c r="F11524" t="s">
        <v>88</v>
      </c>
      <c r="G11524" t="s">
        <v>88</v>
      </c>
      <c r="H11524" t="s">
        <v>92</v>
      </c>
    </row>
    <row r="11525" spans="1:8" x14ac:dyDescent="0.25">
      <c r="A11525" t="s">
        <v>344</v>
      </c>
      <c r="B11525" t="s">
        <v>9270</v>
      </c>
      <c r="C11525" t="s">
        <v>88</v>
      </c>
      <c r="D11525" t="s">
        <v>9221</v>
      </c>
      <c r="E11525" t="s">
        <v>1171</v>
      </c>
      <c r="F11525" t="s">
        <v>88</v>
      </c>
      <c r="G11525" t="s">
        <v>88</v>
      </c>
      <c r="H11525" t="s">
        <v>92</v>
      </c>
    </row>
    <row r="11526" spans="1:8" x14ac:dyDescent="0.25">
      <c r="A11526" t="s">
        <v>344</v>
      </c>
      <c r="B11526" t="s">
        <v>4304</v>
      </c>
      <c r="C11526" t="s">
        <v>88</v>
      </c>
      <c r="D11526" t="s">
        <v>9222</v>
      </c>
      <c r="E11526" t="s">
        <v>4294</v>
      </c>
      <c r="F11526" t="s">
        <v>88</v>
      </c>
      <c r="G11526" t="s">
        <v>88</v>
      </c>
      <c r="H11526" t="s">
        <v>92</v>
      </c>
    </row>
    <row r="11527" spans="1:8" x14ac:dyDescent="0.25">
      <c r="A11527" t="s">
        <v>344</v>
      </c>
      <c r="B11527" t="s">
        <v>7732</v>
      </c>
      <c r="C11527" t="s">
        <v>88</v>
      </c>
      <c r="D11527" t="s">
        <v>9223</v>
      </c>
      <c r="E11527" t="s">
        <v>9298</v>
      </c>
      <c r="F11527" t="s">
        <v>88</v>
      </c>
      <c r="G11527" t="s">
        <v>88</v>
      </c>
      <c r="H11527" t="s">
        <v>92</v>
      </c>
    </row>
    <row r="11528" spans="1:8" x14ac:dyDescent="0.25">
      <c r="A11528" t="s">
        <v>344</v>
      </c>
      <c r="B11528" t="s">
        <v>9271</v>
      </c>
      <c r="C11528" t="s">
        <v>88</v>
      </c>
      <c r="D11528" t="s">
        <v>9225</v>
      </c>
      <c r="E11528" t="s">
        <v>9298</v>
      </c>
      <c r="F11528" t="s">
        <v>88</v>
      </c>
      <c r="G11528" t="s">
        <v>88</v>
      </c>
      <c r="H11528" t="s">
        <v>92</v>
      </c>
    </row>
    <row r="11529" spans="1:8" x14ac:dyDescent="0.25">
      <c r="A11529" t="s">
        <v>344</v>
      </c>
      <c r="B11529" t="s">
        <v>4300</v>
      </c>
      <c r="C11529" t="s">
        <v>88</v>
      </c>
      <c r="D11529" t="s">
        <v>9174</v>
      </c>
      <c r="E11529" t="s">
        <v>5831</v>
      </c>
      <c r="F11529" t="s">
        <v>88</v>
      </c>
      <c r="G11529" t="s">
        <v>88</v>
      </c>
      <c r="H11529" t="s">
        <v>92</v>
      </c>
    </row>
    <row r="11530" spans="1:8" x14ac:dyDescent="0.25">
      <c r="A11530" t="s">
        <v>344</v>
      </c>
      <c r="B11530" t="s">
        <v>4314</v>
      </c>
      <c r="C11530" t="s">
        <v>88</v>
      </c>
      <c r="D11530" t="s">
        <v>9226</v>
      </c>
      <c r="E11530" t="s">
        <v>9297</v>
      </c>
      <c r="F11530" t="s">
        <v>88</v>
      </c>
      <c r="G11530" t="s">
        <v>88</v>
      </c>
      <c r="H11530" t="s">
        <v>92</v>
      </c>
    </row>
    <row r="11531" spans="1:8" x14ac:dyDescent="0.25">
      <c r="A11531" t="s">
        <v>344</v>
      </c>
      <c r="B11531" t="s">
        <v>9166</v>
      </c>
      <c r="C11531" t="s">
        <v>88</v>
      </c>
      <c r="D11531" t="s">
        <v>9227</v>
      </c>
      <c r="E11531" t="s">
        <v>9298</v>
      </c>
      <c r="F11531" t="s">
        <v>88</v>
      </c>
      <c r="G11531" t="s">
        <v>88</v>
      </c>
      <c r="H11531" t="s">
        <v>92</v>
      </c>
    </row>
    <row r="11532" spans="1:8" x14ac:dyDescent="0.25">
      <c r="A11532" t="s">
        <v>344</v>
      </c>
      <c r="B11532" t="s">
        <v>9272</v>
      </c>
      <c r="C11532" t="s">
        <v>88</v>
      </c>
      <c r="D11532" t="s">
        <v>9229</v>
      </c>
      <c r="E11532" t="s">
        <v>9297</v>
      </c>
      <c r="F11532" t="s">
        <v>88</v>
      </c>
      <c r="G11532" t="s">
        <v>88</v>
      </c>
      <c r="H11532" t="s">
        <v>92</v>
      </c>
    </row>
    <row r="11533" spans="1:8" x14ac:dyDescent="0.25">
      <c r="A11533" t="s">
        <v>344</v>
      </c>
      <c r="B11533" t="s">
        <v>9273</v>
      </c>
      <c r="C11533" t="s">
        <v>88</v>
      </c>
      <c r="D11533" t="s">
        <v>9231</v>
      </c>
      <c r="E11533" t="s">
        <v>9299</v>
      </c>
      <c r="F11533" t="s">
        <v>88</v>
      </c>
      <c r="G11533" t="s">
        <v>88</v>
      </c>
      <c r="H11533" t="s">
        <v>92</v>
      </c>
    </row>
    <row r="11534" spans="1:8" x14ac:dyDescent="0.25">
      <c r="A11534" t="s">
        <v>344</v>
      </c>
      <c r="B11534" t="s">
        <v>3679</v>
      </c>
      <c r="C11534" t="s">
        <v>88</v>
      </c>
      <c r="D11534" t="s">
        <v>88</v>
      </c>
      <c r="E11534" t="s">
        <v>1323</v>
      </c>
      <c r="F11534" t="s">
        <v>88</v>
      </c>
      <c r="G11534" t="s">
        <v>88</v>
      </c>
      <c r="H11534" t="s">
        <v>92</v>
      </c>
    </row>
    <row r="11535" spans="1:8" x14ac:dyDescent="0.25">
      <c r="A11535" t="s">
        <v>344</v>
      </c>
      <c r="B11535" t="s">
        <v>9300</v>
      </c>
      <c r="C11535" t="s">
        <v>88</v>
      </c>
      <c r="D11535" t="s">
        <v>88</v>
      </c>
      <c r="E11535" t="s">
        <v>1323</v>
      </c>
      <c r="F11535" t="s">
        <v>88</v>
      </c>
      <c r="G11535" t="s">
        <v>88</v>
      </c>
      <c r="H11535" t="s">
        <v>92</v>
      </c>
    </row>
    <row r="11536" spans="1:8" x14ac:dyDescent="0.25">
      <c r="A11536" t="s">
        <v>344</v>
      </c>
      <c r="B11536" t="s">
        <v>9274</v>
      </c>
      <c r="C11536" t="s">
        <v>88</v>
      </c>
      <c r="D11536" t="s">
        <v>88</v>
      </c>
      <c r="E11536" t="s">
        <v>2360</v>
      </c>
      <c r="F11536" t="s">
        <v>88</v>
      </c>
      <c r="G11536" t="s">
        <v>88</v>
      </c>
      <c r="H11536" t="s">
        <v>92</v>
      </c>
    </row>
    <row r="11537" spans="1:8" x14ac:dyDescent="0.25">
      <c r="A11537" t="s">
        <v>344</v>
      </c>
      <c r="B11537" t="s">
        <v>3681</v>
      </c>
      <c r="C11537" t="s">
        <v>88</v>
      </c>
      <c r="D11537" t="s">
        <v>88</v>
      </c>
      <c r="E11537" t="s">
        <v>723</v>
      </c>
      <c r="F11537" t="s">
        <v>88</v>
      </c>
      <c r="G11537" t="s">
        <v>88</v>
      </c>
      <c r="H11537" t="s">
        <v>92</v>
      </c>
    </row>
    <row r="11538" spans="1:8" x14ac:dyDescent="0.25">
      <c r="A11538" t="s">
        <v>344</v>
      </c>
      <c r="B11538" t="s">
        <v>606</v>
      </c>
      <c r="C11538" t="s">
        <v>88</v>
      </c>
      <c r="D11538" t="s">
        <v>88</v>
      </c>
      <c r="E11538" t="s">
        <v>732</v>
      </c>
      <c r="F11538" t="s">
        <v>88</v>
      </c>
      <c r="G11538" t="s">
        <v>88</v>
      </c>
      <c r="H11538" t="s">
        <v>92</v>
      </c>
    </row>
    <row r="11539" spans="1:8" x14ac:dyDescent="0.25">
      <c r="A11539" t="s">
        <v>344</v>
      </c>
      <c r="B11539" t="s">
        <v>9275</v>
      </c>
      <c r="C11539" t="s">
        <v>88</v>
      </c>
      <c r="D11539" t="s">
        <v>88</v>
      </c>
      <c r="E11539" t="s">
        <v>738</v>
      </c>
      <c r="F11539" t="s">
        <v>88</v>
      </c>
      <c r="G11539" t="s">
        <v>88</v>
      </c>
      <c r="H11539" t="s">
        <v>92</v>
      </c>
    </row>
    <row r="11540" spans="1:8" x14ac:dyDescent="0.25">
      <c r="A11540" t="s">
        <v>344</v>
      </c>
      <c r="B11540" t="s">
        <v>7380</v>
      </c>
      <c r="C11540" t="s">
        <v>88</v>
      </c>
      <c r="D11540" t="s">
        <v>88</v>
      </c>
      <c r="E11540" t="s">
        <v>715</v>
      </c>
      <c r="F11540" t="s">
        <v>88</v>
      </c>
      <c r="G11540" t="s">
        <v>88</v>
      </c>
      <c r="H11540" t="s">
        <v>92</v>
      </c>
    </row>
    <row r="11541" spans="1:8" x14ac:dyDescent="0.25">
      <c r="A11541" t="s">
        <v>344</v>
      </c>
      <c r="B11541" t="s">
        <v>4329</v>
      </c>
      <c r="C11541" t="s">
        <v>88</v>
      </c>
      <c r="D11541" t="s">
        <v>88</v>
      </c>
      <c r="E11541" t="s">
        <v>1594</v>
      </c>
      <c r="F11541" t="s">
        <v>88</v>
      </c>
      <c r="G11541" t="s">
        <v>88</v>
      </c>
      <c r="H11541" t="s">
        <v>92</v>
      </c>
    </row>
    <row r="11542" spans="1:8" x14ac:dyDescent="0.25">
      <c r="A11542" t="s">
        <v>344</v>
      </c>
      <c r="B11542" t="s">
        <v>768</v>
      </c>
      <c r="C11542" t="s">
        <v>88</v>
      </c>
      <c r="D11542" t="s">
        <v>88</v>
      </c>
      <c r="E11542" t="s">
        <v>791</v>
      </c>
      <c r="F11542" t="s">
        <v>88</v>
      </c>
      <c r="G11542" t="s">
        <v>88</v>
      </c>
      <c r="H11542" t="s">
        <v>92</v>
      </c>
    </row>
    <row r="11543" spans="1:8" x14ac:dyDescent="0.25">
      <c r="A11543" t="s">
        <v>344</v>
      </c>
      <c r="B11543" t="s">
        <v>4328</v>
      </c>
      <c r="C11543" t="s">
        <v>88</v>
      </c>
      <c r="D11543" t="s">
        <v>88</v>
      </c>
      <c r="E11543" t="s">
        <v>738</v>
      </c>
      <c r="F11543" t="s">
        <v>88</v>
      </c>
      <c r="G11543" t="s">
        <v>88</v>
      </c>
      <c r="H11543" t="s">
        <v>92</v>
      </c>
    </row>
    <row r="11544" spans="1:8" x14ac:dyDescent="0.25">
      <c r="A11544" t="s">
        <v>344</v>
      </c>
      <c r="B11544" t="s">
        <v>8778</v>
      </c>
      <c r="C11544" t="s">
        <v>88</v>
      </c>
      <c r="D11544" t="s">
        <v>88</v>
      </c>
      <c r="E11544" t="s">
        <v>780</v>
      </c>
      <c r="F11544" t="s">
        <v>88</v>
      </c>
      <c r="G11544" t="s">
        <v>88</v>
      </c>
      <c r="H11544" t="s">
        <v>92</v>
      </c>
    </row>
    <row r="11545" spans="1:8" x14ac:dyDescent="0.25">
      <c r="A11545" t="s">
        <v>344</v>
      </c>
      <c r="B11545" t="s">
        <v>1794</v>
      </c>
      <c r="C11545" t="s">
        <v>88</v>
      </c>
      <c r="D11545" t="s">
        <v>9279</v>
      </c>
      <c r="E11545" t="s">
        <v>679</v>
      </c>
      <c r="F11545" t="s">
        <v>88</v>
      </c>
      <c r="G11545" t="s">
        <v>88</v>
      </c>
      <c r="H11545" t="s">
        <v>92</v>
      </c>
    </row>
    <row r="11546" spans="1:8" x14ac:dyDescent="0.25">
      <c r="A11546" t="s">
        <v>344</v>
      </c>
      <c r="B11546" t="s">
        <v>2349</v>
      </c>
      <c r="C11546" t="s">
        <v>88</v>
      </c>
      <c r="D11546" t="s">
        <v>9281</v>
      </c>
      <c r="E11546" t="s">
        <v>717</v>
      </c>
      <c r="F11546" t="s">
        <v>88</v>
      </c>
      <c r="G11546" t="s">
        <v>88</v>
      </c>
      <c r="H11546" t="s">
        <v>92</v>
      </c>
    </row>
    <row r="11547" spans="1:8" x14ac:dyDescent="0.25">
      <c r="A11547" t="s">
        <v>344</v>
      </c>
      <c r="B11547" t="s">
        <v>3457</v>
      </c>
      <c r="C11547" t="s">
        <v>88</v>
      </c>
      <c r="D11547" t="s">
        <v>9278</v>
      </c>
      <c r="E11547" t="s">
        <v>717</v>
      </c>
      <c r="F11547" t="s">
        <v>88</v>
      </c>
      <c r="G11547" t="s">
        <v>88</v>
      </c>
      <c r="H11547" t="s">
        <v>92</v>
      </c>
    </row>
    <row r="11548" spans="1:8" x14ac:dyDescent="0.25">
      <c r="A11548" t="s">
        <v>344</v>
      </c>
      <c r="B11548" t="s">
        <v>9276</v>
      </c>
      <c r="C11548" t="s">
        <v>88</v>
      </c>
      <c r="D11548" t="s">
        <v>9277</v>
      </c>
      <c r="E11548" t="s">
        <v>725</v>
      </c>
      <c r="F11548" t="s">
        <v>88</v>
      </c>
      <c r="G11548" t="s">
        <v>88</v>
      </c>
      <c r="H11548" t="s">
        <v>92</v>
      </c>
    </row>
    <row r="11549" spans="1:8" x14ac:dyDescent="0.25">
      <c r="A11549" t="s">
        <v>344</v>
      </c>
      <c r="B11549" t="s">
        <v>701</v>
      </c>
      <c r="C11549" t="s">
        <v>88</v>
      </c>
      <c r="D11549" t="s">
        <v>88</v>
      </c>
      <c r="E11549" t="s">
        <v>732</v>
      </c>
      <c r="F11549" t="s">
        <v>88</v>
      </c>
      <c r="G11549" t="s">
        <v>88</v>
      </c>
      <c r="H11549" t="s">
        <v>92</v>
      </c>
    </row>
    <row r="11550" spans="1:8" x14ac:dyDescent="0.25">
      <c r="A11550" t="s">
        <v>344</v>
      </c>
      <c r="B11550" t="s">
        <v>703</v>
      </c>
      <c r="C11550" t="s">
        <v>88</v>
      </c>
      <c r="D11550" t="s">
        <v>88</v>
      </c>
      <c r="E11550" t="s">
        <v>732</v>
      </c>
      <c r="F11550" t="s">
        <v>88</v>
      </c>
      <c r="G11550" t="s">
        <v>88</v>
      </c>
      <c r="H11550" t="s">
        <v>92</v>
      </c>
    </row>
    <row r="11551" spans="1:8" x14ac:dyDescent="0.25">
      <c r="A11551" t="s">
        <v>344</v>
      </c>
      <c r="B11551" t="s">
        <v>704</v>
      </c>
      <c r="C11551" t="s">
        <v>88</v>
      </c>
      <c r="D11551" t="s">
        <v>88</v>
      </c>
      <c r="E11551" t="s">
        <v>732</v>
      </c>
      <c r="F11551" t="s">
        <v>88</v>
      </c>
      <c r="G11551" t="s">
        <v>88</v>
      </c>
      <c r="H11551" t="s">
        <v>92</v>
      </c>
    </row>
    <row r="11552" spans="1:8" x14ac:dyDescent="0.25">
      <c r="A11552" t="s">
        <v>344</v>
      </c>
      <c r="B11552" t="s">
        <v>705</v>
      </c>
      <c r="C11552" t="s">
        <v>88</v>
      </c>
      <c r="D11552" t="s">
        <v>88</v>
      </c>
      <c r="E11552" t="s">
        <v>732</v>
      </c>
      <c r="F11552" t="s">
        <v>88</v>
      </c>
      <c r="G11552" t="s">
        <v>88</v>
      </c>
      <c r="H11552" t="s">
        <v>92</v>
      </c>
    </row>
    <row r="11553" spans="1:8" x14ac:dyDescent="0.25">
      <c r="A11553" t="s">
        <v>344</v>
      </c>
      <c r="B11553" t="s">
        <v>706</v>
      </c>
      <c r="C11553" t="s">
        <v>88</v>
      </c>
      <c r="D11553" t="s">
        <v>88</v>
      </c>
      <c r="E11553" t="s">
        <v>732</v>
      </c>
      <c r="F11553" t="s">
        <v>88</v>
      </c>
      <c r="G11553" t="s">
        <v>88</v>
      </c>
      <c r="H11553" t="s">
        <v>92</v>
      </c>
    </row>
    <row r="11554" spans="1:8" x14ac:dyDescent="0.25">
      <c r="A11554" t="s">
        <v>344</v>
      </c>
      <c r="B11554" t="s">
        <v>707</v>
      </c>
      <c r="C11554" t="s">
        <v>88</v>
      </c>
      <c r="D11554" t="s">
        <v>88</v>
      </c>
      <c r="E11554" t="s">
        <v>732</v>
      </c>
      <c r="F11554" t="s">
        <v>88</v>
      </c>
      <c r="G11554" t="s">
        <v>88</v>
      </c>
      <c r="H11554" t="s">
        <v>92</v>
      </c>
    </row>
    <row r="11555" spans="1:8" x14ac:dyDescent="0.25">
      <c r="A11555" t="s">
        <v>344</v>
      </c>
      <c r="B11555" t="s">
        <v>9282</v>
      </c>
      <c r="C11555" t="s">
        <v>88</v>
      </c>
      <c r="D11555" t="s">
        <v>88</v>
      </c>
      <c r="E11555" t="s">
        <v>732</v>
      </c>
      <c r="F11555" t="s">
        <v>88</v>
      </c>
      <c r="G11555" t="s">
        <v>88</v>
      </c>
      <c r="H11555" t="s">
        <v>92</v>
      </c>
    </row>
    <row r="11556" spans="1:8" x14ac:dyDescent="0.25">
      <c r="A11556" t="s">
        <v>344</v>
      </c>
      <c r="B11556" t="s">
        <v>733</v>
      </c>
      <c r="C11556" t="s">
        <v>88</v>
      </c>
      <c r="D11556" t="s">
        <v>88</v>
      </c>
      <c r="E11556" t="s">
        <v>732</v>
      </c>
      <c r="F11556" t="s">
        <v>88</v>
      </c>
      <c r="G11556" t="s">
        <v>88</v>
      </c>
      <c r="H11556" t="s">
        <v>92</v>
      </c>
    </row>
    <row r="11557" spans="1:8" x14ac:dyDescent="0.25">
      <c r="A11557" t="s">
        <v>344</v>
      </c>
      <c r="B11557" t="s">
        <v>708</v>
      </c>
      <c r="C11557" t="s">
        <v>88</v>
      </c>
      <c r="D11557" t="s">
        <v>88</v>
      </c>
      <c r="E11557" t="s">
        <v>732</v>
      </c>
      <c r="F11557" t="s">
        <v>88</v>
      </c>
      <c r="G11557" t="s">
        <v>88</v>
      </c>
      <c r="H11557" t="s">
        <v>92</v>
      </c>
    </row>
    <row r="11558" spans="1:8" x14ac:dyDescent="0.25">
      <c r="A11558" t="s">
        <v>344</v>
      </c>
      <c r="B11558" t="s">
        <v>618</v>
      </c>
      <c r="C11558" t="s">
        <v>88</v>
      </c>
      <c r="D11558" t="s">
        <v>88</v>
      </c>
      <c r="E11558" t="s">
        <v>709</v>
      </c>
      <c r="F11558" t="s">
        <v>88</v>
      </c>
      <c r="G11558" t="s">
        <v>88</v>
      </c>
      <c r="H11558" t="s">
        <v>92</v>
      </c>
    </row>
    <row r="11559" spans="1:8" x14ac:dyDescent="0.25">
      <c r="A11559" t="s">
        <v>344</v>
      </c>
      <c r="B11559" t="s">
        <v>620</v>
      </c>
      <c r="C11559" t="s">
        <v>88</v>
      </c>
      <c r="D11559" t="s">
        <v>88</v>
      </c>
      <c r="E11559" t="s">
        <v>1978</v>
      </c>
      <c r="F11559" t="s">
        <v>88</v>
      </c>
      <c r="G11559" t="s">
        <v>88</v>
      </c>
      <c r="H11559" t="s">
        <v>92</v>
      </c>
    </row>
    <row r="11560" spans="1:8" x14ac:dyDescent="0.25">
      <c r="A11560" t="s">
        <v>344</v>
      </c>
      <c r="B11560" t="s">
        <v>622</v>
      </c>
      <c r="C11560" t="s">
        <v>88</v>
      </c>
      <c r="D11560" t="s">
        <v>88</v>
      </c>
      <c r="E11560" t="s">
        <v>848</v>
      </c>
      <c r="F11560" t="s">
        <v>88</v>
      </c>
      <c r="G11560" t="s">
        <v>88</v>
      </c>
      <c r="H11560" t="s">
        <v>92</v>
      </c>
    </row>
    <row r="11561" spans="1:8" x14ac:dyDescent="0.25">
      <c r="A11561" t="s">
        <v>344</v>
      </c>
      <c r="B11561" t="s">
        <v>623</v>
      </c>
      <c r="C11561" t="s">
        <v>88</v>
      </c>
      <c r="D11561" t="s">
        <v>88</v>
      </c>
      <c r="E11561" t="s">
        <v>713</v>
      </c>
      <c r="F11561" t="s">
        <v>88</v>
      </c>
      <c r="G11561" t="s">
        <v>88</v>
      </c>
      <c r="H11561" t="s">
        <v>92</v>
      </c>
    </row>
    <row r="11562" spans="1:8" x14ac:dyDescent="0.25">
      <c r="A11562" t="s">
        <v>344</v>
      </c>
      <c r="B11562" t="s">
        <v>714</v>
      </c>
      <c r="C11562" t="s">
        <v>88</v>
      </c>
      <c r="D11562" t="s">
        <v>88</v>
      </c>
      <c r="E11562" t="s">
        <v>791</v>
      </c>
      <c r="F11562" t="s">
        <v>88</v>
      </c>
      <c r="G11562" t="s">
        <v>88</v>
      </c>
      <c r="H11562" t="s">
        <v>92</v>
      </c>
    </row>
    <row r="11563" spans="1:8" x14ac:dyDescent="0.25">
      <c r="A11563" t="s">
        <v>344</v>
      </c>
      <c r="B11563" t="s">
        <v>998</v>
      </c>
      <c r="C11563" t="s">
        <v>88</v>
      </c>
      <c r="D11563" t="s">
        <v>88</v>
      </c>
      <c r="E11563" t="s">
        <v>791</v>
      </c>
      <c r="F11563" t="s">
        <v>88</v>
      </c>
      <c r="G11563" t="s">
        <v>88</v>
      </c>
      <c r="H11563" t="s">
        <v>92</v>
      </c>
    </row>
    <row r="11564" spans="1:8" x14ac:dyDescent="0.25">
      <c r="A11564" t="s">
        <v>344</v>
      </c>
      <c r="B11564" t="s">
        <v>1612</v>
      </c>
      <c r="C11564" t="s">
        <v>88</v>
      </c>
      <c r="D11564" t="s">
        <v>88</v>
      </c>
      <c r="E11564" t="s">
        <v>735</v>
      </c>
      <c r="F11564" t="s">
        <v>88</v>
      </c>
      <c r="G11564" t="s">
        <v>88</v>
      </c>
      <c r="H11564" t="s">
        <v>92</v>
      </c>
    </row>
    <row r="11565" spans="1:8" x14ac:dyDescent="0.25">
      <c r="A11565" t="s">
        <v>344</v>
      </c>
      <c r="B11565" t="s">
        <v>2579</v>
      </c>
      <c r="C11565" t="s">
        <v>88</v>
      </c>
      <c r="D11565" t="s">
        <v>88</v>
      </c>
      <c r="E11565" t="s">
        <v>735</v>
      </c>
      <c r="F11565" t="s">
        <v>88</v>
      </c>
      <c r="G11565" t="s">
        <v>88</v>
      </c>
      <c r="H11565" t="s">
        <v>92</v>
      </c>
    </row>
    <row r="11566" spans="1:8" x14ac:dyDescent="0.25">
      <c r="A11566" t="s">
        <v>344</v>
      </c>
      <c r="B11566" t="s">
        <v>9283</v>
      </c>
      <c r="C11566" t="s">
        <v>88</v>
      </c>
      <c r="D11566" t="s">
        <v>88</v>
      </c>
      <c r="E11566" t="s">
        <v>735</v>
      </c>
      <c r="F11566" t="s">
        <v>88</v>
      </c>
      <c r="G11566" t="s">
        <v>88</v>
      </c>
      <c r="H11566" t="s">
        <v>92</v>
      </c>
    </row>
    <row r="11567" spans="1:8" x14ac:dyDescent="0.25">
      <c r="A11567" t="s">
        <v>344</v>
      </c>
      <c r="B11567" t="s">
        <v>2573</v>
      </c>
      <c r="C11567" t="s">
        <v>88</v>
      </c>
      <c r="D11567" t="s">
        <v>88</v>
      </c>
      <c r="E11567" t="s">
        <v>735</v>
      </c>
      <c r="F11567" t="s">
        <v>88</v>
      </c>
      <c r="G11567" t="s">
        <v>88</v>
      </c>
      <c r="H11567" t="s">
        <v>92</v>
      </c>
    </row>
    <row r="11568" spans="1:8" x14ac:dyDescent="0.25">
      <c r="A11568" t="s">
        <v>344</v>
      </c>
      <c r="B11568" t="s">
        <v>625</v>
      </c>
      <c r="C11568" t="s">
        <v>88</v>
      </c>
      <c r="D11568" t="s">
        <v>88</v>
      </c>
      <c r="E11568" t="s">
        <v>626</v>
      </c>
      <c r="F11568" t="s">
        <v>88</v>
      </c>
      <c r="G11568" t="s">
        <v>88</v>
      </c>
      <c r="H11568" t="s">
        <v>92</v>
      </c>
    </row>
    <row r="11569" spans="1:8" x14ac:dyDescent="0.25">
      <c r="A11569" t="s">
        <v>345</v>
      </c>
      <c r="B11569" t="s">
        <v>4158</v>
      </c>
      <c r="C11569" t="s">
        <v>88</v>
      </c>
      <c r="D11569" t="s">
        <v>4159</v>
      </c>
      <c r="E11569" t="s">
        <v>700</v>
      </c>
      <c r="F11569" t="s">
        <v>88</v>
      </c>
      <c r="G11569" t="s">
        <v>88</v>
      </c>
      <c r="H11569" t="s">
        <v>92</v>
      </c>
    </row>
    <row r="11570" spans="1:8" x14ac:dyDescent="0.25">
      <c r="A11570" t="s">
        <v>345</v>
      </c>
      <c r="B11570" t="s">
        <v>7547</v>
      </c>
      <c r="C11570" t="s">
        <v>88</v>
      </c>
      <c r="D11570" t="s">
        <v>7454</v>
      </c>
      <c r="E11570" t="s">
        <v>3593</v>
      </c>
      <c r="F11570" t="s">
        <v>88</v>
      </c>
      <c r="G11570" t="s">
        <v>88</v>
      </c>
      <c r="H11570" t="s">
        <v>92</v>
      </c>
    </row>
    <row r="11571" spans="1:8" x14ac:dyDescent="0.25">
      <c r="A11571" t="s">
        <v>345</v>
      </c>
      <c r="B11571" t="s">
        <v>8863</v>
      </c>
      <c r="C11571" t="s">
        <v>88</v>
      </c>
      <c r="D11571" t="s">
        <v>4176</v>
      </c>
      <c r="E11571" t="s">
        <v>1006</v>
      </c>
      <c r="F11571" t="s">
        <v>88</v>
      </c>
      <c r="G11571" t="s">
        <v>88</v>
      </c>
      <c r="H11571" t="s">
        <v>92</v>
      </c>
    </row>
    <row r="11572" spans="1:8" x14ac:dyDescent="0.25">
      <c r="A11572" t="s">
        <v>345</v>
      </c>
      <c r="B11572" t="s">
        <v>9172</v>
      </c>
      <c r="C11572" t="s">
        <v>88</v>
      </c>
      <c r="D11572" t="s">
        <v>9173</v>
      </c>
      <c r="E11572" t="s">
        <v>836</v>
      </c>
      <c r="F11572" t="s">
        <v>88</v>
      </c>
      <c r="G11572" t="s">
        <v>88</v>
      </c>
      <c r="H11572" t="s">
        <v>92</v>
      </c>
    </row>
    <row r="11573" spans="1:8" x14ac:dyDescent="0.25">
      <c r="A11573" t="s">
        <v>345</v>
      </c>
      <c r="B11573" t="s">
        <v>9286</v>
      </c>
      <c r="C11573" t="s">
        <v>88</v>
      </c>
      <c r="D11573" t="s">
        <v>9287</v>
      </c>
      <c r="E11573" t="s">
        <v>676</v>
      </c>
      <c r="F11573" t="s">
        <v>88</v>
      </c>
      <c r="G11573" t="s">
        <v>88</v>
      </c>
      <c r="H11573" t="s">
        <v>92</v>
      </c>
    </row>
    <row r="11574" spans="1:8" x14ac:dyDescent="0.25">
      <c r="A11574" t="s">
        <v>345</v>
      </c>
      <c r="B11574" t="s">
        <v>7547</v>
      </c>
      <c r="C11574" t="s">
        <v>88</v>
      </c>
      <c r="D11574" t="s">
        <v>7454</v>
      </c>
      <c r="E11574" t="s">
        <v>3593</v>
      </c>
      <c r="F11574" t="s">
        <v>88</v>
      </c>
      <c r="G11574" t="s">
        <v>88</v>
      </c>
      <c r="H11574" t="s">
        <v>92</v>
      </c>
    </row>
    <row r="11575" spans="1:8" x14ac:dyDescent="0.25">
      <c r="A11575" t="s">
        <v>345</v>
      </c>
      <c r="B11575" t="s">
        <v>9288</v>
      </c>
      <c r="C11575" t="s">
        <v>88</v>
      </c>
      <c r="D11575" t="s">
        <v>9289</v>
      </c>
      <c r="E11575" t="s">
        <v>1756</v>
      </c>
      <c r="F11575" t="s">
        <v>88</v>
      </c>
      <c r="G11575" t="s">
        <v>88</v>
      </c>
      <c r="H11575" t="s">
        <v>92</v>
      </c>
    </row>
    <row r="11576" spans="1:8" x14ac:dyDescent="0.25">
      <c r="A11576" t="s">
        <v>345</v>
      </c>
      <c r="B11576" t="s">
        <v>9290</v>
      </c>
      <c r="C11576" t="s">
        <v>88</v>
      </c>
      <c r="D11576" t="s">
        <v>9291</v>
      </c>
      <c r="E11576" t="s">
        <v>4397</v>
      </c>
      <c r="F11576" t="s">
        <v>88</v>
      </c>
      <c r="G11576" t="s">
        <v>88</v>
      </c>
      <c r="H11576" t="s">
        <v>92</v>
      </c>
    </row>
    <row r="11577" spans="1:8" x14ac:dyDescent="0.25">
      <c r="A11577" t="s">
        <v>345</v>
      </c>
      <c r="B11577" t="s">
        <v>4156</v>
      </c>
      <c r="C11577" t="s">
        <v>88</v>
      </c>
      <c r="D11577" t="s">
        <v>9292</v>
      </c>
      <c r="E11577" t="s">
        <v>902</v>
      </c>
      <c r="F11577" t="s">
        <v>88</v>
      </c>
      <c r="G11577" t="s">
        <v>88</v>
      </c>
      <c r="H11577" t="s">
        <v>92</v>
      </c>
    </row>
    <row r="11578" spans="1:8" x14ac:dyDescent="0.25">
      <c r="A11578" t="s">
        <v>345</v>
      </c>
      <c r="B11578" t="s">
        <v>8863</v>
      </c>
      <c r="C11578" t="s">
        <v>88</v>
      </c>
      <c r="D11578" t="s">
        <v>4176</v>
      </c>
      <c r="E11578" t="s">
        <v>1006</v>
      </c>
      <c r="F11578" t="s">
        <v>88</v>
      </c>
      <c r="G11578" t="s">
        <v>88</v>
      </c>
      <c r="H11578" t="s">
        <v>92</v>
      </c>
    </row>
    <row r="11579" spans="1:8" x14ac:dyDescent="0.25">
      <c r="A11579" t="s">
        <v>345</v>
      </c>
      <c r="B11579" t="s">
        <v>9286</v>
      </c>
      <c r="C11579" t="s">
        <v>88</v>
      </c>
      <c r="D11579" t="s">
        <v>9287</v>
      </c>
      <c r="E11579" t="s">
        <v>676</v>
      </c>
      <c r="F11579" t="s">
        <v>88</v>
      </c>
      <c r="G11579" t="s">
        <v>88</v>
      </c>
      <c r="H11579" t="s">
        <v>92</v>
      </c>
    </row>
    <row r="11580" spans="1:8" x14ac:dyDescent="0.25">
      <c r="A11580" t="s">
        <v>345</v>
      </c>
      <c r="B11580" t="s">
        <v>7246</v>
      </c>
      <c r="C11580" t="s">
        <v>88</v>
      </c>
      <c r="D11580" t="s">
        <v>9293</v>
      </c>
      <c r="E11580" t="s">
        <v>1135</v>
      </c>
      <c r="F11580" t="s">
        <v>88</v>
      </c>
      <c r="G11580" t="s">
        <v>88</v>
      </c>
      <c r="H11580" t="s">
        <v>92</v>
      </c>
    </row>
    <row r="11581" spans="1:8" x14ac:dyDescent="0.25">
      <c r="A11581" t="s">
        <v>345</v>
      </c>
      <c r="B11581" t="s">
        <v>4194</v>
      </c>
      <c r="C11581" t="s">
        <v>88</v>
      </c>
      <c r="D11581" t="s">
        <v>9179</v>
      </c>
      <c r="E11581" t="s">
        <v>979</v>
      </c>
      <c r="F11581" t="s">
        <v>88</v>
      </c>
      <c r="G11581" t="s">
        <v>88</v>
      </c>
      <c r="H11581" t="s">
        <v>92</v>
      </c>
    </row>
    <row r="11582" spans="1:8" x14ac:dyDescent="0.25">
      <c r="A11582" t="s">
        <v>345</v>
      </c>
      <c r="B11582" t="s">
        <v>8683</v>
      </c>
      <c r="C11582" t="s">
        <v>88</v>
      </c>
      <c r="D11582" t="s">
        <v>9180</v>
      </c>
      <c r="E11582" t="s">
        <v>979</v>
      </c>
      <c r="F11582" t="s">
        <v>88</v>
      </c>
      <c r="G11582" t="s">
        <v>88</v>
      </c>
      <c r="H11582" t="s">
        <v>92</v>
      </c>
    </row>
    <row r="11583" spans="1:8" x14ac:dyDescent="0.25">
      <c r="A11583" t="s">
        <v>345</v>
      </c>
      <c r="B11583" t="s">
        <v>4158</v>
      </c>
      <c r="C11583" t="s">
        <v>88</v>
      </c>
      <c r="D11583" t="s">
        <v>4159</v>
      </c>
      <c r="E11583" t="s">
        <v>700</v>
      </c>
      <c r="F11583" t="s">
        <v>88</v>
      </c>
      <c r="G11583" t="s">
        <v>88</v>
      </c>
      <c r="H11583" t="s">
        <v>92</v>
      </c>
    </row>
    <row r="11584" spans="1:8" x14ac:dyDescent="0.25">
      <c r="A11584" t="s">
        <v>345</v>
      </c>
      <c r="B11584" t="s">
        <v>7223</v>
      </c>
      <c r="C11584" t="s">
        <v>88</v>
      </c>
      <c r="D11584" t="s">
        <v>9181</v>
      </c>
      <c r="E11584" t="s">
        <v>893</v>
      </c>
      <c r="F11584" t="s">
        <v>88</v>
      </c>
      <c r="G11584" t="s">
        <v>88</v>
      </c>
      <c r="H11584" t="s">
        <v>92</v>
      </c>
    </row>
    <row r="11585" spans="1:8" x14ac:dyDescent="0.25">
      <c r="A11585" t="s">
        <v>345</v>
      </c>
      <c r="B11585" t="s">
        <v>7625</v>
      </c>
      <c r="C11585" t="s">
        <v>88</v>
      </c>
      <c r="D11585" t="s">
        <v>9182</v>
      </c>
      <c r="E11585" t="s">
        <v>760</v>
      </c>
      <c r="F11585" t="s">
        <v>88</v>
      </c>
      <c r="G11585" t="s">
        <v>88</v>
      </c>
      <c r="H11585" t="s">
        <v>92</v>
      </c>
    </row>
    <row r="11586" spans="1:8" x14ac:dyDescent="0.25">
      <c r="A11586" t="s">
        <v>345</v>
      </c>
      <c r="B11586" t="s">
        <v>9301</v>
      </c>
      <c r="C11586" t="s">
        <v>88</v>
      </c>
      <c r="D11586" t="s">
        <v>9302</v>
      </c>
      <c r="E11586" t="s">
        <v>883</v>
      </c>
      <c r="F11586" t="s">
        <v>88</v>
      </c>
      <c r="G11586" t="s">
        <v>88</v>
      </c>
      <c r="H11586" t="s">
        <v>92</v>
      </c>
    </row>
    <row r="11587" spans="1:8" x14ac:dyDescent="0.25">
      <c r="A11587" t="s">
        <v>345</v>
      </c>
      <c r="B11587" t="s">
        <v>7559</v>
      </c>
      <c r="C11587" t="s">
        <v>88</v>
      </c>
      <c r="D11587" t="s">
        <v>9303</v>
      </c>
      <c r="E11587" t="s">
        <v>825</v>
      </c>
      <c r="F11587" t="s">
        <v>88</v>
      </c>
      <c r="G11587" t="s">
        <v>88</v>
      </c>
      <c r="H11587" t="s">
        <v>92</v>
      </c>
    </row>
    <row r="11588" spans="1:8" x14ac:dyDescent="0.25">
      <c r="A11588" t="s">
        <v>345</v>
      </c>
      <c r="B11588" t="s">
        <v>4164</v>
      </c>
      <c r="C11588" t="s">
        <v>88</v>
      </c>
      <c r="D11588" t="s">
        <v>9183</v>
      </c>
      <c r="E11588" t="s">
        <v>760</v>
      </c>
      <c r="F11588" t="s">
        <v>88</v>
      </c>
      <c r="G11588" t="s">
        <v>88</v>
      </c>
      <c r="H11588" t="s">
        <v>92</v>
      </c>
    </row>
    <row r="11589" spans="1:8" x14ac:dyDescent="0.25">
      <c r="A11589" t="s">
        <v>345</v>
      </c>
      <c r="B11589" t="s">
        <v>4168</v>
      </c>
      <c r="C11589" t="s">
        <v>88</v>
      </c>
      <c r="D11589" t="s">
        <v>9184</v>
      </c>
      <c r="E11589" t="s">
        <v>893</v>
      </c>
      <c r="F11589" t="s">
        <v>88</v>
      </c>
      <c r="G11589" t="s">
        <v>88</v>
      </c>
      <c r="H11589" t="s">
        <v>92</v>
      </c>
    </row>
    <row r="11590" spans="1:8" x14ac:dyDescent="0.25">
      <c r="A11590" t="s">
        <v>345</v>
      </c>
      <c r="B11590" t="s">
        <v>9172</v>
      </c>
      <c r="C11590" t="s">
        <v>88</v>
      </c>
      <c r="D11590" t="s">
        <v>9173</v>
      </c>
      <c r="E11590" t="s">
        <v>836</v>
      </c>
      <c r="F11590" t="s">
        <v>88</v>
      </c>
      <c r="G11590" t="s">
        <v>88</v>
      </c>
      <c r="H11590" t="s">
        <v>92</v>
      </c>
    </row>
    <row r="11591" spans="1:8" x14ac:dyDescent="0.25">
      <c r="A11591" t="s">
        <v>345</v>
      </c>
      <c r="B11591" t="s">
        <v>7634</v>
      </c>
      <c r="C11591" t="s">
        <v>88</v>
      </c>
      <c r="D11591" t="s">
        <v>9185</v>
      </c>
      <c r="E11591" t="s">
        <v>979</v>
      </c>
      <c r="F11591" t="s">
        <v>88</v>
      </c>
      <c r="G11591" t="s">
        <v>88</v>
      </c>
      <c r="H11591" t="s">
        <v>92</v>
      </c>
    </row>
    <row r="11592" spans="1:8" x14ac:dyDescent="0.25">
      <c r="A11592" t="s">
        <v>345</v>
      </c>
      <c r="B11592" t="s">
        <v>4172</v>
      </c>
      <c r="C11592" t="s">
        <v>88</v>
      </c>
      <c r="D11592" t="s">
        <v>9186</v>
      </c>
      <c r="E11592" t="s">
        <v>844</v>
      </c>
      <c r="F11592" t="s">
        <v>88</v>
      </c>
      <c r="G11592" t="s">
        <v>88</v>
      </c>
      <c r="H11592" t="s">
        <v>92</v>
      </c>
    </row>
    <row r="11593" spans="1:8" x14ac:dyDescent="0.25">
      <c r="A11593" t="s">
        <v>345</v>
      </c>
      <c r="B11593" t="s">
        <v>630</v>
      </c>
      <c r="C11593" t="s">
        <v>88</v>
      </c>
      <c r="D11593" t="s">
        <v>9294</v>
      </c>
      <c r="E11593" t="s">
        <v>1006</v>
      </c>
      <c r="F11593" t="s">
        <v>88</v>
      </c>
      <c r="G11593" t="s">
        <v>88</v>
      </c>
      <c r="H11593" t="s">
        <v>92</v>
      </c>
    </row>
    <row r="11594" spans="1:8" x14ac:dyDescent="0.25">
      <c r="A11594" t="s">
        <v>345</v>
      </c>
      <c r="B11594" t="s">
        <v>8692</v>
      </c>
      <c r="C11594" t="s">
        <v>88</v>
      </c>
      <c r="D11594" t="s">
        <v>9187</v>
      </c>
      <c r="E11594" t="s">
        <v>692</v>
      </c>
      <c r="F11594" t="s">
        <v>88</v>
      </c>
      <c r="G11594" t="s">
        <v>88</v>
      </c>
      <c r="H11594" t="s">
        <v>92</v>
      </c>
    </row>
    <row r="11595" spans="1:8" x14ac:dyDescent="0.25">
      <c r="A11595" t="s">
        <v>345</v>
      </c>
      <c r="B11595" t="s">
        <v>9188</v>
      </c>
      <c r="C11595" t="s">
        <v>88</v>
      </c>
      <c r="D11595" t="s">
        <v>9189</v>
      </c>
      <c r="E11595" t="s">
        <v>979</v>
      </c>
      <c r="F11595" t="s">
        <v>88</v>
      </c>
      <c r="G11595" t="s">
        <v>88</v>
      </c>
      <c r="H11595" t="s">
        <v>92</v>
      </c>
    </row>
    <row r="11596" spans="1:8" x14ac:dyDescent="0.25">
      <c r="A11596" t="s">
        <v>345</v>
      </c>
      <c r="B11596" t="s">
        <v>9177</v>
      </c>
      <c r="C11596" t="s">
        <v>88</v>
      </c>
      <c r="D11596" t="s">
        <v>9178</v>
      </c>
      <c r="E11596" t="s">
        <v>979</v>
      </c>
      <c r="F11596" t="s">
        <v>88</v>
      </c>
      <c r="G11596" t="s">
        <v>88</v>
      </c>
      <c r="H11596" t="s">
        <v>92</v>
      </c>
    </row>
    <row r="11597" spans="1:8" x14ac:dyDescent="0.25">
      <c r="A11597" t="s">
        <v>345</v>
      </c>
      <c r="B11597" t="s">
        <v>9190</v>
      </c>
      <c r="C11597" t="s">
        <v>88</v>
      </c>
      <c r="D11597" t="s">
        <v>9187</v>
      </c>
      <c r="E11597" t="s">
        <v>692</v>
      </c>
      <c r="F11597" t="s">
        <v>88</v>
      </c>
      <c r="G11597" t="s">
        <v>88</v>
      </c>
      <c r="H11597" t="s">
        <v>92</v>
      </c>
    </row>
    <row r="11598" spans="1:8" x14ac:dyDescent="0.25">
      <c r="A11598" t="s">
        <v>345</v>
      </c>
      <c r="B11598" t="s">
        <v>7566</v>
      </c>
      <c r="C11598" t="s">
        <v>88</v>
      </c>
      <c r="D11598" t="s">
        <v>9191</v>
      </c>
      <c r="E11598" t="s">
        <v>1353</v>
      </c>
      <c r="F11598" t="s">
        <v>88</v>
      </c>
      <c r="G11598" t="s">
        <v>88</v>
      </c>
      <c r="H11598" t="s">
        <v>92</v>
      </c>
    </row>
    <row r="11599" spans="1:8" x14ac:dyDescent="0.25">
      <c r="A11599" t="s">
        <v>345</v>
      </c>
      <c r="B11599" t="s">
        <v>4181</v>
      </c>
      <c r="C11599" t="s">
        <v>88</v>
      </c>
      <c r="D11599" t="s">
        <v>9192</v>
      </c>
      <c r="E11599" t="s">
        <v>760</v>
      </c>
      <c r="F11599" t="s">
        <v>88</v>
      </c>
      <c r="G11599" t="s">
        <v>88</v>
      </c>
      <c r="H11599" t="s">
        <v>92</v>
      </c>
    </row>
    <row r="11600" spans="1:8" x14ac:dyDescent="0.25">
      <c r="A11600" t="s">
        <v>345</v>
      </c>
      <c r="B11600" t="s">
        <v>6309</v>
      </c>
      <c r="C11600" t="s">
        <v>88</v>
      </c>
      <c r="D11600" t="s">
        <v>9193</v>
      </c>
      <c r="E11600" t="s">
        <v>762</v>
      </c>
      <c r="F11600" t="s">
        <v>88</v>
      </c>
      <c r="G11600" t="s">
        <v>88</v>
      </c>
      <c r="H11600" t="s">
        <v>92</v>
      </c>
    </row>
    <row r="11601" spans="1:8" x14ac:dyDescent="0.25">
      <c r="A11601" t="s">
        <v>345</v>
      </c>
      <c r="B11601" t="s">
        <v>2586</v>
      </c>
      <c r="C11601" t="s">
        <v>88</v>
      </c>
      <c r="D11601" t="s">
        <v>7611</v>
      </c>
      <c r="E11601" t="s">
        <v>692</v>
      </c>
      <c r="F11601" t="s">
        <v>88</v>
      </c>
      <c r="G11601" t="s">
        <v>88</v>
      </c>
      <c r="H11601" t="s">
        <v>92</v>
      </c>
    </row>
    <row r="11602" spans="1:8" x14ac:dyDescent="0.25">
      <c r="A11602" t="s">
        <v>345</v>
      </c>
      <c r="B11602" t="s">
        <v>9194</v>
      </c>
      <c r="C11602" t="s">
        <v>88</v>
      </c>
      <c r="D11602" t="s">
        <v>9195</v>
      </c>
      <c r="E11602" t="s">
        <v>692</v>
      </c>
      <c r="F11602" t="s">
        <v>88</v>
      </c>
      <c r="G11602" t="s">
        <v>88</v>
      </c>
      <c r="H11602" t="s">
        <v>92</v>
      </c>
    </row>
    <row r="11603" spans="1:8" x14ac:dyDescent="0.25">
      <c r="A11603" t="s">
        <v>345</v>
      </c>
      <c r="B11603" t="s">
        <v>9304</v>
      </c>
      <c r="C11603" t="s">
        <v>88</v>
      </c>
      <c r="D11603" t="s">
        <v>9197</v>
      </c>
      <c r="E11603" t="s">
        <v>692</v>
      </c>
      <c r="F11603" t="s">
        <v>88</v>
      </c>
      <c r="G11603" t="s">
        <v>88</v>
      </c>
      <c r="H11603" t="s">
        <v>92</v>
      </c>
    </row>
    <row r="11604" spans="1:8" x14ac:dyDescent="0.25">
      <c r="A11604" t="s">
        <v>345</v>
      </c>
      <c r="B11604" t="s">
        <v>4196</v>
      </c>
      <c r="C11604" t="s">
        <v>88</v>
      </c>
      <c r="D11604" t="s">
        <v>9198</v>
      </c>
      <c r="E11604" t="s">
        <v>1241</v>
      </c>
      <c r="F11604" t="s">
        <v>88</v>
      </c>
      <c r="G11604" t="s">
        <v>88</v>
      </c>
      <c r="H11604" t="s">
        <v>92</v>
      </c>
    </row>
    <row r="11605" spans="1:8" x14ac:dyDescent="0.25">
      <c r="A11605" t="s">
        <v>345</v>
      </c>
      <c r="B11605" t="s">
        <v>9199</v>
      </c>
      <c r="C11605" t="s">
        <v>88</v>
      </c>
      <c r="D11605" t="s">
        <v>9200</v>
      </c>
      <c r="E11605" t="s">
        <v>893</v>
      </c>
      <c r="F11605" t="s">
        <v>88</v>
      </c>
      <c r="G11605" t="s">
        <v>88</v>
      </c>
      <c r="H11605" t="s">
        <v>92</v>
      </c>
    </row>
    <row r="11606" spans="1:8" x14ac:dyDescent="0.25">
      <c r="A11606" t="s">
        <v>345</v>
      </c>
      <c r="B11606" t="s">
        <v>671</v>
      </c>
      <c r="C11606" t="s">
        <v>88</v>
      </c>
      <c r="D11606" t="s">
        <v>4187</v>
      </c>
      <c r="E11606" t="s">
        <v>883</v>
      </c>
      <c r="F11606" t="s">
        <v>88</v>
      </c>
      <c r="G11606" t="s">
        <v>88</v>
      </c>
      <c r="H11606" t="s">
        <v>92</v>
      </c>
    </row>
    <row r="11607" spans="1:8" x14ac:dyDescent="0.25">
      <c r="A11607" t="s">
        <v>345</v>
      </c>
      <c r="B11607" t="s">
        <v>4190</v>
      </c>
      <c r="C11607" t="s">
        <v>88</v>
      </c>
      <c r="D11607" t="s">
        <v>4191</v>
      </c>
      <c r="E11607" t="s">
        <v>692</v>
      </c>
      <c r="F11607" t="s">
        <v>88</v>
      </c>
      <c r="G11607" t="s">
        <v>88</v>
      </c>
      <c r="H11607" t="s">
        <v>92</v>
      </c>
    </row>
    <row r="11608" spans="1:8" x14ac:dyDescent="0.25">
      <c r="A11608" t="s">
        <v>345</v>
      </c>
      <c r="B11608" t="s">
        <v>1859</v>
      </c>
      <c r="C11608" t="s">
        <v>88</v>
      </c>
      <c r="D11608" t="s">
        <v>2844</v>
      </c>
      <c r="E11608" t="s">
        <v>893</v>
      </c>
      <c r="F11608" t="s">
        <v>88</v>
      </c>
      <c r="G11608" t="s">
        <v>88</v>
      </c>
      <c r="H11608" t="s">
        <v>92</v>
      </c>
    </row>
    <row r="11609" spans="1:8" x14ac:dyDescent="0.25">
      <c r="A11609" t="s">
        <v>345</v>
      </c>
      <c r="B11609" t="s">
        <v>2965</v>
      </c>
      <c r="C11609" t="s">
        <v>88</v>
      </c>
      <c r="D11609" t="s">
        <v>7622</v>
      </c>
      <c r="E11609" t="s">
        <v>1353</v>
      </c>
      <c r="F11609" t="s">
        <v>88</v>
      </c>
      <c r="G11609" t="s">
        <v>88</v>
      </c>
      <c r="H11609" t="s">
        <v>92</v>
      </c>
    </row>
    <row r="11610" spans="1:8" x14ac:dyDescent="0.25">
      <c r="A11610" t="s">
        <v>345</v>
      </c>
      <c r="B11610" t="s">
        <v>8845</v>
      </c>
      <c r="C11610" t="s">
        <v>88</v>
      </c>
      <c r="D11610" t="s">
        <v>7616</v>
      </c>
      <c r="E11610" t="s">
        <v>655</v>
      </c>
      <c r="F11610" t="s">
        <v>88</v>
      </c>
      <c r="G11610" t="s">
        <v>88</v>
      </c>
      <c r="H11610" t="s">
        <v>92</v>
      </c>
    </row>
    <row r="11611" spans="1:8" x14ac:dyDescent="0.25">
      <c r="A11611" t="s">
        <v>345</v>
      </c>
      <c r="B11611" t="s">
        <v>4192</v>
      </c>
      <c r="C11611" t="s">
        <v>88</v>
      </c>
      <c r="D11611" t="s">
        <v>4193</v>
      </c>
      <c r="E11611" t="s">
        <v>893</v>
      </c>
      <c r="F11611" t="s">
        <v>88</v>
      </c>
      <c r="G11611" t="s">
        <v>88</v>
      </c>
      <c r="H11611" t="s">
        <v>92</v>
      </c>
    </row>
    <row r="11612" spans="1:8" x14ac:dyDescent="0.25">
      <c r="A11612" t="s">
        <v>345</v>
      </c>
      <c r="B11612" t="s">
        <v>4162</v>
      </c>
      <c r="C11612" t="s">
        <v>88</v>
      </c>
      <c r="D11612" t="s">
        <v>9201</v>
      </c>
      <c r="E11612" t="s">
        <v>893</v>
      </c>
      <c r="F11612" t="s">
        <v>88</v>
      </c>
      <c r="G11612" t="s">
        <v>88</v>
      </c>
      <c r="H11612" t="s">
        <v>92</v>
      </c>
    </row>
    <row r="11613" spans="1:8" x14ac:dyDescent="0.25">
      <c r="A11613" t="s">
        <v>345</v>
      </c>
      <c r="B11613" t="s">
        <v>8854</v>
      </c>
      <c r="C11613" t="s">
        <v>88</v>
      </c>
      <c r="D11613" t="s">
        <v>9202</v>
      </c>
      <c r="E11613" t="s">
        <v>893</v>
      </c>
      <c r="F11613" t="s">
        <v>88</v>
      </c>
      <c r="G11613" t="s">
        <v>88</v>
      </c>
      <c r="H11613" t="s">
        <v>92</v>
      </c>
    </row>
    <row r="11614" spans="1:8" x14ac:dyDescent="0.25">
      <c r="A11614" t="s">
        <v>345</v>
      </c>
      <c r="B11614" t="s">
        <v>9203</v>
      </c>
      <c r="C11614" t="s">
        <v>88</v>
      </c>
      <c r="D11614" t="s">
        <v>9204</v>
      </c>
      <c r="E11614" t="s">
        <v>700</v>
      </c>
      <c r="F11614" t="s">
        <v>88</v>
      </c>
      <c r="G11614" t="s">
        <v>88</v>
      </c>
      <c r="H11614" t="s">
        <v>92</v>
      </c>
    </row>
    <row r="11615" spans="1:8" x14ac:dyDescent="0.25">
      <c r="A11615" t="s">
        <v>345</v>
      </c>
      <c r="B11615" t="s">
        <v>9205</v>
      </c>
      <c r="C11615" t="s">
        <v>88</v>
      </c>
      <c r="D11615" t="s">
        <v>9206</v>
      </c>
      <c r="E11615" t="s">
        <v>700</v>
      </c>
      <c r="F11615" t="s">
        <v>88</v>
      </c>
      <c r="G11615" t="s">
        <v>88</v>
      </c>
      <c r="H11615" t="s">
        <v>92</v>
      </c>
    </row>
    <row r="11616" spans="1:8" x14ac:dyDescent="0.25">
      <c r="A11616" t="s">
        <v>345</v>
      </c>
      <c r="B11616" t="s">
        <v>7258</v>
      </c>
      <c r="C11616" t="s">
        <v>88</v>
      </c>
      <c r="D11616" t="s">
        <v>9207</v>
      </c>
      <c r="E11616" t="s">
        <v>700</v>
      </c>
      <c r="F11616" t="s">
        <v>88</v>
      </c>
      <c r="G11616" t="s">
        <v>88</v>
      </c>
      <c r="H11616" t="s">
        <v>92</v>
      </c>
    </row>
    <row r="11617" spans="1:8" x14ac:dyDescent="0.25">
      <c r="A11617" t="s">
        <v>345</v>
      </c>
      <c r="B11617" t="s">
        <v>4233</v>
      </c>
      <c r="C11617" t="s">
        <v>88</v>
      </c>
      <c r="D11617" t="s">
        <v>9208</v>
      </c>
      <c r="E11617" t="s">
        <v>700</v>
      </c>
      <c r="F11617" t="s">
        <v>88</v>
      </c>
      <c r="G11617" t="s">
        <v>88</v>
      </c>
      <c r="H11617" t="s">
        <v>92</v>
      </c>
    </row>
    <row r="11618" spans="1:8" x14ac:dyDescent="0.25">
      <c r="A11618" t="s">
        <v>345</v>
      </c>
      <c r="B11618" t="s">
        <v>9209</v>
      </c>
      <c r="C11618" t="s">
        <v>88</v>
      </c>
      <c r="D11618" t="s">
        <v>9176</v>
      </c>
      <c r="E11618" t="s">
        <v>700</v>
      </c>
      <c r="F11618" t="s">
        <v>88</v>
      </c>
      <c r="G11618" t="s">
        <v>88</v>
      </c>
      <c r="H11618" t="s">
        <v>92</v>
      </c>
    </row>
    <row r="11619" spans="1:8" x14ac:dyDescent="0.25">
      <c r="A11619" t="s">
        <v>345</v>
      </c>
      <c r="B11619" t="s">
        <v>9210</v>
      </c>
      <c r="C11619" t="s">
        <v>88</v>
      </c>
      <c r="D11619" t="s">
        <v>9211</v>
      </c>
      <c r="E11619" t="s">
        <v>700</v>
      </c>
      <c r="F11619" t="s">
        <v>88</v>
      </c>
      <c r="G11619" t="s">
        <v>88</v>
      </c>
      <c r="H11619" t="s">
        <v>92</v>
      </c>
    </row>
    <row r="11620" spans="1:8" x14ac:dyDescent="0.25">
      <c r="A11620" t="s">
        <v>345</v>
      </c>
      <c r="B11620" t="s">
        <v>9212</v>
      </c>
      <c r="C11620" t="s">
        <v>88</v>
      </c>
      <c r="D11620" t="s">
        <v>9213</v>
      </c>
      <c r="E11620" t="s">
        <v>700</v>
      </c>
      <c r="F11620" t="s">
        <v>88</v>
      </c>
      <c r="G11620" t="s">
        <v>88</v>
      </c>
      <c r="H11620" t="s">
        <v>92</v>
      </c>
    </row>
    <row r="11621" spans="1:8" x14ac:dyDescent="0.25">
      <c r="A11621" t="s">
        <v>345</v>
      </c>
      <c r="B11621" t="s">
        <v>9214</v>
      </c>
      <c r="C11621" t="s">
        <v>88</v>
      </c>
      <c r="D11621" t="s">
        <v>9215</v>
      </c>
      <c r="E11621" t="s">
        <v>748</v>
      </c>
      <c r="F11621" t="s">
        <v>88</v>
      </c>
      <c r="G11621" t="s">
        <v>88</v>
      </c>
      <c r="H11621" t="s">
        <v>92</v>
      </c>
    </row>
    <row r="11622" spans="1:8" x14ac:dyDescent="0.25">
      <c r="A11622" t="s">
        <v>345</v>
      </c>
      <c r="B11622" t="s">
        <v>4225</v>
      </c>
      <c r="C11622" t="s">
        <v>88</v>
      </c>
      <c r="D11622" t="s">
        <v>9216</v>
      </c>
      <c r="E11622" t="s">
        <v>748</v>
      </c>
      <c r="F11622" t="s">
        <v>88</v>
      </c>
      <c r="G11622" t="s">
        <v>88</v>
      </c>
      <c r="H11622" t="s">
        <v>92</v>
      </c>
    </row>
    <row r="11623" spans="1:8" x14ac:dyDescent="0.25">
      <c r="A11623" t="s">
        <v>345</v>
      </c>
      <c r="B11623" t="s">
        <v>4207</v>
      </c>
      <c r="C11623" t="s">
        <v>88</v>
      </c>
      <c r="D11623" t="s">
        <v>9217</v>
      </c>
      <c r="E11623" t="s">
        <v>700</v>
      </c>
      <c r="F11623" t="s">
        <v>88</v>
      </c>
      <c r="G11623" t="s">
        <v>88</v>
      </c>
      <c r="H11623" t="s">
        <v>92</v>
      </c>
    </row>
    <row r="11624" spans="1:8" x14ac:dyDescent="0.25">
      <c r="A11624" t="s">
        <v>345</v>
      </c>
      <c r="B11624" t="s">
        <v>4229</v>
      </c>
      <c r="C11624" t="s">
        <v>88</v>
      </c>
      <c r="D11624" t="s">
        <v>9218</v>
      </c>
      <c r="E11624" t="s">
        <v>717</v>
      </c>
      <c r="F11624" t="s">
        <v>88</v>
      </c>
      <c r="G11624" t="s">
        <v>88</v>
      </c>
      <c r="H11624" t="s">
        <v>92</v>
      </c>
    </row>
    <row r="11625" spans="1:8" x14ac:dyDescent="0.25">
      <c r="A11625" t="s">
        <v>345</v>
      </c>
      <c r="B11625" t="s">
        <v>4231</v>
      </c>
      <c r="C11625" t="s">
        <v>88</v>
      </c>
      <c r="D11625" t="s">
        <v>9219</v>
      </c>
      <c r="E11625" t="s">
        <v>700</v>
      </c>
      <c r="F11625" t="s">
        <v>88</v>
      </c>
      <c r="G11625" t="s">
        <v>88</v>
      </c>
      <c r="H11625" t="s">
        <v>92</v>
      </c>
    </row>
    <row r="11626" spans="1:8" x14ac:dyDescent="0.25">
      <c r="A11626" t="s">
        <v>345</v>
      </c>
      <c r="B11626" t="s">
        <v>9220</v>
      </c>
      <c r="C11626" t="s">
        <v>88</v>
      </c>
      <c r="D11626" t="s">
        <v>9221</v>
      </c>
      <c r="E11626" t="s">
        <v>717</v>
      </c>
      <c r="F11626" t="s">
        <v>88</v>
      </c>
      <c r="G11626" t="s">
        <v>88</v>
      </c>
      <c r="H11626" t="s">
        <v>92</v>
      </c>
    </row>
    <row r="11627" spans="1:8" x14ac:dyDescent="0.25">
      <c r="A11627" t="s">
        <v>345</v>
      </c>
      <c r="B11627" t="s">
        <v>4201</v>
      </c>
      <c r="C11627" t="s">
        <v>88</v>
      </c>
      <c r="D11627" t="s">
        <v>9222</v>
      </c>
      <c r="E11627" t="s">
        <v>748</v>
      </c>
      <c r="F11627" t="s">
        <v>88</v>
      </c>
      <c r="G11627" t="s">
        <v>88</v>
      </c>
      <c r="H11627" t="s">
        <v>92</v>
      </c>
    </row>
    <row r="11628" spans="1:8" x14ac:dyDescent="0.25">
      <c r="A11628" t="s">
        <v>345</v>
      </c>
      <c r="B11628" t="s">
        <v>9127</v>
      </c>
      <c r="C11628" t="s">
        <v>88</v>
      </c>
      <c r="D11628" t="s">
        <v>9223</v>
      </c>
      <c r="E11628" t="s">
        <v>655</v>
      </c>
      <c r="F11628" t="s">
        <v>88</v>
      </c>
      <c r="G11628" t="s">
        <v>88</v>
      </c>
      <c r="H11628" t="s">
        <v>92</v>
      </c>
    </row>
    <row r="11629" spans="1:8" x14ac:dyDescent="0.25">
      <c r="A11629" t="s">
        <v>345</v>
      </c>
      <c r="B11629" t="s">
        <v>9224</v>
      </c>
      <c r="C11629" t="s">
        <v>88</v>
      </c>
      <c r="D11629" t="s">
        <v>9225</v>
      </c>
      <c r="E11629" t="s">
        <v>655</v>
      </c>
      <c r="F11629" t="s">
        <v>88</v>
      </c>
      <c r="G11629" t="s">
        <v>88</v>
      </c>
      <c r="H11629" t="s">
        <v>92</v>
      </c>
    </row>
    <row r="11630" spans="1:8" x14ac:dyDescent="0.25">
      <c r="A11630" t="s">
        <v>345</v>
      </c>
      <c r="B11630" t="s">
        <v>4227</v>
      </c>
      <c r="C11630" t="s">
        <v>88</v>
      </c>
      <c r="D11630" t="s">
        <v>9174</v>
      </c>
      <c r="E11630" t="s">
        <v>883</v>
      </c>
      <c r="F11630" t="s">
        <v>88</v>
      </c>
      <c r="G11630" t="s">
        <v>88</v>
      </c>
      <c r="H11630" t="s">
        <v>92</v>
      </c>
    </row>
    <row r="11631" spans="1:8" x14ac:dyDescent="0.25">
      <c r="A11631" t="s">
        <v>345</v>
      </c>
      <c r="B11631" t="s">
        <v>4213</v>
      </c>
      <c r="C11631" t="s">
        <v>88</v>
      </c>
      <c r="D11631" t="s">
        <v>9226</v>
      </c>
      <c r="E11631" t="s">
        <v>717</v>
      </c>
      <c r="F11631" t="s">
        <v>88</v>
      </c>
      <c r="G11631" t="s">
        <v>88</v>
      </c>
      <c r="H11631" t="s">
        <v>92</v>
      </c>
    </row>
    <row r="11632" spans="1:8" x14ac:dyDescent="0.25">
      <c r="A11632" t="s">
        <v>345</v>
      </c>
      <c r="B11632" t="s">
        <v>9134</v>
      </c>
      <c r="C11632" t="s">
        <v>88</v>
      </c>
      <c r="D11632" t="s">
        <v>9227</v>
      </c>
      <c r="E11632" t="s">
        <v>655</v>
      </c>
      <c r="F11632" t="s">
        <v>88</v>
      </c>
      <c r="G11632" t="s">
        <v>88</v>
      </c>
      <c r="H11632" t="s">
        <v>92</v>
      </c>
    </row>
    <row r="11633" spans="1:8" x14ac:dyDescent="0.25">
      <c r="A11633" t="s">
        <v>345</v>
      </c>
      <c r="B11633" t="s">
        <v>9228</v>
      </c>
      <c r="C11633" t="s">
        <v>88</v>
      </c>
      <c r="D11633" t="s">
        <v>9229</v>
      </c>
      <c r="E11633" t="s">
        <v>700</v>
      </c>
      <c r="F11633" t="s">
        <v>88</v>
      </c>
      <c r="G11633" t="s">
        <v>88</v>
      </c>
      <c r="H11633" t="s">
        <v>92</v>
      </c>
    </row>
    <row r="11634" spans="1:8" x14ac:dyDescent="0.25">
      <c r="A11634" t="s">
        <v>345</v>
      </c>
      <c r="B11634" t="s">
        <v>9230</v>
      </c>
      <c r="C11634" t="s">
        <v>88</v>
      </c>
      <c r="D11634" t="s">
        <v>9231</v>
      </c>
      <c r="E11634" t="s">
        <v>655</v>
      </c>
      <c r="F11634" t="s">
        <v>88</v>
      </c>
      <c r="G11634" t="s">
        <v>88</v>
      </c>
      <c r="H11634" t="s">
        <v>92</v>
      </c>
    </row>
    <row r="11635" spans="1:8" x14ac:dyDescent="0.25">
      <c r="A11635" t="s">
        <v>345</v>
      </c>
      <c r="B11635" t="s">
        <v>9232</v>
      </c>
      <c r="C11635" t="s">
        <v>88</v>
      </c>
      <c r="D11635" t="s">
        <v>9204</v>
      </c>
      <c r="E11635" t="s">
        <v>692</v>
      </c>
      <c r="F11635" t="s">
        <v>88</v>
      </c>
      <c r="G11635" t="s">
        <v>88</v>
      </c>
      <c r="H11635" t="s">
        <v>92</v>
      </c>
    </row>
    <row r="11636" spans="1:8" x14ac:dyDescent="0.25">
      <c r="A11636" t="s">
        <v>345</v>
      </c>
      <c r="B11636" t="s">
        <v>9233</v>
      </c>
      <c r="C11636" t="s">
        <v>88</v>
      </c>
      <c r="D11636" t="s">
        <v>9206</v>
      </c>
      <c r="E11636" t="s">
        <v>692</v>
      </c>
      <c r="F11636" t="s">
        <v>88</v>
      </c>
      <c r="G11636" t="s">
        <v>88</v>
      </c>
      <c r="H11636" t="s">
        <v>92</v>
      </c>
    </row>
    <row r="11637" spans="1:8" x14ac:dyDescent="0.25">
      <c r="A11637" t="s">
        <v>345</v>
      </c>
      <c r="B11637" t="s">
        <v>7269</v>
      </c>
      <c r="C11637" t="s">
        <v>88</v>
      </c>
      <c r="D11637" t="s">
        <v>9207</v>
      </c>
      <c r="E11637" t="s">
        <v>692</v>
      </c>
      <c r="F11637" t="s">
        <v>88</v>
      </c>
      <c r="G11637" t="s">
        <v>88</v>
      </c>
      <c r="H11637" t="s">
        <v>92</v>
      </c>
    </row>
    <row r="11638" spans="1:8" x14ac:dyDescent="0.25">
      <c r="A11638" t="s">
        <v>345</v>
      </c>
      <c r="B11638" t="s">
        <v>4236</v>
      </c>
      <c r="C11638" t="s">
        <v>88</v>
      </c>
      <c r="D11638" t="s">
        <v>9208</v>
      </c>
      <c r="E11638" t="s">
        <v>692</v>
      </c>
      <c r="F11638" t="s">
        <v>88</v>
      </c>
      <c r="G11638" t="s">
        <v>88</v>
      </c>
      <c r="H11638" t="s">
        <v>92</v>
      </c>
    </row>
    <row r="11639" spans="1:8" x14ac:dyDescent="0.25">
      <c r="A11639" t="s">
        <v>345</v>
      </c>
      <c r="B11639" t="s">
        <v>9175</v>
      </c>
      <c r="C11639" t="s">
        <v>88</v>
      </c>
      <c r="D11639" t="s">
        <v>9176</v>
      </c>
      <c r="E11639" t="s">
        <v>692</v>
      </c>
      <c r="F11639" t="s">
        <v>88</v>
      </c>
      <c r="G11639" t="s">
        <v>88</v>
      </c>
      <c r="H11639" t="s">
        <v>92</v>
      </c>
    </row>
    <row r="11640" spans="1:8" x14ac:dyDescent="0.25">
      <c r="A11640" t="s">
        <v>345</v>
      </c>
      <c r="B11640" t="s">
        <v>9234</v>
      </c>
      <c r="C11640" t="s">
        <v>88</v>
      </c>
      <c r="D11640" t="s">
        <v>9211</v>
      </c>
      <c r="E11640" t="s">
        <v>692</v>
      </c>
      <c r="F11640" t="s">
        <v>88</v>
      </c>
      <c r="G11640" t="s">
        <v>88</v>
      </c>
      <c r="H11640" t="s">
        <v>92</v>
      </c>
    </row>
    <row r="11641" spans="1:8" x14ac:dyDescent="0.25">
      <c r="A11641" t="s">
        <v>345</v>
      </c>
      <c r="B11641" t="s">
        <v>9235</v>
      </c>
      <c r="C11641" t="s">
        <v>88</v>
      </c>
      <c r="D11641" t="s">
        <v>9213</v>
      </c>
      <c r="E11641" t="s">
        <v>692</v>
      </c>
      <c r="F11641" t="s">
        <v>88</v>
      </c>
      <c r="G11641" t="s">
        <v>88</v>
      </c>
      <c r="H11641" t="s">
        <v>92</v>
      </c>
    </row>
    <row r="11642" spans="1:8" x14ac:dyDescent="0.25">
      <c r="A11642" t="s">
        <v>345</v>
      </c>
      <c r="B11642" t="s">
        <v>9236</v>
      </c>
      <c r="C11642" t="s">
        <v>88</v>
      </c>
      <c r="D11642" t="s">
        <v>9215</v>
      </c>
      <c r="E11642" t="s">
        <v>692</v>
      </c>
      <c r="F11642" t="s">
        <v>88</v>
      </c>
      <c r="G11642" t="s">
        <v>88</v>
      </c>
      <c r="H11642" t="s">
        <v>92</v>
      </c>
    </row>
    <row r="11643" spans="1:8" x14ac:dyDescent="0.25">
      <c r="A11643" t="s">
        <v>345</v>
      </c>
      <c r="B11643" t="s">
        <v>4251</v>
      </c>
      <c r="C11643" t="s">
        <v>88</v>
      </c>
      <c r="D11643" t="s">
        <v>9216</v>
      </c>
      <c r="E11643" t="s">
        <v>1282</v>
      </c>
      <c r="F11643" t="s">
        <v>88</v>
      </c>
      <c r="G11643" t="s">
        <v>88</v>
      </c>
      <c r="H11643" t="s">
        <v>92</v>
      </c>
    </row>
    <row r="11644" spans="1:8" x14ac:dyDescent="0.25">
      <c r="A11644" t="s">
        <v>345</v>
      </c>
      <c r="B11644" t="s">
        <v>4244</v>
      </c>
      <c r="C11644" t="s">
        <v>88</v>
      </c>
      <c r="D11644" t="s">
        <v>9217</v>
      </c>
      <c r="E11644" t="s">
        <v>692</v>
      </c>
      <c r="F11644" t="s">
        <v>88</v>
      </c>
      <c r="G11644" t="s">
        <v>88</v>
      </c>
      <c r="H11644" t="s">
        <v>92</v>
      </c>
    </row>
    <row r="11645" spans="1:8" x14ac:dyDescent="0.25">
      <c r="A11645" t="s">
        <v>345</v>
      </c>
      <c r="B11645" t="s">
        <v>4249</v>
      </c>
      <c r="C11645" t="s">
        <v>88</v>
      </c>
      <c r="D11645" t="s">
        <v>9218</v>
      </c>
      <c r="E11645" t="s">
        <v>820</v>
      </c>
      <c r="F11645" t="s">
        <v>88</v>
      </c>
      <c r="G11645" t="s">
        <v>88</v>
      </c>
      <c r="H11645" t="s">
        <v>92</v>
      </c>
    </row>
    <row r="11646" spans="1:8" x14ac:dyDescent="0.25">
      <c r="A11646" t="s">
        <v>345</v>
      </c>
      <c r="B11646" t="s">
        <v>4242</v>
      </c>
      <c r="C11646" t="s">
        <v>88</v>
      </c>
      <c r="D11646" t="s">
        <v>9219</v>
      </c>
      <c r="E11646" t="s">
        <v>692</v>
      </c>
      <c r="F11646" t="s">
        <v>88</v>
      </c>
      <c r="G11646" t="s">
        <v>88</v>
      </c>
      <c r="H11646" t="s">
        <v>92</v>
      </c>
    </row>
    <row r="11647" spans="1:8" x14ac:dyDescent="0.25">
      <c r="A11647" t="s">
        <v>345</v>
      </c>
      <c r="B11647" t="s">
        <v>9237</v>
      </c>
      <c r="C11647" t="s">
        <v>88</v>
      </c>
      <c r="D11647" t="s">
        <v>9221</v>
      </c>
      <c r="E11647" t="s">
        <v>820</v>
      </c>
      <c r="F11647" t="s">
        <v>88</v>
      </c>
      <c r="G11647" t="s">
        <v>88</v>
      </c>
      <c r="H11647" t="s">
        <v>92</v>
      </c>
    </row>
    <row r="11648" spans="1:8" x14ac:dyDescent="0.25">
      <c r="A11648" t="s">
        <v>345</v>
      </c>
      <c r="B11648" t="s">
        <v>4238</v>
      </c>
      <c r="C11648" t="s">
        <v>88</v>
      </c>
      <c r="D11648" t="s">
        <v>9222</v>
      </c>
      <c r="E11648" t="s">
        <v>893</v>
      </c>
      <c r="F11648" t="s">
        <v>88</v>
      </c>
      <c r="G11648" t="s">
        <v>88</v>
      </c>
      <c r="H11648" t="s">
        <v>92</v>
      </c>
    </row>
    <row r="11649" spans="1:8" x14ac:dyDescent="0.25">
      <c r="A11649" t="s">
        <v>345</v>
      </c>
      <c r="B11649" t="s">
        <v>9137</v>
      </c>
      <c r="C11649" t="s">
        <v>88</v>
      </c>
      <c r="D11649" t="s">
        <v>9223</v>
      </c>
      <c r="E11649" t="s">
        <v>836</v>
      </c>
      <c r="F11649" t="s">
        <v>88</v>
      </c>
      <c r="G11649" t="s">
        <v>88</v>
      </c>
      <c r="H11649" t="s">
        <v>92</v>
      </c>
    </row>
    <row r="11650" spans="1:8" x14ac:dyDescent="0.25">
      <c r="A11650" t="s">
        <v>345</v>
      </c>
      <c r="B11650" t="s">
        <v>9238</v>
      </c>
      <c r="C11650" t="s">
        <v>88</v>
      </c>
      <c r="D11650" t="s">
        <v>9225</v>
      </c>
      <c r="E11650" t="s">
        <v>836</v>
      </c>
      <c r="F11650" t="s">
        <v>88</v>
      </c>
      <c r="G11650" t="s">
        <v>88</v>
      </c>
      <c r="H11650" t="s">
        <v>92</v>
      </c>
    </row>
    <row r="11651" spans="1:8" x14ac:dyDescent="0.25">
      <c r="A11651" t="s">
        <v>345</v>
      </c>
      <c r="B11651" t="s">
        <v>4248</v>
      </c>
      <c r="C11651" t="s">
        <v>88</v>
      </c>
      <c r="D11651" t="s">
        <v>9174</v>
      </c>
      <c r="E11651" t="s">
        <v>1006</v>
      </c>
      <c r="F11651" t="s">
        <v>88</v>
      </c>
      <c r="G11651" t="s">
        <v>88</v>
      </c>
      <c r="H11651" t="s">
        <v>92</v>
      </c>
    </row>
    <row r="11652" spans="1:8" x14ac:dyDescent="0.25">
      <c r="A11652" t="s">
        <v>345</v>
      </c>
      <c r="B11652" t="s">
        <v>4237</v>
      </c>
      <c r="C11652" t="s">
        <v>88</v>
      </c>
      <c r="D11652" t="s">
        <v>9226</v>
      </c>
      <c r="E11652" t="s">
        <v>820</v>
      </c>
      <c r="F11652" t="s">
        <v>88</v>
      </c>
      <c r="G11652" t="s">
        <v>88</v>
      </c>
      <c r="H11652" t="s">
        <v>92</v>
      </c>
    </row>
    <row r="11653" spans="1:8" x14ac:dyDescent="0.25">
      <c r="A11653" t="s">
        <v>345</v>
      </c>
      <c r="B11653" t="s">
        <v>9141</v>
      </c>
      <c r="C11653" t="s">
        <v>88</v>
      </c>
      <c r="D11653" t="s">
        <v>9227</v>
      </c>
      <c r="E11653" t="s">
        <v>2289</v>
      </c>
      <c r="F11653" t="s">
        <v>88</v>
      </c>
      <c r="G11653" t="s">
        <v>88</v>
      </c>
      <c r="H11653" t="s">
        <v>92</v>
      </c>
    </row>
    <row r="11654" spans="1:8" x14ac:dyDescent="0.25">
      <c r="A11654" t="s">
        <v>345</v>
      </c>
      <c r="B11654" t="s">
        <v>9239</v>
      </c>
      <c r="C11654" t="s">
        <v>88</v>
      </c>
      <c r="D11654" t="s">
        <v>9229</v>
      </c>
      <c r="E11654" t="s">
        <v>692</v>
      </c>
      <c r="F11654" t="s">
        <v>88</v>
      </c>
      <c r="G11654" t="s">
        <v>88</v>
      </c>
      <c r="H11654" t="s">
        <v>92</v>
      </c>
    </row>
    <row r="11655" spans="1:8" x14ac:dyDescent="0.25">
      <c r="A11655" t="s">
        <v>345</v>
      </c>
      <c r="B11655" t="s">
        <v>9240</v>
      </c>
      <c r="C11655" t="s">
        <v>88</v>
      </c>
      <c r="D11655" t="s">
        <v>9231</v>
      </c>
      <c r="E11655" t="s">
        <v>844</v>
      </c>
      <c r="F11655" t="s">
        <v>88</v>
      </c>
      <c r="G11655" t="s">
        <v>88</v>
      </c>
      <c r="H11655" t="s">
        <v>92</v>
      </c>
    </row>
    <row r="11656" spans="1:8" x14ac:dyDescent="0.25">
      <c r="A11656" t="s">
        <v>345</v>
      </c>
      <c r="B11656" t="s">
        <v>9241</v>
      </c>
      <c r="C11656" t="s">
        <v>88</v>
      </c>
      <c r="D11656" t="s">
        <v>9204</v>
      </c>
      <c r="E11656" t="s">
        <v>964</v>
      </c>
      <c r="F11656" t="s">
        <v>88</v>
      </c>
      <c r="G11656" t="s">
        <v>88</v>
      </c>
      <c r="H11656" t="s">
        <v>92</v>
      </c>
    </row>
    <row r="11657" spans="1:8" x14ac:dyDescent="0.25">
      <c r="A11657" t="s">
        <v>345</v>
      </c>
      <c r="B11657" t="s">
        <v>9242</v>
      </c>
      <c r="C11657" t="s">
        <v>88</v>
      </c>
      <c r="D11657" t="s">
        <v>9206</v>
      </c>
      <c r="E11657" t="s">
        <v>964</v>
      </c>
      <c r="F11657" t="s">
        <v>88</v>
      </c>
      <c r="G11657" t="s">
        <v>88</v>
      </c>
      <c r="H11657" t="s">
        <v>92</v>
      </c>
    </row>
    <row r="11658" spans="1:8" x14ac:dyDescent="0.25">
      <c r="A11658" t="s">
        <v>345</v>
      </c>
      <c r="B11658" t="s">
        <v>7273</v>
      </c>
      <c r="C11658" t="s">
        <v>88</v>
      </c>
      <c r="D11658" t="s">
        <v>9207</v>
      </c>
      <c r="E11658" t="s">
        <v>964</v>
      </c>
      <c r="F11658" t="s">
        <v>88</v>
      </c>
      <c r="G11658" t="s">
        <v>88</v>
      </c>
      <c r="H11658" t="s">
        <v>92</v>
      </c>
    </row>
    <row r="11659" spans="1:8" x14ac:dyDescent="0.25">
      <c r="A11659" t="s">
        <v>345</v>
      </c>
      <c r="B11659" t="s">
        <v>4252</v>
      </c>
      <c r="C11659" t="s">
        <v>88</v>
      </c>
      <c r="D11659" t="s">
        <v>9208</v>
      </c>
      <c r="E11659" t="s">
        <v>964</v>
      </c>
      <c r="F11659" t="s">
        <v>88</v>
      </c>
      <c r="G11659" t="s">
        <v>88</v>
      </c>
      <c r="H11659" t="s">
        <v>92</v>
      </c>
    </row>
    <row r="11660" spans="1:8" x14ac:dyDescent="0.25">
      <c r="A11660" t="s">
        <v>345</v>
      </c>
      <c r="B11660" t="s">
        <v>9243</v>
      </c>
      <c r="C11660" t="s">
        <v>88</v>
      </c>
      <c r="D11660" t="s">
        <v>9176</v>
      </c>
      <c r="E11660" t="s">
        <v>964</v>
      </c>
      <c r="F11660" t="s">
        <v>88</v>
      </c>
      <c r="G11660" t="s">
        <v>88</v>
      </c>
      <c r="H11660" t="s">
        <v>92</v>
      </c>
    </row>
    <row r="11661" spans="1:8" x14ac:dyDescent="0.25">
      <c r="A11661" t="s">
        <v>345</v>
      </c>
      <c r="B11661" t="s">
        <v>9244</v>
      </c>
      <c r="C11661" t="s">
        <v>88</v>
      </c>
      <c r="D11661" t="s">
        <v>9211</v>
      </c>
      <c r="E11661" t="s">
        <v>964</v>
      </c>
      <c r="F11661" t="s">
        <v>88</v>
      </c>
      <c r="G11661" t="s">
        <v>88</v>
      </c>
      <c r="H11661" t="s">
        <v>92</v>
      </c>
    </row>
    <row r="11662" spans="1:8" x14ac:dyDescent="0.25">
      <c r="A11662" t="s">
        <v>345</v>
      </c>
      <c r="B11662" t="s">
        <v>9245</v>
      </c>
      <c r="C11662" t="s">
        <v>88</v>
      </c>
      <c r="D11662" t="s">
        <v>9213</v>
      </c>
      <c r="E11662" t="s">
        <v>964</v>
      </c>
      <c r="F11662" t="s">
        <v>88</v>
      </c>
      <c r="G11662" t="s">
        <v>88</v>
      </c>
      <c r="H11662" t="s">
        <v>92</v>
      </c>
    </row>
    <row r="11663" spans="1:8" x14ac:dyDescent="0.25">
      <c r="A11663" t="s">
        <v>345</v>
      </c>
      <c r="B11663" t="s">
        <v>9246</v>
      </c>
      <c r="C11663" t="s">
        <v>88</v>
      </c>
      <c r="D11663" t="s">
        <v>9215</v>
      </c>
      <c r="E11663" t="s">
        <v>964</v>
      </c>
      <c r="F11663" t="s">
        <v>88</v>
      </c>
      <c r="G11663" t="s">
        <v>88</v>
      </c>
      <c r="H11663" t="s">
        <v>92</v>
      </c>
    </row>
    <row r="11664" spans="1:8" x14ac:dyDescent="0.25">
      <c r="A11664" t="s">
        <v>345</v>
      </c>
      <c r="B11664" t="s">
        <v>4262</v>
      </c>
      <c r="C11664" t="s">
        <v>88</v>
      </c>
      <c r="D11664" t="s">
        <v>9216</v>
      </c>
      <c r="E11664" t="s">
        <v>838</v>
      </c>
      <c r="F11664" t="s">
        <v>88</v>
      </c>
      <c r="G11664" t="s">
        <v>88</v>
      </c>
      <c r="H11664" t="s">
        <v>92</v>
      </c>
    </row>
    <row r="11665" spans="1:8" x14ac:dyDescent="0.25">
      <c r="A11665" t="s">
        <v>345</v>
      </c>
      <c r="B11665" t="s">
        <v>4253</v>
      </c>
      <c r="C11665" t="s">
        <v>88</v>
      </c>
      <c r="D11665" t="s">
        <v>9217</v>
      </c>
      <c r="E11665" t="s">
        <v>964</v>
      </c>
      <c r="F11665" t="s">
        <v>88</v>
      </c>
      <c r="G11665" t="s">
        <v>88</v>
      </c>
      <c r="H11665" t="s">
        <v>92</v>
      </c>
    </row>
    <row r="11666" spans="1:8" x14ac:dyDescent="0.25">
      <c r="A11666" t="s">
        <v>345</v>
      </c>
      <c r="B11666" t="s">
        <v>4269</v>
      </c>
      <c r="C11666" t="s">
        <v>88</v>
      </c>
      <c r="D11666" t="s">
        <v>9218</v>
      </c>
      <c r="E11666" t="s">
        <v>1255</v>
      </c>
      <c r="F11666" t="s">
        <v>88</v>
      </c>
      <c r="G11666" t="s">
        <v>88</v>
      </c>
      <c r="H11666" t="s">
        <v>92</v>
      </c>
    </row>
    <row r="11667" spans="1:8" x14ac:dyDescent="0.25">
      <c r="A11667" t="s">
        <v>345</v>
      </c>
      <c r="B11667" t="s">
        <v>4254</v>
      </c>
      <c r="C11667" t="s">
        <v>88</v>
      </c>
      <c r="D11667" t="s">
        <v>9219</v>
      </c>
      <c r="E11667" t="s">
        <v>964</v>
      </c>
      <c r="F11667" t="s">
        <v>88</v>
      </c>
      <c r="G11667" t="s">
        <v>88</v>
      </c>
      <c r="H11667" t="s">
        <v>92</v>
      </c>
    </row>
    <row r="11668" spans="1:8" x14ac:dyDescent="0.25">
      <c r="A11668" t="s">
        <v>345</v>
      </c>
      <c r="B11668" t="s">
        <v>9247</v>
      </c>
      <c r="C11668" t="s">
        <v>88</v>
      </c>
      <c r="D11668" t="s">
        <v>9221</v>
      </c>
      <c r="E11668" t="s">
        <v>1255</v>
      </c>
      <c r="F11668" t="s">
        <v>88</v>
      </c>
      <c r="G11668" t="s">
        <v>88</v>
      </c>
      <c r="H11668" t="s">
        <v>92</v>
      </c>
    </row>
    <row r="11669" spans="1:8" x14ac:dyDescent="0.25">
      <c r="A11669" t="s">
        <v>345</v>
      </c>
      <c r="B11669" t="s">
        <v>4257</v>
      </c>
      <c r="C11669" t="s">
        <v>88</v>
      </c>
      <c r="D11669" t="s">
        <v>9222</v>
      </c>
      <c r="E11669" t="s">
        <v>838</v>
      </c>
      <c r="F11669" t="s">
        <v>88</v>
      </c>
      <c r="G11669" t="s">
        <v>88</v>
      </c>
      <c r="H11669" t="s">
        <v>92</v>
      </c>
    </row>
    <row r="11670" spans="1:8" x14ac:dyDescent="0.25">
      <c r="A11670" t="s">
        <v>345</v>
      </c>
      <c r="B11670" t="s">
        <v>9144</v>
      </c>
      <c r="C11670" t="s">
        <v>88</v>
      </c>
      <c r="D11670" t="s">
        <v>9223</v>
      </c>
      <c r="E11670" t="s">
        <v>825</v>
      </c>
      <c r="F11670" t="s">
        <v>88</v>
      </c>
      <c r="G11670" t="s">
        <v>88</v>
      </c>
      <c r="H11670" t="s">
        <v>92</v>
      </c>
    </row>
    <row r="11671" spans="1:8" x14ac:dyDescent="0.25">
      <c r="A11671" t="s">
        <v>345</v>
      </c>
      <c r="B11671" t="s">
        <v>9248</v>
      </c>
      <c r="C11671" t="s">
        <v>88</v>
      </c>
      <c r="D11671" t="s">
        <v>9225</v>
      </c>
      <c r="E11671" t="s">
        <v>825</v>
      </c>
      <c r="F11671" t="s">
        <v>88</v>
      </c>
      <c r="G11671" t="s">
        <v>88</v>
      </c>
      <c r="H11671" t="s">
        <v>92</v>
      </c>
    </row>
    <row r="11672" spans="1:8" x14ac:dyDescent="0.25">
      <c r="A11672" t="s">
        <v>345</v>
      </c>
      <c r="B11672" t="s">
        <v>4265</v>
      </c>
      <c r="C11672" t="s">
        <v>88</v>
      </c>
      <c r="D11672" t="s">
        <v>9174</v>
      </c>
      <c r="E11672" t="s">
        <v>6044</v>
      </c>
      <c r="F11672" t="s">
        <v>88</v>
      </c>
      <c r="G11672" t="s">
        <v>88</v>
      </c>
      <c r="H11672" t="s">
        <v>92</v>
      </c>
    </row>
    <row r="11673" spans="1:8" x14ac:dyDescent="0.25">
      <c r="A11673" t="s">
        <v>345</v>
      </c>
      <c r="B11673" t="s">
        <v>4255</v>
      </c>
      <c r="C11673" t="s">
        <v>88</v>
      </c>
      <c r="D11673" t="s">
        <v>9226</v>
      </c>
      <c r="E11673" t="s">
        <v>964</v>
      </c>
      <c r="F11673" t="s">
        <v>88</v>
      </c>
      <c r="G11673" t="s">
        <v>88</v>
      </c>
      <c r="H11673" t="s">
        <v>92</v>
      </c>
    </row>
    <row r="11674" spans="1:8" x14ac:dyDescent="0.25">
      <c r="A11674" t="s">
        <v>345</v>
      </c>
      <c r="B11674" t="s">
        <v>9148</v>
      </c>
      <c r="C11674" t="s">
        <v>88</v>
      </c>
      <c r="D11674" t="s">
        <v>9227</v>
      </c>
      <c r="E11674" t="s">
        <v>825</v>
      </c>
      <c r="F11674" t="s">
        <v>88</v>
      </c>
      <c r="G11674" t="s">
        <v>88</v>
      </c>
      <c r="H11674" t="s">
        <v>92</v>
      </c>
    </row>
    <row r="11675" spans="1:8" x14ac:dyDescent="0.25">
      <c r="A11675" t="s">
        <v>345</v>
      </c>
      <c r="B11675" t="s">
        <v>9249</v>
      </c>
      <c r="C11675" t="s">
        <v>88</v>
      </c>
      <c r="D11675" t="s">
        <v>9229</v>
      </c>
      <c r="E11675" t="s">
        <v>964</v>
      </c>
      <c r="F11675" t="s">
        <v>88</v>
      </c>
      <c r="G11675" t="s">
        <v>88</v>
      </c>
      <c r="H11675" t="s">
        <v>92</v>
      </c>
    </row>
    <row r="11676" spans="1:8" x14ac:dyDescent="0.25">
      <c r="A11676" t="s">
        <v>345</v>
      </c>
      <c r="B11676" t="s">
        <v>9250</v>
      </c>
      <c r="C11676" t="s">
        <v>88</v>
      </c>
      <c r="D11676" t="s">
        <v>9231</v>
      </c>
      <c r="E11676" t="s">
        <v>825</v>
      </c>
      <c r="F11676" t="s">
        <v>88</v>
      </c>
      <c r="G11676" t="s">
        <v>88</v>
      </c>
      <c r="H11676" t="s">
        <v>92</v>
      </c>
    </row>
    <row r="11677" spans="1:8" x14ac:dyDescent="0.25">
      <c r="A11677" t="s">
        <v>345</v>
      </c>
      <c r="B11677" t="s">
        <v>9251</v>
      </c>
      <c r="C11677" t="s">
        <v>88</v>
      </c>
      <c r="D11677" t="s">
        <v>9204</v>
      </c>
      <c r="E11677" t="s">
        <v>814</v>
      </c>
      <c r="F11677" t="s">
        <v>88</v>
      </c>
      <c r="G11677" t="s">
        <v>88</v>
      </c>
      <c r="H11677" t="s">
        <v>92</v>
      </c>
    </row>
    <row r="11678" spans="1:8" x14ac:dyDescent="0.25">
      <c r="A11678" t="s">
        <v>345</v>
      </c>
      <c r="B11678" t="s">
        <v>9252</v>
      </c>
      <c r="C11678" t="s">
        <v>88</v>
      </c>
      <c r="D11678" t="s">
        <v>9206</v>
      </c>
      <c r="E11678" t="s">
        <v>814</v>
      </c>
      <c r="F11678" t="s">
        <v>88</v>
      </c>
      <c r="G11678" t="s">
        <v>88</v>
      </c>
      <c r="H11678" t="s">
        <v>92</v>
      </c>
    </row>
    <row r="11679" spans="1:8" x14ac:dyDescent="0.25">
      <c r="A11679" t="s">
        <v>345</v>
      </c>
      <c r="B11679" t="s">
        <v>9253</v>
      </c>
      <c r="C11679" t="s">
        <v>88</v>
      </c>
      <c r="D11679" t="s">
        <v>9207</v>
      </c>
      <c r="E11679" t="s">
        <v>814</v>
      </c>
      <c r="F11679" t="s">
        <v>88</v>
      </c>
      <c r="G11679" t="s">
        <v>88</v>
      </c>
      <c r="H11679" t="s">
        <v>92</v>
      </c>
    </row>
    <row r="11680" spans="1:8" x14ac:dyDescent="0.25">
      <c r="A11680" t="s">
        <v>345</v>
      </c>
      <c r="B11680" t="s">
        <v>4272</v>
      </c>
      <c r="C11680" t="s">
        <v>88</v>
      </c>
      <c r="D11680" t="s">
        <v>9208</v>
      </c>
      <c r="E11680" t="s">
        <v>814</v>
      </c>
      <c r="F11680" t="s">
        <v>88</v>
      </c>
      <c r="G11680" t="s">
        <v>88</v>
      </c>
      <c r="H11680" t="s">
        <v>92</v>
      </c>
    </row>
    <row r="11681" spans="1:8" x14ac:dyDescent="0.25">
      <c r="A11681" t="s">
        <v>345</v>
      </c>
      <c r="B11681" t="s">
        <v>9254</v>
      </c>
      <c r="C11681" t="s">
        <v>88</v>
      </c>
      <c r="D11681" t="s">
        <v>9176</v>
      </c>
      <c r="E11681" t="s">
        <v>814</v>
      </c>
      <c r="F11681" t="s">
        <v>88</v>
      </c>
      <c r="G11681" t="s">
        <v>88</v>
      </c>
      <c r="H11681" t="s">
        <v>92</v>
      </c>
    </row>
    <row r="11682" spans="1:8" x14ac:dyDescent="0.25">
      <c r="A11682" t="s">
        <v>345</v>
      </c>
      <c r="B11682" t="s">
        <v>9255</v>
      </c>
      <c r="C11682" t="s">
        <v>88</v>
      </c>
      <c r="D11682" t="s">
        <v>9211</v>
      </c>
      <c r="E11682" t="s">
        <v>814</v>
      </c>
      <c r="F11682" t="s">
        <v>88</v>
      </c>
      <c r="G11682" t="s">
        <v>88</v>
      </c>
      <c r="H11682" t="s">
        <v>92</v>
      </c>
    </row>
    <row r="11683" spans="1:8" x14ac:dyDescent="0.25">
      <c r="A11683" t="s">
        <v>345</v>
      </c>
      <c r="B11683" t="s">
        <v>9256</v>
      </c>
      <c r="C11683" t="s">
        <v>88</v>
      </c>
      <c r="D11683" t="s">
        <v>9213</v>
      </c>
      <c r="E11683" t="s">
        <v>814</v>
      </c>
      <c r="F11683" t="s">
        <v>88</v>
      </c>
      <c r="G11683" t="s">
        <v>88</v>
      </c>
      <c r="H11683" t="s">
        <v>92</v>
      </c>
    </row>
    <row r="11684" spans="1:8" x14ac:dyDescent="0.25">
      <c r="A11684" t="s">
        <v>345</v>
      </c>
      <c r="B11684" t="s">
        <v>9257</v>
      </c>
      <c r="C11684" t="s">
        <v>88</v>
      </c>
      <c r="D11684" t="s">
        <v>9215</v>
      </c>
      <c r="E11684" t="s">
        <v>814</v>
      </c>
      <c r="F11684" t="s">
        <v>88</v>
      </c>
      <c r="G11684" t="s">
        <v>88</v>
      </c>
      <c r="H11684" t="s">
        <v>92</v>
      </c>
    </row>
    <row r="11685" spans="1:8" x14ac:dyDescent="0.25">
      <c r="A11685" t="s">
        <v>345</v>
      </c>
      <c r="B11685" t="s">
        <v>4281</v>
      </c>
      <c r="C11685" t="s">
        <v>88</v>
      </c>
      <c r="D11685" t="s">
        <v>9216</v>
      </c>
      <c r="E11685" t="s">
        <v>5524</v>
      </c>
      <c r="F11685" t="s">
        <v>88</v>
      </c>
      <c r="G11685" t="s">
        <v>88</v>
      </c>
      <c r="H11685" t="s">
        <v>92</v>
      </c>
    </row>
    <row r="11686" spans="1:8" x14ac:dyDescent="0.25">
      <c r="A11686" t="s">
        <v>345</v>
      </c>
      <c r="B11686" t="s">
        <v>4270</v>
      </c>
      <c r="C11686" t="s">
        <v>88</v>
      </c>
      <c r="D11686" t="s">
        <v>9217</v>
      </c>
      <c r="E11686" t="s">
        <v>812</v>
      </c>
      <c r="F11686" t="s">
        <v>88</v>
      </c>
      <c r="G11686" t="s">
        <v>88</v>
      </c>
      <c r="H11686" t="s">
        <v>92</v>
      </c>
    </row>
    <row r="11687" spans="1:8" x14ac:dyDescent="0.25">
      <c r="A11687" t="s">
        <v>345</v>
      </c>
      <c r="B11687" t="s">
        <v>4287</v>
      </c>
      <c r="C11687" t="s">
        <v>88</v>
      </c>
      <c r="D11687" t="s">
        <v>9218</v>
      </c>
      <c r="E11687" t="s">
        <v>814</v>
      </c>
      <c r="F11687" t="s">
        <v>88</v>
      </c>
      <c r="G11687" t="s">
        <v>88</v>
      </c>
      <c r="H11687" t="s">
        <v>92</v>
      </c>
    </row>
    <row r="11688" spans="1:8" x14ac:dyDescent="0.25">
      <c r="A11688" t="s">
        <v>345</v>
      </c>
      <c r="B11688" t="s">
        <v>4289</v>
      </c>
      <c r="C11688" t="s">
        <v>88</v>
      </c>
      <c r="D11688" t="s">
        <v>9219</v>
      </c>
      <c r="E11688" t="s">
        <v>814</v>
      </c>
      <c r="F11688" t="s">
        <v>88</v>
      </c>
      <c r="G11688" t="s">
        <v>88</v>
      </c>
      <c r="H11688" t="s">
        <v>92</v>
      </c>
    </row>
    <row r="11689" spans="1:8" x14ac:dyDescent="0.25">
      <c r="A11689" t="s">
        <v>345</v>
      </c>
      <c r="B11689" t="s">
        <v>9258</v>
      </c>
      <c r="C11689" t="s">
        <v>88</v>
      </c>
      <c r="D11689" t="s">
        <v>9221</v>
      </c>
      <c r="E11689" t="s">
        <v>814</v>
      </c>
      <c r="F11689" t="s">
        <v>88</v>
      </c>
      <c r="G11689" t="s">
        <v>88</v>
      </c>
      <c r="H11689" t="s">
        <v>92</v>
      </c>
    </row>
    <row r="11690" spans="1:8" x14ac:dyDescent="0.25">
      <c r="A11690" t="s">
        <v>345</v>
      </c>
      <c r="B11690" t="s">
        <v>4274</v>
      </c>
      <c r="C11690" t="s">
        <v>88</v>
      </c>
      <c r="D11690" t="s">
        <v>9222</v>
      </c>
      <c r="E11690" t="s">
        <v>5524</v>
      </c>
      <c r="F11690" t="s">
        <v>88</v>
      </c>
      <c r="G11690" t="s">
        <v>88</v>
      </c>
      <c r="H11690" t="s">
        <v>92</v>
      </c>
    </row>
    <row r="11691" spans="1:8" x14ac:dyDescent="0.25">
      <c r="A11691" t="s">
        <v>345</v>
      </c>
      <c r="B11691" t="s">
        <v>9259</v>
      </c>
      <c r="C11691" t="s">
        <v>88</v>
      </c>
      <c r="D11691" t="s">
        <v>9223</v>
      </c>
      <c r="E11691" t="s">
        <v>1137</v>
      </c>
      <c r="F11691" t="s">
        <v>88</v>
      </c>
      <c r="G11691" t="s">
        <v>88</v>
      </c>
      <c r="H11691" t="s">
        <v>92</v>
      </c>
    </row>
    <row r="11692" spans="1:8" x14ac:dyDescent="0.25">
      <c r="A11692" t="s">
        <v>345</v>
      </c>
      <c r="B11692" t="s">
        <v>9260</v>
      </c>
      <c r="C11692" t="s">
        <v>88</v>
      </c>
      <c r="D11692" t="s">
        <v>9225</v>
      </c>
      <c r="E11692" t="s">
        <v>1137</v>
      </c>
      <c r="F11692" t="s">
        <v>88</v>
      </c>
      <c r="G11692" t="s">
        <v>88</v>
      </c>
      <c r="H11692" t="s">
        <v>92</v>
      </c>
    </row>
    <row r="11693" spans="1:8" x14ac:dyDescent="0.25">
      <c r="A11693" t="s">
        <v>345</v>
      </c>
      <c r="B11693" t="s">
        <v>4279</v>
      </c>
      <c r="C11693" t="s">
        <v>88</v>
      </c>
      <c r="D11693" t="s">
        <v>9174</v>
      </c>
      <c r="E11693" t="s">
        <v>1153</v>
      </c>
      <c r="F11693" t="s">
        <v>88</v>
      </c>
      <c r="G11693" t="s">
        <v>88</v>
      </c>
      <c r="H11693" t="s">
        <v>92</v>
      </c>
    </row>
    <row r="11694" spans="1:8" x14ac:dyDescent="0.25">
      <c r="A11694" t="s">
        <v>345</v>
      </c>
      <c r="B11694" t="s">
        <v>4284</v>
      </c>
      <c r="C11694" t="s">
        <v>88</v>
      </c>
      <c r="D11694" t="s">
        <v>9226</v>
      </c>
      <c r="E11694" t="s">
        <v>814</v>
      </c>
      <c r="F11694" t="s">
        <v>88</v>
      </c>
      <c r="G11694" t="s">
        <v>88</v>
      </c>
      <c r="H11694" t="s">
        <v>92</v>
      </c>
    </row>
    <row r="11695" spans="1:8" x14ac:dyDescent="0.25">
      <c r="A11695" t="s">
        <v>345</v>
      </c>
      <c r="B11695" t="s">
        <v>9261</v>
      </c>
      <c r="C11695" t="s">
        <v>88</v>
      </c>
      <c r="D11695" t="s">
        <v>9227</v>
      </c>
      <c r="E11695" t="s">
        <v>1137</v>
      </c>
      <c r="F11695" t="s">
        <v>88</v>
      </c>
      <c r="G11695" t="s">
        <v>88</v>
      </c>
      <c r="H11695" t="s">
        <v>92</v>
      </c>
    </row>
    <row r="11696" spans="1:8" x14ac:dyDescent="0.25">
      <c r="A11696" t="s">
        <v>345</v>
      </c>
      <c r="B11696" t="s">
        <v>9262</v>
      </c>
      <c r="C11696" t="s">
        <v>88</v>
      </c>
      <c r="D11696" t="s">
        <v>9229</v>
      </c>
      <c r="E11696" t="s">
        <v>7292</v>
      </c>
      <c r="F11696" t="s">
        <v>88</v>
      </c>
      <c r="G11696" t="s">
        <v>88</v>
      </c>
      <c r="H11696" t="s">
        <v>92</v>
      </c>
    </row>
    <row r="11697" spans="1:8" x14ac:dyDescent="0.25">
      <c r="A11697" t="s">
        <v>345</v>
      </c>
      <c r="B11697" t="s">
        <v>9263</v>
      </c>
      <c r="C11697" t="s">
        <v>88</v>
      </c>
      <c r="D11697" t="s">
        <v>9231</v>
      </c>
      <c r="E11697" t="s">
        <v>1171</v>
      </c>
      <c r="F11697" t="s">
        <v>88</v>
      </c>
      <c r="G11697" t="s">
        <v>88</v>
      </c>
      <c r="H11697" t="s">
        <v>92</v>
      </c>
    </row>
    <row r="11698" spans="1:8" x14ac:dyDescent="0.25">
      <c r="A11698" t="s">
        <v>345</v>
      </c>
      <c r="B11698" t="s">
        <v>9264</v>
      </c>
      <c r="C11698" t="s">
        <v>88</v>
      </c>
      <c r="D11698" t="s">
        <v>9204</v>
      </c>
      <c r="E11698" t="s">
        <v>5831</v>
      </c>
      <c r="F11698" t="s">
        <v>88</v>
      </c>
      <c r="G11698" t="s">
        <v>88</v>
      </c>
      <c r="H11698" t="s">
        <v>92</v>
      </c>
    </row>
    <row r="11699" spans="1:8" x14ac:dyDescent="0.25">
      <c r="A11699" t="s">
        <v>345</v>
      </c>
      <c r="B11699" t="s">
        <v>9265</v>
      </c>
      <c r="C11699" t="s">
        <v>88</v>
      </c>
      <c r="D11699" t="s">
        <v>9206</v>
      </c>
      <c r="E11699" t="s">
        <v>5831</v>
      </c>
      <c r="F11699" t="s">
        <v>88</v>
      </c>
      <c r="G11699" t="s">
        <v>88</v>
      </c>
      <c r="H11699" t="s">
        <v>92</v>
      </c>
    </row>
    <row r="11700" spans="1:8" x14ac:dyDescent="0.25">
      <c r="A11700" t="s">
        <v>345</v>
      </c>
      <c r="B11700" t="s">
        <v>7293</v>
      </c>
      <c r="C11700" t="s">
        <v>88</v>
      </c>
      <c r="D11700" t="s">
        <v>9207</v>
      </c>
      <c r="E11700" t="s">
        <v>5831</v>
      </c>
      <c r="F11700" t="s">
        <v>88</v>
      </c>
      <c r="G11700" t="s">
        <v>88</v>
      </c>
      <c r="H11700" t="s">
        <v>92</v>
      </c>
    </row>
    <row r="11701" spans="1:8" x14ac:dyDescent="0.25">
      <c r="A11701" t="s">
        <v>345</v>
      </c>
      <c r="B11701" t="s">
        <v>4298</v>
      </c>
      <c r="C11701" t="s">
        <v>88</v>
      </c>
      <c r="D11701" t="s">
        <v>9208</v>
      </c>
      <c r="E11701" t="s">
        <v>5831</v>
      </c>
      <c r="F11701" t="s">
        <v>88</v>
      </c>
      <c r="G11701" t="s">
        <v>88</v>
      </c>
      <c r="H11701" t="s">
        <v>92</v>
      </c>
    </row>
    <row r="11702" spans="1:8" x14ac:dyDescent="0.25">
      <c r="A11702" t="s">
        <v>345</v>
      </c>
      <c r="B11702" t="s">
        <v>9266</v>
      </c>
      <c r="C11702" t="s">
        <v>88</v>
      </c>
      <c r="D11702" t="s">
        <v>9176</v>
      </c>
      <c r="E11702" t="s">
        <v>5831</v>
      </c>
      <c r="F11702" t="s">
        <v>88</v>
      </c>
      <c r="G11702" t="s">
        <v>88</v>
      </c>
      <c r="H11702" t="s">
        <v>92</v>
      </c>
    </row>
    <row r="11703" spans="1:8" x14ac:dyDescent="0.25">
      <c r="A11703" t="s">
        <v>345</v>
      </c>
      <c r="B11703" t="s">
        <v>9267</v>
      </c>
      <c r="C11703" t="s">
        <v>88</v>
      </c>
      <c r="D11703" t="s">
        <v>9211</v>
      </c>
      <c r="E11703" t="s">
        <v>5831</v>
      </c>
      <c r="F11703" t="s">
        <v>88</v>
      </c>
      <c r="G11703" t="s">
        <v>88</v>
      </c>
      <c r="H11703" t="s">
        <v>92</v>
      </c>
    </row>
    <row r="11704" spans="1:8" x14ac:dyDescent="0.25">
      <c r="A11704" t="s">
        <v>345</v>
      </c>
      <c r="B11704" t="s">
        <v>9268</v>
      </c>
      <c r="C11704" t="s">
        <v>88</v>
      </c>
      <c r="D11704" t="s">
        <v>9213</v>
      </c>
      <c r="E11704" t="s">
        <v>5831</v>
      </c>
      <c r="F11704" t="s">
        <v>88</v>
      </c>
      <c r="G11704" t="s">
        <v>88</v>
      </c>
      <c r="H11704" t="s">
        <v>92</v>
      </c>
    </row>
    <row r="11705" spans="1:8" x14ac:dyDescent="0.25">
      <c r="A11705" t="s">
        <v>345</v>
      </c>
      <c r="B11705" t="s">
        <v>9269</v>
      </c>
      <c r="C11705" t="s">
        <v>88</v>
      </c>
      <c r="D11705" t="s">
        <v>9215</v>
      </c>
      <c r="E11705" t="s">
        <v>1171</v>
      </c>
      <c r="F11705" t="s">
        <v>88</v>
      </c>
      <c r="G11705" t="s">
        <v>88</v>
      </c>
      <c r="H11705" t="s">
        <v>92</v>
      </c>
    </row>
    <row r="11706" spans="1:8" x14ac:dyDescent="0.25">
      <c r="A11706" t="s">
        <v>345</v>
      </c>
      <c r="B11706" t="s">
        <v>4292</v>
      </c>
      <c r="C11706" t="s">
        <v>88</v>
      </c>
      <c r="D11706" t="s">
        <v>9216</v>
      </c>
      <c r="E11706" t="s">
        <v>4297</v>
      </c>
      <c r="F11706" t="s">
        <v>88</v>
      </c>
      <c r="G11706" t="s">
        <v>88</v>
      </c>
      <c r="H11706" t="s">
        <v>92</v>
      </c>
    </row>
    <row r="11707" spans="1:8" x14ac:dyDescent="0.25">
      <c r="A11707" t="s">
        <v>345</v>
      </c>
      <c r="B11707" t="s">
        <v>4316</v>
      </c>
      <c r="C11707" t="s">
        <v>88</v>
      </c>
      <c r="D11707" t="s">
        <v>9217</v>
      </c>
      <c r="E11707" t="s">
        <v>5831</v>
      </c>
      <c r="F11707" t="s">
        <v>88</v>
      </c>
      <c r="G11707" t="s">
        <v>88</v>
      </c>
      <c r="H11707" t="s">
        <v>92</v>
      </c>
    </row>
    <row r="11708" spans="1:8" x14ac:dyDescent="0.25">
      <c r="A11708" t="s">
        <v>345</v>
      </c>
      <c r="B11708" t="s">
        <v>4320</v>
      </c>
      <c r="C11708" t="s">
        <v>88</v>
      </c>
      <c r="D11708" t="s">
        <v>9218</v>
      </c>
      <c r="E11708" t="s">
        <v>6771</v>
      </c>
      <c r="F11708" t="s">
        <v>88</v>
      </c>
      <c r="G11708" t="s">
        <v>88</v>
      </c>
      <c r="H11708" t="s">
        <v>92</v>
      </c>
    </row>
    <row r="11709" spans="1:8" x14ac:dyDescent="0.25">
      <c r="A11709" t="s">
        <v>345</v>
      </c>
      <c r="B11709" t="s">
        <v>4322</v>
      </c>
      <c r="C11709" t="s">
        <v>88</v>
      </c>
      <c r="D11709" t="s">
        <v>9219</v>
      </c>
      <c r="E11709" t="s">
        <v>5831</v>
      </c>
      <c r="F11709" t="s">
        <v>88</v>
      </c>
      <c r="G11709" t="s">
        <v>88</v>
      </c>
      <c r="H11709" t="s">
        <v>92</v>
      </c>
    </row>
    <row r="11710" spans="1:8" x14ac:dyDescent="0.25">
      <c r="A11710" t="s">
        <v>345</v>
      </c>
      <c r="B11710" t="s">
        <v>9270</v>
      </c>
      <c r="C11710" t="s">
        <v>88</v>
      </c>
      <c r="D11710" t="s">
        <v>9221</v>
      </c>
      <c r="E11710" t="s">
        <v>6771</v>
      </c>
      <c r="F11710" t="s">
        <v>88</v>
      </c>
      <c r="G11710" t="s">
        <v>88</v>
      </c>
      <c r="H11710" t="s">
        <v>92</v>
      </c>
    </row>
    <row r="11711" spans="1:8" x14ac:dyDescent="0.25">
      <c r="A11711" t="s">
        <v>345</v>
      </c>
      <c r="B11711" t="s">
        <v>4304</v>
      </c>
      <c r="C11711" t="s">
        <v>88</v>
      </c>
      <c r="D11711" t="s">
        <v>9222</v>
      </c>
      <c r="E11711" t="s">
        <v>4297</v>
      </c>
      <c r="F11711" t="s">
        <v>88</v>
      </c>
      <c r="G11711" t="s">
        <v>88</v>
      </c>
      <c r="H11711" t="s">
        <v>92</v>
      </c>
    </row>
    <row r="11712" spans="1:8" x14ac:dyDescent="0.25">
      <c r="A11712" t="s">
        <v>345</v>
      </c>
      <c r="B11712" t="s">
        <v>7732</v>
      </c>
      <c r="C11712" t="s">
        <v>88</v>
      </c>
      <c r="D11712" t="s">
        <v>9223</v>
      </c>
      <c r="E11712" t="s">
        <v>807</v>
      </c>
      <c r="F11712" t="s">
        <v>88</v>
      </c>
      <c r="G11712" t="s">
        <v>88</v>
      </c>
      <c r="H11712" t="s">
        <v>92</v>
      </c>
    </row>
    <row r="11713" spans="1:8" x14ac:dyDescent="0.25">
      <c r="A11713" t="s">
        <v>345</v>
      </c>
      <c r="B11713" t="s">
        <v>9271</v>
      </c>
      <c r="C11713" t="s">
        <v>88</v>
      </c>
      <c r="D11713" t="s">
        <v>9225</v>
      </c>
      <c r="E11713" t="s">
        <v>807</v>
      </c>
      <c r="F11713" t="s">
        <v>88</v>
      </c>
      <c r="G11713" t="s">
        <v>88</v>
      </c>
      <c r="H11713" t="s">
        <v>92</v>
      </c>
    </row>
    <row r="11714" spans="1:8" x14ac:dyDescent="0.25">
      <c r="A11714" t="s">
        <v>345</v>
      </c>
      <c r="B11714" t="s">
        <v>4300</v>
      </c>
      <c r="C11714" t="s">
        <v>88</v>
      </c>
      <c r="D11714" t="s">
        <v>9174</v>
      </c>
      <c r="E11714" t="s">
        <v>3228</v>
      </c>
      <c r="F11714" t="s">
        <v>88</v>
      </c>
      <c r="G11714" t="s">
        <v>88</v>
      </c>
      <c r="H11714" t="s">
        <v>92</v>
      </c>
    </row>
    <row r="11715" spans="1:8" x14ac:dyDescent="0.25">
      <c r="A11715" t="s">
        <v>345</v>
      </c>
      <c r="B11715" t="s">
        <v>4314</v>
      </c>
      <c r="C11715" t="s">
        <v>88</v>
      </c>
      <c r="D11715" t="s">
        <v>9226</v>
      </c>
      <c r="E11715" t="s">
        <v>1137</v>
      </c>
      <c r="F11715" t="s">
        <v>88</v>
      </c>
      <c r="G11715" t="s">
        <v>88</v>
      </c>
      <c r="H11715" t="s">
        <v>92</v>
      </c>
    </row>
    <row r="11716" spans="1:8" x14ac:dyDescent="0.25">
      <c r="A11716" t="s">
        <v>345</v>
      </c>
      <c r="B11716" t="s">
        <v>9166</v>
      </c>
      <c r="C11716" t="s">
        <v>88</v>
      </c>
      <c r="D11716" t="s">
        <v>9227</v>
      </c>
      <c r="E11716" t="s">
        <v>807</v>
      </c>
      <c r="F11716" t="s">
        <v>88</v>
      </c>
      <c r="G11716" t="s">
        <v>88</v>
      </c>
      <c r="H11716" t="s">
        <v>92</v>
      </c>
    </row>
    <row r="11717" spans="1:8" x14ac:dyDescent="0.25">
      <c r="A11717" t="s">
        <v>345</v>
      </c>
      <c r="B11717" t="s">
        <v>9272</v>
      </c>
      <c r="C11717" t="s">
        <v>88</v>
      </c>
      <c r="D11717" t="s">
        <v>9229</v>
      </c>
      <c r="E11717" t="s">
        <v>1171</v>
      </c>
      <c r="F11717" t="s">
        <v>88</v>
      </c>
      <c r="G11717" t="s">
        <v>88</v>
      </c>
      <c r="H11717" t="s">
        <v>92</v>
      </c>
    </row>
    <row r="11718" spans="1:8" x14ac:dyDescent="0.25">
      <c r="A11718" t="s">
        <v>345</v>
      </c>
      <c r="B11718" t="s">
        <v>9273</v>
      </c>
      <c r="C11718" t="s">
        <v>88</v>
      </c>
      <c r="D11718" t="s">
        <v>9231</v>
      </c>
      <c r="E11718" t="s">
        <v>807</v>
      </c>
      <c r="F11718" t="s">
        <v>88</v>
      </c>
      <c r="G11718" t="s">
        <v>88</v>
      </c>
      <c r="H11718" t="s">
        <v>92</v>
      </c>
    </row>
    <row r="11719" spans="1:8" x14ac:dyDescent="0.25">
      <c r="A11719" t="s">
        <v>345</v>
      </c>
      <c r="B11719" t="s">
        <v>3679</v>
      </c>
      <c r="C11719" t="s">
        <v>88</v>
      </c>
      <c r="D11719" t="s">
        <v>88</v>
      </c>
      <c r="E11719" t="s">
        <v>715</v>
      </c>
      <c r="F11719" t="s">
        <v>88</v>
      </c>
      <c r="G11719" t="s">
        <v>88</v>
      </c>
      <c r="H11719" t="s">
        <v>92</v>
      </c>
    </row>
    <row r="11720" spans="1:8" x14ac:dyDescent="0.25">
      <c r="A11720" t="s">
        <v>345</v>
      </c>
      <c r="B11720" t="s">
        <v>9300</v>
      </c>
      <c r="C11720" t="s">
        <v>88</v>
      </c>
      <c r="D11720" t="s">
        <v>88</v>
      </c>
      <c r="E11720" t="s">
        <v>715</v>
      </c>
      <c r="F11720" t="s">
        <v>88</v>
      </c>
      <c r="G11720" t="s">
        <v>88</v>
      </c>
      <c r="H11720" t="s">
        <v>92</v>
      </c>
    </row>
    <row r="11721" spans="1:8" x14ac:dyDescent="0.25">
      <c r="A11721" t="s">
        <v>345</v>
      </c>
      <c r="B11721" t="s">
        <v>9274</v>
      </c>
      <c r="C11721" t="s">
        <v>88</v>
      </c>
      <c r="D11721" t="s">
        <v>88</v>
      </c>
      <c r="E11721" t="s">
        <v>937</v>
      </c>
      <c r="F11721" t="s">
        <v>88</v>
      </c>
      <c r="G11721" t="s">
        <v>88</v>
      </c>
      <c r="H11721" t="s">
        <v>92</v>
      </c>
    </row>
    <row r="11722" spans="1:8" x14ac:dyDescent="0.25">
      <c r="A11722" t="s">
        <v>345</v>
      </c>
      <c r="B11722" t="s">
        <v>3681</v>
      </c>
      <c r="C11722" t="s">
        <v>88</v>
      </c>
      <c r="D11722" t="s">
        <v>88</v>
      </c>
      <c r="E11722" t="s">
        <v>937</v>
      </c>
      <c r="F11722" t="s">
        <v>88</v>
      </c>
      <c r="G11722" t="s">
        <v>88</v>
      </c>
      <c r="H11722" t="s">
        <v>92</v>
      </c>
    </row>
    <row r="11723" spans="1:8" x14ac:dyDescent="0.25">
      <c r="A11723" t="s">
        <v>345</v>
      </c>
      <c r="B11723" t="s">
        <v>606</v>
      </c>
      <c r="C11723" t="s">
        <v>88</v>
      </c>
      <c r="D11723" t="s">
        <v>88</v>
      </c>
      <c r="E11723" t="s">
        <v>732</v>
      </c>
      <c r="F11723" t="s">
        <v>88</v>
      </c>
      <c r="G11723" t="s">
        <v>88</v>
      </c>
      <c r="H11723" t="s">
        <v>92</v>
      </c>
    </row>
    <row r="11724" spans="1:8" x14ac:dyDescent="0.25">
      <c r="A11724" t="s">
        <v>345</v>
      </c>
      <c r="B11724" t="s">
        <v>9275</v>
      </c>
      <c r="C11724" t="s">
        <v>88</v>
      </c>
      <c r="D11724" t="s">
        <v>88</v>
      </c>
      <c r="E11724" t="s">
        <v>937</v>
      </c>
      <c r="F11724" t="s">
        <v>88</v>
      </c>
      <c r="G11724" t="s">
        <v>88</v>
      </c>
      <c r="H11724" t="s">
        <v>92</v>
      </c>
    </row>
    <row r="11725" spans="1:8" x14ac:dyDescent="0.25">
      <c r="A11725" t="s">
        <v>345</v>
      </c>
      <c r="B11725" t="s">
        <v>7380</v>
      </c>
      <c r="C11725" t="s">
        <v>88</v>
      </c>
      <c r="D11725" t="s">
        <v>88</v>
      </c>
      <c r="E11725" t="s">
        <v>780</v>
      </c>
      <c r="F11725" t="s">
        <v>88</v>
      </c>
      <c r="G11725" t="s">
        <v>88</v>
      </c>
      <c r="H11725" t="s">
        <v>92</v>
      </c>
    </row>
    <row r="11726" spans="1:8" x14ac:dyDescent="0.25">
      <c r="A11726" t="s">
        <v>345</v>
      </c>
      <c r="B11726" t="s">
        <v>4329</v>
      </c>
      <c r="C11726" t="s">
        <v>88</v>
      </c>
      <c r="D11726" t="s">
        <v>88</v>
      </c>
      <c r="E11726" t="s">
        <v>791</v>
      </c>
      <c r="F11726" t="s">
        <v>88</v>
      </c>
      <c r="G11726" t="s">
        <v>88</v>
      </c>
      <c r="H11726" t="s">
        <v>92</v>
      </c>
    </row>
    <row r="11727" spans="1:8" x14ac:dyDescent="0.25">
      <c r="A11727" t="s">
        <v>345</v>
      </c>
      <c r="B11727" t="s">
        <v>768</v>
      </c>
      <c r="C11727" t="s">
        <v>88</v>
      </c>
      <c r="D11727" t="s">
        <v>88</v>
      </c>
      <c r="E11727" t="s">
        <v>715</v>
      </c>
      <c r="F11727" t="s">
        <v>88</v>
      </c>
      <c r="G11727" t="s">
        <v>88</v>
      </c>
      <c r="H11727" t="s">
        <v>92</v>
      </c>
    </row>
    <row r="11728" spans="1:8" x14ac:dyDescent="0.25">
      <c r="A11728" t="s">
        <v>345</v>
      </c>
      <c r="B11728" t="s">
        <v>8778</v>
      </c>
      <c r="C11728" t="s">
        <v>88</v>
      </c>
      <c r="D11728" t="s">
        <v>88</v>
      </c>
      <c r="E11728" t="s">
        <v>959</v>
      </c>
      <c r="F11728" t="s">
        <v>88</v>
      </c>
      <c r="G11728" t="s">
        <v>88</v>
      </c>
      <c r="H11728" t="s">
        <v>92</v>
      </c>
    </row>
    <row r="11729" spans="1:8" x14ac:dyDescent="0.25">
      <c r="A11729" t="s">
        <v>345</v>
      </c>
      <c r="B11729" t="s">
        <v>2349</v>
      </c>
      <c r="C11729" t="s">
        <v>88</v>
      </c>
      <c r="D11729" t="s">
        <v>9281</v>
      </c>
      <c r="E11729" t="s">
        <v>658</v>
      </c>
      <c r="F11729" t="s">
        <v>88</v>
      </c>
      <c r="G11729" t="s">
        <v>88</v>
      </c>
      <c r="H11729" t="s">
        <v>92</v>
      </c>
    </row>
    <row r="11730" spans="1:8" x14ac:dyDescent="0.25">
      <c r="A11730" t="s">
        <v>345</v>
      </c>
      <c r="B11730" t="s">
        <v>3457</v>
      </c>
      <c r="C11730" t="s">
        <v>88</v>
      </c>
      <c r="D11730" t="s">
        <v>9278</v>
      </c>
      <c r="E11730" t="s">
        <v>658</v>
      </c>
      <c r="F11730" t="s">
        <v>88</v>
      </c>
      <c r="G11730" t="s">
        <v>88</v>
      </c>
      <c r="H11730" t="s">
        <v>92</v>
      </c>
    </row>
    <row r="11731" spans="1:8" x14ac:dyDescent="0.25">
      <c r="A11731" t="s">
        <v>345</v>
      </c>
      <c r="B11731" t="s">
        <v>9276</v>
      </c>
      <c r="C11731" t="s">
        <v>88</v>
      </c>
      <c r="D11731" t="s">
        <v>9277</v>
      </c>
      <c r="E11731" t="s">
        <v>1839</v>
      </c>
      <c r="F11731" t="s">
        <v>88</v>
      </c>
      <c r="G11731" t="s">
        <v>88</v>
      </c>
      <c r="H11731" t="s">
        <v>92</v>
      </c>
    </row>
    <row r="11732" spans="1:8" x14ac:dyDescent="0.25">
      <c r="A11732" t="s">
        <v>345</v>
      </c>
      <c r="B11732" t="s">
        <v>1794</v>
      </c>
      <c r="C11732" t="s">
        <v>88</v>
      </c>
      <c r="D11732" t="s">
        <v>9279</v>
      </c>
      <c r="E11732" t="s">
        <v>679</v>
      </c>
      <c r="F11732" t="s">
        <v>88</v>
      </c>
      <c r="G11732" t="s">
        <v>88</v>
      </c>
      <c r="H11732" t="s">
        <v>92</v>
      </c>
    </row>
    <row r="11733" spans="1:8" x14ac:dyDescent="0.25">
      <c r="A11733" t="s">
        <v>345</v>
      </c>
      <c r="B11733" t="s">
        <v>701</v>
      </c>
      <c r="C11733" t="s">
        <v>88</v>
      </c>
      <c r="D11733" t="s">
        <v>88</v>
      </c>
      <c r="E11733" t="s">
        <v>732</v>
      </c>
      <c r="F11733" t="s">
        <v>88</v>
      </c>
      <c r="G11733" t="s">
        <v>88</v>
      </c>
      <c r="H11733" t="s">
        <v>92</v>
      </c>
    </row>
    <row r="11734" spans="1:8" x14ac:dyDescent="0.25">
      <c r="A11734" t="s">
        <v>345</v>
      </c>
      <c r="B11734" t="s">
        <v>704</v>
      </c>
      <c r="C11734" t="s">
        <v>88</v>
      </c>
      <c r="D11734" t="s">
        <v>88</v>
      </c>
      <c r="E11734" t="s">
        <v>732</v>
      </c>
      <c r="F11734" t="s">
        <v>88</v>
      </c>
      <c r="G11734" t="s">
        <v>88</v>
      </c>
      <c r="H11734" t="s">
        <v>92</v>
      </c>
    </row>
    <row r="11735" spans="1:8" x14ac:dyDescent="0.25">
      <c r="A11735" t="s">
        <v>345</v>
      </c>
      <c r="B11735" t="s">
        <v>705</v>
      </c>
      <c r="C11735" t="s">
        <v>88</v>
      </c>
      <c r="D11735" t="s">
        <v>88</v>
      </c>
      <c r="E11735" t="s">
        <v>732</v>
      </c>
      <c r="F11735" t="s">
        <v>88</v>
      </c>
      <c r="G11735" t="s">
        <v>88</v>
      </c>
      <c r="H11735" t="s">
        <v>92</v>
      </c>
    </row>
    <row r="11736" spans="1:8" x14ac:dyDescent="0.25">
      <c r="A11736" t="s">
        <v>345</v>
      </c>
      <c r="B11736" t="s">
        <v>706</v>
      </c>
      <c r="C11736" t="s">
        <v>88</v>
      </c>
      <c r="D11736" t="s">
        <v>88</v>
      </c>
      <c r="E11736" t="s">
        <v>732</v>
      </c>
      <c r="F11736" t="s">
        <v>88</v>
      </c>
      <c r="G11736" t="s">
        <v>88</v>
      </c>
      <c r="H11736" t="s">
        <v>92</v>
      </c>
    </row>
    <row r="11737" spans="1:8" x14ac:dyDescent="0.25">
      <c r="A11737" t="s">
        <v>345</v>
      </c>
      <c r="B11737" t="s">
        <v>707</v>
      </c>
      <c r="C11737" t="s">
        <v>88</v>
      </c>
      <c r="D11737" t="s">
        <v>88</v>
      </c>
      <c r="E11737" t="s">
        <v>732</v>
      </c>
      <c r="F11737" t="s">
        <v>88</v>
      </c>
      <c r="G11737" t="s">
        <v>88</v>
      </c>
      <c r="H11737" t="s">
        <v>92</v>
      </c>
    </row>
    <row r="11738" spans="1:8" x14ac:dyDescent="0.25">
      <c r="A11738" t="s">
        <v>345</v>
      </c>
      <c r="B11738" t="s">
        <v>1704</v>
      </c>
      <c r="C11738" t="s">
        <v>88</v>
      </c>
      <c r="D11738" t="s">
        <v>88</v>
      </c>
      <c r="E11738" t="s">
        <v>732</v>
      </c>
      <c r="F11738" t="s">
        <v>88</v>
      </c>
      <c r="G11738" t="s">
        <v>88</v>
      </c>
      <c r="H11738" t="s">
        <v>92</v>
      </c>
    </row>
    <row r="11739" spans="1:8" x14ac:dyDescent="0.25">
      <c r="A11739" t="s">
        <v>345</v>
      </c>
      <c r="B11739" t="s">
        <v>9282</v>
      </c>
      <c r="C11739" t="s">
        <v>88</v>
      </c>
      <c r="D11739" t="s">
        <v>88</v>
      </c>
      <c r="E11739" t="s">
        <v>732</v>
      </c>
      <c r="F11739" t="s">
        <v>88</v>
      </c>
      <c r="G11739" t="s">
        <v>88</v>
      </c>
      <c r="H11739" t="s">
        <v>92</v>
      </c>
    </row>
    <row r="11740" spans="1:8" x14ac:dyDescent="0.25">
      <c r="A11740" t="s">
        <v>345</v>
      </c>
      <c r="B11740" t="s">
        <v>733</v>
      </c>
      <c r="C11740" t="s">
        <v>88</v>
      </c>
      <c r="D11740" t="s">
        <v>88</v>
      </c>
      <c r="E11740" t="s">
        <v>732</v>
      </c>
      <c r="F11740" t="s">
        <v>88</v>
      </c>
      <c r="G11740" t="s">
        <v>88</v>
      </c>
      <c r="H11740" t="s">
        <v>92</v>
      </c>
    </row>
    <row r="11741" spans="1:8" x14ac:dyDescent="0.25">
      <c r="A11741" t="s">
        <v>345</v>
      </c>
      <c r="B11741" t="s">
        <v>618</v>
      </c>
      <c r="C11741" t="s">
        <v>88</v>
      </c>
      <c r="D11741" t="s">
        <v>88</v>
      </c>
      <c r="E11741" t="s">
        <v>1978</v>
      </c>
      <c r="F11741" t="s">
        <v>88</v>
      </c>
      <c r="G11741" t="s">
        <v>88</v>
      </c>
      <c r="H11741" t="s">
        <v>92</v>
      </c>
    </row>
    <row r="11742" spans="1:8" x14ac:dyDescent="0.25">
      <c r="A11742" t="s">
        <v>345</v>
      </c>
      <c r="B11742" t="s">
        <v>620</v>
      </c>
      <c r="C11742" t="s">
        <v>88</v>
      </c>
      <c r="D11742" t="s">
        <v>88</v>
      </c>
      <c r="E11742" t="s">
        <v>709</v>
      </c>
      <c r="F11742" t="s">
        <v>88</v>
      </c>
      <c r="G11742" t="s">
        <v>88</v>
      </c>
      <c r="H11742" t="s">
        <v>92</v>
      </c>
    </row>
    <row r="11743" spans="1:8" x14ac:dyDescent="0.25">
      <c r="A11743" t="s">
        <v>345</v>
      </c>
      <c r="B11743" t="s">
        <v>622</v>
      </c>
      <c r="C11743" t="s">
        <v>88</v>
      </c>
      <c r="D11743" t="s">
        <v>88</v>
      </c>
      <c r="E11743" t="s">
        <v>848</v>
      </c>
      <c r="F11743" t="s">
        <v>88</v>
      </c>
      <c r="G11743" t="s">
        <v>88</v>
      </c>
      <c r="H11743" t="s">
        <v>92</v>
      </c>
    </row>
    <row r="11744" spans="1:8" x14ac:dyDescent="0.25">
      <c r="A11744" t="s">
        <v>345</v>
      </c>
      <c r="B11744" t="s">
        <v>623</v>
      </c>
      <c r="C11744" t="s">
        <v>88</v>
      </c>
      <c r="D11744" t="s">
        <v>88</v>
      </c>
      <c r="E11744" t="s">
        <v>713</v>
      </c>
      <c r="F11744" t="s">
        <v>88</v>
      </c>
      <c r="G11744" t="s">
        <v>88</v>
      </c>
      <c r="H11744" t="s">
        <v>92</v>
      </c>
    </row>
    <row r="11745" spans="1:8" x14ac:dyDescent="0.25">
      <c r="A11745" t="s">
        <v>345</v>
      </c>
      <c r="B11745" t="s">
        <v>714</v>
      </c>
      <c r="C11745" t="s">
        <v>88</v>
      </c>
      <c r="D11745" t="s">
        <v>88</v>
      </c>
      <c r="E11745" t="s">
        <v>791</v>
      </c>
      <c r="F11745" t="s">
        <v>88</v>
      </c>
      <c r="G11745" t="s">
        <v>88</v>
      </c>
      <c r="H11745" t="s">
        <v>92</v>
      </c>
    </row>
    <row r="11746" spans="1:8" x14ac:dyDescent="0.25">
      <c r="A11746" t="s">
        <v>345</v>
      </c>
      <c r="B11746" t="s">
        <v>998</v>
      </c>
      <c r="C11746" t="s">
        <v>88</v>
      </c>
      <c r="D11746" t="s">
        <v>88</v>
      </c>
      <c r="E11746" t="s">
        <v>791</v>
      </c>
      <c r="F11746" t="s">
        <v>88</v>
      </c>
      <c r="G11746" t="s">
        <v>88</v>
      </c>
      <c r="H11746" t="s">
        <v>92</v>
      </c>
    </row>
    <row r="11747" spans="1:8" x14ac:dyDescent="0.25">
      <c r="A11747" t="s">
        <v>345</v>
      </c>
      <c r="B11747" t="s">
        <v>2573</v>
      </c>
      <c r="C11747" t="s">
        <v>88</v>
      </c>
      <c r="D11747" t="s">
        <v>88</v>
      </c>
      <c r="E11747" t="s">
        <v>735</v>
      </c>
      <c r="F11747" t="s">
        <v>88</v>
      </c>
      <c r="G11747" t="s">
        <v>88</v>
      </c>
      <c r="H11747" t="s">
        <v>92</v>
      </c>
    </row>
    <row r="11748" spans="1:8" x14ac:dyDescent="0.25">
      <c r="A11748" t="s">
        <v>345</v>
      </c>
      <c r="B11748" t="s">
        <v>9283</v>
      </c>
      <c r="C11748" t="s">
        <v>88</v>
      </c>
      <c r="D11748" t="s">
        <v>88</v>
      </c>
      <c r="E11748" t="s">
        <v>735</v>
      </c>
      <c r="F11748" t="s">
        <v>88</v>
      </c>
      <c r="G11748" t="s">
        <v>88</v>
      </c>
      <c r="H11748" t="s">
        <v>92</v>
      </c>
    </row>
    <row r="11749" spans="1:8" x14ac:dyDescent="0.25">
      <c r="A11749" t="s">
        <v>345</v>
      </c>
      <c r="B11749" t="s">
        <v>2579</v>
      </c>
      <c r="C11749" t="s">
        <v>88</v>
      </c>
      <c r="D11749" t="s">
        <v>88</v>
      </c>
      <c r="E11749" t="s">
        <v>735</v>
      </c>
      <c r="F11749" t="s">
        <v>88</v>
      </c>
      <c r="G11749" t="s">
        <v>88</v>
      </c>
      <c r="H11749" t="s">
        <v>92</v>
      </c>
    </row>
    <row r="11750" spans="1:8" x14ac:dyDescent="0.25">
      <c r="A11750" t="s">
        <v>345</v>
      </c>
      <c r="B11750" t="s">
        <v>1612</v>
      </c>
      <c r="C11750" t="s">
        <v>88</v>
      </c>
      <c r="D11750" t="s">
        <v>88</v>
      </c>
      <c r="E11750" t="s">
        <v>735</v>
      </c>
      <c r="F11750" t="s">
        <v>88</v>
      </c>
      <c r="G11750" t="s">
        <v>88</v>
      </c>
      <c r="H11750" t="s">
        <v>92</v>
      </c>
    </row>
    <row r="11751" spans="1:8" x14ac:dyDescent="0.25">
      <c r="A11751" t="s">
        <v>345</v>
      </c>
      <c r="B11751" t="s">
        <v>625</v>
      </c>
      <c r="C11751" t="s">
        <v>88</v>
      </c>
      <c r="D11751" t="s">
        <v>88</v>
      </c>
      <c r="E11751" t="s">
        <v>626</v>
      </c>
      <c r="F11751" t="s">
        <v>88</v>
      </c>
      <c r="G11751" t="s">
        <v>88</v>
      </c>
      <c r="H11751" t="s">
        <v>92</v>
      </c>
    </row>
    <row r="11752" spans="1:8" x14ac:dyDescent="0.25">
      <c r="A11752" t="s">
        <v>346</v>
      </c>
      <c r="B11752" t="s">
        <v>4172</v>
      </c>
      <c r="C11752" t="s">
        <v>88</v>
      </c>
      <c r="D11752" t="s">
        <v>9305</v>
      </c>
      <c r="E11752" t="s">
        <v>2066</v>
      </c>
      <c r="F11752" t="s">
        <v>88</v>
      </c>
      <c r="G11752" t="s">
        <v>88</v>
      </c>
      <c r="H11752" t="s">
        <v>92</v>
      </c>
    </row>
    <row r="11753" spans="1:8" x14ac:dyDescent="0.25">
      <c r="A11753" t="s">
        <v>346</v>
      </c>
      <c r="B11753" t="s">
        <v>7443</v>
      </c>
      <c r="C11753" t="s">
        <v>88</v>
      </c>
      <c r="D11753" t="s">
        <v>9306</v>
      </c>
      <c r="E11753" t="s">
        <v>2584</v>
      </c>
      <c r="F11753" t="s">
        <v>88</v>
      </c>
      <c r="G11753" t="s">
        <v>88</v>
      </c>
      <c r="H11753" t="s">
        <v>92</v>
      </c>
    </row>
    <row r="11754" spans="1:8" x14ac:dyDescent="0.25">
      <c r="A11754" t="s">
        <v>346</v>
      </c>
      <c r="B11754" t="s">
        <v>9307</v>
      </c>
      <c r="C11754" t="s">
        <v>88</v>
      </c>
      <c r="D11754" t="s">
        <v>9308</v>
      </c>
      <c r="E11754" t="s">
        <v>2581</v>
      </c>
      <c r="F11754" t="s">
        <v>88</v>
      </c>
      <c r="G11754" t="s">
        <v>88</v>
      </c>
      <c r="H11754" t="s">
        <v>92</v>
      </c>
    </row>
    <row r="11755" spans="1:8" x14ac:dyDescent="0.25">
      <c r="A11755" t="s">
        <v>346</v>
      </c>
      <c r="B11755" t="s">
        <v>9247</v>
      </c>
      <c r="C11755" t="s">
        <v>88</v>
      </c>
      <c r="D11755" t="s">
        <v>9309</v>
      </c>
      <c r="E11755" t="s">
        <v>591</v>
      </c>
      <c r="F11755" t="s">
        <v>88</v>
      </c>
      <c r="G11755" t="s">
        <v>88</v>
      </c>
      <c r="H11755" t="s">
        <v>92</v>
      </c>
    </row>
    <row r="11756" spans="1:8" x14ac:dyDescent="0.25">
      <c r="A11756" t="s">
        <v>346</v>
      </c>
      <c r="B11756" t="s">
        <v>9310</v>
      </c>
      <c r="C11756" t="s">
        <v>88</v>
      </c>
      <c r="D11756" t="s">
        <v>9309</v>
      </c>
      <c r="E11756" t="s">
        <v>643</v>
      </c>
      <c r="F11756" t="s">
        <v>88</v>
      </c>
      <c r="G11756" t="s">
        <v>88</v>
      </c>
      <c r="H11756" t="s">
        <v>92</v>
      </c>
    </row>
    <row r="11757" spans="1:8" x14ac:dyDescent="0.25">
      <c r="A11757" t="s">
        <v>346</v>
      </c>
      <c r="B11757" t="s">
        <v>9311</v>
      </c>
      <c r="C11757" t="s">
        <v>88</v>
      </c>
      <c r="D11757" t="s">
        <v>9312</v>
      </c>
      <c r="E11757" t="s">
        <v>2087</v>
      </c>
      <c r="F11757" t="s">
        <v>88</v>
      </c>
      <c r="G11757" t="s">
        <v>88</v>
      </c>
      <c r="H11757" t="s">
        <v>92</v>
      </c>
    </row>
    <row r="11758" spans="1:8" x14ac:dyDescent="0.25">
      <c r="A11758" t="s">
        <v>346</v>
      </c>
      <c r="B11758" t="s">
        <v>4172</v>
      </c>
      <c r="C11758" t="s">
        <v>88</v>
      </c>
      <c r="D11758" t="s">
        <v>9305</v>
      </c>
      <c r="E11758" t="s">
        <v>2066</v>
      </c>
      <c r="F11758" t="s">
        <v>88</v>
      </c>
      <c r="G11758" t="s">
        <v>88</v>
      </c>
      <c r="H11758" t="s">
        <v>92</v>
      </c>
    </row>
    <row r="11759" spans="1:8" x14ac:dyDescent="0.25">
      <c r="A11759" t="s">
        <v>346</v>
      </c>
      <c r="B11759" t="s">
        <v>9313</v>
      </c>
      <c r="C11759" t="s">
        <v>88</v>
      </c>
      <c r="D11759" t="s">
        <v>9314</v>
      </c>
      <c r="E11759" t="s">
        <v>700</v>
      </c>
      <c r="F11759" t="s">
        <v>88</v>
      </c>
      <c r="G11759" t="s">
        <v>88</v>
      </c>
      <c r="H11759" t="s">
        <v>92</v>
      </c>
    </row>
    <row r="11760" spans="1:8" x14ac:dyDescent="0.25">
      <c r="A11760" t="s">
        <v>346</v>
      </c>
      <c r="B11760" t="s">
        <v>3576</v>
      </c>
      <c r="C11760" t="s">
        <v>88</v>
      </c>
      <c r="D11760" t="s">
        <v>9315</v>
      </c>
      <c r="E11760" t="s">
        <v>642</v>
      </c>
      <c r="F11760" t="s">
        <v>88</v>
      </c>
      <c r="G11760" t="s">
        <v>88</v>
      </c>
      <c r="H11760" t="s">
        <v>92</v>
      </c>
    </row>
    <row r="11761" spans="1:8" x14ac:dyDescent="0.25">
      <c r="A11761" t="s">
        <v>346</v>
      </c>
      <c r="B11761" t="s">
        <v>9316</v>
      </c>
      <c r="C11761" t="s">
        <v>88</v>
      </c>
      <c r="D11761" t="s">
        <v>9317</v>
      </c>
      <c r="E11761" t="s">
        <v>588</v>
      </c>
      <c r="F11761" t="s">
        <v>88</v>
      </c>
      <c r="G11761" t="s">
        <v>88</v>
      </c>
      <c r="H11761" t="s">
        <v>92</v>
      </c>
    </row>
    <row r="11762" spans="1:8" x14ac:dyDescent="0.25">
      <c r="A11762" t="s">
        <v>346</v>
      </c>
      <c r="B11762" t="s">
        <v>9307</v>
      </c>
      <c r="C11762" t="s">
        <v>88</v>
      </c>
      <c r="D11762" t="s">
        <v>9308</v>
      </c>
      <c r="E11762" t="s">
        <v>2581</v>
      </c>
      <c r="F11762" t="s">
        <v>88</v>
      </c>
      <c r="G11762" t="s">
        <v>88</v>
      </c>
      <c r="H11762" t="s">
        <v>92</v>
      </c>
    </row>
    <row r="11763" spans="1:8" x14ac:dyDescent="0.25">
      <c r="A11763" t="s">
        <v>346</v>
      </c>
      <c r="B11763" t="s">
        <v>9318</v>
      </c>
      <c r="C11763" t="s">
        <v>88</v>
      </c>
      <c r="D11763" t="s">
        <v>9319</v>
      </c>
      <c r="E11763" t="s">
        <v>642</v>
      </c>
      <c r="F11763" t="s">
        <v>88</v>
      </c>
      <c r="G11763" t="s">
        <v>88</v>
      </c>
      <c r="H11763" t="s">
        <v>92</v>
      </c>
    </row>
    <row r="11764" spans="1:8" x14ac:dyDescent="0.25">
      <c r="A11764" t="s">
        <v>346</v>
      </c>
      <c r="B11764" t="s">
        <v>9320</v>
      </c>
      <c r="C11764" t="s">
        <v>88</v>
      </c>
      <c r="D11764" t="s">
        <v>9321</v>
      </c>
      <c r="E11764" t="s">
        <v>638</v>
      </c>
      <c r="F11764" t="s">
        <v>88</v>
      </c>
      <c r="G11764" t="s">
        <v>88</v>
      </c>
      <c r="H11764" t="s">
        <v>92</v>
      </c>
    </row>
    <row r="11765" spans="1:8" x14ac:dyDescent="0.25">
      <c r="A11765" t="s">
        <v>346</v>
      </c>
      <c r="B11765" t="s">
        <v>7443</v>
      </c>
      <c r="C11765" t="s">
        <v>88</v>
      </c>
      <c r="D11765" t="s">
        <v>9306</v>
      </c>
      <c r="E11765" t="s">
        <v>2584</v>
      </c>
      <c r="F11765" t="s">
        <v>88</v>
      </c>
      <c r="G11765" t="s">
        <v>88</v>
      </c>
      <c r="H11765" t="s">
        <v>92</v>
      </c>
    </row>
    <row r="11766" spans="1:8" x14ac:dyDescent="0.25">
      <c r="A11766" t="s">
        <v>346</v>
      </c>
      <c r="B11766" t="s">
        <v>7258</v>
      </c>
      <c r="C11766" t="s">
        <v>88</v>
      </c>
      <c r="D11766" t="s">
        <v>9322</v>
      </c>
      <c r="E11766" t="s">
        <v>649</v>
      </c>
      <c r="F11766" t="s">
        <v>88</v>
      </c>
      <c r="G11766" t="s">
        <v>88</v>
      </c>
      <c r="H11766" t="s">
        <v>92</v>
      </c>
    </row>
    <row r="11767" spans="1:8" x14ac:dyDescent="0.25">
      <c r="A11767" t="s">
        <v>346</v>
      </c>
      <c r="B11767" t="s">
        <v>9323</v>
      </c>
      <c r="C11767" t="s">
        <v>88</v>
      </c>
      <c r="D11767" t="s">
        <v>9324</v>
      </c>
      <c r="E11767" t="s">
        <v>647</v>
      </c>
      <c r="F11767" t="s">
        <v>88</v>
      </c>
      <c r="G11767" t="s">
        <v>88</v>
      </c>
      <c r="H11767" t="s">
        <v>92</v>
      </c>
    </row>
    <row r="11768" spans="1:8" x14ac:dyDescent="0.25">
      <c r="A11768" t="s">
        <v>346</v>
      </c>
      <c r="B11768" t="s">
        <v>9325</v>
      </c>
      <c r="C11768" t="s">
        <v>88</v>
      </c>
      <c r="D11768" t="s">
        <v>9326</v>
      </c>
      <c r="E11768" t="s">
        <v>647</v>
      </c>
      <c r="F11768" t="s">
        <v>88</v>
      </c>
      <c r="G11768" t="s">
        <v>88</v>
      </c>
      <c r="H11768" t="s">
        <v>92</v>
      </c>
    </row>
    <row r="11769" spans="1:8" x14ac:dyDescent="0.25">
      <c r="A11769" t="s">
        <v>346</v>
      </c>
      <c r="B11769" t="s">
        <v>9327</v>
      </c>
      <c r="C11769" t="s">
        <v>88</v>
      </c>
      <c r="D11769" t="s">
        <v>9328</v>
      </c>
      <c r="E11769" t="s">
        <v>649</v>
      </c>
      <c r="F11769" t="s">
        <v>88</v>
      </c>
      <c r="G11769" t="s">
        <v>88</v>
      </c>
      <c r="H11769" t="s">
        <v>92</v>
      </c>
    </row>
    <row r="11770" spans="1:8" x14ac:dyDescent="0.25">
      <c r="A11770" t="s">
        <v>346</v>
      </c>
      <c r="B11770" t="s">
        <v>9329</v>
      </c>
      <c r="C11770" t="s">
        <v>88</v>
      </c>
      <c r="D11770" t="s">
        <v>9330</v>
      </c>
      <c r="E11770" t="s">
        <v>2585</v>
      </c>
      <c r="F11770" t="s">
        <v>88</v>
      </c>
      <c r="G11770" t="s">
        <v>88</v>
      </c>
      <c r="H11770" t="s">
        <v>92</v>
      </c>
    </row>
    <row r="11771" spans="1:8" x14ac:dyDescent="0.25">
      <c r="A11771" t="s">
        <v>346</v>
      </c>
      <c r="B11771" t="s">
        <v>9331</v>
      </c>
      <c r="C11771" t="s">
        <v>88</v>
      </c>
      <c r="D11771" t="s">
        <v>9332</v>
      </c>
      <c r="E11771" t="s">
        <v>2585</v>
      </c>
      <c r="F11771" t="s">
        <v>88</v>
      </c>
      <c r="G11771" t="s">
        <v>88</v>
      </c>
      <c r="H11771" t="s">
        <v>92</v>
      </c>
    </row>
    <row r="11772" spans="1:8" x14ac:dyDescent="0.25">
      <c r="A11772" t="s">
        <v>346</v>
      </c>
      <c r="B11772" t="s">
        <v>9333</v>
      </c>
      <c r="C11772" t="s">
        <v>88</v>
      </c>
      <c r="D11772" t="s">
        <v>9334</v>
      </c>
      <c r="E11772" t="s">
        <v>2585</v>
      </c>
      <c r="F11772" t="s">
        <v>88</v>
      </c>
      <c r="G11772" t="s">
        <v>88</v>
      </c>
      <c r="H11772" t="s">
        <v>92</v>
      </c>
    </row>
    <row r="11773" spans="1:8" x14ac:dyDescent="0.25">
      <c r="A11773" t="s">
        <v>346</v>
      </c>
      <c r="B11773" t="s">
        <v>9335</v>
      </c>
      <c r="C11773" t="s">
        <v>88</v>
      </c>
      <c r="D11773" t="s">
        <v>9336</v>
      </c>
      <c r="E11773" t="s">
        <v>2585</v>
      </c>
      <c r="F11773" t="s">
        <v>88</v>
      </c>
      <c r="G11773" t="s">
        <v>88</v>
      </c>
      <c r="H11773" t="s">
        <v>92</v>
      </c>
    </row>
    <row r="11774" spans="1:8" x14ac:dyDescent="0.25">
      <c r="A11774" t="s">
        <v>346</v>
      </c>
      <c r="B11774" t="s">
        <v>9337</v>
      </c>
      <c r="C11774" t="s">
        <v>88</v>
      </c>
      <c r="D11774" t="s">
        <v>9338</v>
      </c>
      <c r="E11774" t="s">
        <v>649</v>
      </c>
      <c r="F11774" t="s">
        <v>88</v>
      </c>
      <c r="G11774" t="s">
        <v>88</v>
      </c>
      <c r="H11774" t="s">
        <v>92</v>
      </c>
    </row>
    <row r="11775" spans="1:8" x14ac:dyDescent="0.25">
      <c r="A11775" t="s">
        <v>346</v>
      </c>
      <c r="B11775" t="s">
        <v>9339</v>
      </c>
      <c r="C11775" t="s">
        <v>88</v>
      </c>
      <c r="D11775" t="s">
        <v>9340</v>
      </c>
      <c r="E11775" t="s">
        <v>2585</v>
      </c>
      <c r="F11775" t="s">
        <v>88</v>
      </c>
      <c r="G11775" t="s">
        <v>88</v>
      </c>
      <c r="H11775" t="s">
        <v>92</v>
      </c>
    </row>
    <row r="11776" spans="1:8" x14ac:dyDescent="0.25">
      <c r="A11776" t="s">
        <v>346</v>
      </c>
      <c r="B11776" t="s">
        <v>9220</v>
      </c>
      <c r="C11776" t="s">
        <v>88</v>
      </c>
      <c r="D11776" t="s">
        <v>9341</v>
      </c>
      <c r="E11776" t="s">
        <v>2585</v>
      </c>
      <c r="F11776" t="s">
        <v>88</v>
      </c>
      <c r="G11776" t="s">
        <v>88</v>
      </c>
      <c r="H11776" t="s">
        <v>92</v>
      </c>
    </row>
    <row r="11777" spans="1:8" x14ac:dyDescent="0.25">
      <c r="A11777" t="s">
        <v>346</v>
      </c>
      <c r="B11777" t="s">
        <v>9342</v>
      </c>
      <c r="C11777" t="s">
        <v>88</v>
      </c>
      <c r="D11777" t="s">
        <v>9343</v>
      </c>
      <c r="E11777" t="s">
        <v>2585</v>
      </c>
      <c r="F11777" t="s">
        <v>88</v>
      </c>
      <c r="G11777" t="s">
        <v>88</v>
      </c>
      <c r="H11777" t="s">
        <v>92</v>
      </c>
    </row>
    <row r="11778" spans="1:8" x14ac:dyDescent="0.25">
      <c r="A11778" t="s">
        <v>346</v>
      </c>
      <c r="B11778" t="s">
        <v>7269</v>
      </c>
      <c r="C11778" t="s">
        <v>88</v>
      </c>
      <c r="D11778" t="s">
        <v>9322</v>
      </c>
      <c r="E11778" t="s">
        <v>647</v>
      </c>
      <c r="F11778" t="s">
        <v>88</v>
      </c>
      <c r="G11778" t="s">
        <v>88</v>
      </c>
      <c r="H11778" t="s">
        <v>92</v>
      </c>
    </row>
    <row r="11779" spans="1:8" x14ac:dyDescent="0.25">
      <c r="A11779" t="s">
        <v>346</v>
      </c>
      <c r="B11779" t="s">
        <v>9344</v>
      </c>
      <c r="C11779" t="s">
        <v>88</v>
      </c>
      <c r="D11779" t="s">
        <v>9324</v>
      </c>
      <c r="E11779" t="s">
        <v>2585</v>
      </c>
      <c r="F11779" t="s">
        <v>88</v>
      </c>
      <c r="G11779" t="s">
        <v>88</v>
      </c>
      <c r="H11779" t="s">
        <v>92</v>
      </c>
    </row>
    <row r="11780" spans="1:8" x14ac:dyDescent="0.25">
      <c r="A11780" t="s">
        <v>346</v>
      </c>
      <c r="B11780" t="s">
        <v>9345</v>
      </c>
      <c r="C11780" t="s">
        <v>88</v>
      </c>
      <c r="D11780" t="s">
        <v>9326</v>
      </c>
      <c r="E11780" t="s">
        <v>2585</v>
      </c>
      <c r="F11780" t="s">
        <v>88</v>
      </c>
      <c r="G11780" t="s">
        <v>88</v>
      </c>
      <c r="H11780" t="s">
        <v>92</v>
      </c>
    </row>
    <row r="11781" spans="1:8" x14ac:dyDescent="0.25">
      <c r="A11781" t="s">
        <v>346</v>
      </c>
      <c r="B11781" t="s">
        <v>9346</v>
      </c>
      <c r="C11781" t="s">
        <v>88</v>
      </c>
      <c r="D11781" t="s">
        <v>9328</v>
      </c>
      <c r="E11781" t="s">
        <v>605</v>
      </c>
      <c r="F11781" t="s">
        <v>88</v>
      </c>
      <c r="G11781" t="s">
        <v>88</v>
      </c>
      <c r="H11781" t="s">
        <v>92</v>
      </c>
    </row>
    <row r="11782" spans="1:8" x14ac:dyDescent="0.25">
      <c r="A11782" t="s">
        <v>346</v>
      </c>
      <c r="B11782" t="s">
        <v>9347</v>
      </c>
      <c r="C11782" t="s">
        <v>88</v>
      </c>
      <c r="D11782" t="s">
        <v>9330</v>
      </c>
      <c r="E11782" t="s">
        <v>2540</v>
      </c>
      <c r="F11782" t="s">
        <v>88</v>
      </c>
      <c r="G11782" t="s">
        <v>88</v>
      </c>
      <c r="H11782" t="s">
        <v>92</v>
      </c>
    </row>
    <row r="11783" spans="1:8" x14ac:dyDescent="0.25">
      <c r="A11783" t="s">
        <v>346</v>
      </c>
      <c r="B11783" t="s">
        <v>9348</v>
      </c>
      <c r="C11783" t="s">
        <v>88</v>
      </c>
      <c r="D11783" t="s">
        <v>9349</v>
      </c>
      <c r="E11783" t="s">
        <v>2540</v>
      </c>
      <c r="F11783" t="s">
        <v>88</v>
      </c>
      <c r="G11783" t="s">
        <v>88</v>
      </c>
      <c r="H11783" t="s">
        <v>92</v>
      </c>
    </row>
    <row r="11784" spans="1:8" x14ac:dyDescent="0.25">
      <c r="A11784" t="s">
        <v>346</v>
      </c>
      <c r="B11784" t="s">
        <v>9350</v>
      </c>
      <c r="C11784" t="s">
        <v>88</v>
      </c>
      <c r="D11784" t="s">
        <v>9334</v>
      </c>
      <c r="E11784" t="s">
        <v>2540</v>
      </c>
      <c r="F11784" t="s">
        <v>88</v>
      </c>
      <c r="G11784" t="s">
        <v>88</v>
      </c>
      <c r="H11784" t="s">
        <v>92</v>
      </c>
    </row>
    <row r="11785" spans="1:8" x14ac:dyDescent="0.25">
      <c r="A11785" t="s">
        <v>346</v>
      </c>
      <c r="B11785" t="s">
        <v>9351</v>
      </c>
      <c r="C11785" t="s">
        <v>88</v>
      </c>
      <c r="D11785" t="s">
        <v>9336</v>
      </c>
      <c r="E11785" t="s">
        <v>2540</v>
      </c>
      <c r="F11785" t="s">
        <v>88</v>
      </c>
      <c r="G11785" t="s">
        <v>88</v>
      </c>
      <c r="H11785" t="s">
        <v>92</v>
      </c>
    </row>
    <row r="11786" spans="1:8" x14ac:dyDescent="0.25">
      <c r="A11786" t="s">
        <v>346</v>
      </c>
      <c r="B11786" t="s">
        <v>9352</v>
      </c>
      <c r="C11786" t="s">
        <v>88</v>
      </c>
      <c r="D11786" t="s">
        <v>9338</v>
      </c>
      <c r="E11786" t="s">
        <v>647</v>
      </c>
      <c r="F11786" t="s">
        <v>88</v>
      </c>
      <c r="G11786" t="s">
        <v>88</v>
      </c>
      <c r="H11786" t="s">
        <v>92</v>
      </c>
    </row>
    <row r="11787" spans="1:8" x14ac:dyDescent="0.25">
      <c r="A11787" t="s">
        <v>346</v>
      </c>
      <c r="B11787" t="s">
        <v>9353</v>
      </c>
      <c r="C11787" t="s">
        <v>88</v>
      </c>
      <c r="D11787" t="s">
        <v>9354</v>
      </c>
      <c r="E11787" t="s">
        <v>2540</v>
      </c>
      <c r="F11787" t="s">
        <v>88</v>
      </c>
      <c r="G11787" t="s">
        <v>88</v>
      </c>
      <c r="H11787" t="s">
        <v>92</v>
      </c>
    </row>
    <row r="11788" spans="1:8" x14ac:dyDescent="0.25">
      <c r="A11788" t="s">
        <v>346</v>
      </c>
      <c r="B11788" t="s">
        <v>9237</v>
      </c>
      <c r="C11788" t="s">
        <v>88</v>
      </c>
      <c r="D11788" t="s">
        <v>9354</v>
      </c>
      <c r="E11788" t="s">
        <v>2540</v>
      </c>
      <c r="F11788" t="s">
        <v>88</v>
      </c>
      <c r="G11788" t="s">
        <v>88</v>
      </c>
      <c r="H11788" t="s">
        <v>92</v>
      </c>
    </row>
    <row r="11789" spans="1:8" x14ac:dyDescent="0.25">
      <c r="A11789" t="s">
        <v>346</v>
      </c>
      <c r="B11789" t="s">
        <v>9355</v>
      </c>
      <c r="C11789" t="s">
        <v>88</v>
      </c>
      <c r="D11789" t="s">
        <v>9343</v>
      </c>
      <c r="E11789" t="s">
        <v>2540</v>
      </c>
      <c r="F11789" t="s">
        <v>88</v>
      </c>
      <c r="G11789" t="s">
        <v>88</v>
      </c>
      <c r="H11789" t="s">
        <v>92</v>
      </c>
    </row>
    <row r="11790" spans="1:8" x14ac:dyDescent="0.25">
      <c r="A11790" t="s">
        <v>346</v>
      </c>
      <c r="B11790" t="s">
        <v>7273</v>
      </c>
      <c r="C11790" t="s">
        <v>88</v>
      </c>
      <c r="D11790" t="s">
        <v>9322</v>
      </c>
      <c r="E11790" t="s">
        <v>2540</v>
      </c>
      <c r="F11790" t="s">
        <v>88</v>
      </c>
      <c r="G11790" t="s">
        <v>88</v>
      </c>
      <c r="H11790" t="s">
        <v>92</v>
      </c>
    </row>
    <row r="11791" spans="1:8" x14ac:dyDescent="0.25">
      <c r="A11791" t="s">
        <v>346</v>
      </c>
      <c r="B11791" t="s">
        <v>9356</v>
      </c>
      <c r="C11791" t="s">
        <v>88</v>
      </c>
      <c r="D11791" t="s">
        <v>9324</v>
      </c>
      <c r="E11791" t="s">
        <v>591</v>
      </c>
      <c r="F11791" t="s">
        <v>88</v>
      </c>
      <c r="G11791" t="s">
        <v>88</v>
      </c>
      <c r="H11791" t="s">
        <v>92</v>
      </c>
    </row>
    <row r="11792" spans="1:8" x14ac:dyDescent="0.25">
      <c r="A11792" t="s">
        <v>346</v>
      </c>
      <c r="B11792" t="s">
        <v>9357</v>
      </c>
      <c r="C11792" t="s">
        <v>88</v>
      </c>
      <c r="D11792" t="s">
        <v>9326</v>
      </c>
      <c r="E11792" t="s">
        <v>591</v>
      </c>
      <c r="F11792" t="s">
        <v>88</v>
      </c>
      <c r="G11792" t="s">
        <v>88</v>
      </c>
      <c r="H11792" t="s">
        <v>92</v>
      </c>
    </row>
    <row r="11793" spans="1:8" x14ac:dyDescent="0.25">
      <c r="A11793" t="s">
        <v>346</v>
      </c>
      <c r="B11793" t="s">
        <v>9358</v>
      </c>
      <c r="C11793" t="s">
        <v>88</v>
      </c>
      <c r="D11793" t="s">
        <v>9328</v>
      </c>
      <c r="E11793" t="s">
        <v>591</v>
      </c>
      <c r="F11793" t="s">
        <v>88</v>
      </c>
      <c r="G11793" t="s">
        <v>88</v>
      </c>
      <c r="H11793" t="s">
        <v>92</v>
      </c>
    </row>
    <row r="11794" spans="1:8" x14ac:dyDescent="0.25">
      <c r="A11794" t="s">
        <v>346</v>
      </c>
      <c r="B11794" t="s">
        <v>9359</v>
      </c>
      <c r="C11794" t="s">
        <v>88</v>
      </c>
      <c r="D11794" t="s">
        <v>9330</v>
      </c>
      <c r="E11794" t="s">
        <v>643</v>
      </c>
      <c r="F11794" t="s">
        <v>88</v>
      </c>
      <c r="G11794" t="s">
        <v>88</v>
      </c>
      <c r="H11794" t="s">
        <v>92</v>
      </c>
    </row>
    <row r="11795" spans="1:8" x14ac:dyDescent="0.25">
      <c r="A11795" t="s">
        <v>346</v>
      </c>
      <c r="B11795" t="s">
        <v>9360</v>
      </c>
      <c r="C11795" t="s">
        <v>88</v>
      </c>
      <c r="D11795" t="s">
        <v>9334</v>
      </c>
      <c r="E11795" t="s">
        <v>643</v>
      </c>
      <c r="F11795" t="s">
        <v>88</v>
      </c>
      <c r="G11795" t="s">
        <v>88</v>
      </c>
      <c r="H11795" t="s">
        <v>92</v>
      </c>
    </row>
    <row r="11796" spans="1:8" x14ac:dyDescent="0.25">
      <c r="A11796" t="s">
        <v>346</v>
      </c>
      <c r="B11796" t="s">
        <v>9361</v>
      </c>
      <c r="C11796" t="s">
        <v>88</v>
      </c>
      <c r="D11796" t="s">
        <v>9336</v>
      </c>
      <c r="E11796" t="s">
        <v>643</v>
      </c>
      <c r="F11796" t="s">
        <v>88</v>
      </c>
      <c r="G11796" t="s">
        <v>88</v>
      </c>
      <c r="H11796" t="s">
        <v>92</v>
      </c>
    </row>
    <row r="11797" spans="1:8" x14ac:dyDescent="0.25">
      <c r="A11797" t="s">
        <v>346</v>
      </c>
      <c r="B11797" t="s">
        <v>9362</v>
      </c>
      <c r="C11797" t="s">
        <v>88</v>
      </c>
      <c r="D11797" t="s">
        <v>9338</v>
      </c>
      <c r="E11797" t="s">
        <v>2540</v>
      </c>
      <c r="F11797" t="s">
        <v>88</v>
      </c>
      <c r="G11797" t="s">
        <v>88</v>
      </c>
      <c r="H11797" t="s">
        <v>92</v>
      </c>
    </row>
    <row r="11798" spans="1:8" x14ac:dyDescent="0.25">
      <c r="A11798" t="s">
        <v>346</v>
      </c>
      <c r="B11798" t="s">
        <v>9363</v>
      </c>
      <c r="C11798" t="s">
        <v>88</v>
      </c>
      <c r="D11798" t="s">
        <v>9364</v>
      </c>
      <c r="E11798" t="s">
        <v>2643</v>
      </c>
      <c r="F11798" t="s">
        <v>88</v>
      </c>
      <c r="G11798" t="s">
        <v>88</v>
      </c>
      <c r="H11798" t="s">
        <v>92</v>
      </c>
    </row>
    <row r="11799" spans="1:8" x14ac:dyDescent="0.25">
      <c r="A11799" t="s">
        <v>346</v>
      </c>
      <c r="B11799" t="s">
        <v>9247</v>
      </c>
      <c r="C11799" t="s">
        <v>88</v>
      </c>
      <c r="D11799" t="s">
        <v>9309</v>
      </c>
      <c r="E11799" t="s">
        <v>591</v>
      </c>
      <c r="F11799" t="s">
        <v>88</v>
      </c>
      <c r="G11799" t="s">
        <v>88</v>
      </c>
      <c r="H11799" t="s">
        <v>92</v>
      </c>
    </row>
    <row r="11800" spans="1:8" x14ac:dyDescent="0.25">
      <c r="A11800" t="s">
        <v>346</v>
      </c>
      <c r="B11800" t="s">
        <v>9365</v>
      </c>
      <c r="C11800" t="s">
        <v>88</v>
      </c>
      <c r="D11800" t="s">
        <v>9366</v>
      </c>
      <c r="E11800" t="s">
        <v>591</v>
      </c>
      <c r="F11800" t="s">
        <v>88</v>
      </c>
      <c r="G11800" t="s">
        <v>88</v>
      </c>
      <c r="H11800" t="s">
        <v>92</v>
      </c>
    </row>
    <row r="11801" spans="1:8" x14ac:dyDescent="0.25">
      <c r="A11801" t="s">
        <v>346</v>
      </c>
      <c r="B11801" t="s">
        <v>9367</v>
      </c>
      <c r="C11801" t="s">
        <v>88</v>
      </c>
      <c r="D11801" t="s">
        <v>9322</v>
      </c>
      <c r="E11801" t="s">
        <v>591</v>
      </c>
      <c r="F11801" t="s">
        <v>88</v>
      </c>
      <c r="G11801" t="s">
        <v>88</v>
      </c>
      <c r="H11801" t="s">
        <v>92</v>
      </c>
    </row>
    <row r="11802" spans="1:8" x14ac:dyDescent="0.25">
      <c r="A11802" t="s">
        <v>346</v>
      </c>
      <c r="B11802" t="s">
        <v>9368</v>
      </c>
      <c r="C11802" t="s">
        <v>88</v>
      </c>
      <c r="D11802" t="s">
        <v>9324</v>
      </c>
      <c r="E11802" t="s">
        <v>638</v>
      </c>
      <c r="F11802" t="s">
        <v>88</v>
      </c>
      <c r="G11802" t="s">
        <v>88</v>
      </c>
      <c r="H11802" t="s">
        <v>92</v>
      </c>
    </row>
    <row r="11803" spans="1:8" x14ac:dyDescent="0.25">
      <c r="A11803" t="s">
        <v>346</v>
      </c>
      <c r="B11803" t="s">
        <v>9369</v>
      </c>
      <c r="C11803" t="s">
        <v>88</v>
      </c>
      <c r="D11803" t="s">
        <v>9326</v>
      </c>
      <c r="E11803" t="s">
        <v>638</v>
      </c>
      <c r="F11803" t="s">
        <v>88</v>
      </c>
      <c r="G11803" t="s">
        <v>88</v>
      </c>
      <c r="H11803" t="s">
        <v>92</v>
      </c>
    </row>
    <row r="11804" spans="1:8" x14ac:dyDescent="0.25">
      <c r="A11804" t="s">
        <v>346</v>
      </c>
      <c r="B11804" t="s">
        <v>9370</v>
      </c>
      <c r="C11804" t="s">
        <v>88</v>
      </c>
      <c r="D11804" t="s">
        <v>9328</v>
      </c>
      <c r="E11804" t="s">
        <v>638</v>
      </c>
      <c r="F11804" t="s">
        <v>88</v>
      </c>
      <c r="G11804" t="s">
        <v>88</v>
      </c>
      <c r="H11804" t="s">
        <v>92</v>
      </c>
    </row>
    <row r="11805" spans="1:8" x14ac:dyDescent="0.25">
      <c r="A11805" t="s">
        <v>346</v>
      </c>
      <c r="B11805" t="s">
        <v>9371</v>
      </c>
      <c r="C11805" t="s">
        <v>88</v>
      </c>
      <c r="D11805" t="s">
        <v>9330</v>
      </c>
      <c r="E11805" t="s">
        <v>2581</v>
      </c>
      <c r="F11805" t="s">
        <v>88</v>
      </c>
      <c r="G11805" t="s">
        <v>88</v>
      </c>
      <c r="H11805" t="s">
        <v>92</v>
      </c>
    </row>
    <row r="11806" spans="1:8" x14ac:dyDescent="0.25">
      <c r="A11806" t="s">
        <v>346</v>
      </c>
      <c r="B11806" t="s">
        <v>9372</v>
      </c>
      <c r="C11806" t="s">
        <v>88</v>
      </c>
      <c r="D11806" t="s">
        <v>9373</v>
      </c>
      <c r="E11806" t="s">
        <v>2581</v>
      </c>
      <c r="F11806" t="s">
        <v>88</v>
      </c>
      <c r="G11806" t="s">
        <v>88</v>
      </c>
      <c r="H11806" t="s">
        <v>92</v>
      </c>
    </row>
    <row r="11807" spans="1:8" x14ac:dyDescent="0.25">
      <c r="A11807" t="s">
        <v>346</v>
      </c>
      <c r="B11807" t="s">
        <v>9374</v>
      </c>
      <c r="C11807" t="s">
        <v>88</v>
      </c>
      <c r="D11807" t="s">
        <v>9336</v>
      </c>
      <c r="E11807" t="s">
        <v>2581</v>
      </c>
      <c r="F11807" t="s">
        <v>88</v>
      </c>
      <c r="G11807" t="s">
        <v>88</v>
      </c>
      <c r="H11807" t="s">
        <v>92</v>
      </c>
    </row>
    <row r="11808" spans="1:8" x14ac:dyDescent="0.25">
      <c r="A11808" t="s">
        <v>346</v>
      </c>
      <c r="B11808" t="s">
        <v>9375</v>
      </c>
      <c r="C11808" t="s">
        <v>88</v>
      </c>
      <c r="D11808" t="s">
        <v>9338</v>
      </c>
      <c r="E11808" t="s">
        <v>591</v>
      </c>
      <c r="F11808" t="s">
        <v>88</v>
      </c>
      <c r="G11808" t="s">
        <v>88</v>
      </c>
      <c r="H11808" t="s">
        <v>92</v>
      </c>
    </row>
    <row r="11809" spans="1:8" x14ac:dyDescent="0.25">
      <c r="A11809" t="s">
        <v>346</v>
      </c>
      <c r="B11809" t="s">
        <v>9376</v>
      </c>
      <c r="C11809" t="s">
        <v>88</v>
      </c>
      <c r="D11809" t="s">
        <v>9364</v>
      </c>
      <c r="E11809" t="s">
        <v>2581</v>
      </c>
      <c r="F11809" t="s">
        <v>88</v>
      </c>
      <c r="G11809" t="s">
        <v>88</v>
      </c>
      <c r="H11809" t="s">
        <v>92</v>
      </c>
    </row>
    <row r="11810" spans="1:8" x14ac:dyDescent="0.25">
      <c r="A11810" t="s">
        <v>346</v>
      </c>
      <c r="B11810" t="s">
        <v>9310</v>
      </c>
      <c r="C11810" t="s">
        <v>88</v>
      </c>
      <c r="D11810" t="s">
        <v>9309</v>
      </c>
      <c r="E11810" t="s">
        <v>643</v>
      </c>
      <c r="F11810" t="s">
        <v>88</v>
      </c>
      <c r="G11810" t="s">
        <v>88</v>
      </c>
      <c r="H11810" t="s">
        <v>92</v>
      </c>
    </row>
    <row r="11811" spans="1:8" x14ac:dyDescent="0.25">
      <c r="A11811" t="s">
        <v>346</v>
      </c>
      <c r="B11811" t="s">
        <v>9377</v>
      </c>
      <c r="C11811" t="s">
        <v>88</v>
      </c>
      <c r="D11811" t="s">
        <v>9366</v>
      </c>
      <c r="E11811" t="s">
        <v>643</v>
      </c>
      <c r="F11811" t="s">
        <v>88</v>
      </c>
      <c r="G11811" t="s">
        <v>88</v>
      </c>
      <c r="H11811" t="s">
        <v>92</v>
      </c>
    </row>
    <row r="11812" spans="1:8" x14ac:dyDescent="0.25">
      <c r="A11812" t="s">
        <v>346</v>
      </c>
      <c r="B11812" t="s">
        <v>5073</v>
      </c>
      <c r="C11812" t="s">
        <v>88</v>
      </c>
      <c r="D11812" t="s">
        <v>9378</v>
      </c>
      <c r="E11812" t="s">
        <v>715</v>
      </c>
      <c r="F11812" t="s">
        <v>88</v>
      </c>
      <c r="G11812" t="s">
        <v>88</v>
      </c>
      <c r="H11812" t="s">
        <v>92</v>
      </c>
    </row>
    <row r="11813" spans="1:8" x14ac:dyDescent="0.25">
      <c r="A11813" t="s">
        <v>346</v>
      </c>
      <c r="B11813" t="s">
        <v>5076</v>
      </c>
      <c r="C11813" t="s">
        <v>88</v>
      </c>
      <c r="D11813" t="s">
        <v>9379</v>
      </c>
      <c r="E11813" t="s">
        <v>791</v>
      </c>
      <c r="F11813" t="s">
        <v>88</v>
      </c>
      <c r="G11813" t="s">
        <v>88</v>
      </c>
      <c r="H11813" t="s">
        <v>92</v>
      </c>
    </row>
    <row r="11814" spans="1:8" x14ac:dyDescent="0.25">
      <c r="A11814" t="s">
        <v>346</v>
      </c>
      <c r="B11814" t="s">
        <v>5268</v>
      </c>
      <c r="C11814" t="s">
        <v>88</v>
      </c>
      <c r="D11814" t="s">
        <v>9380</v>
      </c>
      <c r="E11814" t="s">
        <v>780</v>
      </c>
      <c r="F11814" t="s">
        <v>88</v>
      </c>
      <c r="G11814" t="s">
        <v>88</v>
      </c>
      <c r="H11814" t="s">
        <v>92</v>
      </c>
    </row>
    <row r="11815" spans="1:8" x14ac:dyDescent="0.25">
      <c r="A11815" t="s">
        <v>346</v>
      </c>
      <c r="B11815" t="s">
        <v>9381</v>
      </c>
      <c r="C11815" t="s">
        <v>88</v>
      </c>
      <c r="D11815" t="s">
        <v>88</v>
      </c>
      <c r="E11815" t="s">
        <v>723</v>
      </c>
      <c r="F11815" t="s">
        <v>88</v>
      </c>
      <c r="G11815" t="s">
        <v>88</v>
      </c>
      <c r="H11815" t="s">
        <v>92</v>
      </c>
    </row>
    <row r="11816" spans="1:8" x14ac:dyDescent="0.25">
      <c r="A11816" t="s">
        <v>346</v>
      </c>
      <c r="B11816" t="s">
        <v>9382</v>
      </c>
      <c r="C11816" t="s">
        <v>88</v>
      </c>
      <c r="D11816" t="s">
        <v>88</v>
      </c>
      <c r="E11816" t="s">
        <v>738</v>
      </c>
      <c r="F11816" t="s">
        <v>88</v>
      </c>
      <c r="G11816" t="s">
        <v>88</v>
      </c>
      <c r="H11816" t="s">
        <v>92</v>
      </c>
    </row>
    <row r="11817" spans="1:8" x14ac:dyDescent="0.25">
      <c r="A11817" t="s">
        <v>346</v>
      </c>
      <c r="B11817" t="s">
        <v>9383</v>
      </c>
      <c r="C11817" t="s">
        <v>88</v>
      </c>
      <c r="D11817" t="s">
        <v>88</v>
      </c>
      <c r="E11817" t="s">
        <v>721</v>
      </c>
      <c r="F11817" t="s">
        <v>88</v>
      </c>
      <c r="G11817" t="s">
        <v>88</v>
      </c>
      <c r="H11817" t="s">
        <v>92</v>
      </c>
    </row>
    <row r="11818" spans="1:8" x14ac:dyDescent="0.25">
      <c r="A11818" t="s">
        <v>346</v>
      </c>
      <c r="B11818" t="s">
        <v>2118</v>
      </c>
      <c r="C11818" t="s">
        <v>88</v>
      </c>
      <c r="D11818" t="s">
        <v>88</v>
      </c>
      <c r="E11818" t="s">
        <v>715</v>
      </c>
      <c r="F11818" t="s">
        <v>88</v>
      </c>
      <c r="G11818" t="s">
        <v>88</v>
      </c>
      <c r="H11818" t="s">
        <v>92</v>
      </c>
    </row>
    <row r="11819" spans="1:8" x14ac:dyDescent="0.25">
      <c r="A11819" t="s">
        <v>346</v>
      </c>
      <c r="B11819" t="s">
        <v>3681</v>
      </c>
      <c r="C11819" t="s">
        <v>88</v>
      </c>
      <c r="D11819" t="s">
        <v>88</v>
      </c>
      <c r="E11819" t="s">
        <v>1323</v>
      </c>
      <c r="F11819" t="s">
        <v>88</v>
      </c>
      <c r="G11819" t="s">
        <v>88</v>
      </c>
      <c r="H11819" t="s">
        <v>92</v>
      </c>
    </row>
    <row r="11820" spans="1:8" x14ac:dyDescent="0.25">
      <c r="A11820" t="s">
        <v>346</v>
      </c>
      <c r="B11820" t="s">
        <v>7302</v>
      </c>
      <c r="C11820" t="s">
        <v>88</v>
      </c>
      <c r="D11820" t="s">
        <v>88</v>
      </c>
      <c r="E11820" t="s">
        <v>780</v>
      </c>
      <c r="F11820" t="s">
        <v>88</v>
      </c>
      <c r="G11820" t="s">
        <v>88</v>
      </c>
      <c r="H11820" t="s">
        <v>92</v>
      </c>
    </row>
    <row r="11821" spans="1:8" x14ac:dyDescent="0.25">
      <c r="A11821" t="s">
        <v>346</v>
      </c>
      <c r="B11821" t="s">
        <v>2863</v>
      </c>
      <c r="C11821" t="s">
        <v>88</v>
      </c>
      <c r="D11821" t="s">
        <v>88</v>
      </c>
      <c r="E11821" t="s">
        <v>780</v>
      </c>
      <c r="F11821" t="s">
        <v>88</v>
      </c>
      <c r="G11821" t="s">
        <v>88</v>
      </c>
      <c r="H11821" t="s">
        <v>92</v>
      </c>
    </row>
    <row r="11822" spans="1:8" x14ac:dyDescent="0.25">
      <c r="A11822" t="s">
        <v>346</v>
      </c>
      <c r="B11822" t="s">
        <v>7518</v>
      </c>
      <c r="C11822" t="s">
        <v>88</v>
      </c>
      <c r="D11822" t="s">
        <v>88</v>
      </c>
      <c r="E11822" t="s">
        <v>850</v>
      </c>
      <c r="F11822" t="s">
        <v>88</v>
      </c>
      <c r="G11822" t="s">
        <v>88</v>
      </c>
      <c r="H11822" t="s">
        <v>92</v>
      </c>
    </row>
    <row r="11823" spans="1:8" x14ac:dyDescent="0.25">
      <c r="A11823" t="s">
        <v>346</v>
      </c>
      <c r="B11823" t="s">
        <v>2579</v>
      </c>
      <c r="C11823" t="s">
        <v>88</v>
      </c>
      <c r="D11823" t="s">
        <v>88</v>
      </c>
      <c r="E11823" t="s">
        <v>850</v>
      </c>
      <c r="F11823" t="s">
        <v>88</v>
      </c>
      <c r="G11823" t="s">
        <v>88</v>
      </c>
      <c r="H11823" t="s">
        <v>92</v>
      </c>
    </row>
    <row r="11824" spans="1:8" x14ac:dyDescent="0.25">
      <c r="A11824" t="s">
        <v>346</v>
      </c>
      <c r="B11824" t="s">
        <v>9384</v>
      </c>
      <c r="C11824" t="s">
        <v>88</v>
      </c>
      <c r="D11824" t="s">
        <v>88</v>
      </c>
      <c r="E11824" t="s">
        <v>850</v>
      </c>
      <c r="F11824" t="s">
        <v>88</v>
      </c>
      <c r="G11824" t="s">
        <v>88</v>
      </c>
      <c r="H11824" t="s">
        <v>92</v>
      </c>
    </row>
    <row r="11825" spans="1:8" x14ac:dyDescent="0.25">
      <c r="A11825" t="s">
        <v>346</v>
      </c>
      <c r="B11825" t="s">
        <v>2870</v>
      </c>
      <c r="C11825" t="s">
        <v>88</v>
      </c>
      <c r="D11825" t="s">
        <v>88</v>
      </c>
      <c r="E11825" t="s">
        <v>850</v>
      </c>
      <c r="F11825" t="s">
        <v>88</v>
      </c>
      <c r="G11825" t="s">
        <v>88</v>
      </c>
      <c r="H11825" t="s">
        <v>92</v>
      </c>
    </row>
    <row r="11826" spans="1:8" x14ac:dyDescent="0.25">
      <c r="A11826" t="s">
        <v>346</v>
      </c>
      <c r="B11826" t="s">
        <v>2573</v>
      </c>
      <c r="C11826" t="s">
        <v>88</v>
      </c>
      <c r="D11826" t="s">
        <v>88</v>
      </c>
      <c r="E11826" t="s">
        <v>850</v>
      </c>
      <c r="F11826" t="s">
        <v>88</v>
      </c>
      <c r="G11826" t="s">
        <v>88</v>
      </c>
      <c r="H11826" t="s">
        <v>92</v>
      </c>
    </row>
    <row r="11827" spans="1:8" x14ac:dyDescent="0.25">
      <c r="A11827" t="s">
        <v>346</v>
      </c>
      <c r="B11827" t="s">
        <v>2334</v>
      </c>
      <c r="C11827" t="s">
        <v>88</v>
      </c>
      <c r="D11827" t="s">
        <v>9385</v>
      </c>
      <c r="E11827" t="s">
        <v>791</v>
      </c>
      <c r="F11827" t="s">
        <v>88</v>
      </c>
      <c r="G11827" t="s">
        <v>88</v>
      </c>
      <c r="H11827" t="s">
        <v>92</v>
      </c>
    </row>
    <row r="11828" spans="1:8" x14ac:dyDescent="0.25">
      <c r="A11828" t="s">
        <v>346</v>
      </c>
      <c r="B11828" t="s">
        <v>9386</v>
      </c>
      <c r="C11828" t="s">
        <v>88</v>
      </c>
      <c r="D11828" t="s">
        <v>9387</v>
      </c>
      <c r="E11828" t="s">
        <v>780</v>
      </c>
      <c r="F11828" t="s">
        <v>88</v>
      </c>
      <c r="G11828" t="s">
        <v>88</v>
      </c>
      <c r="H11828" t="s">
        <v>92</v>
      </c>
    </row>
    <row r="11829" spans="1:8" x14ac:dyDescent="0.25">
      <c r="A11829" t="s">
        <v>346</v>
      </c>
      <c r="B11829" t="s">
        <v>9388</v>
      </c>
      <c r="C11829" t="s">
        <v>88</v>
      </c>
      <c r="D11829" t="s">
        <v>9389</v>
      </c>
      <c r="E11829" t="s">
        <v>663</v>
      </c>
      <c r="F11829" t="s">
        <v>88</v>
      </c>
      <c r="G11829" t="s">
        <v>88</v>
      </c>
      <c r="H11829" t="s">
        <v>92</v>
      </c>
    </row>
    <row r="11830" spans="1:8" x14ac:dyDescent="0.25">
      <c r="A11830" t="s">
        <v>346</v>
      </c>
      <c r="B11830" t="s">
        <v>1072</v>
      </c>
      <c r="C11830" t="s">
        <v>88</v>
      </c>
      <c r="D11830" t="s">
        <v>88</v>
      </c>
      <c r="E11830" t="s">
        <v>624</v>
      </c>
      <c r="F11830" t="s">
        <v>88</v>
      </c>
      <c r="G11830" t="s">
        <v>88</v>
      </c>
      <c r="H11830" t="s">
        <v>92</v>
      </c>
    </row>
    <row r="11831" spans="1:8" x14ac:dyDescent="0.25">
      <c r="A11831" t="s">
        <v>346</v>
      </c>
      <c r="B11831" t="s">
        <v>701</v>
      </c>
      <c r="C11831" t="s">
        <v>88</v>
      </c>
      <c r="D11831" t="s">
        <v>88</v>
      </c>
      <c r="E11831" t="s">
        <v>624</v>
      </c>
      <c r="F11831" t="s">
        <v>88</v>
      </c>
      <c r="G11831" t="s">
        <v>88</v>
      </c>
      <c r="H11831" t="s">
        <v>92</v>
      </c>
    </row>
    <row r="11832" spans="1:8" x14ac:dyDescent="0.25">
      <c r="A11832" t="s">
        <v>346</v>
      </c>
      <c r="B11832" t="s">
        <v>705</v>
      </c>
      <c r="C11832" t="s">
        <v>88</v>
      </c>
      <c r="D11832" t="s">
        <v>88</v>
      </c>
      <c r="E11832" t="s">
        <v>624</v>
      </c>
      <c r="F11832" t="s">
        <v>88</v>
      </c>
      <c r="G11832" t="s">
        <v>88</v>
      </c>
      <c r="H11832" t="s">
        <v>92</v>
      </c>
    </row>
    <row r="11833" spans="1:8" x14ac:dyDescent="0.25">
      <c r="A11833" t="s">
        <v>346</v>
      </c>
      <c r="B11833" t="s">
        <v>706</v>
      </c>
      <c r="C11833" t="s">
        <v>88</v>
      </c>
      <c r="D11833" t="s">
        <v>88</v>
      </c>
      <c r="E11833" t="s">
        <v>624</v>
      </c>
      <c r="F11833" t="s">
        <v>88</v>
      </c>
      <c r="G11833" t="s">
        <v>88</v>
      </c>
      <c r="H11833" t="s">
        <v>92</v>
      </c>
    </row>
    <row r="11834" spans="1:8" x14ac:dyDescent="0.25">
      <c r="A11834" t="s">
        <v>346</v>
      </c>
      <c r="B11834" t="s">
        <v>707</v>
      </c>
      <c r="C11834" t="s">
        <v>88</v>
      </c>
      <c r="D11834" t="s">
        <v>88</v>
      </c>
      <c r="E11834" t="s">
        <v>624</v>
      </c>
      <c r="F11834" t="s">
        <v>88</v>
      </c>
      <c r="G11834" t="s">
        <v>88</v>
      </c>
      <c r="H11834" t="s">
        <v>92</v>
      </c>
    </row>
    <row r="11835" spans="1:8" x14ac:dyDescent="0.25">
      <c r="A11835" t="s">
        <v>346</v>
      </c>
      <c r="B11835" t="s">
        <v>708</v>
      </c>
      <c r="C11835" t="s">
        <v>88</v>
      </c>
      <c r="D11835" t="s">
        <v>88</v>
      </c>
      <c r="E11835" t="s">
        <v>624</v>
      </c>
      <c r="F11835" t="s">
        <v>88</v>
      </c>
      <c r="G11835" t="s">
        <v>88</v>
      </c>
      <c r="H11835" t="s">
        <v>92</v>
      </c>
    </row>
    <row r="11836" spans="1:8" x14ac:dyDescent="0.25">
      <c r="A11836" t="s">
        <v>346</v>
      </c>
      <c r="B11836" t="s">
        <v>622</v>
      </c>
      <c r="C11836" t="s">
        <v>88</v>
      </c>
      <c r="D11836" t="s">
        <v>88</v>
      </c>
      <c r="E11836" t="s">
        <v>713</v>
      </c>
      <c r="F11836" t="s">
        <v>88</v>
      </c>
      <c r="G11836" t="s">
        <v>88</v>
      </c>
      <c r="H11836" t="s">
        <v>92</v>
      </c>
    </row>
    <row r="11837" spans="1:8" x14ac:dyDescent="0.25">
      <c r="A11837" t="s">
        <v>346</v>
      </c>
      <c r="B11837" t="s">
        <v>623</v>
      </c>
      <c r="C11837" t="s">
        <v>88</v>
      </c>
      <c r="D11837" t="s">
        <v>88</v>
      </c>
      <c r="E11837" t="s">
        <v>849</v>
      </c>
      <c r="F11837" t="s">
        <v>88</v>
      </c>
      <c r="G11837" t="s">
        <v>88</v>
      </c>
      <c r="H11837" t="s">
        <v>92</v>
      </c>
    </row>
    <row r="11838" spans="1:8" x14ac:dyDescent="0.25">
      <c r="A11838" t="s">
        <v>346</v>
      </c>
      <c r="B11838" t="s">
        <v>625</v>
      </c>
      <c r="C11838" t="s">
        <v>88</v>
      </c>
      <c r="D11838" t="s">
        <v>88</v>
      </c>
      <c r="E11838" t="s">
        <v>626</v>
      </c>
      <c r="F11838" t="s">
        <v>88</v>
      </c>
      <c r="G11838" t="s">
        <v>88</v>
      </c>
      <c r="H11838" t="s">
        <v>92</v>
      </c>
    </row>
    <row r="11839" spans="1:8" x14ac:dyDescent="0.25">
      <c r="A11839" t="s">
        <v>347</v>
      </c>
      <c r="B11839" t="s">
        <v>9390</v>
      </c>
      <c r="C11839" t="s">
        <v>88</v>
      </c>
      <c r="D11839" t="s">
        <v>9391</v>
      </c>
      <c r="E11839" t="s">
        <v>9392</v>
      </c>
      <c r="F11839" t="s">
        <v>88</v>
      </c>
      <c r="G11839" t="s">
        <v>88</v>
      </c>
      <c r="H11839" t="s">
        <v>92</v>
      </c>
    </row>
    <row r="11840" spans="1:8" x14ac:dyDescent="0.25">
      <c r="A11840" t="s">
        <v>347</v>
      </c>
      <c r="B11840" t="s">
        <v>9393</v>
      </c>
      <c r="C11840" t="s">
        <v>88</v>
      </c>
      <c r="D11840" t="s">
        <v>9394</v>
      </c>
      <c r="E11840" t="s">
        <v>9395</v>
      </c>
      <c r="F11840" t="s">
        <v>88</v>
      </c>
      <c r="G11840" t="s">
        <v>88</v>
      </c>
      <c r="H11840" t="s">
        <v>92</v>
      </c>
    </row>
    <row r="11841" spans="1:8" x14ac:dyDescent="0.25">
      <c r="A11841" t="s">
        <v>347</v>
      </c>
      <c r="B11841" t="s">
        <v>1404</v>
      </c>
      <c r="C11841" t="s">
        <v>88</v>
      </c>
      <c r="D11841" t="s">
        <v>9396</v>
      </c>
      <c r="E11841" t="s">
        <v>1420</v>
      </c>
      <c r="F11841" t="s">
        <v>88</v>
      </c>
      <c r="G11841" t="s">
        <v>88</v>
      </c>
      <c r="H11841" t="s">
        <v>92</v>
      </c>
    </row>
    <row r="11842" spans="1:8" x14ac:dyDescent="0.25">
      <c r="A11842" t="s">
        <v>347</v>
      </c>
      <c r="B11842" t="s">
        <v>9397</v>
      </c>
      <c r="C11842" t="s">
        <v>88</v>
      </c>
      <c r="D11842" t="s">
        <v>9398</v>
      </c>
      <c r="E11842" t="s">
        <v>9399</v>
      </c>
      <c r="F11842" t="s">
        <v>88</v>
      </c>
      <c r="G11842" t="s">
        <v>88</v>
      </c>
      <c r="H11842" t="s">
        <v>92</v>
      </c>
    </row>
    <row r="11843" spans="1:8" x14ac:dyDescent="0.25">
      <c r="A11843" t="s">
        <v>347</v>
      </c>
      <c r="B11843" t="s">
        <v>9400</v>
      </c>
      <c r="C11843" t="s">
        <v>88</v>
      </c>
      <c r="D11843" t="s">
        <v>9401</v>
      </c>
      <c r="E11843" t="s">
        <v>2546</v>
      </c>
      <c r="F11843" t="s">
        <v>88</v>
      </c>
      <c r="G11843" t="s">
        <v>88</v>
      </c>
      <c r="H11843" t="s">
        <v>92</v>
      </c>
    </row>
    <row r="11844" spans="1:8" x14ac:dyDescent="0.25">
      <c r="A11844" t="s">
        <v>347</v>
      </c>
      <c r="B11844" t="s">
        <v>9402</v>
      </c>
      <c r="C11844" t="s">
        <v>88</v>
      </c>
      <c r="D11844" t="s">
        <v>9403</v>
      </c>
      <c r="E11844" t="s">
        <v>2925</v>
      </c>
      <c r="F11844" t="s">
        <v>88</v>
      </c>
      <c r="G11844" t="s">
        <v>88</v>
      </c>
      <c r="H11844" t="s">
        <v>92</v>
      </c>
    </row>
    <row r="11845" spans="1:8" x14ac:dyDescent="0.25">
      <c r="A11845" t="s">
        <v>347</v>
      </c>
      <c r="B11845" t="s">
        <v>9404</v>
      </c>
      <c r="C11845" t="s">
        <v>88</v>
      </c>
      <c r="D11845" t="s">
        <v>9405</v>
      </c>
      <c r="E11845" t="s">
        <v>1490</v>
      </c>
      <c r="F11845" t="s">
        <v>88</v>
      </c>
      <c r="G11845" t="s">
        <v>88</v>
      </c>
      <c r="H11845" t="s">
        <v>92</v>
      </c>
    </row>
    <row r="11846" spans="1:8" x14ac:dyDescent="0.25">
      <c r="A11846" t="s">
        <v>347</v>
      </c>
      <c r="B11846" t="s">
        <v>9406</v>
      </c>
      <c r="C11846" t="s">
        <v>88</v>
      </c>
      <c r="D11846" t="s">
        <v>9407</v>
      </c>
      <c r="E11846" t="s">
        <v>2585</v>
      </c>
      <c r="F11846" t="s">
        <v>88</v>
      </c>
      <c r="G11846" t="s">
        <v>88</v>
      </c>
      <c r="H11846" t="s">
        <v>92</v>
      </c>
    </row>
    <row r="11847" spans="1:8" x14ac:dyDescent="0.25">
      <c r="A11847" t="s">
        <v>347</v>
      </c>
      <c r="B11847" t="s">
        <v>9408</v>
      </c>
      <c r="C11847" t="s">
        <v>88</v>
      </c>
      <c r="D11847" t="s">
        <v>9409</v>
      </c>
      <c r="E11847" t="s">
        <v>2791</v>
      </c>
      <c r="F11847" t="s">
        <v>88</v>
      </c>
      <c r="G11847" t="s">
        <v>88</v>
      </c>
      <c r="H11847" t="s">
        <v>92</v>
      </c>
    </row>
    <row r="11848" spans="1:8" x14ac:dyDescent="0.25">
      <c r="A11848" t="s">
        <v>347</v>
      </c>
      <c r="B11848" t="s">
        <v>9410</v>
      </c>
      <c r="C11848" t="s">
        <v>88</v>
      </c>
      <c r="D11848" t="s">
        <v>9411</v>
      </c>
      <c r="E11848" t="s">
        <v>9395</v>
      </c>
      <c r="F11848" t="s">
        <v>88</v>
      </c>
      <c r="G11848" t="s">
        <v>88</v>
      </c>
      <c r="H11848" t="s">
        <v>92</v>
      </c>
    </row>
    <row r="11849" spans="1:8" x14ac:dyDescent="0.25">
      <c r="A11849" t="s">
        <v>347</v>
      </c>
      <c r="B11849" t="s">
        <v>9412</v>
      </c>
      <c r="C11849" t="s">
        <v>88</v>
      </c>
      <c r="D11849" t="s">
        <v>9413</v>
      </c>
      <c r="E11849" t="s">
        <v>1427</v>
      </c>
      <c r="F11849" t="s">
        <v>88</v>
      </c>
      <c r="G11849" t="s">
        <v>88</v>
      </c>
      <c r="H11849" t="s">
        <v>92</v>
      </c>
    </row>
    <row r="11850" spans="1:8" x14ac:dyDescent="0.25">
      <c r="A11850" t="s">
        <v>347</v>
      </c>
      <c r="B11850" t="s">
        <v>9414</v>
      </c>
      <c r="C11850" t="s">
        <v>88</v>
      </c>
      <c r="D11850" t="s">
        <v>9415</v>
      </c>
      <c r="E11850" t="s">
        <v>2805</v>
      </c>
      <c r="F11850" t="s">
        <v>88</v>
      </c>
      <c r="G11850" t="s">
        <v>88</v>
      </c>
      <c r="H11850" t="s">
        <v>92</v>
      </c>
    </row>
    <row r="11851" spans="1:8" x14ac:dyDescent="0.25">
      <c r="A11851" t="s">
        <v>347</v>
      </c>
      <c r="B11851" t="s">
        <v>9416</v>
      </c>
      <c r="C11851" t="s">
        <v>88</v>
      </c>
      <c r="D11851" t="s">
        <v>9417</v>
      </c>
      <c r="E11851" t="s">
        <v>2925</v>
      </c>
      <c r="F11851" t="s">
        <v>88</v>
      </c>
      <c r="G11851" t="s">
        <v>88</v>
      </c>
      <c r="H11851" t="s">
        <v>92</v>
      </c>
    </row>
    <row r="11852" spans="1:8" x14ac:dyDescent="0.25">
      <c r="A11852" t="s">
        <v>347</v>
      </c>
      <c r="B11852" t="s">
        <v>9418</v>
      </c>
      <c r="C11852" t="s">
        <v>88</v>
      </c>
      <c r="D11852" t="s">
        <v>88</v>
      </c>
      <c r="E11852" t="s">
        <v>2360</v>
      </c>
      <c r="F11852" t="s">
        <v>88</v>
      </c>
      <c r="G11852" t="s">
        <v>88</v>
      </c>
      <c r="H11852" t="s">
        <v>92</v>
      </c>
    </row>
    <row r="11853" spans="1:8" x14ac:dyDescent="0.25">
      <c r="A11853" t="s">
        <v>347</v>
      </c>
      <c r="B11853" t="s">
        <v>9419</v>
      </c>
      <c r="C11853" t="s">
        <v>88</v>
      </c>
      <c r="D11853" t="s">
        <v>9420</v>
      </c>
      <c r="E11853" t="s">
        <v>1523</v>
      </c>
      <c r="F11853" t="s">
        <v>88</v>
      </c>
      <c r="G11853" t="s">
        <v>88</v>
      </c>
      <c r="H11853" t="s">
        <v>92</v>
      </c>
    </row>
    <row r="11854" spans="1:8" x14ac:dyDescent="0.25">
      <c r="A11854" t="s">
        <v>347</v>
      </c>
      <c r="B11854" t="s">
        <v>9421</v>
      </c>
      <c r="C11854" t="s">
        <v>88</v>
      </c>
      <c r="D11854" t="s">
        <v>9422</v>
      </c>
      <c r="E11854" t="s">
        <v>6106</v>
      </c>
      <c r="F11854" t="s">
        <v>88</v>
      </c>
      <c r="G11854" t="s">
        <v>88</v>
      </c>
      <c r="H11854" t="s">
        <v>92</v>
      </c>
    </row>
    <row r="11855" spans="1:8" x14ac:dyDescent="0.25">
      <c r="A11855" t="s">
        <v>347</v>
      </c>
      <c r="B11855" t="s">
        <v>9423</v>
      </c>
      <c r="C11855" t="s">
        <v>88</v>
      </c>
      <c r="D11855" t="s">
        <v>9424</v>
      </c>
      <c r="E11855" t="s">
        <v>2814</v>
      </c>
      <c r="F11855" t="s">
        <v>88</v>
      </c>
      <c r="G11855" t="s">
        <v>88</v>
      </c>
      <c r="H11855" t="s">
        <v>92</v>
      </c>
    </row>
    <row r="11856" spans="1:8" x14ac:dyDescent="0.25">
      <c r="A11856" t="s">
        <v>347</v>
      </c>
      <c r="B11856" t="s">
        <v>9425</v>
      </c>
      <c r="C11856" t="s">
        <v>88</v>
      </c>
      <c r="D11856" t="s">
        <v>9424</v>
      </c>
      <c r="E11856" t="s">
        <v>2814</v>
      </c>
      <c r="F11856" t="s">
        <v>88</v>
      </c>
      <c r="G11856" t="s">
        <v>88</v>
      </c>
      <c r="H11856" t="s">
        <v>92</v>
      </c>
    </row>
    <row r="11857" spans="1:8" x14ac:dyDescent="0.25">
      <c r="A11857" t="s">
        <v>347</v>
      </c>
      <c r="B11857" t="s">
        <v>9426</v>
      </c>
      <c r="C11857" t="s">
        <v>88</v>
      </c>
      <c r="D11857" t="s">
        <v>9424</v>
      </c>
      <c r="E11857" t="s">
        <v>2814</v>
      </c>
      <c r="F11857" t="s">
        <v>88</v>
      </c>
      <c r="G11857" t="s">
        <v>88</v>
      </c>
      <c r="H11857" t="s">
        <v>92</v>
      </c>
    </row>
    <row r="11858" spans="1:8" x14ac:dyDescent="0.25">
      <c r="A11858" t="s">
        <v>347</v>
      </c>
      <c r="B11858" t="s">
        <v>9427</v>
      </c>
      <c r="C11858" t="s">
        <v>88</v>
      </c>
      <c r="D11858" t="s">
        <v>9424</v>
      </c>
      <c r="E11858" t="s">
        <v>2814</v>
      </c>
      <c r="F11858" t="s">
        <v>88</v>
      </c>
      <c r="G11858" t="s">
        <v>88</v>
      </c>
      <c r="H11858" t="s">
        <v>92</v>
      </c>
    </row>
    <row r="11859" spans="1:8" x14ac:dyDescent="0.25">
      <c r="A11859" t="s">
        <v>347</v>
      </c>
      <c r="B11859" t="s">
        <v>9428</v>
      </c>
      <c r="C11859" t="s">
        <v>88</v>
      </c>
      <c r="D11859" t="s">
        <v>9429</v>
      </c>
      <c r="E11859" t="s">
        <v>1420</v>
      </c>
      <c r="F11859" t="s">
        <v>88</v>
      </c>
      <c r="G11859" t="s">
        <v>88</v>
      </c>
      <c r="H11859" t="s">
        <v>92</v>
      </c>
    </row>
    <row r="11860" spans="1:8" x14ac:dyDescent="0.25">
      <c r="A11860" t="s">
        <v>347</v>
      </c>
      <c r="B11860" t="s">
        <v>9430</v>
      </c>
      <c r="C11860" t="s">
        <v>88</v>
      </c>
      <c r="D11860" t="s">
        <v>9431</v>
      </c>
      <c r="E11860" t="s">
        <v>1430</v>
      </c>
      <c r="F11860" t="s">
        <v>88</v>
      </c>
      <c r="G11860" t="s">
        <v>88</v>
      </c>
      <c r="H11860" t="s">
        <v>92</v>
      </c>
    </row>
    <row r="11861" spans="1:8" x14ac:dyDescent="0.25">
      <c r="A11861" t="s">
        <v>347</v>
      </c>
      <c r="B11861" t="s">
        <v>9432</v>
      </c>
      <c r="C11861" t="s">
        <v>88</v>
      </c>
      <c r="D11861" t="s">
        <v>9433</v>
      </c>
      <c r="E11861" t="s">
        <v>1449</v>
      </c>
      <c r="F11861" t="s">
        <v>88</v>
      </c>
      <c r="G11861" t="s">
        <v>88</v>
      </c>
      <c r="H11861" t="s">
        <v>92</v>
      </c>
    </row>
    <row r="11862" spans="1:8" x14ac:dyDescent="0.25">
      <c r="A11862" t="s">
        <v>347</v>
      </c>
      <c r="B11862" t="s">
        <v>9434</v>
      </c>
      <c r="C11862" t="s">
        <v>88</v>
      </c>
      <c r="D11862" t="s">
        <v>9435</v>
      </c>
      <c r="E11862" t="s">
        <v>3708</v>
      </c>
      <c r="F11862" t="s">
        <v>88</v>
      </c>
      <c r="G11862" t="s">
        <v>88</v>
      </c>
      <c r="H11862" t="s">
        <v>92</v>
      </c>
    </row>
    <row r="11863" spans="1:8" x14ac:dyDescent="0.25">
      <c r="A11863" t="s">
        <v>347</v>
      </c>
      <c r="B11863" t="s">
        <v>9436</v>
      </c>
      <c r="C11863" t="s">
        <v>88</v>
      </c>
      <c r="D11863" t="s">
        <v>9437</v>
      </c>
      <c r="E11863" t="s">
        <v>9438</v>
      </c>
      <c r="F11863" t="s">
        <v>88</v>
      </c>
      <c r="G11863" t="s">
        <v>88</v>
      </c>
      <c r="H11863" t="s">
        <v>92</v>
      </c>
    </row>
    <row r="11864" spans="1:8" x14ac:dyDescent="0.25">
      <c r="A11864" t="s">
        <v>347</v>
      </c>
      <c r="B11864" t="s">
        <v>9439</v>
      </c>
      <c r="C11864" t="s">
        <v>88</v>
      </c>
      <c r="D11864" t="s">
        <v>9440</v>
      </c>
      <c r="E11864" t="s">
        <v>2879</v>
      </c>
      <c r="F11864" t="s">
        <v>88</v>
      </c>
      <c r="G11864" t="s">
        <v>88</v>
      </c>
      <c r="H11864" t="s">
        <v>92</v>
      </c>
    </row>
    <row r="11865" spans="1:8" x14ac:dyDescent="0.25">
      <c r="A11865" t="s">
        <v>347</v>
      </c>
      <c r="B11865" t="s">
        <v>9441</v>
      </c>
      <c r="C11865" t="s">
        <v>88</v>
      </c>
      <c r="D11865" t="s">
        <v>9442</v>
      </c>
      <c r="E11865" t="s">
        <v>9443</v>
      </c>
      <c r="F11865" t="s">
        <v>88</v>
      </c>
      <c r="G11865" t="s">
        <v>88</v>
      </c>
      <c r="H11865" t="s">
        <v>92</v>
      </c>
    </row>
    <row r="11866" spans="1:8" x14ac:dyDescent="0.25">
      <c r="A11866" t="s">
        <v>347</v>
      </c>
      <c r="B11866" t="s">
        <v>9444</v>
      </c>
      <c r="C11866" t="s">
        <v>88</v>
      </c>
      <c r="D11866" t="s">
        <v>9445</v>
      </c>
      <c r="E11866" t="s">
        <v>3771</v>
      </c>
      <c r="F11866" t="s">
        <v>88</v>
      </c>
      <c r="G11866" t="s">
        <v>88</v>
      </c>
      <c r="H11866" t="s">
        <v>92</v>
      </c>
    </row>
    <row r="11867" spans="1:8" x14ac:dyDescent="0.25">
      <c r="A11867" t="s">
        <v>347</v>
      </c>
      <c r="B11867" t="s">
        <v>9446</v>
      </c>
      <c r="C11867" t="s">
        <v>88</v>
      </c>
      <c r="D11867" t="s">
        <v>9447</v>
      </c>
      <c r="E11867" t="s">
        <v>9443</v>
      </c>
      <c r="F11867" t="s">
        <v>88</v>
      </c>
      <c r="G11867" t="s">
        <v>88</v>
      </c>
      <c r="H11867" t="s">
        <v>92</v>
      </c>
    </row>
    <row r="11868" spans="1:8" x14ac:dyDescent="0.25">
      <c r="A11868" t="s">
        <v>347</v>
      </c>
      <c r="B11868" t="s">
        <v>9448</v>
      </c>
      <c r="C11868" t="s">
        <v>88</v>
      </c>
      <c r="D11868" t="s">
        <v>9449</v>
      </c>
      <c r="E11868" t="s">
        <v>2885</v>
      </c>
      <c r="F11868" t="s">
        <v>88</v>
      </c>
      <c r="G11868" t="s">
        <v>88</v>
      </c>
      <c r="H11868" t="s">
        <v>92</v>
      </c>
    </row>
    <row r="11869" spans="1:8" x14ac:dyDescent="0.25">
      <c r="A11869" t="s">
        <v>347</v>
      </c>
      <c r="B11869" t="s">
        <v>9450</v>
      </c>
      <c r="C11869" t="s">
        <v>88</v>
      </c>
      <c r="D11869" t="s">
        <v>9451</v>
      </c>
      <c r="E11869" t="s">
        <v>2885</v>
      </c>
      <c r="F11869" t="s">
        <v>88</v>
      </c>
      <c r="G11869" t="s">
        <v>88</v>
      </c>
      <c r="H11869" t="s">
        <v>92</v>
      </c>
    </row>
    <row r="11870" spans="1:8" x14ac:dyDescent="0.25">
      <c r="A11870" t="s">
        <v>347</v>
      </c>
      <c r="B11870" t="s">
        <v>9452</v>
      </c>
      <c r="C11870" t="s">
        <v>88</v>
      </c>
      <c r="D11870" t="s">
        <v>9453</v>
      </c>
      <c r="E11870" t="s">
        <v>2800</v>
      </c>
      <c r="F11870" t="s">
        <v>88</v>
      </c>
      <c r="G11870" t="s">
        <v>88</v>
      </c>
      <c r="H11870" t="s">
        <v>92</v>
      </c>
    </row>
    <row r="11871" spans="1:8" x14ac:dyDescent="0.25">
      <c r="A11871" t="s">
        <v>347</v>
      </c>
      <c r="B11871" t="s">
        <v>9454</v>
      </c>
      <c r="C11871" t="s">
        <v>88</v>
      </c>
      <c r="D11871" t="s">
        <v>9455</v>
      </c>
      <c r="E11871" t="s">
        <v>1414</v>
      </c>
      <c r="F11871" t="s">
        <v>88</v>
      </c>
      <c r="G11871" t="s">
        <v>88</v>
      </c>
      <c r="H11871" t="s">
        <v>92</v>
      </c>
    </row>
    <row r="11872" spans="1:8" x14ac:dyDescent="0.25">
      <c r="A11872" t="s">
        <v>347</v>
      </c>
      <c r="B11872" t="s">
        <v>9456</v>
      </c>
      <c r="C11872" t="s">
        <v>88</v>
      </c>
      <c r="D11872" t="s">
        <v>9457</v>
      </c>
      <c r="E11872" t="s">
        <v>2885</v>
      </c>
      <c r="F11872" t="s">
        <v>88</v>
      </c>
      <c r="G11872" t="s">
        <v>88</v>
      </c>
      <c r="H11872" t="s">
        <v>92</v>
      </c>
    </row>
    <row r="11873" spans="1:8" x14ac:dyDescent="0.25">
      <c r="A11873" t="s">
        <v>347</v>
      </c>
      <c r="B11873" t="s">
        <v>9458</v>
      </c>
      <c r="C11873" t="s">
        <v>88</v>
      </c>
      <c r="D11873" t="s">
        <v>9459</v>
      </c>
      <c r="E11873" t="s">
        <v>1526</v>
      </c>
      <c r="F11873" t="s">
        <v>88</v>
      </c>
      <c r="G11873" t="s">
        <v>88</v>
      </c>
      <c r="H11873" t="s">
        <v>92</v>
      </c>
    </row>
    <row r="11874" spans="1:8" x14ac:dyDescent="0.25">
      <c r="A11874" t="s">
        <v>347</v>
      </c>
      <c r="B11874" t="s">
        <v>9460</v>
      </c>
      <c r="C11874" t="s">
        <v>88</v>
      </c>
      <c r="D11874" t="s">
        <v>9461</v>
      </c>
      <c r="E11874" t="s">
        <v>1052</v>
      </c>
      <c r="F11874" t="s">
        <v>88</v>
      </c>
      <c r="G11874" t="s">
        <v>88</v>
      </c>
      <c r="H11874" t="s">
        <v>92</v>
      </c>
    </row>
    <row r="11875" spans="1:8" x14ac:dyDescent="0.25">
      <c r="A11875" t="s">
        <v>347</v>
      </c>
      <c r="B11875" t="s">
        <v>9462</v>
      </c>
      <c r="C11875" t="s">
        <v>88</v>
      </c>
      <c r="D11875" t="s">
        <v>9463</v>
      </c>
      <c r="E11875" t="s">
        <v>1052</v>
      </c>
      <c r="F11875" t="s">
        <v>88</v>
      </c>
      <c r="G11875" t="s">
        <v>88</v>
      </c>
      <c r="H11875" t="s">
        <v>92</v>
      </c>
    </row>
    <row r="11876" spans="1:8" x14ac:dyDescent="0.25">
      <c r="A11876" t="s">
        <v>347</v>
      </c>
      <c r="B11876" t="s">
        <v>9464</v>
      </c>
      <c r="C11876" t="s">
        <v>88</v>
      </c>
      <c r="D11876" t="s">
        <v>9465</v>
      </c>
      <c r="E11876" t="s">
        <v>1526</v>
      </c>
      <c r="F11876" t="s">
        <v>88</v>
      </c>
      <c r="G11876" t="s">
        <v>88</v>
      </c>
      <c r="H11876" t="s">
        <v>92</v>
      </c>
    </row>
    <row r="11877" spans="1:8" x14ac:dyDescent="0.25">
      <c r="A11877" t="s">
        <v>347</v>
      </c>
      <c r="B11877" t="s">
        <v>9466</v>
      </c>
      <c r="C11877" t="s">
        <v>88</v>
      </c>
      <c r="D11877" t="s">
        <v>9467</v>
      </c>
      <c r="E11877" t="s">
        <v>1459</v>
      </c>
      <c r="F11877" t="s">
        <v>88</v>
      </c>
      <c r="G11877" t="s">
        <v>88</v>
      </c>
      <c r="H11877" t="s">
        <v>92</v>
      </c>
    </row>
    <row r="11878" spans="1:8" x14ac:dyDescent="0.25">
      <c r="A11878" t="s">
        <v>347</v>
      </c>
      <c r="B11878" t="s">
        <v>1504</v>
      </c>
      <c r="C11878" t="s">
        <v>88</v>
      </c>
      <c r="D11878" t="s">
        <v>9468</v>
      </c>
      <c r="E11878" t="s">
        <v>1531</v>
      </c>
      <c r="F11878" t="s">
        <v>88</v>
      </c>
      <c r="G11878" t="s">
        <v>88</v>
      </c>
      <c r="H11878" t="s">
        <v>92</v>
      </c>
    </row>
    <row r="11879" spans="1:8" x14ac:dyDescent="0.25">
      <c r="A11879" t="s">
        <v>347</v>
      </c>
      <c r="B11879" t="s">
        <v>9469</v>
      </c>
      <c r="C11879" t="s">
        <v>88</v>
      </c>
      <c r="D11879" t="s">
        <v>9470</v>
      </c>
      <c r="E11879" t="s">
        <v>1420</v>
      </c>
      <c r="F11879" t="s">
        <v>88</v>
      </c>
      <c r="G11879" t="s">
        <v>88</v>
      </c>
      <c r="H11879" t="s">
        <v>92</v>
      </c>
    </row>
    <row r="11880" spans="1:8" x14ac:dyDescent="0.25">
      <c r="A11880" t="s">
        <v>347</v>
      </c>
      <c r="B11880" t="s">
        <v>9471</v>
      </c>
      <c r="C11880" t="s">
        <v>88</v>
      </c>
      <c r="D11880" t="s">
        <v>9472</v>
      </c>
      <c r="E11880" t="s">
        <v>2856</v>
      </c>
      <c r="F11880" t="s">
        <v>88</v>
      </c>
      <c r="G11880" t="s">
        <v>88</v>
      </c>
      <c r="H11880" t="s">
        <v>92</v>
      </c>
    </row>
    <row r="11881" spans="1:8" x14ac:dyDescent="0.25">
      <c r="A11881" t="s">
        <v>347</v>
      </c>
      <c r="B11881" t="s">
        <v>9473</v>
      </c>
      <c r="C11881" t="s">
        <v>88</v>
      </c>
      <c r="D11881" t="s">
        <v>9474</v>
      </c>
      <c r="E11881" t="s">
        <v>1417</v>
      </c>
      <c r="F11881" t="s">
        <v>88</v>
      </c>
      <c r="G11881" t="s">
        <v>88</v>
      </c>
      <c r="H11881" t="s">
        <v>92</v>
      </c>
    </row>
    <row r="11882" spans="1:8" x14ac:dyDescent="0.25">
      <c r="A11882" t="s">
        <v>347</v>
      </c>
      <c r="B11882" t="s">
        <v>9475</v>
      </c>
      <c r="C11882" t="s">
        <v>88</v>
      </c>
      <c r="D11882" t="s">
        <v>9476</v>
      </c>
      <c r="E11882" t="s">
        <v>9477</v>
      </c>
      <c r="F11882" t="s">
        <v>88</v>
      </c>
      <c r="G11882" t="s">
        <v>88</v>
      </c>
      <c r="H11882" t="s">
        <v>92</v>
      </c>
    </row>
    <row r="11883" spans="1:8" x14ac:dyDescent="0.25">
      <c r="A11883" t="s">
        <v>347</v>
      </c>
      <c r="B11883" t="s">
        <v>9478</v>
      </c>
      <c r="C11883" t="s">
        <v>88</v>
      </c>
      <c r="D11883" t="s">
        <v>9479</v>
      </c>
      <c r="E11883" t="s">
        <v>1462</v>
      </c>
      <c r="F11883" t="s">
        <v>88</v>
      </c>
      <c r="G11883" t="s">
        <v>88</v>
      </c>
      <c r="H11883" t="s">
        <v>92</v>
      </c>
    </row>
    <row r="11884" spans="1:8" x14ac:dyDescent="0.25">
      <c r="A11884" t="s">
        <v>347</v>
      </c>
      <c r="B11884" t="s">
        <v>9480</v>
      </c>
      <c r="C11884" t="s">
        <v>88</v>
      </c>
      <c r="D11884" t="s">
        <v>9481</v>
      </c>
      <c r="E11884" t="s">
        <v>9477</v>
      </c>
      <c r="F11884" t="s">
        <v>88</v>
      </c>
      <c r="G11884" t="s">
        <v>88</v>
      </c>
      <c r="H11884" t="s">
        <v>92</v>
      </c>
    </row>
    <row r="11885" spans="1:8" x14ac:dyDescent="0.25">
      <c r="A11885" t="s">
        <v>347</v>
      </c>
      <c r="B11885" t="s">
        <v>9482</v>
      </c>
      <c r="C11885" t="s">
        <v>88</v>
      </c>
      <c r="D11885" t="s">
        <v>9483</v>
      </c>
      <c r="E11885" t="s">
        <v>1052</v>
      </c>
      <c r="F11885" t="s">
        <v>88</v>
      </c>
      <c r="G11885" t="s">
        <v>88</v>
      </c>
      <c r="H11885" t="s">
        <v>92</v>
      </c>
    </row>
    <row r="11886" spans="1:8" x14ac:dyDescent="0.25">
      <c r="A11886" t="s">
        <v>347</v>
      </c>
      <c r="B11886" t="s">
        <v>9484</v>
      </c>
      <c r="C11886" t="s">
        <v>88</v>
      </c>
      <c r="D11886" t="s">
        <v>9485</v>
      </c>
      <c r="E11886" t="s">
        <v>1420</v>
      </c>
      <c r="F11886" t="s">
        <v>88</v>
      </c>
      <c r="G11886" t="s">
        <v>88</v>
      </c>
      <c r="H11886" t="s">
        <v>92</v>
      </c>
    </row>
    <row r="11887" spans="1:8" x14ac:dyDescent="0.25">
      <c r="A11887" t="s">
        <v>347</v>
      </c>
      <c r="B11887" t="s">
        <v>9486</v>
      </c>
      <c r="C11887" t="s">
        <v>88</v>
      </c>
      <c r="D11887" t="s">
        <v>9487</v>
      </c>
      <c r="E11887" t="s">
        <v>1417</v>
      </c>
      <c r="F11887" t="s">
        <v>88</v>
      </c>
      <c r="G11887" t="s">
        <v>88</v>
      </c>
      <c r="H11887" t="s">
        <v>92</v>
      </c>
    </row>
    <row r="11888" spans="1:8" x14ac:dyDescent="0.25">
      <c r="A11888" t="s">
        <v>347</v>
      </c>
      <c r="B11888" t="s">
        <v>9488</v>
      </c>
      <c r="C11888" t="s">
        <v>88</v>
      </c>
      <c r="D11888" t="s">
        <v>9489</v>
      </c>
      <c r="E11888" t="s">
        <v>1052</v>
      </c>
      <c r="F11888" t="s">
        <v>88</v>
      </c>
      <c r="G11888" t="s">
        <v>88</v>
      </c>
      <c r="H11888" t="s">
        <v>92</v>
      </c>
    </row>
    <row r="11889" spans="1:8" x14ac:dyDescent="0.25">
      <c r="A11889" t="s">
        <v>347</v>
      </c>
      <c r="B11889" t="s">
        <v>9490</v>
      </c>
      <c r="C11889" t="s">
        <v>88</v>
      </c>
      <c r="D11889" t="s">
        <v>9491</v>
      </c>
      <c r="E11889" t="s">
        <v>1414</v>
      </c>
      <c r="F11889" t="s">
        <v>88</v>
      </c>
      <c r="G11889" t="s">
        <v>88</v>
      </c>
      <c r="H11889" t="s">
        <v>92</v>
      </c>
    </row>
    <row r="11890" spans="1:8" x14ac:dyDescent="0.25">
      <c r="A11890" t="s">
        <v>347</v>
      </c>
      <c r="B11890" t="s">
        <v>9492</v>
      </c>
      <c r="C11890" t="s">
        <v>88</v>
      </c>
      <c r="D11890" t="s">
        <v>9493</v>
      </c>
      <c r="E11890" t="s">
        <v>3722</v>
      </c>
      <c r="F11890" t="s">
        <v>88</v>
      </c>
      <c r="G11890" t="s">
        <v>88</v>
      </c>
      <c r="H11890" t="s">
        <v>92</v>
      </c>
    </row>
    <row r="11891" spans="1:8" x14ac:dyDescent="0.25">
      <c r="A11891" t="s">
        <v>347</v>
      </c>
      <c r="B11891" t="s">
        <v>9494</v>
      </c>
      <c r="C11891" t="s">
        <v>88</v>
      </c>
      <c r="D11891" t="s">
        <v>9495</v>
      </c>
      <c r="E11891" t="s">
        <v>2885</v>
      </c>
      <c r="F11891" t="s">
        <v>88</v>
      </c>
      <c r="G11891" t="s">
        <v>88</v>
      </c>
      <c r="H11891" t="s">
        <v>92</v>
      </c>
    </row>
    <row r="11892" spans="1:8" x14ac:dyDescent="0.25">
      <c r="A11892" t="s">
        <v>347</v>
      </c>
      <c r="B11892" t="s">
        <v>9496</v>
      </c>
      <c r="C11892" t="s">
        <v>88</v>
      </c>
      <c r="D11892" t="s">
        <v>9497</v>
      </c>
      <c r="E11892" t="s">
        <v>1452</v>
      </c>
      <c r="F11892" t="s">
        <v>88</v>
      </c>
      <c r="G11892" t="s">
        <v>88</v>
      </c>
      <c r="H11892" t="s">
        <v>92</v>
      </c>
    </row>
    <row r="11893" spans="1:8" x14ac:dyDescent="0.25">
      <c r="A11893" t="s">
        <v>347</v>
      </c>
      <c r="B11893" t="s">
        <v>9498</v>
      </c>
      <c r="C11893" t="s">
        <v>88</v>
      </c>
      <c r="D11893" t="s">
        <v>9499</v>
      </c>
      <c r="E11893" t="s">
        <v>1420</v>
      </c>
      <c r="F11893" t="s">
        <v>88</v>
      </c>
      <c r="G11893" t="s">
        <v>88</v>
      </c>
      <c r="H11893" t="s">
        <v>92</v>
      </c>
    </row>
    <row r="11894" spans="1:8" x14ac:dyDescent="0.25">
      <c r="A11894" t="s">
        <v>347</v>
      </c>
      <c r="B11894" t="s">
        <v>9500</v>
      </c>
      <c r="C11894" t="s">
        <v>88</v>
      </c>
      <c r="D11894" t="s">
        <v>88</v>
      </c>
      <c r="E11894" t="s">
        <v>1571</v>
      </c>
      <c r="F11894" t="s">
        <v>88</v>
      </c>
      <c r="G11894" t="s">
        <v>88</v>
      </c>
      <c r="H11894" t="s">
        <v>92</v>
      </c>
    </row>
    <row r="11895" spans="1:8" x14ac:dyDescent="0.25">
      <c r="A11895" t="s">
        <v>347</v>
      </c>
      <c r="B11895" t="s">
        <v>9501</v>
      </c>
      <c r="C11895" t="s">
        <v>88</v>
      </c>
      <c r="D11895" t="s">
        <v>88</v>
      </c>
      <c r="E11895" t="s">
        <v>1518</v>
      </c>
      <c r="F11895" t="s">
        <v>88</v>
      </c>
      <c r="G11895" t="s">
        <v>88</v>
      </c>
      <c r="H11895" t="s">
        <v>92</v>
      </c>
    </row>
    <row r="11896" spans="1:8" x14ac:dyDescent="0.25">
      <c r="A11896" t="s">
        <v>347</v>
      </c>
      <c r="B11896" t="s">
        <v>9502</v>
      </c>
      <c r="C11896" t="s">
        <v>88</v>
      </c>
      <c r="D11896" t="s">
        <v>88</v>
      </c>
      <c r="E11896" t="s">
        <v>886</v>
      </c>
      <c r="F11896" t="s">
        <v>88</v>
      </c>
      <c r="G11896" t="s">
        <v>88</v>
      </c>
      <c r="H11896" t="s">
        <v>92</v>
      </c>
    </row>
    <row r="11897" spans="1:8" x14ac:dyDescent="0.25">
      <c r="A11897" t="s">
        <v>347</v>
      </c>
      <c r="B11897" t="s">
        <v>9503</v>
      </c>
      <c r="C11897" t="s">
        <v>88</v>
      </c>
      <c r="D11897" t="s">
        <v>88</v>
      </c>
      <c r="E11897" t="s">
        <v>886</v>
      </c>
      <c r="F11897" t="s">
        <v>88</v>
      </c>
      <c r="G11897" t="s">
        <v>88</v>
      </c>
      <c r="H11897" t="s">
        <v>92</v>
      </c>
    </row>
    <row r="11898" spans="1:8" x14ac:dyDescent="0.25">
      <c r="A11898" t="s">
        <v>347</v>
      </c>
      <c r="B11898" t="s">
        <v>9504</v>
      </c>
      <c r="C11898" t="s">
        <v>88</v>
      </c>
      <c r="D11898" t="s">
        <v>88</v>
      </c>
      <c r="E11898" t="s">
        <v>886</v>
      </c>
      <c r="F11898" t="s">
        <v>88</v>
      </c>
      <c r="G11898" t="s">
        <v>88</v>
      </c>
      <c r="H11898" t="s">
        <v>92</v>
      </c>
    </row>
    <row r="11899" spans="1:8" x14ac:dyDescent="0.25">
      <c r="A11899" t="s">
        <v>347</v>
      </c>
      <c r="B11899" t="s">
        <v>9505</v>
      </c>
      <c r="C11899" t="s">
        <v>88</v>
      </c>
      <c r="D11899" t="s">
        <v>88</v>
      </c>
      <c r="E11899" t="s">
        <v>886</v>
      </c>
      <c r="F11899" t="s">
        <v>88</v>
      </c>
      <c r="G11899" t="s">
        <v>88</v>
      </c>
      <c r="H11899" t="s">
        <v>92</v>
      </c>
    </row>
    <row r="11900" spans="1:8" x14ac:dyDescent="0.25">
      <c r="A11900" t="s">
        <v>347</v>
      </c>
      <c r="B11900" t="s">
        <v>9506</v>
      </c>
      <c r="C11900" t="s">
        <v>88</v>
      </c>
      <c r="D11900" t="s">
        <v>88</v>
      </c>
      <c r="E11900" t="s">
        <v>1600</v>
      </c>
      <c r="F11900" t="s">
        <v>88</v>
      </c>
      <c r="G11900" t="s">
        <v>88</v>
      </c>
      <c r="H11900" t="s">
        <v>92</v>
      </c>
    </row>
    <row r="11901" spans="1:8" x14ac:dyDescent="0.25">
      <c r="A11901" t="s">
        <v>347</v>
      </c>
      <c r="B11901" t="s">
        <v>9507</v>
      </c>
      <c r="C11901" t="s">
        <v>88</v>
      </c>
      <c r="D11901" t="s">
        <v>88</v>
      </c>
      <c r="E11901" t="s">
        <v>1600</v>
      </c>
      <c r="F11901" t="s">
        <v>88</v>
      </c>
      <c r="G11901" t="s">
        <v>88</v>
      </c>
      <c r="H11901" t="s">
        <v>92</v>
      </c>
    </row>
    <row r="11902" spans="1:8" x14ac:dyDescent="0.25">
      <c r="A11902" t="s">
        <v>347</v>
      </c>
      <c r="B11902" t="s">
        <v>9508</v>
      </c>
      <c r="C11902" t="s">
        <v>88</v>
      </c>
      <c r="D11902" t="s">
        <v>88</v>
      </c>
      <c r="E11902" t="s">
        <v>1495</v>
      </c>
      <c r="F11902" t="s">
        <v>88</v>
      </c>
      <c r="G11902" t="s">
        <v>88</v>
      </c>
      <c r="H11902" t="s">
        <v>92</v>
      </c>
    </row>
    <row r="11903" spans="1:8" x14ac:dyDescent="0.25">
      <c r="A11903" t="s">
        <v>347</v>
      </c>
      <c r="B11903" t="s">
        <v>9509</v>
      </c>
      <c r="C11903" t="s">
        <v>88</v>
      </c>
      <c r="D11903" t="s">
        <v>88</v>
      </c>
      <c r="E11903" t="s">
        <v>1478</v>
      </c>
      <c r="F11903" t="s">
        <v>88</v>
      </c>
      <c r="G11903" t="s">
        <v>88</v>
      </c>
      <c r="H11903" t="s">
        <v>92</v>
      </c>
    </row>
    <row r="11904" spans="1:8" x14ac:dyDescent="0.25">
      <c r="A11904" t="s">
        <v>347</v>
      </c>
      <c r="B11904" t="s">
        <v>9510</v>
      </c>
      <c r="C11904" t="s">
        <v>88</v>
      </c>
      <c r="D11904" t="s">
        <v>88</v>
      </c>
      <c r="E11904" t="s">
        <v>1452</v>
      </c>
      <c r="F11904" t="s">
        <v>88</v>
      </c>
      <c r="G11904" t="s">
        <v>88</v>
      </c>
      <c r="H11904" t="s">
        <v>92</v>
      </c>
    </row>
    <row r="11905" spans="1:8" x14ac:dyDescent="0.25">
      <c r="A11905" t="s">
        <v>347</v>
      </c>
      <c r="B11905" t="s">
        <v>9511</v>
      </c>
      <c r="C11905" t="s">
        <v>88</v>
      </c>
      <c r="D11905" t="s">
        <v>88</v>
      </c>
      <c r="E11905" t="s">
        <v>1506</v>
      </c>
      <c r="F11905" t="s">
        <v>88</v>
      </c>
      <c r="G11905" t="s">
        <v>88</v>
      </c>
      <c r="H11905" t="s">
        <v>92</v>
      </c>
    </row>
    <row r="11906" spans="1:8" x14ac:dyDescent="0.25">
      <c r="A11906" t="s">
        <v>347</v>
      </c>
      <c r="B11906" t="s">
        <v>9512</v>
      </c>
      <c r="C11906" t="s">
        <v>88</v>
      </c>
      <c r="D11906" t="s">
        <v>88</v>
      </c>
      <c r="E11906" t="s">
        <v>1478</v>
      </c>
      <c r="F11906" t="s">
        <v>88</v>
      </c>
      <c r="G11906" t="s">
        <v>88</v>
      </c>
      <c r="H11906" t="s">
        <v>92</v>
      </c>
    </row>
    <row r="11907" spans="1:8" x14ac:dyDescent="0.25">
      <c r="A11907" t="s">
        <v>347</v>
      </c>
      <c r="B11907" t="s">
        <v>9513</v>
      </c>
      <c r="C11907" t="s">
        <v>88</v>
      </c>
      <c r="D11907" t="s">
        <v>88</v>
      </c>
      <c r="E11907" t="s">
        <v>1452</v>
      </c>
      <c r="F11907" t="s">
        <v>88</v>
      </c>
      <c r="G11907" t="s">
        <v>88</v>
      </c>
      <c r="H11907" t="s">
        <v>92</v>
      </c>
    </row>
    <row r="11908" spans="1:8" x14ac:dyDescent="0.25">
      <c r="A11908" t="s">
        <v>347</v>
      </c>
      <c r="B11908" t="s">
        <v>9514</v>
      </c>
      <c r="C11908" t="s">
        <v>88</v>
      </c>
      <c r="D11908" t="s">
        <v>9515</v>
      </c>
      <c r="E11908" t="s">
        <v>1481</v>
      </c>
      <c r="F11908" t="s">
        <v>88</v>
      </c>
      <c r="G11908" t="s">
        <v>88</v>
      </c>
      <c r="H11908" t="s">
        <v>92</v>
      </c>
    </row>
    <row r="11909" spans="1:8" x14ac:dyDescent="0.25">
      <c r="A11909" t="s">
        <v>347</v>
      </c>
      <c r="B11909" t="s">
        <v>9516</v>
      </c>
      <c r="C11909" t="s">
        <v>88</v>
      </c>
      <c r="D11909" t="s">
        <v>9517</v>
      </c>
      <c r="E11909" t="s">
        <v>1526</v>
      </c>
      <c r="F11909" t="s">
        <v>88</v>
      </c>
      <c r="G11909" t="s">
        <v>88</v>
      </c>
      <c r="H11909" t="s">
        <v>92</v>
      </c>
    </row>
    <row r="11910" spans="1:8" x14ac:dyDescent="0.25">
      <c r="A11910" t="s">
        <v>347</v>
      </c>
      <c r="B11910" t="s">
        <v>9518</v>
      </c>
      <c r="C11910" t="s">
        <v>88</v>
      </c>
      <c r="D11910" t="s">
        <v>9519</v>
      </c>
      <c r="E11910" t="s">
        <v>1509</v>
      </c>
      <c r="F11910" t="s">
        <v>88</v>
      </c>
      <c r="G11910" t="s">
        <v>88</v>
      </c>
      <c r="H11910" t="s">
        <v>92</v>
      </c>
    </row>
    <row r="11911" spans="1:8" x14ac:dyDescent="0.25">
      <c r="A11911" t="s">
        <v>347</v>
      </c>
      <c r="B11911" t="s">
        <v>1575</v>
      </c>
      <c r="C11911" t="s">
        <v>88</v>
      </c>
      <c r="D11911" t="s">
        <v>9520</v>
      </c>
      <c r="E11911" t="s">
        <v>1568</v>
      </c>
      <c r="F11911" t="s">
        <v>88</v>
      </c>
      <c r="G11911" t="s">
        <v>88</v>
      </c>
      <c r="H11911" t="s">
        <v>92</v>
      </c>
    </row>
    <row r="11912" spans="1:8" x14ac:dyDescent="0.25">
      <c r="A11912" t="s">
        <v>347</v>
      </c>
      <c r="B11912" t="s">
        <v>9521</v>
      </c>
      <c r="C11912" t="s">
        <v>88</v>
      </c>
      <c r="D11912" t="s">
        <v>9522</v>
      </c>
      <c r="E11912" t="s">
        <v>1568</v>
      </c>
      <c r="F11912" t="s">
        <v>88</v>
      </c>
      <c r="G11912" t="s">
        <v>88</v>
      </c>
      <c r="H11912" t="s">
        <v>92</v>
      </c>
    </row>
    <row r="11913" spans="1:8" x14ac:dyDescent="0.25">
      <c r="A11913" t="s">
        <v>347</v>
      </c>
      <c r="B11913" t="s">
        <v>9523</v>
      </c>
      <c r="C11913" t="s">
        <v>88</v>
      </c>
      <c r="D11913" t="s">
        <v>9524</v>
      </c>
      <c r="E11913" t="s">
        <v>1490</v>
      </c>
      <c r="F11913" t="s">
        <v>88</v>
      </c>
      <c r="G11913" t="s">
        <v>88</v>
      </c>
      <c r="H11913" t="s">
        <v>92</v>
      </c>
    </row>
    <row r="11914" spans="1:8" x14ac:dyDescent="0.25">
      <c r="A11914" t="s">
        <v>347</v>
      </c>
      <c r="B11914" t="s">
        <v>9525</v>
      </c>
      <c r="C11914" t="s">
        <v>88</v>
      </c>
      <c r="D11914" t="s">
        <v>9526</v>
      </c>
      <c r="E11914" t="s">
        <v>2800</v>
      </c>
      <c r="F11914" t="s">
        <v>88</v>
      </c>
      <c r="G11914" t="s">
        <v>88</v>
      </c>
      <c r="H11914" t="s">
        <v>92</v>
      </c>
    </row>
    <row r="11915" spans="1:8" x14ac:dyDescent="0.25">
      <c r="A11915" t="s">
        <v>347</v>
      </c>
      <c r="B11915" t="s">
        <v>9527</v>
      </c>
      <c r="C11915" t="s">
        <v>88</v>
      </c>
      <c r="D11915" t="s">
        <v>9528</v>
      </c>
      <c r="E11915" t="s">
        <v>1478</v>
      </c>
      <c r="F11915" t="s">
        <v>88</v>
      </c>
      <c r="G11915" t="s">
        <v>88</v>
      </c>
      <c r="H11915" t="s">
        <v>92</v>
      </c>
    </row>
    <row r="11916" spans="1:8" x14ac:dyDescent="0.25">
      <c r="A11916" t="s">
        <v>347</v>
      </c>
      <c r="B11916" t="s">
        <v>9529</v>
      </c>
      <c r="C11916" t="s">
        <v>88</v>
      </c>
      <c r="D11916" t="s">
        <v>9530</v>
      </c>
      <c r="E11916" t="s">
        <v>2885</v>
      </c>
      <c r="F11916" t="s">
        <v>88</v>
      </c>
      <c r="G11916" t="s">
        <v>88</v>
      </c>
      <c r="H11916" t="s">
        <v>92</v>
      </c>
    </row>
    <row r="11917" spans="1:8" x14ac:dyDescent="0.25">
      <c r="A11917" t="s">
        <v>347</v>
      </c>
      <c r="B11917" t="s">
        <v>9531</v>
      </c>
      <c r="C11917" t="s">
        <v>88</v>
      </c>
      <c r="D11917" t="s">
        <v>9532</v>
      </c>
      <c r="E11917" t="s">
        <v>1526</v>
      </c>
      <c r="F11917" t="s">
        <v>88</v>
      </c>
      <c r="G11917" t="s">
        <v>88</v>
      </c>
      <c r="H11917" t="s">
        <v>92</v>
      </c>
    </row>
    <row r="11918" spans="1:8" x14ac:dyDescent="0.25">
      <c r="A11918" t="s">
        <v>347</v>
      </c>
      <c r="B11918" t="s">
        <v>9533</v>
      </c>
      <c r="C11918" t="s">
        <v>88</v>
      </c>
      <c r="D11918" t="s">
        <v>88</v>
      </c>
      <c r="E11918" t="s">
        <v>791</v>
      </c>
      <c r="F11918" t="s">
        <v>88</v>
      </c>
      <c r="G11918" t="s">
        <v>88</v>
      </c>
      <c r="H11918" t="s">
        <v>92</v>
      </c>
    </row>
    <row r="11919" spans="1:8" x14ac:dyDescent="0.25">
      <c r="A11919" t="s">
        <v>347</v>
      </c>
      <c r="B11919" t="s">
        <v>9534</v>
      </c>
      <c r="C11919" t="s">
        <v>88</v>
      </c>
      <c r="D11919" t="s">
        <v>88</v>
      </c>
      <c r="E11919" t="s">
        <v>799</v>
      </c>
      <c r="F11919" t="s">
        <v>88</v>
      </c>
      <c r="G11919" t="s">
        <v>88</v>
      </c>
      <c r="H11919" t="s">
        <v>92</v>
      </c>
    </row>
    <row r="11920" spans="1:8" x14ac:dyDescent="0.25">
      <c r="A11920" t="s">
        <v>347</v>
      </c>
      <c r="B11920" t="s">
        <v>9535</v>
      </c>
      <c r="C11920" t="s">
        <v>88</v>
      </c>
      <c r="D11920" t="s">
        <v>88</v>
      </c>
      <c r="E11920" t="s">
        <v>702</v>
      </c>
      <c r="F11920" t="s">
        <v>88</v>
      </c>
      <c r="G11920" t="s">
        <v>88</v>
      </c>
      <c r="H11920" t="s">
        <v>92</v>
      </c>
    </row>
    <row r="11921" spans="1:8" x14ac:dyDescent="0.25">
      <c r="A11921" t="s">
        <v>347</v>
      </c>
      <c r="B11921" t="s">
        <v>9536</v>
      </c>
      <c r="C11921" t="s">
        <v>88</v>
      </c>
      <c r="D11921" t="s">
        <v>88</v>
      </c>
      <c r="E11921" t="s">
        <v>732</v>
      </c>
      <c r="F11921" t="s">
        <v>88</v>
      </c>
      <c r="G11921" t="s">
        <v>88</v>
      </c>
      <c r="H11921" t="s">
        <v>92</v>
      </c>
    </row>
    <row r="11922" spans="1:8" x14ac:dyDescent="0.25">
      <c r="A11922" t="s">
        <v>347</v>
      </c>
      <c r="B11922" t="s">
        <v>9537</v>
      </c>
      <c r="C11922" t="s">
        <v>88</v>
      </c>
      <c r="D11922" t="s">
        <v>88</v>
      </c>
      <c r="E11922" t="s">
        <v>791</v>
      </c>
      <c r="F11922" t="s">
        <v>88</v>
      </c>
      <c r="G11922" t="s">
        <v>88</v>
      </c>
      <c r="H11922" t="s">
        <v>92</v>
      </c>
    </row>
    <row r="11923" spans="1:8" x14ac:dyDescent="0.25">
      <c r="A11923" t="s">
        <v>347</v>
      </c>
      <c r="B11923" t="s">
        <v>9538</v>
      </c>
      <c r="C11923" t="s">
        <v>88</v>
      </c>
      <c r="D11923" t="s">
        <v>88</v>
      </c>
      <c r="E11923" t="s">
        <v>799</v>
      </c>
      <c r="F11923" t="s">
        <v>88</v>
      </c>
      <c r="G11923" t="s">
        <v>88</v>
      </c>
      <c r="H11923" t="s">
        <v>92</v>
      </c>
    </row>
    <row r="11924" spans="1:8" x14ac:dyDescent="0.25">
      <c r="A11924" t="s">
        <v>347</v>
      </c>
      <c r="B11924" t="s">
        <v>9539</v>
      </c>
      <c r="C11924" t="s">
        <v>88</v>
      </c>
      <c r="D11924" t="s">
        <v>88</v>
      </c>
      <c r="E11924" t="s">
        <v>702</v>
      </c>
      <c r="F11924" t="s">
        <v>88</v>
      </c>
      <c r="G11924" t="s">
        <v>88</v>
      </c>
      <c r="H11924" t="s">
        <v>92</v>
      </c>
    </row>
    <row r="11925" spans="1:8" x14ac:dyDescent="0.25">
      <c r="A11925" t="s">
        <v>347</v>
      </c>
      <c r="B11925" t="s">
        <v>9540</v>
      </c>
      <c r="C11925" t="s">
        <v>88</v>
      </c>
      <c r="D11925" t="s">
        <v>88</v>
      </c>
      <c r="E11925" t="s">
        <v>732</v>
      </c>
      <c r="F11925" t="s">
        <v>88</v>
      </c>
      <c r="G11925" t="s">
        <v>88</v>
      </c>
      <c r="H11925" t="s">
        <v>92</v>
      </c>
    </row>
    <row r="11926" spans="1:8" x14ac:dyDescent="0.25">
      <c r="A11926" t="s">
        <v>347</v>
      </c>
      <c r="B11926" t="s">
        <v>9541</v>
      </c>
      <c r="C11926" t="s">
        <v>88</v>
      </c>
      <c r="D11926" t="s">
        <v>88</v>
      </c>
      <c r="E11926" t="s">
        <v>1584</v>
      </c>
      <c r="F11926" t="s">
        <v>88</v>
      </c>
      <c r="G11926" t="s">
        <v>88</v>
      </c>
      <c r="H11926" t="s">
        <v>92</v>
      </c>
    </row>
    <row r="11927" spans="1:8" x14ac:dyDescent="0.25">
      <c r="A11927" t="s">
        <v>347</v>
      </c>
      <c r="B11927" t="s">
        <v>9542</v>
      </c>
      <c r="C11927" t="s">
        <v>88</v>
      </c>
      <c r="D11927" t="s">
        <v>88</v>
      </c>
      <c r="E11927" t="s">
        <v>1584</v>
      </c>
      <c r="F11927" t="s">
        <v>88</v>
      </c>
      <c r="G11927" t="s">
        <v>88</v>
      </c>
      <c r="H11927" t="s">
        <v>92</v>
      </c>
    </row>
    <row r="11928" spans="1:8" x14ac:dyDescent="0.25">
      <c r="A11928" t="s">
        <v>347</v>
      </c>
      <c r="B11928" t="s">
        <v>9543</v>
      </c>
      <c r="C11928" t="s">
        <v>88</v>
      </c>
      <c r="D11928" t="s">
        <v>88</v>
      </c>
      <c r="E11928" t="s">
        <v>3115</v>
      </c>
      <c r="F11928" t="s">
        <v>88</v>
      </c>
      <c r="G11928" t="s">
        <v>88</v>
      </c>
      <c r="H11928" t="s">
        <v>92</v>
      </c>
    </row>
    <row r="11929" spans="1:8" x14ac:dyDescent="0.25">
      <c r="A11929" t="s">
        <v>347</v>
      </c>
      <c r="B11929" t="s">
        <v>9544</v>
      </c>
      <c r="C11929" t="s">
        <v>88</v>
      </c>
      <c r="D11929" t="s">
        <v>88</v>
      </c>
      <c r="E11929" t="s">
        <v>1636</v>
      </c>
      <c r="F11929" t="s">
        <v>88</v>
      </c>
      <c r="G11929" t="s">
        <v>88</v>
      </c>
      <c r="H11929" t="s">
        <v>92</v>
      </c>
    </row>
    <row r="11930" spans="1:8" x14ac:dyDescent="0.25">
      <c r="A11930" t="s">
        <v>347</v>
      </c>
      <c r="B11930" t="s">
        <v>9545</v>
      </c>
      <c r="C11930" t="s">
        <v>88</v>
      </c>
      <c r="D11930" t="s">
        <v>88</v>
      </c>
      <c r="E11930" t="s">
        <v>3115</v>
      </c>
      <c r="F11930" t="s">
        <v>88</v>
      </c>
      <c r="G11930" t="s">
        <v>88</v>
      </c>
      <c r="H11930" t="s">
        <v>92</v>
      </c>
    </row>
    <row r="11931" spans="1:8" x14ac:dyDescent="0.25">
      <c r="A11931" t="s">
        <v>347</v>
      </c>
      <c r="B11931" t="s">
        <v>9546</v>
      </c>
      <c r="C11931" t="s">
        <v>88</v>
      </c>
      <c r="D11931" t="s">
        <v>88</v>
      </c>
      <c r="E11931" t="s">
        <v>1636</v>
      </c>
      <c r="F11931" t="s">
        <v>88</v>
      </c>
      <c r="G11931" t="s">
        <v>88</v>
      </c>
      <c r="H11931" t="s">
        <v>92</v>
      </c>
    </row>
    <row r="11932" spans="1:8" x14ac:dyDescent="0.25">
      <c r="A11932" t="s">
        <v>347</v>
      </c>
      <c r="B11932" t="s">
        <v>9547</v>
      </c>
      <c r="C11932" t="s">
        <v>88</v>
      </c>
      <c r="D11932" t="s">
        <v>88</v>
      </c>
      <c r="E11932" t="s">
        <v>3115</v>
      </c>
      <c r="F11932" t="s">
        <v>88</v>
      </c>
      <c r="G11932" t="s">
        <v>88</v>
      </c>
      <c r="H11932" t="s">
        <v>92</v>
      </c>
    </row>
    <row r="11933" spans="1:8" x14ac:dyDescent="0.25">
      <c r="A11933" t="s">
        <v>347</v>
      </c>
      <c r="B11933" t="s">
        <v>9548</v>
      </c>
      <c r="C11933" t="s">
        <v>88</v>
      </c>
      <c r="D11933" t="s">
        <v>88</v>
      </c>
      <c r="E11933" t="s">
        <v>1636</v>
      </c>
      <c r="F11933" t="s">
        <v>88</v>
      </c>
      <c r="G11933" t="s">
        <v>88</v>
      </c>
      <c r="H11933" t="s">
        <v>92</v>
      </c>
    </row>
    <row r="11934" spans="1:8" x14ac:dyDescent="0.25">
      <c r="A11934" t="s">
        <v>347</v>
      </c>
      <c r="B11934" t="s">
        <v>9549</v>
      </c>
      <c r="C11934" t="s">
        <v>88</v>
      </c>
      <c r="D11934" t="s">
        <v>88</v>
      </c>
      <c r="E11934" t="s">
        <v>3115</v>
      </c>
      <c r="F11934" t="s">
        <v>88</v>
      </c>
      <c r="G11934" t="s">
        <v>88</v>
      </c>
      <c r="H11934" t="s">
        <v>92</v>
      </c>
    </row>
    <row r="11935" spans="1:8" x14ac:dyDescent="0.25">
      <c r="A11935" t="s">
        <v>347</v>
      </c>
      <c r="B11935" t="s">
        <v>9550</v>
      </c>
      <c r="C11935" t="s">
        <v>88</v>
      </c>
      <c r="D11935" t="s">
        <v>88</v>
      </c>
      <c r="E11935" t="s">
        <v>1636</v>
      </c>
      <c r="F11935" t="s">
        <v>88</v>
      </c>
      <c r="G11935" t="s">
        <v>88</v>
      </c>
      <c r="H11935" t="s">
        <v>92</v>
      </c>
    </row>
    <row r="11936" spans="1:8" x14ac:dyDescent="0.25">
      <c r="A11936" t="s">
        <v>347</v>
      </c>
      <c r="B11936" t="s">
        <v>6207</v>
      </c>
      <c r="C11936" t="s">
        <v>88</v>
      </c>
      <c r="D11936" t="s">
        <v>88</v>
      </c>
      <c r="E11936" t="s">
        <v>1648</v>
      </c>
      <c r="F11936" t="s">
        <v>88</v>
      </c>
      <c r="G11936" t="s">
        <v>88</v>
      </c>
      <c r="H11936" t="s">
        <v>92</v>
      </c>
    </row>
    <row r="11937" spans="1:8" x14ac:dyDescent="0.25">
      <c r="A11937" t="s">
        <v>347</v>
      </c>
      <c r="B11937" t="s">
        <v>9551</v>
      </c>
      <c r="C11937" t="s">
        <v>88</v>
      </c>
      <c r="D11937" t="s">
        <v>88</v>
      </c>
      <c r="E11937" t="s">
        <v>1571</v>
      </c>
      <c r="F11937" t="s">
        <v>88</v>
      </c>
      <c r="G11937" t="s">
        <v>88</v>
      </c>
      <c r="H11937" t="s">
        <v>92</v>
      </c>
    </row>
    <row r="11938" spans="1:8" x14ac:dyDescent="0.25">
      <c r="A11938" t="s">
        <v>347</v>
      </c>
      <c r="B11938" t="s">
        <v>9552</v>
      </c>
      <c r="C11938" t="s">
        <v>88</v>
      </c>
      <c r="D11938" t="s">
        <v>88</v>
      </c>
      <c r="E11938" t="s">
        <v>1484</v>
      </c>
      <c r="F11938" t="s">
        <v>88</v>
      </c>
      <c r="G11938" t="s">
        <v>88</v>
      </c>
      <c r="H11938" t="s">
        <v>92</v>
      </c>
    </row>
    <row r="11939" spans="1:8" x14ac:dyDescent="0.25">
      <c r="A11939" t="s">
        <v>347</v>
      </c>
      <c r="B11939" t="s">
        <v>2863</v>
      </c>
      <c r="C11939" t="s">
        <v>88</v>
      </c>
      <c r="D11939" t="s">
        <v>88</v>
      </c>
      <c r="E11939" t="s">
        <v>3107</v>
      </c>
      <c r="F11939" t="s">
        <v>88</v>
      </c>
      <c r="G11939" t="s">
        <v>88</v>
      </c>
      <c r="H11939" t="s">
        <v>92</v>
      </c>
    </row>
    <row r="11940" spans="1:8" x14ac:dyDescent="0.25">
      <c r="A11940" t="s">
        <v>347</v>
      </c>
      <c r="B11940" t="s">
        <v>2567</v>
      </c>
      <c r="C11940" t="s">
        <v>88</v>
      </c>
      <c r="D11940" t="s">
        <v>88</v>
      </c>
      <c r="E11940" t="s">
        <v>3109</v>
      </c>
      <c r="F11940" t="s">
        <v>88</v>
      </c>
      <c r="G11940" t="s">
        <v>88</v>
      </c>
      <c r="H11940" t="s">
        <v>92</v>
      </c>
    </row>
    <row r="11941" spans="1:8" x14ac:dyDescent="0.25">
      <c r="A11941" t="s">
        <v>347</v>
      </c>
      <c r="B11941" t="s">
        <v>9553</v>
      </c>
      <c r="C11941" t="s">
        <v>88</v>
      </c>
      <c r="D11941" t="s">
        <v>88</v>
      </c>
      <c r="E11941" t="s">
        <v>1584</v>
      </c>
      <c r="F11941" t="s">
        <v>88</v>
      </c>
      <c r="G11941" t="s">
        <v>88</v>
      </c>
      <c r="H11941" t="s">
        <v>92</v>
      </c>
    </row>
    <row r="11942" spans="1:8" x14ac:dyDescent="0.25">
      <c r="A11942" t="s">
        <v>347</v>
      </c>
      <c r="B11942" t="s">
        <v>7753</v>
      </c>
      <c r="C11942" t="s">
        <v>88</v>
      </c>
      <c r="D11942" t="s">
        <v>88</v>
      </c>
      <c r="E11942" t="s">
        <v>9554</v>
      </c>
      <c r="F11942" t="s">
        <v>88</v>
      </c>
      <c r="G11942" t="s">
        <v>88</v>
      </c>
      <c r="H11942" t="s">
        <v>92</v>
      </c>
    </row>
    <row r="11943" spans="1:8" x14ac:dyDescent="0.25">
      <c r="A11943" t="s">
        <v>347</v>
      </c>
      <c r="B11943" t="s">
        <v>1620</v>
      </c>
      <c r="C11943" t="s">
        <v>88</v>
      </c>
      <c r="D11943" t="s">
        <v>88</v>
      </c>
      <c r="E11943" t="s">
        <v>732</v>
      </c>
      <c r="F11943" t="s">
        <v>88</v>
      </c>
      <c r="G11943" t="s">
        <v>88</v>
      </c>
      <c r="H11943" t="s">
        <v>92</v>
      </c>
    </row>
    <row r="11944" spans="1:8" x14ac:dyDescent="0.25">
      <c r="A11944" t="s">
        <v>347</v>
      </c>
      <c r="B11944" t="s">
        <v>1072</v>
      </c>
      <c r="C11944" t="s">
        <v>88</v>
      </c>
      <c r="D11944" t="s">
        <v>88</v>
      </c>
      <c r="E11944" t="s">
        <v>1636</v>
      </c>
      <c r="F11944" t="s">
        <v>88</v>
      </c>
      <c r="G11944" t="s">
        <v>88</v>
      </c>
      <c r="H11944" t="s">
        <v>92</v>
      </c>
    </row>
    <row r="11945" spans="1:8" x14ac:dyDescent="0.25">
      <c r="A11945" t="s">
        <v>347</v>
      </c>
      <c r="B11945" t="s">
        <v>701</v>
      </c>
      <c r="C11945" t="s">
        <v>88</v>
      </c>
      <c r="D11945" t="s">
        <v>88</v>
      </c>
      <c r="E11945" t="s">
        <v>1636</v>
      </c>
      <c r="F11945" t="s">
        <v>88</v>
      </c>
      <c r="G11945" t="s">
        <v>88</v>
      </c>
      <c r="H11945" t="s">
        <v>92</v>
      </c>
    </row>
    <row r="11946" spans="1:8" x14ac:dyDescent="0.25">
      <c r="A11946" t="s">
        <v>347</v>
      </c>
      <c r="B11946" t="s">
        <v>703</v>
      </c>
      <c r="C11946" t="s">
        <v>88</v>
      </c>
      <c r="D11946" t="s">
        <v>88</v>
      </c>
      <c r="E11946" t="s">
        <v>1636</v>
      </c>
      <c r="F11946" t="s">
        <v>88</v>
      </c>
      <c r="G11946" t="s">
        <v>88</v>
      </c>
      <c r="H11946" t="s">
        <v>92</v>
      </c>
    </row>
    <row r="11947" spans="1:8" x14ac:dyDescent="0.25">
      <c r="A11947" t="s">
        <v>347</v>
      </c>
      <c r="B11947" t="s">
        <v>705</v>
      </c>
      <c r="C11947" t="s">
        <v>88</v>
      </c>
      <c r="D11947" t="s">
        <v>88</v>
      </c>
      <c r="E11947" t="s">
        <v>1636</v>
      </c>
      <c r="F11947" t="s">
        <v>88</v>
      </c>
      <c r="G11947" t="s">
        <v>88</v>
      </c>
      <c r="H11947" t="s">
        <v>92</v>
      </c>
    </row>
    <row r="11948" spans="1:8" x14ac:dyDescent="0.25">
      <c r="A11948" t="s">
        <v>347</v>
      </c>
      <c r="B11948" t="s">
        <v>706</v>
      </c>
      <c r="C11948" t="s">
        <v>88</v>
      </c>
      <c r="D11948" t="s">
        <v>88</v>
      </c>
      <c r="E11948" t="s">
        <v>1636</v>
      </c>
      <c r="F11948" t="s">
        <v>88</v>
      </c>
      <c r="G11948" t="s">
        <v>88</v>
      </c>
      <c r="H11948" t="s">
        <v>92</v>
      </c>
    </row>
    <row r="11949" spans="1:8" x14ac:dyDescent="0.25">
      <c r="A11949" t="s">
        <v>347</v>
      </c>
      <c r="B11949" t="s">
        <v>1637</v>
      </c>
      <c r="C11949" t="s">
        <v>88</v>
      </c>
      <c r="D11949" t="s">
        <v>88</v>
      </c>
      <c r="E11949" t="s">
        <v>1636</v>
      </c>
      <c r="F11949" t="s">
        <v>88</v>
      </c>
      <c r="G11949" t="s">
        <v>88</v>
      </c>
      <c r="H11949" t="s">
        <v>92</v>
      </c>
    </row>
    <row r="11950" spans="1:8" x14ac:dyDescent="0.25">
      <c r="A11950" t="s">
        <v>347</v>
      </c>
      <c r="B11950" t="s">
        <v>1638</v>
      </c>
      <c r="C11950" t="s">
        <v>88</v>
      </c>
      <c r="D11950" t="s">
        <v>88</v>
      </c>
      <c r="E11950" t="s">
        <v>1636</v>
      </c>
      <c r="F11950" t="s">
        <v>88</v>
      </c>
      <c r="G11950" t="s">
        <v>88</v>
      </c>
      <c r="H11950" t="s">
        <v>92</v>
      </c>
    </row>
    <row r="11951" spans="1:8" x14ac:dyDescent="0.25">
      <c r="A11951" t="s">
        <v>347</v>
      </c>
      <c r="B11951" t="s">
        <v>3143</v>
      </c>
      <c r="C11951" t="s">
        <v>88</v>
      </c>
      <c r="D11951" t="s">
        <v>88</v>
      </c>
      <c r="E11951" t="s">
        <v>1640</v>
      </c>
      <c r="F11951" t="s">
        <v>88</v>
      </c>
      <c r="G11951" t="s">
        <v>88</v>
      </c>
      <c r="H11951" t="s">
        <v>92</v>
      </c>
    </row>
    <row r="11952" spans="1:8" x14ac:dyDescent="0.25">
      <c r="A11952" t="s">
        <v>347</v>
      </c>
      <c r="B11952" t="s">
        <v>9555</v>
      </c>
      <c r="C11952" t="s">
        <v>88</v>
      </c>
      <c r="D11952" t="s">
        <v>88</v>
      </c>
      <c r="E11952" t="s">
        <v>1640</v>
      </c>
      <c r="F11952" t="s">
        <v>88</v>
      </c>
      <c r="G11952" t="s">
        <v>88</v>
      </c>
      <c r="H11952" t="s">
        <v>92</v>
      </c>
    </row>
    <row r="11953" spans="1:8" x14ac:dyDescent="0.25">
      <c r="A11953" t="s">
        <v>347</v>
      </c>
      <c r="B11953" t="s">
        <v>9556</v>
      </c>
      <c r="C11953" t="s">
        <v>88</v>
      </c>
      <c r="D11953" t="s">
        <v>88</v>
      </c>
      <c r="E11953" t="s">
        <v>1646</v>
      </c>
      <c r="F11953" t="s">
        <v>88</v>
      </c>
      <c r="G11953" t="s">
        <v>88</v>
      </c>
      <c r="H11953" t="s">
        <v>92</v>
      </c>
    </row>
    <row r="11954" spans="1:8" x14ac:dyDescent="0.25">
      <c r="A11954" t="s">
        <v>347</v>
      </c>
      <c r="B11954" t="s">
        <v>9557</v>
      </c>
      <c r="C11954" t="s">
        <v>88</v>
      </c>
      <c r="D11954" t="s">
        <v>9558</v>
      </c>
      <c r="E11954" t="s">
        <v>1648</v>
      </c>
      <c r="F11954" t="s">
        <v>88</v>
      </c>
      <c r="G11954" t="s">
        <v>88</v>
      </c>
      <c r="H11954" t="s">
        <v>92</v>
      </c>
    </row>
    <row r="11955" spans="1:8" x14ac:dyDescent="0.25">
      <c r="A11955" t="s">
        <v>347</v>
      </c>
      <c r="B11955" t="s">
        <v>929</v>
      </c>
      <c r="C11955" t="s">
        <v>88</v>
      </c>
      <c r="D11955" t="s">
        <v>6216</v>
      </c>
      <c r="E11955" t="s">
        <v>1652</v>
      </c>
      <c r="F11955" t="s">
        <v>88</v>
      </c>
      <c r="G11955" t="s">
        <v>88</v>
      </c>
      <c r="H11955" t="s">
        <v>92</v>
      </c>
    </row>
    <row r="11956" spans="1:8" x14ac:dyDescent="0.25">
      <c r="A11956" t="s">
        <v>347</v>
      </c>
      <c r="B11956" t="s">
        <v>714</v>
      </c>
      <c r="C11956" t="s">
        <v>88</v>
      </c>
      <c r="D11956" t="s">
        <v>88</v>
      </c>
      <c r="E11956" t="s">
        <v>1653</v>
      </c>
      <c r="F11956" t="s">
        <v>88</v>
      </c>
      <c r="G11956" t="s">
        <v>88</v>
      </c>
      <c r="H11956" t="s">
        <v>92</v>
      </c>
    </row>
    <row r="11957" spans="1:8" x14ac:dyDescent="0.25">
      <c r="A11957" t="s">
        <v>347</v>
      </c>
      <c r="B11957" t="s">
        <v>1074</v>
      </c>
      <c r="C11957" t="s">
        <v>88</v>
      </c>
      <c r="D11957" t="s">
        <v>88</v>
      </c>
      <c r="E11957" t="s">
        <v>1653</v>
      </c>
      <c r="F11957" t="s">
        <v>88</v>
      </c>
      <c r="G11957" t="s">
        <v>88</v>
      </c>
      <c r="H11957" t="s">
        <v>92</v>
      </c>
    </row>
    <row r="11958" spans="1:8" x14ac:dyDescent="0.25">
      <c r="A11958" t="s">
        <v>347</v>
      </c>
      <c r="B11958" t="s">
        <v>1075</v>
      </c>
      <c r="C11958" t="s">
        <v>88</v>
      </c>
      <c r="D11958" t="s">
        <v>88</v>
      </c>
      <c r="E11958" t="s">
        <v>1653</v>
      </c>
      <c r="F11958" t="s">
        <v>88</v>
      </c>
      <c r="G11958" t="s">
        <v>88</v>
      </c>
      <c r="H11958" t="s">
        <v>92</v>
      </c>
    </row>
    <row r="11959" spans="1:8" x14ac:dyDescent="0.25">
      <c r="A11959" t="s">
        <v>347</v>
      </c>
      <c r="B11959" t="s">
        <v>998</v>
      </c>
      <c r="C11959" t="s">
        <v>88</v>
      </c>
      <c r="D11959" t="s">
        <v>88</v>
      </c>
      <c r="E11959" t="s">
        <v>1653</v>
      </c>
      <c r="F11959" t="s">
        <v>88</v>
      </c>
      <c r="G11959" t="s">
        <v>88</v>
      </c>
      <c r="H11959" t="s">
        <v>92</v>
      </c>
    </row>
    <row r="11960" spans="1:8" x14ac:dyDescent="0.25">
      <c r="A11960" t="s">
        <v>347</v>
      </c>
      <c r="B11960" t="s">
        <v>1073</v>
      </c>
      <c r="C11960" t="s">
        <v>88</v>
      </c>
      <c r="D11960" t="s">
        <v>88</v>
      </c>
      <c r="E11960" t="s">
        <v>1653</v>
      </c>
      <c r="F11960" t="s">
        <v>88</v>
      </c>
      <c r="G11960" t="s">
        <v>88</v>
      </c>
      <c r="H11960" t="s">
        <v>92</v>
      </c>
    </row>
    <row r="11961" spans="1:8" x14ac:dyDescent="0.25">
      <c r="A11961" t="s">
        <v>347</v>
      </c>
      <c r="B11961" t="s">
        <v>1654</v>
      </c>
      <c r="C11961" t="s">
        <v>88</v>
      </c>
      <c r="D11961" t="s">
        <v>88</v>
      </c>
      <c r="E11961" t="s">
        <v>1653</v>
      </c>
      <c r="F11961" t="s">
        <v>88</v>
      </c>
      <c r="G11961" t="s">
        <v>88</v>
      </c>
      <c r="H11961" t="s">
        <v>92</v>
      </c>
    </row>
    <row r="11962" spans="1:8" x14ac:dyDescent="0.25">
      <c r="A11962" t="s">
        <v>347</v>
      </c>
      <c r="B11962" t="s">
        <v>1655</v>
      </c>
      <c r="C11962" t="s">
        <v>88</v>
      </c>
      <c r="D11962" t="s">
        <v>88</v>
      </c>
      <c r="E11962" t="s">
        <v>1653</v>
      </c>
      <c r="F11962" t="s">
        <v>88</v>
      </c>
      <c r="G11962" t="s">
        <v>88</v>
      </c>
      <c r="H11962" t="s">
        <v>92</v>
      </c>
    </row>
    <row r="11963" spans="1:8" x14ac:dyDescent="0.25">
      <c r="A11963" t="s">
        <v>347</v>
      </c>
      <c r="B11963" t="s">
        <v>2578</v>
      </c>
      <c r="C11963" t="s">
        <v>88</v>
      </c>
      <c r="D11963" t="s">
        <v>88</v>
      </c>
      <c r="E11963" t="s">
        <v>735</v>
      </c>
      <c r="F11963" t="s">
        <v>88</v>
      </c>
      <c r="G11963" t="s">
        <v>88</v>
      </c>
      <c r="H11963" t="s">
        <v>92</v>
      </c>
    </row>
    <row r="11964" spans="1:8" x14ac:dyDescent="0.25">
      <c r="A11964" t="s">
        <v>347</v>
      </c>
      <c r="B11964" t="s">
        <v>9559</v>
      </c>
      <c r="C11964" t="s">
        <v>88</v>
      </c>
      <c r="D11964" t="s">
        <v>88</v>
      </c>
      <c r="E11964" t="s">
        <v>735</v>
      </c>
      <c r="F11964" t="s">
        <v>88</v>
      </c>
      <c r="G11964" t="s">
        <v>88</v>
      </c>
      <c r="H11964" t="s">
        <v>92</v>
      </c>
    </row>
    <row r="11965" spans="1:8" x14ac:dyDescent="0.25">
      <c r="A11965" t="s">
        <v>347</v>
      </c>
      <c r="B11965" t="s">
        <v>2573</v>
      </c>
      <c r="C11965" t="s">
        <v>88</v>
      </c>
      <c r="D11965" t="s">
        <v>88</v>
      </c>
      <c r="E11965" t="s">
        <v>735</v>
      </c>
      <c r="F11965" t="s">
        <v>88</v>
      </c>
      <c r="G11965" t="s">
        <v>88</v>
      </c>
      <c r="H11965" t="s">
        <v>92</v>
      </c>
    </row>
    <row r="11966" spans="1:8" x14ac:dyDescent="0.25">
      <c r="A11966" t="s">
        <v>347</v>
      </c>
      <c r="B11966" t="s">
        <v>9560</v>
      </c>
      <c r="C11966" t="s">
        <v>88</v>
      </c>
      <c r="D11966" t="s">
        <v>88</v>
      </c>
      <c r="E11966" t="s">
        <v>735</v>
      </c>
      <c r="F11966" t="s">
        <v>88</v>
      </c>
      <c r="G11966" t="s">
        <v>88</v>
      </c>
      <c r="H11966" t="s">
        <v>92</v>
      </c>
    </row>
    <row r="11967" spans="1:8" x14ac:dyDescent="0.25">
      <c r="A11967" t="s">
        <v>347</v>
      </c>
      <c r="B11967" t="s">
        <v>1609</v>
      </c>
      <c r="C11967" t="s">
        <v>88</v>
      </c>
      <c r="D11967" t="s">
        <v>88</v>
      </c>
      <c r="E11967" t="s">
        <v>849</v>
      </c>
      <c r="F11967" t="s">
        <v>88</v>
      </c>
      <c r="G11967" t="s">
        <v>88</v>
      </c>
      <c r="H11967" t="s">
        <v>92</v>
      </c>
    </row>
    <row r="11968" spans="1:8" x14ac:dyDescent="0.25">
      <c r="A11968" t="s">
        <v>347</v>
      </c>
      <c r="B11968" t="s">
        <v>1611</v>
      </c>
      <c r="C11968" t="s">
        <v>88</v>
      </c>
      <c r="D11968" t="s">
        <v>88</v>
      </c>
      <c r="E11968" t="s">
        <v>849</v>
      </c>
      <c r="F11968" t="s">
        <v>88</v>
      </c>
      <c r="G11968" t="s">
        <v>88</v>
      </c>
      <c r="H11968" t="s">
        <v>92</v>
      </c>
    </row>
    <row r="11969" spans="1:8" x14ac:dyDescent="0.25">
      <c r="A11969" t="s">
        <v>347</v>
      </c>
      <c r="B11969" t="s">
        <v>9561</v>
      </c>
      <c r="C11969" t="s">
        <v>88</v>
      </c>
      <c r="D11969" t="s">
        <v>88</v>
      </c>
      <c r="E11969" t="s">
        <v>735</v>
      </c>
      <c r="F11969" t="s">
        <v>88</v>
      </c>
      <c r="G11969" t="s">
        <v>88</v>
      </c>
      <c r="H11969" t="s">
        <v>92</v>
      </c>
    </row>
    <row r="11970" spans="1:8" x14ac:dyDescent="0.25">
      <c r="A11970" t="s">
        <v>347</v>
      </c>
      <c r="B11970" t="s">
        <v>9562</v>
      </c>
      <c r="C11970" t="s">
        <v>88</v>
      </c>
      <c r="D11970" t="s">
        <v>88</v>
      </c>
      <c r="E11970" t="s">
        <v>735</v>
      </c>
      <c r="F11970" t="s">
        <v>88</v>
      </c>
      <c r="G11970" t="s">
        <v>88</v>
      </c>
      <c r="H11970" t="s">
        <v>92</v>
      </c>
    </row>
    <row r="11971" spans="1:8" x14ac:dyDescent="0.25">
      <c r="A11971" t="s">
        <v>347</v>
      </c>
      <c r="B11971" t="s">
        <v>6220</v>
      </c>
      <c r="C11971" t="s">
        <v>88</v>
      </c>
      <c r="D11971" t="s">
        <v>88</v>
      </c>
      <c r="E11971" t="s">
        <v>735</v>
      </c>
      <c r="F11971" t="s">
        <v>88</v>
      </c>
      <c r="G11971" t="s">
        <v>88</v>
      </c>
      <c r="H11971" t="s">
        <v>92</v>
      </c>
    </row>
    <row r="11972" spans="1:8" x14ac:dyDescent="0.25">
      <c r="A11972" t="s">
        <v>349</v>
      </c>
      <c r="B11972" t="s">
        <v>4172</v>
      </c>
      <c r="C11972" t="s">
        <v>88</v>
      </c>
      <c r="D11972" t="s">
        <v>9563</v>
      </c>
      <c r="E11972" t="s">
        <v>692</v>
      </c>
      <c r="F11972" t="s">
        <v>88</v>
      </c>
      <c r="G11972" t="s">
        <v>88</v>
      </c>
      <c r="H11972" t="s">
        <v>92</v>
      </c>
    </row>
    <row r="11973" spans="1:8" x14ac:dyDescent="0.25">
      <c r="A11973" t="s">
        <v>349</v>
      </c>
      <c r="B11973" t="s">
        <v>9564</v>
      </c>
      <c r="C11973" t="s">
        <v>88</v>
      </c>
      <c r="D11973" t="s">
        <v>9565</v>
      </c>
      <c r="E11973" t="s">
        <v>760</v>
      </c>
      <c r="F11973" t="s">
        <v>88</v>
      </c>
      <c r="G11973" t="s">
        <v>88</v>
      </c>
      <c r="H11973" t="s">
        <v>92</v>
      </c>
    </row>
    <row r="11974" spans="1:8" x14ac:dyDescent="0.25">
      <c r="A11974" t="s">
        <v>349</v>
      </c>
      <c r="B11974" t="s">
        <v>4158</v>
      </c>
      <c r="C11974" t="s">
        <v>88</v>
      </c>
      <c r="D11974" t="s">
        <v>4159</v>
      </c>
      <c r="E11974" t="s">
        <v>748</v>
      </c>
      <c r="F11974" t="s">
        <v>88</v>
      </c>
      <c r="G11974" t="s">
        <v>88</v>
      </c>
      <c r="H11974" t="s">
        <v>92</v>
      </c>
    </row>
    <row r="11975" spans="1:8" x14ac:dyDescent="0.25">
      <c r="A11975" t="s">
        <v>349</v>
      </c>
      <c r="B11975" t="s">
        <v>9566</v>
      </c>
      <c r="C11975" t="s">
        <v>88</v>
      </c>
      <c r="D11975" t="s">
        <v>9567</v>
      </c>
      <c r="E11975" t="s">
        <v>3593</v>
      </c>
      <c r="F11975" t="s">
        <v>88</v>
      </c>
      <c r="G11975" t="s">
        <v>88</v>
      </c>
      <c r="H11975" t="s">
        <v>92</v>
      </c>
    </row>
    <row r="11976" spans="1:8" x14ac:dyDescent="0.25">
      <c r="A11976" t="s">
        <v>349</v>
      </c>
      <c r="B11976" t="s">
        <v>671</v>
      </c>
      <c r="C11976" t="s">
        <v>88</v>
      </c>
      <c r="D11976" t="s">
        <v>9568</v>
      </c>
      <c r="E11976" t="s">
        <v>700</v>
      </c>
      <c r="F11976" t="s">
        <v>88</v>
      </c>
      <c r="G11976" t="s">
        <v>88</v>
      </c>
      <c r="H11976" t="s">
        <v>92</v>
      </c>
    </row>
    <row r="11977" spans="1:8" x14ac:dyDescent="0.25">
      <c r="A11977" t="s">
        <v>349</v>
      </c>
      <c r="B11977" t="s">
        <v>9569</v>
      </c>
      <c r="C11977" t="s">
        <v>88</v>
      </c>
      <c r="D11977" t="s">
        <v>9570</v>
      </c>
      <c r="E11977" t="s">
        <v>841</v>
      </c>
      <c r="F11977" t="s">
        <v>88</v>
      </c>
      <c r="G11977" t="s">
        <v>88</v>
      </c>
      <c r="H11977" t="s">
        <v>92</v>
      </c>
    </row>
    <row r="11978" spans="1:8" x14ac:dyDescent="0.25">
      <c r="A11978" t="s">
        <v>349</v>
      </c>
      <c r="B11978" t="s">
        <v>9571</v>
      </c>
      <c r="C11978" t="s">
        <v>88</v>
      </c>
      <c r="D11978" t="s">
        <v>9572</v>
      </c>
      <c r="E11978" t="s">
        <v>3593</v>
      </c>
      <c r="F11978" t="s">
        <v>88</v>
      </c>
      <c r="G11978" t="s">
        <v>88</v>
      </c>
      <c r="H11978" t="s">
        <v>92</v>
      </c>
    </row>
    <row r="11979" spans="1:8" x14ac:dyDescent="0.25">
      <c r="A11979" t="s">
        <v>349</v>
      </c>
      <c r="B11979" t="s">
        <v>9566</v>
      </c>
      <c r="C11979" t="s">
        <v>88</v>
      </c>
      <c r="D11979" t="s">
        <v>9567</v>
      </c>
      <c r="E11979" t="s">
        <v>3593</v>
      </c>
      <c r="F11979" t="s">
        <v>88</v>
      </c>
      <c r="G11979" t="s">
        <v>88</v>
      </c>
      <c r="H11979" t="s">
        <v>92</v>
      </c>
    </row>
    <row r="11980" spans="1:8" x14ac:dyDescent="0.25">
      <c r="A11980" t="s">
        <v>349</v>
      </c>
      <c r="B11980" t="s">
        <v>8863</v>
      </c>
      <c r="C11980" t="s">
        <v>88</v>
      </c>
      <c r="D11980" t="s">
        <v>9573</v>
      </c>
      <c r="E11980" t="s">
        <v>760</v>
      </c>
      <c r="F11980" t="s">
        <v>88</v>
      </c>
      <c r="G11980" t="s">
        <v>88</v>
      </c>
      <c r="H11980" t="s">
        <v>92</v>
      </c>
    </row>
    <row r="11981" spans="1:8" x14ac:dyDescent="0.25">
      <c r="A11981" t="s">
        <v>349</v>
      </c>
      <c r="B11981" t="s">
        <v>9286</v>
      </c>
      <c r="C11981" t="s">
        <v>88</v>
      </c>
      <c r="D11981" t="s">
        <v>9574</v>
      </c>
      <c r="E11981" t="s">
        <v>844</v>
      </c>
      <c r="F11981" t="s">
        <v>88</v>
      </c>
      <c r="G11981" t="s">
        <v>88</v>
      </c>
      <c r="H11981" t="s">
        <v>92</v>
      </c>
    </row>
    <row r="11982" spans="1:8" x14ac:dyDescent="0.25">
      <c r="A11982" t="s">
        <v>349</v>
      </c>
      <c r="B11982" t="s">
        <v>9575</v>
      </c>
      <c r="C11982" t="s">
        <v>88</v>
      </c>
      <c r="D11982" t="s">
        <v>9576</v>
      </c>
      <c r="E11982" t="s">
        <v>812</v>
      </c>
      <c r="F11982" t="s">
        <v>88</v>
      </c>
      <c r="G11982" t="s">
        <v>88</v>
      </c>
      <c r="H11982" t="s">
        <v>92</v>
      </c>
    </row>
    <row r="11983" spans="1:8" x14ac:dyDescent="0.25">
      <c r="A11983" t="s">
        <v>349</v>
      </c>
      <c r="B11983" t="s">
        <v>9564</v>
      </c>
      <c r="C11983" t="s">
        <v>88</v>
      </c>
      <c r="D11983" t="s">
        <v>9565</v>
      </c>
      <c r="E11983" t="s">
        <v>760</v>
      </c>
      <c r="F11983" t="s">
        <v>88</v>
      </c>
      <c r="G11983" t="s">
        <v>88</v>
      </c>
      <c r="H11983" t="s">
        <v>92</v>
      </c>
    </row>
    <row r="11984" spans="1:8" x14ac:dyDescent="0.25">
      <c r="A11984" t="s">
        <v>349</v>
      </c>
      <c r="B11984" t="s">
        <v>4158</v>
      </c>
      <c r="C11984" t="s">
        <v>88</v>
      </c>
      <c r="D11984" t="s">
        <v>4159</v>
      </c>
      <c r="E11984" t="s">
        <v>748</v>
      </c>
      <c r="F11984" t="s">
        <v>88</v>
      </c>
      <c r="G11984" t="s">
        <v>88</v>
      </c>
      <c r="H11984" t="s">
        <v>92</v>
      </c>
    </row>
    <row r="11985" spans="1:8" x14ac:dyDescent="0.25">
      <c r="A11985" t="s">
        <v>349</v>
      </c>
      <c r="B11985" t="s">
        <v>4192</v>
      </c>
      <c r="C11985" t="s">
        <v>88</v>
      </c>
      <c r="D11985" t="s">
        <v>9577</v>
      </c>
      <c r="E11985" t="s">
        <v>717</v>
      </c>
      <c r="F11985" t="s">
        <v>88</v>
      </c>
      <c r="G11985" t="s">
        <v>88</v>
      </c>
      <c r="H11985" t="s">
        <v>92</v>
      </c>
    </row>
    <row r="11986" spans="1:8" x14ac:dyDescent="0.25">
      <c r="A11986" t="s">
        <v>349</v>
      </c>
      <c r="B11986" t="s">
        <v>671</v>
      </c>
      <c r="C11986" t="s">
        <v>88</v>
      </c>
      <c r="D11986" t="s">
        <v>9568</v>
      </c>
      <c r="E11986" t="s">
        <v>700</v>
      </c>
      <c r="F11986" t="s">
        <v>88</v>
      </c>
      <c r="G11986" t="s">
        <v>88</v>
      </c>
      <c r="H11986" t="s">
        <v>92</v>
      </c>
    </row>
    <row r="11987" spans="1:8" x14ac:dyDescent="0.25">
      <c r="A11987" t="s">
        <v>349</v>
      </c>
      <c r="B11987" t="s">
        <v>9578</v>
      </c>
      <c r="C11987" t="s">
        <v>88</v>
      </c>
      <c r="D11987" t="s">
        <v>9579</v>
      </c>
      <c r="E11987" t="s">
        <v>893</v>
      </c>
      <c r="F11987" t="s">
        <v>88</v>
      </c>
      <c r="G11987" t="s">
        <v>88</v>
      </c>
      <c r="H11987" t="s">
        <v>92</v>
      </c>
    </row>
    <row r="11988" spans="1:8" x14ac:dyDescent="0.25">
      <c r="A11988" t="s">
        <v>349</v>
      </c>
      <c r="B11988" t="s">
        <v>2965</v>
      </c>
      <c r="C11988" t="s">
        <v>88</v>
      </c>
      <c r="D11988" t="s">
        <v>9580</v>
      </c>
      <c r="E11988" t="s">
        <v>1282</v>
      </c>
      <c r="F11988" t="s">
        <v>88</v>
      </c>
      <c r="G11988" t="s">
        <v>88</v>
      </c>
      <c r="H11988" t="s">
        <v>92</v>
      </c>
    </row>
    <row r="11989" spans="1:8" x14ac:dyDescent="0.25">
      <c r="A11989" t="s">
        <v>349</v>
      </c>
      <c r="B11989" t="s">
        <v>1842</v>
      </c>
      <c r="C11989" t="s">
        <v>88</v>
      </c>
      <c r="D11989" t="s">
        <v>9581</v>
      </c>
      <c r="E11989" t="s">
        <v>658</v>
      </c>
      <c r="F11989" t="s">
        <v>88</v>
      </c>
      <c r="G11989" t="s">
        <v>88</v>
      </c>
      <c r="H11989" t="s">
        <v>92</v>
      </c>
    </row>
    <row r="11990" spans="1:8" x14ac:dyDescent="0.25">
      <c r="A11990" t="s">
        <v>349</v>
      </c>
      <c r="B11990" t="s">
        <v>4172</v>
      </c>
      <c r="C11990" t="s">
        <v>88</v>
      </c>
      <c r="D11990" t="s">
        <v>9563</v>
      </c>
      <c r="E11990" t="s">
        <v>692</v>
      </c>
      <c r="F11990" t="s">
        <v>88</v>
      </c>
      <c r="G11990" t="s">
        <v>88</v>
      </c>
      <c r="H11990" t="s">
        <v>92</v>
      </c>
    </row>
    <row r="11991" spans="1:8" x14ac:dyDescent="0.25">
      <c r="A11991" t="s">
        <v>349</v>
      </c>
      <c r="B11991" t="s">
        <v>4177</v>
      </c>
      <c r="C11991" t="s">
        <v>88</v>
      </c>
      <c r="D11991" t="s">
        <v>9582</v>
      </c>
      <c r="E11991" t="s">
        <v>883</v>
      </c>
      <c r="F11991" t="s">
        <v>88</v>
      </c>
      <c r="G11991" t="s">
        <v>88</v>
      </c>
      <c r="H11991" t="s">
        <v>92</v>
      </c>
    </row>
    <row r="11992" spans="1:8" x14ac:dyDescent="0.25">
      <c r="A11992" t="s">
        <v>349</v>
      </c>
      <c r="B11992" t="s">
        <v>1859</v>
      </c>
      <c r="C11992" t="s">
        <v>88</v>
      </c>
      <c r="D11992" t="s">
        <v>9583</v>
      </c>
      <c r="E11992" t="s">
        <v>883</v>
      </c>
      <c r="F11992" t="s">
        <v>88</v>
      </c>
      <c r="G11992" t="s">
        <v>88</v>
      </c>
      <c r="H11992" t="s">
        <v>92</v>
      </c>
    </row>
    <row r="11993" spans="1:8" x14ac:dyDescent="0.25">
      <c r="A11993" t="s">
        <v>349</v>
      </c>
      <c r="B11993" t="s">
        <v>4194</v>
      </c>
      <c r="C11993" t="s">
        <v>88</v>
      </c>
      <c r="D11993" t="s">
        <v>9584</v>
      </c>
      <c r="E11993" t="s">
        <v>760</v>
      </c>
      <c r="F11993" t="s">
        <v>88</v>
      </c>
      <c r="G11993" t="s">
        <v>88</v>
      </c>
      <c r="H11993" t="s">
        <v>92</v>
      </c>
    </row>
    <row r="11994" spans="1:8" x14ac:dyDescent="0.25">
      <c r="A11994" t="s">
        <v>349</v>
      </c>
      <c r="B11994" t="s">
        <v>4160</v>
      </c>
      <c r="C11994" t="s">
        <v>88</v>
      </c>
      <c r="D11994" t="s">
        <v>9585</v>
      </c>
      <c r="E11994" t="s">
        <v>762</v>
      </c>
      <c r="F11994" t="s">
        <v>88</v>
      </c>
      <c r="G11994" t="s">
        <v>88</v>
      </c>
      <c r="H11994" t="s">
        <v>92</v>
      </c>
    </row>
    <row r="11995" spans="1:8" x14ac:dyDescent="0.25">
      <c r="A11995" t="s">
        <v>349</v>
      </c>
      <c r="B11995" t="s">
        <v>7660</v>
      </c>
      <c r="C11995" t="s">
        <v>88</v>
      </c>
      <c r="D11995" t="s">
        <v>3638</v>
      </c>
      <c r="E11995" t="s">
        <v>673</v>
      </c>
      <c r="F11995" t="s">
        <v>88</v>
      </c>
      <c r="G11995" t="s">
        <v>88</v>
      </c>
      <c r="H11995" t="s">
        <v>92</v>
      </c>
    </row>
    <row r="11996" spans="1:8" x14ac:dyDescent="0.25">
      <c r="A11996" t="s">
        <v>349</v>
      </c>
      <c r="B11996" t="s">
        <v>7656</v>
      </c>
      <c r="C11996" t="s">
        <v>88</v>
      </c>
      <c r="D11996" t="s">
        <v>9586</v>
      </c>
      <c r="E11996" t="s">
        <v>673</v>
      </c>
      <c r="F11996" t="s">
        <v>88</v>
      </c>
      <c r="G11996" t="s">
        <v>88</v>
      </c>
      <c r="H11996" t="s">
        <v>92</v>
      </c>
    </row>
    <row r="11997" spans="1:8" x14ac:dyDescent="0.25">
      <c r="A11997" t="s">
        <v>349</v>
      </c>
      <c r="B11997" t="s">
        <v>9587</v>
      </c>
      <c r="C11997" t="s">
        <v>88</v>
      </c>
      <c r="D11997" t="s">
        <v>9588</v>
      </c>
      <c r="E11997" t="s">
        <v>1241</v>
      </c>
      <c r="F11997" t="s">
        <v>88</v>
      </c>
      <c r="G11997" t="s">
        <v>88</v>
      </c>
      <c r="H11997" t="s">
        <v>92</v>
      </c>
    </row>
    <row r="11998" spans="1:8" x14ac:dyDescent="0.25">
      <c r="A11998" t="s">
        <v>349</v>
      </c>
      <c r="B11998" t="s">
        <v>9589</v>
      </c>
      <c r="C11998" t="s">
        <v>88</v>
      </c>
      <c r="D11998" t="s">
        <v>3626</v>
      </c>
      <c r="E11998" t="s">
        <v>673</v>
      </c>
      <c r="F11998" t="s">
        <v>88</v>
      </c>
      <c r="G11998" t="s">
        <v>88</v>
      </c>
      <c r="H11998" t="s">
        <v>92</v>
      </c>
    </row>
    <row r="11999" spans="1:8" x14ac:dyDescent="0.25">
      <c r="A11999" t="s">
        <v>349</v>
      </c>
      <c r="B11999" t="s">
        <v>7677</v>
      </c>
      <c r="C11999" t="s">
        <v>88</v>
      </c>
      <c r="D11999" t="s">
        <v>9590</v>
      </c>
      <c r="E11999" t="s">
        <v>1241</v>
      </c>
      <c r="F11999" t="s">
        <v>88</v>
      </c>
      <c r="G11999" t="s">
        <v>88</v>
      </c>
      <c r="H11999" t="s">
        <v>92</v>
      </c>
    </row>
    <row r="12000" spans="1:8" x14ac:dyDescent="0.25">
      <c r="A12000" t="s">
        <v>349</v>
      </c>
      <c r="B12000" t="s">
        <v>3615</v>
      </c>
      <c r="C12000" t="s">
        <v>88</v>
      </c>
      <c r="D12000" t="s">
        <v>9591</v>
      </c>
      <c r="E12000" t="s">
        <v>673</v>
      </c>
      <c r="F12000" t="s">
        <v>88</v>
      </c>
      <c r="G12000" t="s">
        <v>88</v>
      </c>
      <c r="H12000" t="s">
        <v>92</v>
      </c>
    </row>
    <row r="12001" spans="1:8" x14ac:dyDescent="0.25">
      <c r="A12001" t="s">
        <v>349</v>
      </c>
      <c r="B12001" t="s">
        <v>9592</v>
      </c>
      <c r="C12001" t="s">
        <v>88</v>
      </c>
      <c r="D12001" t="s">
        <v>9593</v>
      </c>
      <c r="E12001" t="s">
        <v>673</v>
      </c>
      <c r="F12001" t="s">
        <v>88</v>
      </c>
      <c r="G12001" t="s">
        <v>88</v>
      </c>
      <c r="H12001" t="s">
        <v>92</v>
      </c>
    </row>
    <row r="12002" spans="1:8" x14ac:dyDescent="0.25">
      <c r="A12002" t="s">
        <v>349</v>
      </c>
      <c r="B12002" t="s">
        <v>7670</v>
      </c>
      <c r="C12002" t="s">
        <v>88</v>
      </c>
      <c r="D12002" t="s">
        <v>9594</v>
      </c>
      <c r="E12002" t="s">
        <v>673</v>
      </c>
      <c r="F12002" t="s">
        <v>88</v>
      </c>
      <c r="G12002" t="s">
        <v>88</v>
      </c>
      <c r="H12002" t="s">
        <v>92</v>
      </c>
    </row>
    <row r="12003" spans="1:8" x14ac:dyDescent="0.25">
      <c r="A12003" t="s">
        <v>349</v>
      </c>
      <c r="B12003" t="s">
        <v>9595</v>
      </c>
      <c r="C12003" t="s">
        <v>88</v>
      </c>
      <c r="D12003" t="s">
        <v>7713</v>
      </c>
      <c r="E12003" t="s">
        <v>658</v>
      </c>
      <c r="F12003" t="s">
        <v>88</v>
      </c>
      <c r="G12003" t="s">
        <v>88</v>
      </c>
      <c r="H12003" t="s">
        <v>92</v>
      </c>
    </row>
    <row r="12004" spans="1:8" x14ac:dyDescent="0.25">
      <c r="A12004" t="s">
        <v>349</v>
      </c>
      <c r="B12004" t="s">
        <v>7654</v>
      </c>
      <c r="C12004" t="s">
        <v>88</v>
      </c>
      <c r="D12004" t="s">
        <v>9596</v>
      </c>
      <c r="E12004" t="s">
        <v>658</v>
      </c>
      <c r="F12004" t="s">
        <v>88</v>
      </c>
      <c r="G12004" t="s">
        <v>88</v>
      </c>
      <c r="H12004" t="s">
        <v>92</v>
      </c>
    </row>
    <row r="12005" spans="1:8" x14ac:dyDescent="0.25">
      <c r="A12005" t="s">
        <v>349</v>
      </c>
      <c r="B12005" t="s">
        <v>9597</v>
      </c>
      <c r="C12005" t="s">
        <v>88</v>
      </c>
      <c r="D12005" t="s">
        <v>9598</v>
      </c>
      <c r="E12005" t="s">
        <v>673</v>
      </c>
      <c r="F12005" t="s">
        <v>88</v>
      </c>
      <c r="G12005" t="s">
        <v>88</v>
      </c>
      <c r="H12005" t="s">
        <v>92</v>
      </c>
    </row>
    <row r="12006" spans="1:8" x14ac:dyDescent="0.25">
      <c r="A12006" t="s">
        <v>349</v>
      </c>
      <c r="B12006" t="s">
        <v>7647</v>
      </c>
      <c r="C12006" t="s">
        <v>88</v>
      </c>
      <c r="D12006" t="s">
        <v>9599</v>
      </c>
      <c r="E12006" t="s">
        <v>673</v>
      </c>
      <c r="F12006" t="s">
        <v>88</v>
      </c>
      <c r="G12006" t="s">
        <v>88</v>
      </c>
      <c r="H12006" t="s">
        <v>92</v>
      </c>
    </row>
    <row r="12007" spans="1:8" x14ac:dyDescent="0.25">
      <c r="A12007" t="s">
        <v>349</v>
      </c>
      <c r="B12007" t="s">
        <v>9600</v>
      </c>
      <c r="C12007" t="s">
        <v>88</v>
      </c>
      <c r="D12007" t="s">
        <v>9601</v>
      </c>
      <c r="E12007" t="s">
        <v>658</v>
      </c>
      <c r="F12007" t="s">
        <v>88</v>
      </c>
      <c r="G12007" t="s">
        <v>88</v>
      </c>
      <c r="H12007" t="s">
        <v>92</v>
      </c>
    </row>
    <row r="12008" spans="1:8" x14ac:dyDescent="0.25">
      <c r="A12008" t="s">
        <v>349</v>
      </c>
      <c r="B12008" t="s">
        <v>7664</v>
      </c>
      <c r="C12008" t="s">
        <v>88</v>
      </c>
      <c r="D12008" t="s">
        <v>7719</v>
      </c>
      <c r="E12008" t="s">
        <v>658</v>
      </c>
      <c r="F12008" t="s">
        <v>88</v>
      </c>
      <c r="G12008" t="s">
        <v>88</v>
      </c>
      <c r="H12008" t="s">
        <v>92</v>
      </c>
    </row>
    <row r="12009" spans="1:8" x14ac:dyDescent="0.25">
      <c r="A12009" t="s">
        <v>349</v>
      </c>
      <c r="B12009" t="s">
        <v>3617</v>
      </c>
      <c r="C12009" t="s">
        <v>88</v>
      </c>
      <c r="D12009" t="s">
        <v>9602</v>
      </c>
      <c r="E12009" t="s">
        <v>1241</v>
      </c>
      <c r="F12009" t="s">
        <v>88</v>
      </c>
      <c r="G12009" t="s">
        <v>88</v>
      </c>
      <c r="H12009" t="s">
        <v>92</v>
      </c>
    </row>
    <row r="12010" spans="1:8" x14ac:dyDescent="0.25">
      <c r="A12010" t="s">
        <v>349</v>
      </c>
      <c r="B12010" t="s">
        <v>7658</v>
      </c>
      <c r="C12010" t="s">
        <v>88</v>
      </c>
      <c r="D12010" t="s">
        <v>3604</v>
      </c>
      <c r="E12010" t="s">
        <v>658</v>
      </c>
      <c r="F12010" t="s">
        <v>88</v>
      </c>
      <c r="G12010" t="s">
        <v>88</v>
      </c>
      <c r="H12010" t="s">
        <v>92</v>
      </c>
    </row>
    <row r="12011" spans="1:8" x14ac:dyDescent="0.25">
      <c r="A12011" t="s">
        <v>349</v>
      </c>
      <c r="B12011" t="s">
        <v>3854</v>
      </c>
      <c r="C12011" t="s">
        <v>88</v>
      </c>
      <c r="D12011" t="s">
        <v>9603</v>
      </c>
      <c r="E12011" t="s">
        <v>1241</v>
      </c>
      <c r="F12011" t="s">
        <v>88</v>
      </c>
      <c r="G12011" t="s">
        <v>88</v>
      </c>
      <c r="H12011" t="s">
        <v>92</v>
      </c>
    </row>
    <row r="12012" spans="1:8" x14ac:dyDescent="0.25">
      <c r="A12012" t="s">
        <v>349</v>
      </c>
      <c r="B12012" t="s">
        <v>9604</v>
      </c>
      <c r="C12012" t="s">
        <v>88</v>
      </c>
      <c r="D12012" t="s">
        <v>9605</v>
      </c>
      <c r="E12012" t="s">
        <v>673</v>
      </c>
      <c r="F12012" t="s">
        <v>88</v>
      </c>
      <c r="G12012" t="s">
        <v>88</v>
      </c>
      <c r="H12012" t="s">
        <v>92</v>
      </c>
    </row>
    <row r="12013" spans="1:8" x14ac:dyDescent="0.25">
      <c r="A12013" t="s">
        <v>349</v>
      </c>
      <c r="B12013" t="s">
        <v>7691</v>
      </c>
      <c r="C12013" t="s">
        <v>88</v>
      </c>
      <c r="D12013" t="s">
        <v>9594</v>
      </c>
      <c r="E12013" t="s">
        <v>1282</v>
      </c>
      <c r="F12013" t="s">
        <v>88</v>
      </c>
      <c r="G12013" t="s">
        <v>88</v>
      </c>
      <c r="H12013" t="s">
        <v>92</v>
      </c>
    </row>
    <row r="12014" spans="1:8" x14ac:dyDescent="0.25">
      <c r="A12014" t="s">
        <v>349</v>
      </c>
      <c r="B12014" t="s">
        <v>9606</v>
      </c>
      <c r="C12014" t="s">
        <v>88</v>
      </c>
      <c r="D12014" t="s">
        <v>9588</v>
      </c>
      <c r="E12014" t="s">
        <v>844</v>
      </c>
      <c r="F12014" t="s">
        <v>88</v>
      </c>
      <c r="G12014" t="s">
        <v>88</v>
      </c>
      <c r="H12014" t="s">
        <v>92</v>
      </c>
    </row>
    <row r="12015" spans="1:8" x14ac:dyDescent="0.25">
      <c r="A12015" t="s">
        <v>349</v>
      </c>
      <c r="B12015" t="s">
        <v>9607</v>
      </c>
      <c r="C12015" t="s">
        <v>88</v>
      </c>
      <c r="D12015" t="s">
        <v>3626</v>
      </c>
      <c r="E12015" t="s">
        <v>760</v>
      </c>
      <c r="F12015" t="s">
        <v>88</v>
      </c>
      <c r="G12015" t="s">
        <v>88</v>
      </c>
      <c r="H12015" t="s">
        <v>92</v>
      </c>
    </row>
    <row r="12016" spans="1:8" x14ac:dyDescent="0.25">
      <c r="A12016" t="s">
        <v>349</v>
      </c>
      <c r="B12016" t="s">
        <v>9608</v>
      </c>
      <c r="C12016" t="s">
        <v>88</v>
      </c>
      <c r="D12016" t="s">
        <v>9605</v>
      </c>
      <c r="E12016" t="s">
        <v>1282</v>
      </c>
      <c r="F12016" t="s">
        <v>88</v>
      </c>
      <c r="G12016" t="s">
        <v>88</v>
      </c>
      <c r="H12016" t="s">
        <v>92</v>
      </c>
    </row>
    <row r="12017" spans="1:8" x14ac:dyDescent="0.25">
      <c r="A12017" t="s">
        <v>349</v>
      </c>
      <c r="B12017" t="s">
        <v>7684</v>
      </c>
      <c r="C12017" t="s">
        <v>88</v>
      </c>
      <c r="D12017" t="s">
        <v>9586</v>
      </c>
      <c r="E12017" t="s">
        <v>760</v>
      </c>
      <c r="F12017" t="s">
        <v>88</v>
      </c>
      <c r="G12017" t="s">
        <v>88</v>
      </c>
      <c r="H12017" t="s">
        <v>92</v>
      </c>
    </row>
    <row r="12018" spans="1:8" x14ac:dyDescent="0.25">
      <c r="A12018" t="s">
        <v>349</v>
      </c>
      <c r="B12018" t="s">
        <v>9609</v>
      </c>
      <c r="C12018" t="s">
        <v>88</v>
      </c>
      <c r="D12018" t="s">
        <v>9601</v>
      </c>
      <c r="E12018" t="s">
        <v>760</v>
      </c>
      <c r="F12018" t="s">
        <v>88</v>
      </c>
      <c r="G12018" t="s">
        <v>88</v>
      </c>
      <c r="H12018" t="s">
        <v>92</v>
      </c>
    </row>
    <row r="12019" spans="1:8" x14ac:dyDescent="0.25">
      <c r="A12019" t="s">
        <v>349</v>
      </c>
      <c r="B12019" t="s">
        <v>3640</v>
      </c>
      <c r="C12019" t="s">
        <v>88</v>
      </c>
      <c r="D12019" t="s">
        <v>9591</v>
      </c>
      <c r="E12019" t="s">
        <v>1282</v>
      </c>
      <c r="F12019" t="s">
        <v>88</v>
      </c>
      <c r="G12019" t="s">
        <v>88</v>
      </c>
      <c r="H12019" t="s">
        <v>92</v>
      </c>
    </row>
    <row r="12020" spans="1:8" x14ac:dyDescent="0.25">
      <c r="A12020" t="s">
        <v>349</v>
      </c>
      <c r="B12020" t="s">
        <v>9610</v>
      </c>
      <c r="C12020" t="s">
        <v>88</v>
      </c>
      <c r="D12020" t="s">
        <v>9593</v>
      </c>
      <c r="E12020" t="s">
        <v>1282</v>
      </c>
      <c r="F12020" t="s">
        <v>88</v>
      </c>
      <c r="G12020" t="s">
        <v>88</v>
      </c>
      <c r="H12020" t="s">
        <v>92</v>
      </c>
    </row>
    <row r="12021" spans="1:8" x14ac:dyDescent="0.25">
      <c r="A12021" t="s">
        <v>349</v>
      </c>
      <c r="B12021" t="s">
        <v>7683</v>
      </c>
      <c r="C12021" t="s">
        <v>88</v>
      </c>
      <c r="D12021" t="s">
        <v>9611</v>
      </c>
      <c r="E12021" t="s">
        <v>760</v>
      </c>
      <c r="F12021" t="s">
        <v>88</v>
      </c>
      <c r="G12021" t="s">
        <v>88</v>
      </c>
      <c r="H12021" t="s">
        <v>92</v>
      </c>
    </row>
    <row r="12022" spans="1:8" x14ac:dyDescent="0.25">
      <c r="A12022" t="s">
        <v>349</v>
      </c>
      <c r="B12022" t="s">
        <v>7688</v>
      </c>
      <c r="C12022" t="s">
        <v>88</v>
      </c>
      <c r="D12022" t="s">
        <v>7719</v>
      </c>
      <c r="E12022" t="s">
        <v>760</v>
      </c>
      <c r="F12022" t="s">
        <v>88</v>
      </c>
      <c r="G12022" t="s">
        <v>88</v>
      </c>
      <c r="H12022" t="s">
        <v>92</v>
      </c>
    </row>
    <row r="12023" spans="1:8" x14ac:dyDescent="0.25">
      <c r="A12023" t="s">
        <v>349</v>
      </c>
      <c r="B12023" t="s">
        <v>3781</v>
      </c>
      <c r="C12023" t="s">
        <v>88</v>
      </c>
      <c r="D12023" t="s">
        <v>9603</v>
      </c>
      <c r="E12023" t="s">
        <v>844</v>
      </c>
      <c r="F12023" t="s">
        <v>88</v>
      </c>
      <c r="G12023" t="s">
        <v>88</v>
      </c>
      <c r="H12023" t="s">
        <v>92</v>
      </c>
    </row>
    <row r="12024" spans="1:8" x14ac:dyDescent="0.25">
      <c r="A12024" t="s">
        <v>349</v>
      </c>
      <c r="B12024" t="s">
        <v>9612</v>
      </c>
      <c r="C12024" t="s">
        <v>88</v>
      </c>
      <c r="D12024" t="s">
        <v>7713</v>
      </c>
      <c r="E12024" t="s">
        <v>760</v>
      </c>
      <c r="F12024" t="s">
        <v>88</v>
      </c>
      <c r="G12024" t="s">
        <v>88</v>
      </c>
      <c r="H12024" t="s">
        <v>92</v>
      </c>
    </row>
    <row r="12025" spans="1:8" x14ac:dyDescent="0.25">
      <c r="A12025" t="s">
        <v>349</v>
      </c>
      <c r="B12025" t="s">
        <v>7680</v>
      </c>
      <c r="C12025" t="s">
        <v>88</v>
      </c>
      <c r="D12025" t="s">
        <v>9599</v>
      </c>
      <c r="E12025" t="s">
        <v>1282</v>
      </c>
      <c r="F12025" t="s">
        <v>88</v>
      </c>
      <c r="G12025" t="s">
        <v>88</v>
      </c>
      <c r="H12025" t="s">
        <v>92</v>
      </c>
    </row>
    <row r="12026" spans="1:8" x14ac:dyDescent="0.25">
      <c r="A12026" t="s">
        <v>349</v>
      </c>
      <c r="B12026" t="s">
        <v>9613</v>
      </c>
      <c r="C12026" t="s">
        <v>88</v>
      </c>
      <c r="D12026" t="s">
        <v>9598</v>
      </c>
      <c r="E12026" t="s">
        <v>1282</v>
      </c>
      <c r="F12026" t="s">
        <v>88</v>
      </c>
      <c r="G12026" t="s">
        <v>88</v>
      </c>
      <c r="H12026" t="s">
        <v>92</v>
      </c>
    </row>
    <row r="12027" spans="1:8" x14ac:dyDescent="0.25">
      <c r="A12027" t="s">
        <v>349</v>
      </c>
      <c r="B12027" t="s">
        <v>7686</v>
      </c>
      <c r="C12027" t="s">
        <v>88</v>
      </c>
      <c r="D12027" t="s">
        <v>3638</v>
      </c>
      <c r="E12027" t="s">
        <v>760</v>
      </c>
      <c r="F12027" t="s">
        <v>88</v>
      </c>
      <c r="G12027" t="s">
        <v>88</v>
      </c>
      <c r="H12027" t="s">
        <v>92</v>
      </c>
    </row>
    <row r="12028" spans="1:8" x14ac:dyDescent="0.25">
      <c r="A12028" t="s">
        <v>349</v>
      </c>
      <c r="B12028" t="s">
        <v>3654</v>
      </c>
      <c r="C12028" t="s">
        <v>88</v>
      </c>
      <c r="D12028" t="s">
        <v>9602</v>
      </c>
      <c r="E12028" t="s">
        <v>844</v>
      </c>
      <c r="F12028" t="s">
        <v>88</v>
      </c>
      <c r="G12028" t="s">
        <v>88</v>
      </c>
      <c r="H12028" t="s">
        <v>92</v>
      </c>
    </row>
    <row r="12029" spans="1:8" x14ac:dyDescent="0.25">
      <c r="A12029" t="s">
        <v>349</v>
      </c>
      <c r="B12029" t="s">
        <v>7693</v>
      </c>
      <c r="C12029" t="s">
        <v>88</v>
      </c>
      <c r="D12029" t="s">
        <v>9590</v>
      </c>
      <c r="E12029" t="s">
        <v>844</v>
      </c>
      <c r="F12029" t="s">
        <v>88</v>
      </c>
      <c r="G12029" t="s">
        <v>88</v>
      </c>
      <c r="H12029" t="s">
        <v>92</v>
      </c>
    </row>
    <row r="12030" spans="1:8" x14ac:dyDescent="0.25">
      <c r="A12030" t="s">
        <v>349</v>
      </c>
      <c r="B12030" t="s">
        <v>7685</v>
      </c>
      <c r="C12030" t="s">
        <v>88</v>
      </c>
      <c r="D12030" t="s">
        <v>3604</v>
      </c>
      <c r="E12030" t="s">
        <v>760</v>
      </c>
      <c r="F12030" t="s">
        <v>88</v>
      </c>
      <c r="G12030" t="s">
        <v>88</v>
      </c>
      <c r="H12030" t="s">
        <v>92</v>
      </c>
    </row>
    <row r="12031" spans="1:8" x14ac:dyDescent="0.25">
      <c r="A12031" t="s">
        <v>349</v>
      </c>
      <c r="B12031" t="s">
        <v>9614</v>
      </c>
      <c r="C12031" t="s">
        <v>88</v>
      </c>
      <c r="D12031" t="s">
        <v>9601</v>
      </c>
      <c r="E12031" t="s">
        <v>1680</v>
      </c>
      <c r="F12031" t="s">
        <v>88</v>
      </c>
      <c r="G12031" t="s">
        <v>88</v>
      </c>
      <c r="H12031" t="s">
        <v>92</v>
      </c>
    </row>
    <row r="12032" spans="1:8" x14ac:dyDescent="0.25">
      <c r="A12032" t="s">
        <v>349</v>
      </c>
      <c r="B12032" t="s">
        <v>9615</v>
      </c>
      <c r="C12032" t="s">
        <v>88</v>
      </c>
      <c r="D12032" t="s">
        <v>9588</v>
      </c>
      <c r="E12032" t="s">
        <v>3593</v>
      </c>
      <c r="F12032" t="s">
        <v>88</v>
      </c>
      <c r="G12032" t="s">
        <v>88</v>
      </c>
      <c r="H12032" t="s">
        <v>92</v>
      </c>
    </row>
    <row r="12033" spans="1:8" x14ac:dyDescent="0.25">
      <c r="A12033" t="s">
        <v>349</v>
      </c>
      <c r="B12033" t="s">
        <v>9616</v>
      </c>
      <c r="C12033" t="s">
        <v>88</v>
      </c>
      <c r="D12033" t="s">
        <v>3626</v>
      </c>
      <c r="E12033" t="s">
        <v>1680</v>
      </c>
      <c r="F12033" t="s">
        <v>88</v>
      </c>
      <c r="G12033" t="s">
        <v>88</v>
      </c>
      <c r="H12033" t="s">
        <v>92</v>
      </c>
    </row>
    <row r="12034" spans="1:8" x14ac:dyDescent="0.25">
      <c r="A12034" t="s">
        <v>349</v>
      </c>
      <c r="B12034" t="s">
        <v>7720</v>
      </c>
      <c r="C12034" t="s">
        <v>88</v>
      </c>
      <c r="D12034" t="s">
        <v>9599</v>
      </c>
      <c r="E12034" t="s">
        <v>2833</v>
      </c>
      <c r="F12034" t="s">
        <v>88</v>
      </c>
      <c r="G12034" t="s">
        <v>88</v>
      </c>
      <c r="H12034" t="s">
        <v>92</v>
      </c>
    </row>
    <row r="12035" spans="1:8" x14ac:dyDescent="0.25">
      <c r="A12035" t="s">
        <v>349</v>
      </c>
      <c r="B12035" t="s">
        <v>3660</v>
      </c>
      <c r="C12035" t="s">
        <v>88</v>
      </c>
      <c r="D12035" t="s">
        <v>9591</v>
      </c>
      <c r="E12035" t="s">
        <v>2833</v>
      </c>
      <c r="F12035" t="s">
        <v>88</v>
      </c>
      <c r="G12035" t="s">
        <v>88</v>
      </c>
      <c r="H12035" t="s">
        <v>92</v>
      </c>
    </row>
    <row r="12036" spans="1:8" x14ac:dyDescent="0.25">
      <c r="A12036" t="s">
        <v>349</v>
      </c>
      <c r="B12036" t="s">
        <v>3827</v>
      </c>
      <c r="C12036" t="s">
        <v>88</v>
      </c>
      <c r="D12036" t="s">
        <v>9603</v>
      </c>
      <c r="E12036" t="s">
        <v>3593</v>
      </c>
      <c r="F12036" t="s">
        <v>88</v>
      </c>
      <c r="G12036" t="s">
        <v>88</v>
      </c>
      <c r="H12036" t="s">
        <v>92</v>
      </c>
    </row>
    <row r="12037" spans="1:8" x14ac:dyDescent="0.25">
      <c r="A12037" t="s">
        <v>349</v>
      </c>
      <c r="B12037" t="s">
        <v>7714</v>
      </c>
      <c r="C12037" t="s">
        <v>88</v>
      </c>
      <c r="D12037" t="s">
        <v>9590</v>
      </c>
      <c r="E12037" t="s">
        <v>3593</v>
      </c>
      <c r="F12037" t="s">
        <v>88</v>
      </c>
      <c r="G12037" t="s">
        <v>88</v>
      </c>
      <c r="H12037" t="s">
        <v>92</v>
      </c>
    </row>
    <row r="12038" spans="1:8" x14ac:dyDescent="0.25">
      <c r="A12038" t="s">
        <v>349</v>
      </c>
      <c r="B12038" t="s">
        <v>7698</v>
      </c>
      <c r="C12038" t="s">
        <v>88</v>
      </c>
      <c r="D12038" t="s">
        <v>9611</v>
      </c>
      <c r="E12038" t="s">
        <v>1680</v>
      </c>
      <c r="F12038" t="s">
        <v>88</v>
      </c>
      <c r="G12038" t="s">
        <v>88</v>
      </c>
      <c r="H12038" t="s">
        <v>92</v>
      </c>
    </row>
    <row r="12039" spans="1:8" x14ac:dyDescent="0.25">
      <c r="A12039" t="s">
        <v>349</v>
      </c>
      <c r="B12039" t="s">
        <v>9617</v>
      </c>
      <c r="C12039" t="s">
        <v>88</v>
      </c>
      <c r="D12039" t="s">
        <v>9593</v>
      </c>
      <c r="E12039" t="s">
        <v>2833</v>
      </c>
      <c r="F12039" t="s">
        <v>88</v>
      </c>
      <c r="G12039" t="s">
        <v>88</v>
      </c>
      <c r="H12039" t="s">
        <v>92</v>
      </c>
    </row>
    <row r="12040" spans="1:8" x14ac:dyDescent="0.25">
      <c r="A12040" t="s">
        <v>349</v>
      </c>
      <c r="B12040" t="s">
        <v>3671</v>
      </c>
      <c r="C12040" t="s">
        <v>88</v>
      </c>
      <c r="D12040" t="s">
        <v>9602</v>
      </c>
      <c r="E12040" t="s">
        <v>3593</v>
      </c>
      <c r="F12040" t="s">
        <v>88</v>
      </c>
      <c r="G12040" t="s">
        <v>88</v>
      </c>
      <c r="H12040" t="s">
        <v>92</v>
      </c>
    </row>
    <row r="12041" spans="1:8" x14ac:dyDescent="0.25">
      <c r="A12041" t="s">
        <v>349</v>
      </c>
      <c r="B12041" t="s">
        <v>7702</v>
      </c>
      <c r="C12041" t="s">
        <v>88</v>
      </c>
      <c r="D12041" t="s">
        <v>9586</v>
      </c>
      <c r="E12041" t="s">
        <v>1680</v>
      </c>
      <c r="F12041" t="s">
        <v>88</v>
      </c>
      <c r="G12041" t="s">
        <v>88</v>
      </c>
      <c r="H12041" t="s">
        <v>92</v>
      </c>
    </row>
    <row r="12042" spans="1:8" x14ac:dyDescent="0.25">
      <c r="A12042" t="s">
        <v>349</v>
      </c>
      <c r="B12042" t="s">
        <v>7705</v>
      </c>
      <c r="C12042" t="s">
        <v>88</v>
      </c>
      <c r="D12042" t="s">
        <v>3638</v>
      </c>
      <c r="E12042" t="s">
        <v>1680</v>
      </c>
      <c r="F12042" t="s">
        <v>88</v>
      </c>
      <c r="G12042" t="s">
        <v>88</v>
      </c>
      <c r="H12042" t="s">
        <v>92</v>
      </c>
    </row>
    <row r="12043" spans="1:8" x14ac:dyDescent="0.25">
      <c r="A12043" t="s">
        <v>349</v>
      </c>
      <c r="B12043" t="s">
        <v>7700</v>
      </c>
      <c r="C12043" t="s">
        <v>88</v>
      </c>
      <c r="D12043" t="s">
        <v>3604</v>
      </c>
      <c r="E12043" t="s">
        <v>1680</v>
      </c>
      <c r="F12043" t="s">
        <v>88</v>
      </c>
      <c r="G12043" t="s">
        <v>88</v>
      </c>
      <c r="H12043" t="s">
        <v>92</v>
      </c>
    </row>
    <row r="12044" spans="1:8" x14ac:dyDescent="0.25">
      <c r="A12044" t="s">
        <v>349</v>
      </c>
      <c r="B12044" t="s">
        <v>9618</v>
      </c>
      <c r="C12044" t="s">
        <v>88</v>
      </c>
      <c r="D12044" t="s">
        <v>9605</v>
      </c>
      <c r="E12044" t="s">
        <v>2833</v>
      </c>
      <c r="F12044" t="s">
        <v>88</v>
      </c>
      <c r="G12044" t="s">
        <v>88</v>
      </c>
      <c r="H12044" t="s">
        <v>92</v>
      </c>
    </row>
    <row r="12045" spans="1:8" x14ac:dyDescent="0.25">
      <c r="A12045" t="s">
        <v>349</v>
      </c>
      <c r="B12045" t="s">
        <v>9619</v>
      </c>
      <c r="C12045" t="s">
        <v>88</v>
      </c>
      <c r="D12045" t="s">
        <v>7713</v>
      </c>
      <c r="E12045" t="s">
        <v>1680</v>
      </c>
      <c r="F12045" t="s">
        <v>88</v>
      </c>
      <c r="G12045" t="s">
        <v>88</v>
      </c>
      <c r="H12045" t="s">
        <v>92</v>
      </c>
    </row>
    <row r="12046" spans="1:8" x14ac:dyDescent="0.25">
      <c r="A12046" t="s">
        <v>349</v>
      </c>
      <c r="B12046" t="s">
        <v>7718</v>
      </c>
      <c r="C12046" t="s">
        <v>88</v>
      </c>
      <c r="D12046" t="s">
        <v>7719</v>
      </c>
      <c r="E12046" t="s">
        <v>1680</v>
      </c>
      <c r="F12046" t="s">
        <v>88</v>
      </c>
      <c r="G12046" t="s">
        <v>88</v>
      </c>
      <c r="H12046" t="s">
        <v>92</v>
      </c>
    </row>
    <row r="12047" spans="1:8" x14ac:dyDescent="0.25">
      <c r="A12047" t="s">
        <v>349</v>
      </c>
      <c r="B12047" t="s">
        <v>9620</v>
      </c>
      <c r="C12047" t="s">
        <v>88</v>
      </c>
      <c r="D12047" t="s">
        <v>9621</v>
      </c>
      <c r="E12047" t="s">
        <v>2833</v>
      </c>
      <c r="F12047" t="s">
        <v>88</v>
      </c>
      <c r="G12047" t="s">
        <v>88</v>
      </c>
      <c r="H12047" t="s">
        <v>92</v>
      </c>
    </row>
    <row r="12048" spans="1:8" x14ac:dyDescent="0.25">
      <c r="A12048" t="s">
        <v>349</v>
      </c>
      <c r="B12048" t="s">
        <v>7694</v>
      </c>
      <c r="C12048" t="s">
        <v>88</v>
      </c>
      <c r="D12048" t="s">
        <v>9594</v>
      </c>
      <c r="E12048" t="s">
        <v>2833</v>
      </c>
      <c r="F12048" t="s">
        <v>88</v>
      </c>
      <c r="G12048" t="s">
        <v>88</v>
      </c>
      <c r="H12048" t="s">
        <v>92</v>
      </c>
    </row>
    <row r="12049" spans="1:8" x14ac:dyDescent="0.25">
      <c r="A12049" t="s">
        <v>349</v>
      </c>
      <c r="B12049" t="s">
        <v>4306</v>
      </c>
      <c r="C12049" t="s">
        <v>88</v>
      </c>
      <c r="D12049" t="s">
        <v>9602</v>
      </c>
      <c r="E12049" t="s">
        <v>4275</v>
      </c>
      <c r="F12049" t="s">
        <v>88</v>
      </c>
      <c r="G12049" t="s">
        <v>88</v>
      </c>
      <c r="H12049" t="s">
        <v>92</v>
      </c>
    </row>
    <row r="12050" spans="1:8" x14ac:dyDescent="0.25">
      <c r="A12050" t="s">
        <v>349</v>
      </c>
      <c r="B12050" t="s">
        <v>9622</v>
      </c>
      <c r="C12050" t="s">
        <v>88</v>
      </c>
      <c r="D12050" t="s">
        <v>9588</v>
      </c>
      <c r="E12050" t="s">
        <v>4275</v>
      </c>
      <c r="F12050" t="s">
        <v>88</v>
      </c>
      <c r="G12050" t="s">
        <v>88</v>
      </c>
      <c r="H12050" t="s">
        <v>92</v>
      </c>
    </row>
    <row r="12051" spans="1:8" x14ac:dyDescent="0.25">
      <c r="A12051" t="s">
        <v>349</v>
      </c>
      <c r="B12051" t="s">
        <v>7728</v>
      </c>
      <c r="C12051" t="s">
        <v>88</v>
      </c>
      <c r="D12051" t="s">
        <v>3604</v>
      </c>
      <c r="E12051" t="s">
        <v>841</v>
      </c>
      <c r="F12051" t="s">
        <v>88</v>
      </c>
      <c r="G12051" t="s">
        <v>88</v>
      </c>
      <c r="H12051" t="s">
        <v>92</v>
      </c>
    </row>
    <row r="12052" spans="1:8" x14ac:dyDescent="0.25">
      <c r="A12052" t="s">
        <v>349</v>
      </c>
      <c r="B12052" t="s">
        <v>9623</v>
      </c>
      <c r="C12052" t="s">
        <v>88</v>
      </c>
      <c r="D12052" t="s">
        <v>3626</v>
      </c>
      <c r="E12052" t="s">
        <v>841</v>
      </c>
      <c r="F12052" t="s">
        <v>88</v>
      </c>
      <c r="G12052" t="s">
        <v>88</v>
      </c>
      <c r="H12052" t="s">
        <v>92</v>
      </c>
    </row>
    <row r="12053" spans="1:8" x14ac:dyDescent="0.25">
      <c r="A12053" t="s">
        <v>349</v>
      </c>
      <c r="B12053" t="s">
        <v>7732</v>
      </c>
      <c r="C12053" t="s">
        <v>88</v>
      </c>
      <c r="D12053" t="s">
        <v>9590</v>
      </c>
      <c r="E12053" t="s">
        <v>4275</v>
      </c>
      <c r="F12053" t="s">
        <v>88</v>
      </c>
      <c r="G12053" t="s">
        <v>88</v>
      </c>
      <c r="H12053" t="s">
        <v>92</v>
      </c>
    </row>
    <row r="12054" spans="1:8" x14ac:dyDescent="0.25">
      <c r="A12054" t="s">
        <v>349</v>
      </c>
      <c r="B12054" t="s">
        <v>9624</v>
      </c>
      <c r="C12054" t="s">
        <v>88</v>
      </c>
      <c r="D12054" t="s">
        <v>7713</v>
      </c>
      <c r="E12054" t="s">
        <v>841</v>
      </c>
      <c r="F12054" t="s">
        <v>88</v>
      </c>
      <c r="G12054" t="s">
        <v>88</v>
      </c>
      <c r="H12054" t="s">
        <v>92</v>
      </c>
    </row>
    <row r="12055" spans="1:8" x14ac:dyDescent="0.25">
      <c r="A12055" t="s">
        <v>349</v>
      </c>
      <c r="B12055" t="s">
        <v>9625</v>
      </c>
      <c r="C12055" t="s">
        <v>88</v>
      </c>
      <c r="D12055" t="s">
        <v>9605</v>
      </c>
      <c r="E12055" t="s">
        <v>4259</v>
      </c>
      <c r="F12055" t="s">
        <v>88</v>
      </c>
      <c r="G12055" t="s">
        <v>88</v>
      </c>
      <c r="H12055" t="s">
        <v>92</v>
      </c>
    </row>
    <row r="12056" spans="1:8" x14ac:dyDescent="0.25">
      <c r="A12056" t="s">
        <v>349</v>
      </c>
      <c r="B12056" t="s">
        <v>9626</v>
      </c>
      <c r="C12056" t="s">
        <v>88</v>
      </c>
      <c r="D12056" t="s">
        <v>9621</v>
      </c>
      <c r="E12056" t="s">
        <v>4259</v>
      </c>
      <c r="F12056" t="s">
        <v>88</v>
      </c>
      <c r="G12056" t="s">
        <v>88</v>
      </c>
      <c r="H12056" t="s">
        <v>92</v>
      </c>
    </row>
    <row r="12057" spans="1:8" x14ac:dyDescent="0.25">
      <c r="A12057" t="s">
        <v>349</v>
      </c>
      <c r="B12057" t="s">
        <v>7726</v>
      </c>
      <c r="C12057" t="s">
        <v>88</v>
      </c>
      <c r="D12057" t="s">
        <v>9594</v>
      </c>
      <c r="E12057" t="s">
        <v>4259</v>
      </c>
      <c r="F12057" t="s">
        <v>88</v>
      </c>
      <c r="G12057" t="s">
        <v>88</v>
      </c>
      <c r="H12057" t="s">
        <v>92</v>
      </c>
    </row>
    <row r="12058" spans="1:8" x14ac:dyDescent="0.25">
      <c r="A12058" t="s">
        <v>349</v>
      </c>
      <c r="B12058" t="s">
        <v>7583</v>
      </c>
      <c r="C12058" t="s">
        <v>88</v>
      </c>
      <c r="D12058" t="s">
        <v>9603</v>
      </c>
      <c r="E12058" t="s">
        <v>4275</v>
      </c>
      <c r="F12058" t="s">
        <v>88</v>
      </c>
      <c r="G12058" t="s">
        <v>88</v>
      </c>
      <c r="H12058" t="s">
        <v>92</v>
      </c>
    </row>
    <row r="12059" spans="1:8" x14ac:dyDescent="0.25">
      <c r="A12059" t="s">
        <v>349</v>
      </c>
      <c r="B12059" t="s">
        <v>7735</v>
      </c>
      <c r="C12059" t="s">
        <v>88</v>
      </c>
      <c r="D12059" t="s">
        <v>9599</v>
      </c>
      <c r="E12059" t="s">
        <v>4259</v>
      </c>
      <c r="F12059" t="s">
        <v>88</v>
      </c>
      <c r="G12059" t="s">
        <v>88</v>
      </c>
      <c r="H12059" t="s">
        <v>92</v>
      </c>
    </row>
    <row r="12060" spans="1:8" x14ac:dyDescent="0.25">
      <c r="A12060" t="s">
        <v>349</v>
      </c>
      <c r="B12060" t="s">
        <v>9627</v>
      </c>
      <c r="C12060" t="s">
        <v>88</v>
      </c>
      <c r="D12060" t="s">
        <v>9593</v>
      </c>
      <c r="E12060" t="s">
        <v>4259</v>
      </c>
      <c r="F12060" t="s">
        <v>88</v>
      </c>
      <c r="G12060" t="s">
        <v>88</v>
      </c>
      <c r="H12060" t="s">
        <v>92</v>
      </c>
    </row>
    <row r="12061" spans="1:8" x14ac:dyDescent="0.25">
      <c r="A12061" t="s">
        <v>349</v>
      </c>
      <c r="B12061" t="s">
        <v>7729</v>
      </c>
      <c r="C12061" t="s">
        <v>88</v>
      </c>
      <c r="D12061" t="s">
        <v>9586</v>
      </c>
      <c r="E12061" t="s">
        <v>841</v>
      </c>
      <c r="F12061" t="s">
        <v>88</v>
      </c>
      <c r="G12061" t="s">
        <v>88</v>
      </c>
      <c r="H12061" t="s">
        <v>92</v>
      </c>
    </row>
    <row r="12062" spans="1:8" x14ac:dyDescent="0.25">
      <c r="A12062" t="s">
        <v>349</v>
      </c>
      <c r="B12062" t="s">
        <v>7582</v>
      </c>
      <c r="C12062" t="s">
        <v>88</v>
      </c>
      <c r="D12062" t="s">
        <v>9601</v>
      </c>
      <c r="E12062" t="s">
        <v>902</v>
      </c>
      <c r="F12062" t="s">
        <v>88</v>
      </c>
      <c r="G12062" t="s">
        <v>88</v>
      </c>
      <c r="H12062" t="s">
        <v>92</v>
      </c>
    </row>
    <row r="12063" spans="1:8" x14ac:dyDescent="0.25">
      <c r="A12063" t="s">
        <v>349</v>
      </c>
      <c r="B12063" t="s">
        <v>7293</v>
      </c>
      <c r="C12063" t="s">
        <v>88</v>
      </c>
      <c r="D12063" t="s">
        <v>9611</v>
      </c>
      <c r="E12063" t="s">
        <v>841</v>
      </c>
      <c r="F12063" t="s">
        <v>88</v>
      </c>
      <c r="G12063" t="s">
        <v>88</v>
      </c>
      <c r="H12063" t="s">
        <v>92</v>
      </c>
    </row>
    <row r="12064" spans="1:8" x14ac:dyDescent="0.25">
      <c r="A12064" t="s">
        <v>349</v>
      </c>
      <c r="B12064" t="s">
        <v>4316</v>
      </c>
      <c r="C12064" t="s">
        <v>88</v>
      </c>
      <c r="D12064" t="s">
        <v>3638</v>
      </c>
      <c r="E12064" t="s">
        <v>841</v>
      </c>
      <c r="F12064" t="s">
        <v>88</v>
      </c>
      <c r="G12064" t="s">
        <v>88</v>
      </c>
      <c r="H12064" t="s">
        <v>92</v>
      </c>
    </row>
    <row r="12065" spans="1:8" x14ac:dyDescent="0.25">
      <c r="A12065" t="s">
        <v>349</v>
      </c>
      <c r="B12065" t="s">
        <v>4300</v>
      </c>
      <c r="C12065" t="s">
        <v>88</v>
      </c>
      <c r="D12065" t="s">
        <v>9591</v>
      </c>
      <c r="E12065" t="s">
        <v>4259</v>
      </c>
      <c r="F12065" t="s">
        <v>88</v>
      </c>
      <c r="G12065" t="s">
        <v>88</v>
      </c>
      <c r="H12065" t="s">
        <v>92</v>
      </c>
    </row>
    <row r="12066" spans="1:8" x14ac:dyDescent="0.25">
      <c r="A12066" t="s">
        <v>349</v>
      </c>
      <c r="B12066" t="s">
        <v>7734</v>
      </c>
      <c r="C12066" t="s">
        <v>88</v>
      </c>
      <c r="D12066" t="s">
        <v>7719</v>
      </c>
      <c r="E12066" t="s">
        <v>841</v>
      </c>
      <c r="F12066" t="s">
        <v>88</v>
      </c>
      <c r="G12066" t="s">
        <v>88</v>
      </c>
      <c r="H12066" t="s">
        <v>92</v>
      </c>
    </row>
    <row r="12067" spans="1:8" x14ac:dyDescent="0.25">
      <c r="A12067" t="s">
        <v>349</v>
      </c>
      <c r="B12067" t="s">
        <v>9628</v>
      </c>
      <c r="C12067" t="s">
        <v>88</v>
      </c>
      <c r="D12067" t="s">
        <v>88</v>
      </c>
      <c r="E12067" t="s">
        <v>709</v>
      </c>
      <c r="F12067" t="s">
        <v>88</v>
      </c>
      <c r="G12067" t="s">
        <v>88</v>
      </c>
      <c r="H12067" t="s">
        <v>92</v>
      </c>
    </row>
    <row r="12068" spans="1:8" x14ac:dyDescent="0.25">
      <c r="A12068" t="s">
        <v>349</v>
      </c>
      <c r="B12068" t="s">
        <v>9629</v>
      </c>
      <c r="C12068" t="s">
        <v>88</v>
      </c>
      <c r="D12068" t="s">
        <v>88</v>
      </c>
      <c r="E12068" t="s">
        <v>732</v>
      </c>
      <c r="F12068" t="s">
        <v>88</v>
      </c>
      <c r="G12068" t="s">
        <v>88</v>
      </c>
      <c r="H12068" t="s">
        <v>92</v>
      </c>
    </row>
    <row r="12069" spans="1:8" x14ac:dyDescent="0.25">
      <c r="A12069" t="s">
        <v>349</v>
      </c>
      <c r="B12069" t="s">
        <v>1322</v>
      </c>
      <c r="C12069" t="s">
        <v>88</v>
      </c>
      <c r="D12069" t="s">
        <v>88</v>
      </c>
      <c r="E12069" t="s">
        <v>799</v>
      </c>
      <c r="F12069" t="s">
        <v>88</v>
      </c>
      <c r="G12069" t="s">
        <v>88</v>
      </c>
      <c r="H12069" t="s">
        <v>92</v>
      </c>
    </row>
    <row r="12070" spans="1:8" x14ac:dyDescent="0.25">
      <c r="A12070" t="s">
        <v>349</v>
      </c>
      <c r="B12070" t="s">
        <v>9630</v>
      </c>
      <c r="C12070" t="s">
        <v>88</v>
      </c>
      <c r="D12070" t="s">
        <v>88</v>
      </c>
      <c r="E12070" t="s">
        <v>1323</v>
      </c>
      <c r="F12070" t="s">
        <v>88</v>
      </c>
      <c r="G12070" t="s">
        <v>88</v>
      </c>
      <c r="H12070" t="s">
        <v>92</v>
      </c>
    </row>
    <row r="12071" spans="1:8" x14ac:dyDescent="0.25">
      <c r="A12071" t="s">
        <v>349</v>
      </c>
      <c r="B12071" t="s">
        <v>3681</v>
      </c>
      <c r="C12071" t="s">
        <v>88</v>
      </c>
      <c r="D12071" t="s">
        <v>88</v>
      </c>
      <c r="E12071" t="s">
        <v>1323</v>
      </c>
      <c r="F12071" t="s">
        <v>88</v>
      </c>
      <c r="G12071" t="s">
        <v>88</v>
      </c>
      <c r="H12071" t="s">
        <v>92</v>
      </c>
    </row>
    <row r="12072" spans="1:8" x14ac:dyDescent="0.25">
      <c r="A12072" t="s">
        <v>349</v>
      </c>
      <c r="B12072" t="s">
        <v>9631</v>
      </c>
      <c r="C12072" t="s">
        <v>88</v>
      </c>
      <c r="D12072" t="s">
        <v>88</v>
      </c>
      <c r="E12072" t="s">
        <v>715</v>
      </c>
      <c r="F12072" t="s">
        <v>88</v>
      </c>
      <c r="G12072" t="s">
        <v>88</v>
      </c>
      <c r="H12072" t="s">
        <v>92</v>
      </c>
    </row>
    <row r="12073" spans="1:8" x14ac:dyDescent="0.25">
      <c r="A12073" t="s">
        <v>349</v>
      </c>
      <c r="B12073" t="s">
        <v>1072</v>
      </c>
      <c r="C12073" t="s">
        <v>88</v>
      </c>
      <c r="D12073" t="s">
        <v>88</v>
      </c>
      <c r="E12073" t="s">
        <v>732</v>
      </c>
      <c r="F12073" t="s">
        <v>88</v>
      </c>
      <c r="G12073" t="s">
        <v>88</v>
      </c>
      <c r="H12073" t="s">
        <v>92</v>
      </c>
    </row>
    <row r="12074" spans="1:8" x14ac:dyDescent="0.25">
      <c r="A12074" t="s">
        <v>349</v>
      </c>
      <c r="B12074" t="s">
        <v>701</v>
      </c>
      <c r="C12074" t="s">
        <v>88</v>
      </c>
      <c r="D12074" t="s">
        <v>88</v>
      </c>
      <c r="E12074" t="s">
        <v>732</v>
      </c>
      <c r="F12074" t="s">
        <v>88</v>
      </c>
      <c r="G12074" t="s">
        <v>88</v>
      </c>
      <c r="H12074" t="s">
        <v>92</v>
      </c>
    </row>
    <row r="12075" spans="1:8" x14ac:dyDescent="0.25">
      <c r="A12075" t="s">
        <v>349</v>
      </c>
      <c r="B12075" t="s">
        <v>705</v>
      </c>
      <c r="C12075" t="s">
        <v>88</v>
      </c>
      <c r="D12075" t="s">
        <v>88</v>
      </c>
      <c r="E12075" t="s">
        <v>732</v>
      </c>
      <c r="F12075" t="s">
        <v>88</v>
      </c>
      <c r="G12075" t="s">
        <v>88</v>
      </c>
      <c r="H12075" t="s">
        <v>92</v>
      </c>
    </row>
    <row r="12076" spans="1:8" x14ac:dyDescent="0.25">
      <c r="A12076" t="s">
        <v>349</v>
      </c>
      <c r="B12076" t="s">
        <v>706</v>
      </c>
      <c r="C12076" t="s">
        <v>88</v>
      </c>
      <c r="D12076" t="s">
        <v>88</v>
      </c>
      <c r="E12076" t="s">
        <v>732</v>
      </c>
      <c r="F12076" t="s">
        <v>88</v>
      </c>
      <c r="G12076" t="s">
        <v>88</v>
      </c>
      <c r="H12076" t="s">
        <v>92</v>
      </c>
    </row>
    <row r="12077" spans="1:8" x14ac:dyDescent="0.25">
      <c r="A12077" t="s">
        <v>349</v>
      </c>
      <c r="B12077" t="s">
        <v>707</v>
      </c>
      <c r="C12077" t="s">
        <v>88</v>
      </c>
      <c r="D12077" t="s">
        <v>88</v>
      </c>
      <c r="E12077" t="s">
        <v>732</v>
      </c>
      <c r="F12077" t="s">
        <v>88</v>
      </c>
      <c r="G12077" t="s">
        <v>88</v>
      </c>
      <c r="H12077" t="s">
        <v>92</v>
      </c>
    </row>
    <row r="12078" spans="1:8" x14ac:dyDescent="0.25">
      <c r="A12078" t="s">
        <v>349</v>
      </c>
      <c r="B12078" t="s">
        <v>2135</v>
      </c>
      <c r="C12078" t="s">
        <v>88</v>
      </c>
      <c r="D12078" t="s">
        <v>88</v>
      </c>
      <c r="E12078" t="s">
        <v>710</v>
      </c>
      <c r="F12078" t="s">
        <v>88</v>
      </c>
      <c r="G12078" t="s">
        <v>88</v>
      </c>
      <c r="H12078" t="s">
        <v>92</v>
      </c>
    </row>
    <row r="12079" spans="1:8" x14ac:dyDescent="0.25">
      <c r="A12079" t="s">
        <v>349</v>
      </c>
      <c r="B12079" t="s">
        <v>620</v>
      </c>
      <c r="C12079" t="s">
        <v>88</v>
      </c>
      <c r="D12079" t="s">
        <v>88</v>
      </c>
      <c r="E12079" t="s">
        <v>710</v>
      </c>
      <c r="F12079" t="s">
        <v>88</v>
      </c>
      <c r="G12079" t="s">
        <v>88</v>
      </c>
      <c r="H12079" t="s">
        <v>92</v>
      </c>
    </row>
    <row r="12080" spans="1:8" x14ac:dyDescent="0.25">
      <c r="A12080" t="s">
        <v>349</v>
      </c>
      <c r="B12080" t="s">
        <v>622</v>
      </c>
      <c r="C12080" t="s">
        <v>88</v>
      </c>
      <c r="D12080" t="s">
        <v>88</v>
      </c>
      <c r="E12080" t="s">
        <v>711</v>
      </c>
      <c r="F12080" t="s">
        <v>88</v>
      </c>
      <c r="G12080" t="s">
        <v>88</v>
      </c>
      <c r="H12080" t="s">
        <v>92</v>
      </c>
    </row>
    <row r="12081" spans="1:8" x14ac:dyDescent="0.25">
      <c r="A12081" t="s">
        <v>349</v>
      </c>
      <c r="B12081" t="s">
        <v>623</v>
      </c>
      <c r="C12081" t="s">
        <v>88</v>
      </c>
      <c r="D12081" t="s">
        <v>88</v>
      </c>
      <c r="E12081" t="s">
        <v>735</v>
      </c>
      <c r="F12081" t="s">
        <v>88</v>
      </c>
      <c r="G12081" t="s">
        <v>88</v>
      </c>
      <c r="H12081" t="s">
        <v>92</v>
      </c>
    </row>
    <row r="12082" spans="1:8" x14ac:dyDescent="0.25">
      <c r="A12082" t="s">
        <v>349</v>
      </c>
      <c r="B12082" t="s">
        <v>714</v>
      </c>
      <c r="C12082" t="s">
        <v>88</v>
      </c>
      <c r="D12082" t="s">
        <v>88</v>
      </c>
      <c r="E12082" t="s">
        <v>791</v>
      </c>
      <c r="F12082" t="s">
        <v>88</v>
      </c>
      <c r="G12082" t="s">
        <v>88</v>
      </c>
      <c r="H12082" t="s">
        <v>92</v>
      </c>
    </row>
    <row r="12083" spans="1:8" x14ac:dyDescent="0.25">
      <c r="A12083" t="s">
        <v>349</v>
      </c>
      <c r="B12083" t="s">
        <v>1075</v>
      </c>
      <c r="C12083" t="s">
        <v>88</v>
      </c>
      <c r="D12083" t="s">
        <v>88</v>
      </c>
      <c r="E12083" t="s">
        <v>791</v>
      </c>
      <c r="F12083" t="s">
        <v>88</v>
      </c>
      <c r="G12083" t="s">
        <v>88</v>
      </c>
      <c r="H12083" t="s">
        <v>92</v>
      </c>
    </row>
    <row r="12084" spans="1:8" x14ac:dyDescent="0.25">
      <c r="A12084" t="s">
        <v>349</v>
      </c>
      <c r="B12084" t="s">
        <v>998</v>
      </c>
      <c r="C12084" t="s">
        <v>88</v>
      </c>
      <c r="D12084" t="s">
        <v>88</v>
      </c>
      <c r="E12084" t="s">
        <v>791</v>
      </c>
      <c r="F12084" t="s">
        <v>88</v>
      </c>
      <c r="G12084" t="s">
        <v>88</v>
      </c>
      <c r="H12084" t="s">
        <v>92</v>
      </c>
    </row>
    <row r="12085" spans="1:8" x14ac:dyDescent="0.25">
      <c r="A12085" t="s">
        <v>349</v>
      </c>
      <c r="B12085" t="s">
        <v>1073</v>
      </c>
      <c r="C12085" t="s">
        <v>88</v>
      </c>
      <c r="D12085" t="s">
        <v>88</v>
      </c>
      <c r="E12085" t="s">
        <v>791</v>
      </c>
      <c r="F12085" t="s">
        <v>88</v>
      </c>
      <c r="G12085" t="s">
        <v>88</v>
      </c>
      <c r="H12085" t="s">
        <v>92</v>
      </c>
    </row>
    <row r="12086" spans="1:8" x14ac:dyDescent="0.25">
      <c r="A12086" t="s">
        <v>349</v>
      </c>
      <c r="B12086" t="s">
        <v>625</v>
      </c>
      <c r="C12086" t="s">
        <v>88</v>
      </c>
      <c r="D12086" t="s">
        <v>88</v>
      </c>
      <c r="E12086" t="s">
        <v>626</v>
      </c>
      <c r="F12086" t="s">
        <v>88</v>
      </c>
      <c r="G12086" t="s">
        <v>88</v>
      </c>
      <c r="H12086" t="s">
        <v>92</v>
      </c>
    </row>
    <row r="12087" spans="1:8" x14ac:dyDescent="0.25">
      <c r="A12087" t="s">
        <v>350</v>
      </c>
      <c r="B12087" t="s">
        <v>9632</v>
      </c>
      <c r="C12087" t="s">
        <v>88</v>
      </c>
      <c r="D12087" t="s">
        <v>88</v>
      </c>
      <c r="E12087" t="s">
        <v>814</v>
      </c>
      <c r="F12087" t="s">
        <v>88</v>
      </c>
      <c r="G12087" t="s">
        <v>88</v>
      </c>
      <c r="H12087" t="s">
        <v>92</v>
      </c>
    </row>
    <row r="12088" spans="1:8" x14ac:dyDescent="0.25">
      <c r="A12088" t="s">
        <v>350</v>
      </c>
      <c r="B12088" t="s">
        <v>9633</v>
      </c>
      <c r="C12088" t="s">
        <v>88</v>
      </c>
      <c r="D12088" t="s">
        <v>88</v>
      </c>
      <c r="E12088" t="s">
        <v>658</v>
      </c>
      <c r="F12088" t="s">
        <v>88</v>
      </c>
      <c r="G12088" t="s">
        <v>88</v>
      </c>
      <c r="H12088" t="s">
        <v>92</v>
      </c>
    </row>
    <row r="12089" spans="1:8" x14ac:dyDescent="0.25">
      <c r="A12089" t="s">
        <v>350</v>
      </c>
      <c r="B12089" t="s">
        <v>9634</v>
      </c>
      <c r="C12089" t="s">
        <v>88</v>
      </c>
      <c r="D12089" t="s">
        <v>88</v>
      </c>
      <c r="E12089" t="s">
        <v>893</v>
      </c>
      <c r="F12089" t="s">
        <v>88</v>
      </c>
      <c r="G12089" t="s">
        <v>88</v>
      </c>
      <c r="H12089" t="s">
        <v>92</v>
      </c>
    </row>
    <row r="12090" spans="1:8" x14ac:dyDescent="0.25">
      <c r="A12090" t="s">
        <v>350</v>
      </c>
      <c r="B12090" t="s">
        <v>9635</v>
      </c>
      <c r="C12090" t="s">
        <v>88</v>
      </c>
      <c r="D12090" t="s">
        <v>1370</v>
      </c>
      <c r="E12090" t="s">
        <v>883</v>
      </c>
      <c r="F12090" t="s">
        <v>88</v>
      </c>
      <c r="G12090" t="s">
        <v>88</v>
      </c>
      <c r="H12090" t="s">
        <v>92</v>
      </c>
    </row>
    <row r="12091" spans="1:8" x14ac:dyDescent="0.25">
      <c r="A12091" t="s">
        <v>350</v>
      </c>
      <c r="B12091" t="s">
        <v>9636</v>
      </c>
      <c r="C12091" t="s">
        <v>88</v>
      </c>
      <c r="D12091" t="s">
        <v>88</v>
      </c>
      <c r="E12091" t="s">
        <v>663</v>
      </c>
      <c r="F12091" t="s">
        <v>88</v>
      </c>
      <c r="G12091" t="s">
        <v>88</v>
      </c>
      <c r="H12091" t="s">
        <v>92</v>
      </c>
    </row>
    <row r="12092" spans="1:8" x14ac:dyDescent="0.25">
      <c r="A12092" t="s">
        <v>350</v>
      </c>
      <c r="B12092" t="s">
        <v>9637</v>
      </c>
      <c r="C12092" t="s">
        <v>88</v>
      </c>
      <c r="D12092" t="s">
        <v>88</v>
      </c>
      <c r="E12092" t="s">
        <v>1680</v>
      </c>
      <c r="F12092" t="s">
        <v>88</v>
      </c>
      <c r="G12092" t="s">
        <v>88</v>
      </c>
      <c r="H12092" t="s">
        <v>92</v>
      </c>
    </row>
    <row r="12093" spans="1:8" x14ac:dyDescent="0.25">
      <c r="A12093" t="s">
        <v>350</v>
      </c>
      <c r="B12093" t="s">
        <v>9638</v>
      </c>
      <c r="C12093" t="s">
        <v>88</v>
      </c>
      <c r="D12093" t="s">
        <v>88</v>
      </c>
      <c r="E12093" t="s">
        <v>1680</v>
      </c>
      <c r="F12093" t="s">
        <v>88</v>
      </c>
      <c r="G12093" t="s">
        <v>88</v>
      </c>
      <c r="H12093" t="s">
        <v>92</v>
      </c>
    </row>
    <row r="12094" spans="1:8" x14ac:dyDescent="0.25">
      <c r="A12094" t="s">
        <v>350</v>
      </c>
      <c r="B12094" t="s">
        <v>9639</v>
      </c>
      <c r="C12094" t="s">
        <v>88</v>
      </c>
      <c r="D12094" t="s">
        <v>9640</v>
      </c>
      <c r="E12094" t="s">
        <v>6691</v>
      </c>
      <c r="F12094" t="s">
        <v>88</v>
      </c>
      <c r="G12094" t="s">
        <v>88</v>
      </c>
      <c r="H12094" t="s">
        <v>92</v>
      </c>
    </row>
    <row r="12095" spans="1:8" x14ac:dyDescent="0.25">
      <c r="A12095" t="s">
        <v>350</v>
      </c>
      <c r="B12095" t="s">
        <v>9641</v>
      </c>
      <c r="C12095" t="s">
        <v>88</v>
      </c>
      <c r="D12095" t="s">
        <v>9642</v>
      </c>
      <c r="E12095" t="s">
        <v>886</v>
      </c>
      <c r="F12095" t="s">
        <v>88</v>
      </c>
      <c r="G12095" t="s">
        <v>88</v>
      </c>
      <c r="H12095" t="s">
        <v>92</v>
      </c>
    </row>
    <row r="12096" spans="1:8" x14ac:dyDescent="0.25">
      <c r="A12096" t="s">
        <v>350</v>
      </c>
      <c r="B12096" t="s">
        <v>9643</v>
      </c>
      <c r="C12096" t="s">
        <v>88</v>
      </c>
      <c r="D12096" t="s">
        <v>88</v>
      </c>
      <c r="E12096" t="s">
        <v>812</v>
      </c>
      <c r="F12096" t="s">
        <v>88</v>
      </c>
      <c r="G12096" t="s">
        <v>88</v>
      </c>
      <c r="H12096" t="s">
        <v>92</v>
      </c>
    </row>
    <row r="12097" spans="1:8" x14ac:dyDescent="0.25">
      <c r="A12097" t="s">
        <v>350</v>
      </c>
      <c r="B12097" t="s">
        <v>9644</v>
      </c>
      <c r="C12097" t="s">
        <v>88</v>
      </c>
      <c r="D12097" t="s">
        <v>88</v>
      </c>
      <c r="E12097" t="s">
        <v>917</v>
      </c>
      <c r="F12097" t="s">
        <v>88</v>
      </c>
      <c r="G12097" t="s">
        <v>88</v>
      </c>
      <c r="H12097" t="s">
        <v>92</v>
      </c>
    </row>
    <row r="12098" spans="1:8" x14ac:dyDescent="0.25">
      <c r="A12098" t="s">
        <v>350</v>
      </c>
      <c r="B12098" t="s">
        <v>9645</v>
      </c>
      <c r="C12098" t="s">
        <v>88</v>
      </c>
      <c r="D12098" t="s">
        <v>88</v>
      </c>
      <c r="E12098" t="s">
        <v>917</v>
      </c>
      <c r="F12098" t="s">
        <v>88</v>
      </c>
      <c r="G12098" t="s">
        <v>88</v>
      </c>
      <c r="H12098" t="s">
        <v>92</v>
      </c>
    </row>
    <row r="12099" spans="1:8" x14ac:dyDescent="0.25">
      <c r="A12099" t="s">
        <v>350</v>
      </c>
      <c r="B12099" t="s">
        <v>9646</v>
      </c>
      <c r="C12099" t="s">
        <v>88</v>
      </c>
      <c r="D12099" t="s">
        <v>88</v>
      </c>
      <c r="E12099" t="s">
        <v>717</v>
      </c>
      <c r="F12099" t="s">
        <v>88</v>
      </c>
      <c r="G12099" t="s">
        <v>88</v>
      </c>
      <c r="H12099" t="s">
        <v>92</v>
      </c>
    </row>
    <row r="12100" spans="1:8" x14ac:dyDescent="0.25">
      <c r="A12100" t="s">
        <v>350</v>
      </c>
      <c r="B12100" t="s">
        <v>9647</v>
      </c>
      <c r="C12100" t="s">
        <v>88</v>
      </c>
      <c r="D12100" t="s">
        <v>88</v>
      </c>
      <c r="E12100" t="s">
        <v>717</v>
      </c>
      <c r="F12100" t="s">
        <v>88</v>
      </c>
      <c r="G12100" t="s">
        <v>88</v>
      </c>
      <c r="H12100" t="s">
        <v>92</v>
      </c>
    </row>
    <row r="12101" spans="1:8" x14ac:dyDescent="0.25">
      <c r="A12101" t="s">
        <v>350</v>
      </c>
      <c r="B12101" t="s">
        <v>9648</v>
      </c>
      <c r="C12101" t="s">
        <v>88</v>
      </c>
      <c r="D12101" t="s">
        <v>88</v>
      </c>
      <c r="E12101" t="s">
        <v>760</v>
      </c>
      <c r="F12101" t="s">
        <v>88</v>
      </c>
      <c r="G12101" t="s">
        <v>88</v>
      </c>
      <c r="H12101" t="s">
        <v>92</v>
      </c>
    </row>
    <row r="12102" spans="1:8" x14ac:dyDescent="0.25">
      <c r="A12102" t="s">
        <v>350</v>
      </c>
      <c r="B12102" t="s">
        <v>9649</v>
      </c>
      <c r="C12102" t="s">
        <v>88</v>
      </c>
      <c r="D12102" t="s">
        <v>88</v>
      </c>
      <c r="E12102" t="s">
        <v>825</v>
      </c>
      <c r="F12102" t="s">
        <v>88</v>
      </c>
      <c r="G12102" t="s">
        <v>88</v>
      </c>
      <c r="H12102" t="s">
        <v>92</v>
      </c>
    </row>
    <row r="12103" spans="1:8" x14ac:dyDescent="0.25">
      <c r="A12103" t="s">
        <v>350</v>
      </c>
      <c r="B12103" t="s">
        <v>9650</v>
      </c>
      <c r="C12103" t="s">
        <v>88</v>
      </c>
      <c r="D12103" t="s">
        <v>88</v>
      </c>
      <c r="E12103" t="s">
        <v>702</v>
      </c>
      <c r="F12103" t="s">
        <v>88</v>
      </c>
      <c r="G12103" t="s">
        <v>88</v>
      </c>
      <c r="H12103" t="s">
        <v>92</v>
      </c>
    </row>
    <row r="12104" spans="1:8" x14ac:dyDescent="0.25">
      <c r="A12104" t="s">
        <v>350</v>
      </c>
      <c r="B12104" t="s">
        <v>9651</v>
      </c>
      <c r="C12104" t="s">
        <v>88</v>
      </c>
      <c r="D12104" t="s">
        <v>88</v>
      </c>
      <c r="E12104" t="s">
        <v>702</v>
      </c>
      <c r="F12104" t="s">
        <v>88</v>
      </c>
      <c r="G12104" t="s">
        <v>88</v>
      </c>
      <c r="H12104" t="s">
        <v>92</v>
      </c>
    </row>
    <row r="12105" spans="1:8" x14ac:dyDescent="0.25">
      <c r="A12105" t="s">
        <v>350</v>
      </c>
      <c r="B12105" t="s">
        <v>9652</v>
      </c>
      <c r="C12105" t="s">
        <v>88</v>
      </c>
      <c r="D12105" t="s">
        <v>88</v>
      </c>
      <c r="E12105" t="s">
        <v>760</v>
      </c>
      <c r="F12105" t="s">
        <v>88</v>
      </c>
      <c r="G12105" t="s">
        <v>88</v>
      </c>
      <c r="H12105" t="s">
        <v>92</v>
      </c>
    </row>
    <row r="12106" spans="1:8" x14ac:dyDescent="0.25">
      <c r="A12106" t="s">
        <v>350</v>
      </c>
      <c r="B12106" t="s">
        <v>9653</v>
      </c>
      <c r="C12106" t="s">
        <v>88</v>
      </c>
      <c r="D12106" t="s">
        <v>88</v>
      </c>
      <c r="E12106" t="s">
        <v>732</v>
      </c>
      <c r="F12106" t="s">
        <v>88</v>
      </c>
      <c r="G12106" t="s">
        <v>88</v>
      </c>
      <c r="H12106" t="s">
        <v>92</v>
      </c>
    </row>
    <row r="12107" spans="1:8" x14ac:dyDescent="0.25">
      <c r="A12107" t="s">
        <v>352</v>
      </c>
      <c r="B12107" t="s">
        <v>3552</v>
      </c>
      <c r="C12107" t="s">
        <v>88</v>
      </c>
      <c r="D12107" t="s">
        <v>9654</v>
      </c>
      <c r="E12107" t="s">
        <v>825</v>
      </c>
      <c r="F12107" t="s">
        <v>88</v>
      </c>
      <c r="G12107" t="s">
        <v>88</v>
      </c>
      <c r="H12107" t="s">
        <v>92</v>
      </c>
    </row>
    <row r="12108" spans="1:8" x14ac:dyDescent="0.25">
      <c r="A12108" t="s">
        <v>352</v>
      </c>
      <c r="B12108" t="s">
        <v>3568</v>
      </c>
      <c r="C12108" t="s">
        <v>88</v>
      </c>
      <c r="D12108" t="s">
        <v>9654</v>
      </c>
      <c r="E12108" t="s">
        <v>825</v>
      </c>
      <c r="F12108" t="s">
        <v>88</v>
      </c>
      <c r="G12108" t="s">
        <v>88</v>
      </c>
      <c r="H12108" t="s">
        <v>92</v>
      </c>
    </row>
    <row r="12109" spans="1:8" x14ac:dyDescent="0.25">
      <c r="A12109" t="s">
        <v>352</v>
      </c>
      <c r="B12109" t="s">
        <v>1794</v>
      </c>
      <c r="C12109" t="s">
        <v>88</v>
      </c>
      <c r="D12109" t="s">
        <v>88</v>
      </c>
      <c r="E12109" t="s">
        <v>732</v>
      </c>
      <c r="F12109" t="s">
        <v>88</v>
      </c>
      <c r="G12109" t="s">
        <v>88</v>
      </c>
      <c r="H12109" t="s">
        <v>92</v>
      </c>
    </row>
    <row r="12110" spans="1:8" x14ac:dyDescent="0.25">
      <c r="A12110" t="s">
        <v>352</v>
      </c>
      <c r="B12110" t="s">
        <v>1237</v>
      </c>
      <c r="C12110" t="s">
        <v>88</v>
      </c>
      <c r="D12110" t="s">
        <v>2759</v>
      </c>
      <c r="E12110" t="s">
        <v>964</v>
      </c>
      <c r="F12110" t="s">
        <v>88</v>
      </c>
      <c r="G12110" t="s">
        <v>88</v>
      </c>
      <c r="H12110" t="s">
        <v>92</v>
      </c>
    </row>
    <row r="12111" spans="1:8" x14ac:dyDescent="0.25">
      <c r="A12111" t="s">
        <v>352</v>
      </c>
      <c r="B12111" t="s">
        <v>2413</v>
      </c>
      <c r="C12111" t="s">
        <v>88</v>
      </c>
      <c r="D12111" t="s">
        <v>88</v>
      </c>
      <c r="E12111" t="s">
        <v>732</v>
      </c>
      <c r="F12111" t="s">
        <v>88</v>
      </c>
      <c r="G12111" t="s">
        <v>88</v>
      </c>
      <c r="H12111" t="s">
        <v>92</v>
      </c>
    </row>
    <row r="12112" spans="1:8" x14ac:dyDescent="0.25">
      <c r="A12112" t="s">
        <v>352</v>
      </c>
      <c r="B12112" t="s">
        <v>9655</v>
      </c>
      <c r="C12112" t="s">
        <v>88</v>
      </c>
      <c r="D12112" t="s">
        <v>9656</v>
      </c>
      <c r="E12112" t="s">
        <v>721</v>
      </c>
      <c r="F12112" t="s">
        <v>88</v>
      </c>
      <c r="G12112" t="s">
        <v>88</v>
      </c>
      <c r="H12112" t="s">
        <v>92</v>
      </c>
    </row>
    <row r="12113" spans="1:8" x14ac:dyDescent="0.25">
      <c r="A12113" t="s">
        <v>352</v>
      </c>
      <c r="B12113" t="s">
        <v>9657</v>
      </c>
      <c r="C12113" t="s">
        <v>88</v>
      </c>
      <c r="D12113" t="s">
        <v>9658</v>
      </c>
      <c r="E12113" t="s">
        <v>676</v>
      </c>
      <c r="F12113" t="s">
        <v>88</v>
      </c>
      <c r="G12113" t="s">
        <v>88</v>
      </c>
      <c r="H12113" t="s">
        <v>92</v>
      </c>
    </row>
    <row r="12114" spans="1:8" x14ac:dyDescent="0.25">
      <c r="A12114" t="s">
        <v>352</v>
      </c>
      <c r="B12114" t="s">
        <v>9659</v>
      </c>
      <c r="C12114" t="s">
        <v>88</v>
      </c>
      <c r="D12114" t="s">
        <v>9660</v>
      </c>
      <c r="E12114" t="s">
        <v>964</v>
      </c>
      <c r="F12114" t="s">
        <v>88</v>
      </c>
      <c r="G12114" t="s">
        <v>88</v>
      </c>
      <c r="H12114" t="s">
        <v>92</v>
      </c>
    </row>
    <row r="12115" spans="1:8" x14ac:dyDescent="0.25">
      <c r="A12115" t="s">
        <v>352</v>
      </c>
      <c r="B12115" t="s">
        <v>9661</v>
      </c>
      <c r="C12115" t="s">
        <v>88</v>
      </c>
      <c r="D12115" t="s">
        <v>9662</v>
      </c>
      <c r="E12115" t="s">
        <v>825</v>
      </c>
      <c r="F12115" t="s">
        <v>88</v>
      </c>
      <c r="G12115" t="s">
        <v>88</v>
      </c>
      <c r="H12115" t="s">
        <v>92</v>
      </c>
    </row>
    <row r="12116" spans="1:8" x14ac:dyDescent="0.25">
      <c r="A12116" t="s">
        <v>352</v>
      </c>
      <c r="B12116" t="s">
        <v>9663</v>
      </c>
      <c r="C12116" t="s">
        <v>88</v>
      </c>
      <c r="D12116" t="s">
        <v>9664</v>
      </c>
      <c r="E12116" t="s">
        <v>825</v>
      </c>
      <c r="F12116" t="s">
        <v>88</v>
      </c>
      <c r="G12116" t="s">
        <v>88</v>
      </c>
      <c r="H12116" t="s">
        <v>92</v>
      </c>
    </row>
    <row r="12117" spans="1:8" x14ac:dyDescent="0.25">
      <c r="A12117" t="s">
        <v>352</v>
      </c>
      <c r="B12117" t="s">
        <v>9665</v>
      </c>
      <c r="C12117" t="s">
        <v>88</v>
      </c>
      <c r="D12117" t="s">
        <v>9664</v>
      </c>
      <c r="E12117" t="s">
        <v>844</v>
      </c>
      <c r="F12117" t="s">
        <v>88</v>
      </c>
      <c r="G12117" t="s">
        <v>88</v>
      </c>
      <c r="H12117" t="s">
        <v>92</v>
      </c>
    </row>
    <row r="12118" spans="1:8" x14ac:dyDescent="0.25">
      <c r="A12118" t="s">
        <v>352</v>
      </c>
      <c r="B12118" t="s">
        <v>9666</v>
      </c>
      <c r="C12118" t="s">
        <v>88</v>
      </c>
      <c r="D12118" t="s">
        <v>9667</v>
      </c>
      <c r="E12118" t="s">
        <v>663</v>
      </c>
      <c r="F12118" t="s">
        <v>88</v>
      </c>
      <c r="G12118" t="s">
        <v>88</v>
      </c>
      <c r="H12118" t="s">
        <v>92</v>
      </c>
    </row>
    <row r="12119" spans="1:8" x14ac:dyDescent="0.25">
      <c r="A12119" t="s">
        <v>352</v>
      </c>
      <c r="B12119" t="s">
        <v>2413</v>
      </c>
      <c r="C12119" t="s">
        <v>88</v>
      </c>
      <c r="D12119" t="s">
        <v>88</v>
      </c>
      <c r="E12119" t="s">
        <v>732</v>
      </c>
      <c r="F12119" t="s">
        <v>88</v>
      </c>
      <c r="G12119" t="s">
        <v>88</v>
      </c>
      <c r="H12119" t="s">
        <v>92</v>
      </c>
    </row>
    <row r="12120" spans="1:8" x14ac:dyDescent="0.25">
      <c r="A12120" t="s">
        <v>352</v>
      </c>
      <c r="B12120" t="s">
        <v>1794</v>
      </c>
      <c r="C12120" t="s">
        <v>88</v>
      </c>
      <c r="D12120" t="s">
        <v>88</v>
      </c>
      <c r="E12120" t="s">
        <v>732</v>
      </c>
      <c r="F12120" t="s">
        <v>88</v>
      </c>
      <c r="G12120" t="s">
        <v>88</v>
      </c>
      <c r="H12120" t="s">
        <v>92</v>
      </c>
    </row>
    <row r="12121" spans="1:8" x14ac:dyDescent="0.25">
      <c r="A12121" t="s">
        <v>352</v>
      </c>
      <c r="B12121" t="s">
        <v>9668</v>
      </c>
      <c r="C12121" t="s">
        <v>88</v>
      </c>
      <c r="D12121" t="s">
        <v>88</v>
      </c>
      <c r="E12121" t="s">
        <v>734</v>
      </c>
      <c r="F12121" t="s">
        <v>88</v>
      </c>
      <c r="G12121" t="s">
        <v>88</v>
      </c>
      <c r="H12121" t="s">
        <v>92</v>
      </c>
    </row>
    <row r="12122" spans="1:8" x14ac:dyDescent="0.25">
      <c r="A12122" t="s">
        <v>352</v>
      </c>
      <c r="B12122" t="s">
        <v>714</v>
      </c>
      <c r="C12122" t="s">
        <v>88</v>
      </c>
      <c r="D12122" t="s">
        <v>88</v>
      </c>
      <c r="E12122" t="s">
        <v>732</v>
      </c>
      <c r="F12122" t="s">
        <v>88</v>
      </c>
      <c r="G12122" t="s">
        <v>88</v>
      </c>
      <c r="H12122" t="s">
        <v>92</v>
      </c>
    </row>
    <row r="12123" spans="1:8" x14ac:dyDescent="0.25">
      <c r="A12123" t="s">
        <v>352</v>
      </c>
      <c r="B12123" t="s">
        <v>998</v>
      </c>
      <c r="C12123" t="s">
        <v>88</v>
      </c>
      <c r="D12123" t="s">
        <v>88</v>
      </c>
      <c r="E12123" t="s">
        <v>732</v>
      </c>
      <c r="F12123" t="s">
        <v>88</v>
      </c>
      <c r="G12123" t="s">
        <v>88</v>
      </c>
      <c r="H12123" t="s">
        <v>92</v>
      </c>
    </row>
    <row r="12124" spans="1:8" x14ac:dyDescent="0.25">
      <c r="A12124" t="s">
        <v>352</v>
      </c>
      <c r="B12124" t="s">
        <v>851</v>
      </c>
      <c r="C12124" t="s">
        <v>88</v>
      </c>
      <c r="D12124" t="s">
        <v>88</v>
      </c>
      <c r="E12124" t="s">
        <v>791</v>
      </c>
      <c r="F12124" t="s">
        <v>88</v>
      </c>
      <c r="G12124" t="s">
        <v>88</v>
      </c>
      <c r="H12124" t="s">
        <v>92</v>
      </c>
    </row>
    <row r="12125" spans="1:8" x14ac:dyDescent="0.25">
      <c r="A12125" t="s">
        <v>352</v>
      </c>
      <c r="B12125" t="s">
        <v>9669</v>
      </c>
      <c r="C12125" t="s">
        <v>88</v>
      </c>
      <c r="D12125" t="s">
        <v>9660</v>
      </c>
      <c r="E12125" t="s">
        <v>844</v>
      </c>
      <c r="F12125" t="s">
        <v>88</v>
      </c>
      <c r="G12125" t="s">
        <v>88</v>
      </c>
      <c r="H12125" t="s">
        <v>92</v>
      </c>
    </row>
    <row r="12126" spans="1:8" x14ac:dyDescent="0.25">
      <c r="A12126" t="s">
        <v>352</v>
      </c>
      <c r="B12126" t="s">
        <v>9670</v>
      </c>
      <c r="C12126" t="s">
        <v>88</v>
      </c>
      <c r="D12126" t="s">
        <v>9654</v>
      </c>
      <c r="E12126" t="s">
        <v>1153</v>
      </c>
      <c r="F12126" t="s">
        <v>88</v>
      </c>
      <c r="G12126" t="s">
        <v>88</v>
      </c>
      <c r="H12126" t="s">
        <v>92</v>
      </c>
    </row>
    <row r="12127" spans="1:8" x14ac:dyDescent="0.25">
      <c r="A12127" t="s">
        <v>352</v>
      </c>
      <c r="B12127" t="s">
        <v>9671</v>
      </c>
      <c r="C12127" t="s">
        <v>88</v>
      </c>
      <c r="D12127" t="s">
        <v>9660</v>
      </c>
      <c r="E12127" t="s">
        <v>655</v>
      </c>
      <c r="F12127" t="s">
        <v>88</v>
      </c>
      <c r="G12127" t="s">
        <v>88</v>
      </c>
      <c r="H12127" t="s">
        <v>92</v>
      </c>
    </row>
    <row r="12128" spans="1:8" x14ac:dyDescent="0.25">
      <c r="A12128" t="s">
        <v>352</v>
      </c>
      <c r="B12128" t="s">
        <v>9672</v>
      </c>
      <c r="C12128" t="s">
        <v>88</v>
      </c>
      <c r="D12128" t="s">
        <v>9654</v>
      </c>
      <c r="E12128" t="s">
        <v>825</v>
      </c>
      <c r="F12128" t="s">
        <v>88</v>
      </c>
      <c r="G12128" t="s">
        <v>88</v>
      </c>
      <c r="H12128" t="s">
        <v>92</v>
      </c>
    </row>
    <row r="12129" spans="1:8" x14ac:dyDescent="0.25">
      <c r="A12129" t="s">
        <v>352</v>
      </c>
      <c r="B12129" t="s">
        <v>9673</v>
      </c>
      <c r="C12129" t="s">
        <v>88</v>
      </c>
      <c r="D12129" t="s">
        <v>9660</v>
      </c>
      <c r="E12129" t="s">
        <v>655</v>
      </c>
      <c r="F12129" t="s">
        <v>88</v>
      </c>
      <c r="G12129" t="s">
        <v>88</v>
      </c>
      <c r="H12129" t="s">
        <v>92</v>
      </c>
    </row>
    <row r="12130" spans="1:8" x14ac:dyDescent="0.25">
      <c r="A12130" t="s">
        <v>352</v>
      </c>
      <c r="B12130" t="s">
        <v>9674</v>
      </c>
      <c r="C12130" t="s">
        <v>88</v>
      </c>
      <c r="D12130" t="s">
        <v>9660</v>
      </c>
      <c r="E12130" t="s">
        <v>655</v>
      </c>
      <c r="F12130" t="s">
        <v>88</v>
      </c>
      <c r="G12130" t="s">
        <v>88</v>
      </c>
      <c r="H12130" t="s">
        <v>92</v>
      </c>
    </row>
    <row r="12131" spans="1:8" x14ac:dyDescent="0.25">
      <c r="A12131" t="s">
        <v>352</v>
      </c>
      <c r="B12131" t="s">
        <v>9675</v>
      </c>
      <c r="C12131" t="s">
        <v>88</v>
      </c>
      <c r="D12131" t="s">
        <v>9660</v>
      </c>
      <c r="E12131" t="s">
        <v>844</v>
      </c>
      <c r="F12131" t="s">
        <v>88</v>
      </c>
      <c r="G12131" t="s">
        <v>88</v>
      </c>
      <c r="H12131" t="s">
        <v>92</v>
      </c>
    </row>
    <row r="12132" spans="1:8" x14ac:dyDescent="0.25">
      <c r="A12132" t="s">
        <v>352</v>
      </c>
      <c r="B12132" t="s">
        <v>3552</v>
      </c>
      <c r="C12132" t="s">
        <v>88</v>
      </c>
      <c r="D12132" t="s">
        <v>9654</v>
      </c>
      <c r="E12132" t="s">
        <v>825</v>
      </c>
      <c r="F12132" t="s">
        <v>88</v>
      </c>
      <c r="G12132" t="s">
        <v>88</v>
      </c>
      <c r="H12132" t="s">
        <v>92</v>
      </c>
    </row>
    <row r="12133" spans="1:8" x14ac:dyDescent="0.25">
      <c r="A12133" t="s">
        <v>352</v>
      </c>
      <c r="B12133" t="s">
        <v>3568</v>
      </c>
      <c r="C12133" t="s">
        <v>88</v>
      </c>
      <c r="D12133" t="s">
        <v>9654</v>
      </c>
      <c r="E12133" t="s">
        <v>825</v>
      </c>
      <c r="F12133" t="s">
        <v>88</v>
      </c>
      <c r="G12133" t="s">
        <v>88</v>
      </c>
      <c r="H12133" t="s">
        <v>92</v>
      </c>
    </row>
    <row r="12134" spans="1:8" x14ac:dyDescent="0.25">
      <c r="A12134" t="s">
        <v>352</v>
      </c>
      <c r="B12134" t="s">
        <v>9676</v>
      </c>
      <c r="C12134" t="s">
        <v>88</v>
      </c>
      <c r="D12134" t="s">
        <v>9654</v>
      </c>
      <c r="E12134" t="s">
        <v>1153</v>
      </c>
      <c r="F12134" t="s">
        <v>88</v>
      </c>
      <c r="G12134" t="s">
        <v>88</v>
      </c>
      <c r="H12134" t="s">
        <v>92</v>
      </c>
    </row>
    <row r="12135" spans="1:8" x14ac:dyDescent="0.25">
      <c r="A12135" t="s">
        <v>352</v>
      </c>
      <c r="B12135" t="s">
        <v>9677</v>
      </c>
      <c r="C12135" t="s">
        <v>88</v>
      </c>
      <c r="D12135" t="s">
        <v>9678</v>
      </c>
      <c r="E12135" t="s">
        <v>700</v>
      </c>
      <c r="F12135" t="s">
        <v>88</v>
      </c>
      <c r="G12135" t="s">
        <v>88</v>
      </c>
      <c r="H12135" t="s">
        <v>92</v>
      </c>
    </row>
    <row r="12136" spans="1:8" x14ac:dyDescent="0.25">
      <c r="A12136" t="s">
        <v>352</v>
      </c>
      <c r="B12136" t="s">
        <v>9679</v>
      </c>
      <c r="C12136" t="s">
        <v>88</v>
      </c>
      <c r="D12136" t="s">
        <v>9678</v>
      </c>
      <c r="E12136" t="s">
        <v>700</v>
      </c>
      <c r="F12136" t="s">
        <v>88</v>
      </c>
      <c r="G12136" t="s">
        <v>88</v>
      </c>
      <c r="H12136" t="s">
        <v>92</v>
      </c>
    </row>
    <row r="12137" spans="1:8" x14ac:dyDescent="0.25">
      <c r="A12137" t="s">
        <v>352</v>
      </c>
      <c r="B12137" t="s">
        <v>9680</v>
      </c>
      <c r="C12137" t="s">
        <v>88</v>
      </c>
      <c r="D12137" t="s">
        <v>2759</v>
      </c>
      <c r="E12137" t="s">
        <v>1068</v>
      </c>
      <c r="F12137" t="s">
        <v>88</v>
      </c>
      <c r="G12137" t="s">
        <v>88</v>
      </c>
      <c r="H12137" t="s">
        <v>92</v>
      </c>
    </row>
    <row r="12138" spans="1:8" x14ac:dyDescent="0.25">
      <c r="A12138" t="s">
        <v>352</v>
      </c>
      <c r="B12138" t="s">
        <v>1237</v>
      </c>
      <c r="C12138" t="s">
        <v>88</v>
      </c>
      <c r="D12138" t="s">
        <v>2759</v>
      </c>
      <c r="E12138" t="s">
        <v>964</v>
      </c>
      <c r="F12138" t="s">
        <v>88</v>
      </c>
      <c r="G12138" t="s">
        <v>88</v>
      </c>
      <c r="H12138" t="s">
        <v>92</v>
      </c>
    </row>
    <row r="12139" spans="1:8" x14ac:dyDescent="0.25">
      <c r="A12139" t="s">
        <v>352</v>
      </c>
      <c r="B12139" t="s">
        <v>1234</v>
      </c>
      <c r="C12139" t="s">
        <v>88</v>
      </c>
      <c r="D12139" t="s">
        <v>2759</v>
      </c>
      <c r="E12139" t="s">
        <v>964</v>
      </c>
      <c r="F12139" t="s">
        <v>88</v>
      </c>
      <c r="G12139" t="s">
        <v>88</v>
      </c>
      <c r="H12139" t="s">
        <v>92</v>
      </c>
    </row>
    <row r="12140" spans="1:8" x14ac:dyDescent="0.25">
      <c r="A12140" t="s">
        <v>352</v>
      </c>
      <c r="B12140" t="s">
        <v>625</v>
      </c>
      <c r="C12140" t="s">
        <v>88</v>
      </c>
      <c r="D12140" t="s">
        <v>88</v>
      </c>
      <c r="E12140" t="s">
        <v>626</v>
      </c>
      <c r="F12140" t="s">
        <v>88</v>
      </c>
      <c r="G12140" t="s">
        <v>88</v>
      </c>
      <c r="H12140" t="s">
        <v>92</v>
      </c>
    </row>
    <row r="12141" spans="1:8" x14ac:dyDescent="0.25">
      <c r="A12141" t="s">
        <v>354</v>
      </c>
      <c r="B12141" t="s">
        <v>2021</v>
      </c>
      <c r="C12141" t="s">
        <v>88</v>
      </c>
      <c r="D12141" t="s">
        <v>1729</v>
      </c>
      <c r="E12141" t="s">
        <v>799</v>
      </c>
      <c r="F12141" t="s">
        <v>88</v>
      </c>
      <c r="G12141" t="s">
        <v>88</v>
      </c>
      <c r="H12141" t="s">
        <v>92</v>
      </c>
    </row>
    <row r="12142" spans="1:8" x14ac:dyDescent="0.25">
      <c r="A12142" t="s">
        <v>354</v>
      </c>
      <c r="B12142" t="s">
        <v>4860</v>
      </c>
      <c r="C12142" t="s">
        <v>88</v>
      </c>
      <c r="D12142" t="s">
        <v>9681</v>
      </c>
      <c r="E12142" t="s">
        <v>760</v>
      </c>
      <c r="F12142" t="s">
        <v>88</v>
      </c>
      <c r="G12142" t="s">
        <v>88</v>
      </c>
      <c r="H12142" t="s">
        <v>92</v>
      </c>
    </row>
    <row r="12143" spans="1:8" x14ac:dyDescent="0.25">
      <c r="A12143" t="s">
        <v>354</v>
      </c>
      <c r="B12143" t="s">
        <v>736</v>
      </c>
      <c r="C12143" t="s">
        <v>88</v>
      </c>
      <c r="D12143" t="s">
        <v>737</v>
      </c>
      <c r="E12143" t="s">
        <v>663</v>
      </c>
      <c r="F12143" t="s">
        <v>88</v>
      </c>
      <c r="G12143" t="s">
        <v>88</v>
      </c>
      <c r="H12143" t="s">
        <v>92</v>
      </c>
    </row>
    <row r="12144" spans="1:8" x14ac:dyDescent="0.25">
      <c r="A12144" t="s">
        <v>354</v>
      </c>
      <c r="B12144" t="s">
        <v>895</v>
      </c>
      <c r="C12144" t="s">
        <v>88</v>
      </c>
      <c r="D12144" t="s">
        <v>9682</v>
      </c>
      <c r="E12144" t="s">
        <v>1241</v>
      </c>
      <c r="F12144" t="s">
        <v>88</v>
      </c>
      <c r="G12144" t="s">
        <v>88</v>
      </c>
      <c r="H12144" t="s">
        <v>92</v>
      </c>
    </row>
    <row r="12145" spans="1:8" x14ac:dyDescent="0.25">
      <c r="A12145" t="s">
        <v>354</v>
      </c>
      <c r="B12145" t="s">
        <v>1380</v>
      </c>
      <c r="C12145" t="s">
        <v>88</v>
      </c>
      <c r="D12145" t="s">
        <v>9683</v>
      </c>
      <c r="E12145" t="s">
        <v>1241</v>
      </c>
      <c r="F12145" t="s">
        <v>88</v>
      </c>
      <c r="G12145" t="s">
        <v>88</v>
      </c>
      <c r="H12145" t="s">
        <v>92</v>
      </c>
    </row>
    <row r="12146" spans="1:8" x14ac:dyDescent="0.25">
      <c r="A12146" t="s">
        <v>354</v>
      </c>
      <c r="B12146" t="s">
        <v>884</v>
      </c>
      <c r="C12146" t="s">
        <v>88</v>
      </c>
      <c r="D12146" t="s">
        <v>885</v>
      </c>
      <c r="E12146" t="s">
        <v>9684</v>
      </c>
      <c r="F12146" t="s">
        <v>88</v>
      </c>
      <c r="G12146" t="s">
        <v>88</v>
      </c>
      <c r="H12146" t="s">
        <v>92</v>
      </c>
    </row>
    <row r="12147" spans="1:8" x14ac:dyDescent="0.25">
      <c r="A12147" t="s">
        <v>354</v>
      </c>
      <c r="B12147" t="s">
        <v>9685</v>
      </c>
      <c r="C12147" t="s">
        <v>88</v>
      </c>
      <c r="D12147" t="s">
        <v>9686</v>
      </c>
      <c r="E12147" t="s">
        <v>893</v>
      </c>
      <c r="F12147" t="s">
        <v>88</v>
      </c>
      <c r="G12147" t="s">
        <v>88</v>
      </c>
      <c r="H12147" t="s">
        <v>92</v>
      </c>
    </row>
    <row r="12148" spans="1:8" x14ac:dyDescent="0.25">
      <c r="A12148" t="s">
        <v>354</v>
      </c>
      <c r="B12148" t="s">
        <v>4860</v>
      </c>
      <c r="C12148" t="s">
        <v>88</v>
      </c>
      <c r="D12148" t="s">
        <v>9681</v>
      </c>
      <c r="E12148" t="s">
        <v>760</v>
      </c>
      <c r="F12148" t="s">
        <v>88</v>
      </c>
      <c r="G12148" t="s">
        <v>88</v>
      </c>
      <c r="H12148" t="s">
        <v>92</v>
      </c>
    </row>
    <row r="12149" spans="1:8" x14ac:dyDescent="0.25">
      <c r="A12149" t="s">
        <v>354</v>
      </c>
      <c r="B12149" t="s">
        <v>9687</v>
      </c>
      <c r="C12149" t="s">
        <v>88</v>
      </c>
      <c r="D12149" t="s">
        <v>9688</v>
      </c>
      <c r="E12149" t="s">
        <v>1282</v>
      </c>
      <c r="F12149" t="s">
        <v>88</v>
      </c>
      <c r="G12149" t="s">
        <v>88</v>
      </c>
      <c r="H12149" t="s">
        <v>92</v>
      </c>
    </row>
    <row r="12150" spans="1:8" x14ac:dyDescent="0.25">
      <c r="A12150" t="s">
        <v>354</v>
      </c>
      <c r="B12150" t="s">
        <v>2021</v>
      </c>
      <c r="C12150" t="s">
        <v>88</v>
      </c>
      <c r="D12150" t="s">
        <v>1729</v>
      </c>
      <c r="E12150" t="s">
        <v>799</v>
      </c>
      <c r="F12150" t="s">
        <v>88</v>
      </c>
      <c r="G12150" t="s">
        <v>88</v>
      </c>
      <c r="H12150" t="s">
        <v>92</v>
      </c>
    </row>
    <row r="12151" spans="1:8" x14ac:dyDescent="0.25">
      <c r="A12151" t="s">
        <v>354</v>
      </c>
      <c r="B12151" t="s">
        <v>9689</v>
      </c>
      <c r="C12151" t="s">
        <v>88</v>
      </c>
      <c r="D12151" t="s">
        <v>9682</v>
      </c>
      <c r="E12151" t="s">
        <v>762</v>
      </c>
      <c r="F12151" t="s">
        <v>88</v>
      </c>
      <c r="G12151" t="s">
        <v>88</v>
      </c>
      <c r="H12151" t="s">
        <v>92</v>
      </c>
    </row>
    <row r="12152" spans="1:8" x14ac:dyDescent="0.25">
      <c r="A12152" t="s">
        <v>354</v>
      </c>
      <c r="B12152" t="s">
        <v>1380</v>
      </c>
      <c r="C12152" t="s">
        <v>88</v>
      </c>
      <c r="D12152" t="s">
        <v>9683</v>
      </c>
      <c r="E12152" t="s">
        <v>1241</v>
      </c>
      <c r="F12152" t="s">
        <v>88</v>
      </c>
      <c r="G12152" t="s">
        <v>88</v>
      </c>
      <c r="H12152" t="s">
        <v>92</v>
      </c>
    </row>
    <row r="12153" spans="1:8" x14ac:dyDescent="0.25">
      <c r="A12153" t="s">
        <v>354</v>
      </c>
      <c r="B12153" t="s">
        <v>890</v>
      </c>
      <c r="C12153" t="s">
        <v>88</v>
      </c>
      <c r="D12153" t="s">
        <v>9682</v>
      </c>
      <c r="E12153" t="s">
        <v>700</v>
      </c>
      <c r="F12153" t="s">
        <v>88</v>
      </c>
      <c r="G12153" t="s">
        <v>88</v>
      </c>
      <c r="H12153" t="s">
        <v>92</v>
      </c>
    </row>
    <row r="12154" spans="1:8" x14ac:dyDescent="0.25">
      <c r="A12154" t="s">
        <v>354</v>
      </c>
      <c r="B12154" t="s">
        <v>891</v>
      </c>
      <c r="C12154" t="s">
        <v>88</v>
      </c>
      <c r="D12154" t="s">
        <v>9682</v>
      </c>
      <c r="E12154" t="s">
        <v>717</v>
      </c>
      <c r="F12154" t="s">
        <v>88</v>
      </c>
      <c r="G12154" t="s">
        <v>88</v>
      </c>
      <c r="H12154" t="s">
        <v>92</v>
      </c>
    </row>
    <row r="12155" spans="1:8" x14ac:dyDescent="0.25">
      <c r="A12155" t="s">
        <v>354</v>
      </c>
      <c r="B12155" t="s">
        <v>2026</v>
      </c>
      <c r="C12155" t="s">
        <v>88</v>
      </c>
      <c r="D12155" t="s">
        <v>9682</v>
      </c>
      <c r="E12155" t="s">
        <v>655</v>
      </c>
      <c r="F12155" t="s">
        <v>88</v>
      </c>
      <c r="G12155" t="s">
        <v>88</v>
      </c>
      <c r="H12155" t="s">
        <v>92</v>
      </c>
    </row>
    <row r="12156" spans="1:8" x14ac:dyDescent="0.25">
      <c r="A12156" t="s">
        <v>354</v>
      </c>
      <c r="B12156" t="s">
        <v>895</v>
      </c>
      <c r="C12156" t="s">
        <v>88</v>
      </c>
      <c r="D12156" t="s">
        <v>9682</v>
      </c>
      <c r="E12156" t="s">
        <v>1241</v>
      </c>
      <c r="F12156" t="s">
        <v>88</v>
      </c>
      <c r="G12156" t="s">
        <v>88</v>
      </c>
      <c r="H12156" t="s">
        <v>92</v>
      </c>
    </row>
    <row r="12157" spans="1:8" x14ac:dyDescent="0.25">
      <c r="A12157" t="s">
        <v>354</v>
      </c>
      <c r="B12157" t="s">
        <v>2025</v>
      </c>
      <c r="C12157" t="s">
        <v>88</v>
      </c>
      <c r="D12157" t="s">
        <v>9682</v>
      </c>
      <c r="E12157" t="s">
        <v>700</v>
      </c>
      <c r="F12157" t="s">
        <v>88</v>
      </c>
      <c r="G12157" t="s">
        <v>88</v>
      </c>
      <c r="H12157" t="s">
        <v>92</v>
      </c>
    </row>
    <row r="12158" spans="1:8" x14ac:dyDescent="0.25">
      <c r="A12158" t="s">
        <v>354</v>
      </c>
      <c r="B12158" t="s">
        <v>876</v>
      </c>
      <c r="C12158" t="s">
        <v>88</v>
      </c>
      <c r="D12158" t="s">
        <v>9690</v>
      </c>
      <c r="E12158" t="s">
        <v>692</v>
      </c>
      <c r="F12158" t="s">
        <v>88</v>
      </c>
      <c r="G12158" t="s">
        <v>88</v>
      </c>
      <c r="H12158" t="s">
        <v>92</v>
      </c>
    </row>
    <row r="12159" spans="1:8" x14ac:dyDescent="0.25">
      <c r="A12159" t="s">
        <v>354</v>
      </c>
      <c r="B12159" t="s">
        <v>759</v>
      </c>
      <c r="C12159" t="s">
        <v>88</v>
      </c>
      <c r="D12159" t="s">
        <v>9690</v>
      </c>
      <c r="E12159" t="s">
        <v>1006</v>
      </c>
      <c r="F12159" t="s">
        <v>88</v>
      </c>
      <c r="G12159" t="s">
        <v>88</v>
      </c>
      <c r="H12159" t="s">
        <v>92</v>
      </c>
    </row>
    <row r="12160" spans="1:8" x14ac:dyDescent="0.25">
      <c r="A12160" t="s">
        <v>354</v>
      </c>
      <c r="B12160" t="s">
        <v>1677</v>
      </c>
      <c r="C12160" t="s">
        <v>88</v>
      </c>
      <c r="D12160" t="s">
        <v>9691</v>
      </c>
      <c r="E12160" t="s">
        <v>692</v>
      </c>
      <c r="F12160" t="s">
        <v>88</v>
      </c>
      <c r="G12160" t="s">
        <v>88</v>
      </c>
      <c r="H12160" t="s">
        <v>92</v>
      </c>
    </row>
    <row r="12161" spans="1:8" x14ac:dyDescent="0.25">
      <c r="A12161" t="s">
        <v>354</v>
      </c>
      <c r="B12161" t="s">
        <v>905</v>
      </c>
      <c r="C12161" t="s">
        <v>88</v>
      </c>
      <c r="D12161" t="s">
        <v>9690</v>
      </c>
      <c r="E12161" t="s">
        <v>1353</v>
      </c>
      <c r="F12161" t="s">
        <v>88</v>
      </c>
      <c r="G12161" t="s">
        <v>88</v>
      </c>
      <c r="H12161" t="s">
        <v>92</v>
      </c>
    </row>
    <row r="12162" spans="1:8" x14ac:dyDescent="0.25">
      <c r="A12162" t="s">
        <v>354</v>
      </c>
      <c r="B12162" t="s">
        <v>3196</v>
      </c>
      <c r="C12162" t="s">
        <v>88</v>
      </c>
      <c r="D12162" t="s">
        <v>9692</v>
      </c>
      <c r="E12162" t="s">
        <v>676</v>
      </c>
      <c r="F12162" t="s">
        <v>88</v>
      </c>
      <c r="G12162" t="s">
        <v>88</v>
      </c>
      <c r="H12162" t="s">
        <v>92</v>
      </c>
    </row>
    <row r="12163" spans="1:8" x14ac:dyDescent="0.25">
      <c r="A12163" t="s">
        <v>354</v>
      </c>
      <c r="B12163" t="s">
        <v>764</v>
      </c>
      <c r="C12163" t="s">
        <v>88</v>
      </c>
      <c r="D12163" t="s">
        <v>9690</v>
      </c>
      <c r="E12163" t="s">
        <v>692</v>
      </c>
      <c r="F12163" t="s">
        <v>88</v>
      </c>
      <c r="G12163" t="s">
        <v>88</v>
      </c>
      <c r="H12163" t="s">
        <v>92</v>
      </c>
    </row>
    <row r="12164" spans="1:8" x14ac:dyDescent="0.25">
      <c r="A12164" t="s">
        <v>354</v>
      </c>
      <c r="B12164" t="s">
        <v>740</v>
      </c>
      <c r="C12164" t="s">
        <v>88</v>
      </c>
      <c r="D12164" t="s">
        <v>9690</v>
      </c>
      <c r="E12164" t="s">
        <v>692</v>
      </c>
      <c r="F12164" t="s">
        <v>88</v>
      </c>
      <c r="G12164" t="s">
        <v>88</v>
      </c>
      <c r="H12164" t="s">
        <v>92</v>
      </c>
    </row>
    <row r="12165" spans="1:8" x14ac:dyDescent="0.25">
      <c r="A12165" t="s">
        <v>354</v>
      </c>
      <c r="B12165" t="s">
        <v>769</v>
      </c>
      <c r="C12165" t="s">
        <v>88</v>
      </c>
      <c r="D12165" t="s">
        <v>9693</v>
      </c>
      <c r="E12165" t="s">
        <v>814</v>
      </c>
      <c r="F12165" t="s">
        <v>88</v>
      </c>
      <c r="G12165" t="s">
        <v>88</v>
      </c>
      <c r="H12165" t="s">
        <v>92</v>
      </c>
    </row>
    <row r="12166" spans="1:8" x14ac:dyDescent="0.25">
      <c r="A12166" t="s">
        <v>354</v>
      </c>
      <c r="B12166" t="s">
        <v>736</v>
      </c>
      <c r="C12166" t="s">
        <v>88</v>
      </c>
      <c r="D12166" t="s">
        <v>737</v>
      </c>
      <c r="E12166" t="s">
        <v>663</v>
      </c>
      <c r="F12166" t="s">
        <v>88</v>
      </c>
      <c r="G12166" t="s">
        <v>88</v>
      </c>
      <c r="H12166" t="s">
        <v>92</v>
      </c>
    </row>
    <row r="12167" spans="1:8" x14ac:dyDescent="0.25">
      <c r="A12167" t="s">
        <v>354</v>
      </c>
      <c r="B12167" t="s">
        <v>1395</v>
      </c>
      <c r="C12167" t="s">
        <v>88</v>
      </c>
      <c r="D12167" t="s">
        <v>9694</v>
      </c>
      <c r="E12167" t="s">
        <v>663</v>
      </c>
      <c r="F12167" t="s">
        <v>88</v>
      </c>
      <c r="G12167" t="s">
        <v>88</v>
      </c>
      <c r="H12167" t="s">
        <v>92</v>
      </c>
    </row>
    <row r="12168" spans="1:8" x14ac:dyDescent="0.25">
      <c r="A12168" t="s">
        <v>354</v>
      </c>
      <c r="B12168" t="s">
        <v>739</v>
      </c>
      <c r="C12168" t="s">
        <v>88</v>
      </c>
      <c r="D12168" t="s">
        <v>737</v>
      </c>
      <c r="E12168" t="s">
        <v>721</v>
      </c>
      <c r="F12168" t="s">
        <v>88</v>
      </c>
      <c r="G12168" t="s">
        <v>88</v>
      </c>
      <c r="H12168" t="s">
        <v>92</v>
      </c>
    </row>
    <row r="12169" spans="1:8" x14ac:dyDescent="0.25">
      <c r="A12169" t="s">
        <v>354</v>
      </c>
      <c r="B12169" t="s">
        <v>3197</v>
      </c>
      <c r="C12169" t="s">
        <v>88</v>
      </c>
      <c r="D12169" t="s">
        <v>737</v>
      </c>
      <c r="E12169" t="s">
        <v>658</v>
      </c>
      <c r="F12169" t="s">
        <v>88</v>
      </c>
      <c r="G12169" t="s">
        <v>88</v>
      </c>
      <c r="H12169" t="s">
        <v>92</v>
      </c>
    </row>
    <row r="12170" spans="1:8" x14ac:dyDescent="0.25">
      <c r="A12170" t="s">
        <v>354</v>
      </c>
      <c r="B12170" t="s">
        <v>1072</v>
      </c>
      <c r="C12170" t="s">
        <v>88</v>
      </c>
      <c r="D12170" t="s">
        <v>88</v>
      </c>
      <c r="E12170" t="s">
        <v>702</v>
      </c>
      <c r="F12170" t="s">
        <v>88</v>
      </c>
      <c r="G12170" t="s">
        <v>88</v>
      </c>
      <c r="H12170" t="s">
        <v>92</v>
      </c>
    </row>
    <row r="12171" spans="1:8" x14ac:dyDescent="0.25">
      <c r="A12171" t="s">
        <v>354</v>
      </c>
      <c r="B12171" t="s">
        <v>701</v>
      </c>
      <c r="C12171" t="s">
        <v>88</v>
      </c>
      <c r="D12171" t="s">
        <v>88</v>
      </c>
      <c r="E12171" t="s">
        <v>702</v>
      </c>
      <c r="F12171" t="s">
        <v>88</v>
      </c>
      <c r="G12171" t="s">
        <v>88</v>
      </c>
      <c r="H12171" t="s">
        <v>92</v>
      </c>
    </row>
    <row r="12172" spans="1:8" x14ac:dyDescent="0.25">
      <c r="A12172" t="s">
        <v>354</v>
      </c>
      <c r="B12172" t="s">
        <v>705</v>
      </c>
      <c r="C12172" t="s">
        <v>88</v>
      </c>
      <c r="D12172" t="s">
        <v>88</v>
      </c>
      <c r="E12172" t="s">
        <v>702</v>
      </c>
      <c r="F12172" t="s">
        <v>88</v>
      </c>
      <c r="G12172" t="s">
        <v>88</v>
      </c>
      <c r="H12172" t="s">
        <v>92</v>
      </c>
    </row>
    <row r="12173" spans="1:8" x14ac:dyDescent="0.25">
      <c r="A12173" t="s">
        <v>354</v>
      </c>
      <c r="B12173" t="s">
        <v>706</v>
      </c>
      <c r="C12173" t="s">
        <v>88</v>
      </c>
      <c r="D12173" t="s">
        <v>88</v>
      </c>
      <c r="E12173" t="s">
        <v>702</v>
      </c>
      <c r="F12173" t="s">
        <v>88</v>
      </c>
      <c r="G12173" t="s">
        <v>88</v>
      </c>
      <c r="H12173" t="s">
        <v>92</v>
      </c>
    </row>
    <row r="12174" spans="1:8" x14ac:dyDescent="0.25">
      <c r="A12174" t="s">
        <v>354</v>
      </c>
      <c r="B12174" t="s">
        <v>708</v>
      </c>
      <c r="C12174" t="s">
        <v>88</v>
      </c>
      <c r="D12174" t="s">
        <v>88</v>
      </c>
      <c r="E12174" t="s">
        <v>702</v>
      </c>
      <c r="F12174" t="s">
        <v>88</v>
      </c>
      <c r="G12174" t="s">
        <v>88</v>
      </c>
      <c r="H12174" t="s">
        <v>92</v>
      </c>
    </row>
    <row r="12175" spans="1:8" x14ac:dyDescent="0.25">
      <c r="A12175" t="s">
        <v>354</v>
      </c>
      <c r="B12175" t="s">
        <v>707</v>
      </c>
      <c r="C12175" t="s">
        <v>88</v>
      </c>
      <c r="D12175" t="s">
        <v>88</v>
      </c>
      <c r="E12175" t="s">
        <v>702</v>
      </c>
      <c r="F12175" t="s">
        <v>88</v>
      </c>
      <c r="G12175" t="s">
        <v>88</v>
      </c>
      <c r="H12175" t="s">
        <v>92</v>
      </c>
    </row>
    <row r="12176" spans="1:8" x14ac:dyDescent="0.25">
      <c r="A12176" t="s">
        <v>354</v>
      </c>
      <c r="B12176" t="s">
        <v>846</v>
      </c>
      <c r="C12176" t="s">
        <v>88</v>
      </c>
      <c r="D12176" t="s">
        <v>88</v>
      </c>
      <c r="E12176" t="s">
        <v>709</v>
      </c>
      <c r="F12176" t="s">
        <v>88</v>
      </c>
      <c r="G12176" t="s">
        <v>88</v>
      </c>
      <c r="H12176" t="s">
        <v>92</v>
      </c>
    </row>
    <row r="12177" spans="1:8" x14ac:dyDescent="0.25">
      <c r="A12177" t="s">
        <v>354</v>
      </c>
      <c r="B12177" t="s">
        <v>618</v>
      </c>
      <c r="C12177" t="s">
        <v>88</v>
      </c>
      <c r="D12177" t="s">
        <v>88</v>
      </c>
      <c r="E12177" t="s">
        <v>709</v>
      </c>
      <c r="F12177" t="s">
        <v>88</v>
      </c>
      <c r="G12177" t="s">
        <v>88</v>
      </c>
      <c r="H12177" t="s">
        <v>92</v>
      </c>
    </row>
    <row r="12178" spans="1:8" x14ac:dyDescent="0.25">
      <c r="A12178" t="s">
        <v>354</v>
      </c>
      <c r="B12178" t="s">
        <v>1670</v>
      </c>
      <c r="C12178" t="s">
        <v>88</v>
      </c>
      <c r="D12178" t="s">
        <v>88</v>
      </c>
      <c r="E12178" t="s">
        <v>709</v>
      </c>
      <c r="F12178" t="s">
        <v>88</v>
      </c>
      <c r="G12178" t="s">
        <v>88</v>
      </c>
      <c r="H12178" t="s">
        <v>92</v>
      </c>
    </row>
    <row r="12179" spans="1:8" x14ac:dyDescent="0.25">
      <c r="A12179" t="s">
        <v>354</v>
      </c>
      <c r="B12179" t="s">
        <v>620</v>
      </c>
      <c r="C12179" t="s">
        <v>88</v>
      </c>
      <c r="D12179" t="s">
        <v>88</v>
      </c>
      <c r="E12179" t="s">
        <v>709</v>
      </c>
      <c r="F12179" t="s">
        <v>88</v>
      </c>
      <c r="G12179" t="s">
        <v>88</v>
      </c>
      <c r="H12179" t="s">
        <v>92</v>
      </c>
    </row>
    <row r="12180" spans="1:8" x14ac:dyDescent="0.25">
      <c r="A12180" t="s">
        <v>354</v>
      </c>
      <c r="B12180" t="s">
        <v>622</v>
      </c>
      <c r="C12180" t="s">
        <v>88</v>
      </c>
      <c r="D12180" t="s">
        <v>88</v>
      </c>
      <c r="E12180" t="s">
        <v>709</v>
      </c>
      <c r="F12180" t="s">
        <v>88</v>
      </c>
      <c r="G12180" t="s">
        <v>88</v>
      </c>
      <c r="H12180" t="s">
        <v>92</v>
      </c>
    </row>
    <row r="12181" spans="1:8" x14ac:dyDescent="0.25">
      <c r="A12181" t="s">
        <v>354</v>
      </c>
      <c r="B12181" t="s">
        <v>623</v>
      </c>
      <c r="C12181" t="s">
        <v>88</v>
      </c>
      <c r="D12181" t="s">
        <v>88</v>
      </c>
      <c r="E12181" t="s">
        <v>711</v>
      </c>
      <c r="F12181" t="s">
        <v>88</v>
      </c>
      <c r="G12181" t="s">
        <v>88</v>
      </c>
      <c r="H12181" t="s">
        <v>92</v>
      </c>
    </row>
    <row r="12182" spans="1:8" x14ac:dyDescent="0.25">
      <c r="A12182" t="s">
        <v>354</v>
      </c>
      <c r="B12182" t="s">
        <v>714</v>
      </c>
      <c r="C12182" t="s">
        <v>88</v>
      </c>
      <c r="D12182" t="s">
        <v>88</v>
      </c>
      <c r="E12182" t="s">
        <v>715</v>
      </c>
      <c r="F12182" t="s">
        <v>88</v>
      </c>
      <c r="G12182" t="s">
        <v>88</v>
      </c>
      <c r="H12182" t="s">
        <v>92</v>
      </c>
    </row>
    <row r="12183" spans="1:8" x14ac:dyDescent="0.25">
      <c r="A12183" t="s">
        <v>354</v>
      </c>
      <c r="B12183" t="s">
        <v>998</v>
      </c>
      <c r="C12183" t="s">
        <v>88</v>
      </c>
      <c r="D12183" t="s">
        <v>88</v>
      </c>
      <c r="E12183" t="s">
        <v>715</v>
      </c>
      <c r="F12183" t="s">
        <v>88</v>
      </c>
      <c r="G12183" t="s">
        <v>88</v>
      </c>
      <c r="H12183" t="s">
        <v>92</v>
      </c>
    </row>
    <row r="12184" spans="1:8" x14ac:dyDescent="0.25">
      <c r="A12184" t="s">
        <v>354</v>
      </c>
      <c r="B12184" t="s">
        <v>625</v>
      </c>
      <c r="C12184" t="s">
        <v>88</v>
      </c>
      <c r="D12184" t="s">
        <v>88</v>
      </c>
      <c r="E12184" t="s">
        <v>626</v>
      </c>
      <c r="F12184" t="s">
        <v>88</v>
      </c>
      <c r="G12184" t="s">
        <v>88</v>
      </c>
      <c r="H12184" t="s">
        <v>92</v>
      </c>
    </row>
    <row r="12185" spans="1:8" x14ac:dyDescent="0.25">
      <c r="A12185" t="s">
        <v>355</v>
      </c>
      <c r="B12185" t="s">
        <v>9695</v>
      </c>
      <c r="C12185" t="s">
        <v>88</v>
      </c>
      <c r="D12185" t="s">
        <v>9696</v>
      </c>
      <c r="E12185" t="s">
        <v>9697</v>
      </c>
      <c r="F12185" t="s">
        <v>88</v>
      </c>
      <c r="G12185" t="s">
        <v>88</v>
      </c>
      <c r="H12185" t="s">
        <v>92</v>
      </c>
    </row>
    <row r="12186" spans="1:8" x14ac:dyDescent="0.25">
      <c r="A12186" t="s">
        <v>355</v>
      </c>
      <c r="B12186" t="s">
        <v>1349</v>
      </c>
      <c r="C12186" t="s">
        <v>88</v>
      </c>
      <c r="D12186" t="s">
        <v>9698</v>
      </c>
      <c r="E12186" t="s">
        <v>679</v>
      </c>
      <c r="F12186" t="s">
        <v>88</v>
      </c>
      <c r="G12186" t="s">
        <v>88</v>
      </c>
      <c r="H12186" t="s">
        <v>92</v>
      </c>
    </row>
    <row r="12187" spans="1:8" x14ac:dyDescent="0.25">
      <c r="A12187" t="s">
        <v>355</v>
      </c>
      <c r="B12187" t="s">
        <v>881</v>
      </c>
      <c r="C12187" t="s">
        <v>88</v>
      </c>
      <c r="D12187" t="s">
        <v>9699</v>
      </c>
      <c r="E12187" t="s">
        <v>692</v>
      </c>
      <c r="F12187" t="s">
        <v>88</v>
      </c>
      <c r="G12187" t="s">
        <v>88</v>
      </c>
      <c r="H12187" t="s">
        <v>92</v>
      </c>
    </row>
    <row r="12188" spans="1:8" x14ac:dyDescent="0.25">
      <c r="A12188" t="s">
        <v>355</v>
      </c>
      <c r="B12188" t="s">
        <v>898</v>
      </c>
      <c r="C12188" t="s">
        <v>88</v>
      </c>
      <c r="D12188" t="s">
        <v>9699</v>
      </c>
      <c r="E12188" t="s">
        <v>692</v>
      </c>
      <c r="F12188" t="s">
        <v>88</v>
      </c>
      <c r="G12188" t="s">
        <v>88</v>
      </c>
      <c r="H12188" t="s">
        <v>92</v>
      </c>
    </row>
    <row r="12189" spans="1:8" x14ac:dyDescent="0.25">
      <c r="A12189" t="s">
        <v>355</v>
      </c>
      <c r="B12189" t="s">
        <v>876</v>
      </c>
      <c r="C12189" t="s">
        <v>88</v>
      </c>
      <c r="D12189" t="s">
        <v>9699</v>
      </c>
      <c r="E12189" t="s">
        <v>692</v>
      </c>
      <c r="F12189" t="s">
        <v>88</v>
      </c>
      <c r="G12189" t="s">
        <v>88</v>
      </c>
      <c r="H12189" t="s">
        <v>92</v>
      </c>
    </row>
    <row r="12190" spans="1:8" x14ac:dyDescent="0.25">
      <c r="A12190" t="s">
        <v>355</v>
      </c>
      <c r="B12190" t="s">
        <v>905</v>
      </c>
      <c r="C12190" t="s">
        <v>88</v>
      </c>
      <c r="D12190" t="s">
        <v>9699</v>
      </c>
      <c r="E12190" t="s">
        <v>692</v>
      </c>
      <c r="F12190" t="s">
        <v>88</v>
      </c>
      <c r="G12190" t="s">
        <v>88</v>
      </c>
      <c r="H12190" t="s">
        <v>92</v>
      </c>
    </row>
    <row r="12191" spans="1:8" x14ac:dyDescent="0.25">
      <c r="A12191" t="s">
        <v>355</v>
      </c>
      <c r="B12191" t="s">
        <v>765</v>
      </c>
      <c r="C12191" t="s">
        <v>88</v>
      </c>
      <c r="D12191" t="s">
        <v>9699</v>
      </c>
      <c r="E12191" t="s">
        <v>692</v>
      </c>
      <c r="F12191" t="s">
        <v>88</v>
      </c>
      <c r="G12191" t="s">
        <v>88</v>
      </c>
      <c r="H12191" t="s">
        <v>92</v>
      </c>
    </row>
    <row r="12192" spans="1:8" x14ac:dyDescent="0.25">
      <c r="A12192" t="s">
        <v>355</v>
      </c>
      <c r="B12192" t="s">
        <v>9700</v>
      </c>
      <c r="C12192" t="s">
        <v>88</v>
      </c>
      <c r="D12192" t="s">
        <v>9699</v>
      </c>
      <c r="E12192" t="s">
        <v>893</v>
      </c>
      <c r="F12192" t="s">
        <v>88</v>
      </c>
      <c r="G12192" t="s">
        <v>88</v>
      </c>
      <c r="H12192" t="s">
        <v>92</v>
      </c>
    </row>
    <row r="12193" spans="1:8" x14ac:dyDescent="0.25">
      <c r="A12193" t="s">
        <v>355</v>
      </c>
      <c r="B12193" t="s">
        <v>768</v>
      </c>
      <c r="C12193" t="s">
        <v>88</v>
      </c>
      <c r="D12193" t="s">
        <v>9699</v>
      </c>
      <c r="E12193" t="s">
        <v>692</v>
      </c>
      <c r="F12193" t="s">
        <v>88</v>
      </c>
      <c r="G12193" t="s">
        <v>88</v>
      </c>
      <c r="H12193" t="s">
        <v>92</v>
      </c>
    </row>
    <row r="12194" spans="1:8" x14ac:dyDescent="0.25">
      <c r="A12194" t="s">
        <v>355</v>
      </c>
      <c r="B12194" t="s">
        <v>743</v>
      </c>
      <c r="C12194" t="s">
        <v>88</v>
      </c>
      <c r="D12194" t="s">
        <v>9699</v>
      </c>
      <c r="E12194" t="s">
        <v>655</v>
      </c>
      <c r="F12194" t="s">
        <v>88</v>
      </c>
      <c r="G12194" t="s">
        <v>88</v>
      </c>
      <c r="H12194" t="s">
        <v>92</v>
      </c>
    </row>
    <row r="12195" spans="1:8" x14ac:dyDescent="0.25">
      <c r="A12195" t="s">
        <v>355</v>
      </c>
      <c r="B12195" t="s">
        <v>764</v>
      </c>
      <c r="C12195" t="s">
        <v>88</v>
      </c>
      <c r="D12195" t="s">
        <v>9699</v>
      </c>
      <c r="E12195" t="s">
        <v>655</v>
      </c>
      <c r="F12195" t="s">
        <v>88</v>
      </c>
      <c r="G12195" t="s">
        <v>88</v>
      </c>
      <c r="H12195" t="s">
        <v>92</v>
      </c>
    </row>
    <row r="12196" spans="1:8" x14ac:dyDescent="0.25">
      <c r="A12196" t="s">
        <v>355</v>
      </c>
      <c r="B12196" t="s">
        <v>6565</v>
      </c>
      <c r="C12196" t="s">
        <v>88</v>
      </c>
      <c r="D12196" t="s">
        <v>9699</v>
      </c>
      <c r="E12196" t="s">
        <v>692</v>
      </c>
      <c r="F12196" t="s">
        <v>88</v>
      </c>
      <c r="G12196" t="s">
        <v>88</v>
      </c>
      <c r="H12196" t="s">
        <v>92</v>
      </c>
    </row>
    <row r="12197" spans="1:8" x14ac:dyDescent="0.25">
      <c r="A12197" t="s">
        <v>355</v>
      </c>
      <c r="B12197" t="s">
        <v>9701</v>
      </c>
      <c r="C12197" t="s">
        <v>88</v>
      </c>
      <c r="D12197" t="s">
        <v>9699</v>
      </c>
      <c r="E12197" t="s">
        <v>692</v>
      </c>
      <c r="F12197" t="s">
        <v>88</v>
      </c>
      <c r="G12197" t="s">
        <v>88</v>
      </c>
      <c r="H12197" t="s">
        <v>92</v>
      </c>
    </row>
    <row r="12198" spans="1:8" x14ac:dyDescent="0.25">
      <c r="A12198" t="s">
        <v>355</v>
      </c>
      <c r="B12198" t="s">
        <v>740</v>
      </c>
      <c r="C12198" t="s">
        <v>88</v>
      </c>
      <c r="D12198" t="s">
        <v>9699</v>
      </c>
      <c r="E12198" t="s">
        <v>655</v>
      </c>
      <c r="F12198" t="s">
        <v>88</v>
      </c>
      <c r="G12198" t="s">
        <v>88</v>
      </c>
      <c r="H12198" t="s">
        <v>92</v>
      </c>
    </row>
    <row r="12199" spans="1:8" x14ac:dyDescent="0.25">
      <c r="A12199" t="s">
        <v>355</v>
      </c>
      <c r="B12199" t="s">
        <v>759</v>
      </c>
      <c r="C12199" t="s">
        <v>88</v>
      </c>
      <c r="D12199" t="s">
        <v>9699</v>
      </c>
      <c r="E12199" t="s">
        <v>692</v>
      </c>
      <c r="F12199" t="s">
        <v>88</v>
      </c>
      <c r="G12199" t="s">
        <v>88</v>
      </c>
      <c r="H12199" t="s">
        <v>92</v>
      </c>
    </row>
    <row r="12200" spans="1:8" x14ac:dyDescent="0.25">
      <c r="A12200" t="s">
        <v>355</v>
      </c>
      <c r="B12200" t="s">
        <v>769</v>
      </c>
      <c r="C12200" t="s">
        <v>88</v>
      </c>
      <c r="D12200" t="s">
        <v>9702</v>
      </c>
      <c r="E12200" t="s">
        <v>964</v>
      </c>
      <c r="F12200" t="s">
        <v>88</v>
      </c>
      <c r="G12200" t="s">
        <v>88</v>
      </c>
      <c r="H12200" t="s">
        <v>92</v>
      </c>
    </row>
    <row r="12201" spans="1:8" x14ac:dyDescent="0.25">
      <c r="A12201" t="s">
        <v>355</v>
      </c>
      <c r="B12201" t="s">
        <v>777</v>
      </c>
      <c r="C12201" t="s">
        <v>88</v>
      </c>
      <c r="D12201" t="s">
        <v>9703</v>
      </c>
      <c r="E12201" t="s">
        <v>959</v>
      </c>
      <c r="F12201" t="s">
        <v>88</v>
      </c>
      <c r="G12201" t="s">
        <v>88</v>
      </c>
      <c r="H12201" t="s">
        <v>92</v>
      </c>
    </row>
    <row r="12202" spans="1:8" x14ac:dyDescent="0.25">
      <c r="A12202" t="s">
        <v>355</v>
      </c>
      <c r="B12202" t="s">
        <v>2012</v>
      </c>
      <c r="C12202" t="s">
        <v>88</v>
      </c>
      <c r="D12202" t="s">
        <v>9703</v>
      </c>
      <c r="E12202" t="s">
        <v>959</v>
      </c>
      <c r="F12202" t="s">
        <v>88</v>
      </c>
      <c r="G12202" t="s">
        <v>88</v>
      </c>
      <c r="H12202" t="s">
        <v>92</v>
      </c>
    </row>
    <row r="12203" spans="1:8" x14ac:dyDescent="0.25">
      <c r="A12203" t="s">
        <v>355</v>
      </c>
      <c r="B12203" t="s">
        <v>739</v>
      </c>
      <c r="C12203" t="s">
        <v>88</v>
      </c>
      <c r="D12203" t="s">
        <v>9703</v>
      </c>
      <c r="E12203" t="s">
        <v>959</v>
      </c>
      <c r="F12203" t="s">
        <v>88</v>
      </c>
      <c r="G12203" t="s">
        <v>88</v>
      </c>
      <c r="H12203" t="s">
        <v>92</v>
      </c>
    </row>
    <row r="12204" spans="1:8" x14ac:dyDescent="0.25">
      <c r="A12204" t="s">
        <v>355</v>
      </c>
      <c r="B12204" t="s">
        <v>9704</v>
      </c>
      <c r="C12204" t="s">
        <v>88</v>
      </c>
      <c r="D12204" t="s">
        <v>9703</v>
      </c>
      <c r="E12204" t="s">
        <v>959</v>
      </c>
      <c r="F12204" t="s">
        <v>88</v>
      </c>
      <c r="G12204" t="s">
        <v>88</v>
      </c>
      <c r="H12204" t="s">
        <v>92</v>
      </c>
    </row>
    <row r="12205" spans="1:8" x14ac:dyDescent="0.25">
      <c r="A12205" t="s">
        <v>355</v>
      </c>
      <c r="B12205" t="s">
        <v>2009</v>
      </c>
      <c r="C12205" t="s">
        <v>88</v>
      </c>
      <c r="D12205" t="s">
        <v>9703</v>
      </c>
      <c r="E12205" t="s">
        <v>780</v>
      </c>
      <c r="F12205" t="s">
        <v>88</v>
      </c>
      <c r="G12205" t="s">
        <v>88</v>
      </c>
      <c r="H12205" t="s">
        <v>92</v>
      </c>
    </row>
    <row r="12206" spans="1:8" x14ac:dyDescent="0.25">
      <c r="A12206" t="s">
        <v>355</v>
      </c>
      <c r="B12206" t="s">
        <v>736</v>
      </c>
      <c r="C12206" t="s">
        <v>88</v>
      </c>
      <c r="D12206" t="s">
        <v>9703</v>
      </c>
      <c r="E12206" t="s">
        <v>959</v>
      </c>
      <c r="F12206" t="s">
        <v>88</v>
      </c>
      <c r="G12206" t="s">
        <v>88</v>
      </c>
      <c r="H12206" t="s">
        <v>92</v>
      </c>
    </row>
    <row r="12207" spans="1:8" x14ac:dyDescent="0.25">
      <c r="A12207" t="s">
        <v>355</v>
      </c>
      <c r="B12207" t="s">
        <v>701</v>
      </c>
      <c r="C12207" t="s">
        <v>88</v>
      </c>
      <c r="D12207" t="s">
        <v>88</v>
      </c>
      <c r="E12207" t="s">
        <v>709</v>
      </c>
      <c r="F12207" t="s">
        <v>88</v>
      </c>
      <c r="G12207" t="s">
        <v>88</v>
      </c>
      <c r="H12207" t="s">
        <v>92</v>
      </c>
    </row>
    <row r="12208" spans="1:8" x14ac:dyDescent="0.25">
      <c r="A12208" t="s">
        <v>355</v>
      </c>
      <c r="B12208" t="s">
        <v>705</v>
      </c>
      <c r="C12208" t="s">
        <v>88</v>
      </c>
      <c r="D12208" t="s">
        <v>88</v>
      </c>
      <c r="E12208" t="s">
        <v>709</v>
      </c>
      <c r="F12208" t="s">
        <v>88</v>
      </c>
      <c r="G12208" t="s">
        <v>88</v>
      </c>
      <c r="H12208" t="s">
        <v>92</v>
      </c>
    </row>
    <row r="12209" spans="1:8" x14ac:dyDescent="0.25">
      <c r="A12209" t="s">
        <v>355</v>
      </c>
      <c r="B12209" t="s">
        <v>707</v>
      </c>
      <c r="C12209" t="s">
        <v>88</v>
      </c>
      <c r="D12209" t="s">
        <v>88</v>
      </c>
      <c r="E12209" t="s">
        <v>709</v>
      </c>
      <c r="F12209" t="s">
        <v>88</v>
      </c>
      <c r="G12209" t="s">
        <v>88</v>
      </c>
      <c r="H12209" t="s">
        <v>92</v>
      </c>
    </row>
    <row r="12210" spans="1:8" x14ac:dyDescent="0.25">
      <c r="A12210" t="s">
        <v>355</v>
      </c>
      <c r="B12210" t="s">
        <v>846</v>
      </c>
      <c r="C12210" t="s">
        <v>88</v>
      </c>
      <c r="D12210" t="s">
        <v>88</v>
      </c>
      <c r="E12210" t="s">
        <v>709</v>
      </c>
      <c r="F12210" t="s">
        <v>88</v>
      </c>
      <c r="G12210" t="s">
        <v>88</v>
      </c>
      <c r="H12210" t="s">
        <v>92</v>
      </c>
    </row>
    <row r="12211" spans="1:8" x14ac:dyDescent="0.25">
      <c r="A12211" t="s">
        <v>355</v>
      </c>
      <c r="B12211" t="s">
        <v>795</v>
      </c>
      <c r="C12211" t="s">
        <v>88</v>
      </c>
      <c r="D12211" t="s">
        <v>88</v>
      </c>
      <c r="E12211" t="s">
        <v>711</v>
      </c>
      <c r="F12211" t="s">
        <v>88</v>
      </c>
      <c r="G12211" t="s">
        <v>88</v>
      </c>
      <c r="H12211" t="s">
        <v>92</v>
      </c>
    </row>
    <row r="12212" spans="1:8" x14ac:dyDescent="0.25">
      <c r="A12212" t="s">
        <v>355</v>
      </c>
      <c r="B12212" t="s">
        <v>622</v>
      </c>
      <c r="C12212" t="s">
        <v>88</v>
      </c>
      <c r="D12212" t="s">
        <v>88</v>
      </c>
      <c r="E12212" t="s">
        <v>711</v>
      </c>
      <c r="F12212" t="s">
        <v>88</v>
      </c>
      <c r="G12212" t="s">
        <v>88</v>
      </c>
      <c r="H12212" t="s">
        <v>92</v>
      </c>
    </row>
    <row r="12213" spans="1:8" x14ac:dyDescent="0.25">
      <c r="A12213" t="s">
        <v>355</v>
      </c>
      <c r="B12213" t="s">
        <v>1400</v>
      </c>
      <c r="C12213" t="s">
        <v>88</v>
      </c>
      <c r="D12213" t="s">
        <v>9699</v>
      </c>
      <c r="E12213" t="s">
        <v>964</v>
      </c>
      <c r="F12213" t="s">
        <v>88</v>
      </c>
      <c r="G12213" t="s">
        <v>88</v>
      </c>
      <c r="H12213" t="s">
        <v>92</v>
      </c>
    </row>
    <row r="12214" spans="1:8" x14ac:dyDescent="0.25">
      <c r="A12214" t="s">
        <v>355</v>
      </c>
      <c r="B12214" t="s">
        <v>1234</v>
      </c>
      <c r="C12214" t="s">
        <v>88</v>
      </c>
      <c r="D12214" t="s">
        <v>9699</v>
      </c>
      <c r="E12214" t="s">
        <v>964</v>
      </c>
      <c r="F12214" t="s">
        <v>88</v>
      </c>
      <c r="G12214" t="s">
        <v>88</v>
      </c>
      <c r="H12214" t="s">
        <v>92</v>
      </c>
    </row>
    <row r="12215" spans="1:8" x14ac:dyDescent="0.25">
      <c r="A12215" t="s">
        <v>355</v>
      </c>
      <c r="B12215" t="s">
        <v>2418</v>
      </c>
      <c r="C12215" t="s">
        <v>88</v>
      </c>
      <c r="D12215" t="s">
        <v>9705</v>
      </c>
      <c r="E12215" t="s">
        <v>805</v>
      </c>
      <c r="F12215" t="s">
        <v>88</v>
      </c>
      <c r="G12215" t="s">
        <v>88</v>
      </c>
      <c r="H12215" t="s">
        <v>92</v>
      </c>
    </row>
    <row r="12216" spans="1:8" x14ac:dyDescent="0.25">
      <c r="A12216" t="s">
        <v>355</v>
      </c>
      <c r="B12216" t="s">
        <v>9706</v>
      </c>
      <c r="C12216" t="s">
        <v>88</v>
      </c>
      <c r="D12216" t="s">
        <v>9699</v>
      </c>
      <c r="E12216" t="s">
        <v>1167</v>
      </c>
      <c r="F12216" t="s">
        <v>88</v>
      </c>
      <c r="G12216" t="s">
        <v>88</v>
      </c>
      <c r="H12216" t="s">
        <v>92</v>
      </c>
    </row>
    <row r="12217" spans="1:8" x14ac:dyDescent="0.25">
      <c r="A12217" t="s">
        <v>355</v>
      </c>
      <c r="B12217" t="s">
        <v>2423</v>
      </c>
      <c r="C12217" t="s">
        <v>88</v>
      </c>
      <c r="D12217" t="s">
        <v>9699</v>
      </c>
      <c r="E12217" t="s">
        <v>803</v>
      </c>
      <c r="F12217" t="s">
        <v>88</v>
      </c>
      <c r="G12217" t="s">
        <v>88</v>
      </c>
      <c r="H12217" t="s">
        <v>92</v>
      </c>
    </row>
    <row r="12218" spans="1:8" x14ac:dyDescent="0.25">
      <c r="A12218" t="s">
        <v>355</v>
      </c>
      <c r="B12218" t="s">
        <v>1237</v>
      </c>
      <c r="C12218" t="s">
        <v>88</v>
      </c>
      <c r="D12218" t="s">
        <v>9699</v>
      </c>
      <c r="E12218" t="s">
        <v>964</v>
      </c>
      <c r="F12218" t="s">
        <v>88</v>
      </c>
      <c r="G12218" t="s">
        <v>88</v>
      </c>
      <c r="H12218" t="s">
        <v>92</v>
      </c>
    </row>
    <row r="12219" spans="1:8" x14ac:dyDescent="0.25">
      <c r="A12219" t="s">
        <v>355</v>
      </c>
      <c r="B12219" t="s">
        <v>625</v>
      </c>
      <c r="C12219" t="s">
        <v>88</v>
      </c>
      <c r="D12219" t="s">
        <v>88</v>
      </c>
      <c r="E12219" t="s">
        <v>626</v>
      </c>
      <c r="F12219" t="s">
        <v>88</v>
      </c>
      <c r="G12219" t="s">
        <v>88</v>
      </c>
      <c r="H12219" t="s">
        <v>92</v>
      </c>
    </row>
    <row r="12220" spans="1:8" x14ac:dyDescent="0.25">
      <c r="A12220" t="s">
        <v>357</v>
      </c>
      <c r="B12220" t="s">
        <v>768</v>
      </c>
      <c r="C12220" t="s">
        <v>88</v>
      </c>
      <c r="D12220" t="s">
        <v>9707</v>
      </c>
      <c r="E12220" t="s">
        <v>760</v>
      </c>
      <c r="F12220" t="s">
        <v>88</v>
      </c>
      <c r="G12220" t="s">
        <v>88</v>
      </c>
      <c r="H12220" t="s">
        <v>92</v>
      </c>
    </row>
    <row r="12221" spans="1:8" x14ac:dyDescent="0.25">
      <c r="A12221" t="s">
        <v>357</v>
      </c>
      <c r="B12221" t="s">
        <v>776</v>
      </c>
      <c r="C12221" t="s">
        <v>88</v>
      </c>
      <c r="D12221" t="s">
        <v>9708</v>
      </c>
      <c r="E12221" t="s">
        <v>723</v>
      </c>
      <c r="F12221" t="s">
        <v>88</v>
      </c>
      <c r="G12221" t="s">
        <v>88</v>
      </c>
      <c r="H12221" t="s">
        <v>92</v>
      </c>
    </row>
    <row r="12222" spans="1:8" x14ac:dyDescent="0.25">
      <c r="A12222" t="s">
        <v>357</v>
      </c>
      <c r="B12222" t="s">
        <v>9709</v>
      </c>
      <c r="C12222" t="s">
        <v>88</v>
      </c>
      <c r="D12222" t="s">
        <v>9710</v>
      </c>
      <c r="E12222" t="s">
        <v>723</v>
      </c>
      <c r="F12222" t="s">
        <v>88</v>
      </c>
      <c r="G12222" t="s">
        <v>88</v>
      </c>
      <c r="H12222" t="s">
        <v>92</v>
      </c>
    </row>
    <row r="12223" spans="1:8" x14ac:dyDescent="0.25">
      <c r="A12223" t="s">
        <v>357</v>
      </c>
      <c r="B12223" t="s">
        <v>9711</v>
      </c>
      <c r="C12223" t="s">
        <v>88</v>
      </c>
      <c r="D12223" t="s">
        <v>9712</v>
      </c>
      <c r="E12223" t="s">
        <v>820</v>
      </c>
      <c r="F12223" t="s">
        <v>88</v>
      </c>
      <c r="G12223" t="s">
        <v>88</v>
      </c>
      <c r="H12223" t="s">
        <v>92</v>
      </c>
    </row>
    <row r="12224" spans="1:8" x14ac:dyDescent="0.25">
      <c r="A12224" t="s">
        <v>357</v>
      </c>
      <c r="B12224" t="s">
        <v>769</v>
      </c>
      <c r="C12224" t="s">
        <v>88</v>
      </c>
      <c r="D12224" t="s">
        <v>9713</v>
      </c>
      <c r="E12224" t="s">
        <v>841</v>
      </c>
      <c r="F12224" t="s">
        <v>88</v>
      </c>
      <c r="G12224" t="s">
        <v>88</v>
      </c>
      <c r="H12224" t="s">
        <v>92</v>
      </c>
    </row>
    <row r="12225" spans="1:8" x14ac:dyDescent="0.25">
      <c r="A12225" t="s">
        <v>357</v>
      </c>
      <c r="B12225" t="s">
        <v>9711</v>
      </c>
      <c r="C12225" t="s">
        <v>88</v>
      </c>
      <c r="D12225" t="s">
        <v>9712</v>
      </c>
      <c r="E12225" t="s">
        <v>820</v>
      </c>
      <c r="F12225" t="s">
        <v>88</v>
      </c>
      <c r="G12225" t="s">
        <v>88</v>
      </c>
      <c r="H12225" t="s">
        <v>92</v>
      </c>
    </row>
    <row r="12226" spans="1:8" x14ac:dyDescent="0.25">
      <c r="A12226" t="s">
        <v>357</v>
      </c>
      <c r="B12226" t="s">
        <v>768</v>
      </c>
      <c r="C12226" t="s">
        <v>88</v>
      </c>
      <c r="D12226" t="s">
        <v>9707</v>
      </c>
      <c r="E12226" t="s">
        <v>760</v>
      </c>
      <c r="F12226" t="s">
        <v>88</v>
      </c>
      <c r="G12226" t="s">
        <v>88</v>
      </c>
      <c r="H12226" t="s">
        <v>92</v>
      </c>
    </row>
    <row r="12227" spans="1:8" x14ac:dyDescent="0.25">
      <c r="A12227" t="s">
        <v>357</v>
      </c>
      <c r="B12227" t="s">
        <v>9714</v>
      </c>
      <c r="C12227" t="s">
        <v>88</v>
      </c>
      <c r="D12227" t="s">
        <v>9715</v>
      </c>
      <c r="E12227" t="s">
        <v>748</v>
      </c>
      <c r="F12227" t="s">
        <v>88</v>
      </c>
      <c r="G12227" t="s">
        <v>88</v>
      </c>
      <c r="H12227" t="s">
        <v>92</v>
      </c>
    </row>
    <row r="12228" spans="1:8" x14ac:dyDescent="0.25">
      <c r="A12228" t="s">
        <v>357</v>
      </c>
      <c r="B12228" t="s">
        <v>769</v>
      </c>
      <c r="C12228" t="s">
        <v>88</v>
      </c>
      <c r="D12228" t="s">
        <v>9713</v>
      </c>
      <c r="E12228" t="s">
        <v>841</v>
      </c>
      <c r="F12228" t="s">
        <v>88</v>
      </c>
      <c r="G12228" t="s">
        <v>88</v>
      </c>
      <c r="H12228" t="s">
        <v>92</v>
      </c>
    </row>
    <row r="12229" spans="1:8" x14ac:dyDescent="0.25">
      <c r="A12229" t="s">
        <v>357</v>
      </c>
      <c r="B12229" t="s">
        <v>876</v>
      </c>
      <c r="C12229" t="s">
        <v>88</v>
      </c>
      <c r="D12229" t="s">
        <v>9716</v>
      </c>
      <c r="E12229" t="s">
        <v>760</v>
      </c>
      <c r="F12229" t="s">
        <v>88</v>
      </c>
      <c r="G12229" t="s">
        <v>88</v>
      </c>
      <c r="H12229" t="s">
        <v>92</v>
      </c>
    </row>
    <row r="12230" spans="1:8" x14ac:dyDescent="0.25">
      <c r="A12230" t="s">
        <v>357</v>
      </c>
      <c r="B12230" t="s">
        <v>9717</v>
      </c>
      <c r="C12230" t="s">
        <v>88</v>
      </c>
      <c r="D12230" t="s">
        <v>9718</v>
      </c>
      <c r="E12230" t="s">
        <v>760</v>
      </c>
      <c r="F12230" t="s">
        <v>88</v>
      </c>
      <c r="G12230" t="s">
        <v>88</v>
      </c>
      <c r="H12230" t="s">
        <v>92</v>
      </c>
    </row>
    <row r="12231" spans="1:8" x14ac:dyDescent="0.25">
      <c r="A12231" t="s">
        <v>357</v>
      </c>
      <c r="B12231" t="s">
        <v>9719</v>
      </c>
      <c r="C12231" t="s">
        <v>88</v>
      </c>
      <c r="D12231" t="s">
        <v>9720</v>
      </c>
      <c r="E12231" t="s">
        <v>723</v>
      </c>
      <c r="F12231" t="s">
        <v>88</v>
      </c>
      <c r="G12231" t="s">
        <v>88</v>
      </c>
      <c r="H12231" t="s">
        <v>92</v>
      </c>
    </row>
    <row r="12232" spans="1:8" x14ac:dyDescent="0.25">
      <c r="A12232" t="s">
        <v>357</v>
      </c>
      <c r="B12232" t="s">
        <v>776</v>
      </c>
      <c r="C12232" t="s">
        <v>88</v>
      </c>
      <c r="D12232" t="s">
        <v>9708</v>
      </c>
      <c r="E12232" t="s">
        <v>723</v>
      </c>
      <c r="F12232" t="s">
        <v>88</v>
      </c>
      <c r="G12232" t="s">
        <v>88</v>
      </c>
      <c r="H12232" t="s">
        <v>92</v>
      </c>
    </row>
    <row r="12233" spans="1:8" x14ac:dyDescent="0.25">
      <c r="A12233" t="s">
        <v>357</v>
      </c>
      <c r="B12233" t="s">
        <v>921</v>
      </c>
      <c r="C12233" t="s">
        <v>88</v>
      </c>
      <c r="D12233" t="s">
        <v>9721</v>
      </c>
      <c r="E12233" t="s">
        <v>723</v>
      </c>
      <c r="F12233" t="s">
        <v>88</v>
      </c>
      <c r="G12233" t="s">
        <v>88</v>
      </c>
      <c r="H12233" t="s">
        <v>92</v>
      </c>
    </row>
    <row r="12234" spans="1:8" x14ac:dyDescent="0.25">
      <c r="A12234" t="s">
        <v>357</v>
      </c>
      <c r="B12234" t="s">
        <v>9722</v>
      </c>
      <c r="C12234" t="s">
        <v>88</v>
      </c>
      <c r="D12234" t="s">
        <v>9723</v>
      </c>
      <c r="E12234" t="s">
        <v>721</v>
      </c>
      <c r="F12234" t="s">
        <v>88</v>
      </c>
      <c r="G12234" t="s">
        <v>88</v>
      </c>
      <c r="H12234" t="s">
        <v>92</v>
      </c>
    </row>
    <row r="12235" spans="1:8" x14ac:dyDescent="0.25">
      <c r="A12235" t="s">
        <v>357</v>
      </c>
      <c r="B12235" t="s">
        <v>9724</v>
      </c>
      <c r="C12235" t="s">
        <v>88</v>
      </c>
      <c r="D12235" t="s">
        <v>9725</v>
      </c>
      <c r="E12235" t="s">
        <v>723</v>
      </c>
      <c r="F12235" t="s">
        <v>88</v>
      </c>
      <c r="G12235" t="s">
        <v>88</v>
      </c>
      <c r="H12235" t="s">
        <v>92</v>
      </c>
    </row>
    <row r="12236" spans="1:8" x14ac:dyDescent="0.25">
      <c r="A12236" t="s">
        <v>357</v>
      </c>
      <c r="B12236" t="s">
        <v>9709</v>
      </c>
      <c r="C12236" t="s">
        <v>88</v>
      </c>
      <c r="D12236" t="s">
        <v>9710</v>
      </c>
      <c r="E12236" t="s">
        <v>723</v>
      </c>
      <c r="F12236" t="s">
        <v>88</v>
      </c>
      <c r="G12236" t="s">
        <v>88</v>
      </c>
      <c r="H12236" t="s">
        <v>92</v>
      </c>
    </row>
    <row r="12237" spans="1:8" x14ac:dyDescent="0.25">
      <c r="A12237" t="s">
        <v>357</v>
      </c>
      <c r="B12237" t="s">
        <v>9726</v>
      </c>
      <c r="C12237" t="s">
        <v>88</v>
      </c>
      <c r="D12237" t="s">
        <v>9727</v>
      </c>
      <c r="E12237" t="s">
        <v>721</v>
      </c>
      <c r="F12237" t="s">
        <v>88</v>
      </c>
      <c r="G12237" t="s">
        <v>88</v>
      </c>
      <c r="H12237" t="s">
        <v>92</v>
      </c>
    </row>
    <row r="12238" spans="1:8" x14ac:dyDescent="0.25">
      <c r="A12238" t="s">
        <v>357</v>
      </c>
      <c r="B12238" t="s">
        <v>701</v>
      </c>
      <c r="C12238" t="s">
        <v>88</v>
      </c>
      <c r="D12238" t="s">
        <v>88</v>
      </c>
      <c r="E12238" t="s">
        <v>3397</v>
      </c>
      <c r="F12238" t="s">
        <v>88</v>
      </c>
      <c r="G12238" t="s">
        <v>88</v>
      </c>
      <c r="H12238" t="s">
        <v>92</v>
      </c>
    </row>
    <row r="12239" spans="1:8" x14ac:dyDescent="0.25">
      <c r="A12239" t="s">
        <v>357</v>
      </c>
      <c r="B12239" t="s">
        <v>703</v>
      </c>
      <c r="C12239" t="s">
        <v>88</v>
      </c>
      <c r="D12239" t="s">
        <v>88</v>
      </c>
      <c r="E12239" t="s">
        <v>3397</v>
      </c>
      <c r="F12239" t="s">
        <v>88</v>
      </c>
      <c r="G12239" t="s">
        <v>88</v>
      </c>
      <c r="H12239" t="s">
        <v>92</v>
      </c>
    </row>
    <row r="12240" spans="1:8" x14ac:dyDescent="0.25">
      <c r="A12240" t="s">
        <v>357</v>
      </c>
      <c r="B12240" t="s">
        <v>704</v>
      </c>
      <c r="C12240" t="s">
        <v>88</v>
      </c>
      <c r="D12240" t="s">
        <v>88</v>
      </c>
      <c r="E12240" t="s">
        <v>3397</v>
      </c>
      <c r="F12240" t="s">
        <v>88</v>
      </c>
      <c r="G12240" t="s">
        <v>88</v>
      </c>
      <c r="H12240" t="s">
        <v>92</v>
      </c>
    </row>
    <row r="12241" spans="1:8" x14ac:dyDescent="0.25">
      <c r="A12241" t="s">
        <v>357</v>
      </c>
      <c r="B12241" t="s">
        <v>705</v>
      </c>
      <c r="C12241" t="s">
        <v>88</v>
      </c>
      <c r="D12241" t="s">
        <v>88</v>
      </c>
      <c r="E12241" t="s">
        <v>3397</v>
      </c>
      <c r="F12241" t="s">
        <v>88</v>
      </c>
      <c r="G12241" t="s">
        <v>88</v>
      </c>
      <c r="H12241" t="s">
        <v>92</v>
      </c>
    </row>
    <row r="12242" spans="1:8" x14ac:dyDescent="0.25">
      <c r="A12242" t="s">
        <v>357</v>
      </c>
      <c r="B12242" t="s">
        <v>706</v>
      </c>
      <c r="C12242" t="s">
        <v>88</v>
      </c>
      <c r="D12242" t="s">
        <v>88</v>
      </c>
      <c r="E12242" t="s">
        <v>3397</v>
      </c>
      <c r="F12242" t="s">
        <v>88</v>
      </c>
      <c r="G12242" t="s">
        <v>88</v>
      </c>
      <c r="H12242" t="s">
        <v>92</v>
      </c>
    </row>
    <row r="12243" spans="1:8" x14ac:dyDescent="0.25">
      <c r="A12243" t="s">
        <v>357</v>
      </c>
      <c r="B12243" t="s">
        <v>707</v>
      </c>
      <c r="C12243" t="s">
        <v>88</v>
      </c>
      <c r="D12243" t="s">
        <v>88</v>
      </c>
      <c r="E12243" t="s">
        <v>3397</v>
      </c>
      <c r="F12243" t="s">
        <v>88</v>
      </c>
      <c r="G12243" t="s">
        <v>88</v>
      </c>
      <c r="H12243" t="s">
        <v>92</v>
      </c>
    </row>
    <row r="12244" spans="1:8" x14ac:dyDescent="0.25">
      <c r="A12244" t="s">
        <v>357</v>
      </c>
      <c r="B12244" t="s">
        <v>708</v>
      </c>
      <c r="C12244" t="s">
        <v>88</v>
      </c>
      <c r="D12244" t="s">
        <v>88</v>
      </c>
      <c r="E12244" t="s">
        <v>3397</v>
      </c>
      <c r="F12244" t="s">
        <v>88</v>
      </c>
      <c r="G12244" t="s">
        <v>88</v>
      </c>
      <c r="H12244" t="s">
        <v>92</v>
      </c>
    </row>
    <row r="12245" spans="1:8" x14ac:dyDescent="0.25">
      <c r="A12245" t="s">
        <v>357</v>
      </c>
      <c r="B12245" t="s">
        <v>794</v>
      </c>
      <c r="C12245" t="s">
        <v>88</v>
      </c>
      <c r="D12245" t="s">
        <v>88</v>
      </c>
      <c r="E12245" t="s">
        <v>710</v>
      </c>
      <c r="F12245" t="s">
        <v>88</v>
      </c>
      <c r="G12245" t="s">
        <v>88</v>
      </c>
      <c r="H12245" t="s">
        <v>92</v>
      </c>
    </row>
    <row r="12246" spans="1:8" x14ac:dyDescent="0.25">
      <c r="A12246" t="s">
        <v>357</v>
      </c>
      <c r="B12246" t="s">
        <v>618</v>
      </c>
      <c r="C12246" t="s">
        <v>88</v>
      </c>
      <c r="D12246" t="s">
        <v>88</v>
      </c>
      <c r="E12246" t="s">
        <v>711</v>
      </c>
      <c r="F12246" t="s">
        <v>88</v>
      </c>
      <c r="G12246" t="s">
        <v>88</v>
      </c>
      <c r="H12246" t="s">
        <v>92</v>
      </c>
    </row>
    <row r="12247" spans="1:8" x14ac:dyDescent="0.25">
      <c r="A12247" t="s">
        <v>357</v>
      </c>
      <c r="B12247" t="s">
        <v>797</v>
      </c>
      <c r="C12247" t="s">
        <v>88</v>
      </c>
      <c r="D12247" t="s">
        <v>88</v>
      </c>
      <c r="E12247" t="s">
        <v>711</v>
      </c>
      <c r="F12247" t="s">
        <v>88</v>
      </c>
      <c r="G12247" t="s">
        <v>88</v>
      </c>
      <c r="H12247" t="s">
        <v>92</v>
      </c>
    </row>
    <row r="12248" spans="1:8" x14ac:dyDescent="0.25">
      <c r="A12248" t="s">
        <v>357</v>
      </c>
      <c r="B12248" t="s">
        <v>622</v>
      </c>
      <c r="C12248" t="s">
        <v>88</v>
      </c>
      <c r="D12248" t="s">
        <v>88</v>
      </c>
      <c r="E12248" t="s">
        <v>735</v>
      </c>
      <c r="F12248" t="s">
        <v>88</v>
      </c>
      <c r="G12248" t="s">
        <v>88</v>
      </c>
      <c r="H12248" t="s">
        <v>92</v>
      </c>
    </row>
    <row r="12249" spans="1:8" x14ac:dyDescent="0.25">
      <c r="A12249" t="s">
        <v>357</v>
      </c>
      <c r="B12249" t="s">
        <v>712</v>
      </c>
      <c r="C12249" t="s">
        <v>88</v>
      </c>
      <c r="D12249" t="s">
        <v>88</v>
      </c>
      <c r="E12249" t="s">
        <v>735</v>
      </c>
      <c r="F12249" t="s">
        <v>88</v>
      </c>
      <c r="G12249" t="s">
        <v>88</v>
      </c>
      <c r="H12249" t="s">
        <v>92</v>
      </c>
    </row>
    <row r="12250" spans="1:8" x14ac:dyDescent="0.25">
      <c r="A12250" t="s">
        <v>357</v>
      </c>
      <c r="B12250" t="s">
        <v>625</v>
      </c>
      <c r="C12250" t="s">
        <v>88</v>
      </c>
      <c r="D12250" t="s">
        <v>88</v>
      </c>
      <c r="E12250" t="s">
        <v>626</v>
      </c>
      <c r="F12250" t="s">
        <v>88</v>
      </c>
      <c r="G12250" t="s">
        <v>88</v>
      </c>
      <c r="H12250" t="s">
        <v>92</v>
      </c>
    </row>
    <row r="12251" spans="1:8" x14ac:dyDescent="0.25">
      <c r="A12251" t="s">
        <v>358</v>
      </c>
      <c r="B12251" t="s">
        <v>9728</v>
      </c>
      <c r="C12251" t="s">
        <v>88</v>
      </c>
      <c r="D12251" t="s">
        <v>9729</v>
      </c>
      <c r="E12251" t="s">
        <v>721</v>
      </c>
      <c r="F12251" t="s">
        <v>88</v>
      </c>
      <c r="G12251" t="s">
        <v>88</v>
      </c>
      <c r="H12251" t="s">
        <v>92</v>
      </c>
    </row>
    <row r="12252" spans="1:8" x14ac:dyDescent="0.25">
      <c r="A12252" t="s">
        <v>358</v>
      </c>
      <c r="B12252" t="s">
        <v>1658</v>
      </c>
      <c r="C12252" t="s">
        <v>88</v>
      </c>
      <c r="D12252" t="s">
        <v>9730</v>
      </c>
      <c r="E12252" t="s">
        <v>721</v>
      </c>
      <c r="F12252" t="s">
        <v>88</v>
      </c>
      <c r="G12252" t="s">
        <v>88</v>
      </c>
      <c r="H12252" t="s">
        <v>92</v>
      </c>
    </row>
    <row r="12253" spans="1:8" x14ac:dyDescent="0.25">
      <c r="A12253" t="s">
        <v>358</v>
      </c>
      <c r="B12253" t="s">
        <v>1234</v>
      </c>
      <c r="C12253" t="s">
        <v>88</v>
      </c>
      <c r="D12253" t="s">
        <v>2397</v>
      </c>
      <c r="E12253" t="s">
        <v>964</v>
      </c>
      <c r="F12253" t="s">
        <v>88</v>
      </c>
      <c r="G12253" t="s">
        <v>88</v>
      </c>
      <c r="H12253" t="s">
        <v>92</v>
      </c>
    </row>
    <row r="12254" spans="1:8" x14ac:dyDescent="0.25">
      <c r="A12254" t="s">
        <v>358</v>
      </c>
      <c r="B12254" t="s">
        <v>9731</v>
      </c>
      <c r="C12254" t="s">
        <v>88</v>
      </c>
      <c r="D12254" t="s">
        <v>9732</v>
      </c>
      <c r="E12254" t="s">
        <v>723</v>
      </c>
      <c r="F12254" t="s">
        <v>88</v>
      </c>
      <c r="G12254" t="s">
        <v>88</v>
      </c>
      <c r="H12254" t="s">
        <v>92</v>
      </c>
    </row>
    <row r="12255" spans="1:8" x14ac:dyDescent="0.25">
      <c r="A12255" t="s">
        <v>358</v>
      </c>
      <c r="B12255" t="s">
        <v>1659</v>
      </c>
      <c r="C12255" t="s">
        <v>88</v>
      </c>
      <c r="D12255" t="s">
        <v>9733</v>
      </c>
      <c r="E12255" t="s">
        <v>1353</v>
      </c>
      <c r="F12255" t="s">
        <v>88</v>
      </c>
      <c r="G12255" t="s">
        <v>88</v>
      </c>
      <c r="H12255" t="s">
        <v>92</v>
      </c>
    </row>
    <row r="12256" spans="1:8" x14ac:dyDescent="0.25">
      <c r="A12256" t="s">
        <v>358</v>
      </c>
      <c r="B12256" t="s">
        <v>1658</v>
      </c>
      <c r="C12256" t="s">
        <v>88</v>
      </c>
      <c r="D12256" t="s">
        <v>9730</v>
      </c>
      <c r="E12256" t="s">
        <v>721</v>
      </c>
      <c r="F12256" t="s">
        <v>88</v>
      </c>
      <c r="G12256" t="s">
        <v>88</v>
      </c>
      <c r="H12256" t="s">
        <v>92</v>
      </c>
    </row>
    <row r="12257" spans="1:8" x14ac:dyDescent="0.25">
      <c r="A12257" t="s">
        <v>358</v>
      </c>
      <c r="B12257" t="s">
        <v>9728</v>
      </c>
      <c r="C12257" t="s">
        <v>88</v>
      </c>
      <c r="D12257" t="s">
        <v>9729</v>
      </c>
      <c r="E12257" t="s">
        <v>721</v>
      </c>
      <c r="F12257" t="s">
        <v>88</v>
      </c>
      <c r="G12257" t="s">
        <v>88</v>
      </c>
      <c r="H12257" t="s">
        <v>92</v>
      </c>
    </row>
    <row r="12258" spans="1:8" x14ac:dyDescent="0.25">
      <c r="A12258" t="s">
        <v>358</v>
      </c>
      <c r="B12258" t="s">
        <v>9731</v>
      </c>
      <c r="C12258" t="s">
        <v>88</v>
      </c>
      <c r="D12258" t="s">
        <v>9732</v>
      </c>
      <c r="E12258" t="s">
        <v>723</v>
      </c>
      <c r="F12258" t="s">
        <v>88</v>
      </c>
      <c r="G12258" t="s">
        <v>88</v>
      </c>
      <c r="H12258" t="s">
        <v>92</v>
      </c>
    </row>
    <row r="12259" spans="1:8" x14ac:dyDescent="0.25">
      <c r="A12259" t="s">
        <v>358</v>
      </c>
      <c r="B12259" t="s">
        <v>764</v>
      </c>
      <c r="C12259" t="s">
        <v>88</v>
      </c>
      <c r="D12259" t="s">
        <v>2397</v>
      </c>
      <c r="E12259" t="s">
        <v>1241</v>
      </c>
      <c r="F12259" t="s">
        <v>88</v>
      </c>
      <c r="G12259" t="s">
        <v>88</v>
      </c>
      <c r="H12259" t="s">
        <v>92</v>
      </c>
    </row>
    <row r="12260" spans="1:8" x14ac:dyDescent="0.25">
      <c r="A12260" t="s">
        <v>358</v>
      </c>
      <c r="B12260" t="s">
        <v>743</v>
      </c>
      <c r="C12260" t="s">
        <v>88</v>
      </c>
      <c r="D12260" t="s">
        <v>2397</v>
      </c>
      <c r="E12260" t="s">
        <v>883</v>
      </c>
      <c r="F12260" t="s">
        <v>88</v>
      </c>
      <c r="G12260" t="s">
        <v>88</v>
      </c>
      <c r="H12260" t="s">
        <v>92</v>
      </c>
    </row>
    <row r="12261" spans="1:8" x14ac:dyDescent="0.25">
      <c r="A12261" t="s">
        <v>358</v>
      </c>
      <c r="B12261" t="s">
        <v>767</v>
      </c>
      <c r="C12261" t="s">
        <v>88</v>
      </c>
      <c r="D12261" t="s">
        <v>2397</v>
      </c>
      <c r="E12261" t="s">
        <v>883</v>
      </c>
      <c r="F12261" t="s">
        <v>88</v>
      </c>
      <c r="G12261" t="s">
        <v>88</v>
      </c>
      <c r="H12261" t="s">
        <v>92</v>
      </c>
    </row>
    <row r="12262" spans="1:8" x14ac:dyDescent="0.25">
      <c r="A12262" t="s">
        <v>358</v>
      </c>
      <c r="B12262" t="s">
        <v>740</v>
      </c>
      <c r="C12262" t="s">
        <v>88</v>
      </c>
      <c r="D12262" t="s">
        <v>2397</v>
      </c>
      <c r="E12262" t="s">
        <v>883</v>
      </c>
      <c r="F12262" t="s">
        <v>88</v>
      </c>
      <c r="G12262" t="s">
        <v>88</v>
      </c>
      <c r="H12262" t="s">
        <v>92</v>
      </c>
    </row>
    <row r="12263" spans="1:8" x14ac:dyDescent="0.25">
      <c r="A12263" t="s">
        <v>358</v>
      </c>
      <c r="B12263" t="s">
        <v>876</v>
      </c>
      <c r="C12263" t="s">
        <v>88</v>
      </c>
      <c r="D12263" t="s">
        <v>2397</v>
      </c>
      <c r="E12263" t="s">
        <v>655</v>
      </c>
      <c r="F12263" t="s">
        <v>88</v>
      </c>
      <c r="G12263" t="s">
        <v>88</v>
      </c>
      <c r="H12263" t="s">
        <v>92</v>
      </c>
    </row>
    <row r="12264" spans="1:8" x14ac:dyDescent="0.25">
      <c r="A12264" t="s">
        <v>358</v>
      </c>
      <c r="B12264" t="s">
        <v>906</v>
      </c>
      <c r="C12264" t="s">
        <v>88</v>
      </c>
      <c r="D12264" t="s">
        <v>9734</v>
      </c>
      <c r="E12264" t="s">
        <v>676</v>
      </c>
      <c r="F12264" t="s">
        <v>88</v>
      </c>
      <c r="G12264" t="s">
        <v>88</v>
      </c>
      <c r="H12264" t="s">
        <v>92</v>
      </c>
    </row>
    <row r="12265" spans="1:8" x14ac:dyDescent="0.25">
      <c r="A12265" t="s">
        <v>358</v>
      </c>
      <c r="B12265" t="s">
        <v>1667</v>
      </c>
      <c r="C12265" t="s">
        <v>88</v>
      </c>
      <c r="D12265" t="s">
        <v>2397</v>
      </c>
      <c r="E12265" t="s">
        <v>655</v>
      </c>
      <c r="F12265" t="s">
        <v>88</v>
      </c>
      <c r="G12265" t="s">
        <v>88</v>
      </c>
      <c r="H12265" t="s">
        <v>92</v>
      </c>
    </row>
    <row r="12266" spans="1:8" x14ac:dyDescent="0.25">
      <c r="A12266" t="s">
        <v>358</v>
      </c>
      <c r="B12266" t="s">
        <v>1659</v>
      </c>
      <c r="C12266" t="s">
        <v>88</v>
      </c>
      <c r="D12266" t="s">
        <v>9733</v>
      </c>
      <c r="E12266" t="s">
        <v>1353</v>
      </c>
      <c r="F12266" t="s">
        <v>88</v>
      </c>
      <c r="G12266" t="s">
        <v>88</v>
      </c>
      <c r="H12266" t="s">
        <v>92</v>
      </c>
    </row>
    <row r="12267" spans="1:8" x14ac:dyDescent="0.25">
      <c r="A12267" t="s">
        <v>358</v>
      </c>
      <c r="B12267" t="s">
        <v>9735</v>
      </c>
      <c r="C12267" t="s">
        <v>88</v>
      </c>
      <c r="D12267" t="s">
        <v>9736</v>
      </c>
      <c r="E12267" t="s">
        <v>723</v>
      </c>
      <c r="F12267" t="s">
        <v>88</v>
      </c>
      <c r="G12267" t="s">
        <v>88</v>
      </c>
      <c r="H12267" t="s">
        <v>92</v>
      </c>
    </row>
    <row r="12268" spans="1:8" x14ac:dyDescent="0.25">
      <c r="A12268" t="s">
        <v>358</v>
      </c>
      <c r="B12268" t="s">
        <v>9737</v>
      </c>
      <c r="C12268" t="s">
        <v>88</v>
      </c>
      <c r="D12268" t="s">
        <v>9738</v>
      </c>
      <c r="E12268" t="s">
        <v>723</v>
      </c>
      <c r="F12268" t="s">
        <v>88</v>
      </c>
      <c r="G12268" t="s">
        <v>88</v>
      </c>
      <c r="H12268" t="s">
        <v>92</v>
      </c>
    </row>
    <row r="12269" spans="1:8" x14ac:dyDescent="0.25">
      <c r="A12269" t="s">
        <v>358</v>
      </c>
      <c r="B12269" t="s">
        <v>739</v>
      </c>
      <c r="C12269" t="s">
        <v>88</v>
      </c>
      <c r="D12269" t="s">
        <v>9738</v>
      </c>
      <c r="E12269" t="s">
        <v>959</v>
      </c>
      <c r="F12269" t="s">
        <v>88</v>
      </c>
      <c r="G12269" t="s">
        <v>88</v>
      </c>
      <c r="H12269" t="s">
        <v>92</v>
      </c>
    </row>
    <row r="12270" spans="1:8" x14ac:dyDescent="0.25">
      <c r="A12270" t="s">
        <v>358</v>
      </c>
      <c r="B12270" t="s">
        <v>701</v>
      </c>
      <c r="C12270" t="s">
        <v>88</v>
      </c>
      <c r="D12270" t="s">
        <v>88</v>
      </c>
      <c r="E12270" t="s">
        <v>734</v>
      </c>
      <c r="F12270" t="s">
        <v>88</v>
      </c>
      <c r="G12270" t="s">
        <v>88</v>
      </c>
      <c r="H12270" t="s">
        <v>92</v>
      </c>
    </row>
    <row r="12271" spans="1:8" x14ac:dyDescent="0.25">
      <c r="A12271" t="s">
        <v>358</v>
      </c>
      <c r="B12271" t="s">
        <v>705</v>
      </c>
      <c r="C12271" t="s">
        <v>88</v>
      </c>
      <c r="D12271" t="s">
        <v>88</v>
      </c>
      <c r="E12271" t="s">
        <v>734</v>
      </c>
      <c r="F12271" t="s">
        <v>88</v>
      </c>
      <c r="G12271" t="s">
        <v>88</v>
      </c>
      <c r="H12271" t="s">
        <v>92</v>
      </c>
    </row>
    <row r="12272" spans="1:8" x14ac:dyDescent="0.25">
      <c r="A12272" t="s">
        <v>358</v>
      </c>
      <c r="B12272" t="s">
        <v>706</v>
      </c>
      <c r="C12272" t="s">
        <v>88</v>
      </c>
      <c r="D12272" t="s">
        <v>88</v>
      </c>
      <c r="E12272" t="s">
        <v>734</v>
      </c>
      <c r="F12272" t="s">
        <v>88</v>
      </c>
      <c r="G12272" t="s">
        <v>88</v>
      </c>
      <c r="H12272" t="s">
        <v>92</v>
      </c>
    </row>
    <row r="12273" spans="1:8" x14ac:dyDescent="0.25">
      <c r="A12273" t="s">
        <v>358</v>
      </c>
      <c r="B12273" t="s">
        <v>9739</v>
      </c>
      <c r="C12273" t="s">
        <v>88</v>
      </c>
      <c r="D12273" t="s">
        <v>88</v>
      </c>
      <c r="E12273" t="s">
        <v>734</v>
      </c>
      <c r="F12273" t="s">
        <v>88</v>
      </c>
      <c r="G12273" t="s">
        <v>88</v>
      </c>
      <c r="H12273" t="s">
        <v>92</v>
      </c>
    </row>
    <row r="12274" spans="1:8" x14ac:dyDescent="0.25">
      <c r="A12274" t="s">
        <v>358</v>
      </c>
      <c r="B12274" t="s">
        <v>846</v>
      </c>
      <c r="C12274" t="s">
        <v>88</v>
      </c>
      <c r="D12274" t="s">
        <v>88</v>
      </c>
      <c r="E12274" t="s">
        <v>734</v>
      </c>
      <c r="F12274" t="s">
        <v>88</v>
      </c>
      <c r="G12274" t="s">
        <v>88</v>
      </c>
      <c r="H12274" t="s">
        <v>92</v>
      </c>
    </row>
    <row r="12275" spans="1:8" x14ac:dyDescent="0.25">
      <c r="A12275" t="s">
        <v>358</v>
      </c>
      <c r="B12275" t="s">
        <v>618</v>
      </c>
      <c r="C12275" t="s">
        <v>88</v>
      </c>
      <c r="D12275" t="s">
        <v>88</v>
      </c>
      <c r="E12275" t="s">
        <v>709</v>
      </c>
      <c r="F12275" t="s">
        <v>88</v>
      </c>
      <c r="G12275" t="s">
        <v>88</v>
      </c>
      <c r="H12275" t="s">
        <v>92</v>
      </c>
    </row>
    <row r="12276" spans="1:8" x14ac:dyDescent="0.25">
      <c r="A12276" t="s">
        <v>358</v>
      </c>
      <c r="B12276" t="s">
        <v>795</v>
      </c>
      <c r="C12276" t="s">
        <v>88</v>
      </c>
      <c r="D12276" t="s">
        <v>88</v>
      </c>
      <c r="E12276" t="s">
        <v>711</v>
      </c>
      <c r="F12276" t="s">
        <v>88</v>
      </c>
      <c r="G12276" t="s">
        <v>88</v>
      </c>
      <c r="H12276" t="s">
        <v>92</v>
      </c>
    </row>
    <row r="12277" spans="1:8" x14ac:dyDescent="0.25">
      <c r="A12277" t="s">
        <v>358</v>
      </c>
      <c r="B12277" t="s">
        <v>622</v>
      </c>
      <c r="C12277" t="s">
        <v>88</v>
      </c>
      <c r="D12277" t="s">
        <v>88</v>
      </c>
      <c r="E12277" t="s">
        <v>711</v>
      </c>
      <c r="F12277" t="s">
        <v>88</v>
      </c>
      <c r="G12277" t="s">
        <v>88</v>
      </c>
      <c r="H12277" t="s">
        <v>92</v>
      </c>
    </row>
    <row r="12278" spans="1:8" x14ac:dyDescent="0.25">
      <c r="A12278" t="s">
        <v>358</v>
      </c>
      <c r="B12278" t="s">
        <v>623</v>
      </c>
      <c r="C12278" t="s">
        <v>88</v>
      </c>
      <c r="D12278" t="s">
        <v>88</v>
      </c>
      <c r="E12278" t="s">
        <v>735</v>
      </c>
      <c r="F12278" t="s">
        <v>88</v>
      </c>
      <c r="G12278" t="s">
        <v>88</v>
      </c>
      <c r="H12278" t="s">
        <v>92</v>
      </c>
    </row>
    <row r="12279" spans="1:8" x14ac:dyDescent="0.25">
      <c r="A12279" t="s">
        <v>358</v>
      </c>
      <c r="B12279" t="s">
        <v>7874</v>
      </c>
      <c r="C12279" t="s">
        <v>88</v>
      </c>
      <c r="D12279" t="s">
        <v>88</v>
      </c>
      <c r="E12279" t="s">
        <v>799</v>
      </c>
      <c r="F12279" t="s">
        <v>88</v>
      </c>
      <c r="G12279" t="s">
        <v>88</v>
      </c>
      <c r="H12279" t="s">
        <v>92</v>
      </c>
    </row>
    <row r="12280" spans="1:8" x14ac:dyDescent="0.25">
      <c r="A12280" t="s">
        <v>358</v>
      </c>
      <c r="B12280" t="s">
        <v>1237</v>
      </c>
      <c r="C12280" t="s">
        <v>88</v>
      </c>
      <c r="D12280" t="s">
        <v>2397</v>
      </c>
      <c r="E12280" t="s">
        <v>6044</v>
      </c>
      <c r="F12280" t="s">
        <v>88</v>
      </c>
      <c r="G12280" t="s">
        <v>88</v>
      </c>
      <c r="H12280" t="s">
        <v>92</v>
      </c>
    </row>
    <row r="12281" spans="1:8" x14ac:dyDescent="0.25">
      <c r="A12281" t="s">
        <v>358</v>
      </c>
      <c r="B12281" t="s">
        <v>1234</v>
      </c>
      <c r="C12281" t="s">
        <v>88</v>
      </c>
      <c r="D12281" t="s">
        <v>2397</v>
      </c>
      <c r="E12281" t="s">
        <v>964</v>
      </c>
      <c r="F12281" t="s">
        <v>88</v>
      </c>
      <c r="G12281" t="s">
        <v>88</v>
      </c>
      <c r="H12281" t="s">
        <v>92</v>
      </c>
    </row>
    <row r="12282" spans="1:8" x14ac:dyDescent="0.25">
      <c r="A12282" t="s">
        <v>358</v>
      </c>
      <c r="B12282" t="s">
        <v>1400</v>
      </c>
      <c r="C12282" t="s">
        <v>88</v>
      </c>
      <c r="D12282" t="s">
        <v>2397</v>
      </c>
      <c r="E12282" t="s">
        <v>841</v>
      </c>
      <c r="F12282" t="s">
        <v>88</v>
      </c>
      <c r="G12282" t="s">
        <v>88</v>
      </c>
      <c r="H12282" t="s">
        <v>92</v>
      </c>
    </row>
    <row r="12283" spans="1:8" x14ac:dyDescent="0.25">
      <c r="A12283" t="s">
        <v>358</v>
      </c>
      <c r="B12283" t="s">
        <v>1238</v>
      </c>
      <c r="C12283" t="s">
        <v>88</v>
      </c>
      <c r="D12283" t="s">
        <v>2397</v>
      </c>
      <c r="E12283" t="s">
        <v>964</v>
      </c>
      <c r="F12283" t="s">
        <v>88</v>
      </c>
      <c r="G12283" t="s">
        <v>88</v>
      </c>
      <c r="H12283" t="s">
        <v>92</v>
      </c>
    </row>
    <row r="12284" spans="1:8" x14ac:dyDescent="0.25">
      <c r="A12284" t="s">
        <v>358</v>
      </c>
      <c r="B12284" t="s">
        <v>9740</v>
      </c>
      <c r="C12284" t="s">
        <v>88</v>
      </c>
      <c r="D12284" t="s">
        <v>88</v>
      </c>
      <c r="E12284" t="s">
        <v>735</v>
      </c>
      <c r="F12284" t="s">
        <v>88</v>
      </c>
      <c r="G12284" t="s">
        <v>88</v>
      </c>
      <c r="H12284" t="s">
        <v>92</v>
      </c>
    </row>
    <row r="12285" spans="1:8" x14ac:dyDescent="0.25">
      <c r="A12285" t="s">
        <v>358</v>
      </c>
      <c r="B12285" t="s">
        <v>625</v>
      </c>
      <c r="C12285" t="s">
        <v>88</v>
      </c>
      <c r="D12285" t="s">
        <v>88</v>
      </c>
      <c r="E12285" t="s">
        <v>626</v>
      </c>
      <c r="F12285" t="s">
        <v>88</v>
      </c>
      <c r="G12285" t="s">
        <v>88</v>
      </c>
      <c r="H12285" t="s">
        <v>92</v>
      </c>
    </row>
    <row r="12286" spans="1:8" x14ac:dyDescent="0.25">
      <c r="A12286" t="s">
        <v>359</v>
      </c>
      <c r="B12286" t="s">
        <v>9741</v>
      </c>
      <c r="C12286" t="s">
        <v>88</v>
      </c>
      <c r="D12286" t="s">
        <v>9742</v>
      </c>
      <c r="E12286" t="s">
        <v>4085</v>
      </c>
      <c r="F12286" t="s">
        <v>88</v>
      </c>
      <c r="G12286" t="s">
        <v>88</v>
      </c>
      <c r="H12286" t="s">
        <v>92</v>
      </c>
    </row>
    <row r="12287" spans="1:8" x14ac:dyDescent="0.25">
      <c r="A12287" t="s">
        <v>359</v>
      </c>
      <c r="B12287" t="s">
        <v>3203</v>
      </c>
      <c r="C12287" t="s">
        <v>88</v>
      </c>
      <c r="D12287" t="s">
        <v>9743</v>
      </c>
      <c r="E12287" t="s">
        <v>2166</v>
      </c>
      <c r="F12287" t="s">
        <v>88</v>
      </c>
      <c r="G12287" t="s">
        <v>88</v>
      </c>
      <c r="H12287" t="s">
        <v>92</v>
      </c>
    </row>
    <row r="12288" spans="1:8" x14ac:dyDescent="0.25">
      <c r="A12288" t="s">
        <v>359</v>
      </c>
      <c r="B12288" t="s">
        <v>2178</v>
      </c>
      <c r="C12288" t="s">
        <v>88</v>
      </c>
      <c r="D12288" t="s">
        <v>88</v>
      </c>
      <c r="E12288" t="s">
        <v>780</v>
      </c>
      <c r="F12288" t="s">
        <v>88</v>
      </c>
      <c r="G12288" t="s">
        <v>88</v>
      </c>
      <c r="H12288" t="s">
        <v>92</v>
      </c>
    </row>
    <row r="12289" spans="1:8" x14ac:dyDescent="0.25">
      <c r="A12289" t="s">
        <v>359</v>
      </c>
      <c r="B12289" t="s">
        <v>6223</v>
      </c>
      <c r="C12289" t="s">
        <v>88</v>
      </c>
      <c r="D12289" t="s">
        <v>9743</v>
      </c>
      <c r="E12289" t="s">
        <v>4085</v>
      </c>
      <c r="F12289" t="s">
        <v>88</v>
      </c>
      <c r="G12289" t="s">
        <v>88</v>
      </c>
      <c r="H12289" t="s">
        <v>92</v>
      </c>
    </row>
    <row r="12290" spans="1:8" x14ac:dyDescent="0.25">
      <c r="A12290" t="s">
        <v>359</v>
      </c>
      <c r="B12290" t="s">
        <v>2177</v>
      </c>
      <c r="C12290" t="s">
        <v>88</v>
      </c>
      <c r="D12290" t="s">
        <v>88</v>
      </c>
      <c r="E12290" t="s">
        <v>780</v>
      </c>
      <c r="F12290" t="s">
        <v>88</v>
      </c>
      <c r="G12290" t="s">
        <v>88</v>
      </c>
      <c r="H12290" t="s">
        <v>92</v>
      </c>
    </row>
    <row r="12291" spans="1:8" x14ac:dyDescent="0.25">
      <c r="A12291" t="s">
        <v>359</v>
      </c>
      <c r="B12291" t="s">
        <v>671</v>
      </c>
      <c r="C12291" t="s">
        <v>88</v>
      </c>
      <c r="D12291" t="s">
        <v>9744</v>
      </c>
      <c r="E12291" t="s">
        <v>1139</v>
      </c>
      <c r="F12291" t="s">
        <v>88</v>
      </c>
      <c r="G12291" t="s">
        <v>88</v>
      </c>
      <c r="H12291" t="s">
        <v>92</v>
      </c>
    </row>
    <row r="12292" spans="1:8" x14ac:dyDescent="0.25">
      <c r="A12292" t="s">
        <v>359</v>
      </c>
      <c r="B12292" t="s">
        <v>9741</v>
      </c>
      <c r="C12292" t="s">
        <v>88</v>
      </c>
      <c r="D12292" t="s">
        <v>9742</v>
      </c>
      <c r="E12292" t="s">
        <v>4085</v>
      </c>
      <c r="F12292" t="s">
        <v>88</v>
      </c>
      <c r="G12292" t="s">
        <v>88</v>
      </c>
      <c r="H12292" t="s">
        <v>92</v>
      </c>
    </row>
    <row r="12293" spans="1:8" x14ac:dyDescent="0.25">
      <c r="A12293" t="s">
        <v>359</v>
      </c>
      <c r="B12293" t="s">
        <v>5247</v>
      </c>
      <c r="C12293" t="s">
        <v>88</v>
      </c>
      <c r="D12293" t="s">
        <v>9745</v>
      </c>
      <c r="E12293" t="s">
        <v>780</v>
      </c>
      <c r="F12293" t="s">
        <v>88</v>
      </c>
      <c r="G12293" t="s">
        <v>88</v>
      </c>
      <c r="H12293" t="s">
        <v>92</v>
      </c>
    </row>
    <row r="12294" spans="1:8" x14ac:dyDescent="0.25">
      <c r="A12294" t="s">
        <v>359</v>
      </c>
      <c r="B12294" t="s">
        <v>9746</v>
      </c>
      <c r="C12294" t="s">
        <v>88</v>
      </c>
      <c r="D12294" t="s">
        <v>9747</v>
      </c>
      <c r="E12294" t="s">
        <v>4085</v>
      </c>
      <c r="F12294" t="s">
        <v>88</v>
      </c>
      <c r="G12294" t="s">
        <v>88</v>
      </c>
      <c r="H12294" t="s">
        <v>92</v>
      </c>
    </row>
    <row r="12295" spans="1:8" x14ac:dyDescent="0.25">
      <c r="A12295" t="s">
        <v>359</v>
      </c>
      <c r="B12295" t="s">
        <v>9748</v>
      </c>
      <c r="C12295" t="s">
        <v>88</v>
      </c>
      <c r="D12295" t="s">
        <v>9749</v>
      </c>
      <c r="E12295" t="s">
        <v>4085</v>
      </c>
      <c r="F12295" t="s">
        <v>88</v>
      </c>
      <c r="G12295" t="s">
        <v>88</v>
      </c>
      <c r="H12295" t="s">
        <v>92</v>
      </c>
    </row>
    <row r="12296" spans="1:8" x14ac:dyDescent="0.25">
      <c r="A12296" t="s">
        <v>359</v>
      </c>
      <c r="B12296" t="s">
        <v>9750</v>
      </c>
      <c r="C12296" t="s">
        <v>88</v>
      </c>
      <c r="D12296" t="s">
        <v>9751</v>
      </c>
      <c r="E12296" t="s">
        <v>780</v>
      </c>
      <c r="F12296" t="s">
        <v>88</v>
      </c>
      <c r="G12296" t="s">
        <v>88</v>
      </c>
      <c r="H12296" t="s">
        <v>92</v>
      </c>
    </row>
    <row r="12297" spans="1:8" x14ac:dyDescent="0.25">
      <c r="A12297" t="s">
        <v>359</v>
      </c>
      <c r="B12297" t="s">
        <v>2177</v>
      </c>
      <c r="C12297" t="s">
        <v>88</v>
      </c>
      <c r="D12297" t="s">
        <v>88</v>
      </c>
      <c r="E12297" t="s">
        <v>780</v>
      </c>
      <c r="F12297" t="s">
        <v>88</v>
      </c>
      <c r="G12297" t="s">
        <v>88</v>
      </c>
      <c r="H12297" t="s">
        <v>92</v>
      </c>
    </row>
    <row r="12298" spans="1:8" x14ac:dyDescent="0.25">
      <c r="A12298" t="s">
        <v>359</v>
      </c>
      <c r="B12298" t="s">
        <v>2178</v>
      </c>
      <c r="C12298" t="s">
        <v>88</v>
      </c>
      <c r="D12298" t="s">
        <v>88</v>
      </c>
      <c r="E12298" t="s">
        <v>780</v>
      </c>
      <c r="F12298" t="s">
        <v>88</v>
      </c>
      <c r="G12298" t="s">
        <v>88</v>
      </c>
      <c r="H12298" t="s">
        <v>92</v>
      </c>
    </row>
    <row r="12299" spans="1:8" x14ac:dyDescent="0.25">
      <c r="A12299" t="s">
        <v>359</v>
      </c>
      <c r="B12299" t="s">
        <v>2180</v>
      </c>
      <c r="C12299" t="s">
        <v>88</v>
      </c>
      <c r="D12299" t="s">
        <v>88</v>
      </c>
      <c r="E12299" t="s">
        <v>780</v>
      </c>
      <c r="F12299" t="s">
        <v>88</v>
      </c>
      <c r="G12299" t="s">
        <v>88</v>
      </c>
      <c r="H12299" t="s">
        <v>92</v>
      </c>
    </row>
    <row r="12300" spans="1:8" x14ac:dyDescent="0.25">
      <c r="A12300" t="s">
        <v>359</v>
      </c>
      <c r="B12300" t="s">
        <v>9752</v>
      </c>
      <c r="C12300" t="s">
        <v>88</v>
      </c>
      <c r="D12300" t="s">
        <v>88</v>
      </c>
      <c r="E12300" t="s">
        <v>780</v>
      </c>
      <c r="F12300" t="s">
        <v>88</v>
      </c>
      <c r="G12300" t="s">
        <v>88</v>
      </c>
      <c r="H12300" t="s">
        <v>92</v>
      </c>
    </row>
    <row r="12301" spans="1:8" x14ac:dyDescent="0.25">
      <c r="A12301" t="s">
        <v>359</v>
      </c>
      <c r="B12301" t="s">
        <v>5254</v>
      </c>
      <c r="C12301" t="s">
        <v>88</v>
      </c>
      <c r="D12301" t="s">
        <v>88</v>
      </c>
      <c r="E12301" t="s">
        <v>780</v>
      </c>
      <c r="F12301" t="s">
        <v>88</v>
      </c>
      <c r="G12301" t="s">
        <v>88</v>
      </c>
      <c r="H12301" t="s">
        <v>92</v>
      </c>
    </row>
    <row r="12302" spans="1:8" x14ac:dyDescent="0.25">
      <c r="A12302" t="s">
        <v>359</v>
      </c>
      <c r="B12302" t="s">
        <v>583</v>
      </c>
      <c r="C12302" t="s">
        <v>88</v>
      </c>
      <c r="D12302" t="s">
        <v>9753</v>
      </c>
      <c r="E12302" t="s">
        <v>4085</v>
      </c>
      <c r="F12302" t="s">
        <v>88</v>
      </c>
      <c r="G12302" t="s">
        <v>88</v>
      </c>
      <c r="H12302" t="s">
        <v>92</v>
      </c>
    </row>
    <row r="12303" spans="1:8" x14ac:dyDescent="0.25">
      <c r="A12303" t="s">
        <v>359</v>
      </c>
      <c r="B12303" t="s">
        <v>3203</v>
      </c>
      <c r="C12303" t="s">
        <v>88</v>
      </c>
      <c r="D12303" t="s">
        <v>9743</v>
      </c>
      <c r="E12303" t="s">
        <v>2166</v>
      </c>
      <c r="F12303" t="s">
        <v>88</v>
      </c>
      <c r="G12303" t="s">
        <v>88</v>
      </c>
      <c r="H12303" t="s">
        <v>92</v>
      </c>
    </row>
    <row r="12304" spans="1:8" x14ac:dyDescent="0.25">
      <c r="A12304" t="s">
        <v>359</v>
      </c>
      <c r="B12304" t="s">
        <v>6223</v>
      </c>
      <c r="C12304" t="s">
        <v>88</v>
      </c>
      <c r="D12304" t="s">
        <v>9743</v>
      </c>
      <c r="E12304" t="s">
        <v>4085</v>
      </c>
      <c r="F12304" t="s">
        <v>88</v>
      </c>
      <c r="G12304" t="s">
        <v>88</v>
      </c>
      <c r="H12304" t="s">
        <v>92</v>
      </c>
    </row>
    <row r="12305" spans="1:8" x14ac:dyDescent="0.25">
      <c r="A12305" t="s">
        <v>359</v>
      </c>
      <c r="B12305" t="s">
        <v>2160</v>
      </c>
      <c r="C12305" t="s">
        <v>88</v>
      </c>
      <c r="D12305" t="s">
        <v>88</v>
      </c>
      <c r="E12305" t="s">
        <v>1139</v>
      </c>
      <c r="F12305" t="s">
        <v>88</v>
      </c>
      <c r="G12305" t="s">
        <v>88</v>
      </c>
      <c r="H12305" t="s">
        <v>92</v>
      </c>
    </row>
    <row r="12306" spans="1:8" x14ac:dyDescent="0.25">
      <c r="A12306" t="s">
        <v>359</v>
      </c>
      <c r="B12306" t="s">
        <v>9754</v>
      </c>
      <c r="C12306" t="s">
        <v>88</v>
      </c>
      <c r="D12306" t="s">
        <v>9755</v>
      </c>
      <c r="E12306" t="s">
        <v>4085</v>
      </c>
      <c r="F12306" t="s">
        <v>88</v>
      </c>
      <c r="G12306" t="s">
        <v>88</v>
      </c>
      <c r="H12306" t="s">
        <v>92</v>
      </c>
    </row>
    <row r="12307" spans="1:8" x14ac:dyDescent="0.25">
      <c r="A12307" t="s">
        <v>359</v>
      </c>
      <c r="B12307" t="s">
        <v>2277</v>
      </c>
      <c r="C12307" t="s">
        <v>88</v>
      </c>
      <c r="D12307" t="s">
        <v>9755</v>
      </c>
      <c r="E12307" t="s">
        <v>1139</v>
      </c>
      <c r="F12307" t="s">
        <v>88</v>
      </c>
      <c r="G12307" t="s">
        <v>88</v>
      </c>
      <c r="H12307" t="s">
        <v>92</v>
      </c>
    </row>
    <row r="12308" spans="1:8" x14ac:dyDescent="0.25">
      <c r="A12308" t="s">
        <v>359</v>
      </c>
      <c r="B12308" t="s">
        <v>9756</v>
      </c>
      <c r="C12308" t="s">
        <v>88</v>
      </c>
      <c r="D12308" t="s">
        <v>9755</v>
      </c>
      <c r="E12308" t="s">
        <v>4085</v>
      </c>
      <c r="F12308" t="s">
        <v>88</v>
      </c>
      <c r="G12308" t="s">
        <v>88</v>
      </c>
      <c r="H12308" t="s">
        <v>92</v>
      </c>
    </row>
    <row r="12309" spans="1:8" x14ac:dyDescent="0.25">
      <c r="A12309" t="s">
        <v>359</v>
      </c>
      <c r="B12309" t="s">
        <v>768</v>
      </c>
      <c r="C12309" t="s">
        <v>88</v>
      </c>
      <c r="D12309" t="s">
        <v>9755</v>
      </c>
      <c r="E12309" t="s">
        <v>1139</v>
      </c>
      <c r="F12309" t="s">
        <v>88</v>
      </c>
      <c r="G12309" t="s">
        <v>88</v>
      </c>
      <c r="H12309" t="s">
        <v>92</v>
      </c>
    </row>
    <row r="12310" spans="1:8" x14ac:dyDescent="0.25">
      <c r="A12310" t="s">
        <v>359</v>
      </c>
      <c r="B12310" t="s">
        <v>5928</v>
      </c>
      <c r="C12310" t="s">
        <v>88</v>
      </c>
      <c r="D12310" t="s">
        <v>9755</v>
      </c>
      <c r="E12310" t="s">
        <v>1139</v>
      </c>
      <c r="F12310" t="s">
        <v>88</v>
      </c>
      <c r="G12310" t="s">
        <v>88</v>
      </c>
      <c r="H12310" t="s">
        <v>92</v>
      </c>
    </row>
    <row r="12311" spans="1:8" x14ac:dyDescent="0.25">
      <c r="A12311" t="s">
        <v>359</v>
      </c>
      <c r="B12311" t="s">
        <v>4329</v>
      </c>
      <c r="C12311" t="s">
        <v>88</v>
      </c>
      <c r="D12311" t="s">
        <v>88</v>
      </c>
      <c r="E12311" t="s">
        <v>4085</v>
      </c>
      <c r="F12311" t="s">
        <v>88</v>
      </c>
      <c r="G12311" t="s">
        <v>88</v>
      </c>
      <c r="H12311" t="s">
        <v>92</v>
      </c>
    </row>
    <row r="12312" spans="1:8" x14ac:dyDescent="0.25">
      <c r="A12312" t="s">
        <v>359</v>
      </c>
      <c r="B12312" t="s">
        <v>1322</v>
      </c>
      <c r="C12312" t="s">
        <v>88</v>
      </c>
      <c r="D12312" t="s">
        <v>88</v>
      </c>
      <c r="E12312" t="s">
        <v>780</v>
      </c>
      <c r="F12312" t="s">
        <v>88</v>
      </c>
      <c r="G12312" t="s">
        <v>88</v>
      </c>
      <c r="H12312" t="s">
        <v>92</v>
      </c>
    </row>
    <row r="12313" spans="1:8" x14ac:dyDescent="0.25">
      <c r="A12313" t="s">
        <v>359</v>
      </c>
      <c r="B12313" t="s">
        <v>9757</v>
      </c>
      <c r="C12313" t="s">
        <v>88</v>
      </c>
      <c r="D12313" t="s">
        <v>9758</v>
      </c>
      <c r="E12313" t="s">
        <v>780</v>
      </c>
      <c r="F12313" t="s">
        <v>88</v>
      </c>
      <c r="G12313" t="s">
        <v>88</v>
      </c>
      <c r="H12313" t="s">
        <v>92</v>
      </c>
    </row>
    <row r="12314" spans="1:8" x14ac:dyDescent="0.25">
      <c r="A12314" t="s">
        <v>359</v>
      </c>
      <c r="B12314" t="s">
        <v>106</v>
      </c>
      <c r="C12314" t="s">
        <v>88</v>
      </c>
      <c r="D12314" t="s">
        <v>9759</v>
      </c>
      <c r="E12314" t="s">
        <v>886</v>
      </c>
      <c r="F12314" t="s">
        <v>88</v>
      </c>
      <c r="G12314" t="s">
        <v>88</v>
      </c>
      <c r="H12314" t="s">
        <v>92</v>
      </c>
    </row>
    <row r="12315" spans="1:8" x14ac:dyDescent="0.25">
      <c r="A12315" t="s">
        <v>359</v>
      </c>
      <c r="B12315" t="s">
        <v>606</v>
      </c>
      <c r="C12315" t="s">
        <v>88</v>
      </c>
      <c r="D12315" t="s">
        <v>88</v>
      </c>
      <c r="E12315" t="s">
        <v>2757</v>
      </c>
      <c r="F12315" t="s">
        <v>88</v>
      </c>
      <c r="G12315" t="s">
        <v>88</v>
      </c>
      <c r="H12315" t="s">
        <v>92</v>
      </c>
    </row>
    <row r="12316" spans="1:8" x14ac:dyDescent="0.25">
      <c r="A12316" t="s">
        <v>359</v>
      </c>
      <c r="B12316" t="s">
        <v>1398</v>
      </c>
      <c r="C12316" t="s">
        <v>88</v>
      </c>
      <c r="D12316" t="s">
        <v>9760</v>
      </c>
      <c r="E12316" t="s">
        <v>4085</v>
      </c>
      <c r="F12316" t="s">
        <v>88</v>
      </c>
      <c r="G12316" t="s">
        <v>88</v>
      </c>
      <c r="H12316" t="s">
        <v>92</v>
      </c>
    </row>
    <row r="12317" spans="1:8" x14ac:dyDescent="0.25">
      <c r="A12317" t="s">
        <v>359</v>
      </c>
      <c r="B12317" t="s">
        <v>701</v>
      </c>
      <c r="C12317" t="s">
        <v>88</v>
      </c>
      <c r="D12317" t="s">
        <v>88</v>
      </c>
      <c r="E12317" t="s">
        <v>2748</v>
      </c>
      <c r="F12317" t="s">
        <v>88</v>
      </c>
      <c r="G12317" t="s">
        <v>88</v>
      </c>
      <c r="H12317" t="s">
        <v>92</v>
      </c>
    </row>
    <row r="12318" spans="1:8" x14ac:dyDescent="0.25">
      <c r="A12318" t="s">
        <v>359</v>
      </c>
      <c r="B12318" t="s">
        <v>612</v>
      </c>
      <c r="C12318" t="s">
        <v>88</v>
      </c>
      <c r="D12318" t="s">
        <v>88</v>
      </c>
      <c r="E12318" t="s">
        <v>2748</v>
      </c>
      <c r="F12318" t="s">
        <v>88</v>
      </c>
      <c r="G12318" t="s">
        <v>88</v>
      </c>
      <c r="H12318" t="s">
        <v>92</v>
      </c>
    </row>
    <row r="12319" spans="1:8" x14ac:dyDescent="0.25">
      <c r="A12319" t="s">
        <v>359</v>
      </c>
      <c r="B12319" t="s">
        <v>617</v>
      </c>
      <c r="C12319" t="s">
        <v>88</v>
      </c>
      <c r="D12319" t="s">
        <v>88</v>
      </c>
      <c r="E12319" t="s">
        <v>2748</v>
      </c>
      <c r="F12319" t="s">
        <v>88</v>
      </c>
      <c r="G12319" t="s">
        <v>88</v>
      </c>
      <c r="H12319" t="s">
        <v>92</v>
      </c>
    </row>
    <row r="12320" spans="1:8" x14ac:dyDescent="0.25">
      <c r="A12320" t="s">
        <v>359</v>
      </c>
      <c r="B12320" t="s">
        <v>733</v>
      </c>
      <c r="C12320" t="s">
        <v>88</v>
      </c>
      <c r="D12320" t="s">
        <v>88</v>
      </c>
      <c r="E12320" t="s">
        <v>2748</v>
      </c>
      <c r="F12320" t="s">
        <v>88</v>
      </c>
      <c r="G12320" t="s">
        <v>88</v>
      </c>
      <c r="H12320" t="s">
        <v>92</v>
      </c>
    </row>
    <row r="12321" spans="1:8" x14ac:dyDescent="0.25">
      <c r="A12321" t="s">
        <v>359</v>
      </c>
      <c r="B12321" t="s">
        <v>618</v>
      </c>
      <c r="C12321" t="s">
        <v>88</v>
      </c>
      <c r="D12321" t="s">
        <v>88</v>
      </c>
      <c r="E12321" t="s">
        <v>2751</v>
      </c>
      <c r="F12321" t="s">
        <v>88</v>
      </c>
      <c r="G12321" t="s">
        <v>88</v>
      </c>
      <c r="H12321" t="s">
        <v>92</v>
      </c>
    </row>
    <row r="12322" spans="1:8" x14ac:dyDescent="0.25">
      <c r="A12322" t="s">
        <v>359</v>
      </c>
      <c r="B12322" t="s">
        <v>795</v>
      </c>
      <c r="C12322" t="s">
        <v>88</v>
      </c>
      <c r="D12322" t="s">
        <v>88</v>
      </c>
      <c r="E12322" t="s">
        <v>711</v>
      </c>
      <c r="F12322" t="s">
        <v>88</v>
      </c>
      <c r="G12322" t="s">
        <v>88</v>
      </c>
      <c r="H12322" t="s">
        <v>92</v>
      </c>
    </row>
    <row r="12323" spans="1:8" x14ac:dyDescent="0.25">
      <c r="A12323" t="s">
        <v>359</v>
      </c>
      <c r="B12323" t="s">
        <v>620</v>
      </c>
      <c r="C12323" t="s">
        <v>88</v>
      </c>
      <c r="D12323" t="s">
        <v>88</v>
      </c>
      <c r="E12323" t="s">
        <v>3241</v>
      </c>
      <c r="F12323" t="s">
        <v>88</v>
      </c>
      <c r="G12323" t="s">
        <v>88</v>
      </c>
      <c r="H12323" t="s">
        <v>92</v>
      </c>
    </row>
    <row r="12324" spans="1:8" x14ac:dyDescent="0.25">
      <c r="A12324" t="s">
        <v>359</v>
      </c>
      <c r="B12324" t="s">
        <v>623</v>
      </c>
      <c r="C12324" t="s">
        <v>88</v>
      </c>
      <c r="D12324" t="s">
        <v>88</v>
      </c>
      <c r="E12324" t="s">
        <v>2753</v>
      </c>
      <c r="F12324" t="s">
        <v>88</v>
      </c>
      <c r="G12324" t="s">
        <v>88</v>
      </c>
      <c r="H12324" t="s">
        <v>92</v>
      </c>
    </row>
    <row r="12325" spans="1:8" x14ac:dyDescent="0.25">
      <c r="A12325" t="s">
        <v>359</v>
      </c>
      <c r="B12325" t="s">
        <v>625</v>
      </c>
      <c r="C12325" t="s">
        <v>88</v>
      </c>
      <c r="D12325" t="s">
        <v>88</v>
      </c>
      <c r="E12325" t="s">
        <v>626</v>
      </c>
      <c r="F12325" t="s">
        <v>88</v>
      </c>
      <c r="G12325" t="s">
        <v>88</v>
      </c>
      <c r="H12325" t="s">
        <v>92</v>
      </c>
    </row>
    <row r="12326" spans="1:8" x14ac:dyDescent="0.25">
      <c r="A12326" t="s">
        <v>360</v>
      </c>
      <c r="B12326" t="s">
        <v>9761</v>
      </c>
      <c r="C12326" t="s">
        <v>88</v>
      </c>
      <c r="D12326" t="s">
        <v>9762</v>
      </c>
      <c r="E12326" t="s">
        <v>780</v>
      </c>
      <c r="F12326" t="s">
        <v>88</v>
      </c>
      <c r="G12326" t="s">
        <v>88</v>
      </c>
      <c r="H12326" t="s">
        <v>92</v>
      </c>
    </row>
    <row r="12327" spans="1:8" x14ac:dyDescent="0.25">
      <c r="A12327" t="s">
        <v>360</v>
      </c>
      <c r="B12327" t="s">
        <v>696</v>
      </c>
      <c r="C12327" t="s">
        <v>88</v>
      </c>
      <c r="D12327" t="s">
        <v>3342</v>
      </c>
      <c r="E12327" t="s">
        <v>791</v>
      </c>
      <c r="F12327" t="s">
        <v>88</v>
      </c>
      <c r="G12327" t="s">
        <v>88</v>
      </c>
      <c r="H12327" t="s">
        <v>92</v>
      </c>
    </row>
    <row r="12328" spans="1:8" x14ac:dyDescent="0.25">
      <c r="A12328" t="s">
        <v>360</v>
      </c>
      <c r="B12328" t="s">
        <v>9763</v>
      </c>
      <c r="C12328" t="s">
        <v>88</v>
      </c>
      <c r="D12328" t="s">
        <v>88</v>
      </c>
      <c r="E12328" t="s">
        <v>663</v>
      </c>
      <c r="F12328" t="s">
        <v>88</v>
      </c>
      <c r="G12328" t="s">
        <v>88</v>
      </c>
      <c r="H12328" t="s">
        <v>92</v>
      </c>
    </row>
    <row r="12329" spans="1:8" x14ac:dyDescent="0.25">
      <c r="A12329" t="s">
        <v>360</v>
      </c>
      <c r="B12329" t="s">
        <v>9764</v>
      </c>
      <c r="C12329" t="s">
        <v>88</v>
      </c>
      <c r="D12329" t="s">
        <v>88</v>
      </c>
      <c r="E12329" t="s">
        <v>721</v>
      </c>
      <c r="F12329" t="s">
        <v>88</v>
      </c>
      <c r="G12329" t="s">
        <v>88</v>
      </c>
      <c r="H12329" t="s">
        <v>92</v>
      </c>
    </row>
    <row r="12330" spans="1:8" x14ac:dyDescent="0.25">
      <c r="A12330" t="s">
        <v>360</v>
      </c>
      <c r="B12330" t="s">
        <v>736</v>
      </c>
      <c r="C12330" t="s">
        <v>88</v>
      </c>
      <c r="D12330" t="s">
        <v>9765</v>
      </c>
      <c r="E12330" t="s">
        <v>780</v>
      </c>
      <c r="F12330" t="s">
        <v>88</v>
      </c>
      <c r="G12330" t="s">
        <v>88</v>
      </c>
      <c r="H12330" t="s">
        <v>92</v>
      </c>
    </row>
    <row r="12331" spans="1:8" x14ac:dyDescent="0.25">
      <c r="A12331" t="s">
        <v>360</v>
      </c>
      <c r="B12331" t="s">
        <v>1776</v>
      </c>
      <c r="C12331" t="s">
        <v>88</v>
      </c>
      <c r="D12331" t="s">
        <v>9766</v>
      </c>
      <c r="E12331" t="s">
        <v>721</v>
      </c>
      <c r="F12331" t="s">
        <v>88</v>
      </c>
      <c r="G12331" t="s">
        <v>88</v>
      </c>
      <c r="H12331" t="s">
        <v>92</v>
      </c>
    </row>
    <row r="12332" spans="1:8" x14ac:dyDescent="0.25">
      <c r="A12332" t="s">
        <v>360</v>
      </c>
      <c r="B12332" t="s">
        <v>9741</v>
      </c>
      <c r="C12332" t="s">
        <v>88</v>
      </c>
      <c r="D12332" t="s">
        <v>9767</v>
      </c>
      <c r="E12332" t="s">
        <v>725</v>
      </c>
      <c r="F12332" t="s">
        <v>88</v>
      </c>
      <c r="G12332" t="s">
        <v>88</v>
      </c>
      <c r="H12332" t="s">
        <v>92</v>
      </c>
    </row>
    <row r="12333" spans="1:8" x14ac:dyDescent="0.25">
      <c r="A12333" t="s">
        <v>360</v>
      </c>
      <c r="B12333" t="s">
        <v>4080</v>
      </c>
      <c r="C12333" t="s">
        <v>88</v>
      </c>
      <c r="D12333" t="s">
        <v>88</v>
      </c>
      <c r="E12333" t="s">
        <v>791</v>
      </c>
      <c r="F12333" t="s">
        <v>88</v>
      </c>
      <c r="G12333" t="s">
        <v>88</v>
      </c>
      <c r="H12333" t="s">
        <v>92</v>
      </c>
    </row>
    <row r="12334" spans="1:8" x14ac:dyDescent="0.25">
      <c r="A12334" t="s">
        <v>360</v>
      </c>
      <c r="B12334" t="s">
        <v>9768</v>
      </c>
      <c r="C12334" t="s">
        <v>88</v>
      </c>
      <c r="D12334" t="s">
        <v>88</v>
      </c>
      <c r="E12334" t="s">
        <v>715</v>
      </c>
      <c r="F12334" t="s">
        <v>88</v>
      </c>
      <c r="G12334" t="s">
        <v>88</v>
      </c>
      <c r="H12334" t="s">
        <v>92</v>
      </c>
    </row>
    <row r="12335" spans="1:8" x14ac:dyDescent="0.25">
      <c r="A12335" t="s">
        <v>360</v>
      </c>
      <c r="B12335" t="s">
        <v>9769</v>
      </c>
      <c r="C12335" t="s">
        <v>88</v>
      </c>
      <c r="D12335" t="s">
        <v>88</v>
      </c>
      <c r="E12335" t="s">
        <v>780</v>
      </c>
      <c r="F12335" t="s">
        <v>88</v>
      </c>
      <c r="G12335" t="s">
        <v>88</v>
      </c>
      <c r="H12335" t="s">
        <v>92</v>
      </c>
    </row>
    <row r="12336" spans="1:8" x14ac:dyDescent="0.25">
      <c r="A12336" t="s">
        <v>360</v>
      </c>
      <c r="B12336" t="s">
        <v>9770</v>
      </c>
      <c r="C12336" t="s">
        <v>88</v>
      </c>
      <c r="D12336" t="s">
        <v>88</v>
      </c>
      <c r="E12336" t="s">
        <v>723</v>
      </c>
      <c r="F12336" t="s">
        <v>88</v>
      </c>
      <c r="G12336" t="s">
        <v>88</v>
      </c>
      <c r="H12336" t="s">
        <v>92</v>
      </c>
    </row>
    <row r="12337" spans="1:8" x14ac:dyDescent="0.25">
      <c r="A12337" t="s">
        <v>360</v>
      </c>
      <c r="B12337" t="s">
        <v>948</v>
      </c>
      <c r="C12337" t="s">
        <v>88</v>
      </c>
      <c r="D12337" t="s">
        <v>88</v>
      </c>
      <c r="E12337" t="s">
        <v>735</v>
      </c>
      <c r="F12337" t="s">
        <v>88</v>
      </c>
      <c r="G12337" t="s">
        <v>88</v>
      </c>
      <c r="H12337" t="s">
        <v>92</v>
      </c>
    </row>
    <row r="12338" spans="1:8" x14ac:dyDescent="0.25">
      <c r="A12338" t="s">
        <v>360</v>
      </c>
      <c r="B12338" t="s">
        <v>5251</v>
      </c>
      <c r="C12338" t="s">
        <v>88</v>
      </c>
      <c r="D12338" t="s">
        <v>88</v>
      </c>
      <c r="E12338" t="s">
        <v>715</v>
      </c>
      <c r="F12338" t="s">
        <v>88</v>
      </c>
      <c r="G12338" t="s">
        <v>88</v>
      </c>
      <c r="H12338" t="s">
        <v>92</v>
      </c>
    </row>
    <row r="12339" spans="1:8" x14ac:dyDescent="0.25">
      <c r="A12339" t="s">
        <v>360</v>
      </c>
      <c r="B12339" t="s">
        <v>9771</v>
      </c>
      <c r="C12339" t="s">
        <v>88</v>
      </c>
      <c r="D12339" t="s">
        <v>88</v>
      </c>
      <c r="E12339" t="s">
        <v>959</v>
      </c>
      <c r="F12339" t="s">
        <v>88</v>
      </c>
      <c r="G12339" t="s">
        <v>88</v>
      </c>
      <c r="H12339" t="s">
        <v>92</v>
      </c>
    </row>
    <row r="12340" spans="1:8" x14ac:dyDescent="0.25">
      <c r="A12340" t="s">
        <v>360</v>
      </c>
      <c r="B12340" t="s">
        <v>9772</v>
      </c>
      <c r="C12340" t="s">
        <v>88</v>
      </c>
      <c r="D12340" t="s">
        <v>88</v>
      </c>
      <c r="E12340" t="s">
        <v>959</v>
      </c>
      <c r="F12340" t="s">
        <v>88</v>
      </c>
      <c r="G12340" t="s">
        <v>88</v>
      </c>
      <c r="H12340" t="s">
        <v>92</v>
      </c>
    </row>
    <row r="12341" spans="1:8" x14ac:dyDescent="0.25">
      <c r="A12341" t="s">
        <v>360</v>
      </c>
      <c r="B12341" t="s">
        <v>4873</v>
      </c>
      <c r="C12341" t="s">
        <v>88</v>
      </c>
      <c r="D12341" t="s">
        <v>88</v>
      </c>
      <c r="E12341" t="s">
        <v>959</v>
      </c>
      <c r="F12341" t="s">
        <v>88</v>
      </c>
      <c r="G12341" t="s">
        <v>88</v>
      </c>
      <c r="H12341" t="s">
        <v>92</v>
      </c>
    </row>
    <row r="12342" spans="1:8" x14ac:dyDescent="0.25">
      <c r="A12342" t="s">
        <v>360</v>
      </c>
      <c r="B12342" t="s">
        <v>9773</v>
      </c>
      <c r="C12342" t="s">
        <v>88</v>
      </c>
      <c r="D12342" t="s">
        <v>88</v>
      </c>
      <c r="E12342" t="s">
        <v>959</v>
      </c>
      <c r="F12342" t="s">
        <v>88</v>
      </c>
      <c r="G12342" t="s">
        <v>88</v>
      </c>
      <c r="H12342" t="s">
        <v>92</v>
      </c>
    </row>
    <row r="12343" spans="1:8" x14ac:dyDescent="0.25">
      <c r="A12343" t="s">
        <v>360</v>
      </c>
      <c r="B12343" t="s">
        <v>9774</v>
      </c>
      <c r="C12343" t="s">
        <v>88</v>
      </c>
      <c r="D12343" t="s">
        <v>88</v>
      </c>
      <c r="E12343" t="s">
        <v>959</v>
      </c>
      <c r="F12343" t="s">
        <v>88</v>
      </c>
      <c r="G12343" t="s">
        <v>88</v>
      </c>
      <c r="H12343" t="s">
        <v>92</v>
      </c>
    </row>
    <row r="12344" spans="1:8" x14ac:dyDescent="0.25">
      <c r="A12344" t="s">
        <v>360</v>
      </c>
      <c r="B12344" t="s">
        <v>5250</v>
      </c>
      <c r="C12344" t="s">
        <v>88</v>
      </c>
      <c r="D12344" t="s">
        <v>6645</v>
      </c>
      <c r="E12344" t="s">
        <v>959</v>
      </c>
      <c r="F12344" t="s">
        <v>88</v>
      </c>
      <c r="G12344" t="s">
        <v>88</v>
      </c>
      <c r="H12344" t="s">
        <v>92</v>
      </c>
    </row>
    <row r="12345" spans="1:8" x14ac:dyDescent="0.25">
      <c r="A12345" t="s">
        <v>360</v>
      </c>
      <c r="B12345" t="s">
        <v>5253</v>
      </c>
      <c r="C12345" t="s">
        <v>88</v>
      </c>
      <c r="D12345" t="s">
        <v>9775</v>
      </c>
      <c r="E12345" t="s">
        <v>738</v>
      </c>
      <c r="F12345" t="s">
        <v>88</v>
      </c>
      <c r="G12345" t="s">
        <v>88</v>
      </c>
      <c r="H12345" t="s">
        <v>92</v>
      </c>
    </row>
    <row r="12346" spans="1:8" x14ac:dyDescent="0.25">
      <c r="A12346" t="s">
        <v>360</v>
      </c>
      <c r="B12346" t="s">
        <v>9776</v>
      </c>
      <c r="C12346" t="s">
        <v>88</v>
      </c>
      <c r="D12346" t="s">
        <v>88</v>
      </c>
      <c r="E12346" t="s">
        <v>723</v>
      </c>
      <c r="F12346" t="s">
        <v>88</v>
      </c>
      <c r="G12346" t="s">
        <v>88</v>
      </c>
      <c r="H12346" t="s">
        <v>92</v>
      </c>
    </row>
    <row r="12347" spans="1:8" x14ac:dyDescent="0.25">
      <c r="A12347" t="s">
        <v>360</v>
      </c>
      <c r="B12347" t="s">
        <v>9777</v>
      </c>
      <c r="C12347" t="s">
        <v>88</v>
      </c>
      <c r="D12347" t="s">
        <v>88</v>
      </c>
      <c r="E12347" t="s">
        <v>780</v>
      </c>
      <c r="F12347" t="s">
        <v>88</v>
      </c>
      <c r="G12347" t="s">
        <v>88</v>
      </c>
      <c r="H12347" t="s">
        <v>92</v>
      </c>
    </row>
    <row r="12348" spans="1:8" x14ac:dyDescent="0.25">
      <c r="A12348" t="s">
        <v>360</v>
      </c>
      <c r="B12348" t="s">
        <v>9778</v>
      </c>
      <c r="C12348" t="s">
        <v>88</v>
      </c>
      <c r="D12348" t="s">
        <v>88</v>
      </c>
      <c r="E12348" t="s">
        <v>959</v>
      </c>
      <c r="F12348" t="s">
        <v>88</v>
      </c>
      <c r="G12348" t="s">
        <v>88</v>
      </c>
      <c r="H12348" t="s">
        <v>92</v>
      </c>
    </row>
    <row r="12349" spans="1:8" x14ac:dyDescent="0.25">
      <c r="A12349" t="s">
        <v>360</v>
      </c>
      <c r="B12349" t="s">
        <v>9779</v>
      </c>
      <c r="C12349" t="s">
        <v>88</v>
      </c>
      <c r="D12349" t="s">
        <v>88</v>
      </c>
      <c r="E12349" t="s">
        <v>738</v>
      </c>
      <c r="F12349" t="s">
        <v>88</v>
      </c>
      <c r="G12349" t="s">
        <v>88</v>
      </c>
      <c r="H12349" t="s">
        <v>92</v>
      </c>
    </row>
    <row r="12350" spans="1:8" x14ac:dyDescent="0.25">
      <c r="A12350" t="s">
        <v>360</v>
      </c>
      <c r="B12350" t="s">
        <v>9780</v>
      </c>
      <c r="C12350" t="s">
        <v>88</v>
      </c>
      <c r="D12350" t="s">
        <v>88</v>
      </c>
      <c r="E12350" t="s">
        <v>738</v>
      </c>
      <c r="F12350" t="s">
        <v>88</v>
      </c>
      <c r="G12350" t="s">
        <v>88</v>
      </c>
      <c r="H12350" t="s">
        <v>92</v>
      </c>
    </row>
    <row r="12351" spans="1:8" x14ac:dyDescent="0.25">
      <c r="A12351" t="s">
        <v>360</v>
      </c>
      <c r="B12351" t="s">
        <v>9781</v>
      </c>
      <c r="C12351" t="s">
        <v>88</v>
      </c>
      <c r="D12351" t="s">
        <v>88</v>
      </c>
      <c r="E12351" t="s">
        <v>780</v>
      </c>
      <c r="F12351" t="s">
        <v>88</v>
      </c>
      <c r="G12351" t="s">
        <v>88</v>
      </c>
      <c r="H12351" t="s">
        <v>92</v>
      </c>
    </row>
    <row r="12352" spans="1:8" x14ac:dyDescent="0.25">
      <c r="A12352" t="s">
        <v>360</v>
      </c>
      <c r="B12352" t="s">
        <v>9782</v>
      </c>
      <c r="C12352" t="s">
        <v>88</v>
      </c>
      <c r="D12352" t="s">
        <v>88</v>
      </c>
      <c r="E12352" t="s">
        <v>723</v>
      </c>
      <c r="F12352" t="s">
        <v>88</v>
      </c>
      <c r="G12352" t="s">
        <v>88</v>
      </c>
      <c r="H12352" t="s">
        <v>92</v>
      </c>
    </row>
    <row r="12353" spans="1:8" x14ac:dyDescent="0.25">
      <c r="A12353" t="s">
        <v>360</v>
      </c>
      <c r="B12353" t="s">
        <v>9783</v>
      </c>
      <c r="C12353" t="s">
        <v>88</v>
      </c>
      <c r="D12353" t="s">
        <v>88</v>
      </c>
      <c r="E12353" t="s">
        <v>937</v>
      </c>
      <c r="F12353" t="s">
        <v>88</v>
      </c>
      <c r="G12353" t="s">
        <v>88</v>
      </c>
      <c r="H12353" t="s">
        <v>92</v>
      </c>
    </row>
    <row r="12354" spans="1:8" x14ac:dyDescent="0.25">
      <c r="A12354" t="s">
        <v>360</v>
      </c>
      <c r="B12354" t="s">
        <v>9784</v>
      </c>
      <c r="C12354" t="s">
        <v>88</v>
      </c>
      <c r="D12354" t="s">
        <v>88</v>
      </c>
      <c r="E12354" t="s">
        <v>723</v>
      </c>
      <c r="F12354" t="s">
        <v>88</v>
      </c>
      <c r="G12354" t="s">
        <v>88</v>
      </c>
      <c r="H12354" t="s">
        <v>92</v>
      </c>
    </row>
    <row r="12355" spans="1:8" x14ac:dyDescent="0.25">
      <c r="A12355" t="s">
        <v>360</v>
      </c>
      <c r="B12355" t="s">
        <v>9785</v>
      </c>
      <c r="C12355" t="s">
        <v>88</v>
      </c>
      <c r="D12355" t="s">
        <v>88</v>
      </c>
      <c r="E12355" t="s">
        <v>780</v>
      </c>
      <c r="F12355" t="s">
        <v>88</v>
      </c>
      <c r="G12355" t="s">
        <v>88</v>
      </c>
      <c r="H12355" t="s">
        <v>92</v>
      </c>
    </row>
    <row r="12356" spans="1:8" x14ac:dyDescent="0.25">
      <c r="A12356" t="s">
        <v>360</v>
      </c>
      <c r="B12356" t="s">
        <v>3346</v>
      </c>
      <c r="C12356" t="s">
        <v>88</v>
      </c>
      <c r="D12356" t="s">
        <v>88</v>
      </c>
      <c r="E12356" t="s">
        <v>1323</v>
      </c>
      <c r="F12356" t="s">
        <v>88</v>
      </c>
      <c r="G12356" t="s">
        <v>88</v>
      </c>
      <c r="H12356" t="s">
        <v>92</v>
      </c>
    </row>
    <row r="12357" spans="1:8" x14ac:dyDescent="0.25">
      <c r="A12357" t="s">
        <v>360</v>
      </c>
      <c r="B12357" t="s">
        <v>9786</v>
      </c>
      <c r="C12357" t="s">
        <v>88</v>
      </c>
      <c r="D12357" t="s">
        <v>9787</v>
      </c>
      <c r="E12357" t="s">
        <v>1323</v>
      </c>
      <c r="F12357" t="s">
        <v>88</v>
      </c>
      <c r="G12357" t="s">
        <v>88</v>
      </c>
      <c r="H12357" t="s">
        <v>92</v>
      </c>
    </row>
    <row r="12358" spans="1:8" x14ac:dyDescent="0.25">
      <c r="A12358" t="s">
        <v>360</v>
      </c>
      <c r="B12358" t="s">
        <v>9788</v>
      </c>
      <c r="C12358" t="s">
        <v>88</v>
      </c>
      <c r="D12358" t="s">
        <v>88</v>
      </c>
      <c r="E12358" t="s">
        <v>715</v>
      </c>
      <c r="F12358" t="s">
        <v>88</v>
      </c>
      <c r="G12358" t="s">
        <v>88</v>
      </c>
      <c r="H12358" t="s">
        <v>92</v>
      </c>
    </row>
    <row r="12359" spans="1:8" x14ac:dyDescent="0.25">
      <c r="A12359" t="s">
        <v>360</v>
      </c>
      <c r="B12359" t="s">
        <v>3343</v>
      </c>
      <c r="C12359" t="s">
        <v>88</v>
      </c>
      <c r="D12359" t="s">
        <v>88</v>
      </c>
      <c r="E12359" t="s">
        <v>959</v>
      </c>
      <c r="F12359" t="s">
        <v>88</v>
      </c>
      <c r="G12359" t="s">
        <v>88</v>
      </c>
      <c r="H12359" t="s">
        <v>92</v>
      </c>
    </row>
    <row r="12360" spans="1:8" x14ac:dyDescent="0.25">
      <c r="A12360" t="s">
        <v>360</v>
      </c>
      <c r="B12360" t="s">
        <v>695</v>
      </c>
      <c r="C12360" t="s">
        <v>88</v>
      </c>
      <c r="D12360" t="s">
        <v>88</v>
      </c>
      <c r="E12360" t="s">
        <v>791</v>
      </c>
      <c r="F12360" t="s">
        <v>88</v>
      </c>
      <c r="G12360" t="s">
        <v>88</v>
      </c>
      <c r="H12360" t="s">
        <v>92</v>
      </c>
    </row>
    <row r="12361" spans="1:8" x14ac:dyDescent="0.25">
      <c r="A12361" t="s">
        <v>360</v>
      </c>
      <c r="B12361" t="s">
        <v>693</v>
      </c>
      <c r="C12361" t="s">
        <v>88</v>
      </c>
      <c r="D12361" t="s">
        <v>88</v>
      </c>
      <c r="E12361" t="s">
        <v>791</v>
      </c>
      <c r="F12361" t="s">
        <v>88</v>
      </c>
      <c r="G12361" t="s">
        <v>88</v>
      </c>
      <c r="H12361" t="s">
        <v>92</v>
      </c>
    </row>
    <row r="12362" spans="1:8" x14ac:dyDescent="0.25">
      <c r="A12362" t="s">
        <v>360</v>
      </c>
      <c r="B12362" t="s">
        <v>9789</v>
      </c>
      <c r="C12362" t="s">
        <v>88</v>
      </c>
      <c r="D12362" t="s">
        <v>9790</v>
      </c>
      <c r="E12362" t="s">
        <v>715</v>
      </c>
      <c r="F12362" t="s">
        <v>88</v>
      </c>
      <c r="G12362" t="s">
        <v>88</v>
      </c>
      <c r="H12362" t="s">
        <v>92</v>
      </c>
    </row>
    <row r="12363" spans="1:8" x14ac:dyDescent="0.25">
      <c r="A12363" t="s">
        <v>360</v>
      </c>
      <c r="B12363" t="s">
        <v>696</v>
      </c>
      <c r="C12363" t="s">
        <v>88</v>
      </c>
      <c r="D12363" t="s">
        <v>3342</v>
      </c>
      <c r="E12363" t="s">
        <v>791</v>
      </c>
      <c r="F12363" t="s">
        <v>88</v>
      </c>
      <c r="G12363" t="s">
        <v>88</v>
      </c>
      <c r="H12363" t="s">
        <v>92</v>
      </c>
    </row>
    <row r="12364" spans="1:8" x14ac:dyDescent="0.25">
      <c r="A12364" t="s">
        <v>360</v>
      </c>
      <c r="B12364" t="s">
        <v>9791</v>
      </c>
      <c r="C12364" t="s">
        <v>88</v>
      </c>
      <c r="D12364" t="s">
        <v>9792</v>
      </c>
      <c r="E12364" t="s">
        <v>738</v>
      </c>
      <c r="F12364" t="s">
        <v>88</v>
      </c>
      <c r="G12364" t="s">
        <v>88</v>
      </c>
      <c r="H12364" t="s">
        <v>92</v>
      </c>
    </row>
    <row r="12365" spans="1:8" x14ac:dyDescent="0.25">
      <c r="A12365" t="s">
        <v>360</v>
      </c>
      <c r="B12365" t="s">
        <v>1780</v>
      </c>
      <c r="C12365" t="s">
        <v>88</v>
      </c>
      <c r="D12365" t="s">
        <v>88</v>
      </c>
      <c r="E12365" t="s">
        <v>1323</v>
      </c>
      <c r="F12365" t="s">
        <v>88</v>
      </c>
      <c r="G12365" t="s">
        <v>88</v>
      </c>
      <c r="H12365" t="s">
        <v>92</v>
      </c>
    </row>
    <row r="12366" spans="1:8" x14ac:dyDescent="0.25">
      <c r="A12366" t="s">
        <v>360</v>
      </c>
      <c r="B12366" t="s">
        <v>2194</v>
      </c>
      <c r="C12366" t="s">
        <v>88</v>
      </c>
      <c r="D12366" t="s">
        <v>88</v>
      </c>
      <c r="E12366" t="s">
        <v>721</v>
      </c>
      <c r="F12366" t="s">
        <v>88</v>
      </c>
      <c r="G12366" t="s">
        <v>88</v>
      </c>
      <c r="H12366" t="s">
        <v>92</v>
      </c>
    </row>
    <row r="12367" spans="1:8" x14ac:dyDescent="0.25">
      <c r="A12367" t="s">
        <v>360</v>
      </c>
      <c r="B12367" t="s">
        <v>9793</v>
      </c>
      <c r="C12367" t="s">
        <v>88</v>
      </c>
      <c r="D12367" t="s">
        <v>88</v>
      </c>
      <c r="E12367" t="s">
        <v>721</v>
      </c>
      <c r="F12367" t="s">
        <v>88</v>
      </c>
      <c r="G12367" t="s">
        <v>88</v>
      </c>
      <c r="H12367" t="s">
        <v>92</v>
      </c>
    </row>
    <row r="12368" spans="1:8" x14ac:dyDescent="0.25">
      <c r="A12368" t="s">
        <v>360</v>
      </c>
      <c r="B12368" t="s">
        <v>2196</v>
      </c>
      <c r="C12368" t="s">
        <v>88</v>
      </c>
      <c r="D12368" t="s">
        <v>88</v>
      </c>
      <c r="E12368" t="s">
        <v>721</v>
      </c>
      <c r="F12368" t="s">
        <v>88</v>
      </c>
      <c r="G12368" t="s">
        <v>88</v>
      </c>
      <c r="H12368" t="s">
        <v>92</v>
      </c>
    </row>
    <row r="12369" spans="1:8" x14ac:dyDescent="0.25">
      <c r="A12369" t="s">
        <v>360</v>
      </c>
      <c r="B12369" t="s">
        <v>9794</v>
      </c>
      <c r="C12369" t="s">
        <v>88</v>
      </c>
      <c r="D12369" t="s">
        <v>88</v>
      </c>
      <c r="E12369" t="s">
        <v>721</v>
      </c>
      <c r="F12369" t="s">
        <v>88</v>
      </c>
      <c r="G12369" t="s">
        <v>88</v>
      </c>
      <c r="H12369" t="s">
        <v>92</v>
      </c>
    </row>
    <row r="12370" spans="1:8" x14ac:dyDescent="0.25">
      <c r="A12370" t="s">
        <v>360</v>
      </c>
      <c r="B12370" t="s">
        <v>5000</v>
      </c>
      <c r="C12370" t="s">
        <v>88</v>
      </c>
      <c r="D12370" t="s">
        <v>88</v>
      </c>
      <c r="E12370" t="s">
        <v>721</v>
      </c>
      <c r="F12370" t="s">
        <v>88</v>
      </c>
      <c r="G12370" t="s">
        <v>88</v>
      </c>
      <c r="H12370" t="s">
        <v>92</v>
      </c>
    </row>
    <row r="12371" spans="1:8" x14ac:dyDescent="0.25">
      <c r="A12371" t="s">
        <v>360</v>
      </c>
      <c r="B12371" t="s">
        <v>9795</v>
      </c>
      <c r="C12371" t="s">
        <v>88</v>
      </c>
      <c r="D12371" t="s">
        <v>88</v>
      </c>
      <c r="E12371" t="s">
        <v>721</v>
      </c>
      <c r="F12371" t="s">
        <v>88</v>
      </c>
      <c r="G12371" t="s">
        <v>88</v>
      </c>
      <c r="H12371" t="s">
        <v>92</v>
      </c>
    </row>
    <row r="12372" spans="1:8" x14ac:dyDescent="0.25">
      <c r="A12372" t="s">
        <v>360</v>
      </c>
      <c r="B12372" t="s">
        <v>9796</v>
      </c>
      <c r="C12372" t="s">
        <v>88</v>
      </c>
      <c r="D12372" t="s">
        <v>88</v>
      </c>
      <c r="E12372" t="s">
        <v>721</v>
      </c>
      <c r="F12372" t="s">
        <v>88</v>
      </c>
      <c r="G12372" t="s">
        <v>88</v>
      </c>
      <c r="H12372" t="s">
        <v>92</v>
      </c>
    </row>
    <row r="12373" spans="1:8" x14ac:dyDescent="0.25">
      <c r="A12373" t="s">
        <v>360</v>
      </c>
      <c r="B12373" t="s">
        <v>9797</v>
      </c>
      <c r="C12373" t="s">
        <v>88</v>
      </c>
      <c r="D12373" t="s">
        <v>88</v>
      </c>
      <c r="E12373" t="s">
        <v>721</v>
      </c>
      <c r="F12373" t="s">
        <v>88</v>
      </c>
      <c r="G12373" t="s">
        <v>88</v>
      </c>
      <c r="H12373" t="s">
        <v>92</v>
      </c>
    </row>
    <row r="12374" spans="1:8" x14ac:dyDescent="0.25">
      <c r="A12374" t="s">
        <v>360</v>
      </c>
      <c r="B12374" t="s">
        <v>9798</v>
      </c>
      <c r="C12374" t="s">
        <v>88</v>
      </c>
      <c r="D12374" t="s">
        <v>88</v>
      </c>
      <c r="E12374" t="s">
        <v>721</v>
      </c>
      <c r="F12374" t="s">
        <v>88</v>
      </c>
      <c r="G12374" t="s">
        <v>88</v>
      </c>
      <c r="H12374" t="s">
        <v>92</v>
      </c>
    </row>
    <row r="12375" spans="1:8" x14ac:dyDescent="0.25">
      <c r="A12375" t="s">
        <v>360</v>
      </c>
      <c r="B12375" t="s">
        <v>876</v>
      </c>
      <c r="C12375" t="s">
        <v>88</v>
      </c>
      <c r="D12375" t="s">
        <v>9799</v>
      </c>
      <c r="E12375" t="s">
        <v>655</v>
      </c>
      <c r="F12375" t="s">
        <v>88</v>
      </c>
      <c r="G12375" t="s">
        <v>88</v>
      </c>
      <c r="H12375" t="s">
        <v>92</v>
      </c>
    </row>
    <row r="12376" spans="1:8" x14ac:dyDescent="0.25">
      <c r="A12376" t="s">
        <v>360</v>
      </c>
      <c r="B12376" t="s">
        <v>6565</v>
      </c>
      <c r="C12376" t="s">
        <v>88</v>
      </c>
      <c r="D12376" t="s">
        <v>9799</v>
      </c>
      <c r="E12376" t="s">
        <v>655</v>
      </c>
      <c r="F12376" t="s">
        <v>88</v>
      </c>
      <c r="G12376" t="s">
        <v>88</v>
      </c>
      <c r="H12376" t="s">
        <v>92</v>
      </c>
    </row>
    <row r="12377" spans="1:8" x14ac:dyDescent="0.25">
      <c r="A12377" t="s">
        <v>360</v>
      </c>
      <c r="B12377" t="s">
        <v>9800</v>
      </c>
      <c r="C12377" t="s">
        <v>88</v>
      </c>
      <c r="D12377" t="s">
        <v>9799</v>
      </c>
      <c r="E12377" t="s">
        <v>655</v>
      </c>
      <c r="F12377" t="s">
        <v>88</v>
      </c>
      <c r="G12377" t="s">
        <v>88</v>
      </c>
      <c r="H12377" t="s">
        <v>92</v>
      </c>
    </row>
    <row r="12378" spans="1:8" x14ac:dyDescent="0.25">
      <c r="A12378" t="s">
        <v>360</v>
      </c>
      <c r="B12378" t="s">
        <v>768</v>
      </c>
      <c r="C12378" t="s">
        <v>88</v>
      </c>
      <c r="D12378" t="s">
        <v>9799</v>
      </c>
      <c r="E12378" t="s">
        <v>655</v>
      </c>
      <c r="F12378" t="s">
        <v>88</v>
      </c>
      <c r="G12378" t="s">
        <v>88</v>
      </c>
      <c r="H12378" t="s">
        <v>92</v>
      </c>
    </row>
    <row r="12379" spans="1:8" x14ac:dyDescent="0.25">
      <c r="A12379" t="s">
        <v>360</v>
      </c>
      <c r="B12379" t="s">
        <v>759</v>
      </c>
      <c r="C12379" t="s">
        <v>88</v>
      </c>
      <c r="D12379" t="s">
        <v>9799</v>
      </c>
      <c r="E12379" t="s">
        <v>655</v>
      </c>
      <c r="F12379" t="s">
        <v>88</v>
      </c>
      <c r="G12379" t="s">
        <v>88</v>
      </c>
      <c r="H12379" t="s">
        <v>92</v>
      </c>
    </row>
    <row r="12380" spans="1:8" x14ac:dyDescent="0.25">
      <c r="A12380" t="s">
        <v>360</v>
      </c>
      <c r="B12380" t="s">
        <v>898</v>
      </c>
      <c r="C12380" t="s">
        <v>88</v>
      </c>
      <c r="D12380" t="s">
        <v>9799</v>
      </c>
      <c r="E12380" t="s">
        <v>655</v>
      </c>
      <c r="F12380" t="s">
        <v>88</v>
      </c>
      <c r="G12380" t="s">
        <v>88</v>
      </c>
      <c r="H12380" t="s">
        <v>92</v>
      </c>
    </row>
    <row r="12381" spans="1:8" x14ac:dyDescent="0.25">
      <c r="A12381" t="s">
        <v>360</v>
      </c>
      <c r="B12381" t="s">
        <v>740</v>
      </c>
      <c r="C12381" t="s">
        <v>88</v>
      </c>
      <c r="D12381" t="s">
        <v>9799</v>
      </c>
      <c r="E12381" t="s">
        <v>663</v>
      </c>
      <c r="F12381" t="s">
        <v>88</v>
      </c>
      <c r="G12381" t="s">
        <v>88</v>
      </c>
      <c r="H12381" t="s">
        <v>92</v>
      </c>
    </row>
    <row r="12382" spans="1:8" x14ac:dyDescent="0.25">
      <c r="A12382" t="s">
        <v>360</v>
      </c>
      <c r="B12382" t="s">
        <v>7377</v>
      </c>
      <c r="C12382" t="s">
        <v>88</v>
      </c>
      <c r="D12382" t="s">
        <v>9799</v>
      </c>
      <c r="E12382" t="s">
        <v>676</v>
      </c>
      <c r="F12382" t="s">
        <v>88</v>
      </c>
      <c r="G12382" t="s">
        <v>88</v>
      </c>
      <c r="H12382" t="s">
        <v>92</v>
      </c>
    </row>
    <row r="12383" spans="1:8" x14ac:dyDescent="0.25">
      <c r="A12383" t="s">
        <v>360</v>
      </c>
      <c r="B12383" t="s">
        <v>9801</v>
      </c>
      <c r="C12383" t="s">
        <v>88</v>
      </c>
      <c r="D12383" t="s">
        <v>9799</v>
      </c>
      <c r="E12383" t="s">
        <v>676</v>
      </c>
      <c r="F12383" t="s">
        <v>88</v>
      </c>
      <c r="G12383" t="s">
        <v>88</v>
      </c>
      <c r="H12383" t="s">
        <v>92</v>
      </c>
    </row>
    <row r="12384" spans="1:8" x14ac:dyDescent="0.25">
      <c r="A12384" t="s">
        <v>360</v>
      </c>
      <c r="B12384" t="s">
        <v>764</v>
      </c>
      <c r="C12384" t="s">
        <v>88</v>
      </c>
      <c r="D12384" t="s">
        <v>9799</v>
      </c>
      <c r="E12384" t="s">
        <v>700</v>
      </c>
      <c r="F12384" t="s">
        <v>88</v>
      </c>
      <c r="G12384" t="s">
        <v>88</v>
      </c>
      <c r="H12384" t="s">
        <v>92</v>
      </c>
    </row>
    <row r="12385" spans="1:8" x14ac:dyDescent="0.25">
      <c r="A12385" t="s">
        <v>360</v>
      </c>
      <c r="B12385" t="s">
        <v>769</v>
      </c>
      <c r="C12385" t="s">
        <v>88</v>
      </c>
      <c r="D12385" t="s">
        <v>9802</v>
      </c>
      <c r="E12385" t="s">
        <v>812</v>
      </c>
      <c r="F12385" t="s">
        <v>88</v>
      </c>
      <c r="G12385" t="s">
        <v>88</v>
      </c>
      <c r="H12385" t="s">
        <v>92</v>
      </c>
    </row>
    <row r="12386" spans="1:8" x14ac:dyDescent="0.25">
      <c r="A12386" t="s">
        <v>360</v>
      </c>
      <c r="B12386" t="s">
        <v>736</v>
      </c>
      <c r="C12386" t="s">
        <v>88</v>
      </c>
      <c r="D12386" t="s">
        <v>9765</v>
      </c>
      <c r="E12386" t="s">
        <v>780</v>
      </c>
      <c r="F12386" t="s">
        <v>88</v>
      </c>
      <c r="G12386" t="s">
        <v>88</v>
      </c>
      <c r="H12386" t="s">
        <v>92</v>
      </c>
    </row>
    <row r="12387" spans="1:8" x14ac:dyDescent="0.25">
      <c r="A12387" t="s">
        <v>360</v>
      </c>
      <c r="B12387" t="s">
        <v>9803</v>
      </c>
      <c r="C12387" t="s">
        <v>88</v>
      </c>
      <c r="D12387" t="s">
        <v>9765</v>
      </c>
      <c r="E12387" t="s">
        <v>780</v>
      </c>
      <c r="F12387" t="s">
        <v>88</v>
      </c>
      <c r="G12387" t="s">
        <v>88</v>
      </c>
      <c r="H12387" t="s">
        <v>92</v>
      </c>
    </row>
    <row r="12388" spans="1:8" x14ac:dyDescent="0.25">
      <c r="A12388" t="s">
        <v>360</v>
      </c>
      <c r="B12388" t="s">
        <v>777</v>
      </c>
      <c r="C12388" t="s">
        <v>88</v>
      </c>
      <c r="D12388" t="s">
        <v>9765</v>
      </c>
      <c r="E12388" t="s">
        <v>780</v>
      </c>
      <c r="F12388" t="s">
        <v>88</v>
      </c>
      <c r="G12388" t="s">
        <v>88</v>
      </c>
      <c r="H12388" t="s">
        <v>92</v>
      </c>
    </row>
    <row r="12389" spans="1:8" x14ac:dyDescent="0.25">
      <c r="A12389" t="s">
        <v>360</v>
      </c>
      <c r="B12389" t="s">
        <v>776</v>
      </c>
      <c r="C12389" t="s">
        <v>88</v>
      </c>
      <c r="D12389" t="s">
        <v>9765</v>
      </c>
      <c r="E12389" t="s">
        <v>780</v>
      </c>
      <c r="F12389" t="s">
        <v>88</v>
      </c>
      <c r="G12389" t="s">
        <v>88</v>
      </c>
      <c r="H12389" t="s">
        <v>92</v>
      </c>
    </row>
    <row r="12390" spans="1:8" x14ac:dyDescent="0.25">
      <c r="A12390" t="s">
        <v>360</v>
      </c>
      <c r="B12390" t="s">
        <v>9804</v>
      </c>
      <c r="C12390" t="s">
        <v>88</v>
      </c>
      <c r="D12390" t="s">
        <v>9765</v>
      </c>
      <c r="E12390" t="s">
        <v>780</v>
      </c>
      <c r="F12390" t="s">
        <v>88</v>
      </c>
      <c r="G12390" t="s">
        <v>88</v>
      </c>
      <c r="H12390" t="s">
        <v>92</v>
      </c>
    </row>
    <row r="12391" spans="1:8" x14ac:dyDescent="0.25">
      <c r="A12391" t="s">
        <v>360</v>
      </c>
      <c r="B12391" t="s">
        <v>2009</v>
      </c>
      <c r="C12391" t="s">
        <v>88</v>
      </c>
      <c r="D12391" t="s">
        <v>9765</v>
      </c>
      <c r="E12391" t="s">
        <v>780</v>
      </c>
      <c r="F12391" t="s">
        <v>88</v>
      </c>
      <c r="G12391" t="s">
        <v>88</v>
      </c>
      <c r="H12391" t="s">
        <v>92</v>
      </c>
    </row>
    <row r="12392" spans="1:8" x14ac:dyDescent="0.25">
      <c r="A12392" t="s">
        <v>360</v>
      </c>
      <c r="B12392" t="s">
        <v>739</v>
      </c>
      <c r="C12392" t="s">
        <v>88</v>
      </c>
      <c r="D12392" t="s">
        <v>9765</v>
      </c>
      <c r="E12392" t="s">
        <v>791</v>
      </c>
      <c r="F12392" t="s">
        <v>88</v>
      </c>
      <c r="G12392" t="s">
        <v>88</v>
      </c>
      <c r="H12392" t="s">
        <v>92</v>
      </c>
    </row>
    <row r="12393" spans="1:8" x14ac:dyDescent="0.25">
      <c r="A12393" t="s">
        <v>360</v>
      </c>
      <c r="B12393" t="s">
        <v>9805</v>
      </c>
      <c r="C12393" t="s">
        <v>88</v>
      </c>
      <c r="D12393" t="s">
        <v>9806</v>
      </c>
      <c r="E12393" t="s">
        <v>663</v>
      </c>
      <c r="F12393" t="s">
        <v>88</v>
      </c>
      <c r="G12393" t="s">
        <v>88</v>
      </c>
      <c r="H12393" t="s">
        <v>92</v>
      </c>
    </row>
    <row r="12394" spans="1:8" x14ac:dyDescent="0.25">
      <c r="A12394" t="s">
        <v>360</v>
      </c>
      <c r="B12394" t="s">
        <v>9807</v>
      </c>
      <c r="C12394" t="s">
        <v>88</v>
      </c>
      <c r="D12394" t="s">
        <v>9808</v>
      </c>
      <c r="E12394" t="s">
        <v>791</v>
      </c>
      <c r="F12394" t="s">
        <v>88</v>
      </c>
      <c r="G12394" t="s">
        <v>88</v>
      </c>
      <c r="H12394" t="s">
        <v>92</v>
      </c>
    </row>
    <row r="12395" spans="1:8" x14ac:dyDescent="0.25">
      <c r="A12395" t="s">
        <v>360</v>
      </c>
      <c r="B12395" t="s">
        <v>9761</v>
      </c>
      <c r="C12395" t="s">
        <v>88</v>
      </c>
      <c r="D12395" t="s">
        <v>9762</v>
      </c>
      <c r="E12395" t="s">
        <v>780</v>
      </c>
      <c r="F12395" t="s">
        <v>88</v>
      </c>
      <c r="G12395" t="s">
        <v>88</v>
      </c>
      <c r="H12395" t="s">
        <v>92</v>
      </c>
    </row>
    <row r="12396" spans="1:8" x14ac:dyDescent="0.25">
      <c r="A12396" t="s">
        <v>360</v>
      </c>
      <c r="B12396" t="s">
        <v>2204</v>
      </c>
      <c r="C12396" t="s">
        <v>88</v>
      </c>
      <c r="D12396" t="s">
        <v>88</v>
      </c>
      <c r="E12396" t="s">
        <v>780</v>
      </c>
      <c r="F12396" t="s">
        <v>88</v>
      </c>
      <c r="G12396" t="s">
        <v>88</v>
      </c>
      <c r="H12396" t="s">
        <v>92</v>
      </c>
    </row>
    <row r="12397" spans="1:8" x14ac:dyDescent="0.25">
      <c r="A12397" t="s">
        <v>360</v>
      </c>
      <c r="B12397" t="s">
        <v>9809</v>
      </c>
      <c r="C12397" t="s">
        <v>88</v>
      </c>
      <c r="D12397" t="s">
        <v>88</v>
      </c>
      <c r="E12397" t="s">
        <v>937</v>
      </c>
      <c r="F12397" t="s">
        <v>88</v>
      </c>
      <c r="G12397" t="s">
        <v>88</v>
      </c>
      <c r="H12397" t="s">
        <v>92</v>
      </c>
    </row>
    <row r="12398" spans="1:8" x14ac:dyDescent="0.25">
      <c r="A12398" t="s">
        <v>360</v>
      </c>
      <c r="B12398" t="s">
        <v>2202</v>
      </c>
      <c r="C12398" t="s">
        <v>88</v>
      </c>
      <c r="D12398" t="s">
        <v>88</v>
      </c>
      <c r="E12398" t="s">
        <v>738</v>
      </c>
      <c r="F12398" t="s">
        <v>88</v>
      </c>
      <c r="G12398" t="s">
        <v>88</v>
      </c>
      <c r="H12398" t="s">
        <v>92</v>
      </c>
    </row>
    <row r="12399" spans="1:8" x14ac:dyDescent="0.25">
      <c r="A12399" t="s">
        <v>360</v>
      </c>
      <c r="B12399" t="s">
        <v>9810</v>
      </c>
      <c r="C12399" t="s">
        <v>88</v>
      </c>
      <c r="D12399" t="s">
        <v>88</v>
      </c>
      <c r="E12399" t="s">
        <v>723</v>
      </c>
      <c r="F12399" t="s">
        <v>88</v>
      </c>
      <c r="G12399" t="s">
        <v>88</v>
      </c>
      <c r="H12399" t="s">
        <v>92</v>
      </c>
    </row>
    <row r="12400" spans="1:8" x14ac:dyDescent="0.25">
      <c r="A12400" t="s">
        <v>360</v>
      </c>
      <c r="B12400" t="s">
        <v>9811</v>
      </c>
      <c r="C12400" t="s">
        <v>88</v>
      </c>
      <c r="D12400" t="s">
        <v>88</v>
      </c>
      <c r="E12400" t="s">
        <v>937</v>
      </c>
      <c r="F12400" t="s">
        <v>88</v>
      </c>
      <c r="G12400" t="s">
        <v>88</v>
      </c>
      <c r="H12400" t="s">
        <v>92</v>
      </c>
    </row>
    <row r="12401" spans="1:8" x14ac:dyDescent="0.25">
      <c r="A12401" t="s">
        <v>360</v>
      </c>
      <c r="B12401" t="s">
        <v>9764</v>
      </c>
      <c r="C12401" t="s">
        <v>88</v>
      </c>
      <c r="D12401" t="s">
        <v>88</v>
      </c>
      <c r="E12401" t="s">
        <v>721</v>
      </c>
      <c r="F12401" t="s">
        <v>88</v>
      </c>
      <c r="G12401" t="s">
        <v>88</v>
      </c>
      <c r="H12401" t="s">
        <v>92</v>
      </c>
    </row>
    <row r="12402" spans="1:8" x14ac:dyDescent="0.25">
      <c r="A12402" t="s">
        <v>360</v>
      </c>
      <c r="B12402" t="s">
        <v>9812</v>
      </c>
      <c r="C12402" t="s">
        <v>88</v>
      </c>
      <c r="D12402" t="s">
        <v>88</v>
      </c>
      <c r="E12402" t="s">
        <v>663</v>
      </c>
      <c r="F12402" t="s">
        <v>88</v>
      </c>
      <c r="G12402" t="s">
        <v>88</v>
      </c>
      <c r="H12402" t="s">
        <v>92</v>
      </c>
    </row>
    <row r="12403" spans="1:8" x14ac:dyDescent="0.25">
      <c r="A12403" t="s">
        <v>360</v>
      </c>
      <c r="B12403" t="s">
        <v>9813</v>
      </c>
      <c r="C12403" t="s">
        <v>88</v>
      </c>
      <c r="D12403" t="s">
        <v>88</v>
      </c>
      <c r="E12403" t="s">
        <v>679</v>
      </c>
      <c r="F12403" t="s">
        <v>88</v>
      </c>
      <c r="G12403" t="s">
        <v>88</v>
      </c>
      <c r="H12403" t="s">
        <v>92</v>
      </c>
    </row>
    <row r="12404" spans="1:8" x14ac:dyDescent="0.25">
      <c r="A12404" t="s">
        <v>360</v>
      </c>
      <c r="B12404" t="s">
        <v>9814</v>
      </c>
      <c r="C12404" t="s">
        <v>88</v>
      </c>
      <c r="D12404" t="s">
        <v>88</v>
      </c>
      <c r="E12404" t="s">
        <v>679</v>
      </c>
      <c r="F12404" t="s">
        <v>88</v>
      </c>
      <c r="G12404" t="s">
        <v>88</v>
      </c>
      <c r="H12404" t="s">
        <v>92</v>
      </c>
    </row>
    <row r="12405" spans="1:8" x14ac:dyDescent="0.25">
      <c r="A12405" t="s">
        <v>360</v>
      </c>
      <c r="B12405" t="s">
        <v>9763</v>
      </c>
      <c r="C12405" t="s">
        <v>88</v>
      </c>
      <c r="D12405" t="s">
        <v>88</v>
      </c>
      <c r="E12405" t="s">
        <v>663</v>
      </c>
      <c r="F12405" t="s">
        <v>88</v>
      </c>
      <c r="G12405" t="s">
        <v>88</v>
      </c>
      <c r="H12405" t="s">
        <v>92</v>
      </c>
    </row>
    <row r="12406" spans="1:8" x14ac:dyDescent="0.25">
      <c r="A12406" t="s">
        <v>360</v>
      </c>
      <c r="B12406" t="s">
        <v>9815</v>
      </c>
      <c r="C12406" t="s">
        <v>88</v>
      </c>
      <c r="D12406" t="s">
        <v>88</v>
      </c>
      <c r="E12406" t="s">
        <v>679</v>
      </c>
      <c r="F12406" t="s">
        <v>88</v>
      </c>
      <c r="G12406" t="s">
        <v>88</v>
      </c>
      <c r="H12406" t="s">
        <v>92</v>
      </c>
    </row>
    <row r="12407" spans="1:8" x14ac:dyDescent="0.25">
      <c r="A12407" t="s">
        <v>360</v>
      </c>
      <c r="B12407" t="s">
        <v>2203</v>
      </c>
      <c r="C12407" t="s">
        <v>88</v>
      </c>
      <c r="D12407" t="s">
        <v>88</v>
      </c>
      <c r="E12407" t="s">
        <v>780</v>
      </c>
      <c r="F12407" t="s">
        <v>88</v>
      </c>
      <c r="G12407" t="s">
        <v>88</v>
      </c>
      <c r="H12407" t="s">
        <v>92</v>
      </c>
    </row>
    <row r="12408" spans="1:8" x14ac:dyDescent="0.25">
      <c r="A12408" t="s">
        <v>360</v>
      </c>
      <c r="B12408" t="s">
        <v>3450</v>
      </c>
      <c r="C12408" t="s">
        <v>88</v>
      </c>
      <c r="D12408" t="s">
        <v>88</v>
      </c>
      <c r="E12408" t="s">
        <v>723</v>
      </c>
      <c r="F12408" t="s">
        <v>88</v>
      </c>
      <c r="G12408" t="s">
        <v>88</v>
      </c>
      <c r="H12408" t="s">
        <v>92</v>
      </c>
    </row>
    <row r="12409" spans="1:8" x14ac:dyDescent="0.25">
      <c r="A12409" t="s">
        <v>360</v>
      </c>
      <c r="B12409" t="s">
        <v>9816</v>
      </c>
      <c r="C12409" t="s">
        <v>88</v>
      </c>
      <c r="D12409" t="s">
        <v>2642</v>
      </c>
      <c r="E12409" t="s">
        <v>679</v>
      </c>
      <c r="F12409" t="s">
        <v>88</v>
      </c>
      <c r="G12409" t="s">
        <v>88</v>
      </c>
      <c r="H12409" t="s">
        <v>92</v>
      </c>
    </row>
    <row r="12410" spans="1:8" x14ac:dyDescent="0.25">
      <c r="A12410" t="s">
        <v>360</v>
      </c>
      <c r="B12410" t="s">
        <v>2199</v>
      </c>
      <c r="C12410" t="s">
        <v>88</v>
      </c>
      <c r="D12410" t="s">
        <v>88</v>
      </c>
      <c r="E12410" t="s">
        <v>663</v>
      </c>
      <c r="F12410" t="s">
        <v>88</v>
      </c>
      <c r="G12410" t="s">
        <v>88</v>
      </c>
      <c r="H12410" t="s">
        <v>92</v>
      </c>
    </row>
    <row r="12411" spans="1:8" x14ac:dyDescent="0.25">
      <c r="A12411" t="s">
        <v>360</v>
      </c>
      <c r="B12411" t="s">
        <v>9817</v>
      </c>
      <c r="C12411" t="s">
        <v>88</v>
      </c>
      <c r="D12411" t="s">
        <v>88</v>
      </c>
      <c r="E12411" t="s">
        <v>663</v>
      </c>
      <c r="F12411" t="s">
        <v>88</v>
      </c>
      <c r="G12411" t="s">
        <v>88</v>
      </c>
      <c r="H12411" t="s">
        <v>92</v>
      </c>
    </row>
    <row r="12412" spans="1:8" x14ac:dyDescent="0.25">
      <c r="A12412" t="s">
        <v>360</v>
      </c>
      <c r="B12412" t="s">
        <v>9818</v>
      </c>
      <c r="C12412" t="s">
        <v>88</v>
      </c>
      <c r="D12412" t="s">
        <v>9819</v>
      </c>
      <c r="E12412" t="s">
        <v>791</v>
      </c>
      <c r="F12412" t="s">
        <v>88</v>
      </c>
      <c r="G12412" t="s">
        <v>88</v>
      </c>
      <c r="H12412" t="s">
        <v>92</v>
      </c>
    </row>
    <row r="12413" spans="1:8" x14ac:dyDescent="0.25">
      <c r="A12413" t="s">
        <v>360</v>
      </c>
      <c r="B12413" t="s">
        <v>9820</v>
      </c>
      <c r="C12413" t="s">
        <v>88</v>
      </c>
      <c r="D12413" t="s">
        <v>9821</v>
      </c>
      <c r="E12413" t="s">
        <v>679</v>
      </c>
      <c r="F12413" t="s">
        <v>88</v>
      </c>
      <c r="G12413" t="s">
        <v>88</v>
      </c>
      <c r="H12413" t="s">
        <v>92</v>
      </c>
    </row>
    <row r="12414" spans="1:8" x14ac:dyDescent="0.25">
      <c r="A12414" t="s">
        <v>360</v>
      </c>
      <c r="B12414" t="s">
        <v>9822</v>
      </c>
      <c r="C12414" t="s">
        <v>88</v>
      </c>
      <c r="D12414" t="s">
        <v>9823</v>
      </c>
      <c r="E12414" t="s">
        <v>1323</v>
      </c>
      <c r="F12414" t="s">
        <v>88</v>
      </c>
      <c r="G12414" t="s">
        <v>88</v>
      </c>
      <c r="H12414" t="s">
        <v>92</v>
      </c>
    </row>
    <row r="12415" spans="1:8" x14ac:dyDescent="0.25">
      <c r="A12415" t="s">
        <v>360</v>
      </c>
      <c r="B12415" t="s">
        <v>2208</v>
      </c>
      <c r="C12415" t="s">
        <v>88</v>
      </c>
      <c r="D12415" t="s">
        <v>88</v>
      </c>
      <c r="E12415" t="s">
        <v>799</v>
      </c>
      <c r="F12415" t="s">
        <v>88</v>
      </c>
      <c r="G12415" t="s">
        <v>88</v>
      </c>
      <c r="H12415" t="s">
        <v>92</v>
      </c>
    </row>
    <row r="12416" spans="1:8" x14ac:dyDescent="0.25">
      <c r="A12416" t="s">
        <v>360</v>
      </c>
      <c r="B12416" t="s">
        <v>233</v>
      </c>
      <c r="C12416" t="s">
        <v>88</v>
      </c>
      <c r="D12416" t="s">
        <v>88</v>
      </c>
      <c r="E12416" t="s">
        <v>791</v>
      </c>
      <c r="F12416" t="s">
        <v>88</v>
      </c>
      <c r="G12416" t="s">
        <v>88</v>
      </c>
      <c r="H12416" t="s">
        <v>92</v>
      </c>
    </row>
    <row r="12417" spans="1:8" x14ac:dyDescent="0.25">
      <c r="A12417" t="s">
        <v>360</v>
      </c>
      <c r="B12417" t="s">
        <v>9824</v>
      </c>
      <c r="C12417" t="s">
        <v>88</v>
      </c>
      <c r="D12417" t="s">
        <v>88</v>
      </c>
      <c r="E12417" t="s">
        <v>791</v>
      </c>
      <c r="F12417" t="s">
        <v>88</v>
      </c>
      <c r="G12417" t="s">
        <v>88</v>
      </c>
      <c r="H12417" t="s">
        <v>92</v>
      </c>
    </row>
    <row r="12418" spans="1:8" x14ac:dyDescent="0.25">
      <c r="A12418" t="s">
        <v>360</v>
      </c>
      <c r="B12418" t="s">
        <v>1794</v>
      </c>
      <c r="C12418" t="s">
        <v>88</v>
      </c>
      <c r="D12418" t="s">
        <v>88</v>
      </c>
      <c r="E12418" t="s">
        <v>1323</v>
      </c>
      <c r="F12418" t="s">
        <v>88</v>
      </c>
      <c r="G12418" t="s">
        <v>88</v>
      </c>
      <c r="H12418" t="s">
        <v>92</v>
      </c>
    </row>
    <row r="12419" spans="1:8" x14ac:dyDescent="0.25">
      <c r="A12419" t="s">
        <v>360</v>
      </c>
      <c r="B12419" t="s">
        <v>9825</v>
      </c>
      <c r="C12419" t="s">
        <v>88</v>
      </c>
      <c r="D12419" t="s">
        <v>88</v>
      </c>
      <c r="E12419" t="s">
        <v>715</v>
      </c>
      <c r="F12419" t="s">
        <v>88</v>
      </c>
      <c r="G12419" t="s">
        <v>88</v>
      </c>
      <c r="H12419" t="s">
        <v>92</v>
      </c>
    </row>
    <row r="12420" spans="1:8" x14ac:dyDescent="0.25">
      <c r="A12420" t="s">
        <v>360</v>
      </c>
      <c r="B12420" t="s">
        <v>2349</v>
      </c>
      <c r="C12420" t="s">
        <v>88</v>
      </c>
      <c r="D12420" t="s">
        <v>88</v>
      </c>
      <c r="E12420" t="s">
        <v>721</v>
      </c>
      <c r="F12420" t="s">
        <v>88</v>
      </c>
      <c r="G12420" t="s">
        <v>88</v>
      </c>
      <c r="H12420" t="s">
        <v>92</v>
      </c>
    </row>
    <row r="12421" spans="1:8" x14ac:dyDescent="0.25">
      <c r="A12421" t="s">
        <v>360</v>
      </c>
      <c r="B12421" t="s">
        <v>2345</v>
      </c>
      <c r="C12421" t="s">
        <v>88</v>
      </c>
      <c r="D12421" t="s">
        <v>88</v>
      </c>
      <c r="E12421" t="s">
        <v>721</v>
      </c>
      <c r="F12421" t="s">
        <v>88</v>
      </c>
      <c r="G12421" t="s">
        <v>88</v>
      </c>
      <c r="H12421" t="s">
        <v>92</v>
      </c>
    </row>
    <row r="12422" spans="1:8" x14ac:dyDescent="0.25">
      <c r="A12422" t="s">
        <v>360</v>
      </c>
      <c r="B12422" t="s">
        <v>9826</v>
      </c>
      <c r="C12422" t="s">
        <v>88</v>
      </c>
      <c r="D12422" t="s">
        <v>88</v>
      </c>
      <c r="E12422" t="s">
        <v>723</v>
      </c>
      <c r="F12422" t="s">
        <v>88</v>
      </c>
      <c r="G12422" t="s">
        <v>88</v>
      </c>
      <c r="H12422" t="s">
        <v>92</v>
      </c>
    </row>
    <row r="12423" spans="1:8" x14ac:dyDescent="0.25">
      <c r="A12423" t="s">
        <v>360</v>
      </c>
      <c r="B12423" t="s">
        <v>9827</v>
      </c>
      <c r="C12423" t="s">
        <v>88</v>
      </c>
      <c r="D12423" t="s">
        <v>88</v>
      </c>
      <c r="E12423" t="s">
        <v>723</v>
      </c>
      <c r="F12423" t="s">
        <v>88</v>
      </c>
      <c r="G12423" t="s">
        <v>88</v>
      </c>
      <c r="H12423" t="s">
        <v>92</v>
      </c>
    </row>
    <row r="12424" spans="1:8" x14ac:dyDescent="0.25">
      <c r="A12424" t="s">
        <v>360</v>
      </c>
      <c r="B12424" t="s">
        <v>9828</v>
      </c>
      <c r="C12424" t="s">
        <v>88</v>
      </c>
      <c r="D12424" t="s">
        <v>9829</v>
      </c>
      <c r="E12424" t="s">
        <v>725</v>
      </c>
      <c r="F12424" t="s">
        <v>88</v>
      </c>
      <c r="G12424" t="s">
        <v>88</v>
      </c>
      <c r="H12424" t="s">
        <v>92</v>
      </c>
    </row>
    <row r="12425" spans="1:8" x14ac:dyDescent="0.25">
      <c r="A12425" t="s">
        <v>360</v>
      </c>
      <c r="B12425" t="s">
        <v>9830</v>
      </c>
      <c r="C12425" t="s">
        <v>88</v>
      </c>
      <c r="D12425" t="s">
        <v>88</v>
      </c>
      <c r="E12425" t="s">
        <v>723</v>
      </c>
      <c r="F12425" t="s">
        <v>88</v>
      </c>
      <c r="G12425" t="s">
        <v>88</v>
      </c>
      <c r="H12425" t="s">
        <v>92</v>
      </c>
    </row>
    <row r="12426" spans="1:8" x14ac:dyDescent="0.25">
      <c r="A12426" t="s">
        <v>360</v>
      </c>
      <c r="B12426" t="s">
        <v>9831</v>
      </c>
      <c r="C12426" t="s">
        <v>88</v>
      </c>
      <c r="D12426" t="s">
        <v>88</v>
      </c>
      <c r="E12426" t="s">
        <v>1323</v>
      </c>
      <c r="F12426" t="s">
        <v>88</v>
      </c>
      <c r="G12426" t="s">
        <v>88</v>
      </c>
      <c r="H12426" t="s">
        <v>92</v>
      </c>
    </row>
    <row r="12427" spans="1:8" x14ac:dyDescent="0.25">
      <c r="A12427" t="s">
        <v>360</v>
      </c>
      <c r="B12427" t="s">
        <v>9832</v>
      </c>
      <c r="C12427" t="s">
        <v>88</v>
      </c>
      <c r="D12427" t="s">
        <v>88</v>
      </c>
      <c r="E12427" t="s">
        <v>723</v>
      </c>
      <c r="F12427" t="s">
        <v>88</v>
      </c>
      <c r="G12427" t="s">
        <v>88</v>
      </c>
      <c r="H12427" t="s">
        <v>92</v>
      </c>
    </row>
    <row r="12428" spans="1:8" x14ac:dyDescent="0.25">
      <c r="A12428" t="s">
        <v>360</v>
      </c>
      <c r="B12428" t="s">
        <v>9833</v>
      </c>
      <c r="C12428" t="s">
        <v>88</v>
      </c>
      <c r="D12428" t="s">
        <v>88</v>
      </c>
      <c r="E12428" t="s">
        <v>721</v>
      </c>
      <c r="F12428" t="s">
        <v>88</v>
      </c>
      <c r="G12428" t="s">
        <v>88</v>
      </c>
      <c r="H12428" t="s">
        <v>92</v>
      </c>
    </row>
    <row r="12429" spans="1:8" x14ac:dyDescent="0.25">
      <c r="A12429" t="s">
        <v>360</v>
      </c>
      <c r="B12429" t="s">
        <v>1127</v>
      </c>
      <c r="C12429" t="s">
        <v>88</v>
      </c>
      <c r="D12429" t="s">
        <v>88</v>
      </c>
      <c r="E12429" t="s">
        <v>723</v>
      </c>
      <c r="F12429" t="s">
        <v>88</v>
      </c>
      <c r="G12429" t="s">
        <v>88</v>
      </c>
      <c r="H12429" t="s">
        <v>92</v>
      </c>
    </row>
    <row r="12430" spans="1:8" x14ac:dyDescent="0.25">
      <c r="A12430" t="s">
        <v>360</v>
      </c>
      <c r="B12430" t="s">
        <v>7753</v>
      </c>
      <c r="C12430" t="s">
        <v>88</v>
      </c>
      <c r="D12430" t="s">
        <v>88</v>
      </c>
      <c r="E12430" t="s">
        <v>723</v>
      </c>
      <c r="F12430" t="s">
        <v>88</v>
      </c>
      <c r="G12430" t="s">
        <v>88</v>
      </c>
      <c r="H12430" t="s">
        <v>92</v>
      </c>
    </row>
    <row r="12431" spans="1:8" x14ac:dyDescent="0.25">
      <c r="A12431" t="s">
        <v>360</v>
      </c>
      <c r="B12431" t="s">
        <v>2241</v>
      </c>
      <c r="C12431" t="s">
        <v>88</v>
      </c>
      <c r="D12431" t="s">
        <v>88</v>
      </c>
      <c r="E12431" t="s">
        <v>723</v>
      </c>
      <c r="F12431" t="s">
        <v>88</v>
      </c>
      <c r="G12431" t="s">
        <v>88</v>
      </c>
      <c r="H12431" t="s">
        <v>92</v>
      </c>
    </row>
    <row r="12432" spans="1:8" x14ac:dyDescent="0.25">
      <c r="A12432" t="s">
        <v>360</v>
      </c>
      <c r="B12432" t="s">
        <v>9834</v>
      </c>
      <c r="C12432" t="s">
        <v>88</v>
      </c>
      <c r="D12432" t="s">
        <v>9835</v>
      </c>
      <c r="E12432" t="s">
        <v>780</v>
      </c>
      <c r="F12432" t="s">
        <v>88</v>
      </c>
      <c r="G12432" t="s">
        <v>88</v>
      </c>
      <c r="H12432" t="s">
        <v>92</v>
      </c>
    </row>
    <row r="12433" spans="1:8" x14ac:dyDescent="0.25">
      <c r="A12433" t="s">
        <v>360</v>
      </c>
      <c r="B12433" t="s">
        <v>9836</v>
      </c>
      <c r="C12433" t="s">
        <v>88</v>
      </c>
      <c r="D12433" t="s">
        <v>88</v>
      </c>
      <c r="E12433" t="s">
        <v>748</v>
      </c>
      <c r="F12433" t="s">
        <v>88</v>
      </c>
      <c r="G12433" t="s">
        <v>88</v>
      </c>
      <c r="H12433" t="s">
        <v>92</v>
      </c>
    </row>
    <row r="12434" spans="1:8" x14ac:dyDescent="0.25">
      <c r="A12434" t="s">
        <v>360</v>
      </c>
      <c r="B12434" t="s">
        <v>9837</v>
      </c>
      <c r="C12434" t="s">
        <v>88</v>
      </c>
      <c r="D12434" t="s">
        <v>88</v>
      </c>
      <c r="E12434" t="s">
        <v>723</v>
      </c>
      <c r="F12434" t="s">
        <v>88</v>
      </c>
      <c r="G12434" t="s">
        <v>88</v>
      </c>
      <c r="H12434" t="s">
        <v>92</v>
      </c>
    </row>
    <row r="12435" spans="1:8" x14ac:dyDescent="0.25">
      <c r="A12435" t="s">
        <v>360</v>
      </c>
      <c r="B12435" t="s">
        <v>9838</v>
      </c>
      <c r="C12435" t="s">
        <v>88</v>
      </c>
      <c r="D12435" t="s">
        <v>88</v>
      </c>
      <c r="E12435" t="s">
        <v>723</v>
      </c>
      <c r="F12435" t="s">
        <v>88</v>
      </c>
      <c r="G12435" t="s">
        <v>88</v>
      </c>
      <c r="H12435" t="s">
        <v>92</v>
      </c>
    </row>
    <row r="12436" spans="1:8" x14ac:dyDescent="0.25">
      <c r="A12436" t="s">
        <v>360</v>
      </c>
      <c r="B12436" t="s">
        <v>9839</v>
      </c>
      <c r="C12436" t="s">
        <v>88</v>
      </c>
      <c r="D12436" t="s">
        <v>88</v>
      </c>
      <c r="E12436" t="s">
        <v>679</v>
      </c>
      <c r="F12436" t="s">
        <v>88</v>
      </c>
      <c r="G12436" t="s">
        <v>88</v>
      </c>
      <c r="H12436" t="s">
        <v>92</v>
      </c>
    </row>
    <row r="12437" spans="1:8" x14ac:dyDescent="0.25">
      <c r="A12437" t="s">
        <v>360</v>
      </c>
      <c r="B12437" t="s">
        <v>9840</v>
      </c>
      <c r="C12437" t="s">
        <v>88</v>
      </c>
      <c r="D12437" t="s">
        <v>9841</v>
      </c>
      <c r="E12437" t="s">
        <v>723</v>
      </c>
      <c r="F12437" t="s">
        <v>88</v>
      </c>
      <c r="G12437" t="s">
        <v>88</v>
      </c>
      <c r="H12437" t="s">
        <v>92</v>
      </c>
    </row>
    <row r="12438" spans="1:8" x14ac:dyDescent="0.25">
      <c r="A12438" t="s">
        <v>360</v>
      </c>
      <c r="B12438" t="s">
        <v>9842</v>
      </c>
      <c r="C12438" t="s">
        <v>88</v>
      </c>
      <c r="D12438" t="s">
        <v>88</v>
      </c>
      <c r="E12438" t="s">
        <v>658</v>
      </c>
      <c r="F12438" t="s">
        <v>88</v>
      </c>
      <c r="G12438" t="s">
        <v>88</v>
      </c>
      <c r="H12438" t="s">
        <v>92</v>
      </c>
    </row>
    <row r="12439" spans="1:8" x14ac:dyDescent="0.25">
      <c r="A12439" t="s">
        <v>360</v>
      </c>
      <c r="B12439" t="s">
        <v>9843</v>
      </c>
      <c r="C12439" t="s">
        <v>88</v>
      </c>
      <c r="D12439" t="s">
        <v>88</v>
      </c>
      <c r="E12439" t="s">
        <v>748</v>
      </c>
      <c r="F12439" t="s">
        <v>88</v>
      </c>
      <c r="G12439" t="s">
        <v>88</v>
      </c>
      <c r="H12439" t="s">
        <v>92</v>
      </c>
    </row>
    <row r="12440" spans="1:8" x14ac:dyDescent="0.25">
      <c r="A12440" t="s">
        <v>360</v>
      </c>
      <c r="B12440" t="s">
        <v>9844</v>
      </c>
      <c r="C12440" t="s">
        <v>88</v>
      </c>
      <c r="D12440" t="s">
        <v>88</v>
      </c>
      <c r="E12440" t="s">
        <v>780</v>
      </c>
      <c r="F12440" t="s">
        <v>88</v>
      </c>
      <c r="G12440" t="s">
        <v>88</v>
      </c>
      <c r="H12440" t="s">
        <v>92</v>
      </c>
    </row>
    <row r="12441" spans="1:8" x14ac:dyDescent="0.25">
      <c r="A12441" t="s">
        <v>360</v>
      </c>
      <c r="B12441" t="s">
        <v>9845</v>
      </c>
      <c r="C12441" t="s">
        <v>88</v>
      </c>
      <c r="D12441" t="s">
        <v>88</v>
      </c>
      <c r="E12441" t="s">
        <v>780</v>
      </c>
      <c r="F12441" t="s">
        <v>88</v>
      </c>
      <c r="G12441" t="s">
        <v>88</v>
      </c>
      <c r="H12441" t="s">
        <v>92</v>
      </c>
    </row>
    <row r="12442" spans="1:8" x14ac:dyDescent="0.25">
      <c r="A12442" t="s">
        <v>360</v>
      </c>
      <c r="B12442" t="s">
        <v>9846</v>
      </c>
      <c r="C12442" t="s">
        <v>88</v>
      </c>
      <c r="D12442" t="s">
        <v>88</v>
      </c>
      <c r="E12442" t="s">
        <v>979</v>
      </c>
      <c r="F12442" t="s">
        <v>88</v>
      </c>
      <c r="G12442" t="s">
        <v>88</v>
      </c>
      <c r="H12442" t="s">
        <v>92</v>
      </c>
    </row>
    <row r="12443" spans="1:8" x14ac:dyDescent="0.25">
      <c r="A12443" t="s">
        <v>360</v>
      </c>
      <c r="B12443" t="s">
        <v>9847</v>
      </c>
      <c r="C12443" t="s">
        <v>88</v>
      </c>
      <c r="D12443" t="s">
        <v>88</v>
      </c>
      <c r="E12443" t="s">
        <v>723</v>
      </c>
      <c r="F12443" t="s">
        <v>88</v>
      </c>
      <c r="G12443" t="s">
        <v>88</v>
      </c>
      <c r="H12443" t="s">
        <v>92</v>
      </c>
    </row>
    <row r="12444" spans="1:8" x14ac:dyDescent="0.25">
      <c r="A12444" t="s">
        <v>360</v>
      </c>
      <c r="B12444" t="s">
        <v>9848</v>
      </c>
      <c r="C12444" t="s">
        <v>88</v>
      </c>
      <c r="D12444" t="s">
        <v>88</v>
      </c>
      <c r="E12444" t="s">
        <v>780</v>
      </c>
      <c r="F12444" t="s">
        <v>88</v>
      </c>
      <c r="G12444" t="s">
        <v>88</v>
      </c>
      <c r="H12444" t="s">
        <v>92</v>
      </c>
    </row>
    <row r="12445" spans="1:8" x14ac:dyDescent="0.25">
      <c r="A12445" t="s">
        <v>360</v>
      </c>
      <c r="B12445" t="s">
        <v>9849</v>
      </c>
      <c r="C12445" t="s">
        <v>88</v>
      </c>
      <c r="D12445" t="s">
        <v>88</v>
      </c>
      <c r="E12445" t="s">
        <v>723</v>
      </c>
      <c r="F12445" t="s">
        <v>88</v>
      </c>
      <c r="G12445" t="s">
        <v>88</v>
      </c>
      <c r="H12445" t="s">
        <v>92</v>
      </c>
    </row>
    <row r="12446" spans="1:8" x14ac:dyDescent="0.25">
      <c r="A12446" t="s">
        <v>360</v>
      </c>
      <c r="B12446" t="s">
        <v>9850</v>
      </c>
      <c r="C12446" t="s">
        <v>88</v>
      </c>
      <c r="D12446" t="s">
        <v>88</v>
      </c>
      <c r="E12446" t="s">
        <v>658</v>
      </c>
      <c r="F12446" t="s">
        <v>88</v>
      </c>
      <c r="G12446" t="s">
        <v>88</v>
      </c>
      <c r="H12446" t="s">
        <v>92</v>
      </c>
    </row>
    <row r="12447" spans="1:8" x14ac:dyDescent="0.25">
      <c r="A12447" t="s">
        <v>360</v>
      </c>
      <c r="B12447" t="s">
        <v>9851</v>
      </c>
      <c r="C12447" t="s">
        <v>88</v>
      </c>
      <c r="D12447" t="s">
        <v>88</v>
      </c>
      <c r="E12447" t="s">
        <v>748</v>
      </c>
      <c r="F12447" t="s">
        <v>88</v>
      </c>
      <c r="G12447" t="s">
        <v>88</v>
      </c>
      <c r="H12447" t="s">
        <v>92</v>
      </c>
    </row>
    <row r="12448" spans="1:8" x14ac:dyDescent="0.25">
      <c r="A12448" t="s">
        <v>360</v>
      </c>
      <c r="B12448" t="s">
        <v>9852</v>
      </c>
      <c r="C12448" t="s">
        <v>88</v>
      </c>
      <c r="D12448" t="s">
        <v>88</v>
      </c>
      <c r="E12448" t="s">
        <v>723</v>
      </c>
      <c r="F12448" t="s">
        <v>88</v>
      </c>
      <c r="G12448" t="s">
        <v>88</v>
      </c>
      <c r="H12448" t="s">
        <v>92</v>
      </c>
    </row>
    <row r="12449" spans="1:8" x14ac:dyDescent="0.25">
      <c r="A12449" t="s">
        <v>360</v>
      </c>
      <c r="B12449" t="s">
        <v>9853</v>
      </c>
      <c r="C12449" t="s">
        <v>88</v>
      </c>
      <c r="D12449" t="s">
        <v>88</v>
      </c>
      <c r="E12449" t="s">
        <v>780</v>
      </c>
      <c r="F12449" t="s">
        <v>88</v>
      </c>
      <c r="G12449" t="s">
        <v>88</v>
      </c>
      <c r="H12449" t="s">
        <v>92</v>
      </c>
    </row>
    <row r="12450" spans="1:8" x14ac:dyDescent="0.25">
      <c r="A12450" t="s">
        <v>360</v>
      </c>
      <c r="B12450" t="s">
        <v>9854</v>
      </c>
      <c r="C12450" t="s">
        <v>88</v>
      </c>
      <c r="D12450" t="s">
        <v>88</v>
      </c>
      <c r="E12450" t="s">
        <v>725</v>
      </c>
      <c r="F12450" t="s">
        <v>88</v>
      </c>
      <c r="G12450" t="s">
        <v>88</v>
      </c>
      <c r="H12450" t="s">
        <v>92</v>
      </c>
    </row>
    <row r="12451" spans="1:8" x14ac:dyDescent="0.25">
      <c r="A12451" t="s">
        <v>360</v>
      </c>
      <c r="B12451" t="s">
        <v>9855</v>
      </c>
      <c r="C12451" t="s">
        <v>88</v>
      </c>
      <c r="D12451" t="s">
        <v>88</v>
      </c>
      <c r="E12451" t="s">
        <v>738</v>
      </c>
      <c r="F12451" t="s">
        <v>88</v>
      </c>
      <c r="G12451" t="s">
        <v>88</v>
      </c>
      <c r="H12451" t="s">
        <v>92</v>
      </c>
    </row>
    <row r="12452" spans="1:8" x14ac:dyDescent="0.25">
      <c r="A12452" t="s">
        <v>360</v>
      </c>
      <c r="B12452" t="s">
        <v>9856</v>
      </c>
      <c r="C12452" t="s">
        <v>88</v>
      </c>
      <c r="D12452" t="s">
        <v>88</v>
      </c>
      <c r="E12452" t="s">
        <v>663</v>
      </c>
      <c r="F12452" t="s">
        <v>88</v>
      </c>
      <c r="G12452" t="s">
        <v>88</v>
      </c>
      <c r="H12452" t="s">
        <v>92</v>
      </c>
    </row>
    <row r="12453" spans="1:8" x14ac:dyDescent="0.25">
      <c r="A12453" t="s">
        <v>360</v>
      </c>
      <c r="B12453" t="s">
        <v>9857</v>
      </c>
      <c r="C12453" t="s">
        <v>88</v>
      </c>
      <c r="D12453" t="s">
        <v>88</v>
      </c>
      <c r="E12453" t="s">
        <v>780</v>
      </c>
      <c r="F12453" t="s">
        <v>88</v>
      </c>
      <c r="G12453" t="s">
        <v>88</v>
      </c>
      <c r="H12453" t="s">
        <v>92</v>
      </c>
    </row>
    <row r="12454" spans="1:8" x14ac:dyDescent="0.25">
      <c r="A12454" t="s">
        <v>360</v>
      </c>
      <c r="B12454" t="s">
        <v>9858</v>
      </c>
      <c r="C12454" t="s">
        <v>88</v>
      </c>
      <c r="D12454" t="s">
        <v>88</v>
      </c>
      <c r="E12454" t="s">
        <v>723</v>
      </c>
      <c r="F12454" t="s">
        <v>88</v>
      </c>
      <c r="G12454" t="s">
        <v>88</v>
      </c>
      <c r="H12454" t="s">
        <v>92</v>
      </c>
    </row>
    <row r="12455" spans="1:8" x14ac:dyDescent="0.25">
      <c r="A12455" t="s">
        <v>360</v>
      </c>
      <c r="B12455" t="s">
        <v>9859</v>
      </c>
      <c r="C12455" t="s">
        <v>88</v>
      </c>
      <c r="D12455" t="s">
        <v>88</v>
      </c>
      <c r="E12455" t="s">
        <v>959</v>
      </c>
      <c r="F12455" t="s">
        <v>88</v>
      </c>
      <c r="G12455" t="s">
        <v>88</v>
      </c>
      <c r="H12455" t="s">
        <v>92</v>
      </c>
    </row>
    <row r="12456" spans="1:8" x14ac:dyDescent="0.25">
      <c r="A12456" t="s">
        <v>360</v>
      </c>
      <c r="B12456" t="s">
        <v>9860</v>
      </c>
      <c r="C12456" t="s">
        <v>88</v>
      </c>
      <c r="D12456" t="s">
        <v>88</v>
      </c>
      <c r="E12456" t="s">
        <v>820</v>
      </c>
      <c r="F12456" t="s">
        <v>88</v>
      </c>
      <c r="G12456" t="s">
        <v>88</v>
      </c>
      <c r="H12456" t="s">
        <v>92</v>
      </c>
    </row>
    <row r="12457" spans="1:8" x14ac:dyDescent="0.25">
      <c r="A12457" t="s">
        <v>360</v>
      </c>
      <c r="B12457" t="s">
        <v>9861</v>
      </c>
      <c r="C12457" t="s">
        <v>88</v>
      </c>
      <c r="D12457" t="s">
        <v>88</v>
      </c>
      <c r="E12457" t="s">
        <v>959</v>
      </c>
      <c r="F12457" t="s">
        <v>88</v>
      </c>
      <c r="G12457" t="s">
        <v>88</v>
      </c>
      <c r="H12457" t="s">
        <v>92</v>
      </c>
    </row>
    <row r="12458" spans="1:8" x14ac:dyDescent="0.25">
      <c r="A12458" t="s">
        <v>360</v>
      </c>
      <c r="B12458" t="s">
        <v>9862</v>
      </c>
      <c r="C12458" t="s">
        <v>88</v>
      </c>
      <c r="D12458" t="s">
        <v>88</v>
      </c>
      <c r="E12458" t="s">
        <v>723</v>
      </c>
      <c r="F12458" t="s">
        <v>88</v>
      </c>
      <c r="G12458" t="s">
        <v>88</v>
      </c>
      <c r="H12458" t="s">
        <v>92</v>
      </c>
    </row>
    <row r="12459" spans="1:8" x14ac:dyDescent="0.25">
      <c r="A12459" t="s">
        <v>360</v>
      </c>
      <c r="B12459" t="s">
        <v>9863</v>
      </c>
      <c r="C12459" t="s">
        <v>88</v>
      </c>
      <c r="D12459" t="s">
        <v>88</v>
      </c>
      <c r="E12459" t="s">
        <v>723</v>
      </c>
      <c r="F12459" t="s">
        <v>88</v>
      </c>
      <c r="G12459" t="s">
        <v>88</v>
      </c>
      <c r="H12459" t="s">
        <v>92</v>
      </c>
    </row>
    <row r="12460" spans="1:8" x14ac:dyDescent="0.25">
      <c r="A12460" t="s">
        <v>360</v>
      </c>
      <c r="B12460" t="s">
        <v>9864</v>
      </c>
      <c r="C12460" t="s">
        <v>88</v>
      </c>
      <c r="D12460" t="s">
        <v>88</v>
      </c>
      <c r="E12460" t="s">
        <v>723</v>
      </c>
      <c r="F12460" t="s">
        <v>88</v>
      </c>
      <c r="G12460" t="s">
        <v>88</v>
      </c>
      <c r="H12460" t="s">
        <v>92</v>
      </c>
    </row>
    <row r="12461" spans="1:8" x14ac:dyDescent="0.25">
      <c r="A12461" t="s">
        <v>360</v>
      </c>
      <c r="B12461" t="s">
        <v>9865</v>
      </c>
      <c r="C12461" t="s">
        <v>88</v>
      </c>
      <c r="D12461" t="s">
        <v>88</v>
      </c>
      <c r="E12461" t="s">
        <v>723</v>
      </c>
      <c r="F12461" t="s">
        <v>88</v>
      </c>
      <c r="G12461" t="s">
        <v>88</v>
      </c>
      <c r="H12461" t="s">
        <v>92</v>
      </c>
    </row>
    <row r="12462" spans="1:8" x14ac:dyDescent="0.25">
      <c r="A12462" t="s">
        <v>360</v>
      </c>
      <c r="B12462" t="s">
        <v>9866</v>
      </c>
      <c r="C12462" t="s">
        <v>88</v>
      </c>
      <c r="D12462" t="s">
        <v>88</v>
      </c>
      <c r="E12462" t="s">
        <v>780</v>
      </c>
      <c r="F12462" t="s">
        <v>88</v>
      </c>
      <c r="G12462" t="s">
        <v>88</v>
      </c>
      <c r="H12462" t="s">
        <v>92</v>
      </c>
    </row>
    <row r="12463" spans="1:8" x14ac:dyDescent="0.25">
      <c r="A12463" t="s">
        <v>360</v>
      </c>
      <c r="B12463" t="s">
        <v>9867</v>
      </c>
      <c r="C12463" t="s">
        <v>88</v>
      </c>
      <c r="D12463" t="s">
        <v>88</v>
      </c>
      <c r="E12463" t="s">
        <v>959</v>
      </c>
      <c r="F12463" t="s">
        <v>88</v>
      </c>
      <c r="G12463" t="s">
        <v>88</v>
      </c>
      <c r="H12463" t="s">
        <v>92</v>
      </c>
    </row>
    <row r="12464" spans="1:8" x14ac:dyDescent="0.25">
      <c r="A12464" t="s">
        <v>360</v>
      </c>
      <c r="B12464" t="s">
        <v>9868</v>
      </c>
      <c r="C12464" t="s">
        <v>88</v>
      </c>
      <c r="D12464" t="s">
        <v>9869</v>
      </c>
      <c r="E12464" t="s">
        <v>723</v>
      </c>
      <c r="F12464" t="s">
        <v>88</v>
      </c>
      <c r="G12464" t="s">
        <v>88</v>
      </c>
      <c r="H12464" t="s">
        <v>92</v>
      </c>
    </row>
    <row r="12465" spans="1:8" x14ac:dyDescent="0.25">
      <c r="A12465" t="s">
        <v>360</v>
      </c>
      <c r="B12465" t="s">
        <v>9870</v>
      </c>
      <c r="C12465" t="s">
        <v>88</v>
      </c>
      <c r="D12465" t="s">
        <v>88</v>
      </c>
      <c r="E12465" t="s">
        <v>723</v>
      </c>
      <c r="F12465" t="s">
        <v>88</v>
      </c>
      <c r="G12465" t="s">
        <v>88</v>
      </c>
      <c r="H12465" t="s">
        <v>92</v>
      </c>
    </row>
    <row r="12466" spans="1:8" x14ac:dyDescent="0.25">
      <c r="A12466" t="s">
        <v>360</v>
      </c>
      <c r="B12466" t="s">
        <v>9871</v>
      </c>
      <c r="C12466" t="s">
        <v>88</v>
      </c>
      <c r="D12466" t="s">
        <v>9872</v>
      </c>
      <c r="E12466" t="s">
        <v>780</v>
      </c>
      <c r="F12466" t="s">
        <v>88</v>
      </c>
      <c r="G12466" t="s">
        <v>88</v>
      </c>
      <c r="H12466" t="s">
        <v>92</v>
      </c>
    </row>
    <row r="12467" spans="1:8" x14ac:dyDescent="0.25">
      <c r="A12467" t="s">
        <v>360</v>
      </c>
      <c r="B12467" t="s">
        <v>9873</v>
      </c>
      <c r="C12467" t="s">
        <v>88</v>
      </c>
      <c r="D12467" t="s">
        <v>88</v>
      </c>
      <c r="E12467" t="s">
        <v>959</v>
      </c>
      <c r="F12467" t="s">
        <v>88</v>
      </c>
      <c r="G12467" t="s">
        <v>88</v>
      </c>
      <c r="H12467" t="s">
        <v>92</v>
      </c>
    </row>
    <row r="12468" spans="1:8" x14ac:dyDescent="0.25">
      <c r="A12468" t="s">
        <v>360</v>
      </c>
      <c r="B12468" t="s">
        <v>9874</v>
      </c>
      <c r="C12468" t="s">
        <v>88</v>
      </c>
      <c r="D12468" t="s">
        <v>88</v>
      </c>
      <c r="E12468" t="s">
        <v>780</v>
      </c>
      <c r="F12468" t="s">
        <v>88</v>
      </c>
      <c r="G12468" t="s">
        <v>88</v>
      </c>
      <c r="H12468" t="s">
        <v>92</v>
      </c>
    </row>
    <row r="12469" spans="1:8" x14ac:dyDescent="0.25">
      <c r="A12469" t="s">
        <v>360</v>
      </c>
      <c r="B12469" t="s">
        <v>9875</v>
      </c>
      <c r="C12469" t="s">
        <v>88</v>
      </c>
      <c r="D12469" t="s">
        <v>88</v>
      </c>
      <c r="E12469" t="s">
        <v>748</v>
      </c>
      <c r="F12469" t="s">
        <v>88</v>
      </c>
      <c r="G12469" t="s">
        <v>88</v>
      </c>
      <c r="H12469" t="s">
        <v>92</v>
      </c>
    </row>
    <row r="12470" spans="1:8" x14ac:dyDescent="0.25">
      <c r="A12470" t="s">
        <v>360</v>
      </c>
      <c r="B12470" t="s">
        <v>9876</v>
      </c>
      <c r="C12470" t="s">
        <v>88</v>
      </c>
      <c r="D12470" t="s">
        <v>88</v>
      </c>
      <c r="E12470" t="s">
        <v>715</v>
      </c>
      <c r="F12470" t="s">
        <v>88</v>
      </c>
      <c r="G12470" t="s">
        <v>88</v>
      </c>
      <c r="H12470" t="s">
        <v>92</v>
      </c>
    </row>
    <row r="12471" spans="1:8" x14ac:dyDescent="0.25">
      <c r="A12471" t="s">
        <v>360</v>
      </c>
      <c r="B12471" t="s">
        <v>9877</v>
      </c>
      <c r="C12471" t="s">
        <v>88</v>
      </c>
      <c r="D12471" t="s">
        <v>88</v>
      </c>
      <c r="E12471" t="s">
        <v>723</v>
      </c>
      <c r="F12471" t="s">
        <v>88</v>
      </c>
      <c r="G12471" t="s">
        <v>88</v>
      </c>
      <c r="H12471" t="s">
        <v>92</v>
      </c>
    </row>
    <row r="12472" spans="1:8" x14ac:dyDescent="0.25">
      <c r="A12472" t="s">
        <v>360</v>
      </c>
      <c r="B12472" t="s">
        <v>9878</v>
      </c>
      <c r="C12472" t="s">
        <v>88</v>
      </c>
      <c r="D12472" t="s">
        <v>88</v>
      </c>
      <c r="E12472" t="s">
        <v>715</v>
      </c>
      <c r="F12472" t="s">
        <v>88</v>
      </c>
      <c r="G12472" t="s">
        <v>88</v>
      </c>
      <c r="H12472" t="s">
        <v>92</v>
      </c>
    </row>
    <row r="12473" spans="1:8" x14ac:dyDescent="0.25">
      <c r="A12473" t="s">
        <v>360</v>
      </c>
      <c r="B12473" t="s">
        <v>9879</v>
      </c>
      <c r="C12473" t="s">
        <v>88</v>
      </c>
      <c r="D12473" t="s">
        <v>9880</v>
      </c>
      <c r="E12473" t="s">
        <v>725</v>
      </c>
      <c r="F12473" t="s">
        <v>88</v>
      </c>
      <c r="G12473" t="s">
        <v>88</v>
      </c>
      <c r="H12473" t="s">
        <v>92</v>
      </c>
    </row>
    <row r="12474" spans="1:8" x14ac:dyDescent="0.25">
      <c r="A12474" t="s">
        <v>360</v>
      </c>
      <c r="B12474" t="s">
        <v>9881</v>
      </c>
      <c r="C12474" t="s">
        <v>88</v>
      </c>
      <c r="D12474" t="s">
        <v>88</v>
      </c>
      <c r="E12474" t="s">
        <v>780</v>
      </c>
      <c r="F12474" t="s">
        <v>88</v>
      </c>
      <c r="G12474" t="s">
        <v>88</v>
      </c>
      <c r="H12474" t="s">
        <v>92</v>
      </c>
    </row>
    <row r="12475" spans="1:8" x14ac:dyDescent="0.25">
      <c r="A12475" t="s">
        <v>360</v>
      </c>
      <c r="B12475" t="s">
        <v>9882</v>
      </c>
      <c r="C12475" t="s">
        <v>88</v>
      </c>
      <c r="D12475" t="s">
        <v>88</v>
      </c>
      <c r="E12475" t="s">
        <v>663</v>
      </c>
      <c r="F12475" t="s">
        <v>88</v>
      </c>
      <c r="G12475" t="s">
        <v>88</v>
      </c>
      <c r="H12475" t="s">
        <v>92</v>
      </c>
    </row>
    <row r="12476" spans="1:8" x14ac:dyDescent="0.25">
      <c r="A12476" t="s">
        <v>360</v>
      </c>
      <c r="B12476" t="s">
        <v>9883</v>
      </c>
      <c r="C12476" t="s">
        <v>88</v>
      </c>
      <c r="D12476" t="s">
        <v>88</v>
      </c>
      <c r="E12476" t="s">
        <v>721</v>
      </c>
      <c r="F12476" t="s">
        <v>88</v>
      </c>
      <c r="G12476" t="s">
        <v>88</v>
      </c>
      <c r="H12476" t="s">
        <v>92</v>
      </c>
    </row>
    <row r="12477" spans="1:8" x14ac:dyDescent="0.25">
      <c r="A12477" t="s">
        <v>360</v>
      </c>
      <c r="B12477" t="s">
        <v>9884</v>
      </c>
      <c r="C12477" t="s">
        <v>88</v>
      </c>
      <c r="D12477" t="s">
        <v>88</v>
      </c>
      <c r="E12477" t="s">
        <v>780</v>
      </c>
      <c r="F12477" t="s">
        <v>88</v>
      </c>
      <c r="G12477" t="s">
        <v>88</v>
      </c>
      <c r="H12477" t="s">
        <v>92</v>
      </c>
    </row>
    <row r="12478" spans="1:8" x14ac:dyDescent="0.25">
      <c r="A12478" t="s">
        <v>360</v>
      </c>
      <c r="B12478" t="s">
        <v>9885</v>
      </c>
      <c r="C12478" t="s">
        <v>88</v>
      </c>
      <c r="D12478" t="s">
        <v>88</v>
      </c>
      <c r="E12478" t="s">
        <v>723</v>
      </c>
      <c r="F12478" t="s">
        <v>88</v>
      </c>
      <c r="G12478" t="s">
        <v>88</v>
      </c>
      <c r="H12478" t="s">
        <v>92</v>
      </c>
    </row>
    <row r="12479" spans="1:8" x14ac:dyDescent="0.25">
      <c r="A12479" t="s">
        <v>360</v>
      </c>
      <c r="B12479" t="s">
        <v>9886</v>
      </c>
      <c r="C12479" t="s">
        <v>88</v>
      </c>
      <c r="D12479" t="s">
        <v>88</v>
      </c>
      <c r="E12479" t="s">
        <v>700</v>
      </c>
      <c r="F12479" t="s">
        <v>88</v>
      </c>
      <c r="G12479" t="s">
        <v>88</v>
      </c>
      <c r="H12479" t="s">
        <v>92</v>
      </c>
    </row>
    <row r="12480" spans="1:8" x14ac:dyDescent="0.25">
      <c r="A12480" t="s">
        <v>360</v>
      </c>
      <c r="B12480" t="s">
        <v>9887</v>
      </c>
      <c r="C12480" t="s">
        <v>88</v>
      </c>
      <c r="D12480" t="s">
        <v>88</v>
      </c>
      <c r="E12480" t="s">
        <v>748</v>
      </c>
      <c r="F12480" t="s">
        <v>88</v>
      </c>
      <c r="G12480" t="s">
        <v>88</v>
      </c>
      <c r="H12480" t="s">
        <v>92</v>
      </c>
    </row>
    <row r="12481" spans="1:8" x14ac:dyDescent="0.25">
      <c r="A12481" t="s">
        <v>360</v>
      </c>
      <c r="B12481" t="s">
        <v>9888</v>
      </c>
      <c r="C12481" t="s">
        <v>88</v>
      </c>
      <c r="D12481" t="s">
        <v>88</v>
      </c>
      <c r="E12481" t="s">
        <v>748</v>
      </c>
      <c r="F12481" t="s">
        <v>88</v>
      </c>
      <c r="G12481" t="s">
        <v>88</v>
      </c>
      <c r="H12481" t="s">
        <v>92</v>
      </c>
    </row>
    <row r="12482" spans="1:8" x14ac:dyDescent="0.25">
      <c r="A12482" t="s">
        <v>360</v>
      </c>
      <c r="B12482" t="s">
        <v>9889</v>
      </c>
      <c r="C12482" t="s">
        <v>88</v>
      </c>
      <c r="D12482" t="s">
        <v>9890</v>
      </c>
      <c r="E12482" t="s">
        <v>780</v>
      </c>
      <c r="F12482" t="s">
        <v>88</v>
      </c>
      <c r="G12482" t="s">
        <v>88</v>
      </c>
      <c r="H12482" t="s">
        <v>92</v>
      </c>
    </row>
    <row r="12483" spans="1:8" x14ac:dyDescent="0.25">
      <c r="A12483" t="s">
        <v>360</v>
      </c>
      <c r="B12483" t="s">
        <v>9891</v>
      </c>
      <c r="C12483" t="s">
        <v>88</v>
      </c>
      <c r="D12483" t="s">
        <v>88</v>
      </c>
      <c r="E12483" t="s">
        <v>748</v>
      </c>
      <c r="F12483" t="s">
        <v>88</v>
      </c>
      <c r="G12483" t="s">
        <v>88</v>
      </c>
      <c r="H12483" t="s">
        <v>92</v>
      </c>
    </row>
    <row r="12484" spans="1:8" x14ac:dyDescent="0.25">
      <c r="A12484" t="s">
        <v>360</v>
      </c>
      <c r="B12484" t="s">
        <v>9892</v>
      </c>
      <c r="C12484" t="s">
        <v>88</v>
      </c>
      <c r="D12484" t="s">
        <v>88</v>
      </c>
      <c r="E12484" t="s">
        <v>725</v>
      </c>
      <c r="F12484" t="s">
        <v>88</v>
      </c>
      <c r="G12484" t="s">
        <v>88</v>
      </c>
      <c r="H12484" t="s">
        <v>92</v>
      </c>
    </row>
    <row r="12485" spans="1:8" x14ac:dyDescent="0.25">
      <c r="A12485" t="s">
        <v>360</v>
      </c>
      <c r="B12485" t="s">
        <v>9893</v>
      </c>
      <c r="C12485" t="s">
        <v>88</v>
      </c>
      <c r="D12485" t="s">
        <v>88</v>
      </c>
      <c r="E12485" t="s">
        <v>780</v>
      </c>
      <c r="F12485" t="s">
        <v>88</v>
      </c>
      <c r="G12485" t="s">
        <v>88</v>
      </c>
      <c r="H12485" t="s">
        <v>92</v>
      </c>
    </row>
    <row r="12486" spans="1:8" x14ac:dyDescent="0.25">
      <c r="A12486" t="s">
        <v>360</v>
      </c>
      <c r="B12486" t="s">
        <v>9894</v>
      </c>
      <c r="C12486" t="s">
        <v>88</v>
      </c>
      <c r="D12486" t="s">
        <v>88</v>
      </c>
      <c r="E12486" t="s">
        <v>721</v>
      </c>
      <c r="F12486" t="s">
        <v>88</v>
      </c>
      <c r="G12486" t="s">
        <v>88</v>
      </c>
      <c r="H12486" t="s">
        <v>92</v>
      </c>
    </row>
    <row r="12487" spans="1:8" x14ac:dyDescent="0.25">
      <c r="A12487" t="s">
        <v>360</v>
      </c>
      <c r="B12487" t="s">
        <v>9895</v>
      </c>
      <c r="C12487" t="s">
        <v>88</v>
      </c>
      <c r="D12487" t="s">
        <v>88</v>
      </c>
      <c r="E12487" t="s">
        <v>721</v>
      </c>
      <c r="F12487" t="s">
        <v>88</v>
      </c>
      <c r="G12487" t="s">
        <v>88</v>
      </c>
      <c r="H12487" t="s">
        <v>92</v>
      </c>
    </row>
    <row r="12488" spans="1:8" x14ac:dyDescent="0.25">
      <c r="A12488" t="s">
        <v>360</v>
      </c>
      <c r="B12488" t="s">
        <v>9896</v>
      </c>
      <c r="C12488" t="s">
        <v>88</v>
      </c>
      <c r="D12488" t="s">
        <v>88</v>
      </c>
      <c r="E12488" t="s">
        <v>780</v>
      </c>
      <c r="F12488" t="s">
        <v>88</v>
      </c>
      <c r="G12488" t="s">
        <v>88</v>
      </c>
      <c r="H12488" t="s">
        <v>92</v>
      </c>
    </row>
    <row r="12489" spans="1:8" x14ac:dyDescent="0.25">
      <c r="A12489" t="s">
        <v>360</v>
      </c>
      <c r="B12489" t="s">
        <v>9897</v>
      </c>
      <c r="C12489" t="s">
        <v>88</v>
      </c>
      <c r="D12489" t="s">
        <v>9841</v>
      </c>
      <c r="E12489" t="s">
        <v>760</v>
      </c>
      <c r="F12489" t="s">
        <v>88</v>
      </c>
      <c r="G12489" t="s">
        <v>88</v>
      </c>
      <c r="H12489" t="s">
        <v>92</v>
      </c>
    </row>
    <row r="12490" spans="1:8" x14ac:dyDescent="0.25">
      <c r="A12490" t="s">
        <v>360</v>
      </c>
      <c r="B12490" t="s">
        <v>9898</v>
      </c>
      <c r="C12490" t="s">
        <v>88</v>
      </c>
      <c r="D12490" t="s">
        <v>88</v>
      </c>
      <c r="E12490" t="s">
        <v>700</v>
      </c>
      <c r="F12490" t="s">
        <v>88</v>
      </c>
      <c r="G12490" t="s">
        <v>88</v>
      </c>
      <c r="H12490" t="s">
        <v>92</v>
      </c>
    </row>
    <row r="12491" spans="1:8" x14ac:dyDescent="0.25">
      <c r="A12491" t="s">
        <v>360</v>
      </c>
      <c r="B12491" t="s">
        <v>9899</v>
      </c>
      <c r="C12491" t="s">
        <v>88</v>
      </c>
      <c r="D12491" t="s">
        <v>88</v>
      </c>
      <c r="E12491" t="s">
        <v>1241</v>
      </c>
      <c r="F12491" t="s">
        <v>88</v>
      </c>
      <c r="G12491" t="s">
        <v>88</v>
      </c>
      <c r="H12491" t="s">
        <v>92</v>
      </c>
    </row>
    <row r="12492" spans="1:8" x14ac:dyDescent="0.25">
      <c r="A12492" t="s">
        <v>360</v>
      </c>
      <c r="B12492" t="s">
        <v>9900</v>
      </c>
      <c r="C12492" t="s">
        <v>88</v>
      </c>
      <c r="D12492" t="s">
        <v>9872</v>
      </c>
      <c r="E12492" t="s">
        <v>1241</v>
      </c>
      <c r="F12492" t="s">
        <v>88</v>
      </c>
      <c r="G12492" t="s">
        <v>88</v>
      </c>
      <c r="H12492" t="s">
        <v>92</v>
      </c>
    </row>
    <row r="12493" spans="1:8" x14ac:dyDescent="0.25">
      <c r="A12493" t="s">
        <v>360</v>
      </c>
      <c r="B12493" t="s">
        <v>701</v>
      </c>
      <c r="C12493" t="s">
        <v>88</v>
      </c>
      <c r="D12493" t="s">
        <v>88</v>
      </c>
      <c r="E12493" t="s">
        <v>734</v>
      </c>
      <c r="F12493" t="s">
        <v>88</v>
      </c>
      <c r="G12493" t="s">
        <v>88</v>
      </c>
      <c r="H12493" t="s">
        <v>92</v>
      </c>
    </row>
    <row r="12494" spans="1:8" x14ac:dyDescent="0.25">
      <c r="A12494" t="s">
        <v>360</v>
      </c>
      <c r="B12494" t="s">
        <v>707</v>
      </c>
      <c r="C12494" t="s">
        <v>88</v>
      </c>
      <c r="D12494" t="s">
        <v>88</v>
      </c>
      <c r="E12494" t="s">
        <v>709</v>
      </c>
      <c r="F12494" t="s">
        <v>88</v>
      </c>
      <c r="G12494" t="s">
        <v>88</v>
      </c>
      <c r="H12494" t="s">
        <v>92</v>
      </c>
    </row>
    <row r="12495" spans="1:8" x14ac:dyDescent="0.25">
      <c r="A12495" t="s">
        <v>360</v>
      </c>
      <c r="B12495" t="s">
        <v>612</v>
      </c>
      <c r="C12495" t="s">
        <v>88</v>
      </c>
      <c r="D12495" t="s">
        <v>88</v>
      </c>
      <c r="E12495" t="s">
        <v>734</v>
      </c>
      <c r="F12495" t="s">
        <v>88</v>
      </c>
      <c r="G12495" t="s">
        <v>88</v>
      </c>
      <c r="H12495" t="s">
        <v>92</v>
      </c>
    </row>
    <row r="12496" spans="1:8" x14ac:dyDescent="0.25">
      <c r="A12496" t="s">
        <v>360</v>
      </c>
      <c r="B12496" t="s">
        <v>733</v>
      </c>
      <c r="C12496" t="s">
        <v>88</v>
      </c>
      <c r="D12496" t="s">
        <v>88</v>
      </c>
      <c r="E12496" t="s">
        <v>709</v>
      </c>
      <c r="F12496" t="s">
        <v>88</v>
      </c>
      <c r="G12496" t="s">
        <v>88</v>
      </c>
      <c r="H12496" t="s">
        <v>92</v>
      </c>
    </row>
    <row r="12497" spans="1:8" x14ac:dyDescent="0.25">
      <c r="A12497" t="s">
        <v>360</v>
      </c>
      <c r="B12497" t="s">
        <v>9901</v>
      </c>
      <c r="C12497" t="s">
        <v>88</v>
      </c>
      <c r="D12497" t="s">
        <v>88</v>
      </c>
      <c r="E12497" t="s">
        <v>734</v>
      </c>
      <c r="F12497" t="s">
        <v>88</v>
      </c>
      <c r="G12497" t="s">
        <v>88</v>
      </c>
      <c r="H12497" t="s">
        <v>92</v>
      </c>
    </row>
    <row r="12498" spans="1:8" x14ac:dyDescent="0.25">
      <c r="A12498" t="s">
        <v>360</v>
      </c>
      <c r="B12498" t="s">
        <v>9902</v>
      </c>
      <c r="C12498" t="s">
        <v>88</v>
      </c>
      <c r="D12498" t="s">
        <v>88</v>
      </c>
      <c r="E12498" t="s">
        <v>710</v>
      </c>
      <c r="F12498" t="s">
        <v>88</v>
      </c>
      <c r="G12498" t="s">
        <v>88</v>
      </c>
      <c r="H12498" t="s">
        <v>92</v>
      </c>
    </row>
    <row r="12499" spans="1:8" x14ac:dyDescent="0.25">
      <c r="A12499" t="s">
        <v>360</v>
      </c>
      <c r="B12499" t="s">
        <v>9903</v>
      </c>
      <c r="C12499" t="s">
        <v>88</v>
      </c>
      <c r="D12499" t="s">
        <v>88</v>
      </c>
      <c r="E12499" t="s">
        <v>848</v>
      </c>
      <c r="F12499" t="s">
        <v>88</v>
      </c>
      <c r="G12499" t="s">
        <v>88</v>
      </c>
      <c r="H12499" t="s">
        <v>92</v>
      </c>
    </row>
    <row r="12500" spans="1:8" x14ac:dyDescent="0.25">
      <c r="A12500" t="s">
        <v>360</v>
      </c>
      <c r="B12500" t="s">
        <v>2359</v>
      </c>
      <c r="C12500" t="s">
        <v>88</v>
      </c>
      <c r="D12500" t="s">
        <v>88</v>
      </c>
      <c r="E12500" t="s">
        <v>791</v>
      </c>
      <c r="F12500" t="s">
        <v>88</v>
      </c>
      <c r="G12500" t="s">
        <v>88</v>
      </c>
      <c r="H12500" t="s">
        <v>92</v>
      </c>
    </row>
    <row r="12501" spans="1:8" x14ac:dyDescent="0.25">
      <c r="A12501" t="s">
        <v>360</v>
      </c>
      <c r="B12501" t="s">
        <v>846</v>
      </c>
      <c r="C12501" t="s">
        <v>88</v>
      </c>
      <c r="D12501" t="s">
        <v>88</v>
      </c>
      <c r="E12501" t="s">
        <v>710</v>
      </c>
      <c r="F12501" t="s">
        <v>88</v>
      </c>
      <c r="G12501" t="s">
        <v>88</v>
      </c>
      <c r="H12501" t="s">
        <v>92</v>
      </c>
    </row>
    <row r="12502" spans="1:8" x14ac:dyDescent="0.25">
      <c r="A12502" t="s">
        <v>360</v>
      </c>
      <c r="B12502" t="s">
        <v>9904</v>
      </c>
      <c r="C12502" t="s">
        <v>88</v>
      </c>
      <c r="D12502" t="s">
        <v>88</v>
      </c>
      <c r="E12502" t="s">
        <v>711</v>
      </c>
      <c r="F12502" t="s">
        <v>88</v>
      </c>
      <c r="G12502" t="s">
        <v>88</v>
      </c>
      <c r="H12502" t="s">
        <v>92</v>
      </c>
    </row>
    <row r="12503" spans="1:8" x14ac:dyDescent="0.25">
      <c r="A12503" t="s">
        <v>360</v>
      </c>
      <c r="B12503" t="s">
        <v>9905</v>
      </c>
      <c r="C12503" t="s">
        <v>88</v>
      </c>
      <c r="D12503" t="s">
        <v>88</v>
      </c>
      <c r="E12503" t="s">
        <v>711</v>
      </c>
      <c r="F12503" t="s">
        <v>88</v>
      </c>
      <c r="G12503" t="s">
        <v>88</v>
      </c>
      <c r="H12503" t="s">
        <v>92</v>
      </c>
    </row>
    <row r="12504" spans="1:8" x14ac:dyDescent="0.25">
      <c r="A12504" t="s">
        <v>360</v>
      </c>
      <c r="B12504" t="s">
        <v>9906</v>
      </c>
      <c r="C12504" t="s">
        <v>88</v>
      </c>
      <c r="D12504" t="s">
        <v>88</v>
      </c>
      <c r="E12504" t="s">
        <v>709</v>
      </c>
      <c r="F12504" t="s">
        <v>88</v>
      </c>
      <c r="G12504" t="s">
        <v>88</v>
      </c>
      <c r="H12504" t="s">
        <v>92</v>
      </c>
    </row>
    <row r="12505" spans="1:8" x14ac:dyDescent="0.25">
      <c r="A12505" t="s">
        <v>360</v>
      </c>
      <c r="B12505" t="s">
        <v>620</v>
      </c>
      <c r="C12505" t="s">
        <v>88</v>
      </c>
      <c r="D12505" t="s">
        <v>88</v>
      </c>
      <c r="E12505" t="s">
        <v>848</v>
      </c>
      <c r="F12505" t="s">
        <v>88</v>
      </c>
      <c r="G12505" t="s">
        <v>88</v>
      </c>
      <c r="H12505" t="s">
        <v>92</v>
      </c>
    </row>
    <row r="12506" spans="1:8" x14ac:dyDescent="0.25">
      <c r="A12506" t="s">
        <v>360</v>
      </c>
      <c r="B12506" t="s">
        <v>5998</v>
      </c>
      <c r="C12506" t="s">
        <v>88</v>
      </c>
      <c r="D12506" t="s">
        <v>88</v>
      </c>
      <c r="E12506" t="s">
        <v>709</v>
      </c>
      <c r="F12506" t="s">
        <v>88</v>
      </c>
      <c r="G12506" t="s">
        <v>88</v>
      </c>
      <c r="H12506" t="s">
        <v>92</v>
      </c>
    </row>
    <row r="12507" spans="1:8" x14ac:dyDescent="0.25">
      <c r="A12507" t="s">
        <v>360</v>
      </c>
      <c r="B12507" t="s">
        <v>9907</v>
      </c>
      <c r="C12507" t="s">
        <v>88</v>
      </c>
      <c r="D12507" t="s">
        <v>88</v>
      </c>
      <c r="E12507" t="s">
        <v>713</v>
      </c>
      <c r="F12507" t="s">
        <v>88</v>
      </c>
      <c r="G12507" t="s">
        <v>88</v>
      </c>
      <c r="H12507" t="s">
        <v>92</v>
      </c>
    </row>
    <row r="12508" spans="1:8" x14ac:dyDescent="0.25">
      <c r="A12508" t="s">
        <v>360</v>
      </c>
      <c r="B12508" t="s">
        <v>929</v>
      </c>
      <c r="C12508" t="s">
        <v>88</v>
      </c>
      <c r="D12508" t="s">
        <v>88</v>
      </c>
      <c r="E12508" t="s">
        <v>735</v>
      </c>
      <c r="F12508" t="s">
        <v>88</v>
      </c>
      <c r="G12508" t="s">
        <v>88</v>
      </c>
      <c r="H12508" t="s">
        <v>92</v>
      </c>
    </row>
    <row r="12509" spans="1:8" x14ac:dyDescent="0.25">
      <c r="A12509" t="s">
        <v>360</v>
      </c>
      <c r="B12509" t="s">
        <v>798</v>
      </c>
      <c r="C12509" t="s">
        <v>88</v>
      </c>
      <c r="D12509" t="s">
        <v>88</v>
      </c>
      <c r="E12509" t="s">
        <v>702</v>
      </c>
      <c r="F12509" t="s">
        <v>88</v>
      </c>
      <c r="G12509" t="s">
        <v>88</v>
      </c>
      <c r="H12509" t="s">
        <v>92</v>
      </c>
    </row>
    <row r="12510" spans="1:8" x14ac:dyDescent="0.25">
      <c r="A12510" t="s">
        <v>360</v>
      </c>
      <c r="B12510" t="s">
        <v>852</v>
      </c>
      <c r="C12510" t="s">
        <v>88</v>
      </c>
      <c r="D12510" t="s">
        <v>88</v>
      </c>
      <c r="E12510" t="s">
        <v>715</v>
      </c>
      <c r="F12510" t="s">
        <v>88</v>
      </c>
      <c r="G12510" t="s">
        <v>88</v>
      </c>
      <c r="H12510" t="s">
        <v>92</v>
      </c>
    </row>
    <row r="12511" spans="1:8" x14ac:dyDescent="0.25">
      <c r="A12511" t="s">
        <v>360</v>
      </c>
      <c r="B12511" t="s">
        <v>9908</v>
      </c>
      <c r="C12511" t="s">
        <v>88</v>
      </c>
      <c r="D12511" t="s">
        <v>88</v>
      </c>
      <c r="E12511" t="s">
        <v>791</v>
      </c>
      <c r="F12511" t="s">
        <v>88</v>
      </c>
      <c r="G12511" t="s">
        <v>88</v>
      </c>
      <c r="H12511" t="s">
        <v>92</v>
      </c>
    </row>
    <row r="12512" spans="1:8" x14ac:dyDescent="0.25">
      <c r="A12512" t="s">
        <v>360</v>
      </c>
      <c r="B12512" t="s">
        <v>9909</v>
      </c>
      <c r="C12512" t="s">
        <v>88</v>
      </c>
      <c r="D12512" t="s">
        <v>88</v>
      </c>
      <c r="E12512" t="s">
        <v>799</v>
      </c>
      <c r="F12512" t="s">
        <v>88</v>
      </c>
      <c r="G12512" t="s">
        <v>88</v>
      </c>
      <c r="H12512" t="s">
        <v>92</v>
      </c>
    </row>
    <row r="12513" spans="1:8" x14ac:dyDescent="0.25">
      <c r="A12513" t="s">
        <v>360</v>
      </c>
      <c r="B12513" t="s">
        <v>9910</v>
      </c>
      <c r="C12513" t="s">
        <v>88</v>
      </c>
      <c r="D12513" t="s">
        <v>88</v>
      </c>
      <c r="E12513" t="s">
        <v>780</v>
      </c>
      <c r="F12513" t="s">
        <v>88</v>
      </c>
      <c r="G12513" t="s">
        <v>88</v>
      </c>
      <c r="H12513" t="s">
        <v>92</v>
      </c>
    </row>
    <row r="12514" spans="1:8" x14ac:dyDescent="0.25">
      <c r="A12514" t="s">
        <v>360</v>
      </c>
      <c r="B12514" t="s">
        <v>9911</v>
      </c>
      <c r="C12514" t="s">
        <v>88</v>
      </c>
      <c r="D12514" t="s">
        <v>88</v>
      </c>
      <c r="E12514" t="s">
        <v>780</v>
      </c>
      <c r="F12514" t="s">
        <v>88</v>
      </c>
      <c r="G12514" t="s">
        <v>88</v>
      </c>
      <c r="H12514" t="s">
        <v>92</v>
      </c>
    </row>
    <row r="12515" spans="1:8" x14ac:dyDescent="0.25">
      <c r="A12515" t="s">
        <v>360</v>
      </c>
      <c r="B12515" t="s">
        <v>9912</v>
      </c>
      <c r="C12515" t="s">
        <v>88</v>
      </c>
      <c r="D12515" t="s">
        <v>88</v>
      </c>
      <c r="E12515" t="s">
        <v>780</v>
      </c>
      <c r="F12515" t="s">
        <v>88</v>
      </c>
      <c r="G12515" t="s">
        <v>88</v>
      </c>
      <c r="H12515" t="s">
        <v>92</v>
      </c>
    </row>
    <row r="12516" spans="1:8" x14ac:dyDescent="0.25">
      <c r="A12516" t="s">
        <v>360</v>
      </c>
      <c r="B12516" t="s">
        <v>9913</v>
      </c>
      <c r="C12516" t="s">
        <v>88</v>
      </c>
      <c r="D12516" t="s">
        <v>88</v>
      </c>
      <c r="E12516" t="s">
        <v>1139</v>
      </c>
      <c r="F12516" t="s">
        <v>88</v>
      </c>
      <c r="G12516" t="s">
        <v>88</v>
      </c>
      <c r="H12516" t="s">
        <v>92</v>
      </c>
    </row>
    <row r="12517" spans="1:8" x14ac:dyDescent="0.25">
      <c r="A12517" t="s">
        <v>360</v>
      </c>
      <c r="B12517" t="s">
        <v>9914</v>
      </c>
      <c r="C12517" t="s">
        <v>88</v>
      </c>
      <c r="D12517" t="s">
        <v>88</v>
      </c>
      <c r="E12517" t="s">
        <v>723</v>
      </c>
      <c r="F12517" t="s">
        <v>88</v>
      </c>
      <c r="G12517" t="s">
        <v>88</v>
      </c>
      <c r="H12517" t="s">
        <v>92</v>
      </c>
    </row>
    <row r="12518" spans="1:8" x14ac:dyDescent="0.25">
      <c r="A12518" t="s">
        <v>360</v>
      </c>
      <c r="B12518" t="s">
        <v>9915</v>
      </c>
      <c r="C12518" t="s">
        <v>88</v>
      </c>
      <c r="D12518" t="s">
        <v>88</v>
      </c>
      <c r="E12518" t="s">
        <v>723</v>
      </c>
      <c r="F12518" t="s">
        <v>88</v>
      </c>
      <c r="G12518" t="s">
        <v>88</v>
      </c>
      <c r="H12518" t="s">
        <v>92</v>
      </c>
    </row>
    <row r="12519" spans="1:8" x14ac:dyDescent="0.25">
      <c r="A12519" t="s">
        <v>360</v>
      </c>
      <c r="B12519" t="s">
        <v>8383</v>
      </c>
      <c r="C12519" t="s">
        <v>88</v>
      </c>
      <c r="D12519" t="s">
        <v>88</v>
      </c>
      <c r="E12519" t="s">
        <v>723</v>
      </c>
      <c r="F12519" t="s">
        <v>88</v>
      </c>
      <c r="G12519" t="s">
        <v>88</v>
      </c>
      <c r="H12519" t="s">
        <v>92</v>
      </c>
    </row>
    <row r="12520" spans="1:8" x14ac:dyDescent="0.25">
      <c r="A12520" t="s">
        <v>360</v>
      </c>
      <c r="B12520" t="s">
        <v>8382</v>
      </c>
      <c r="C12520" t="s">
        <v>88</v>
      </c>
      <c r="D12520" t="s">
        <v>88</v>
      </c>
      <c r="E12520" t="s">
        <v>723</v>
      </c>
      <c r="F12520" t="s">
        <v>88</v>
      </c>
      <c r="G12520" t="s">
        <v>88</v>
      </c>
      <c r="H12520" t="s">
        <v>92</v>
      </c>
    </row>
    <row r="12521" spans="1:8" x14ac:dyDescent="0.25">
      <c r="A12521" t="s">
        <v>360</v>
      </c>
      <c r="B12521" t="s">
        <v>9916</v>
      </c>
      <c r="C12521" t="s">
        <v>88</v>
      </c>
      <c r="D12521" t="s">
        <v>88</v>
      </c>
      <c r="E12521" t="s">
        <v>723</v>
      </c>
      <c r="F12521" t="s">
        <v>88</v>
      </c>
      <c r="G12521" t="s">
        <v>88</v>
      </c>
      <c r="H12521" t="s">
        <v>92</v>
      </c>
    </row>
    <row r="12522" spans="1:8" x14ac:dyDescent="0.25">
      <c r="A12522" t="s">
        <v>360</v>
      </c>
      <c r="B12522" t="s">
        <v>8384</v>
      </c>
      <c r="C12522" t="s">
        <v>88</v>
      </c>
      <c r="D12522" t="s">
        <v>88</v>
      </c>
      <c r="E12522" t="s">
        <v>723</v>
      </c>
      <c r="F12522" t="s">
        <v>88</v>
      </c>
      <c r="G12522" t="s">
        <v>88</v>
      </c>
      <c r="H12522" t="s">
        <v>92</v>
      </c>
    </row>
    <row r="12523" spans="1:8" x14ac:dyDescent="0.25">
      <c r="A12523" t="s">
        <v>360</v>
      </c>
      <c r="B12523" t="s">
        <v>9917</v>
      </c>
      <c r="C12523" t="s">
        <v>88</v>
      </c>
      <c r="D12523" t="s">
        <v>88</v>
      </c>
      <c r="E12523" t="s">
        <v>723</v>
      </c>
      <c r="F12523" t="s">
        <v>88</v>
      </c>
      <c r="G12523" t="s">
        <v>88</v>
      </c>
      <c r="H12523" t="s">
        <v>92</v>
      </c>
    </row>
    <row r="12524" spans="1:8" x14ac:dyDescent="0.25">
      <c r="A12524" t="s">
        <v>360</v>
      </c>
      <c r="B12524" t="s">
        <v>9918</v>
      </c>
      <c r="C12524" t="s">
        <v>88</v>
      </c>
      <c r="D12524" t="s">
        <v>88</v>
      </c>
      <c r="E12524" t="s">
        <v>723</v>
      </c>
      <c r="F12524" t="s">
        <v>88</v>
      </c>
      <c r="G12524" t="s">
        <v>88</v>
      </c>
      <c r="H12524" t="s">
        <v>92</v>
      </c>
    </row>
    <row r="12525" spans="1:8" x14ac:dyDescent="0.25">
      <c r="A12525" t="s">
        <v>360</v>
      </c>
      <c r="B12525" t="s">
        <v>8385</v>
      </c>
      <c r="C12525" t="s">
        <v>88</v>
      </c>
      <c r="D12525" t="s">
        <v>88</v>
      </c>
      <c r="E12525" t="s">
        <v>723</v>
      </c>
      <c r="F12525" t="s">
        <v>88</v>
      </c>
      <c r="G12525" t="s">
        <v>88</v>
      </c>
      <c r="H12525" t="s">
        <v>92</v>
      </c>
    </row>
    <row r="12526" spans="1:8" x14ac:dyDescent="0.25">
      <c r="A12526" t="s">
        <v>360</v>
      </c>
      <c r="B12526" t="s">
        <v>625</v>
      </c>
      <c r="C12526" t="s">
        <v>88</v>
      </c>
      <c r="D12526" t="s">
        <v>88</v>
      </c>
      <c r="E12526" t="s">
        <v>626</v>
      </c>
      <c r="F12526" t="s">
        <v>88</v>
      </c>
      <c r="G12526" t="s">
        <v>88</v>
      </c>
      <c r="H12526" t="s">
        <v>92</v>
      </c>
    </row>
    <row r="12527" spans="1:8" x14ac:dyDescent="0.25">
      <c r="A12527" t="s">
        <v>361</v>
      </c>
      <c r="B12527" t="s">
        <v>9761</v>
      </c>
      <c r="C12527" t="s">
        <v>88</v>
      </c>
      <c r="D12527" t="s">
        <v>9762</v>
      </c>
      <c r="E12527" t="s">
        <v>780</v>
      </c>
      <c r="F12527" t="s">
        <v>88</v>
      </c>
      <c r="G12527" t="s">
        <v>88</v>
      </c>
      <c r="H12527" t="s">
        <v>92</v>
      </c>
    </row>
    <row r="12528" spans="1:8" x14ac:dyDescent="0.25">
      <c r="A12528" t="s">
        <v>361</v>
      </c>
      <c r="B12528" t="s">
        <v>9763</v>
      </c>
      <c r="C12528" t="s">
        <v>88</v>
      </c>
      <c r="D12528" t="s">
        <v>88</v>
      </c>
      <c r="E12528" t="s">
        <v>663</v>
      </c>
      <c r="F12528" t="s">
        <v>88</v>
      </c>
      <c r="G12528" t="s">
        <v>88</v>
      </c>
      <c r="H12528" t="s">
        <v>92</v>
      </c>
    </row>
    <row r="12529" spans="1:8" x14ac:dyDescent="0.25">
      <c r="A12529" t="s">
        <v>361</v>
      </c>
      <c r="B12529" t="s">
        <v>696</v>
      </c>
      <c r="C12529" t="s">
        <v>88</v>
      </c>
      <c r="D12529" t="s">
        <v>3342</v>
      </c>
      <c r="E12529" t="s">
        <v>791</v>
      </c>
      <c r="F12529" t="s">
        <v>88</v>
      </c>
      <c r="G12529" t="s">
        <v>88</v>
      </c>
      <c r="H12529" t="s">
        <v>92</v>
      </c>
    </row>
    <row r="12530" spans="1:8" x14ac:dyDescent="0.25">
      <c r="A12530" t="s">
        <v>361</v>
      </c>
      <c r="B12530" t="s">
        <v>739</v>
      </c>
      <c r="C12530" t="s">
        <v>88</v>
      </c>
      <c r="D12530" t="s">
        <v>9765</v>
      </c>
      <c r="E12530" t="s">
        <v>791</v>
      </c>
      <c r="F12530" t="s">
        <v>88</v>
      </c>
      <c r="G12530" t="s">
        <v>88</v>
      </c>
      <c r="H12530" t="s">
        <v>92</v>
      </c>
    </row>
    <row r="12531" spans="1:8" x14ac:dyDescent="0.25">
      <c r="A12531" t="s">
        <v>361</v>
      </c>
      <c r="B12531" t="s">
        <v>9811</v>
      </c>
      <c r="C12531" t="s">
        <v>88</v>
      </c>
      <c r="D12531" t="s">
        <v>88</v>
      </c>
      <c r="E12531" t="s">
        <v>937</v>
      </c>
      <c r="F12531" t="s">
        <v>88</v>
      </c>
      <c r="G12531" t="s">
        <v>88</v>
      </c>
      <c r="H12531" t="s">
        <v>92</v>
      </c>
    </row>
    <row r="12532" spans="1:8" x14ac:dyDescent="0.25">
      <c r="A12532" t="s">
        <v>361</v>
      </c>
      <c r="B12532" t="s">
        <v>1776</v>
      </c>
      <c r="C12532" t="s">
        <v>88</v>
      </c>
      <c r="D12532" t="s">
        <v>9766</v>
      </c>
      <c r="E12532" t="s">
        <v>721</v>
      </c>
      <c r="F12532" t="s">
        <v>88</v>
      </c>
      <c r="G12532" t="s">
        <v>88</v>
      </c>
      <c r="H12532" t="s">
        <v>92</v>
      </c>
    </row>
    <row r="12533" spans="1:8" x14ac:dyDescent="0.25">
      <c r="A12533" t="s">
        <v>361</v>
      </c>
      <c r="B12533" t="s">
        <v>9741</v>
      </c>
      <c r="C12533" t="s">
        <v>88</v>
      </c>
      <c r="D12533" t="s">
        <v>9767</v>
      </c>
      <c r="E12533" t="s">
        <v>725</v>
      </c>
      <c r="F12533" t="s">
        <v>88</v>
      </c>
      <c r="G12533" t="s">
        <v>88</v>
      </c>
      <c r="H12533" t="s">
        <v>92</v>
      </c>
    </row>
    <row r="12534" spans="1:8" x14ac:dyDescent="0.25">
      <c r="A12534" t="s">
        <v>361</v>
      </c>
      <c r="B12534" t="s">
        <v>4080</v>
      </c>
      <c r="C12534" t="s">
        <v>88</v>
      </c>
      <c r="D12534" t="s">
        <v>88</v>
      </c>
      <c r="E12534" t="s">
        <v>791</v>
      </c>
      <c r="F12534" t="s">
        <v>88</v>
      </c>
      <c r="G12534" t="s">
        <v>88</v>
      </c>
      <c r="H12534" t="s">
        <v>92</v>
      </c>
    </row>
    <row r="12535" spans="1:8" x14ac:dyDescent="0.25">
      <c r="A12535" t="s">
        <v>361</v>
      </c>
      <c r="B12535" t="s">
        <v>9768</v>
      </c>
      <c r="C12535" t="s">
        <v>88</v>
      </c>
      <c r="D12535" t="s">
        <v>88</v>
      </c>
      <c r="E12535" t="s">
        <v>715</v>
      </c>
      <c r="F12535" t="s">
        <v>88</v>
      </c>
      <c r="G12535" t="s">
        <v>88</v>
      </c>
      <c r="H12535" t="s">
        <v>92</v>
      </c>
    </row>
    <row r="12536" spans="1:8" x14ac:dyDescent="0.25">
      <c r="A12536" t="s">
        <v>361</v>
      </c>
      <c r="B12536" t="s">
        <v>9769</v>
      </c>
      <c r="C12536" t="s">
        <v>88</v>
      </c>
      <c r="D12536" t="s">
        <v>88</v>
      </c>
      <c r="E12536" t="s">
        <v>780</v>
      </c>
      <c r="F12536" t="s">
        <v>88</v>
      </c>
      <c r="G12536" t="s">
        <v>88</v>
      </c>
      <c r="H12536" t="s">
        <v>92</v>
      </c>
    </row>
    <row r="12537" spans="1:8" x14ac:dyDescent="0.25">
      <c r="A12537" t="s">
        <v>361</v>
      </c>
      <c r="B12537" t="s">
        <v>9770</v>
      </c>
      <c r="C12537" t="s">
        <v>88</v>
      </c>
      <c r="D12537" t="s">
        <v>88</v>
      </c>
      <c r="E12537" t="s">
        <v>723</v>
      </c>
      <c r="F12537" t="s">
        <v>88</v>
      </c>
      <c r="G12537" t="s">
        <v>88</v>
      </c>
      <c r="H12537" t="s">
        <v>92</v>
      </c>
    </row>
    <row r="12538" spans="1:8" x14ac:dyDescent="0.25">
      <c r="A12538" t="s">
        <v>361</v>
      </c>
      <c r="B12538" t="s">
        <v>948</v>
      </c>
      <c r="C12538" t="s">
        <v>88</v>
      </c>
      <c r="D12538" t="s">
        <v>88</v>
      </c>
      <c r="E12538" t="s">
        <v>735</v>
      </c>
      <c r="F12538" t="s">
        <v>88</v>
      </c>
      <c r="G12538" t="s">
        <v>88</v>
      </c>
      <c r="H12538" t="s">
        <v>92</v>
      </c>
    </row>
    <row r="12539" spans="1:8" x14ac:dyDescent="0.25">
      <c r="A12539" t="s">
        <v>361</v>
      </c>
      <c r="B12539" t="s">
        <v>5251</v>
      </c>
      <c r="C12539" t="s">
        <v>88</v>
      </c>
      <c r="D12539" t="s">
        <v>88</v>
      </c>
      <c r="E12539" t="s">
        <v>715</v>
      </c>
      <c r="F12539" t="s">
        <v>88</v>
      </c>
      <c r="G12539" t="s">
        <v>88</v>
      </c>
      <c r="H12539" t="s">
        <v>92</v>
      </c>
    </row>
    <row r="12540" spans="1:8" x14ac:dyDescent="0.25">
      <c r="A12540" t="s">
        <v>361</v>
      </c>
      <c r="B12540" t="s">
        <v>9771</v>
      </c>
      <c r="C12540" t="s">
        <v>88</v>
      </c>
      <c r="D12540" t="s">
        <v>88</v>
      </c>
      <c r="E12540" t="s">
        <v>959</v>
      </c>
      <c r="F12540" t="s">
        <v>88</v>
      </c>
      <c r="G12540" t="s">
        <v>88</v>
      </c>
      <c r="H12540" t="s">
        <v>92</v>
      </c>
    </row>
    <row r="12541" spans="1:8" x14ac:dyDescent="0.25">
      <c r="A12541" t="s">
        <v>361</v>
      </c>
      <c r="B12541" t="s">
        <v>9772</v>
      </c>
      <c r="C12541" t="s">
        <v>88</v>
      </c>
      <c r="D12541" t="s">
        <v>88</v>
      </c>
      <c r="E12541" t="s">
        <v>959</v>
      </c>
      <c r="F12541" t="s">
        <v>88</v>
      </c>
      <c r="G12541" t="s">
        <v>88</v>
      </c>
      <c r="H12541" t="s">
        <v>92</v>
      </c>
    </row>
    <row r="12542" spans="1:8" x14ac:dyDescent="0.25">
      <c r="A12542" t="s">
        <v>361</v>
      </c>
      <c r="B12542" t="s">
        <v>4873</v>
      </c>
      <c r="C12542" t="s">
        <v>88</v>
      </c>
      <c r="D12542" t="s">
        <v>88</v>
      </c>
      <c r="E12542" t="s">
        <v>959</v>
      </c>
      <c r="F12542" t="s">
        <v>88</v>
      </c>
      <c r="G12542" t="s">
        <v>88</v>
      </c>
      <c r="H12542" t="s">
        <v>92</v>
      </c>
    </row>
    <row r="12543" spans="1:8" x14ac:dyDescent="0.25">
      <c r="A12543" t="s">
        <v>361</v>
      </c>
      <c r="B12543" t="s">
        <v>9773</v>
      </c>
      <c r="C12543" t="s">
        <v>88</v>
      </c>
      <c r="D12543" t="s">
        <v>88</v>
      </c>
      <c r="E12543" t="s">
        <v>959</v>
      </c>
      <c r="F12543" t="s">
        <v>88</v>
      </c>
      <c r="G12543" t="s">
        <v>88</v>
      </c>
      <c r="H12543" t="s">
        <v>92</v>
      </c>
    </row>
    <row r="12544" spans="1:8" x14ac:dyDescent="0.25">
      <c r="A12544" t="s">
        <v>361</v>
      </c>
      <c r="B12544" t="s">
        <v>9774</v>
      </c>
      <c r="C12544" t="s">
        <v>88</v>
      </c>
      <c r="D12544" t="s">
        <v>88</v>
      </c>
      <c r="E12544" t="s">
        <v>959</v>
      </c>
      <c r="F12544" t="s">
        <v>88</v>
      </c>
      <c r="G12544" t="s">
        <v>88</v>
      </c>
      <c r="H12544" t="s">
        <v>92</v>
      </c>
    </row>
    <row r="12545" spans="1:8" x14ac:dyDescent="0.25">
      <c r="A12545" t="s">
        <v>361</v>
      </c>
      <c r="B12545" t="s">
        <v>5250</v>
      </c>
      <c r="C12545" t="s">
        <v>88</v>
      </c>
      <c r="D12545" t="s">
        <v>6645</v>
      </c>
      <c r="E12545" t="s">
        <v>959</v>
      </c>
      <c r="F12545" t="s">
        <v>88</v>
      </c>
      <c r="G12545" t="s">
        <v>88</v>
      </c>
      <c r="H12545" t="s">
        <v>92</v>
      </c>
    </row>
    <row r="12546" spans="1:8" x14ac:dyDescent="0.25">
      <c r="A12546" t="s">
        <v>361</v>
      </c>
      <c r="B12546" t="s">
        <v>5253</v>
      </c>
      <c r="C12546" t="s">
        <v>88</v>
      </c>
      <c r="D12546" t="s">
        <v>9775</v>
      </c>
      <c r="E12546" t="s">
        <v>738</v>
      </c>
      <c r="F12546" t="s">
        <v>88</v>
      </c>
      <c r="G12546" t="s">
        <v>88</v>
      </c>
      <c r="H12546" t="s">
        <v>92</v>
      </c>
    </row>
    <row r="12547" spans="1:8" x14ac:dyDescent="0.25">
      <c r="A12547" t="s">
        <v>361</v>
      </c>
      <c r="B12547" t="s">
        <v>9776</v>
      </c>
      <c r="C12547" t="s">
        <v>88</v>
      </c>
      <c r="D12547" t="s">
        <v>88</v>
      </c>
      <c r="E12547" t="s">
        <v>723</v>
      </c>
      <c r="F12547" t="s">
        <v>88</v>
      </c>
      <c r="G12547" t="s">
        <v>88</v>
      </c>
      <c r="H12547" t="s">
        <v>92</v>
      </c>
    </row>
    <row r="12548" spans="1:8" x14ac:dyDescent="0.25">
      <c r="A12548" t="s">
        <v>361</v>
      </c>
      <c r="B12548" t="s">
        <v>9777</v>
      </c>
      <c r="C12548" t="s">
        <v>88</v>
      </c>
      <c r="D12548" t="s">
        <v>88</v>
      </c>
      <c r="E12548" t="s">
        <v>780</v>
      </c>
      <c r="F12548" t="s">
        <v>88</v>
      </c>
      <c r="G12548" t="s">
        <v>88</v>
      </c>
      <c r="H12548" t="s">
        <v>92</v>
      </c>
    </row>
    <row r="12549" spans="1:8" x14ac:dyDescent="0.25">
      <c r="A12549" t="s">
        <v>361</v>
      </c>
      <c r="B12549" t="s">
        <v>9778</v>
      </c>
      <c r="C12549" t="s">
        <v>88</v>
      </c>
      <c r="D12549" t="s">
        <v>88</v>
      </c>
      <c r="E12549" t="s">
        <v>959</v>
      </c>
      <c r="F12549" t="s">
        <v>88</v>
      </c>
      <c r="G12549" t="s">
        <v>88</v>
      </c>
      <c r="H12549" t="s">
        <v>92</v>
      </c>
    </row>
    <row r="12550" spans="1:8" x14ac:dyDescent="0.25">
      <c r="A12550" t="s">
        <v>361</v>
      </c>
      <c r="B12550" t="s">
        <v>9779</v>
      </c>
      <c r="C12550" t="s">
        <v>88</v>
      </c>
      <c r="D12550" t="s">
        <v>88</v>
      </c>
      <c r="E12550" t="s">
        <v>738</v>
      </c>
      <c r="F12550" t="s">
        <v>88</v>
      </c>
      <c r="G12550" t="s">
        <v>88</v>
      </c>
      <c r="H12550" t="s">
        <v>92</v>
      </c>
    </row>
    <row r="12551" spans="1:8" x14ac:dyDescent="0.25">
      <c r="A12551" t="s">
        <v>361</v>
      </c>
      <c r="B12551" t="s">
        <v>9780</v>
      </c>
      <c r="C12551" t="s">
        <v>88</v>
      </c>
      <c r="D12551" t="s">
        <v>88</v>
      </c>
      <c r="E12551" t="s">
        <v>738</v>
      </c>
      <c r="F12551" t="s">
        <v>88</v>
      </c>
      <c r="G12551" t="s">
        <v>88</v>
      </c>
      <c r="H12551" t="s">
        <v>92</v>
      </c>
    </row>
    <row r="12552" spans="1:8" x14ac:dyDescent="0.25">
      <c r="A12552" t="s">
        <v>361</v>
      </c>
      <c r="B12552" t="s">
        <v>9781</v>
      </c>
      <c r="C12552" t="s">
        <v>88</v>
      </c>
      <c r="D12552" t="s">
        <v>88</v>
      </c>
      <c r="E12552" t="s">
        <v>780</v>
      </c>
      <c r="F12552" t="s">
        <v>88</v>
      </c>
      <c r="G12552" t="s">
        <v>88</v>
      </c>
      <c r="H12552" t="s">
        <v>92</v>
      </c>
    </row>
    <row r="12553" spans="1:8" x14ac:dyDescent="0.25">
      <c r="A12553" t="s">
        <v>361</v>
      </c>
      <c r="B12553" t="s">
        <v>9782</v>
      </c>
      <c r="C12553" t="s">
        <v>88</v>
      </c>
      <c r="D12553" t="s">
        <v>88</v>
      </c>
      <c r="E12553" t="s">
        <v>723</v>
      </c>
      <c r="F12553" t="s">
        <v>88</v>
      </c>
      <c r="G12553" t="s">
        <v>88</v>
      </c>
      <c r="H12553" t="s">
        <v>92</v>
      </c>
    </row>
    <row r="12554" spans="1:8" x14ac:dyDescent="0.25">
      <c r="A12554" t="s">
        <v>361</v>
      </c>
      <c r="B12554" t="s">
        <v>9783</v>
      </c>
      <c r="C12554" t="s">
        <v>88</v>
      </c>
      <c r="D12554" t="s">
        <v>88</v>
      </c>
      <c r="E12554" t="s">
        <v>937</v>
      </c>
      <c r="F12554" t="s">
        <v>88</v>
      </c>
      <c r="G12554" t="s">
        <v>88</v>
      </c>
      <c r="H12554" t="s">
        <v>92</v>
      </c>
    </row>
    <row r="12555" spans="1:8" x14ac:dyDescent="0.25">
      <c r="A12555" t="s">
        <v>361</v>
      </c>
      <c r="B12555" t="s">
        <v>9784</v>
      </c>
      <c r="C12555" t="s">
        <v>88</v>
      </c>
      <c r="D12555" t="s">
        <v>88</v>
      </c>
      <c r="E12555" t="s">
        <v>723</v>
      </c>
      <c r="F12555" t="s">
        <v>88</v>
      </c>
      <c r="G12555" t="s">
        <v>88</v>
      </c>
      <c r="H12555" t="s">
        <v>92</v>
      </c>
    </row>
    <row r="12556" spans="1:8" x14ac:dyDescent="0.25">
      <c r="A12556" t="s">
        <v>361</v>
      </c>
      <c r="B12556" t="s">
        <v>9785</v>
      </c>
      <c r="C12556" t="s">
        <v>88</v>
      </c>
      <c r="D12556" t="s">
        <v>88</v>
      </c>
      <c r="E12556" t="s">
        <v>780</v>
      </c>
      <c r="F12556" t="s">
        <v>88</v>
      </c>
      <c r="G12556" t="s">
        <v>88</v>
      </c>
      <c r="H12556" t="s">
        <v>92</v>
      </c>
    </row>
    <row r="12557" spans="1:8" x14ac:dyDescent="0.25">
      <c r="A12557" t="s">
        <v>361</v>
      </c>
      <c r="B12557" t="s">
        <v>3346</v>
      </c>
      <c r="C12557" t="s">
        <v>88</v>
      </c>
      <c r="D12557" t="s">
        <v>88</v>
      </c>
      <c r="E12557" t="s">
        <v>1323</v>
      </c>
      <c r="F12557" t="s">
        <v>88</v>
      </c>
      <c r="G12557" t="s">
        <v>88</v>
      </c>
      <c r="H12557" t="s">
        <v>92</v>
      </c>
    </row>
    <row r="12558" spans="1:8" x14ac:dyDescent="0.25">
      <c r="A12558" t="s">
        <v>361</v>
      </c>
      <c r="B12558" t="s">
        <v>9786</v>
      </c>
      <c r="C12558" t="s">
        <v>88</v>
      </c>
      <c r="D12558" t="s">
        <v>9787</v>
      </c>
      <c r="E12558" t="s">
        <v>1323</v>
      </c>
      <c r="F12558" t="s">
        <v>88</v>
      </c>
      <c r="G12558" t="s">
        <v>88</v>
      </c>
      <c r="H12558" t="s">
        <v>92</v>
      </c>
    </row>
    <row r="12559" spans="1:8" x14ac:dyDescent="0.25">
      <c r="A12559" t="s">
        <v>361</v>
      </c>
      <c r="B12559" t="s">
        <v>9788</v>
      </c>
      <c r="C12559" t="s">
        <v>88</v>
      </c>
      <c r="D12559" t="s">
        <v>88</v>
      </c>
      <c r="E12559" t="s">
        <v>715</v>
      </c>
      <c r="F12559" t="s">
        <v>88</v>
      </c>
      <c r="G12559" t="s">
        <v>88</v>
      </c>
      <c r="H12559" t="s">
        <v>92</v>
      </c>
    </row>
    <row r="12560" spans="1:8" x14ac:dyDescent="0.25">
      <c r="A12560" t="s">
        <v>361</v>
      </c>
      <c r="B12560" t="s">
        <v>3343</v>
      </c>
      <c r="C12560" t="s">
        <v>88</v>
      </c>
      <c r="D12560" t="s">
        <v>88</v>
      </c>
      <c r="E12560" t="s">
        <v>959</v>
      </c>
      <c r="F12560" t="s">
        <v>88</v>
      </c>
      <c r="G12560" t="s">
        <v>88</v>
      </c>
      <c r="H12560" t="s">
        <v>92</v>
      </c>
    </row>
    <row r="12561" spans="1:8" x14ac:dyDescent="0.25">
      <c r="A12561" t="s">
        <v>361</v>
      </c>
      <c r="B12561" t="s">
        <v>695</v>
      </c>
      <c r="C12561" t="s">
        <v>88</v>
      </c>
      <c r="D12561" t="s">
        <v>88</v>
      </c>
      <c r="E12561" t="s">
        <v>791</v>
      </c>
      <c r="F12561" t="s">
        <v>88</v>
      </c>
      <c r="G12561" t="s">
        <v>88</v>
      </c>
      <c r="H12561" t="s">
        <v>92</v>
      </c>
    </row>
    <row r="12562" spans="1:8" x14ac:dyDescent="0.25">
      <c r="A12562" t="s">
        <v>361</v>
      </c>
      <c r="B12562" t="s">
        <v>693</v>
      </c>
      <c r="C12562" t="s">
        <v>88</v>
      </c>
      <c r="D12562" t="s">
        <v>88</v>
      </c>
      <c r="E12562" t="s">
        <v>791</v>
      </c>
      <c r="F12562" t="s">
        <v>88</v>
      </c>
      <c r="G12562" t="s">
        <v>88</v>
      </c>
      <c r="H12562" t="s">
        <v>92</v>
      </c>
    </row>
    <row r="12563" spans="1:8" x14ac:dyDescent="0.25">
      <c r="A12563" t="s">
        <v>361</v>
      </c>
      <c r="B12563" t="s">
        <v>9789</v>
      </c>
      <c r="C12563" t="s">
        <v>88</v>
      </c>
      <c r="D12563" t="s">
        <v>9790</v>
      </c>
      <c r="E12563" t="s">
        <v>715</v>
      </c>
      <c r="F12563" t="s">
        <v>88</v>
      </c>
      <c r="G12563" t="s">
        <v>88</v>
      </c>
      <c r="H12563" t="s">
        <v>92</v>
      </c>
    </row>
    <row r="12564" spans="1:8" x14ac:dyDescent="0.25">
      <c r="A12564" t="s">
        <v>361</v>
      </c>
      <c r="B12564" t="s">
        <v>696</v>
      </c>
      <c r="C12564" t="s">
        <v>88</v>
      </c>
      <c r="D12564" t="s">
        <v>3342</v>
      </c>
      <c r="E12564" t="s">
        <v>791</v>
      </c>
      <c r="F12564" t="s">
        <v>88</v>
      </c>
      <c r="G12564" t="s">
        <v>88</v>
      </c>
      <c r="H12564" t="s">
        <v>92</v>
      </c>
    </row>
    <row r="12565" spans="1:8" x14ac:dyDescent="0.25">
      <c r="A12565" t="s">
        <v>361</v>
      </c>
      <c r="B12565" t="s">
        <v>9791</v>
      </c>
      <c r="C12565" t="s">
        <v>88</v>
      </c>
      <c r="D12565" t="s">
        <v>9792</v>
      </c>
      <c r="E12565" t="s">
        <v>738</v>
      </c>
      <c r="F12565" t="s">
        <v>88</v>
      </c>
      <c r="G12565" t="s">
        <v>88</v>
      </c>
      <c r="H12565" t="s">
        <v>92</v>
      </c>
    </row>
    <row r="12566" spans="1:8" x14ac:dyDescent="0.25">
      <c r="A12566" t="s">
        <v>361</v>
      </c>
      <c r="B12566" t="s">
        <v>1780</v>
      </c>
      <c r="C12566" t="s">
        <v>88</v>
      </c>
      <c r="D12566" t="s">
        <v>88</v>
      </c>
      <c r="E12566" t="s">
        <v>1323</v>
      </c>
      <c r="F12566" t="s">
        <v>88</v>
      </c>
      <c r="G12566" t="s">
        <v>88</v>
      </c>
      <c r="H12566" t="s">
        <v>92</v>
      </c>
    </row>
    <row r="12567" spans="1:8" x14ac:dyDescent="0.25">
      <c r="A12567" t="s">
        <v>361</v>
      </c>
      <c r="B12567" t="s">
        <v>2194</v>
      </c>
      <c r="C12567" t="s">
        <v>88</v>
      </c>
      <c r="D12567" t="s">
        <v>88</v>
      </c>
      <c r="E12567" t="s">
        <v>721</v>
      </c>
      <c r="F12567" t="s">
        <v>88</v>
      </c>
      <c r="G12567" t="s">
        <v>88</v>
      </c>
      <c r="H12567" t="s">
        <v>92</v>
      </c>
    </row>
    <row r="12568" spans="1:8" x14ac:dyDescent="0.25">
      <c r="A12568" t="s">
        <v>361</v>
      </c>
      <c r="B12568" t="s">
        <v>9793</v>
      </c>
      <c r="C12568" t="s">
        <v>88</v>
      </c>
      <c r="D12568" t="s">
        <v>88</v>
      </c>
      <c r="E12568" t="s">
        <v>721</v>
      </c>
      <c r="F12568" t="s">
        <v>88</v>
      </c>
      <c r="G12568" t="s">
        <v>88</v>
      </c>
      <c r="H12568" t="s">
        <v>92</v>
      </c>
    </row>
    <row r="12569" spans="1:8" x14ac:dyDescent="0.25">
      <c r="A12569" t="s">
        <v>361</v>
      </c>
      <c r="B12569" t="s">
        <v>2196</v>
      </c>
      <c r="C12569" t="s">
        <v>88</v>
      </c>
      <c r="D12569" t="s">
        <v>88</v>
      </c>
      <c r="E12569" t="s">
        <v>721</v>
      </c>
      <c r="F12569" t="s">
        <v>88</v>
      </c>
      <c r="G12569" t="s">
        <v>88</v>
      </c>
      <c r="H12569" t="s">
        <v>92</v>
      </c>
    </row>
    <row r="12570" spans="1:8" x14ac:dyDescent="0.25">
      <c r="A12570" t="s">
        <v>361</v>
      </c>
      <c r="B12570" t="s">
        <v>5000</v>
      </c>
      <c r="C12570" t="s">
        <v>88</v>
      </c>
      <c r="D12570" t="s">
        <v>88</v>
      </c>
      <c r="E12570" t="s">
        <v>721</v>
      </c>
      <c r="F12570" t="s">
        <v>88</v>
      </c>
      <c r="G12570" t="s">
        <v>88</v>
      </c>
      <c r="H12570" t="s">
        <v>92</v>
      </c>
    </row>
    <row r="12571" spans="1:8" x14ac:dyDescent="0.25">
      <c r="A12571" t="s">
        <v>361</v>
      </c>
      <c r="B12571" t="s">
        <v>9794</v>
      </c>
      <c r="C12571" t="s">
        <v>88</v>
      </c>
      <c r="D12571" t="s">
        <v>88</v>
      </c>
      <c r="E12571" t="s">
        <v>721</v>
      </c>
      <c r="F12571" t="s">
        <v>88</v>
      </c>
      <c r="G12571" t="s">
        <v>88</v>
      </c>
      <c r="H12571" t="s">
        <v>92</v>
      </c>
    </row>
    <row r="12572" spans="1:8" x14ac:dyDescent="0.25">
      <c r="A12572" t="s">
        <v>361</v>
      </c>
      <c r="B12572" t="s">
        <v>9796</v>
      </c>
      <c r="C12572" t="s">
        <v>88</v>
      </c>
      <c r="D12572" t="s">
        <v>88</v>
      </c>
      <c r="E12572" t="s">
        <v>721</v>
      </c>
      <c r="F12572" t="s">
        <v>88</v>
      </c>
      <c r="G12572" t="s">
        <v>88</v>
      </c>
      <c r="H12572" t="s">
        <v>92</v>
      </c>
    </row>
    <row r="12573" spans="1:8" x14ac:dyDescent="0.25">
      <c r="A12573" t="s">
        <v>361</v>
      </c>
      <c r="B12573" t="s">
        <v>9795</v>
      </c>
      <c r="C12573" t="s">
        <v>88</v>
      </c>
      <c r="D12573" t="s">
        <v>88</v>
      </c>
      <c r="E12573" t="s">
        <v>721</v>
      </c>
      <c r="F12573" t="s">
        <v>88</v>
      </c>
      <c r="G12573" t="s">
        <v>88</v>
      </c>
      <c r="H12573" t="s">
        <v>92</v>
      </c>
    </row>
    <row r="12574" spans="1:8" x14ac:dyDescent="0.25">
      <c r="A12574" t="s">
        <v>361</v>
      </c>
      <c r="B12574" t="s">
        <v>9797</v>
      </c>
      <c r="C12574" t="s">
        <v>88</v>
      </c>
      <c r="D12574" t="s">
        <v>88</v>
      </c>
      <c r="E12574" t="s">
        <v>721</v>
      </c>
      <c r="F12574" t="s">
        <v>88</v>
      </c>
      <c r="G12574" t="s">
        <v>88</v>
      </c>
      <c r="H12574" t="s">
        <v>92</v>
      </c>
    </row>
    <row r="12575" spans="1:8" x14ac:dyDescent="0.25">
      <c r="A12575" t="s">
        <v>361</v>
      </c>
      <c r="B12575" t="s">
        <v>9798</v>
      </c>
      <c r="C12575" t="s">
        <v>88</v>
      </c>
      <c r="D12575" t="s">
        <v>88</v>
      </c>
      <c r="E12575" t="s">
        <v>721</v>
      </c>
      <c r="F12575" t="s">
        <v>88</v>
      </c>
      <c r="G12575" t="s">
        <v>88</v>
      </c>
      <c r="H12575" t="s">
        <v>92</v>
      </c>
    </row>
    <row r="12576" spans="1:8" x14ac:dyDescent="0.25">
      <c r="A12576" t="s">
        <v>361</v>
      </c>
      <c r="B12576" t="s">
        <v>876</v>
      </c>
      <c r="C12576" t="s">
        <v>88</v>
      </c>
      <c r="D12576" t="s">
        <v>9799</v>
      </c>
      <c r="E12576" t="s">
        <v>655</v>
      </c>
      <c r="F12576" t="s">
        <v>88</v>
      </c>
      <c r="G12576" t="s">
        <v>88</v>
      </c>
      <c r="H12576" t="s">
        <v>92</v>
      </c>
    </row>
    <row r="12577" spans="1:8" x14ac:dyDescent="0.25">
      <c r="A12577" t="s">
        <v>361</v>
      </c>
      <c r="B12577" t="s">
        <v>6565</v>
      </c>
      <c r="C12577" t="s">
        <v>88</v>
      </c>
      <c r="D12577" t="s">
        <v>9799</v>
      </c>
      <c r="E12577" t="s">
        <v>655</v>
      </c>
      <c r="F12577" t="s">
        <v>88</v>
      </c>
      <c r="G12577" t="s">
        <v>88</v>
      </c>
      <c r="H12577" t="s">
        <v>92</v>
      </c>
    </row>
    <row r="12578" spans="1:8" x14ac:dyDescent="0.25">
      <c r="A12578" t="s">
        <v>361</v>
      </c>
      <c r="B12578" t="s">
        <v>9800</v>
      </c>
      <c r="C12578" t="s">
        <v>88</v>
      </c>
      <c r="D12578" t="s">
        <v>9799</v>
      </c>
      <c r="E12578" t="s">
        <v>655</v>
      </c>
      <c r="F12578" t="s">
        <v>88</v>
      </c>
      <c r="G12578" t="s">
        <v>88</v>
      </c>
      <c r="H12578" t="s">
        <v>92</v>
      </c>
    </row>
    <row r="12579" spans="1:8" x14ac:dyDescent="0.25">
      <c r="A12579" t="s">
        <v>361</v>
      </c>
      <c r="B12579" t="s">
        <v>768</v>
      </c>
      <c r="C12579" t="s">
        <v>88</v>
      </c>
      <c r="D12579" t="s">
        <v>9799</v>
      </c>
      <c r="E12579" t="s">
        <v>655</v>
      </c>
      <c r="F12579" t="s">
        <v>88</v>
      </c>
      <c r="G12579" t="s">
        <v>88</v>
      </c>
      <c r="H12579" t="s">
        <v>92</v>
      </c>
    </row>
    <row r="12580" spans="1:8" x14ac:dyDescent="0.25">
      <c r="A12580" t="s">
        <v>361</v>
      </c>
      <c r="B12580" t="s">
        <v>759</v>
      </c>
      <c r="C12580" t="s">
        <v>88</v>
      </c>
      <c r="D12580" t="s">
        <v>9799</v>
      </c>
      <c r="E12580" t="s">
        <v>655</v>
      </c>
      <c r="F12580" t="s">
        <v>88</v>
      </c>
      <c r="G12580" t="s">
        <v>88</v>
      </c>
      <c r="H12580" t="s">
        <v>92</v>
      </c>
    </row>
    <row r="12581" spans="1:8" x14ac:dyDescent="0.25">
      <c r="A12581" t="s">
        <v>361</v>
      </c>
      <c r="B12581" t="s">
        <v>898</v>
      </c>
      <c r="C12581" t="s">
        <v>88</v>
      </c>
      <c r="D12581" t="s">
        <v>9799</v>
      </c>
      <c r="E12581" t="s">
        <v>655</v>
      </c>
      <c r="F12581" t="s">
        <v>88</v>
      </c>
      <c r="G12581" t="s">
        <v>88</v>
      </c>
      <c r="H12581" t="s">
        <v>92</v>
      </c>
    </row>
    <row r="12582" spans="1:8" x14ac:dyDescent="0.25">
      <c r="A12582" t="s">
        <v>361</v>
      </c>
      <c r="B12582" t="s">
        <v>740</v>
      </c>
      <c r="C12582" t="s">
        <v>88</v>
      </c>
      <c r="D12582" t="s">
        <v>9799</v>
      </c>
      <c r="E12582" t="s">
        <v>663</v>
      </c>
      <c r="F12582" t="s">
        <v>88</v>
      </c>
      <c r="G12582" t="s">
        <v>88</v>
      </c>
      <c r="H12582" t="s">
        <v>92</v>
      </c>
    </row>
    <row r="12583" spans="1:8" x14ac:dyDescent="0.25">
      <c r="A12583" t="s">
        <v>361</v>
      </c>
      <c r="B12583" t="s">
        <v>7377</v>
      </c>
      <c r="C12583" t="s">
        <v>88</v>
      </c>
      <c r="D12583" t="s">
        <v>9799</v>
      </c>
      <c r="E12583" t="s">
        <v>676</v>
      </c>
      <c r="F12583" t="s">
        <v>88</v>
      </c>
      <c r="G12583" t="s">
        <v>88</v>
      </c>
      <c r="H12583" t="s">
        <v>92</v>
      </c>
    </row>
    <row r="12584" spans="1:8" x14ac:dyDescent="0.25">
      <c r="A12584" t="s">
        <v>361</v>
      </c>
      <c r="B12584" t="s">
        <v>9801</v>
      </c>
      <c r="C12584" t="s">
        <v>88</v>
      </c>
      <c r="D12584" t="s">
        <v>9799</v>
      </c>
      <c r="E12584" t="s">
        <v>676</v>
      </c>
      <c r="F12584" t="s">
        <v>88</v>
      </c>
      <c r="G12584" t="s">
        <v>88</v>
      </c>
      <c r="H12584" t="s">
        <v>92</v>
      </c>
    </row>
    <row r="12585" spans="1:8" x14ac:dyDescent="0.25">
      <c r="A12585" t="s">
        <v>361</v>
      </c>
      <c r="B12585" t="s">
        <v>764</v>
      </c>
      <c r="C12585" t="s">
        <v>88</v>
      </c>
      <c r="D12585" t="s">
        <v>9799</v>
      </c>
      <c r="E12585" t="s">
        <v>700</v>
      </c>
      <c r="F12585" t="s">
        <v>88</v>
      </c>
      <c r="G12585" t="s">
        <v>88</v>
      </c>
      <c r="H12585" t="s">
        <v>92</v>
      </c>
    </row>
    <row r="12586" spans="1:8" x14ac:dyDescent="0.25">
      <c r="A12586" t="s">
        <v>361</v>
      </c>
      <c r="B12586" t="s">
        <v>769</v>
      </c>
      <c r="C12586" t="s">
        <v>88</v>
      </c>
      <c r="D12586" t="s">
        <v>9802</v>
      </c>
      <c r="E12586" t="s">
        <v>812</v>
      </c>
      <c r="F12586" t="s">
        <v>88</v>
      </c>
      <c r="G12586" t="s">
        <v>88</v>
      </c>
      <c r="H12586" t="s">
        <v>92</v>
      </c>
    </row>
    <row r="12587" spans="1:8" x14ac:dyDescent="0.25">
      <c r="A12587" t="s">
        <v>361</v>
      </c>
      <c r="B12587" t="s">
        <v>736</v>
      </c>
      <c r="C12587" t="s">
        <v>88</v>
      </c>
      <c r="D12587" t="s">
        <v>9765</v>
      </c>
      <c r="E12587" t="s">
        <v>780</v>
      </c>
      <c r="F12587" t="s">
        <v>88</v>
      </c>
      <c r="G12587" t="s">
        <v>88</v>
      </c>
      <c r="H12587" t="s">
        <v>92</v>
      </c>
    </row>
    <row r="12588" spans="1:8" x14ac:dyDescent="0.25">
      <c r="A12588" t="s">
        <v>361</v>
      </c>
      <c r="B12588" t="s">
        <v>9803</v>
      </c>
      <c r="C12588" t="s">
        <v>88</v>
      </c>
      <c r="D12588" t="s">
        <v>9765</v>
      </c>
      <c r="E12588" t="s">
        <v>780</v>
      </c>
      <c r="F12588" t="s">
        <v>88</v>
      </c>
      <c r="G12588" t="s">
        <v>88</v>
      </c>
      <c r="H12588" t="s">
        <v>92</v>
      </c>
    </row>
    <row r="12589" spans="1:8" x14ac:dyDescent="0.25">
      <c r="A12589" t="s">
        <v>361</v>
      </c>
      <c r="B12589" t="s">
        <v>777</v>
      </c>
      <c r="C12589" t="s">
        <v>88</v>
      </c>
      <c r="D12589" t="s">
        <v>9765</v>
      </c>
      <c r="E12589" t="s">
        <v>780</v>
      </c>
      <c r="F12589" t="s">
        <v>88</v>
      </c>
      <c r="G12589" t="s">
        <v>88</v>
      </c>
      <c r="H12589" t="s">
        <v>92</v>
      </c>
    </row>
    <row r="12590" spans="1:8" x14ac:dyDescent="0.25">
      <c r="A12590" t="s">
        <v>361</v>
      </c>
      <c r="B12590" t="s">
        <v>776</v>
      </c>
      <c r="C12590" t="s">
        <v>88</v>
      </c>
      <c r="D12590" t="s">
        <v>9765</v>
      </c>
      <c r="E12590" t="s">
        <v>780</v>
      </c>
      <c r="F12590" t="s">
        <v>88</v>
      </c>
      <c r="G12590" t="s">
        <v>88</v>
      </c>
      <c r="H12590" t="s">
        <v>92</v>
      </c>
    </row>
    <row r="12591" spans="1:8" x14ac:dyDescent="0.25">
      <c r="A12591" t="s">
        <v>361</v>
      </c>
      <c r="B12591" t="s">
        <v>9804</v>
      </c>
      <c r="C12591" t="s">
        <v>88</v>
      </c>
      <c r="D12591" t="s">
        <v>9765</v>
      </c>
      <c r="E12591" t="s">
        <v>780</v>
      </c>
      <c r="F12591" t="s">
        <v>88</v>
      </c>
      <c r="G12591" t="s">
        <v>88</v>
      </c>
      <c r="H12591" t="s">
        <v>92</v>
      </c>
    </row>
    <row r="12592" spans="1:8" x14ac:dyDescent="0.25">
      <c r="A12592" t="s">
        <v>361</v>
      </c>
      <c r="B12592" t="s">
        <v>2009</v>
      </c>
      <c r="C12592" t="s">
        <v>88</v>
      </c>
      <c r="D12592" t="s">
        <v>9765</v>
      </c>
      <c r="E12592" t="s">
        <v>780</v>
      </c>
      <c r="F12592" t="s">
        <v>88</v>
      </c>
      <c r="G12592" t="s">
        <v>88</v>
      </c>
      <c r="H12592" t="s">
        <v>92</v>
      </c>
    </row>
    <row r="12593" spans="1:8" x14ac:dyDescent="0.25">
      <c r="A12593" t="s">
        <v>361</v>
      </c>
      <c r="B12593" t="s">
        <v>739</v>
      </c>
      <c r="C12593" t="s">
        <v>88</v>
      </c>
      <c r="D12593" t="s">
        <v>9765</v>
      </c>
      <c r="E12593" t="s">
        <v>791</v>
      </c>
      <c r="F12593" t="s">
        <v>88</v>
      </c>
      <c r="G12593" t="s">
        <v>88</v>
      </c>
      <c r="H12593" t="s">
        <v>92</v>
      </c>
    </row>
    <row r="12594" spans="1:8" x14ac:dyDescent="0.25">
      <c r="A12594" t="s">
        <v>361</v>
      </c>
      <c r="B12594" t="s">
        <v>9805</v>
      </c>
      <c r="C12594" t="s">
        <v>88</v>
      </c>
      <c r="D12594" t="s">
        <v>9806</v>
      </c>
      <c r="E12594" t="s">
        <v>725</v>
      </c>
      <c r="F12594" t="s">
        <v>88</v>
      </c>
      <c r="G12594" t="s">
        <v>88</v>
      </c>
      <c r="H12594" t="s">
        <v>92</v>
      </c>
    </row>
    <row r="12595" spans="1:8" x14ac:dyDescent="0.25">
      <c r="A12595" t="s">
        <v>361</v>
      </c>
      <c r="B12595" t="s">
        <v>9807</v>
      </c>
      <c r="C12595" t="s">
        <v>88</v>
      </c>
      <c r="D12595" t="s">
        <v>9808</v>
      </c>
      <c r="E12595" t="s">
        <v>1323</v>
      </c>
      <c r="F12595" t="s">
        <v>88</v>
      </c>
      <c r="G12595" t="s">
        <v>88</v>
      </c>
      <c r="H12595" t="s">
        <v>92</v>
      </c>
    </row>
    <row r="12596" spans="1:8" x14ac:dyDescent="0.25">
      <c r="A12596" t="s">
        <v>361</v>
      </c>
      <c r="B12596" t="s">
        <v>9761</v>
      </c>
      <c r="C12596" t="s">
        <v>88</v>
      </c>
      <c r="D12596" t="s">
        <v>9762</v>
      </c>
      <c r="E12596" t="s">
        <v>780</v>
      </c>
      <c r="F12596" t="s">
        <v>88</v>
      </c>
      <c r="G12596" t="s">
        <v>88</v>
      </c>
      <c r="H12596" t="s">
        <v>92</v>
      </c>
    </row>
    <row r="12597" spans="1:8" x14ac:dyDescent="0.25">
      <c r="A12597" t="s">
        <v>361</v>
      </c>
      <c r="B12597" t="s">
        <v>2204</v>
      </c>
      <c r="C12597" t="s">
        <v>88</v>
      </c>
      <c r="D12597" t="s">
        <v>88</v>
      </c>
      <c r="E12597" t="s">
        <v>780</v>
      </c>
      <c r="F12597" t="s">
        <v>88</v>
      </c>
      <c r="G12597" t="s">
        <v>88</v>
      </c>
      <c r="H12597" t="s">
        <v>92</v>
      </c>
    </row>
    <row r="12598" spans="1:8" x14ac:dyDescent="0.25">
      <c r="A12598" t="s">
        <v>361</v>
      </c>
      <c r="B12598" t="s">
        <v>9809</v>
      </c>
      <c r="C12598" t="s">
        <v>88</v>
      </c>
      <c r="D12598" t="s">
        <v>88</v>
      </c>
      <c r="E12598" t="s">
        <v>937</v>
      </c>
      <c r="F12598" t="s">
        <v>88</v>
      </c>
      <c r="G12598" t="s">
        <v>88</v>
      </c>
      <c r="H12598" t="s">
        <v>92</v>
      </c>
    </row>
    <row r="12599" spans="1:8" x14ac:dyDescent="0.25">
      <c r="A12599" t="s">
        <v>361</v>
      </c>
      <c r="B12599" t="s">
        <v>2202</v>
      </c>
      <c r="C12599" t="s">
        <v>88</v>
      </c>
      <c r="D12599" t="s">
        <v>88</v>
      </c>
      <c r="E12599" t="s">
        <v>738</v>
      </c>
      <c r="F12599" t="s">
        <v>88</v>
      </c>
      <c r="G12599" t="s">
        <v>88</v>
      </c>
      <c r="H12599" t="s">
        <v>92</v>
      </c>
    </row>
    <row r="12600" spans="1:8" x14ac:dyDescent="0.25">
      <c r="A12600" t="s">
        <v>361</v>
      </c>
      <c r="B12600" t="s">
        <v>9810</v>
      </c>
      <c r="C12600" t="s">
        <v>88</v>
      </c>
      <c r="D12600" t="s">
        <v>88</v>
      </c>
      <c r="E12600" t="s">
        <v>723</v>
      </c>
      <c r="F12600" t="s">
        <v>88</v>
      </c>
      <c r="G12600" t="s">
        <v>88</v>
      </c>
      <c r="H12600" t="s">
        <v>92</v>
      </c>
    </row>
    <row r="12601" spans="1:8" x14ac:dyDescent="0.25">
      <c r="A12601" t="s">
        <v>361</v>
      </c>
      <c r="B12601" t="s">
        <v>9811</v>
      </c>
      <c r="C12601" t="s">
        <v>88</v>
      </c>
      <c r="D12601" t="s">
        <v>88</v>
      </c>
      <c r="E12601" t="s">
        <v>937</v>
      </c>
      <c r="F12601" t="s">
        <v>88</v>
      </c>
      <c r="G12601" t="s">
        <v>88</v>
      </c>
      <c r="H12601" t="s">
        <v>92</v>
      </c>
    </row>
    <row r="12602" spans="1:8" x14ac:dyDescent="0.25">
      <c r="A12602" t="s">
        <v>361</v>
      </c>
      <c r="B12602" t="s">
        <v>9764</v>
      </c>
      <c r="C12602" t="s">
        <v>88</v>
      </c>
      <c r="D12602" t="s">
        <v>88</v>
      </c>
      <c r="E12602" t="s">
        <v>721</v>
      </c>
      <c r="F12602" t="s">
        <v>88</v>
      </c>
      <c r="G12602" t="s">
        <v>88</v>
      </c>
      <c r="H12602" t="s">
        <v>92</v>
      </c>
    </row>
    <row r="12603" spans="1:8" x14ac:dyDescent="0.25">
      <c r="A12603" t="s">
        <v>361</v>
      </c>
      <c r="B12603" t="s">
        <v>9812</v>
      </c>
      <c r="C12603" t="s">
        <v>88</v>
      </c>
      <c r="D12603" t="s">
        <v>88</v>
      </c>
      <c r="E12603" t="s">
        <v>663</v>
      </c>
      <c r="F12603" t="s">
        <v>88</v>
      </c>
      <c r="G12603" t="s">
        <v>88</v>
      </c>
      <c r="H12603" t="s">
        <v>92</v>
      </c>
    </row>
    <row r="12604" spans="1:8" x14ac:dyDescent="0.25">
      <c r="A12604" t="s">
        <v>361</v>
      </c>
      <c r="B12604" t="s">
        <v>9813</v>
      </c>
      <c r="C12604" t="s">
        <v>88</v>
      </c>
      <c r="D12604" t="s">
        <v>88</v>
      </c>
      <c r="E12604" t="s">
        <v>679</v>
      </c>
      <c r="F12604" t="s">
        <v>88</v>
      </c>
      <c r="G12604" t="s">
        <v>88</v>
      </c>
      <c r="H12604" t="s">
        <v>92</v>
      </c>
    </row>
    <row r="12605" spans="1:8" x14ac:dyDescent="0.25">
      <c r="A12605" t="s">
        <v>361</v>
      </c>
      <c r="B12605" t="s">
        <v>9814</v>
      </c>
      <c r="C12605" t="s">
        <v>88</v>
      </c>
      <c r="D12605" t="s">
        <v>88</v>
      </c>
      <c r="E12605" t="s">
        <v>679</v>
      </c>
      <c r="F12605" t="s">
        <v>88</v>
      </c>
      <c r="G12605" t="s">
        <v>88</v>
      </c>
      <c r="H12605" t="s">
        <v>92</v>
      </c>
    </row>
    <row r="12606" spans="1:8" x14ac:dyDescent="0.25">
      <c r="A12606" t="s">
        <v>361</v>
      </c>
      <c r="B12606" t="s">
        <v>9763</v>
      </c>
      <c r="C12606" t="s">
        <v>88</v>
      </c>
      <c r="D12606" t="s">
        <v>88</v>
      </c>
      <c r="E12606" t="s">
        <v>663</v>
      </c>
      <c r="F12606" t="s">
        <v>88</v>
      </c>
      <c r="G12606" t="s">
        <v>88</v>
      </c>
      <c r="H12606" t="s">
        <v>92</v>
      </c>
    </row>
    <row r="12607" spans="1:8" x14ac:dyDescent="0.25">
      <c r="A12607" t="s">
        <v>361</v>
      </c>
      <c r="B12607" t="s">
        <v>9815</v>
      </c>
      <c r="C12607" t="s">
        <v>88</v>
      </c>
      <c r="D12607" t="s">
        <v>88</v>
      </c>
      <c r="E12607" t="s">
        <v>679</v>
      </c>
      <c r="F12607" t="s">
        <v>88</v>
      </c>
      <c r="G12607" t="s">
        <v>88</v>
      </c>
      <c r="H12607" t="s">
        <v>92</v>
      </c>
    </row>
    <row r="12608" spans="1:8" x14ac:dyDescent="0.25">
      <c r="A12608" t="s">
        <v>361</v>
      </c>
      <c r="B12608" t="s">
        <v>2203</v>
      </c>
      <c r="C12608" t="s">
        <v>88</v>
      </c>
      <c r="D12608" t="s">
        <v>88</v>
      </c>
      <c r="E12608" t="s">
        <v>780</v>
      </c>
      <c r="F12608" t="s">
        <v>88</v>
      </c>
      <c r="G12608" t="s">
        <v>88</v>
      </c>
      <c r="H12608" t="s">
        <v>92</v>
      </c>
    </row>
    <row r="12609" spans="1:8" x14ac:dyDescent="0.25">
      <c r="A12609" t="s">
        <v>361</v>
      </c>
      <c r="B12609" t="s">
        <v>3450</v>
      </c>
      <c r="C12609" t="s">
        <v>88</v>
      </c>
      <c r="D12609" t="s">
        <v>88</v>
      </c>
      <c r="E12609" t="s">
        <v>723</v>
      </c>
      <c r="F12609" t="s">
        <v>88</v>
      </c>
      <c r="G12609" t="s">
        <v>88</v>
      </c>
      <c r="H12609" t="s">
        <v>92</v>
      </c>
    </row>
    <row r="12610" spans="1:8" x14ac:dyDescent="0.25">
      <c r="A12610" t="s">
        <v>361</v>
      </c>
      <c r="B12610" t="s">
        <v>9816</v>
      </c>
      <c r="C12610" t="s">
        <v>88</v>
      </c>
      <c r="D12610" t="s">
        <v>2642</v>
      </c>
      <c r="E12610" t="s">
        <v>679</v>
      </c>
      <c r="F12610" t="s">
        <v>88</v>
      </c>
      <c r="G12610" t="s">
        <v>88</v>
      </c>
      <c r="H12610" t="s">
        <v>92</v>
      </c>
    </row>
    <row r="12611" spans="1:8" x14ac:dyDescent="0.25">
      <c r="A12611" t="s">
        <v>361</v>
      </c>
      <c r="B12611" t="s">
        <v>2199</v>
      </c>
      <c r="C12611" t="s">
        <v>88</v>
      </c>
      <c r="D12611" t="s">
        <v>88</v>
      </c>
      <c r="E12611" t="s">
        <v>663</v>
      </c>
      <c r="F12611" t="s">
        <v>88</v>
      </c>
      <c r="G12611" t="s">
        <v>88</v>
      </c>
      <c r="H12611" t="s">
        <v>92</v>
      </c>
    </row>
    <row r="12612" spans="1:8" x14ac:dyDescent="0.25">
      <c r="A12612" t="s">
        <v>361</v>
      </c>
      <c r="B12612" t="s">
        <v>9817</v>
      </c>
      <c r="C12612" t="s">
        <v>88</v>
      </c>
      <c r="D12612" t="s">
        <v>88</v>
      </c>
      <c r="E12612" t="s">
        <v>663</v>
      </c>
      <c r="F12612" t="s">
        <v>88</v>
      </c>
      <c r="G12612" t="s">
        <v>88</v>
      </c>
      <c r="H12612" t="s">
        <v>92</v>
      </c>
    </row>
    <row r="12613" spans="1:8" x14ac:dyDescent="0.25">
      <c r="A12613" t="s">
        <v>361</v>
      </c>
      <c r="B12613" t="s">
        <v>9818</v>
      </c>
      <c r="C12613" t="s">
        <v>88</v>
      </c>
      <c r="D12613" t="s">
        <v>9819</v>
      </c>
      <c r="E12613" t="s">
        <v>791</v>
      </c>
      <c r="F12613" t="s">
        <v>88</v>
      </c>
      <c r="G12613" t="s">
        <v>88</v>
      </c>
      <c r="H12613" t="s">
        <v>92</v>
      </c>
    </row>
    <row r="12614" spans="1:8" x14ac:dyDescent="0.25">
      <c r="A12614" t="s">
        <v>361</v>
      </c>
      <c r="B12614" t="s">
        <v>9820</v>
      </c>
      <c r="C12614" t="s">
        <v>88</v>
      </c>
      <c r="D12614" t="s">
        <v>9821</v>
      </c>
      <c r="E12614" t="s">
        <v>679</v>
      </c>
      <c r="F12614" t="s">
        <v>88</v>
      </c>
      <c r="G12614" t="s">
        <v>88</v>
      </c>
      <c r="H12614" t="s">
        <v>92</v>
      </c>
    </row>
    <row r="12615" spans="1:8" x14ac:dyDescent="0.25">
      <c r="A12615" t="s">
        <v>361</v>
      </c>
      <c r="B12615" t="s">
        <v>9822</v>
      </c>
      <c r="C12615" t="s">
        <v>88</v>
      </c>
      <c r="D12615" t="s">
        <v>9823</v>
      </c>
      <c r="E12615" t="s">
        <v>1323</v>
      </c>
      <c r="F12615" t="s">
        <v>88</v>
      </c>
      <c r="G12615" t="s">
        <v>88</v>
      </c>
      <c r="H12615" t="s">
        <v>92</v>
      </c>
    </row>
    <row r="12616" spans="1:8" x14ac:dyDescent="0.25">
      <c r="A12616" t="s">
        <v>361</v>
      </c>
      <c r="B12616" t="s">
        <v>2208</v>
      </c>
      <c r="C12616" t="s">
        <v>88</v>
      </c>
      <c r="D12616" t="s">
        <v>88</v>
      </c>
      <c r="E12616" t="s">
        <v>799</v>
      </c>
      <c r="F12616" t="s">
        <v>88</v>
      </c>
      <c r="G12616" t="s">
        <v>88</v>
      </c>
      <c r="H12616" t="s">
        <v>92</v>
      </c>
    </row>
    <row r="12617" spans="1:8" x14ac:dyDescent="0.25">
      <c r="A12617" t="s">
        <v>361</v>
      </c>
      <c r="B12617" t="s">
        <v>233</v>
      </c>
      <c r="C12617" t="s">
        <v>88</v>
      </c>
      <c r="D12617" t="s">
        <v>88</v>
      </c>
      <c r="E12617" t="s">
        <v>791</v>
      </c>
      <c r="F12617" t="s">
        <v>88</v>
      </c>
      <c r="G12617" t="s">
        <v>88</v>
      </c>
      <c r="H12617" t="s">
        <v>92</v>
      </c>
    </row>
    <row r="12618" spans="1:8" x14ac:dyDescent="0.25">
      <c r="A12618" t="s">
        <v>361</v>
      </c>
      <c r="B12618" t="s">
        <v>9824</v>
      </c>
      <c r="C12618" t="s">
        <v>88</v>
      </c>
      <c r="D12618" t="s">
        <v>88</v>
      </c>
      <c r="E12618" t="s">
        <v>791</v>
      </c>
      <c r="F12618" t="s">
        <v>88</v>
      </c>
      <c r="G12618" t="s">
        <v>88</v>
      </c>
      <c r="H12618" t="s">
        <v>92</v>
      </c>
    </row>
    <row r="12619" spans="1:8" x14ac:dyDescent="0.25">
      <c r="A12619" t="s">
        <v>361</v>
      </c>
      <c r="B12619" t="s">
        <v>1794</v>
      </c>
      <c r="C12619" t="s">
        <v>88</v>
      </c>
      <c r="D12619" t="s">
        <v>88</v>
      </c>
      <c r="E12619" t="s">
        <v>1323</v>
      </c>
      <c r="F12619" t="s">
        <v>88</v>
      </c>
      <c r="G12619" t="s">
        <v>88</v>
      </c>
      <c r="H12619" t="s">
        <v>92</v>
      </c>
    </row>
    <row r="12620" spans="1:8" x14ac:dyDescent="0.25">
      <c r="A12620" t="s">
        <v>361</v>
      </c>
      <c r="B12620" t="s">
        <v>9825</v>
      </c>
      <c r="C12620" t="s">
        <v>88</v>
      </c>
      <c r="D12620" t="s">
        <v>88</v>
      </c>
      <c r="E12620" t="s">
        <v>715</v>
      </c>
      <c r="F12620" t="s">
        <v>88</v>
      </c>
      <c r="G12620" t="s">
        <v>88</v>
      </c>
      <c r="H12620" t="s">
        <v>92</v>
      </c>
    </row>
    <row r="12621" spans="1:8" x14ac:dyDescent="0.25">
      <c r="A12621" t="s">
        <v>361</v>
      </c>
      <c r="B12621" t="s">
        <v>2349</v>
      </c>
      <c r="C12621" t="s">
        <v>88</v>
      </c>
      <c r="D12621" t="s">
        <v>88</v>
      </c>
      <c r="E12621" t="s">
        <v>721</v>
      </c>
      <c r="F12621" t="s">
        <v>88</v>
      </c>
      <c r="G12621" t="s">
        <v>88</v>
      </c>
      <c r="H12621" t="s">
        <v>92</v>
      </c>
    </row>
    <row r="12622" spans="1:8" x14ac:dyDescent="0.25">
      <c r="A12622" t="s">
        <v>361</v>
      </c>
      <c r="B12622" t="s">
        <v>2345</v>
      </c>
      <c r="C12622" t="s">
        <v>88</v>
      </c>
      <c r="D12622" t="s">
        <v>88</v>
      </c>
      <c r="E12622" t="s">
        <v>721</v>
      </c>
      <c r="F12622" t="s">
        <v>88</v>
      </c>
      <c r="G12622" t="s">
        <v>88</v>
      </c>
      <c r="H12622" t="s">
        <v>92</v>
      </c>
    </row>
    <row r="12623" spans="1:8" x14ac:dyDescent="0.25">
      <c r="A12623" t="s">
        <v>361</v>
      </c>
      <c r="B12623" t="s">
        <v>9828</v>
      </c>
      <c r="C12623" t="s">
        <v>88</v>
      </c>
      <c r="D12623" t="s">
        <v>9829</v>
      </c>
      <c r="E12623" t="s">
        <v>725</v>
      </c>
      <c r="F12623" t="s">
        <v>88</v>
      </c>
      <c r="G12623" t="s">
        <v>88</v>
      </c>
      <c r="H12623" t="s">
        <v>92</v>
      </c>
    </row>
    <row r="12624" spans="1:8" x14ac:dyDescent="0.25">
      <c r="A12624" t="s">
        <v>361</v>
      </c>
      <c r="B12624" t="s">
        <v>9830</v>
      </c>
      <c r="C12624" t="s">
        <v>88</v>
      </c>
      <c r="D12624" t="s">
        <v>88</v>
      </c>
      <c r="E12624" t="s">
        <v>723</v>
      </c>
      <c r="F12624" t="s">
        <v>88</v>
      </c>
      <c r="G12624" t="s">
        <v>88</v>
      </c>
      <c r="H12624" t="s">
        <v>92</v>
      </c>
    </row>
    <row r="12625" spans="1:8" x14ac:dyDescent="0.25">
      <c r="A12625" t="s">
        <v>361</v>
      </c>
      <c r="B12625" t="s">
        <v>9827</v>
      </c>
      <c r="C12625" t="s">
        <v>88</v>
      </c>
      <c r="D12625" t="s">
        <v>88</v>
      </c>
      <c r="E12625" t="s">
        <v>723</v>
      </c>
      <c r="F12625" t="s">
        <v>88</v>
      </c>
      <c r="G12625" t="s">
        <v>88</v>
      </c>
      <c r="H12625" t="s">
        <v>92</v>
      </c>
    </row>
    <row r="12626" spans="1:8" x14ac:dyDescent="0.25">
      <c r="A12626" t="s">
        <v>361</v>
      </c>
      <c r="B12626" t="s">
        <v>9826</v>
      </c>
      <c r="C12626" t="s">
        <v>88</v>
      </c>
      <c r="D12626" t="s">
        <v>88</v>
      </c>
      <c r="E12626" t="s">
        <v>723</v>
      </c>
      <c r="F12626" t="s">
        <v>88</v>
      </c>
      <c r="G12626" t="s">
        <v>88</v>
      </c>
      <c r="H12626" t="s">
        <v>92</v>
      </c>
    </row>
    <row r="12627" spans="1:8" x14ac:dyDescent="0.25">
      <c r="A12627" t="s">
        <v>361</v>
      </c>
      <c r="B12627" t="s">
        <v>9831</v>
      </c>
      <c r="C12627" t="s">
        <v>88</v>
      </c>
      <c r="D12627" t="s">
        <v>88</v>
      </c>
      <c r="E12627" t="s">
        <v>1323</v>
      </c>
      <c r="F12627" t="s">
        <v>88</v>
      </c>
      <c r="G12627" t="s">
        <v>88</v>
      </c>
      <c r="H12627" t="s">
        <v>92</v>
      </c>
    </row>
    <row r="12628" spans="1:8" x14ac:dyDescent="0.25">
      <c r="A12628" t="s">
        <v>361</v>
      </c>
      <c r="B12628" t="s">
        <v>9833</v>
      </c>
      <c r="C12628" t="s">
        <v>88</v>
      </c>
      <c r="D12628" t="s">
        <v>88</v>
      </c>
      <c r="E12628" t="s">
        <v>721</v>
      </c>
      <c r="F12628" t="s">
        <v>88</v>
      </c>
      <c r="G12628" t="s">
        <v>88</v>
      </c>
      <c r="H12628" t="s">
        <v>92</v>
      </c>
    </row>
    <row r="12629" spans="1:8" x14ac:dyDescent="0.25">
      <c r="A12629" t="s">
        <v>361</v>
      </c>
      <c r="B12629" t="s">
        <v>1127</v>
      </c>
      <c r="C12629" t="s">
        <v>88</v>
      </c>
      <c r="D12629" t="s">
        <v>88</v>
      </c>
      <c r="E12629" t="s">
        <v>723</v>
      </c>
      <c r="F12629" t="s">
        <v>88</v>
      </c>
      <c r="G12629" t="s">
        <v>88</v>
      </c>
      <c r="H12629" t="s">
        <v>92</v>
      </c>
    </row>
    <row r="12630" spans="1:8" x14ac:dyDescent="0.25">
      <c r="A12630" t="s">
        <v>361</v>
      </c>
      <c r="B12630" t="s">
        <v>7753</v>
      </c>
      <c r="C12630" t="s">
        <v>88</v>
      </c>
      <c r="D12630" t="s">
        <v>88</v>
      </c>
      <c r="E12630" t="s">
        <v>723</v>
      </c>
      <c r="F12630" t="s">
        <v>88</v>
      </c>
      <c r="G12630" t="s">
        <v>88</v>
      </c>
      <c r="H12630" t="s">
        <v>92</v>
      </c>
    </row>
    <row r="12631" spans="1:8" x14ac:dyDescent="0.25">
      <c r="A12631" t="s">
        <v>361</v>
      </c>
      <c r="B12631" t="s">
        <v>2241</v>
      </c>
      <c r="C12631" t="s">
        <v>88</v>
      </c>
      <c r="D12631" t="s">
        <v>88</v>
      </c>
      <c r="E12631" t="s">
        <v>723</v>
      </c>
      <c r="F12631" t="s">
        <v>88</v>
      </c>
      <c r="G12631" t="s">
        <v>88</v>
      </c>
      <c r="H12631" t="s">
        <v>92</v>
      </c>
    </row>
    <row r="12632" spans="1:8" x14ac:dyDescent="0.25">
      <c r="A12632" t="s">
        <v>361</v>
      </c>
      <c r="B12632" t="s">
        <v>9834</v>
      </c>
      <c r="C12632" t="s">
        <v>88</v>
      </c>
      <c r="D12632" t="s">
        <v>9835</v>
      </c>
      <c r="E12632" t="s">
        <v>780</v>
      </c>
      <c r="F12632" t="s">
        <v>88</v>
      </c>
      <c r="G12632" t="s">
        <v>88</v>
      </c>
      <c r="H12632" t="s">
        <v>92</v>
      </c>
    </row>
    <row r="12633" spans="1:8" x14ac:dyDescent="0.25">
      <c r="A12633" t="s">
        <v>361</v>
      </c>
      <c r="B12633" t="s">
        <v>9836</v>
      </c>
      <c r="C12633" t="s">
        <v>88</v>
      </c>
      <c r="D12633" t="s">
        <v>88</v>
      </c>
      <c r="E12633" t="s">
        <v>748</v>
      </c>
      <c r="F12633" t="s">
        <v>88</v>
      </c>
      <c r="G12633" t="s">
        <v>88</v>
      </c>
      <c r="H12633" t="s">
        <v>92</v>
      </c>
    </row>
    <row r="12634" spans="1:8" x14ac:dyDescent="0.25">
      <c r="A12634" t="s">
        <v>361</v>
      </c>
      <c r="B12634" t="s">
        <v>9837</v>
      </c>
      <c r="C12634" t="s">
        <v>88</v>
      </c>
      <c r="D12634" t="s">
        <v>88</v>
      </c>
      <c r="E12634" t="s">
        <v>723</v>
      </c>
      <c r="F12634" t="s">
        <v>88</v>
      </c>
      <c r="G12634" t="s">
        <v>88</v>
      </c>
      <c r="H12634" t="s">
        <v>92</v>
      </c>
    </row>
    <row r="12635" spans="1:8" x14ac:dyDescent="0.25">
      <c r="A12635" t="s">
        <v>361</v>
      </c>
      <c r="B12635" t="s">
        <v>9838</v>
      </c>
      <c r="C12635" t="s">
        <v>88</v>
      </c>
      <c r="D12635" t="s">
        <v>88</v>
      </c>
      <c r="E12635" t="s">
        <v>723</v>
      </c>
      <c r="F12635" t="s">
        <v>88</v>
      </c>
      <c r="G12635" t="s">
        <v>88</v>
      </c>
      <c r="H12635" t="s">
        <v>92</v>
      </c>
    </row>
    <row r="12636" spans="1:8" x14ac:dyDescent="0.25">
      <c r="A12636" t="s">
        <v>361</v>
      </c>
      <c r="B12636" t="s">
        <v>9839</v>
      </c>
      <c r="C12636" t="s">
        <v>88</v>
      </c>
      <c r="D12636" t="s">
        <v>88</v>
      </c>
      <c r="E12636" t="s">
        <v>679</v>
      </c>
      <c r="F12636" t="s">
        <v>88</v>
      </c>
      <c r="G12636" t="s">
        <v>88</v>
      </c>
      <c r="H12636" t="s">
        <v>92</v>
      </c>
    </row>
    <row r="12637" spans="1:8" x14ac:dyDescent="0.25">
      <c r="A12637" t="s">
        <v>361</v>
      </c>
      <c r="B12637" t="s">
        <v>9840</v>
      </c>
      <c r="C12637" t="s">
        <v>88</v>
      </c>
      <c r="D12637" t="s">
        <v>9841</v>
      </c>
      <c r="E12637" t="s">
        <v>723</v>
      </c>
      <c r="F12637" t="s">
        <v>88</v>
      </c>
      <c r="G12637" t="s">
        <v>88</v>
      </c>
      <c r="H12637" t="s">
        <v>92</v>
      </c>
    </row>
    <row r="12638" spans="1:8" x14ac:dyDescent="0.25">
      <c r="A12638" t="s">
        <v>361</v>
      </c>
      <c r="B12638" t="s">
        <v>9842</v>
      </c>
      <c r="C12638" t="s">
        <v>88</v>
      </c>
      <c r="D12638" t="s">
        <v>88</v>
      </c>
      <c r="E12638" t="s">
        <v>658</v>
      </c>
      <c r="F12638" t="s">
        <v>88</v>
      </c>
      <c r="G12638" t="s">
        <v>88</v>
      </c>
      <c r="H12638" t="s">
        <v>92</v>
      </c>
    </row>
    <row r="12639" spans="1:8" x14ac:dyDescent="0.25">
      <c r="A12639" t="s">
        <v>361</v>
      </c>
      <c r="B12639" t="s">
        <v>9843</v>
      </c>
      <c r="C12639" t="s">
        <v>88</v>
      </c>
      <c r="D12639" t="s">
        <v>88</v>
      </c>
      <c r="E12639" t="s">
        <v>748</v>
      </c>
      <c r="F12639" t="s">
        <v>88</v>
      </c>
      <c r="G12639" t="s">
        <v>88</v>
      </c>
      <c r="H12639" t="s">
        <v>92</v>
      </c>
    </row>
    <row r="12640" spans="1:8" x14ac:dyDescent="0.25">
      <c r="A12640" t="s">
        <v>361</v>
      </c>
      <c r="B12640" t="s">
        <v>9844</v>
      </c>
      <c r="C12640" t="s">
        <v>88</v>
      </c>
      <c r="D12640" t="s">
        <v>88</v>
      </c>
      <c r="E12640" t="s">
        <v>780</v>
      </c>
      <c r="F12640" t="s">
        <v>88</v>
      </c>
      <c r="G12640" t="s">
        <v>88</v>
      </c>
      <c r="H12640" t="s">
        <v>92</v>
      </c>
    </row>
    <row r="12641" spans="1:8" x14ac:dyDescent="0.25">
      <c r="A12641" t="s">
        <v>361</v>
      </c>
      <c r="B12641" t="s">
        <v>9845</v>
      </c>
      <c r="C12641" t="s">
        <v>88</v>
      </c>
      <c r="D12641" t="s">
        <v>88</v>
      </c>
      <c r="E12641" t="s">
        <v>780</v>
      </c>
      <c r="F12641" t="s">
        <v>88</v>
      </c>
      <c r="G12641" t="s">
        <v>88</v>
      </c>
      <c r="H12641" t="s">
        <v>92</v>
      </c>
    </row>
    <row r="12642" spans="1:8" x14ac:dyDescent="0.25">
      <c r="A12642" t="s">
        <v>361</v>
      </c>
      <c r="B12642" t="s">
        <v>9846</v>
      </c>
      <c r="C12642" t="s">
        <v>88</v>
      </c>
      <c r="D12642" t="s">
        <v>88</v>
      </c>
      <c r="E12642" t="s">
        <v>979</v>
      </c>
      <c r="F12642" t="s">
        <v>88</v>
      </c>
      <c r="G12642" t="s">
        <v>88</v>
      </c>
      <c r="H12642" t="s">
        <v>92</v>
      </c>
    </row>
    <row r="12643" spans="1:8" x14ac:dyDescent="0.25">
      <c r="A12643" t="s">
        <v>361</v>
      </c>
      <c r="B12643" t="s">
        <v>9847</v>
      </c>
      <c r="C12643" t="s">
        <v>88</v>
      </c>
      <c r="D12643" t="s">
        <v>88</v>
      </c>
      <c r="E12643" t="s">
        <v>723</v>
      </c>
      <c r="F12643" t="s">
        <v>88</v>
      </c>
      <c r="G12643" t="s">
        <v>88</v>
      </c>
      <c r="H12643" t="s">
        <v>92</v>
      </c>
    </row>
    <row r="12644" spans="1:8" x14ac:dyDescent="0.25">
      <c r="A12644" t="s">
        <v>361</v>
      </c>
      <c r="B12644" t="s">
        <v>9848</v>
      </c>
      <c r="C12644" t="s">
        <v>88</v>
      </c>
      <c r="D12644" t="s">
        <v>88</v>
      </c>
      <c r="E12644" t="s">
        <v>780</v>
      </c>
      <c r="F12644" t="s">
        <v>88</v>
      </c>
      <c r="G12644" t="s">
        <v>88</v>
      </c>
      <c r="H12644" t="s">
        <v>92</v>
      </c>
    </row>
    <row r="12645" spans="1:8" x14ac:dyDescent="0.25">
      <c r="A12645" t="s">
        <v>361</v>
      </c>
      <c r="B12645" t="s">
        <v>9849</v>
      </c>
      <c r="C12645" t="s">
        <v>88</v>
      </c>
      <c r="D12645" t="s">
        <v>88</v>
      </c>
      <c r="E12645" t="s">
        <v>723</v>
      </c>
      <c r="F12645" t="s">
        <v>88</v>
      </c>
      <c r="G12645" t="s">
        <v>88</v>
      </c>
      <c r="H12645" t="s">
        <v>92</v>
      </c>
    </row>
    <row r="12646" spans="1:8" x14ac:dyDescent="0.25">
      <c r="A12646" t="s">
        <v>361</v>
      </c>
      <c r="B12646" t="s">
        <v>9850</v>
      </c>
      <c r="C12646" t="s">
        <v>88</v>
      </c>
      <c r="D12646" t="s">
        <v>88</v>
      </c>
      <c r="E12646" t="s">
        <v>658</v>
      </c>
      <c r="F12646" t="s">
        <v>88</v>
      </c>
      <c r="G12646" t="s">
        <v>88</v>
      </c>
      <c r="H12646" t="s">
        <v>92</v>
      </c>
    </row>
    <row r="12647" spans="1:8" x14ac:dyDescent="0.25">
      <c r="A12647" t="s">
        <v>361</v>
      </c>
      <c r="B12647" t="s">
        <v>9851</v>
      </c>
      <c r="C12647" t="s">
        <v>88</v>
      </c>
      <c r="D12647" t="s">
        <v>88</v>
      </c>
      <c r="E12647" t="s">
        <v>748</v>
      </c>
      <c r="F12647" t="s">
        <v>88</v>
      </c>
      <c r="G12647" t="s">
        <v>88</v>
      </c>
      <c r="H12647" t="s">
        <v>92</v>
      </c>
    </row>
    <row r="12648" spans="1:8" x14ac:dyDescent="0.25">
      <c r="A12648" t="s">
        <v>361</v>
      </c>
      <c r="B12648" t="s">
        <v>9852</v>
      </c>
      <c r="C12648" t="s">
        <v>88</v>
      </c>
      <c r="D12648" t="s">
        <v>88</v>
      </c>
      <c r="E12648" t="s">
        <v>723</v>
      </c>
      <c r="F12648" t="s">
        <v>88</v>
      </c>
      <c r="G12648" t="s">
        <v>88</v>
      </c>
      <c r="H12648" t="s">
        <v>92</v>
      </c>
    </row>
    <row r="12649" spans="1:8" x14ac:dyDescent="0.25">
      <c r="A12649" t="s">
        <v>361</v>
      </c>
      <c r="B12649" t="s">
        <v>9853</v>
      </c>
      <c r="C12649" t="s">
        <v>88</v>
      </c>
      <c r="D12649" t="s">
        <v>88</v>
      </c>
      <c r="E12649" t="s">
        <v>738</v>
      </c>
      <c r="F12649" t="s">
        <v>88</v>
      </c>
      <c r="G12649" t="s">
        <v>88</v>
      </c>
      <c r="H12649" t="s">
        <v>92</v>
      </c>
    </row>
    <row r="12650" spans="1:8" x14ac:dyDescent="0.25">
      <c r="A12650" t="s">
        <v>361</v>
      </c>
      <c r="B12650" t="s">
        <v>9855</v>
      </c>
      <c r="C12650" t="s">
        <v>88</v>
      </c>
      <c r="D12650" t="s">
        <v>88</v>
      </c>
      <c r="E12650" t="s">
        <v>738</v>
      </c>
      <c r="F12650" t="s">
        <v>88</v>
      </c>
      <c r="G12650" t="s">
        <v>88</v>
      </c>
      <c r="H12650" t="s">
        <v>92</v>
      </c>
    </row>
    <row r="12651" spans="1:8" x14ac:dyDescent="0.25">
      <c r="A12651" t="s">
        <v>361</v>
      </c>
      <c r="B12651" t="s">
        <v>9856</v>
      </c>
      <c r="C12651" t="s">
        <v>88</v>
      </c>
      <c r="D12651" t="s">
        <v>88</v>
      </c>
      <c r="E12651" t="s">
        <v>663</v>
      </c>
      <c r="F12651" t="s">
        <v>88</v>
      </c>
      <c r="G12651" t="s">
        <v>88</v>
      </c>
      <c r="H12651" t="s">
        <v>92</v>
      </c>
    </row>
    <row r="12652" spans="1:8" x14ac:dyDescent="0.25">
      <c r="A12652" t="s">
        <v>361</v>
      </c>
      <c r="B12652" t="s">
        <v>9857</v>
      </c>
      <c r="C12652" t="s">
        <v>88</v>
      </c>
      <c r="D12652" t="s">
        <v>88</v>
      </c>
      <c r="E12652" t="s">
        <v>780</v>
      </c>
      <c r="F12652" t="s">
        <v>88</v>
      </c>
      <c r="G12652" t="s">
        <v>88</v>
      </c>
      <c r="H12652" t="s">
        <v>92</v>
      </c>
    </row>
    <row r="12653" spans="1:8" x14ac:dyDescent="0.25">
      <c r="A12653" t="s">
        <v>361</v>
      </c>
      <c r="B12653" t="s">
        <v>9858</v>
      </c>
      <c r="C12653" t="s">
        <v>88</v>
      </c>
      <c r="D12653" t="s">
        <v>88</v>
      </c>
      <c r="E12653" t="s">
        <v>723</v>
      </c>
      <c r="F12653" t="s">
        <v>88</v>
      </c>
      <c r="G12653" t="s">
        <v>88</v>
      </c>
      <c r="H12653" t="s">
        <v>92</v>
      </c>
    </row>
    <row r="12654" spans="1:8" x14ac:dyDescent="0.25">
      <c r="A12654" t="s">
        <v>361</v>
      </c>
      <c r="B12654" t="s">
        <v>9859</v>
      </c>
      <c r="C12654" t="s">
        <v>88</v>
      </c>
      <c r="D12654" t="s">
        <v>88</v>
      </c>
      <c r="E12654" t="s">
        <v>959</v>
      </c>
      <c r="F12654" t="s">
        <v>88</v>
      </c>
      <c r="G12654" t="s">
        <v>88</v>
      </c>
      <c r="H12654" t="s">
        <v>92</v>
      </c>
    </row>
    <row r="12655" spans="1:8" x14ac:dyDescent="0.25">
      <c r="A12655" t="s">
        <v>361</v>
      </c>
      <c r="B12655" t="s">
        <v>9860</v>
      </c>
      <c r="C12655" t="s">
        <v>88</v>
      </c>
      <c r="D12655" t="s">
        <v>88</v>
      </c>
      <c r="E12655" t="s">
        <v>820</v>
      </c>
      <c r="F12655" t="s">
        <v>88</v>
      </c>
      <c r="G12655" t="s">
        <v>88</v>
      </c>
      <c r="H12655" t="s">
        <v>92</v>
      </c>
    </row>
    <row r="12656" spans="1:8" x14ac:dyDescent="0.25">
      <c r="A12656" t="s">
        <v>361</v>
      </c>
      <c r="B12656" t="s">
        <v>9861</v>
      </c>
      <c r="C12656" t="s">
        <v>88</v>
      </c>
      <c r="D12656" t="s">
        <v>88</v>
      </c>
      <c r="E12656" t="s">
        <v>959</v>
      </c>
      <c r="F12656" t="s">
        <v>88</v>
      </c>
      <c r="G12656" t="s">
        <v>88</v>
      </c>
      <c r="H12656" t="s">
        <v>92</v>
      </c>
    </row>
    <row r="12657" spans="1:8" x14ac:dyDescent="0.25">
      <c r="A12657" t="s">
        <v>361</v>
      </c>
      <c r="B12657" t="s">
        <v>9863</v>
      </c>
      <c r="C12657" t="s">
        <v>88</v>
      </c>
      <c r="D12657" t="s">
        <v>88</v>
      </c>
      <c r="E12657" t="s">
        <v>723</v>
      </c>
      <c r="F12657" t="s">
        <v>88</v>
      </c>
      <c r="G12657" t="s">
        <v>88</v>
      </c>
      <c r="H12657" t="s">
        <v>92</v>
      </c>
    </row>
    <row r="12658" spans="1:8" x14ac:dyDescent="0.25">
      <c r="A12658" t="s">
        <v>361</v>
      </c>
      <c r="B12658" t="s">
        <v>9864</v>
      </c>
      <c r="C12658" t="s">
        <v>88</v>
      </c>
      <c r="D12658" t="s">
        <v>88</v>
      </c>
      <c r="E12658" t="s">
        <v>723</v>
      </c>
      <c r="F12658" t="s">
        <v>88</v>
      </c>
      <c r="G12658" t="s">
        <v>88</v>
      </c>
      <c r="H12658" t="s">
        <v>92</v>
      </c>
    </row>
    <row r="12659" spans="1:8" x14ac:dyDescent="0.25">
      <c r="A12659" t="s">
        <v>361</v>
      </c>
      <c r="B12659" t="s">
        <v>9865</v>
      </c>
      <c r="C12659" t="s">
        <v>88</v>
      </c>
      <c r="D12659" t="s">
        <v>88</v>
      </c>
      <c r="E12659" t="s">
        <v>723</v>
      </c>
      <c r="F12659" t="s">
        <v>88</v>
      </c>
      <c r="G12659" t="s">
        <v>88</v>
      </c>
      <c r="H12659" t="s">
        <v>92</v>
      </c>
    </row>
    <row r="12660" spans="1:8" x14ac:dyDescent="0.25">
      <c r="A12660" t="s">
        <v>361</v>
      </c>
      <c r="B12660" t="s">
        <v>9866</v>
      </c>
      <c r="C12660" t="s">
        <v>88</v>
      </c>
      <c r="D12660" t="s">
        <v>88</v>
      </c>
      <c r="E12660" t="s">
        <v>780</v>
      </c>
      <c r="F12660" t="s">
        <v>88</v>
      </c>
      <c r="G12660" t="s">
        <v>88</v>
      </c>
      <c r="H12660" t="s">
        <v>92</v>
      </c>
    </row>
    <row r="12661" spans="1:8" x14ac:dyDescent="0.25">
      <c r="A12661" t="s">
        <v>361</v>
      </c>
      <c r="B12661" t="s">
        <v>9867</v>
      </c>
      <c r="C12661" t="s">
        <v>88</v>
      </c>
      <c r="D12661" t="s">
        <v>88</v>
      </c>
      <c r="E12661" t="s">
        <v>959</v>
      </c>
      <c r="F12661" t="s">
        <v>88</v>
      </c>
      <c r="G12661" t="s">
        <v>88</v>
      </c>
      <c r="H12661" t="s">
        <v>92</v>
      </c>
    </row>
    <row r="12662" spans="1:8" x14ac:dyDescent="0.25">
      <c r="A12662" t="s">
        <v>361</v>
      </c>
      <c r="B12662" t="s">
        <v>9868</v>
      </c>
      <c r="C12662" t="s">
        <v>88</v>
      </c>
      <c r="D12662" t="s">
        <v>9869</v>
      </c>
      <c r="E12662" t="s">
        <v>723</v>
      </c>
      <c r="F12662" t="s">
        <v>88</v>
      </c>
      <c r="G12662" t="s">
        <v>88</v>
      </c>
      <c r="H12662" t="s">
        <v>92</v>
      </c>
    </row>
    <row r="12663" spans="1:8" x14ac:dyDescent="0.25">
      <c r="A12663" t="s">
        <v>361</v>
      </c>
      <c r="B12663" t="s">
        <v>9870</v>
      </c>
      <c r="C12663" t="s">
        <v>88</v>
      </c>
      <c r="D12663" t="s">
        <v>88</v>
      </c>
      <c r="E12663" t="s">
        <v>723</v>
      </c>
      <c r="F12663" t="s">
        <v>88</v>
      </c>
      <c r="G12663" t="s">
        <v>88</v>
      </c>
      <c r="H12663" t="s">
        <v>92</v>
      </c>
    </row>
    <row r="12664" spans="1:8" x14ac:dyDescent="0.25">
      <c r="A12664" t="s">
        <v>361</v>
      </c>
      <c r="B12664" t="s">
        <v>9871</v>
      </c>
      <c r="C12664" t="s">
        <v>88</v>
      </c>
      <c r="D12664" t="s">
        <v>9872</v>
      </c>
      <c r="E12664" t="s">
        <v>780</v>
      </c>
      <c r="F12664" t="s">
        <v>88</v>
      </c>
      <c r="G12664" t="s">
        <v>88</v>
      </c>
      <c r="H12664" t="s">
        <v>92</v>
      </c>
    </row>
    <row r="12665" spans="1:8" x14ac:dyDescent="0.25">
      <c r="A12665" t="s">
        <v>361</v>
      </c>
      <c r="B12665" t="s">
        <v>9873</v>
      </c>
      <c r="C12665" t="s">
        <v>88</v>
      </c>
      <c r="D12665" t="s">
        <v>88</v>
      </c>
      <c r="E12665" t="s">
        <v>959</v>
      </c>
      <c r="F12665" t="s">
        <v>88</v>
      </c>
      <c r="G12665" t="s">
        <v>88</v>
      </c>
      <c r="H12665" t="s">
        <v>92</v>
      </c>
    </row>
    <row r="12666" spans="1:8" x14ac:dyDescent="0.25">
      <c r="A12666" t="s">
        <v>361</v>
      </c>
      <c r="B12666" t="s">
        <v>9874</v>
      </c>
      <c r="C12666" t="s">
        <v>88</v>
      </c>
      <c r="D12666" t="s">
        <v>88</v>
      </c>
      <c r="E12666" t="s">
        <v>780</v>
      </c>
      <c r="F12666" t="s">
        <v>88</v>
      </c>
      <c r="G12666" t="s">
        <v>88</v>
      </c>
      <c r="H12666" t="s">
        <v>92</v>
      </c>
    </row>
    <row r="12667" spans="1:8" x14ac:dyDescent="0.25">
      <c r="A12667" t="s">
        <v>361</v>
      </c>
      <c r="B12667" t="s">
        <v>9875</v>
      </c>
      <c r="C12667" t="s">
        <v>88</v>
      </c>
      <c r="D12667" t="s">
        <v>88</v>
      </c>
      <c r="E12667" t="s">
        <v>700</v>
      </c>
      <c r="F12667" t="s">
        <v>88</v>
      </c>
      <c r="G12667" t="s">
        <v>88</v>
      </c>
      <c r="H12667" t="s">
        <v>92</v>
      </c>
    </row>
    <row r="12668" spans="1:8" x14ac:dyDescent="0.25">
      <c r="A12668" t="s">
        <v>361</v>
      </c>
      <c r="B12668" t="s">
        <v>9876</v>
      </c>
      <c r="C12668" t="s">
        <v>88</v>
      </c>
      <c r="D12668" t="s">
        <v>88</v>
      </c>
      <c r="E12668" t="s">
        <v>715</v>
      </c>
      <c r="F12668" t="s">
        <v>88</v>
      </c>
      <c r="G12668" t="s">
        <v>88</v>
      </c>
      <c r="H12668" t="s">
        <v>92</v>
      </c>
    </row>
    <row r="12669" spans="1:8" x14ac:dyDescent="0.25">
      <c r="A12669" t="s">
        <v>361</v>
      </c>
      <c r="B12669" t="s">
        <v>9877</v>
      </c>
      <c r="C12669" t="s">
        <v>88</v>
      </c>
      <c r="D12669" t="s">
        <v>88</v>
      </c>
      <c r="E12669" t="s">
        <v>723</v>
      </c>
      <c r="F12669" t="s">
        <v>88</v>
      </c>
      <c r="G12669" t="s">
        <v>88</v>
      </c>
      <c r="H12669" t="s">
        <v>92</v>
      </c>
    </row>
    <row r="12670" spans="1:8" x14ac:dyDescent="0.25">
      <c r="A12670" t="s">
        <v>361</v>
      </c>
      <c r="B12670" t="s">
        <v>9879</v>
      </c>
      <c r="C12670" t="s">
        <v>88</v>
      </c>
      <c r="D12670" t="s">
        <v>9880</v>
      </c>
      <c r="E12670" t="s">
        <v>725</v>
      </c>
      <c r="F12670" t="s">
        <v>88</v>
      </c>
      <c r="G12670" t="s">
        <v>88</v>
      </c>
      <c r="H12670" t="s">
        <v>92</v>
      </c>
    </row>
    <row r="12671" spans="1:8" x14ac:dyDescent="0.25">
      <c r="A12671" t="s">
        <v>361</v>
      </c>
      <c r="B12671" t="s">
        <v>9881</v>
      </c>
      <c r="C12671" t="s">
        <v>88</v>
      </c>
      <c r="D12671" t="s">
        <v>88</v>
      </c>
      <c r="E12671" t="s">
        <v>780</v>
      </c>
      <c r="F12671" t="s">
        <v>88</v>
      </c>
      <c r="G12671" t="s">
        <v>88</v>
      </c>
      <c r="H12671" t="s">
        <v>92</v>
      </c>
    </row>
    <row r="12672" spans="1:8" x14ac:dyDescent="0.25">
      <c r="A12672" t="s">
        <v>361</v>
      </c>
      <c r="B12672" t="s">
        <v>9882</v>
      </c>
      <c r="C12672" t="s">
        <v>88</v>
      </c>
      <c r="D12672" t="s">
        <v>88</v>
      </c>
      <c r="E12672" t="s">
        <v>663</v>
      </c>
      <c r="F12672" t="s">
        <v>88</v>
      </c>
      <c r="G12672" t="s">
        <v>88</v>
      </c>
      <c r="H12672" t="s">
        <v>92</v>
      </c>
    </row>
    <row r="12673" spans="1:8" x14ac:dyDescent="0.25">
      <c r="A12673" t="s">
        <v>361</v>
      </c>
      <c r="B12673" t="s">
        <v>9883</v>
      </c>
      <c r="C12673" t="s">
        <v>88</v>
      </c>
      <c r="D12673" t="s">
        <v>88</v>
      </c>
      <c r="E12673" t="s">
        <v>721</v>
      </c>
      <c r="F12673" t="s">
        <v>88</v>
      </c>
      <c r="G12673" t="s">
        <v>88</v>
      </c>
      <c r="H12673" t="s">
        <v>92</v>
      </c>
    </row>
    <row r="12674" spans="1:8" x14ac:dyDescent="0.25">
      <c r="A12674" t="s">
        <v>361</v>
      </c>
      <c r="B12674" t="s">
        <v>9884</v>
      </c>
      <c r="C12674" t="s">
        <v>88</v>
      </c>
      <c r="D12674" t="s">
        <v>88</v>
      </c>
      <c r="E12674" t="s">
        <v>780</v>
      </c>
      <c r="F12674" t="s">
        <v>88</v>
      </c>
      <c r="G12674" t="s">
        <v>88</v>
      </c>
      <c r="H12674" t="s">
        <v>92</v>
      </c>
    </row>
    <row r="12675" spans="1:8" x14ac:dyDescent="0.25">
      <c r="A12675" t="s">
        <v>361</v>
      </c>
      <c r="B12675" t="s">
        <v>9885</v>
      </c>
      <c r="C12675" t="s">
        <v>88</v>
      </c>
      <c r="D12675" t="s">
        <v>88</v>
      </c>
      <c r="E12675" t="s">
        <v>723</v>
      </c>
      <c r="F12675" t="s">
        <v>88</v>
      </c>
      <c r="G12675" t="s">
        <v>88</v>
      </c>
      <c r="H12675" t="s">
        <v>92</v>
      </c>
    </row>
    <row r="12676" spans="1:8" x14ac:dyDescent="0.25">
      <c r="A12676" t="s">
        <v>361</v>
      </c>
      <c r="B12676" t="s">
        <v>9886</v>
      </c>
      <c r="C12676" t="s">
        <v>88</v>
      </c>
      <c r="D12676" t="s">
        <v>88</v>
      </c>
      <c r="E12676" t="s">
        <v>748</v>
      </c>
      <c r="F12676" t="s">
        <v>88</v>
      </c>
      <c r="G12676" t="s">
        <v>88</v>
      </c>
      <c r="H12676" t="s">
        <v>92</v>
      </c>
    </row>
    <row r="12677" spans="1:8" x14ac:dyDescent="0.25">
      <c r="A12677" t="s">
        <v>361</v>
      </c>
      <c r="B12677" t="s">
        <v>9887</v>
      </c>
      <c r="C12677" t="s">
        <v>88</v>
      </c>
      <c r="D12677" t="s">
        <v>88</v>
      </c>
      <c r="E12677" t="s">
        <v>748</v>
      </c>
      <c r="F12677" t="s">
        <v>88</v>
      </c>
      <c r="G12677" t="s">
        <v>88</v>
      </c>
      <c r="H12677" t="s">
        <v>92</v>
      </c>
    </row>
    <row r="12678" spans="1:8" x14ac:dyDescent="0.25">
      <c r="A12678" t="s">
        <v>361</v>
      </c>
      <c r="B12678" t="s">
        <v>9888</v>
      </c>
      <c r="C12678" t="s">
        <v>88</v>
      </c>
      <c r="D12678" t="s">
        <v>88</v>
      </c>
      <c r="E12678" t="s">
        <v>748</v>
      </c>
      <c r="F12678" t="s">
        <v>88</v>
      </c>
      <c r="G12678" t="s">
        <v>88</v>
      </c>
      <c r="H12678" t="s">
        <v>92</v>
      </c>
    </row>
    <row r="12679" spans="1:8" x14ac:dyDescent="0.25">
      <c r="A12679" t="s">
        <v>361</v>
      </c>
      <c r="B12679" t="s">
        <v>9889</v>
      </c>
      <c r="C12679" t="s">
        <v>88</v>
      </c>
      <c r="D12679" t="s">
        <v>9890</v>
      </c>
      <c r="E12679" t="s">
        <v>780</v>
      </c>
      <c r="F12679" t="s">
        <v>88</v>
      </c>
      <c r="G12679" t="s">
        <v>88</v>
      </c>
      <c r="H12679" t="s">
        <v>92</v>
      </c>
    </row>
    <row r="12680" spans="1:8" x14ac:dyDescent="0.25">
      <c r="A12680" t="s">
        <v>361</v>
      </c>
      <c r="B12680" t="s">
        <v>9891</v>
      </c>
      <c r="C12680" t="s">
        <v>88</v>
      </c>
      <c r="D12680" t="s">
        <v>88</v>
      </c>
      <c r="E12680" t="s">
        <v>748</v>
      </c>
      <c r="F12680" t="s">
        <v>88</v>
      </c>
      <c r="G12680" t="s">
        <v>88</v>
      </c>
      <c r="H12680" t="s">
        <v>92</v>
      </c>
    </row>
    <row r="12681" spans="1:8" x14ac:dyDescent="0.25">
      <c r="A12681" t="s">
        <v>361</v>
      </c>
      <c r="B12681" t="s">
        <v>9892</v>
      </c>
      <c r="C12681" t="s">
        <v>88</v>
      </c>
      <c r="D12681" t="s">
        <v>88</v>
      </c>
      <c r="E12681" t="s">
        <v>663</v>
      </c>
      <c r="F12681" t="s">
        <v>88</v>
      </c>
      <c r="G12681" t="s">
        <v>88</v>
      </c>
      <c r="H12681" t="s">
        <v>92</v>
      </c>
    </row>
    <row r="12682" spans="1:8" x14ac:dyDescent="0.25">
      <c r="A12682" t="s">
        <v>361</v>
      </c>
      <c r="B12682" t="s">
        <v>9893</v>
      </c>
      <c r="C12682" t="s">
        <v>88</v>
      </c>
      <c r="D12682" t="s">
        <v>88</v>
      </c>
      <c r="E12682" t="s">
        <v>780</v>
      </c>
      <c r="F12682" t="s">
        <v>88</v>
      </c>
      <c r="G12682" t="s">
        <v>88</v>
      </c>
      <c r="H12682" t="s">
        <v>92</v>
      </c>
    </row>
    <row r="12683" spans="1:8" x14ac:dyDescent="0.25">
      <c r="A12683" t="s">
        <v>361</v>
      </c>
      <c r="B12683" t="s">
        <v>9894</v>
      </c>
      <c r="C12683" t="s">
        <v>88</v>
      </c>
      <c r="D12683" t="s">
        <v>88</v>
      </c>
      <c r="E12683" t="s">
        <v>721</v>
      </c>
      <c r="F12683" t="s">
        <v>88</v>
      </c>
      <c r="G12683" t="s">
        <v>88</v>
      </c>
      <c r="H12683" t="s">
        <v>92</v>
      </c>
    </row>
    <row r="12684" spans="1:8" x14ac:dyDescent="0.25">
      <c r="A12684" t="s">
        <v>361</v>
      </c>
      <c r="B12684" t="s">
        <v>9895</v>
      </c>
      <c r="C12684" t="s">
        <v>88</v>
      </c>
      <c r="D12684" t="s">
        <v>88</v>
      </c>
      <c r="E12684" t="s">
        <v>721</v>
      </c>
      <c r="F12684" t="s">
        <v>88</v>
      </c>
      <c r="G12684" t="s">
        <v>88</v>
      </c>
      <c r="H12684" t="s">
        <v>92</v>
      </c>
    </row>
    <row r="12685" spans="1:8" x14ac:dyDescent="0.25">
      <c r="A12685" t="s">
        <v>361</v>
      </c>
      <c r="B12685" t="s">
        <v>9896</v>
      </c>
      <c r="C12685" t="s">
        <v>88</v>
      </c>
      <c r="D12685" t="s">
        <v>88</v>
      </c>
      <c r="E12685" t="s">
        <v>780</v>
      </c>
      <c r="F12685" t="s">
        <v>88</v>
      </c>
      <c r="G12685" t="s">
        <v>88</v>
      </c>
      <c r="H12685" t="s">
        <v>92</v>
      </c>
    </row>
    <row r="12686" spans="1:8" x14ac:dyDescent="0.25">
      <c r="A12686" t="s">
        <v>361</v>
      </c>
      <c r="B12686" t="s">
        <v>9897</v>
      </c>
      <c r="C12686" t="s">
        <v>88</v>
      </c>
      <c r="D12686" t="s">
        <v>9841</v>
      </c>
      <c r="E12686" t="s">
        <v>760</v>
      </c>
      <c r="F12686" t="s">
        <v>88</v>
      </c>
      <c r="G12686" t="s">
        <v>88</v>
      </c>
      <c r="H12686" t="s">
        <v>92</v>
      </c>
    </row>
    <row r="12687" spans="1:8" x14ac:dyDescent="0.25">
      <c r="A12687" t="s">
        <v>361</v>
      </c>
      <c r="B12687" t="s">
        <v>9898</v>
      </c>
      <c r="C12687" t="s">
        <v>88</v>
      </c>
      <c r="D12687" t="s">
        <v>88</v>
      </c>
      <c r="E12687" t="s">
        <v>673</v>
      </c>
      <c r="F12687" t="s">
        <v>88</v>
      </c>
      <c r="G12687" t="s">
        <v>88</v>
      </c>
      <c r="H12687" t="s">
        <v>92</v>
      </c>
    </row>
    <row r="12688" spans="1:8" x14ac:dyDescent="0.25">
      <c r="A12688" t="s">
        <v>361</v>
      </c>
      <c r="B12688" t="s">
        <v>9899</v>
      </c>
      <c r="C12688" t="s">
        <v>88</v>
      </c>
      <c r="D12688" t="s">
        <v>88</v>
      </c>
      <c r="E12688" t="s">
        <v>762</v>
      </c>
      <c r="F12688" t="s">
        <v>88</v>
      </c>
      <c r="G12688" t="s">
        <v>88</v>
      </c>
      <c r="H12688" t="s">
        <v>92</v>
      </c>
    </row>
    <row r="12689" spans="1:8" x14ac:dyDescent="0.25">
      <c r="A12689" t="s">
        <v>361</v>
      </c>
      <c r="B12689" t="s">
        <v>9900</v>
      </c>
      <c r="C12689" t="s">
        <v>88</v>
      </c>
      <c r="D12689" t="s">
        <v>9872</v>
      </c>
      <c r="E12689" t="s">
        <v>1241</v>
      </c>
      <c r="F12689" t="s">
        <v>88</v>
      </c>
      <c r="G12689" t="s">
        <v>88</v>
      </c>
      <c r="H12689" t="s">
        <v>92</v>
      </c>
    </row>
    <row r="12690" spans="1:8" x14ac:dyDescent="0.25">
      <c r="A12690" t="s">
        <v>361</v>
      </c>
      <c r="B12690" t="s">
        <v>9919</v>
      </c>
      <c r="C12690" t="s">
        <v>88</v>
      </c>
      <c r="D12690" t="s">
        <v>88</v>
      </c>
      <c r="E12690" t="s">
        <v>1259</v>
      </c>
      <c r="F12690" t="s">
        <v>88</v>
      </c>
      <c r="G12690" t="s">
        <v>88</v>
      </c>
      <c r="H12690" t="s">
        <v>92</v>
      </c>
    </row>
    <row r="12691" spans="1:8" x14ac:dyDescent="0.25">
      <c r="A12691" t="s">
        <v>361</v>
      </c>
      <c r="B12691" t="s">
        <v>9920</v>
      </c>
      <c r="C12691" t="s">
        <v>88</v>
      </c>
      <c r="D12691" t="s">
        <v>88</v>
      </c>
      <c r="E12691" t="s">
        <v>1259</v>
      </c>
      <c r="F12691" t="s">
        <v>88</v>
      </c>
      <c r="G12691" t="s">
        <v>88</v>
      </c>
      <c r="H12691" t="s">
        <v>92</v>
      </c>
    </row>
    <row r="12692" spans="1:8" x14ac:dyDescent="0.25">
      <c r="A12692" t="s">
        <v>361</v>
      </c>
      <c r="B12692" t="s">
        <v>9921</v>
      </c>
      <c r="C12692" t="s">
        <v>88</v>
      </c>
      <c r="D12692" t="s">
        <v>88</v>
      </c>
      <c r="E12692" t="s">
        <v>2289</v>
      </c>
      <c r="F12692" t="s">
        <v>88</v>
      </c>
      <c r="G12692" t="s">
        <v>88</v>
      </c>
      <c r="H12692" t="s">
        <v>92</v>
      </c>
    </row>
    <row r="12693" spans="1:8" x14ac:dyDescent="0.25">
      <c r="A12693" t="s">
        <v>361</v>
      </c>
      <c r="B12693" t="s">
        <v>9922</v>
      </c>
      <c r="C12693" t="s">
        <v>88</v>
      </c>
      <c r="D12693" t="s">
        <v>88</v>
      </c>
      <c r="E12693" t="s">
        <v>964</v>
      </c>
      <c r="F12693" t="s">
        <v>88</v>
      </c>
      <c r="G12693" t="s">
        <v>88</v>
      </c>
      <c r="H12693" t="s">
        <v>92</v>
      </c>
    </row>
    <row r="12694" spans="1:8" x14ac:dyDescent="0.25">
      <c r="A12694" t="s">
        <v>361</v>
      </c>
      <c r="B12694" t="s">
        <v>9923</v>
      </c>
      <c r="C12694" t="s">
        <v>88</v>
      </c>
      <c r="D12694" t="s">
        <v>88</v>
      </c>
      <c r="E12694" t="s">
        <v>1259</v>
      </c>
      <c r="F12694" t="s">
        <v>88</v>
      </c>
      <c r="G12694" t="s">
        <v>88</v>
      </c>
      <c r="H12694" t="s">
        <v>92</v>
      </c>
    </row>
    <row r="12695" spans="1:8" x14ac:dyDescent="0.25">
      <c r="A12695" t="s">
        <v>361</v>
      </c>
      <c r="B12695" t="s">
        <v>9924</v>
      </c>
      <c r="C12695" t="s">
        <v>88</v>
      </c>
      <c r="D12695" t="s">
        <v>88</v>
      </c>
      <c r="E12695" t="s">
        <v>760</v>
      </c>
      <c r="F12695" t="s">
        <v>88</v>
      </c>
      <c r="G12695" t="s">
        <v>88</v>
      </c>
      <c r="H12695" t="s">
        <v>92</v>
      </c>
    </row>
    <row r="12696" spans="1:8" x14ac:dyDescent="0.25">
      <c r="A12696" t="s">
        <v>361</v>
      </c>
      <c r="B12696" t="s">
        <v>9925</v>
      </c>
      <c r="C12696" t="s">
        <v>88</v>
      </c>
      <c r="D12696" t="s">
        <v>88</v>
      </c>
      <c r="E12696" t="s">
        <v>1259</v>
      </c>
      <c r="F12696" t="s">
        <v>88</v>
      </c>
      <c r="G12696" t="s">
        <v>88</v>
      </c>
      <c r="H12696" t="s">
        <v>92</v>
      </c>
    </row>
    <row r="12697" spans="1:8" x14ac:dyDescent="0.25">
      <c r="A12697" t="s">
        <v>361</v>
      </c>
      <c r="B12697" t="s">
        <v>9926</v>
      </c>
      <c r="C12697" t="s">
        <v>88</v>
      </c>
      <c r="D12697" t="s">
        <v>88</v>
      </c>
      <c r="E12697" t="s">
        <v>760</v>
      </c>
      <c r="F12697" t="s">
        <v>88</v>
      </c>
      <c r="G12697" t="s">
        <v>88</v>
      </c>
      <c r="H12697" t="s">
        <v>92</v>
      </c>
    </row>
    <row r="12698" spans="1:8" x14ac:dyDescent="0.25">
      <c r="A12698" t="s">
        <v>361</v>
      </c>
      <c r="B12698" t="s">
        <v>9927</v>
      </c>
      <c r="C12698" t="s">
        <v>88</v>
      </c>
      <c r="D12698" t="s">
        <v>88</v>
      </c>
      <c r="E12698" t="s">
        <v>760</v>
      </c>
      <c r="F12698" t="s">
        <v>88</v>
      </c>
      <c r="G12698" t="s">
        <v>88</v>
      </c>
      <c r="H12698" t="s">
        <v>92</v>
      </c>
    </row>
    <row r="12699" spans="1:8" x14ac:dyDescent="0.25">
      <c r="A12699" t="s">
        <v>361</v>
      </c>
      <c r="B12699" t="s">
        <v>9928</v>
      </c>
      <c r="C12699" t="s">
        <v>88</v>
      </c>
      <c r="D12699" t="s">
        <v>88</v>
      </c>
      <c r="E12699" t="s">
        <v>1241</v>
      </c>
      <c r="F12699" t="s">
        <v>88</v>
      </c>
      <c r="G12699" t="s">
        <v>88</v>
      </c>
      <c r="H12699" t="s">
        <v>92</v>
      </c>
    </row>
    <row r="12700" spans="1:8" x14ac:dyDescent="0.25">
      <c r="A12700" t="s">
        <v>361</v>
      </c>
      <c r="B12700" t="s">
        <v>9929</v>
      </c>
      <c r="C12700" t="s">
        <v>88</v>
      </c>
      <c r="D12700" t="s">
        <v>88</v>
      </c>
      <c r="E12700" t="s">
        <v>1259</v>
      </c>
      <c r="F12700" t="s">
        <v>88</v>
      </c>
      <c r="G12700" t="s">
        <v>88</v>
      </c>
      <c r="H12700" t="s">
        <v>92</v>
      </c>
    </row>
    <row r="12701" spans="1:8" x14ac:dyDescent="0.25">
      <c r="A12701" t="s">
        <v>361</v>
      </c>
      <c r="B12701" t="s">
        <v>9930</v>
      </c>
      <c r="C12701" t="s">
        <v>88</v>
      </c>
      <c r="D12701" t="s">
        <v>88</v>
      </c>
      <c r="E12701" t="s">
        <v>1241</v>
      </c>
      <c r="F12701" t="s">
        <v>88</v>
      </c>
      <c r="G12701" t="s">
        <v>88</v>
      </c>
      <c r="H12701" t="s">
        <v>92</v>
      </c>
    </row>
    <row r="12702" spans="1:8" x14ac:dyDescent="0.25">
      <c r="A12702" t="s">
        <v>361</v>
      </c>
      <c r="B12702" t="s">
        <v>9931</v>
      </c>
      <c r="C12702" t="s">
        <v>88</v>
      </c>
      <c r="D12702" t="s">
        <v>88</v>
      </c>
      <c r="E12702" t="s">
        <v>1241</v>
      </c>
      <c r="F12702" t="s">
        <v>88</v>
      </c>
      <c r="G12702" t="s">
        <v>88</v>
      </c>
      <c r="H12702" t="s">
        <v>92</v>
      </c>
    </row>
    <row r="12703" spans="1:8" x14ac:dyDescent="0.25">
      <c r="A12703" t="s">
        <v>361</v>
      </c>
      <c r="B12703" t="s">
        <v>9932</v>
      </c>
      <c r="C12703" t="s">
        <v>88</v>
      </c>
      <c r="D12703" t="s">
        <v>88</v>
      </c>
      <c r="E12703" t="s">
        <v>760</v>
      </c>
      <c r="F12703" t="s">
        <v>88</v>
      </c>
      <c r="G12703" t="s">
        <v>88</v>
      </c>
      <c r="H12703" t="s">
        <v>92</v>
      </c>
    </row>
    <row r="12704" spans="1:8" x14ac:dyDescent="0.25">
      <c r="A12704" t="s">
        <v>361</v>
      </c>
      <c r="B12704" t="s">
        <v>9933</v>
      </c>
      <c r="C12704" t="s">
        <v>88</v>
      </c>
      <c r="D12704" t="s">
        <v>88</v>
      </c>
      <c r="E12704" t="s">
        <v>1241</v>
      </c>
      <c r="F12704" t="s">
        <v>88</v>
      </c>
      <c r="G12704" t="s">
        <v>88</v>
      </c>
      <c r="H12704" t="s">
        <v>92</v>
      </c>
    </row>
    <row r="12705" spans="1:8" x14ac:dyDescent="0.25">
      <c r="A12705" t="s">
        <v>361</v>
      </c>
      <c r="B12705" t="s">
        <v>9934</v>
      </c>
      <c r="C12705" t="s">
        <v>88</v>
      </c>
      <c r="D12705" t="s">
        <v>88</v>
      </c>
      <c r="E12705" t="s">
        <v>1241</v>
      </c>
      <c r="F12705" t="s">
        <v>88</v>
      </c>
      <c r="G12705" t="s">
        <v>88</v>
      </c>
      <c r="H12705" t="s">
        <v>92</v>
      </c>
    </row>
    <row r="12706" spans="1:8" x14ac:dyDescent="0.25">
      <c r="A12706" t="s">
        <v>361</v>
      </c>
      <c r="B12706" t="s">
        <v>9935</v>
      </c>
      <c r="C12706" t="s">
        <v>88</v>
      </c>
      <c r="D12706" t="s">
        <v>88</v>
      </c>
      <c r="E12706" t="s">
        <v>2289</v>
      </c>
      <c r="F12706" t="s">
        <v>88</v>
      </c>
      <c r="G12706" t="s">
        <v>88</v>
      </c>
      <c r="H12706" t="s">
        <v>92</v>
      </c>
    </row>
    <row r="12707" spans="1:8" x14ac:dyDescent="0.25">
      <c r="A12707" t="s">
        <v>361</v>
      </c>
      <c r="B12707" t="s">
        <v>9936</v>
      </c>
      <c r="C12707" t="s">
        <v>88</v>
      </c>
      <c r="D12707" t="s">
        <v>88</v>
      </c>
      <c r="E12707" t="s">
        <v>1241</v>
      </c>
      <c r="F12707" t="s">
        <v>88</v>
      </c>
      <c r="G12707" t="s">
        <v>88</v>
      </c>
      <c r="H12707" t="s">
        <v>92</v>
      </c>
    </row>
    <row r="12708" spans="1:8" x14ac:dyDescent="0.25">
      <c r="A12708" t="s">
        <v>361</v>
      </c>
      <c r="B12708" t="s">
        <v>9937</v>
      </c>
      <c r="C12708" t="s">
        <v>88</v>
      </c>
      <c r="D12708" t="s">
        <v>88</v>
      </c>
      <c r="E12708" t="s">
        <v>1241</v>
      </c>
      <c r="F12708" t="s">
        <v>88</v>
      </c>
      <c r="G12708" t="s">
        <v>88</v>
      </c>
      <c r="H12708" t="s">
        <v>92</v>
      </c>
    </row>
    <row r="12709" spans="1:8" x14ac:dyDescent="0.25">
      <c r="A12709" t="s">
        <v>361</v>
      </c>
      <c r="B12709" t="s">
        <v>9938</v>
      </c>
      <c r="C12709" t="s">
        <v>88</v>
      </c>
      <c r="D12709" t="s">
        <v>88</v>
      </c>
      <c r="E12709" t="s">
        <v>692</v>
      </c>
      <c r="F12709" t="s">
        <v>88</v>
      </c>
      <c r="G12709" t="s">
        <v>88</v>
      </c>
      <c r="H12709" t="s">
        <v>92</v>
      </c>
    </row>
    <row r="12710" spans="1:8" x14ac:dyDescent="0.25">
      <c r="A12710" t="s">
        <v>361</v>
      </c>
      <c r="B12710" t="s">
        <v>9939</v>
      </c>
      <c r="C12710" t="s">
        <v>88</v>
      </c>
      <c r="D12710" t="s">
        <v>88</v>
      </c>
      <c r="E12710" t="s">
        <v>791</v>
      </c>
      <c r="F12710" t="s">
        <v>88</v>
      </c>
      <c r="G12710" t="s">
        <v>88</v>
      </c>
      <c r="H12710" t="s">
        <v>92</v>
      </c>
    </row>
    <row r="12711" spans="1:8" x14ac:dyDescent="0.25">
      <c r="A12711" t="s">
        <v>361</v>
      </c>
      <c r="B12711" t="s">
        <v>612</v>
      </c>
      <c r="C12711" t="s">
        <v>88</v>
      </c>
      <c r="D12711" t="s">
        <v>88</v>
      </c>
      <c r="E12711" t="s">
        <v>734</v>
      </c>
      <c r="F12711" t="s">
        <v>88</v>
      </c>
      <c r="G12711" t="s">
        <v>88</v>
      </c>
      <c r="H12711" t="s">
        <v>92</v>
      </c>
    </row>
    <row r="12712" spans="1:8" x14ac:dyDescent="0.25">
      <c r="A12712" t="s">
        <v>361</v>
      </c>
      <c r="B12712" t="s">
        <v>617</v>
      </c>
      <c r="C12712" t="s">
        <v>88</v>
      </c>
      <c r="D12712" t="s">
        <v>88</v>
      </c>
      <c r="E12712" t="s">
        <v>709</v>
      </c>
      <c r="F12712" t="s">
        <v>88</v>
      </c>
      <c r="G12712" t="s">
        <v>88</v>
      </c>
      <c r="H12712" t="s">
        <v>92</v>
      </c>
    </row>
    <row r="12713" spans="1:8" x14ac:dyDescent="0.25">
      <c r="A12713" t="s">
        <v>361</v>
      </c>
      <c r="B12713" t="s">
        <v>733</v>
      </c>
      <c r="C12713" t="s">
        <v>88</v>
      </c>
      <c r="D12713" t="s">
        <v>88</v>
      </c>
      <c r="E12713" t="s">
        <v>709</v>
      </c>
      <c r="F12713" t="s">
        <v>88</v>
      </c>
      <c r="G12713" t="s">
        <v>88</v>
      </c>
      <c r="H12713" t="s">
        <v>92</v>
      </c>
    </row>
    <row r="12714" spans="1:8" x14ac:dyDescent="0.25">
      <c r="A12714" t="s">
        <v>361</v>
      </c>
      <c r="B12714" t="s">
        <v>707</v>
      </c>
      <c r="C12714" t="s">
        <v>88</v>
      </c>
      <c r="D12714" t="s">
        <v>88</v>
      </c>
      <c r="E12714" t="s">
        <v>709</v>
      </c>
      <c r="F12714" t="s">
        <v>88</v>
      </c>
      <c r="G12714" t="s">
        <v>88</v>
      </c>
      <c r="H12714" t="s">
        <v>92</v>
      </c>
    </row>
    <row r="12715" spans="1:8" x14ac:dyDescent="0.25">
      <c r="A12715" t="s">
        <v>361</v>
      </c>
      <c r="B12715" t="s">
        <v>9901</v>
      </c>
      <c r="C12715" t="s">
        <v>88</v>
      </c>
      <c r="D12715" t="s">
        <v>88</v>
      </c>
      <c r="E12715" t="s">
        <v>734</v>
      </c>
      <c r="F12715" t="s">
        <v>88</v>
      </c>
      <c r="G12715" t="s">
        <v>88</v>
      </c>
      <c r="H12715" t="s">
        <v>92</v>
      </c>
    </row>
    <row r="12716" spans="1:8" x14ac:dyDescent="0.25">
      <c r="A12716" t="s">
        <v>361</v>
      </c>
      <c r="B12716" t="s">
        <v>9902</v>
      </c>
      <c r="C12716" t="s">
        <v>88</v>
      </c>
      <c r="D12716" t="s">
        <v>88</v>
      </c>
      <c r="E12716" t="s">
        <v>710</v>
      </c>
      <c r="F12716" t="s">
        <v>88</v>
      </c>
      <c r="G12716" t="s">
        <v>88</v>
      </c>
      <c r="H12716" t="s">
        <v>92</v>
      </c>
    </row>
    <row r="12717" spans="1:8" x14ac:dyDescent="0.25">
      <c r="A12717" t="s">
        <v>361</v>
      </c>
      <c r="B12717" t="s">
        <v>9903</v>
      </c>
      <c r="C12717" t="s">
        <v>88</v>
      </c>
      <c r="D12717" t="s">
        <v>88</v>
      </c>
      <c r="E12717" t="s">
        <v>848</v>
      </c>
      <c r="F12717" t="s">
        <v>88</v>
      </c>
      <c r="G12717" t="s">
        <v>88</v>
      </c>
      <c r="H12717" t="s">
        <v>92</v>
      </c>
    </row>
    <row r="12718" spans="1:8" x14ac:dyDescent="0.25">
      <c r="A12718" t="s">
        <v>361</v>
      </c>
      <c r="B12718" t="s">
        <v>2359</v>
      </c>
      <c r="C12718" t="s">
        <v>88</v>
      </c>
      <c r="D12718" t="s">
        <v>88</v>
      </c>
      <c r="E12718" t="s">
        <v>791</v>
      </c>
      <c r="F12718" t="s">
        <v>88</v>
      </c>
      <c r="G12718" t="s">
        <v>88</v>
      </c>
      <c r="H12718" t="s">
        <v>92</v>
      </c>
    </row>
    <row r="12719" spans="1:8" x14ac:dyDescent="0.25">
      <c r="A12719" t="s">
        <v>361</v>
      </c>
      <c r="B12719" t="s">
        <v>9904</v>
      </c>
      <c r="C12719" t="s">
        <v>88</v>
      </c>
      <c r="D12719" t="s">
        <v>88</v>
      </c>
      <c r="E12719" t="s">
        <v>711</v>
      </c>
      <c r="F12719" t="s">
        <v>88</v>
      </c>
      <c r="G12719" t="s">
        <v>88</v>
      </c>
      <c r="H12719" t="s">
        <v>92</v>
      </c>
    </row>
    <row r="12720" spans="1:8" x14ac:dyDescent="0.25">
      <c r="A12720" t="s">
        <v>361</v>
      </c>
      <c r="B12720" t="s">
        <v>9905</v>
      </c>
      <c r="C12720" t="s">
        <v>88</v>
      </c>
      <c r="D12720" t="s">
        <v>88</v>
      </c>
      <c r="E12720" t="s">
        <v>711</v>
      </c>
      <c r="F12720" t="s">
        <v>88</v>
      </c>
      <c r="G12720" t="s">
        <v>88</v>
      </c>
      <c r="H12720" t="s">
        <v>92</v>
      </c>
    </row>
    <row r="12721" spans="1:8" x14ac:dyDescent="0.25">
      <c r="A12721" t="s">
        <v>361</v>
      </c>
      <c r="B12721" t="s">
        <v>9906</v>
      </c>
      <c r="C12721" t="s">
        <v>88</v>
      </c>
      <c r="D12721" t="s">
        <v>88</v>
      </c>
      <c r="E12721" t="s">
        <v>709</v>
      </c>
      <c r="F12721" t="s">
        <v>88</v>
      </c>
      <c r="G12721" t="s">
        <v>88</v>
      </c>
      <c r="H12721" t="s">
        <v>92</v>
      </c>
    </row>
    <row r="12722" spans="1:8" x14ac:dyDescent="0.25">
      <c r="A12722" t="s">
        <v>361</v>
      </c>
      <c r="B12722" t="s">
        <v>927</v>
      </c>
      <c r="C12722" t="s">
        <v>88</v>
      </c>
      <c r="D12722" t="s">
        <v>88</v>
      </c>
      <c r="E12722" t="s">
        <v>848</v>
      </c>
      <c r="F12722" t="s">
        <v>88</v>
      </c>
      <c r="G12722" t="s">
        <v>88</v>
      </c>
      <c r="H12722" t="s">
        <v>92</v>
      </c>
    </row>
    <row r="12723" spans="1:8" x14ac:dyDescent="0.25">
      <c r="A12723" t="s">
        <v>361</v>
      </c>
      <c r="B12723" t="s">
        <v>5998</v>
      </c>
      <c r="C12723" t="s">
        <v>88</v>
      </c>
      <c r="D12723" t="s">
        <v>88</v>
      </c>
      <c r="E12723" t="s">
        <v>710</v>
      </c>
      <c r="F12723" t="s">
        <v>88</v>
      </c>
      <c r="G12723" t="s">
        <v>88</v>
      </c>
      <c r="H12723" t="s">
        <v>92</v>
      </c>
    </row>
    <row r="12724" spans="1:8" x14ac:dyDescent="0.25">
      <c r="A12724" t="s">
        <v>361</v>
      </c>
      <c r="B12724" t="s">
        <v>9907</v>
      </c>
      <c r="C12724" t="s">
        <v>88</v>
      </c>
      <c r="D12724" t="s">
        <v>88</v>
      </c>
      <c r="E12724" t="s">
        <v>713</v>
      </c>
      <c r="F12724" t="s">
        <v>88</v>
      </c>
      <c r="G12724" t="s">
        <v>88</v>
      </c>
      <c r="H12724" t="s">
        <v>92</v>
      </c>
    </row>
    <row r="12725" spans="1:8" x14ac:dyDescent="0.25">
      <c r="A12725" t="s">
        <v>361</v>
      </c>
      <c r="B12725" t="s">
        <v>929</v>
      </c>
      <c r="C12725" t="s">
        <v>88</v>
      </c>
      <c r="D12725" t="s">
        <v>88</v>
      </c>
      <c r="E12725" t="s">
        <v>849</v>
      </c>
      <c r="F12725" t="s">
        <v>88</v>
      </c>
      <c r="G12725" t="s">
        <v>88</v>
      </c>
      <c r="H12725" t="s">
        <v>92</v>
      </c>
    </row>
    <row r="12726" spans="1:8" x14ac:dyDescent="0.25">
      <c r="A12726" t="s">
        <v>361</v>
      </c>
      <c r="B12726" t="s">
        <v>798</v>
      </c>
      <c r="C12726" t="s">
        <v>88</v>
      </c>
      <c r="D12726" t="s">
        <v>88</v>
      </c>
      <c r="E12726" t="s">
        <v>702</v>
      </c>
      <c r="F12726" t="s">
        <v>88</v>
      </c>
      <c r="G12726" t="s">
        <v>88</v>
      </c>
      <c r="H12726" t="s">
        <v>92</v>
      </c>
    </row>
    <row r="12727" spans="1:8" x14ac:dyDescent="0.25">
      <c r="A12727" t="s">
        <v>361</v>
      </c>
      <c r="B12727" t="s">
        <v>852</v>
      </c>
      <c r="C12727" t="s">
        <v>88</v>
      </c>
      <c r="D12727" t="s">
        <v>88</v>
      </c>
      <c r="E12727" t="s">
        <v>715</v>
      </c>
      <c r="F12727" t="s">
        <v>88</v>
      </c>
      <c r="G12727" t="s">
        <v>88</v>
      </c>
      <c r="H12727" t="s">
        <v>92</v>
      </c>
    </row>
    <row r="12728" spans="1:8" x14ac:dyDescent="0.25">
      <c r="A12728" t="s">
        <v>361</v>
      </c>
      <c r="B12728" t="s">
        <v>9909</v>
      </c>
      <c r="C12728" t="s">
        <v>88</v>
      </c>
      <c r="D12728" t="s">
        <v>88</v>
      </c>
      <c r="E12728" t="s">
        <v>799</v>
      </c>
      <c r="F12728" t="s">
        <v>88</v>
      </c>
      <c r="G12728" t="s">
        <v>88</v>
      </c>
      <c r="H12728" t="s">
        <v>92</v>
      </c>
    </row>
    <row r="12729" spans="1:8" x14ac:dyDescent="0.25">
      <c r="A12729" t="s">
        <v>361</v>
      </c>
      <c r="B12729" t="s">
        <v>9910</v>
      </c>
      <c r="C12729" t="s">
        <v>88</v>
      </c>
      <c r="D12729" t="s">
        <v>88</v>
      </c>
      <c r="E12729" t="s">
        <v>780</v>
      </c>
      <c r="F12729" t="s">
        <v>88</v>
      </c>
      <c r="G12729" t="s">
        <v>88</v>
      </c>
      <c r="H12729" t="s">
        <v>92</v>
      </c>
    </row>
    <row r="12730" spans="1:8" x14ac:dyDescent="0.25">
      <c r="A12730" t="s">
        <v>361</v>
      </c>
      <c r="B12730" t="s">
        <v>9911</v>
      </c>
      <c r="C12730" t="s">
        <v>88</v>
      </c>
      <c r="D12730" t="s">
        <v>88</v>
      </c>
      <c r="E12730" t="s">
        <v>780</v>
      </c>
      <c r="F12730" t="s">
        <v>88</v>
      </c>
      <c r="G12730" t="s">
        <v>88</v>
      </c>
      <c r="H12730" t="s">
        <v>92</v>
      </c>
    </row>
    <row r="12731" spans="1:8" x14ac:dyDescent="0.25">
      <c r="A12731" t="s">
        <v>361</v>
      </c>
      <c r="B12731" t="s">
        <v>9912</v>
      </c>
      <c r="C12731" t="s">
        <v>88</v>
      </c>
      <c r="D12731" t="s">
        <v>88</v>
      </c>
      <c r="E12731" t="s">
        <v>1139</v>
      </c>
      <c r="F12731" t="s">
        <v>88</v>
      </c>
      <c r="G12731" t="s">
        <v>88</v>
      </c>
      <c r="H12731" t="s">
        <v>92</v>
      </c>
    </row>
    <row r="12732" spans="1:8" x14ac:dyDescent="0.25">
      <c r="A12732" t="s">
        <v>361</v>
      </c>
      <c r="B12732" t="s">
        <v>9913</v>
      </c>
      <c r="C12732" t="s">
        <v>88</v>
      </c>
      <c r="D12732" t="s">
        <v>88</v>
      </c>
      <c r="E12732" t="s">
        <v>1139</v>
      </c>
      <c r="F12732" t="s">
        <v>88</v>
      </c>
      <c r="G12732" t="s">
        <v>88</v>
      </c>
      <c r="H12732" t="s">
        <v>92</v>
      </c>
    </row>
    <row r="12733" spans="1:8" x14ac:dyDescent="0.25">
      <c r="A12733" t="s">
        <v>361</v>
      </c>
      <c r="B12733" t="s">
        <v>9914</v>
      </c>
      <c r="C12733" t="s">
        <v>88</v>
      </c>
      <c r="D12733" t="s">
        <v>88</v>
      </c>
      <c r="E12733" t="s">
        <v>723</v>
      </c>
      <c r="F12733" t="s">
        <v>88</v>
      </c>
      <c r="G12733" t="s">
        <v>88</v>
      </c>
      <c r="H12733" t="s">
        <v>92</v>
      </c>
    </row>
    <row r="12734" spans="1:8" x14ac:dyDescent="0.25">
      <c r="A12734" t="s">
        <v>361</v>
      </c>
      <c r="B12734" t="s">
        <v>9915</v>
      </c>
      <c r="C12734" t="s">
        <v>88</v>
      </c>
      <c r="D12734" t="s">
        <v>88</v>
      </c>
      <c r="E12734" t="s">
        <v>723</v>
      </c>
      <c r="F12734" t="s">
        <v>88</v>
      </c>
      <c r="G12734" t="s">
        <v>88</v>
      </c>
      <c r="H12734" t="s">
        <v>92</v>
      </c>
    </row>
    <row r="12735" spans="1:8" x14ac:dyDescent="0.25">
      <c r="A12735" t="s">
        <v>361</v>
      </c>
      <c r="B12735" t="s">
        <v>8383</v>
      </c>
      <c r="C12735" t="s">
        <v>88</v>
      </c>
      <c r="D12735" t="s">
        <v>88</v>
      </c>
      <c r="E12735" t="s">
        <v>723</v>
      </c>
      <c r="F12735" t="s">
        <v>88</v>
      </c>
      <c r="G12735" t="s">
        <v>88</v>
      </c>
      <c r="H12735" t="s">
        <v>92</v>
      </c>
    </row>
    <row r="12736" spans="1:8" x14ac:dyDescent="0.25">
      <c r="A12736" t="s">
        <v>361</v>
      </c>
      <c r="B12736" t="s">
        <v>8382</v>
      </c>
      <c r="C12736" t="s">
        <v>88</v>
      </c>
      <c r="D12736" t="s">
        <v>88</v>
      </c>
      <c r="E12736" t="s">
        <v>723</v>
      </c>
      <c r="F12736" t="s">
        <v>88</v>
      </c>
      <c r="G12736" t="s">
        <v>88</v>
      </c>
      <c r="H12736" t="s">
        <v>92</v>
      </c>
    </row>
    <row r="12737" spans="1:8" x14ac:dyDescent="0.25">
      <c r="A12737" t="s">
        <v>361</v>
      </c>
      <c r="B12737" t="s">
        <v>9916</v>
      </c>
      <c r="C12737" t="s">
        <v>88</v>
      </c>
      <c r="D12737" t="s">
        <v>88</v>
      </c>
      <c r="E12737" t="s">
        <v>723</v>
      </c>
      <c r="F12737" t="s">
        <v>88</v>
      </c>
      <c r="G12737" t="s">
        <v>88</v>
      </c>
      <c r="H12737" t="s">
        <v>92</v>
      </c>
    </row>
    <row r="12738" spans="1:8" x14ac:dyDescent="0.25">
      <c r="A12738" t="s">
        <v>361</v>
      </c>
      <c r="B12738" t="s">
        <v>8384</v>
      </c>
      <c r="C12738" t="s">
        <v>88</v>
      </c>
      <c r="D12738" t="s">
        <v>88</v>
      </c>
      <c r="E12738" t="s">
        <v>723</v>
      </c>
      <c r="F12738" t="s">
        <v>88</v>
      </c>
      <c r="G12738" t="s">
        <v>88</v>
      </c>
      <c r="H12738" t="s">
        <v>92</v>
      </c>
    </row>
    <row r="12739" spans="1:8" x14ac:dyDescent="0.25">
      <c r="A12739" t="s">
        <v>361</v>
      </c>
      <c r="B12739" t="s">
        <v>9917</v>
      </c>
      <c r="C12739" t="s">
        <v>88</v>
      </c>
      <c r="D12739" t="s">
        <v>88</v>
      </c>
      <c r="E12739" t="s">
        <v>723</v>
      </c>
      <c r="F12739" t="s">
        <v>88</v>
      </c>
      <c r="G12739" t="s">
        <v>88</v>
      </c>
      <c r="H12739" t="s">
        <v>92</v>
      </c>
    </row>
    <row r="12740" spans="1:8" x14ac:dyDescent="0.25">
      <c r="A12740" t="s">
        <v>361</v>
      </c>
      <c r="B12740" t="s">
        <v>9918</v>
      </c>
      <c r="C12740" t="s">
        <v>88</v>
      </c>
      <c r="D12740" t="s">
        <v>88</v>
      </c>
      <c r="E12740" t="s">
        <v>723</v>
      </c>
      <c r="F12740" t="s">
        <v>88</v>
      </c>
      <c r="G12740" t="s">
        <v>88</v>
      </c>
      <c r="H12740" t="s">
        <v>92</v>
      </c>
    </row>
    <row r="12741" spans="1:8" x14ac:dyDescent="0.25">
      <c r="A12741" t="s">
        <v>361</v>
      </c>
      <c r="B12741" t="s">
        <v>8385</v>
      </c>
      <c r="C12741" t="s">
        <v>88</v>
      </c>
      <c r="D12741" t="s">
        <v>88</v>
      </c>
      <c r="E12741" t="s">
        <v>723</v>
      </c>
      <c r="F12741" t="s">
        <v>88</v>
      </c>
      <c r="G12741" t="s">
        <v>88</v>
      </c>
      <c r="H12741" t="s">
        <v>92</v>
      </c>
    </row>
    <row r="12742" spans="1:8" x14ac:dyDescent="0.25">
      <c r="A12742" t="s">
        <v>361</v>
      </c>
      <c r="B12742" t="s">
        <v>625</v>
      </c>
      <c r="C12742" t="s">
        <v>88</v>
      </c>
      <c r="D12742" t="s">
        <v>88</v>
      </c>
      <c r="E12742" t="s">
        <v>626</v>
      </c>
      <c r="F12742" t="s">
        <v>88</v>
      </c>
      <c r="G12742" t="s">
        <v>88</v>
      </c>
      <c r="H12742" t="s">
        <v>92</v>
      </c>
    </row>
    <row r="12743" spans="1:8" x14ac:dyDescent="0.25">
      <c r="A12743" t="s">
        <v>363</v>
      </c>
      <c r="B12743" t="s">
        <v>9940</v>
      </c>
      <c r="C12743" t="s">
        <v>88</v>
      </c>
      <c r="D12743" t="s">
        <v>9941</v>
      </c>
      <c r="E12743" t="s">
        <v>9942</v>
      </c>
      <c r="F12743" t="s">
        <v>88</v>
      </c>
      <c r="G12743" t="s">
        <v>88</v>
      </c>
      <c r="H12743" t="s">
        <v>92</v>
      </c>
    </row>
    <row r="12744" spans="1:8" x14ac:dyDescent="0.25">
      <c r="A12744" t="s">
        <v>363</v>
      </c>
      <c r="B12744" t="s">
        <v>9943</v>
      </c>
      <c r="C12744" t="s">
        <v>88</v>
      </c>
      <c r="D12744" t="s">
        <v>9944</v>
      </c>
      <c r="E12744" t="s">
        <v>820</v>
      </c>
      <c r="F12744" t="s">
        <v>88</v>
      </c>
      <c r="G12744" t="s">
        <v>88</v>
      </c>
      <c r="H12744" t="s">
        <v>92</v>
      </c>
    </row>
    <row r="12745" spans="1:8" x14ac:dyDescent="0.25">
      <c r="A12745" t="s">
        <v>363</v>
      </c>
      <c r="B12745" t="s">
        <v>9945</v>
      </c>
      <c r="C12745" t="s">
        <v>88</v>
      </c>
      <c r="D12745" t="s">
        <v>9944</v>
      </c>
      <c r="E12745" t="s">
        <v>9946</v>
      </c>
      <c r="F12745" t="s">
        <v>88</v>
      </c>
      <c r="G12745" t="s">
        <v>88</v>
      </c>
      <c r="H12745" t="s">
        <v>92</v>
      </c>
    </row>
    <row r="12746" spans="1:8" x14ac:dyDescent="0.25">
      <c r="A12746" t="s">
        <v>363</v>
      </c>
      <c r="B12746" t="s">
        <v>9947</v>
      </c>
      <c r="C12746" t="s">
        <v>88</v>
      </c>
      <c r="D12746" t="s">
        <v>9944</v>
      </c>
      <c r="E12746" t="s">
        <v>9948</v>
      </c>
      <c r="F12746" t="s">
        <v>88</v>
      </c>
      <c r="G12746" t="s">
        <v>88</v>
      </c>
      <c r="H12746" t="s">
        <v>92</v>
      </c>
    </row>
    <row r="12747" spans="1:8" x14ac:dyDescent="0.25">
      <c r="A12747" t="s">
        <v>363</v>
      </c>
      <c r="B12747" t="s">
        <v>9949</v>
      </c>
      <c r="C12747" t="s">
        <v>88</v>
      </c>
      <c r="D12747" t="s">
        <v>88</v>
      </c>
      <c r="E12747" t="s">
        <v>9950</v>
      </c>
      <c r="F12747" t="s">
        <v>88</v>
      </c>
      <c r="G12747" t="s">
        <v>88</v>
      </c>
      <c r="H12747" t="s">
        <v>92</v>
      </c>
    </row>
    <row r="12748" spans="1:8" x14ac:dyDescent="0.25">
      <c r="A12748" t="s">
        <v>363</v>
      </c>
      <c r="B12748" t="s">
        <v>9951</v>
      </c>
      <c r="C12748" t="s">
        <v>88</v>
      </c>
      <c r="D12748" t="s">
        <v>88</v>
      </c>
      <c r="E12748" t="s">
        <v>5906</v>
      </c>
      <c r="F12748" t="s">
        <v>88</v>
      </c>
      <c r="G12748" t="s">
        <v>88</v>
      </c>
      <c r="H12748" t="s">
        <v>92</v>
      </c>
    </row>
    <row r="12749" spans="1:8" x14ac:dyDescent="0.25">
      <c r="A12749" t="s">
        <v>363</v>
      </c>
      <c r="B12749" t="s">
        <v>9952</v>
      </c>
      <c r="C12749" t="s">
        <v>88</v>
      </c>
      <c r="D12749" t="s">
        <v>88</v>
      </c>
      <c r="E12749" t="s">
        <v>9953</v>
      </c>
      <c r="F12749" t="s">
        <v>88</v>
      </c>
      <c r="G12749" t="s">
        <v>88</v>
      </c>
      <c r="H12749" t="s">
        <v>92</v>
      </c>
    </row>
    <row r="12750" spans="1:8" x14ac:dyDescent="0.25">
      <c r="A12750" t="s">
        <v>363</v>
      </c>
      <c r="B12750" t="s">
        <v>9954</v>
      </c>
      <c r="C12750" t="s">
        <v>88</v>
      </c>
      <c r="D12750" t="s">
        <v>88</v>
      </c>
      <c r="E12750" t="s">
        <v>1236</v>
      </c>
      <c r="F12750" t="s">
        <v>88</v>
      </c>
      <c r="G12750" t="s">
        <v>88</v>
      </c>
      <c r="H12750" t="s">
        <v>92</v>
      </c>
    </row>
    <row r="12751" spans="1:8" x14ac:dyDescent="0.25">
      <c r="A12751" t="s">
        <v>363</v>
      </c>
      <c r="B12751" t="s">
        <v>9955</v>
      </c>
      <c r="C12751" t="s">
        <v>88</v>
      </c>
      <c r="D12751" t="s">
        <v>88</v>
      </c>
      <c r="E12751" t="s">
        <v>5960</v>
      </c>
      <c r="F12751" t="s">
        <v>88</v>
      </c>
      <c r="G12751" t="s">
        <v>88</v>
      </c>
      <c r="H12751" t="s">
        <v>92</v>
      </c>
    </row>
    <row r="12752" spans="1:8" x14ac:dyDescent="0.25">
      <c r="A12752" t="s">
        <v>363</v>
      </c>
      <c r="B12752" t="s">
        <v>9956</v>
      </c>
      <c r="C12752" t="s">
        <v>88</v>
      </c>
      <c r="D12752" t="s">
        <v>88</v>
      </c>
      <c r="E12752" t="s">
        <v>1236</v>
      </c>
      <c r="F12752" t="s">
        <v>88</v>
      </c>
      <c r="G12752" t="s">
        <v>88</v>
      </c>
      <c r="H12752" t="s">
        <v>92</v>
      </c>
    </row>
    <row r="12753" spans="1:8" x14ac:dyDescent="0.25">
      <c r="A12753" t="s">
        <v>363</v>
      </c>
      <c r="B12753" t="s">
        <v>9957</v>
      </c>
      <c r="C12753" t="s">
        <v>88</v>
      </c>
      <c r="D12753" t="s">
        <v>88</v>
      </c>
      <c r="E12753" t="s">
        <v>655</v>
      </c>
      <c r="F12753" t="s">
        <v>88</v>
      </c>
      <c r="G12753" t="s">
        <v>88</v>
      </c>
      <c r="H12753" t="s">
        <v>92</v>
      </c>
    </row>
    <row r="12754" spans="1:8" x14ac:dyDescent="0.25">
      <c r="A12754" t="s">
        <v>363</v>
      </c>
      <c r="B12754" t="s">
        <v>9958</v>
      </c>
      <c r="C12754" t="s">
        <v>88</v>
      </c>
      <c r="D12754" t="s">
        <v>88</v>
      </c>
      <c r="E12754" t="s">
        <v>655</v>
      </c>
      <c r="F12754" t="s">
        <v>88</v>
      </c>
      <c r="G12754" t="s">
        <v>88</v>
      </c>
      <c r="H12754" t="s">
        <v>92</v>
      </c>
    </row>
    <row r="12755" spans="1:8" x14ac:dyDescent="0.25">
      <c r="A12755" t="s">
        <v>363</v>
      </c>
      <c r="B12755" t="s">
        <v>9959</v>
      </c>
      <c r="C12755" t="s">
        <v>88</v>
      </c>
      <c r="D12755" t="s">
        <v>9960</v>
      </c>
      <c r="E12755" t="s">
        <v>8631</v>
      </c>
      <c r="F12755" t="s">
        <v>88</v>
      </c>
      <c r="G12755" t="s">
        <v>88</v>
      </c>
      <c r="H12755" t="s">
        <v>92</v>
      </c>
    </row>
    <row r="12756" spans="1:8" x14ac:dyDescent="0.25">
      <c r="A12756" t="s">
        <v>363</v>
      </c>
      <c r="B12756" t="s">
        <v>9961</v>
      </c>
      <c r="C12756" t="s">
        <v>88</v>
      </c>
      <c r="D12756" t="s">
        <v>9962</v>
      </c>
      <c r="E12756" t="s">
        <v>8631</v>
      </c>
      <c r="F12756" t="s">
        <v>88</v>
      </c>
      <c r="G12756" t="s">
        <v>88</v>
      </c>
      <c r="H12756" t="s">
        <v>92</v>
      </c>
    </row>
    <row r="12757" spans="1:8" x14ac:dyDescent="0.25">
      <c r="A12757" t="s">
        <v>363</v>
      </c>
      <c r="B12757" t="s">
        <v>9963</v>
      </c>
      <c r="C12757" t="s">
        <v>88</v>
      </c>
      <c r="D12757" t="s">
        <v>9964</v>
      </c>
      <c r="E12757" t="s">
        <v>2235</v>
      </c>
      <c r="F12757" t="s">
        <v>88</v>
      </c>
      <c r="G12757" t="s">
        <v>88</v>
      </c>
      <c r="H12757" t="s">
        <v>92</v>
      </c>
    </row>
    <row r="12758" spans="1:8" x14ac:dyDescent="0.25">
      <c r="A12758" t="s">
        <v>363</v>
      </c>
      <c r="B12758" t="s">
        <v>9965</v>
      </c>
      <c r="C12758" t="s">
        <v>88</v>
      </c>
      <c r="D12758" t="s">
        <v>9966</v>
      </c>
      <c r="E12758" t="s">
        <v>2235</v>
      </c>
      <c r="F12758" t="s">
        <v>88</v>
      </c>
      <c r="G12758" t="s">
        <v>88</v>
      </c>
      <c r="H12758" t="s">
        <v>92</v>
      </c>
    </row>
    <row r="12759" spans="1:8" x14ac:dyDescent="0.25">
      <c r="A12759" t="s">
        <v>363</v>
      </c>
      <c r="B12759" t="s">
        <v>9967</v>
      </c>
      <c r="C12759" t="s">
        <v>88</v>
      </c>
      <c r="D12759" t="s">
        <v>9968</v>
      </c>
      <c r="E12759" t="s">
        <v>2235</v>
      </c>
      <c r="F12759" t="s">
        <v>88</v>
      </c>
      <c r="G12759" t="s">
        <v>88</v>
      </c>
      <c r="H12759" t="s">
        <v>92</v>
      </c>
    </row>
    <row r="12760" spans="1:8" x14ac:dyDescent="0.25">
      <c r="A12760" t="s">
        <v>363</v>
      </c>
      <c r="B12760" t="s">
        <v>9969</v>
      </c>
      <c r="C12760" t="s">
        <v>88</v>
      </c>
      <c r="D12760" t="s">
        <v>9970</v>
      </c>
      <c r="E12760" t="s">
        <v>629</v>
      </c>
      <c r="F12760" t="s">
        <v>88</v>
      </c>
      <c r="G12760" t="s">
        <v>88</v>
      </c>
      <c r="H12760" t="s">
        <v>92</v>
      </c>
    </row>
    <row r="12761" spans="1:8" x14ac:dyDescent="0.25">
      <c r="A12761" t="s">
        <v>363</v>
      </c>
      <c r="B12761" t="s">
        <v>9971</v>
      </c>
      <c r="C12761" t="s">
        <v>88</v>
      </c>
      <c r="D12761" t="s">
        <v>9972</v>
      </c>
      <c r="E12761" t="s">
        <v>2235</v>
      </c>
      <c r="F12761" t="s">
        <v>88</v>
      </c>
      <c r="G12761" t="s">
        <v>88</v>
      </c>
      <c r="H12761" t="s">
        <v>92</v>
      </c>
    </row>
    <row r="12762" spans="1:8" x14ac:dyDescent="0.25">
      <c r="A12762" t="s">
        <v>363</v>
      </c>
      <c r="B12762" t="s">
        <v>9973</v>
      </c>
      <c r="C12762" t="s">
        <v>88</v>
      </c>
      <c r="D12762" t="s">
        <v>9974</v>
      </c>
      <c r="E12762" t="s">
        <v>629</v>
      </c>
      <c r="F12762" t="s">
        <v>88</v>
      </c>
      <c r="G12762" t="s">
        <v>88</v>
      </c>
      <c r="H12762" t="s">
        <v>92</v>
      </c>
    </row>
    <row r="12763" spans="1:8" x14ac:dyDescent="0.25">
      <c r="A12763" t="s">
        <v>363</v>
      </c>
      <c r="B12763" t="s">
        <v>9975</v>
      </c>
      <c r="C12763" t="s">
        <v>88</v>
      </c>
      <c r="D12763" t="s">
        <v>9976</v>
      </c>
      <c r="E12763" t="s">
        <v>629</v>
      </c>
      <c r="F12763" t="s">
        <v>88</v>
      </c>
      <c r="G12763" t="s">
        <v>88</v>
      </c>
      <c r="H12763" t="s">
        <v>92</v>
      </c>
    </row>
    <row r="12764" spans="1:8" x14ac:dyDescent="0.25">
      <c r="A12764" t="s">
        <v>363</v>
      </c>
      <c r="B12764" t="s">
        <v>9977</v>
      </c>
      <c r="C12764" t="s">
        <v>88</v>
      </c>
      <c r="D12764" t="s">
        <v>9978</v>
      </c>
      <c r="E12764" t="s">
        <v>629</v>
      </c>
      <c r="F12764" t="s">
        <v>88</v>
      </c>
      <c r="G12764" t="s">
        <v>88</v>
      </c>
      <c r="H12764" t="s">
        <v>92</v>
      </c>
    </row>
    <row r="12765" spans="1:8" x14ac:dyDescent="0.25">
      <c r="A12765" t="s">
        <v>363</v>
      </c>
      <c r="B12765" t="s">
        <v>9979</v>
      </c>
      <c r="C12765" t="s">
        <v>88</v>
      </c>
      <c r="D12765" t="s">
        <v>9980</v>
      </c>
      <c r="E12765" t="s">
        <v>629</v>
      </c>
      <c r="F12765" t="s">
        <v>88</v>
      </c>
      <c r="G12765" t="s">
        <v>88</v>
      </c>
      <c r="H12765" t="s">
        <v>92</v>
      </c>
    </row>
    <row r="12766" spans="1:8" x14ac:dyDescent="0.25">
      <c r="A12766" t="s">
        <v>363</v>
      </c>
      <c r="B12766" t="s">
        <v>9981</v>
      </c>
      <c r="C12766" t="s">
        <v>88</v>
      </c>
      <c r="D12766" t="s">
        <v>9982</v>
      </c>
      <c r="E12766" t="s">
        <v>2235</v>
      </c>
      <c r="F12766" t="s">
        <v>88</v>
      </c>
      <c r="G12766" t="s">
        <v>88</v>
      </c>
      <c r="H12766" t="s">
        <v>92</v>
      </c>
    </row>
    <row r="12767" spans="1:8" x14ac:dyDescent="0.25">
      <c r="A12767" t="s">
        <v>363</v>
      </c>
      <c r="B12767" t="s">
        <v>9983</v>
      </c>
      <c r="C12767" t="s">
        <v>88</v>
      </c>
      <c r="D12767" t="s">
        <v>9984</v>
      </c>
      <c r="E12767" t="s">
        <v>2235</v>
      </c>
      <c r="F12767" t="s">
        <v>88</v>
      </c>
      <c r="G12767" t="s">
        <v>88</v>
      </c>
      <c r="H12767" t="s">
        <v>92</v>
      </c>
    </row>
    <row r="12768" spans="1:8" x14ac:dyDescent="0.25">
      <c r="A12768" t="s">
        <v>363</v>
      </c>
      <c r="B12768" t="s">
        <v>9985</v>
      </c>
      <c r="C12768" t="s">
        <v>88</v>
      </c>
      <c r="D12768" t="s">
        <v>9984</v>
      </c>
      <c r="E12768" t="s">
        <v>2235</v>
      </c>
      <c r="F12768" t="s">
        <v>88</v>
      </c>
      <c r="G12768" t="s">
        <v>88</v>
      </c>
      <c r="H12768" t="s">
        <v>92</v>
      </c>
    </row>
    <row r="12769" spans="1:8" x14ac:dyDescent="0.25">
      <c r="A12769" t="s">
        <v>363</v>
      </c>
      <c r="B12769" t="s">
        <v>9986</v>
      </c>
      <c r="C12769" t="s">
        <v>88</v>
      </c>
      <c r="D12769" t="s">
        <v>9987</v>
      </c>
      <c r="E12769" t="s">
        <v>9988</v>
      </c>
      <c r="F12769" t="s">
        <v>88</v>
      </c>
      <c r="G12769" t="s">
        <v>88</v>
      </c>
      <c r="H12769" t="s">
        <v>92</v>
      </c>
    </row>
    <row r="12770" spans="1:8" x14ac:dyDescent="0.25">
      <c r="A12770" t="s">
        <v>363</v>
      </c>
      <c r="B12770" t="s">
        <v>9989</v>
      </c>
      <c r="C12770" t="s">
        <v>88</v>
      </c>
      <c r="D12770" t="s">
        <v>9990</v>
      </c>
      <c r="E12770" t="s">
        <v>9988</v>
      </c>
      <c r="F12770" t="s">
        <v>88</v>
      </c>
      <c r="G12770" t="s">
        <v>88</v>
      </c>
      <c r="H12770" t="s">
        <v>92</v>
      </c>
    </row>
    <row r="12771" spans="1:8" x14ac:dyDescent="0.25">
      <c r="A12771" t="s">
        <v>363</v>
      </c>
      <c r="B12771" t="s">
        <v>9991</v>
      </c>
      <c r="C12771" t="s">
        <v>88</v>
      </c>
      <c r="D12771" t="s">
        <v>9992</v>
      </c>
      <c r="E12771" t="s">
        <v>9988</v>
      </c>
      <c r="F12771" t="s">
        <v>88</v>
      </c>
      <c r="G12771" t="s">
        <v>88</v>
      </c>
      <c r="H12771" t="s">
        <v>92</v>
      </c>
    </row>
    <row r="12772" spans="1:8" x14ac:dyDescent="0.25">
      <c r="A12772" t="s">
        <v>363</v>
      </c>
      <c r="B12772" t="s">
        <v>9993</v>
      </c>
      <c r="C12772" t="s">
        <v>88</v>
      </c>
      <c r="D12772" t="s">
        <v>9994</v>
      </c>
      <c r="E12772" t="s">
        <v>9988</v>
      </c>
      <c r="F12772" t="s">
        <v>88</v>
      </c>
      <c r="G12772" t="s">
        <v>88</v>
      </c>
      <c r="H12772" t="s">
        <v>92</v>
      </c>
    </row>
    <row r="12773" spans="1:8" x14ac:dyDescent="0.25">
      <c r="A12773" t="s">
        <v>363</v>
      </c>
      <c r="B12773" t="s">
        <v>9995</v>
      </c>
      <c r="C12773" t="s">
        <v>88</v>
      </c>
      <c r="D12773" t="s">
        <v>9996</v>
      </c>
      <c r="E12773" t="s">
        <v>1139</v>
      </c>
      <c r="F12773" t="s">
        <v>88</v>
      </c>
      <c r="G12773" t="s">
        <v>88</v>
      </c>
      <c r="H12773" t="s">
        <v>92</v>
      </c>
    </row>
    <row r="12774" spans="1:8" x14ac:dyDescent="0.25">
      <c r="A12774" t="s">
        <v>363</v>
      </c>
      <c r="B12774" t="s">
        <v>9997</v>
      </c>
      <c r="C12774" t="s">
        <v>88</v>
      </c>
      <c r="D12774" t="s">
        <v>9998</v>
      </c>
      <c r="E12774" t="s">
        <v>1139</v>
      </c>
      <c r="F12774" t="s">
        <v>88</v>
      </c>
      <c r="G12774" t="s">
        <v>88</v>
      </c>
      <c r="H12774" t="s">
        <v>92</v>
      </c>
    </row>
    <row r="12775" spans="1:8" x14ac:dyDescent="0.25">
      <c r="A12775" t="s">
        <v>363</v>
      </c>
      <c r="B12775" t="s">
        <v>9999</v>
      </c>
      <c r="C12775" t="s">
        <v>88</v>
      </c>
      <c r="D12775" t="s">
        <v>10000</v>
      </c>
      <c r="E12775" t="s">
        <v>1139</v>
      </c>
      <c r="F12775" t="s">
        <v>88</v>
      </c>
      <c r="G12775" t="s">
        <v>88</v>
      </c>
      <c r="H12775" t="s">
        <v>92</v>
      </c>
    </row>
    <row r="12776" spans="1:8" x14ac:dyDescent="0.25">
      <c r="A12776" t="s">
        <v>363</v>
      </c>
      <c r="B12776" t="s">
        <v>10001</v>
      </c>
      <c r="C12776" t="s">
        <v>88</v>
      </c>
      <c r="D12776" t="s">
        <v>10002</v>
      </c>
      <c r="E12776" t="s">
        <v>1139</v>
      </c>
      <c r="F12776" t="s">
        <v>88</v>
      </c>
      <c r="G12776" t="s">
        <v>88</v>
      </c>
      <c r="H12776" t="s">
        <v>92</v>
      </c>
    </row>
    <row r="12777" spans="1:8" x14ac:dyDescent="0.25">
      <c r="A12777" t="s">
        <v>363</v>
      </c>
      <c r="B12777" t="s">
        <v>10003</v>
      </c>
      <c r="C12777" t="s">
        <v>88</v>
      </c>
      <c r="D12777" t="s">
        <v>10004</v>
      </c>
      <c r="E12777" t="s">
        <v>1139</v>
      </c>
      <c r="F12777" t="s">
        <v>88</v>
      </c>
      <c r="G12777" t="s">
        <v>88</v>
      </c>
      <c r="H12777" t="s">
        <v>92</v>
      </c>
    </row>
    <row r="12778" spans="1:8" x14ac:dyDescent="0.25">
      <c r="A12778" t="s">
        <v>363</v>
      </c>
      <c r="B12778" t="s">
        <v>10005</v>
      </c>
      <c r="C12778" t="s">
        <v>88</v>
      </c>
      <c r="D12778" t="s">
        <v>10006</v>
      </c>
      <c r="E12778" t="s">
        <v>1139</v>
      </c>
      <c r="F12778" t="s">
        <v>88</v>
      </c>
      <c r="G12778" t="s">
        <v>88</v>
      </c>
      <c r="H12778" t="s">
        <v>92</v>
      </c>
    </row>
    <row r="12779" spans="1:8" x14ac:dyDescent="0.25">
      <c r="A12779" t="s">
        <v>363</v>
      </c>
      <c r="B12779" t="s">
        <v>10007</v>
      </c>
      <c r="C12779" t="s">
        <v>88</v>
      </c>
      <c r="D12779" t="s">
        <v>10008</v>
      </c>
      <c r="E12779" t="s">
        <v>1139</v>
      </c>
      <c r="F12779" t="s">
        <v>88</v>
      </c>
      <c r="G12779" t="s">
        <v>88</v>
      </c>
      <c r="H12779" t="s">
        <v>92</v>
      </c>
    </row>
    <row r="12780" spans="1:8" x14ac:dyDescent="0.25">
      <c r="A12780" t="s">
        <v>363</v>
      </c>
      <c r="B12780" t="s">
        <v>10009</v>
      </c>
      <c r="C12780" t="s">
        <v>88</v>
      </c>
      <c r="D12780" t="s">
        <v>10010</v>
      </c>
      <c r="E12780" t="s">
        <v>886</v>
      </c>
      <c r="F12780" t="s">
        <v>88</v>
      </c>
      <c r="G12780" t="s">
        <v>88</v>
      </c>
      <c r="H12780" t="s">
        <v>92</v>
      </c>
    </row>
    <row r="12781" spans="1:8" x14ac:dyDescent="0.25">
      <c r="A12781" t="s">
        <v>363</v>
      </c>
      <c r="B12781" t="s">
        <v>10011</v>
      </c>
      <c r="C12781" t="s">
        <v>88</v>
      </c>
      <c r="D12781" t="s">
        <v>10012</v>
      </c>
      <c r="E12781" t="s">
        <v>886</v>
      </c>
      <c r="F12781" t="s">
        <v>88</v>
      </c>
      <c r="G12781" t="s">
        <v>88</v>
      </c>
      <c r="H12781" t="s">
        <v>92</v>
      </c>
    </row>
    <row r="12782" spans="1:8" x14ac:dyDescent="0.25">
      <c r="A12782" t="s">
        <v>363</v>
      </c>
      <c r="B12782" t="s">
        <v>10013</v>
      </c>
      <c r="C12782" t="s">
        <v>88</v>
      </c>
      <c r="D12782" t="s">
        <v>10014</v>
      </c>
      <c r="E12782" t="s">
        <v>2478</v>
      </c>
      <c r="F12782" t="s">
        <v>88</v>
      </c>
      <c r="G12782" t="s">
        <v>88</v>
      </c>
      <c r="H12782" t="s">
        <v>92</v>
      </c>
    </row>
    <row r="12783" spans="1:8" x14ac:dyDescent="0.25">
      <c r="A12783" t="s">
        <v>363</v>
      </c>
      <c r="B12783" t="s">
        <v>10015</v>
      </c>
      <c r="C12783" t="s">
        <v>88</v>
      </c>
      <c r="D12783" t="s">
        <v>10016</v>
      </c>
      <c r="E12783" t="s">
        <v>2478</v>
      </c>
      <c r="F12783" t="s">
        <v>88</v>
      </c>
      <c r="G12783" t="s">
        <v>88</v>
      </c>
      <c r="H12783" t="s">
        <v>92</v>
      </c>
    </row>
    <row r="12784" spans="1:8" x14ac:dyDescent="0.25">
      <c r="A12784" t="s">
        <v>363</v>
      </c>
      <c r="B12784" t="s">
        <v>10017</v>
      </c>
      <c r="C12784" t="s">
        <v>88</v>
      </c>
      <c r="D12784" t="s">
        <v>10018</v>
      </c>
      <c r="E12784" t="s">
        <v>2478</v>
      </c>
      <c r="F12784" t="s">
        <v>88</v>
      </c>
      <c r="G12784" t="s">
        <v>88</v>
      </c>
      <c r="H12784" t="s">
        <v>92</v>
      </c>
    </row>
    <row r="12785" spans="1:8" x14ac:dyDescent="0.25">
      <c r="A12785" t="s">
        <v>363</v>
      </c>
      <c r="B12785" t="s">
        <v>10019</v>
      </c>
      <c r="C12785" t="s">
        <v>88</v>
      </c>
      <c r="D12785" t="s">
        <v>10020</v>
      </c>
      <c r="E12785" t="s">
        <v>2478</v>
      </c>
      <c r="F12785" t="s">
        <v>88</v>
      </c>
      <c r="G12785" t="s">
        <v>88</v>
      </c>
      <c r="H12785" t="s">
        <v>92</v>
      </c>
    </row>
    <row r="12786" spans="1:8" x14ac:dyDescent="0.25">
      <c r="A12786" t="s">
        <v>363</v>
      </c>
      <c r="B12786" t="s">
        <v>10021</v>
      </c>
      <c r="C12786" t="s">
        <v>88</v>
      </c>
      <c r="D12786" t="s">
        <v>10022</v>
      </c>
      <c r="E12786" t="s">
        <v>10023</v>
      </c>
      <c r="F12786" t="s">
        <v>88</v>
      </c>
      <c r="G12786" t="s">
        <v>88</v>
      </c>
      <c r="H12786" t="s">
        <v>92</v>
      </c>
    </row>
    <row r="12787" spans="1:8" x14ac:dyDescent="0.25">
      <c r="A12787" t="s">
        <v>363</v>
      </c>
      <c r="B12787" t="s">
        <v>10024</v>
      </c>
      <c r="C12787" t="s">
        <v>88</v>
      </c>
      <c r="D12787" t="s">
        <v>10025</v>
      </c>
      <c r="E12787" t="s">
        <v>10023</v>
      </c>
      <c r="F12787" t="s">
        <v>88</v>
      </c>
      <c r="G12787" t="s">
        <v>88</v>
      </c>
      <c r="H12787" t="s">
        <v>92</v>
      </c>
    </row>
    <row r="12788" spans="1:8" x14ac:dyDescent="0.25">
      <c r="A12788" t="s">
        <v>363</v>
      </c>
      <c r="B12788" t="s">
        <v>8396</v>
      </c>
      <c r="C12788" t="s">
        <v>88</v>
      </c>
      <c r="D12788" t="s">
        <v>10026</v>
      </c>
      <c r="E12788" t="s">
        <v>10027</v>
      </c>
      <c r="F12788" t="s">
        <v>88</v>
      </c>
      <c r="G12788" t="s">
        <v>88</v>
      </c>
      <c r="H12788" t="s">
        <v>92</v>
      </c>
    </row>
    <row r="12789" spans="1:8" x14ac:dyDescent="0.25">
      <c r="A12789" t="s">
        <v>363</v>
      </c>
      <c r="B12789" t="s">
        <v>10028</v>
      </c>
      <c r="C12789" t="s">
        <v>88</v>
      </c>
      <c r="D12789" t="s">
        <v>10029</v>
      </c>
      <c r="E12789" t="s">
        <v>10027</v>
      </c>
      <c r="F12789" t="s">
        <v>88</v>
      </c>
      <c r="G12789" t="s">
        <v>88</v>
      </c>
      <c r="H12789" t="s">
        <v>92</v>
      </c>
    </row>
    <row r="12790" spans="1:8" x14ac:dyDescent="0.25">
      <c r="A12790" t="s">
        <v>363</v>
      </c>
      <c r="B12790" t="s">
        <v>10030</v>
      </c>
      <c r="C12790" t="s">
        <v>88</v>
      </c>
      <c r="D12790" t="s">
        <v>10031</v>
      </c>
      <c r="E12790" t="s">
        <v>7229</v>
      </c>
      <c r="F12790" t="s">
        <v>88</v>
      </c>
      <c r="G12790" t="s">
        <v>88</v>
      </c>
      <c r="H12790" t="s">
        <v>92</v>
      </c>
    </row>
    <row r="12791" spans="1:8" x14ac:dyDescent="0.25">
      <c r="A12791" t="s">
        <v>363</v>
      </c>
      <c r="B12791" t="s">
        <v>10032</v>
      </c>
      <c r="C12791" t="s">
        <v>88</v>
      </c>
      <c r="D12791" t="s">
        <v>10033</v>
      </c>
      <c r="E12791" t="s">
        <v>7229</v>
      </c>
      <c r="F12791" t="s">
        <v>88</v>
      </c>
      <c r="G12791" t="s">
        <v>88</v>
      </c>
      <c r="H12791" t="s">
        <v>92</v>
      </c>
    </row>
    <row r="12792" spans="1:8" x14ac:dyDescent="0.25">
      <c r="A12792" t="s">
        <v>363</v>
      </c>
      <c r="B12792" t="s">
        <v>8556</v>
      </c>
      <c r="C12792" t="s">
        <v>88</v>
      </c>
      <c r="D12792" t="s">
        <v>10034</v>
      </c>
      <c r="E12792" t="s">
        <v>5985</v>
      </c>
      <c r="F12792" t="s">
        <v>88</v>
      </c>
      <c r="G12792" t="s">
        <v>88</v>
      </c>
      <c r="H12792" t="s">
        <v>92</v>
      </c>
    </row>
    <row r="12793" spans="1:8" x14ac:dyDescent="0.25">
      <c r="A12793" t="s">
        <v>363</v>
      </c>
      <c r="B12793" t="s">
        <v>8575</v>
      </c>
      <c r="C12793" t="s">
        <v>88</v>
      </c>
      <c r="D12793" t="s">
        <v>10035</v>
      </c>
      <c r="E12793" t="s">
        <v>5985</v>
      </c>
      <c r="F12793" t="s">
        <v>88</v>
      </c>
      <c r="G12793" t="s">
        <v>88</v>
      </c>
      <c r="H12793" t="s">
        <v>92</v>
      </c>
    </row>
    <row r="12794" spans="1:8" x14ac:dyDescent="0.25">
      <c r="A12794" t="s">
        <v>363</v>
      </c>
      <c r="B12794" t="s">
        <v>10036</v>
      </c>
      <c r="C12794" t="s">
        <v>88</v>
      </c>
      <c r="D12794" t="s">
        <v>10037</v>
      </c>
      <c r="E12794" t="s">
        <v>723</v>
      </c>
      <c r="F12794" t="s">
        <v>88</v>
      </c>
      <c r="G12794" t="s">
        <v>88</v>
      </c>
      <c r="H12794" t="s">
        <v>92</v>
      </c>
    </row>
    <row r="12795" spans="1:8" x14ac:dyDescent="0.25">
      <c r="A12795" t="s">
        <v>363</v>
      </c>
      <c r="B12795" t="s">
        <v>10038</v>
      </c>
      <c r="C12795" t="s">
        <v>88</v>
      </c>
      <c r="D12795" t="s">
        <v>10039</v>
      </c>
      <c r="E12795" t="s">
        <v>723</v>
      </c>
      <c r="F12795" t="s">
        <v>88</v>
      </c>
      <c r="G12795" t="s">
        <v>88</v>
      </c>
      <c r="H12795" t="s">
        <v>92</v>
      </c>
    </row>
    <row r="12796" spans="1:8" x14ac:dyDescent="0.25">
      <c r="A12796" t="s">
        <v>363</v>
      </c>
      <c r="B12796" t="s">
        <v>10040</v>
      </c>
      <c r="C12796" t="s">
        <v>88</v>
      </c>
      <c r="D12796" t="s">
        <v>10041</v>
      </c>
      <c r="E12796" t="s">
        <v>721</v>
      </c>
      <c r="F12796" t="s">
        <v>88</v>
      </c>
      <c r="G12796" t="s">
        <v>88</v>
      </c>
      <c r="H12796" t="s">
        <v>92</v>
      </c>
    </row>
    <row r="12797" spans="1:8" x14ac:dyDescent="0.25">
      <c r="A12797" t="s">
        <v>363</v>
      </c>
      <c r="B12797" t="s">
        <v>10042</v>
      </c>
      <c r="C12797" t="s">
        <v>88</v>
      </c>
      <c r="D12797" t="s">
        <v>10043</v>
      </c>
      <c r="E12797" t="s">
        <v>2513</v>
      </c>
      <c r="F12797" t="s">
        <v>88</v>
      </c>
      <c r="G12797" t="s">
        <v>88</v>
      </c>
      <c r="H12797" t="s">
        <v>92</v>
      </c>
    </row>
    <row r="12798" spans="1:8" x14ac:dyDescent="0.25">
      <c r="A12798" t="s">
        <v>363</v>
      </c>
      <c r="B12798" t="s">
        <v>10044</v>
      </c>
      <c r="C12798" t="s">
        <v>88</v>
      </c>
      <c r="D12798" t="s">
        <v>10045</v>
      </c>
      <c r="E12798" t="s">
        <v>2513</v>
      </c>
      <c r="F12798" t="s">
        <v>88</v>
      </c>
      <c r="G12798" t="s">
        <v>88</v>
      </c>
      <c r="H12798" t="s">
        <v>92</v>
      </c>
    </row>
    <row r="12799" spans="1:8" x14ac:dyDescent="0.25">
      <c r="A12799" t="s">
        <v>363</v>
      </c>
      <c r="B12799" t="s">
        <v>5519</v>
      </c>
      <c r="C12799" t="s">
        <v>88</v>
      </c>
      <c r="D12799" t="s">
        <v>10046</v>
      </c>
      <c r="E12799" t="s">
        <v>937</v>
      </c>
      <c r="F12799" t="s">
        <v>88</v>
      </c>
      <c r="G12799" t="s">
        <v>88</v>
      </c>
      <c r="H12799" t="s">
        <v>92</v>
      </c>
    </row>
    <row r="12800" spans="1:8" x14ac:dyDescent="0.25">
      <c r="A12800" t="s">
        <v>363</v>
      </c>
      <c r="B12800" t="s">
        <v>10047</v>
      </c>
      <c r="C12800" t="s">
        <v>88</v>
      </c>
      <c r="D12800" t="s">
        <v>10048</v>
      </c>
      <c r="E12800" t="s">
        <v>10049</v>
      </c>
      <c r="F12800" t="s">
        <v>88</v>
      </c>
      <c r="G12800" t="s">
        <v>88</v>
      </c>
      <c r="H12800" t="s">
        <v>92</v>
      </c>
    </row>
    <row r="12801" spans="1:8" x14ac:dyDescent="0.25">
      <c r="A12801" t="s">
        <v>363</v>
      </c>
      <c r="B12801" t="s">
        <v>8370</v>
      </c>
      <c r="C12801" t="s">
        <v>88</v>
      </c>
      <c r="D12801" t="s">
        <v>10050</v>
      </c>
      <c r="E12801" t="s">
        <v>9988</v>
      </c>
      <c r="F12801" t="s">
        <v>88</v>
      </c>
      <c r="G12801" t="s">
        <v>88</v>
      </c>
      <c r="H12801" t="s">
        <v>92</v>
      </c>
    </row>
    <row r="12802" spans="1:8" x14ac:dyDescent="0.25">
      <c r="A12802" t="s">
        <v>363</v>
      </c>
      <c r="B12802" t="s">
        <v>10051</v>
      </c>
      <c r="C12802" t="s">
        <v>88</v>
      </c>
      <c r="D12802" t="s">
        <v>10052</v>
      </c>
      <c r="E12802" t="s">
        <v>9988</v>
      </c>
      <c r="F12802" t="s">
        <v>88</v>
      </c>
      <c r="G12802" t="s">
        <v>88</v>
      </c>
      <c r="H12802" t="s">
        <v>92</v>
      </c>
    </row>
    <row r="12803" spans="1:8" x14ac:dyDescent="0.25">
      <c r="A12803" t="s">
        <v>363</v>
      </c>
      <c r="B12803" t="s">
        <v>10053</v>
      </c>
      <c r="C12803" t="s">
        <v>88</v>
      </c>
      <c r="D12803" t="s">
        <v>10054</v>
      </c>
      <c r="E12803" t="s">
        <v>2481</v>
      </c>
      <c r="F12803" t="s">
        <v>88</v>
      </c>
      <c r="G12803" t="s">
        <v>88</v>
      </c>
      <c r="H12803" t="s">
        <v>92</v>
      </c>
    </row>
    <row r="12804" spans="1:8" x14ac:dyDescent="0.25">
      <c r="A12804" t="s">
        <v>363</v>
      </c>
      <c r="B12804" t="s">
        <v>10055</v>
      </c>
      <c r="C12804" t="s">
        <v>88</v>
      </c>
      <c r="D12804" t="s">
        <v>10056</v>
      </c>
      <c r="E12804" t="s">
        <v>10057</v>
      </c>
      <c r="F12804" t="s">
        <v>88</v>
      </c>
      <c r="G12804" t="s">
        <v>88</v>
      </c>
      <c r="H12804" t="s">
        <v>92</v>
      </c>
    </row>
    <row r="12805" spans="1:8" x14ac:dyDescent="0.25">
      <c r="A12805" t="s">
        <v>363</v>
      </c>
      <c r="B12805" t="s">
        <v>10058</v>
      </c>
      <c r="C12805" t="s">
        <v>88</v>
      </c>
      <c r="D12805" t="s">
        <v>10059</v>
      </c>
      <c r="E12805" t="s">
        <v>10057</v>
      </c>
      <c r="F12805" t="s">
        <v>88</v>
      </c>
      <c r="G12805" t="s">
        <v>88</v>
      </c>
      <c r="H12805" t="s">
        <v>92</v>
      </c>
    </row>
    <row r="12806" spans="1:8" x14ac:dyDescent="0.25">
      <c r="A12806" t="s">
        <v>363</v>
      </c>
      <c r="B12806" t="s">
        <v>10060</v>
      </c>
      <c r="C12806" t="s">
        <v>88</v>
      </c>
      <c r="D12806" t="s">
        <v>10061</v>
      </c>
      <c r="E12806" t="s">
        <v>10057</v>
      </c>
      <c r="F12806" t="s">
        <v>88</v>
      </c>
      <c r="G12806" t="s">
        <v>88</v>
      </c>
      <c r="H12806" t="s">
        <v>92</v>
      </c>
    </row>
    <row r="12807" spans="1:8" x14ac:dyDescent="0.25">
      <c r="A12807" t="s">
        <v>363</v>
      </c>
      <c r="B12807" t="s">
        <v>10062</v>
      </c>
      <c r="C12807" t="s">
        <v>88</v>
      </c>
      <c r="D12807" t="s">
        <v>10063</v>
      </c>
      <c r="E12807" t="s">
        <v>10057</v>
      </c>
      <c r="F12807" t="s">
        <v>88</v>
      </c>
      <c r="G12807" t="s">
        <v>88</v>
      </c>
      <c r="H12807" t="s">
        <v>92</v>
      </c>
    </row>
    <row r="12808" spans="1:8" x14ac:dyDescent="0.25">
      <c r="A12808" t="s">
        <v>363</v>
      </c>
      <c r="B12808" t="s">
        <v>10064</v>
      </c>
      <c r="C12808" t="s">
        <v>88</v>
      </c>
      <c r="D12808" t="s">
        <v>10065</v>
      </c>
      <c r="E12808" t="s">
        <v>1139</v>
      </c>
      <c r="F12808" t="s">
        <v>88</v>
      </c>
      <c r="G12808" t="s">
        <v>88</v>
      </c>
      <c r="H12808" t="s">
        <v>92</v>
      </c>
    </row>
    <row r="12809" spans="1:8" x14ac:dyDescent="0.25">
      <c r="A12809" t="s">
        <v>363</v>
      </c>
      <c r="B12809" t="s">
        <v>10066</v>
      </c>
      <c r="C12809" t="s">
        <v>88</v>
      </c>
      <c r="D12809" t="s">
        <v>10067</v>
      </c>
      <c r="E12809" t="s">
        <v>10068</v>
      </c>
      <c r="F12809" t="s">
        <v>88</v>
      </c>
      <c r="G12809" t="s">
        <v>88</v>
      </c>
      <c r="H12809" t="s">
        <v>92</v>
      </c>
    </row>
    <row r="12810" spans="1:8" x14ac:dyDescent="0.25">
      <c r="A12810" t="s">
        <v>363</v>
      </c>
      <c r="B12810" t="s">
        <v>10069</v>
      </c>
      <c r="C12810" t="s">
        <v>88</v>
      </c>
      <c r="D12810" t="s">
        <v>10070</v>
      </c>
      <c r="E12810" t="s">
        <v>1139</v>
      </c>
      <c r="F12810" t="s">
        <v>88</v>
      </c>
      <c r="G12810" t="s">
        <v>88</v>
      </c>
      <c r="H12810" t="s">
        <v>92</v>
      </c>
    </row>
    <row r="12811" spans="1:8" x14ac:dyDescent="0.25">
      <c r="A12811" t="s">
        <v>363</v>
      </c>
      <c r="B12811" t="s">
        <v>10071</v>
      </c>
      <c r="C12811" t="s">
        <v>88</v>
      </c>
      <c r="D12811" t="s">
        <v>10072</v>
      </c>
      <c r="E12811" t="s">
        <v>1139</v>
      </c>
      <c r="F12811" t="s">
        <v>88</v>
      </c>
      <c r="G12811" t="s">
        <v>88</v>
      </c>
      <c r="H12811" t="s">
        <v>92</v>
      </c>
    </row>
    <row r="12812" spans="1:8" x14ac:dyDescent="0.25">
      <c r="A12812" t="s">
        <v>363</v>
      </c>
      <c r="B12812" t="s">
        <v>10073</v>
      </c>
      <c r="C12812" t="s">
        <v>88</v>
      </c>
      <c r="D12812" t="s">
        <v>10074</v>
      </c>
      <c r="E12812" t="s">
        <v>2481</v>
      </c>
      <c r="F12812" t="s">
        <v>88</v>
      </c>
      <c r="G12812" t="s">
        <v>88</v>
      </c>
      <c r="H12812" t="s">
        <v>92</v>
      </c>
    </row>
    <row r="12813" spans="1:8" x14ac:dyDescent="0.25">
      <c r="A12813" t="s">
        <v>363</v>
      </c>
      <c r="B12813" t="s">
        <v>10075</v>
      </c>
      <c r="C12813" t="s">
        <v>88</v>
      </c>
      <c r="D12813" t="s">
        <v>10076</v>
      </c>
      <c r="E12813" t="s">
        <v>2481</v>
      </c>
      <c r="F12813" t="s">
        <v>88</v>
      </c>
      <c r="G12813" t="s">
        <v>88</v>
      </c>
      <c r="H12813" t="s">
        <v>92</v>
      </c>
    </row>
    <row r="12814" spans="1:8" x14ac:dyDescent="0.25">
      <c r="A12814" t="s">
        <v>363</v>
      </c>
      <c r="B12814" t="s">
        <v>10077</v>
      </c>
      <c r="C12814" t="s">
        <v>88</v>
      </c>
      <c r="D12814" t="s">
        <v>10078</v>
      </c>
      <c r="E12814" t="s">
        <v>10057</v>
      </c>
      <c r="F12814" t="s">
        <v>88</v>
      </c>
      <c r="G12814" t="s">
        <v>88</v>
      </c>
      <c r="H12814" t="s">
        <v>92</v>
      </c>
    </row>
    <row r="12815" spans="1:8" x14ac:dyDescent="0.25">
      <c r="A12815" t="s">
        <v>363</v>
      </c>
      <c r="B12815" t="s">
        <v>10079</v>
      </c>
      <c r="C12815" t="s">
        <v>88</v>
      </c>
      <c r="D12815" t="s">
        <v>10080</v>
      </c>
      <c r="E12815" t="s">
        <v>1139</v>
      </c>
      <c r="F12815" t="s">
        <v>88</v>
      </c>
      <c r="G12815" t="s">
        <v>88</v>
      </c>
      <c r="H12815" t="s">
        <v>92</v>
      </c>
    </row>
    <row r="12816" spans="1:8" x14ac:dyDescent="0.25">
      <c r="A12816" t="s">
        <v>363</v>
      </c>
      <c r="B12816" t="s">
        <v>10081</v>
      </c>
      <c r="C12816" t="s">
        <v>88</v>
      </c>
      <c r="D12816" t="s">
        <v>10082</v>
      </c>
      <c r="E12816" t="s">
        <v>1139</v>
      </c>
      <c r="F12816" t="s">
        <v>88</v>
      </c>
      <c r="G12816" t="s">
        <v>88</v>
      </c>
      <c r="H12816" t="s">
        <v>92</v>
      </c>
    </row>
    <row r="12817" spans="1:8" x14ac:dyDescent="0.25">
      <c r="A12817" t="s">
        <v>363</v>
      </c>
      <c r="B12817" t="s">
        <v>10083</v>
      </c>
      <c r="C12817" t="s">
        <v>88</v>
      </c>
      <c r="D12817" t="s">
        <v>10084</v>
      </c>
      <c r="E12817" t="s">
        <v>1139</v>
      </c>
      <c r="F12817" t="s">
        <v>88</v>
      </c>
      <c r="G12817" t="s">
        <v>88</v>
      </c>
      <c r="H12817" t="s">
        <v>92</v>
      </c>
    </row>
    <row r="12818" spans="1:8" x14ac:dyDescent="0.25">
      <c r="A12818" t="s">
        <v>363</v>
      </c>
      <c r="B12818" t="s">
        <v>10085</v>
      </c>
      <c r="C12818" t="s">
        <v>88</v>
      </c>
      <c r="D12818" t="s">
        <v>10086</v>
      </c>
      <c r="E12818" t="s">
        <v>1139</v>
      </c>
      <c r="F12818" t="s">
        <v>88</v>
      </c>
      <c r="G12818" t="s">
        <v>88</v>
      </c>
      <c r="H12818" t="s">
        <v>92</v>
      </c>
    </row>
    <row r="12819" spans="1:8" x14ac:dyDescent="0.25">
      <c r="A12819" t="s">
        <v>363</v>
      </c>
      <c r="B12819" t="s">
        <v>10087</v>
      </c>
      <c r="C12819" t="s">
        <v>88</v>
      </c>
      <c r="D12819" t="s">
        <v>10088</v>
      </c>
      <c r="E12819" t="s">
        <v>1139</v>
      </c>
      <c r="F12819" t="s">
        <v>88</v>
      </c>
      <c r="G12819" t="s">
        <v>88</v>
      </c>
      <c r="H12819" t="s">
        <v>92</v>
      </c>
    </row>
    <row r="12820" spans="1:8" x14ac:dyDescent="0.25">
      <c r="A12820" t="s">
        <v>363</v>
      </c>
      <c r="B12820" t="s">
        <v>10089</v>
      </c>
      <c r="C12820" t="s">
        <v>88</v>
      </c>
      <c r="D12820" t="s">
        <v>10090</v>
      </c>
      <c r="E12820" t="s">
        <v>10068</v>
      </c>
      <c r="F12820" t="s">
        <v>88</v>
      </c>
      <c r="G12820" t="s">
        <v>88</v>
      </c>
      <c r="H12820" t="s">
        <v>92</v>
      </c>
    </row>
    <row r="12821" spans="1:8" x14ac:dyDescent="0.25">
      <c r="A12821" t="s">
        <v>363</v>
      </c>
      <c r="B12821" t="s">
        <v>10091</v>
      </c>
      <c r="C12821" t="s">
        <v>88</v>
      </c>
      <c r="D12821" t="s">
        <v>10092</v>
      </c>
      <c r="E12821" t="s">
        <v>1139</v>
      </c>
      <c r="F12821" t="s">
        <v>88</v>
      </c>
      <c r="G12821" t="s">
        <v>88</v>
      </c>
      <c r="H12821" t="s">
        <v>92</v>
      </c>
    </row>
    <row r="12822" spans="1:8" x14ac:dyDescent="0.25">
      <c r="A12822" t="s">
        <v>363</v>
      </c>
      <c r="B12822" t="s">
        <v>10093</v>
      </c>
      <c r="C12822" t="s">
        <v>88</v>
      </c>
      <c r="D12822" t="s">
        <v>10094</v>
      </c>
      <c r="E12822" t="s">
        <v>10095</v>
      </c>
      <c r="F12822" t="s">
        <v>88</v>
      </c>
      <c r="G12822" t="s">
        <v>88</v>
      </c>
      <c r="H12822" t="s">
        <v>92</v>
      </c>
    </row>
    <row r="12823" spans="1:8" x14ac:dyDescent="0.25">
      <c r="A12823" t="s">
        <v>363</v>
      </c>
      <c r="B12823" t="s">
        <v>4462</v>
      </c>
      <c r="C12823" t="s">
        <v>88</v>
      </c>
      <c r="D12823" t="s">
        <v>10096</v>
      </c>
      <c r="E12823" t="s">
        <v>10097</v>
      </c>
      <c r="F12823" t="s">
        <v>88</v>
      </c>
      <c r="G12823" t="s">
        <v>88</v>
      </c>
      <c r="H12823" t="s">
        <v>92</v>
      </c>
    </row>
    <row r="12824" spans="1:8" x14ac:dyDescent="0.25">
      <c r="A12824" t="s">
        <v>363</v>
      </c>
      <c r="B12824" t="s">
        <v>5565</v>
      </c>
      <c r="C12824" t="s">
        <v>88</v>
      </c>
      <c r="D12824" t="s">
        <v>10098</v>
      </c>
      <c r="E12824" t="s">
        <v>6268</v>
      </c>
      <c r="F12824" t="s">
        <v>88</v>
      </c>
      <c r="G12824" t="s">
        <v>88</v>
      </c>
      <c r="H12824" t="s">
        <v>92</v>
      </c>
    </row>
    <row r="12825" spans="1:8" x14ac:dyDescent="0.25">
      <c r="A12825" t="s">
        <v>363</v>
      </c>
      <c r="B12825" t="s">
        <v>8508</v>
      </c>
      <c r="C12825" t="s">
        <v>88</v>
      </c>
      <c r="D12825" t="s">
        <v>10099</v>
      </c>
      <c r="E12825" t="s">
        <v>6650</v>
      </c>
      <c r="F12825" t="s">
        <v>88</v>
      </c>
      <c r="G12825" t="s">
        <v>88</v>
      </c>
      <c r="H12825" t="s">
        <v>92</v>
      </c>
    </row>
    <row r="12826" spans="1:8" x14ac:dyDescent="0.25">
      <c r="A12826" t="s">
        <v>363</v>
      </c>
      <c r="B12826" t="s">
        <v>10100</v>
      </c>
      <c r="C12826" t="s">
        <v>88</v>
      </c>
      <c r="D12826" t="s">
        <v>10101</v>
      </c>
      <c r="E12826" t="s">
        <v>2662</v>
      </c>
      <c r="F12826" t="s">
        <v>88</v>
      </c>
      <c r="G12826" t="s">
        <v>88</v>
      </c>
      <c r="H12826" t="s">
        <v>92</v>
      </c>
    </row>
    <row r="12827" spans="1:8" x14ac:dyDescent="0.25">
      <c r="A12827" t="s">
        <v>363</v>
      </c>
      <c r="B12827" t="s">
        <v>5567</v>
      </c>
      <c r="C12827" t="s">
        <v>88</v>
      </c>
      <c r="D12827" t="s">
        <v>10102</v>
      </c>
      <c r="E12827" t="s">
        <v>959</v>
      </c>
      <c r="F12827" t="s">
        <v>88</v>
      </c>
      <c r="G12827" t="s">
        <v>88</v>
      </c>
      <c r="H12827" t="s">
        <v>92</v>
      </c>
    </row>
    <row r="12828" spans="1:8" x14ac:dyDescent="0.25">
      <c r="A12828" t="s">
        <v>363</v>
      </c>
      <c r="B12828" t="s">
        <v>10103</v>
      </c>
      <c r="C12828" t="s">
        <v>88</v>
      </c>
      <c r="D12828" t="s">
        <v>10104</v>
      </c>
      <c r="E12828" t="s">
        <v>2478</v>
      </c>
      <c r="F12828" t="s">
        <v>88</v>
      </c>
      <c r="G12828" t="s">
        <v>88</v>
      </c>
      <c r="H12828" t="s">
        <v>92</v>
      </c>
    </row>
    <row r="12829" spans="1:8" x14ac:dyDescent="0.25">
      <c r="A12829" t="s">
        <v>363</v>
      </c>
      <c r="B12829" t="s">
        <v>10105</v>
      </c>
      <c r="C12829" t="s">
        <v>88</v>
      </c>
      <c r="D12829" t="s">
        <v>10106</v>
      </c>
      <c r="E12829" t="s">
        <v>937</v>
      </c>
      <c r="F12829" t="s">
        <v>88</v>
      </c>
      <c r="G12829" t="s">
        <v>88</v>
      </c>
      <c r="H12829" t="s">
        <v>92</v>
      </c>
    </row>
    <row r="12830" spans="1:8" x14ac:dyDescent="0.25">
      <c r="A12830" t="s">
        <v>363</v>
      </c>
      <c r="B12830" t="s">
        <v>10107</v>
      </c>
      <c r="C12830" t="s">
        <v>88</v>
      </c>
      <c r="D12830" t="s">
        <v>10108</v>
      </c>
      <c r="E12830" t="s">
        <v>2478</v>
      </c>
      <c r="F12830" t="s">
        <v>88</v>
      </c>
      <c r="G12830" t="s">
        <v>88</v>
      </c>
      <c r="H12830" t="s">
        <v>92</v>
      </c>
    </row>
    <row r="12831" spans="1:8" x14ac:dyDescent="0.25">
      <c r="A12831" t="s">
        <v>363</v>
      </c>
      <c r="B12831" t="s">
        <v>10109</v>
      </c>
      <c r="C12831" t="s">
        <v>88</v>
      </c>
      <c r="D12831" t="s">
        <v>10110</v>
      </c>
      <c r="E12831" t="s">
        <v>937</v>
      </c>
      <c r="F12831" t="s">
        <v>88</v>
      </c>
      <c r="G12831" t="s">
        <v>88</v>
      </c>
      <c r="H12831" t="s">
        <v>92</v>
      </c>
    </row>
    <row r="12832" spans="1:8" x14ac:dyDescent="0.25">
      <c r="A12832" t="s">
        <v>363</v>
      </c>
      <c r="B12832" t="s">
        <v>10111</v>
      </c>
      <c r="C12832" t="s">
        <v>88</v>
      </c>
      <c r="D12832" t="s">
        <v>10112</v>
      </c>
      <c r="E12832" t="s">
        <v>4085</v>
      </c>
      <c r="F12832" t="s">
        <v>88</v>
      </c>
      <c r="G12832" t="s">
        <v>88</v>
      </c>
      <c r="H12832" t="s">
        <v>92</v>
      </c>
    </row>
    <row r="12833" spans="1:8" x14ac:dyDescent="0.25">
      <c r="A12833" t="s">
        <v>363</v>
      </c>
      <c r="B12833" t="s">
        <v>10113</v>
      </c>
      <c r="C12833" t="s">
        <v>88</v>
      </c>
      <c r="D12833" t="s">
        <v>10114</v>
      </c>
      <c r="E12833" t="s">
        <v>1221</v>
      </c>
      <c r="F12833" t="s">
        <v>88</v>
      </c>
      <c r="G12833" t="s">
        <v>88</v>
      </c>
      <c r="H12833" t="s">
        <v>92</v>
      </c>
    </row>
    <row r="12834" spans="1:8" x14ac:dyDescent="0.25">
      <c r="A12834" t="s">
        <v>363</v>
      </c>
      <c r="B12834" t="s">
        <v>10115</v>
      </c>
      <c r="C12834" t="s">
        <v>88</v>
      </c>
      <c r="D12834" t="s">
        <v>10116</v>
      </c>
      <c r="E12834" t="s">
        <v>7229</v>
      </c>
      <c r="F12834" t="s">
        <v>88</v>
      </c>
      <c r="G12834" t="s">
        <v>88</v>
      </c>
      <c r="H12834" t="s">
        <v>92</v>
      </c>
    </row>
    <row r="12835" spans="1:8" x14ac:dyDescent="0.25">
      <c r="A12835" t="s">
        <v>363</v>
      </c>
      <c r="B12835" t="s">
        <v>10117</v>
      </c>
      <c r="C12835" t="s">
        <v>88</v>
      </c>
      <c r="D12835" t="s">
        <v>10118</v>
      </c>
      <c r="E12835" t="s">
        <v>10119</v>
      </c>
      <c r="F12835" t="s">
        <v>88</v>
      </c>
      <c r="G12835" t="s">
        <v>88</v>
      </c>
      <c r="H12835" t="s">
        <v>92</v>
      </c>
    </row>
    <row r="12836" spans="1:8" x14ac:dyDescent="0.25">
      <c r="A12836" t="s">
        <v>363</v>
      </c>
      <c r="B12836" t="s">
        <v>10120</v>
      </c>
      <c r="C12836" t="s">
        <v>88</v>
      </c>
      <c r="D12836" t="s">
        <v>10121</v>
      </c>
      <c r="E12836" t="s">
        <v>1377</v>
      </c>
      <c r="F12836" t="s">
        <v>88</v>
      </c>
      <c r="G12836" t="s">
        <v>88</v>
      </c>
      <c r="H12836" t="s">
        <v>92</v>
      </c>
    </row>
    <row r="12837" spans="1:8" x14ac:dyDescent="0.25">
      <c r="A12837" t="s">
        <v>363</v>
      </c>
      <c r="B12837" t="s">
        <v>10122</v>
      </c>
      <c r="C12837" t="s">
        <v>88</v>
      </c>
      <c r="D12837" t="s">
        <v>10123</v>
      </c>
      <c r="E12837" t="s">
        <v>1377</v>
      </c>
      <c r="F12837" t="s">
        <v>88</v>
      </c>
      <c r="G12837" t="s">
        <v>88</v>
      </c>
      <c r="H12837" t="s">
        <v>92</v>
      </c>
    </row>
    <row r="12838" spans="1:8" x14ac:dyDescent="0.25">
      <c r="A12838" t="s">
        <v>363</v>
      </c>
      <c r="B12838" t="s">
        <v>10124</v>
      </c>
      <c r="C12838" t="s">
        <v>88</v>
      </c>
      <c r="D12838" t="s">
        <v>10125</v>
      </c>
      <c r="E12838" t="s">
        <v>2166</v>
      </c>
      <c r="F12838" t="s">
        <v>88</v>
      </c>
      <c r="G12838" t="s">
        <v>88</v>
      </c>
      <c r="H12838" t="s">
        <v>92</v>
      </c>
    </row>
    <row r="12839" spans="1:8" x14ac:dyDescent="0.25">
      <c r="A12839" t="s">
        <v>363</v>
      </c>
      <c r="B12839" t="s">
        <v>10126</v>
      </c>
      <c r="C12839" t="s">
        <v>88</v>
      </c>
      <c r="D12839" t="s">
        <v>10127</v>
      </c>
      <c r="E12839" t="s">
        <v>2166</v>
      </c>
      <c r="F12839" t="s">
        <v>88</v>
      </c>
      <c r="G12839" t="s">
        <v>88</v>
      </c>
      <c r="H12839" t="s">
        <v>92</v>
      </c>
    </row>
    <row r="12840" spans="1:8" x14ac:dyDescent="0.25">
      <c r="A12840" t="s">
        <v>363</v>
      </c>
      <c r="B12840" t="s">
        <v>10128</v>
      </c>
      <c r="C12840" t="s">
        <v>88</v>
      </c>
      <c r="D12840" t="s">
        <v>10129</v>
      </c>
      <c r="E12840" t="s">
        <v>2166</v>
      </c>
      <c r="F12840" t="s">
        <v>88</v>
      </c>
      <c r="G12840" t="s">
        <v>88</v>
      </c>
      <c r="H12840" t="s">
        <v>92</v>
      </c>
    </row>
    <row r="12841" spans="1:8" x14ac:dyDescent="0.25">
      <c r="A12841" t="s">
        <v>363</v>
      </c>
      <c r="B12841" t="s">
        <v>10130</v>
      </c>
      <c r="C12841" t="s">
        <v>88</v>
      </c>
      <c r="D12841" t="s">
        <v>10131</v>
      </c>
      <c r="E12841" t="s">
        <v>2166</v>
      </c>
      <c r="F12841" t="s">
        <v>88</v>
      </c>
      <c r="G12841" t="s">
        <v>88</v>
      </c>
      <c r="H12841" t="s">
        <v>92</v>
      </c>
    </row>
    <row r="12842" spans="1:8" x14ac:dyDescent="0.25">
      <c r="A12842" t="s">
        <v>363</v>
      </c>
      <c r="B12842" t="s">
        <v>10132</v>
      </c>
      <c r="C12842" t="s">
        <v>88</v>
      </c>
      <c r="D12842" t="s">
        <v>10133</v>
      </c>
      <c r="E12842" t="s">
        <v>4039</v>
      </c>
      <c r="F12842" t="s">
        <v>88</v>
      </c>
      <c r="G12842" t="s">
        <v>88</v>
      </c>
      <c r="H12842" t="s">
        <v>92</v>
      </c>
    </row>
    <row r="12843" spans="1:8" x14ac:dyDescent="0.25">
      <c r="A12843" t="s">
        <v>363</v>
      </c>
      <c r="B12843" t="s">
        <v>10134</v>
      </c>
      <c r="C12843" t="s">
        <v>88</v>
      </c>
      <c r="D12843" t="s">
        <v>10135</v>
      </c>
      <c r="E12843" t="s">
        <v>1839</v>
      </c>
      <c r="F12843" t="s">
        <v>88</v>
      </c>
      <c r="G12843" t="s">
        <v>88</v>
      </c>
      <c r="H12843" t="s">
        <v>92</v>
      </c>
    </row>
    <row r="12844" spans="1:8" x14ac:dyDescent="0.25">
      <c r="A12844" t="s">
        <v>363</v>
      </c>
      <c r="B12844" t="s">
        <v>10136</v>
      </c>
      <c r="C12844" t="s">
        <v>88</v>
      </c>
      <c r="D12844" t="s">
        <v>10137</v>
      </c>
      <c r="E12844" t="s">
        <v>4039</v>
      </c>
      <c r="F12844" t="s">
        <v>88</v>
      </c>
      <c r="G12844" t="s">
        <v>88</v>
      </c>
      <c r="H12844" t="s">
        <v>92</v>
      </c>
    </row>
    <row r="12845" spans="1:8" x14ac:dyDescent="0.25">
      <c r="A12845" t="s">
        <v>363</v>
      </c>
      <c r="B12845" t="s">
        <v>1125</v>
      </c>
      <c r="C12845" t="s">
        <v>88</v>
      </c>
      <c r="D12845" t="s">
        <v>10138</v>
      </c>
      <c r="E12845" t="s">
        <v>721</v>
      </c>
      <c r="F12845" t="s">
        <v>88</v>
      </c>
      <c r="G12845" t="s">
        <v>88</v>
      </c>
      <c r="H12845" t="s">
        <v>92</v>
      </c>
    </row>
    <row r="12846" spans="1:8" x14ac:dyDescent="0.25">
      <c r="A12846" t="s">
        <v>363</v>
      </c>
      <c r="B12846" t="s">
        <v>10139</v>
      </c>
      <c r="C12846" t="s">
        <v>88</v>
      </c>
      <c r="D12846" t="s">
        <v>10140</v>
      </c>
      <c r="E12846" t="s">
        <v>673</v>
      </c>
      <c r="F12846" t="s">
        <v>88</v>
      </c>
      <c r="G12846" t="s">
        <v>88</v>
      </c>
      <c r="H12846" t="s">
        <v>92</v>
      </c>
    </row>
    <row r="12847" spans="1:8" x14ac:dyDescent="0.25">
      <c r="A12847" t="s">
        <v>363</v>
      </c>
      <c r="B12847" t="s">
        <v>10141</v>
      </c>
      <c r="C12847" t="s">
        <v>88</v>
      </c>
      <c r="D12847" t="s">
        <v>10142</v>
      </c>
      <c r="E12847" t="s">
        <v>4085</v>
      </c>
      <c r="F12847" t="s">
        <v>88</v>
      </c>
      <c r="G12847" t="s">
        <v>88</v>
      </c>
      <c r="H12847" t="s">
        <v>92</v>
      </c>
    </row>
    <row r="12848" spans="1:8" x14ac:dyDescent="0.25">
      <c r="A12848" t="s">
        <v>363</v>
      </c>
      <c r="B12848" t="s">
        <v>10143</v>
      </c>
      <c r="C12848" t="s">
        <v>88</v>
      </c>
      <c r="D12848" t="s">
        <v>10144</v>
      </c>
      <c r="E12848" t="s">
        <v>658</v>
      </c>
      <c r="F12848" t="s">
        <v>88</v>
      </c>
      <c r="G12848" t="s">
        <v>88</v>
      </c>
      <c r="H12848" t="s">
        <v>92</v>
      </c>
    </row>
    <row r="12849" spans="1:8" x14ac:dyDescent="0.25">
      <c r="A12849" t="s">
        <v>363</v>
      </c>
      <c r="B12849" t="s">
        <v>10145</v>
      </c>
      <c r="C12849" t="s">
        <v>88</v>
      </c>
      <c r="D12849" t="s">
        <v>10146</v>
      </c>
      <c r="E12849" t="s">
        <v>658</v>
      </c>
      <c r="F12849" t="s">
        <v>88</v>
      </c>
      <c r="G12849" t="s">
        <v>88</v>
      </c>
      <c r="H12849" t="s">
        <v>92</v>
      </c>
    </row>
    <row r="12850" spans="1:8" x14ac:dyDescent="0.25">
      <c r="A12850" t="s">
        <v>363</v>
      </c>
      <c r="B12850" t="s">
        <v>4440</v>
      </c>
      <c r="C12850" t="s">
        <v>88</v>
      </c>
      <c r="D12850" t="s">
        <v>10147</v>
      </c>
      <c r="E12850" t="s">
        <v>658</v>
      </c>
      <c r="F12850" t="s">
        <v>88</v>
      </c>
      <c r="G12850" t="s">
        <v>88</v>
      </c>
      <c r="H12850" t="s">
        <v>92</v>
      </c>
    </row>
    <row r="12851" spans="1:8" x14ac:dyDescent="0.25">
      <c r="A12851" t="s">
        <v>363</v>
      </c>
      <c r="B12851" t="s">
        <v>10148</v>
      </c>
      <c r="C12851" t="s">
        <v>88</v>
      </c>
      <c r="D12851" t="s">
        <v>10149</v>
      </c>
      <c r="E12851" t="s">
        <v>658</v>
      </c>
      <c r="F12851" t="s">
        <v>88</v>
      </c>
      <c r="G12851" t="s">
        <v>88</v>
      </c>
      <c r="H12851" t="s">
        <v>92</v>
      </c>
    </row>
    <row r="12852" spans="1:8" x14ac:dyDescent="0.25">
      <c r="A12852" t="s">
        <v>363</v>
      </c>
      <c r="B12852" t="s">
        <v>10150</v>
      </c>
      <c r="C12852" t="s">
        <v>88</v>
      </c>
      <c r="D12852" t="s">
        <v>10151</v>
      </c>
      <c r="E12852" t="s">
        <v>1323</v>
      </c>
      <c r="F12852" t="s">
        <v>88</v>
      </c>
      <c r="G12852" t="s">
        <v>88</v>
      </c>
      <c r="H12852" t="s">
        <v>92</v>
      </c>
    </row>
    <row r="12853" spans="1:8" x14ac:dyDescent="0.25">
      <c r="A12853" t="s">
        <v>363</v>
      </c>
      <c r="B12853" t="s">
        <v>10152</v>
      </c>
      <c r="C12853" t="s">
        <v>88</v>
      </c>
      <c r="D12853" t="s">
        <v>10153</v>
      </c>
      <c r="E12853" t="s">
        <v>2513</v>
      </c>
      <c r="F12853" t="s">
        <v>88</v>
      </c>
      <c r="G12853" t="s">
        <v>88</v>
      </c>
      <c r="H12853" t="s">
        <v>92</v>
      </c>
    </row>
    <row r="12854" spans="1:8" x14ac:dyDescent="0.25">
      <c r="A12854" t="s">
        <v>363</v>
      </c>
      <c r="B12854" t="s">
        <v>10154</v>
      </c>
      <c r="C12854" t="s">
        <v>88</v>
      </c>
      <c r="D12854" t="s">
        <v>10155</v>
      </c>
      <c r="E12854" t="s">
        <v>1323</v>
      </c>
      <c r="F12854" t="s">
        <v>88</v>
      </c>
      <c r="G12854" t="s">
        <v>88</v>
      </c>
      <c r="H12854" t="s">
        <v>92</v>
      </c>
    </row>
    <row r="12855" spans="1:8" x14ac:dyDescent="0.25">
      <c r="A12855" t="s">
        <v>363</v>
      </c>
      <c r="B12855" t="s">
        <v>10156</v>
      </c>
      <c r="C12855" t="s">
        <v>88</v>
      </c>
      <c r="D12855" t="s">
        <v>10157</v>
      </c>
      <c r="E12855" t="s">
        <v>10158</v>
      </c>
      <c r="F12855" t="s">
        <v>88</v>
      </c>
      <c r="G12855" t="s">
        <v>88</v>
      </c>
      <c r="H12855" t="s">
        <v>92</v>
      </c>
    </row>
    <row r="12856" spans="1:8" x14ac:dyDescent="0.25">
      <c r="A12856" t="s">
        <v>363</v>
      </c>
      <c r="B12856" t="s">
        <v>10159</v>
      </c>
      <c r="C12856" t="s">
        <v>88</v>
      </c>
      <c r="D12856" t="s">
        <v>10160</v>
      </c>
      <c r="E12856" t="s">
        <v>10158</v>
      </c>
      <c r="F12856" t="s">
        <v>88</v>
      </c>
      <c r="G12856" t="s">
        <v>88</v>
      </c>
      <c r="H12856" t="s">
        <v>92</v>
      </c>
    </row>
    <row r="12857" spans="1:8" x14ac:dyDescent="0.25">
      <c r="A12857" t="s">
        <v>363</v>
      </c>
      <c r="B12857" t="s">
        <v>10161</v>
      </c>
      <c r="C12857" t="s">
        <v>88</v>
      </c>
      <c r="D12857" t="s">
        <v>10162</v>
      </c>
      <c r="E12857" t="s">
        <v>799</v>
      </c>
      <c r="F12857" t="s">
        <v>88</v>
      </c>
      <c r="G12857" t="s">
        <v>88</v>
      </c>
      <c r="H12857" t="s">
        <v>92</v>
      </c>
    </row>
    <row r="12858" spans="1:8" x14ac:dyDescent="0.25">
      <c r="A12858" t="s">
        <v>363</v>
      </c>
      <c r="B12858" t="s">
        <v>10163</v>
      </c>
      <c r="C12858" t="s">
        <v>88</v>
      </c>
      <c r="D12858" t="s">
        <v>88</v>
      </c>
      <c r="E12858" t="s">
        <v>4039</v>
      </c>
      <c r="F12858" t="s">
        <v>88</v>
      </c>
      <c r="G12858" t="s">
        <v>88</v>
      </c>
      <c r="H12858" t="s">
        <v>92</v>
      </c>
    </row>
    <row r="12859" spans="1:8" x14ac:dyDescent="0.25">
      <c r="A12859" t="s">
        <v>363</v>
      </c>
      <c r="B12859" t="s">
        <v>10164</v>
      </c>
      <c r="C12859" t="s">
        <v>88</v>
      </c>
      <c r="D12859" t="s">
        <v>88</v>
      </c>
      <c r="E12859" t="s">
        <v>4039</v>
      </c>
      <c r="F12859" t="s">
        <v>88</v>
      </c>
      <c r="G12859" t="s">
        <v>88</v>
      </c>
      <c r="H12859" t="s">
        <v>92</v>
      </c>
    </row>
    <row r="12860" spans="1:8" x14ac:dyDescent="0.25">
      <c r="A12860" t="s">
        <v>363</v>
      </c>
      <c r="B12860" t="s">
        <v>10165</v>
      </c>
      <c r="C12860" t="s">
        <v>88</v>
      </c>
      <c r="D12860" t="s">
        <v>10166</v>
      </c>
      <c r="E12860" t="s">
        <v>2166</v>
      </c>
      <c r="F12860" t="s">
        <v>88</v>
      </c>
      <c r="G12860" t="s">
        <v>88</v>
      </c>
      <c r="H12860" t="s">
        <v>92</v>
      </c>
    </row>
    <row r="12861" spans="1:8" x14ac:dyDescent="0.25">
      <c r="A12861" t="s">
        <v>363</v>
      </c>
      <c r="B12861" t="s">
        <v>10167</v>
      </c>
      <c r="C12861" t="s">
        <v>88</v>
      </c>
      <c r="D12861" t="s">
        <v>88</v>
      </c>
      <c r="E12861" t="s">
        <v>4088</v>
      </c>
      <c r="F12861" t="s">
        <v>88</v>
      </c>
      <c r="G12861" t="s">
        <v>88</v>
      </c>
      <c r="H12861" t="s">
        <v>92</v>
      </c>
    </row>
    <row r="12862" spans="1:8" x14ac:dyDescent="0.25">
      <c r="A12862" t="s">
        <v>363</v>
      </c>
      <c r="B12862" t="s">
        <v>10168</v>
      </c>
      <c r="C12862" t="s">
        <v>88</v>
      </c>
      <c r="D12862" t="s">
        <v>88</v>
      </c>
      <c r="E12862" t="s">
        <v>1323</v>
      </c>
      <c r="F12862" t="s">
        <v>88</v>
      </c>
      <c r="G12862" t="s">
        <v>88</v>
      </c>
      <c r="H12862" t="s">
        <v>92</v>
      </c>
    </row>
    <row r="12863" spans="1:8" x14ac:dyDescent="0.25">
      <c r="A12863" t="s">
        <v>363</v>
      </c>
      <c r="B12863" t="s">
        <v>10169</v>
      </c>
      <c r="C12863" t="s">
        <v>88</v>
      </c>
      <c r="D12863" t="s">
        <v>10170</v>
      </c>
      <c r="E12863" t="s">
        <v>2662</v>
      </c>
      <c r="F12863" t="s">
        <v>88</v>
      </c>
      <c r="G12863" t="s">
        <v>88</v>
      </c>
      <c r="H12863" t="s">
        <v>92</v>
      </c>
    </row>
    <row r="12864" spans="1:8" x14ac:dyDescent="0.25">
      <c r="A12864" t="s">
        <v>363</v>
      </c>
      <c r="B12864" t="s">
        <v>10171</v>
      </c>
      <c r="C12864" t="s">
        <v>88</v>
      </c>
      <c r="D12864" t="s">
        <v>88</v>
      </c>
      <c r="E12864" t="s">
        <v>1323</v>
      </c>
      <c r="F12864" t="s">
        <v>88</v>
      </c>
      <c r="G12864" t="s">
        <v>88</v>
      </c>
      <c r="H12864" t="s">
        <v>92</v>
      </c>
    </row>
    <row r="12865" spans="1:8" x14ac:dyDescent="0.25">
      <c r="A12865" t="s">
        <v>363</v>
      </c>
      <c r="B12865" t="s">
        <v>10172</v>
      </c>
      <c r="C12865" t="s">
        <v>88</v>
      </c>
      <c r="D12865" t="s">
        <v>10173</v>
      </c>
      <c r="E12865" t="s">
        <v>702</v>
      </c>
      <c r="F12865" t="s">
        <v>88</v>
      </c>
      <c r="G12865" t="s">
        <v>88</v>
      </c>
      <c r="H12865" t="s">
        <v>92</v>
      </c>
    </row>
    <row r="12866" spans="1:8" x14ac:dyDescent="0.25">
      <c r="A12866" t="s">
        <v>363</v>
      </c>
      <c r="B12866" t="s">
        <v>10174</v>
      </c>
      <c r="C12866" t="s">
        <v>88</v>
      </c>
      <c r="D12866" t="s">
        <v>88</v>
      </c>
      <c r="E12866" t="s">
        <v>5988</v>
      </c>
      <c r="F12866" t="s">
        <v>88</v>
      </c>
      <c r="G12866" t="s">
        <v>88</v>
      </c>
      <c r="H12866" t="s">
        <v>92</v>
      </c>
    </row>
    <row r="12867" spans="1:8" x14ac:dyDescent="0.25">
      <c r="A12867" t="s">
        <v>363</v>
      </c>
      <c r="B12867" t="s">
        <v>10175</v>
      </c>
      <c r="C12867" t="s">
        <v>88</v>
      </c>
      <c r="D12867" t="s">
        <v>88</v>
      </c>
      <c r="E12867" t="s">
        <v>10176</v>
      </c>
      <c r="F12867" t="s">
        <v>88</v>
      </c>
      <c r="G12867" t="s">
        <v>88</v>
      </c>
      <c r="H12867" t="s">
        <v>92</v>
      </c>
    </row>
    <row r="12868" spans="1:8" x14ac:dyDescent="0.25">
      <c r="A12868" t="s">
        <v>363</v>
      </c>
      <c r="B12868" t="s">
        <v>10177</v>
      </c>
      <c r="C12868" t="s">
        <v>88</v>
      </c>
      <c r="D12868" t="s">
        <v>88</v>
      </c>
      <c r="E12868" t="s">
        <v>715</v>
      </c>
      <c r="F12868" t="s">
        <v>88</v>
      </c>
      <c r="G12868" t="s">
        <v>88</v>
      </c>
      <c r="H12868" t="s">
        <v>92</v>
      </c>
    </row>
    <row r="12869" spans="1:8" x14ac:dyDescent="0.25">
      <c r="A12869" t="s">
        <v>363</v>
      </c>
      <c r="B12869" t="s">
        <v>10178</v>
      </c>
      <c r="C12869" t="s">
        <v>88</v>
      </c>
      <c r="D12869" t="s">
        <v>88</v>
      </c>
      <c r="E12869" t="s">
        <v>10095</v>
      </c>
      <c r="F12869" t="s">
        <v>88</v>
      </c>
      <c r="G12869" t="s">
        <v>88</v>
      </c>
      <c r="H12869" t="s">
        <v>92</v>
      </c>
    </row>
    <row r="12870" spans="1:8" x14ac:dyDescent="0.25">
      <c r="A12870" t="s">
        <v>363</v>
      </c>
      <c r="B12870" t="s">
        <v>10179</v>
      </c>
      <c r="C12870" t="s">
        <v>88</v>
      </c>
      <c r="D12870" t="s">
        <v>10180</v>
      </c>
      <c r="E12870" t="s">
        <v>10095</v>
      </c>
      <c r="F12870" t="s">
        <v>88</v>
      </c>
      <c r="G12870" t="s">
        <v>88</v>
      </c>
      <c r="H12870" t="s">
        <v>92</v>
      </c>
    </row>
    <row r="12871" spans="1:8" x14ac:dyDescent="0.25">
      <c r="A12871" t="s">
        <v>363</v>
      </c>
      <c r="B12871" t="s">
        <v>10181</v>
      </c>
      <c r="C12871" t="s">
        <v>88</v>
      </c>
      <c r="D12871" t="s">
        <v>88</v>
      </c>
      <c r="E12871" t="s">
        <v>10095</v>
      </c>
      <c r="F12871" t="s">
        <v>88</v>
      </c>
      <c r="G12871" t="s">
        <v>88</v>
      </c>
      <c r="H12871" t="s">
        <v>92</v>
      </c>
    </row>
    <row r="12872" spans="1:8" x14ac:dyDescent="0.25">
      <c r="A12872" t="s">
        <v>363</v>
      </c>
      <c r="B12872" t="s">
        <v>10182</v>
      </c>
      <c r="C12872" t="s">
        <v>88</v>
      </c>
      <c r="D12872" t="s">
        <v>88</v>
      </c>
      <c r="E12872" t="s">
        <v>10095</v>
      </c>
      <c r="F12872" t="s">
        <v>88</v>
      </c>
      <c r="G12872" t="s">
        <v>88</v>
      </c>
      <c r="H12872" t="s">
        <v>92</v>
      </c>
    </row>
    <row r="12873" spans="1:8" x14ac:dyDescent="0.25">
      <c r="A12873" t="s">
        <v>363</v>
      </c>
      <c r="B12873" t="s">
        <v>10183</v>
      </c>
      <c r="C12873" t="s">
        <v>88</v>
      </c>
      <c r="D12873" t="s">
        <v>88</v>
      </c>
      <c r="E12873" t="s">
        <v>715</v>
      </c>
      <c r="F12873" t="s">
        <v>88</v>
      </c>
      <c r="G12873" t="s">
        <v>88</v>
      </c>
      <c r="H12873" t="s">
        <v>92</v>
      </c>
    </row>
    <row r="12874" spans="1:8" x14ac:dyDescent="0.25">
      <c r="A12874" t="s">
        <v>363</v>
      </c>
      <c r="B12874" t="s">
        <v>10184</v>
      </c>
      <c r="C12874" t="s">
        <v>88</v>
      </c>
      <c r="D12874" t="s">
        <v>88</v>
      </c>
      <c r="E12874" t="s">
        <v>715</v>
      </c>
      <c r="F12874" t="s">
        <v>88</v>
      </c>
      <c r="G12874" t="s">
        <v>88</v>
      </c>
      <c r="H12874" t="s">
        <v>92</v>
      </c>
    </row>
    <row r="12875" spans="1:8" x14ac:dyDescent="0.25">
      <c r="A12875" t="s">
        <v>363</v>
      </c>
      <c r="B12875" t="s">
        <v>10185</v>
      </c>
      <c r="C12875" t="s">
        <v>88</v>
      </c>
      <c r="D12875" t="s">
        <v>10186</v>
      </c>
      <c r="E12875" t="s">
        <v>1714</v>
      </c>
      <c r="F12875" t="s">
        <v>88</v>
      </c>
      <c r="G12875" t="s">
        <v>88</v>
      </c>
      <c r="H12875" t="s">
        <v>92</v>
      </c>
    </row>
    <row r="12876" spans="1:8" x14ac:dyDescent="0.25">
      <c r="A12876" t="s">
        <v>363</v>
      </c>
      <c r="B12876" t="s">
        <v>625</v>
      </c>
      <c r="C12876" t="s">
        <v>88</v>
      </c>
      <c r="D12876" t="s">
        <v>88</v>
      </c>
      <c r="E12876" t="s">
        <v>626</v>
      </c>
      <c r="F12876" t="s">
        <v>88</v>
      </c>
      <c r="G12876" t="s">
        <v>88</v>
      </c>
      <c r="H12876" t="s">
        <v>92</v>
      </c>
    </row>
    <row r="12877" spans="1:8" x14ac:dyDescent="0.25">
      <c r="A12877" t="s">
        <v>365</v>
      </c>
      <c r="B12877" t="s">
        <v>10187</v>
      </c>
      <c r="C12877" t="s">
        <v>88</v>
      </c>
      <c r="D12877" t="s">
        <v>3272</v>
      </c>
      <c r="E12877" t="s">
        <v>849</v>
      </c>
      <c r="F12877" t="s">
        <v>88</v>
      </c>
      <c r="G12877" t="s">
        <v>88</v>
      </c>
      <c r="H12877" t="s">
        <v>92</v>
      </c>
    </row>
    <row r="12878" spans="1:8" x14ac:dyDescent="0.25">
      <c r="A12878" t="s">
        <v>365</v>
      </c>
      <c r="B12878" t="s">
        <v>3271</v>
      </c>
      <c r="C12878" t="s">
        <v>88</v>
      </c>
      <c r="D12878" t="s">
        <v>3272</v>
      </c>
      <c r="E12878" t="s">
        <v>780</v>
      </c>
      <c r="F12878" t="s">
        <v>88</v>
      </c>
      <c r="G12878" t="s">
        <v>88</v>
      </c>
      <c r="H12878" t="s">
        <v>92</v>
      </c>
    </row>
    <row r="12879" spans="1:8" x14ac:dyDescent="0.25">
      <c r="A12879" t="s">
        <v>365</v>
      </c>
      <c r="B12879" t="s">
        <v>10188</v>
      </c>
      <c r="C12879" t="s">
        <v>88</v>
      </c>
      <c r="D12879" t="s">
        <v>88</v>
      </c>
      <c r="E12879" t="s">
        <v>673</v>
      </c>
      <c r="F12879" t="s">
        <v>88</v>
      </c>
      <c r="G12879" t="s">
        <v>88</v>
      </c>
      <c r="H12879" t="s">
        <v>92</v>
      </c>
    </row>
    <row r="12880" spans="1:8" x14ac:dyDescent="0.25">
      <c r="A12880" t="s">
        <v>365</v>
      </c>
      <c r="B12880" t="s">
        <v>10189</v>
      </c>
      <c r="C12880" t="s">
        <v>88</v>
      </c>
      <c r="D12880" t="s">
        <v>10190</v>
      </c>
      <c r="E12880" t="s">
        <v>663</v>
      </c>
      <c r="F12880" t="s">
        <v>88</v>
      </c>
      <c r="G12880" t="s">
        <v>88</v>
      </c>
      <c r="H12880" t="s">
        <v>92</v>
      </c>
    </row>
    <row r="12881" spans="1:8" x14ac:dyDescent="0.25">
      <c r="A12881" t="s">
        <v>365</v>
      </c>
      <c r="B12881" t="s">
        <v>10191</v>
      </c>
      <c r="C12881" t="s">
        <v>88</v>
      </c>
      <c r="D12881" t="s">
        <v>88</v>
      </c>
      <c r="E12881" t="s">
        <v>780</v>
      </c>
      <c r="F12881" t="s">
        <v>88</v>
      </c>
      <c r="G12881" t="s">
        <v>88</v>
      </c>
      <c r="H12881" t="s">
        <v>92</v>
      </c>
    </row>
    <row r="12882" spans="1:8" x14ac:dyDescent="0.25">
      <c r="A12882" t="s">
        <v>365</v>
      </c>
      <c r="B12882" t="s">
        <v>1770</v>
      </c>
      <c r="C12882" t="s">
        <v>88</v>
      </c>
      <c r="D12882" t="s">
        <v>10192</v>
      </c>
      <c r="E12882" t="s">
        <v>893</v>
      </c>
      <c r="F12882" t="s">
        <v>88</v>
      </c>
      <c r="G12882" t="s">
        <v>88</v>
      </c>
      <c r="H12882" t="s">
        <v>92</v>
      </c>
    </row>
    <row r="12883" spans="1:8" x14ac:dyDescent="0.25">
      <c r="A12883" t="s">
        <v>365</v>
      </c>
      <c r="B12883" t="s">
        <v>1774</v>
      </c>
      <c r="C12883" t="s">
        <v>88</v>
      </c>
      <c r="D12883" t="s">
        <v>10193</v>
      </c>
      <c r="E12883" t="s">
        <v>1353</v>
      </c>
      <c r="F12883" t="s">
        <v>88</v>
      </c>
      <c r="G12883" t="s">
        <v>88</v>
      </c>
      <c r="H12883" t="s">
        <v>92</v>
      </c>
    </row>
    <row r="12884" spans="1:8" x14ac:dyDescent="0.25">
      <c r="A12884" t="s">
        <v>365</v>
      </c>
      <c r="B12884" t="s">
        <v>10194</v>
      </c>
      <c r="C12884" t="s">
        <v>88</v>
      </c>
      <c r="D12884" t="s">
        <v>10195</v>
      </c>
      <c r="E12884" t="s">
        <v>893</v>
      </c>
      <c r="F12884" t="s">
        <v>88</v>
      </c>
      <c r="G12884" t="s">
        <v>88</v>
      </c>
      <c r="H12884" t="s">
        <v>92</v>
      </c>
    </row>
    <row r="12885" spans="1:8" x14ac:dyDescent="0.25">
      <c r="A12885" t="s">
        <v>365</v>
      </c>
      <c r="B12885" t="s">
        <v>10189</v>
      </c>
      <c r="C12885" t="s">
        <v>88</v>
      </c>
      <c r="D12885" t="s">
        <v>10190</v>
      </c>
      <c r="E12885" t="s">
        <v>663</v>
      </c>
      <c r="F12885" t="s">
        <v>88</v>
      </c>
      <c r="G12885" t="s">
        <v>88</v>
      </c>
      <c r="H12885" t="s">
        <v>92</v>
      </c>
    </row>
    <row r="12886" spans="1:8" x14ac:dyDescent="0.25">
      <c r="A12886" t="s">
        <v>365</v>
      </c>
      <c r="B12886" t="s">
        <v>10196</v>
      </c>
      <c r="C12886" t="s">
        <v>88</v>
      </c>
      <c r="D12886" t="s">
        <v>10190</v>
      </c>
      <c r="E12886" t="s">
        <v>715</v>
      </c>
      <c r="F12886" t="s">
        <v>88</v>
      </c>
      <c r="G12886" t="s">
        <v>88</v>
      </c>
      <c r="H12886" t="s">
        <v>92</v>
      </c>
    </row>
    <row r="12887" spans="1:8" x14ac:dyDescent="0.25">
      <c r="A12887" t="s">
        <v>365</v>
      </c>
      <c r="B12887" t="s">
        <v>10197</v>
      </c>
      <c r="C12887" t="s">
        <v>88</v>
      </c>
      <c r="D12887" t="s">
        <v>88</v>
      </c>
      <c r="E12887" t="s">
        <v>692</v>
      </c>
      <c r="F12887" t="s">
        <v>88</v>
      </c>
      <c r="G12887" t="s">
        <v>88</v>
      </c>
      <c r="H12887" t="s">
        <v>92</v>
      </c>
    </row>
    <row r="12888" spans="1:8" x14ac:dyDescent="0.25">
      <c r="A12888" t="s">
        <v>365</v>
      </c>
      <c r="B12888" t="s">
        <v>10188</v>
      </c>
      <c r="C12888" t="s">
        <v>88</v>
      </c>
      <c r="D12888" t="s">
        <v>88</v>
      </c>
      <c r="E12888" t="s">
        <v>673</v>
      </c>
      <c r="F12888" t="s">
        <v>88</v>
      </c>
      <c r="G12888" t="s">
        <v>88</v>
      </c>
      <c r="H12888" t="s">
        <v>92</v>
      </c>
    </row>
    <row r="12889" spans="1:8" x14ac:dyDescent="0.25">
      <c r="A12889" t="s">
        <v>365</v>
      </c>
      <c r="B12889" t="s">
        <v>10191</v>
      </c>
      <c r="C12889" t="s">
        <v>88</v>
      </c>
      <c r="D12889" t="s">
        <v>88</v>
      </c>
      <c r="E12889" t="s">
        <v>780</v>
      </c>
      <c r="F12889" t="s">
        <v>88</v>
      </c>
      <c r="G12889" t="s">
        <v>88</v>
      </c>
      <c r="H12889" t="s">
        <v>92</v>
      </c>
    </row>
    <row r="12890" spans="1:8" x14ac:dyDescent="0.25">
      <c r="A12890" t="s">
        <v>365</v>
      </c>
      <c r="B12890" t="s">
        <v>740</v>
      </c>
      <c r="C12890" t="s">
        <v>88</v>
      </c>
      <c r="D12890" t="s">
        <v>694</v>
      </c>
      <c r="E12890" t="s">
        <v>700</v>
      </c>
      <c r="F12890" t="s">
        <v>88</v>
      </c>
      <c r="G12890" t="s">
        <v>88</v>
      </c>
      <c r="H12890" t="s">
        <v>92</v>
      </c>
    </row>
    <row r="12891" spans="1:8" x14ac:dyDescent="0.25">
      <c r="A12891" t="s">
        <v>365</v>
      </c>
      <c r="B12891" t="s">
        <v>10198</v>
      </c>
      <c r="C12891" t="s">
        <v>88</v>
      </c>
      <c r="D12891" t="s">
        <v>10190</v>
      </c>
      <c r="E12891" t="s">
        <v>679</v>
      </c>
      <c r="F12891" t="s">
        <v>88</v>
      </c>
      <c r="G12891" t="s">
        <v>88</v>
      </c>
      <c r="H12891" t="s">
        <v>92</v>
      </c>
    </row>
    <row r="12892" spans="1:8" x14ac:dyDescent="0.25">
      <c r="A12892" t="s">
        <v>365</v>
      </c>
      <c r="B12892" t="s">
        <v>10199</v>
      </c>
      <c r="C12892" t="s">
        <v>88</v>
      </c>
      <c r="D12892" t="s">
        <v>10190</v>
      </c>
      <c r="E12892" t="s">
        <v>959</v>
      </c>
      <c r="F12892" t="s">
        <v>88</v>
      </c>
      <c r="G12892" t="s">
        <v>88</v>
      </c>
      <c r="H12892" t="s">
        <v>92</v>
      </c>
    </row>
    <row r="12893" spans="1:8" x14ac:dyDescent="0.25">
      <c r="A12893" t="s">
        <v>365</v>
      </c>
      <c r="B12893" t="s">
        <v>768</v>
      </c>
      <c r="C12893" t="s">
        <v>88</v>
      </c>
      <c r="D12893" t="s">
        <v>10200</v>
      </c>
      <c r="E12893" t="s">
        <v>883</v>
      </c>
      <c r="F12893" t="s">
        <v>88</v>
      </c>
      <c r="G12893" t="s">
        <v>88</v>
      </c>
      <c r="H12893" t="s">
        <v>92</v>
      </c>
    </row>
    <row r="12894" spans="1:8" x14ac:dyDescent="0.25">
      <c r="A12894" t="s">
        <v>365</v>
      </c>
      <c r="B12894" t="s">
        <v>10201</v>
      </c>
      <c r="C12894" t="s">
        <v>88</v>
      </c>
      <c r="D12894" t="s">
        <v>10190</v>
      </c>
      <c r="E12894" t="s">
        <v>663</v>
      </c>
      <c r="F12894" t="s">
        <v>88</v>
      </c>
      <c r="G12894" t="s">
        <v>88</v>
      </c>
      <c r="H12894" t="s">
        <v>92</v>
      </c>
    </row>
    <row r="12895" spans="1:8" x14ac:dyDescent="0.25">
      <c r="A12895" t="s">
        <v>365</v>
      </c>
      <c r="B12895" t="s">
        <v>10202</v>
      </c>
      <c r="C12895" t="s">
        <v>88</v>
      </c>
      <c r="D12895" t="s">
        <v>10190</v>
      </c>
      <c r="E12895" t="s">
        <v>738</v>
      </c>
      <c r="F12895" t="s">
        <v>88</v>
      </c>
      <c r="G12895" t="s">
        <v>88</v>
      </c>
      <c r="H12895" t="s">
        <v>92</v>
      </c>
    </row>
    <row r="12896" spans="1:8" x14ac:dyDescent="0.25">
      <c r="A12896" t="s">
        <v>365</v>
      </c>
      <c r="B12896" t="s">
        <v>3284</v>
      </c>
      <c r="C12896" t="s">
        <v>88</v>
      </c>
      <c r="D12896" t="s">
        <v>10203</v>
      </c>
      <c r="E12896" t="s">
        <v>883</v>
      </c>
      <c r="F12896" t="s">
        <v>88</v>
      </c>
      <c r="G12896" t="s">
        <v>88</v>
      </c>
      <c r="H12896" t="s">
        <v>92</v>
      </c>
    </row>
    <row r="12897" spans="1:8" x14ac:dyDescent="0.25">
      <c r="A12897" t="s">
        <v>365</v>
      </c>
      <c r="B12897" t="s">
        <v>10204</v>
      </c>
      <c r="C12897" t="s">
        <v>88</v>
      </c>
      <c r="D12897" t="s">
        <v>10205</v>
      </c>
      <c r="E12897" t="s">
        <v>663</v>
      </c>
      <c r="F12897" t="s">
        <v>88</v>
      </c>
      <c r="G12897" t="s">
        <v>88</v>
      </c>
      <c r="H12897" t="s">
        <v>92</v>
      </c>
    </row>
    <row r="12898" spans="1:8" x14ac:dyDescent="0.25">
      <c r="A12898" t="s">
        <v>365</v>
      </c>
      <c r="B12898" t="s">
        <v>10206</v>
      </c>
      <c r="C12898" t="s">
        <v>88</v>
      </c>
      <c r="D12898" t="s">
        <v>10205</v>
      </c>
      <c r="E12898" t="s">
        <v>738</v>
      </c>
      <c r="F12898" t="s">
        <v>88</v>
      </c>
      <c r="G12898" t="s">
        <v>88</v>
      </c>
      <c r="H12898" t="s">
        <v>92</v>
      </c>
    </row>
    <row r="12899" spans="1:8" x14ac:dyDescent="0.25">
      <c r="A12899" t="s">
        <v>365</v>
      </c>
      <c r="B12899" t="s">
        <v>10207</v>
      </c>
      <c r="C12899" t="s">
        <v>88</v>
      </c>
      <c r="D12899" t="s">
        <v>88</v>
      </c>
      <c r="E12899" t="s">
        <v>655</v>
      </c>
      <c r="F12899" t="s">
        <v>88</v>
      </c>
      <c r="G12899" t="s">
        <v>88</v>
      </c>
      <c r="H12899" t="s">
        <v>92</v>
      </c>
    </row>
    <row r="12900" spans="1:8" x14ac:dyDescent="0.25">
      <c r="A12900" t="s">
        <v>365</v>
      </c>
      <c r="B12900" t="s">
        <v>1783</v>
      </c>
      <c r="C12900" t="s">
        <v>88</v>
      </c>
      <c r="D12900" t="s">
        <v>10208</v>
      </c>
      <c r="E12900" t="s">
        <v>663</v>
      </c>
      <c r="F12900" t="s">
        <v>88</v>
      </c>
      <c r="G12900" t="s">
        <v>88</v>
      </c>
      <c r="H12900" t="s">
        <v>92</v>
      </c>
    </row>
    <row r="12901" spans="1:8" x14ac:dyDescent="0.25">
      <c r="A12901" t="s">
        <v>365</v>
      </c>
      <c r="B12901" t="s">
        <v>1785</v>
      </c>
      <c r="C12901" t="s">
        <v>88</v>
      </c>
      <c r="D12901" t="s">
        <v>10208</v>
      </c>
      <c r="E12901" t="s">
        <v>663</v>
      </c>
      <c r="F12901" t="s">
        <v>88</v>
      </c>
      <c r="G12901" t="s">
        <v>88</v>
      </c>
      <c r="H12901" t="s">
        <v>92</v>
      </c>
    </row>
    <row r="12902" spans="1:8" x14ac:dyDescent="0.25">
      <c r="A12902" t="s">
        <v>365</v>
      </c>
      <c r="B12902" t="s">
        <v>10209</v>
      </c>
      <c r="C12902" t="s">
        <v>88</v>
      </c>
      <c r="D12902" t="s">
        <v>88</v>
      </c>
      <c r="E12902" t="s">
        <v>937</v>
      </c>
      <c r="F12902" t="s">
        <v>88</v>
      </c>
      <c r="G12902" t="s">
        <v>88</v>
      </c>
      <c r="H12902" t="s">
        <v>92</v>
      </c>
    </row>
    <row r="12903" spans="1:8" x14ac:dyDescent="0.25">
      <c r="A12903" t="s">
        <v>365</v>
      </c>
      <c r="B12903" t="s">
        <v>10187</v>
      </c>
      <c r="C12903" t="s">
        <v>88</v>
      </c>
      <c r="D12903" t="s">
        <v>3272</v>
      </c>
      <c r="E12903" t="s">
        <v>849</v>
      </c>
      <c r="F12903" t="s">
        <v>88</v>
      </c>
      <c r="G12903" t="s">
        <v>88</v>
      </c>
      <c r="H12903" t="s">
        <v>92</v>
      </c>
    </row>
    <row r="12904" spans="1:8" x14ac:dyDescent="0.25">
      <c r="A12904" t="s">
        <v>365</v>
      </c>
      <c r="B12904" t="s">
        <v>3271</v>
      </c>
      <c r="C12904" t="s">
        <v>88</v>
      </c>
      <c r="D12904" t="s">
        <v>3272</v>
      </c>
      <c r="E12904" t="s">
        <v>780</v>
      </c>
      <c r="F12904" t="s">
        <v>88</v>
      </c>
      <c r="G12904" t="s">
        <v>88</v>
      </c>
      <c r="H12904" t="s">
        <v>92</v>
      </c>
    </row>
    <row r="12905" spans="1:8" x14ac:dyDescent="0.25">
      <c r="A12905" t="s">
        <v>365</v>
      </c>
      <c r="B12905" t="s">
        <v>1322</v>
      </c>
      <c r="C12905" t="s">
        <v>88</v>
      </c>
      <c r="D12905" t="s">
        <v>88</v>
      </c>
      <c r="E12905" t="s">
        <v>791</v>
      </c>
      <c r="F12905" t="s">
        <v>88</v>
      </c>
      <c r="G12905" t="s">
        <v>88</v>
      </c>
      <c r="H12905" t="s">
        <v>92</v>
      </c>
    </row>
    <row r="12906" spans="1:8" x14ac:dyDescent="0.25">
      <c r="A12906" t="s">
        <v>365</v>
      </c>
      <c r="B12906" t="s">
        <v>2121</v>
      </c>
      <c r="C12906" t="s">
        <v>88</v>
      </c>
      <c r="D12906" t="s">
        <v>88</v>
      </c>
      <c r="E12906" t="s">
        <v>791</v>
      </c>
      <c r="F12906" t="s">
        <v>88</v>
      </c>
      <c r="G12906" t="s">
        <v>88</v>
      </c>
      <c r="H12906" t="s">
        <v>92</v>
      </c>
    </row>
    <row r="12907" spans="1:8" x14ac:dyDescent="0.25">
      <c r="A12907" t="s">
        <v>365</v>
      </c>
      <c r="B12907" t="s">
        <v>612</v>
      </c>
      <c r="C12907" t="s">
        <v>88</v>
      </c>
      <c r="D12907" t="s">
        <v>88</v>
      </c>
      <c r="E12907" t="s">
        <v>709</v>
      </c>
      <c r="F12907" t="s">
        <v>88</v>
      </c>
      <c r="G12907" t="s">
        <v>88</v>
      </c>
      <c r="H12907" t="s">
        <v>92</v>
      </c>
    </row>
    <row r="12908" spans="1:8" x14ac:dyDescent="0.25">
      <c r="A12908" t="s">
        <v>365</v>
      </c>
      <c r="B12908" t="s">
        <v>614</v>
      </c>
      <c r="C12908" t="s">
        <v>88</v>
      </c>
      <c r="D12908" t="s">
        <v>88</v>
      </c>
      <c r="E12908" t="s">
        <v>709</v>
      </c>
      <c r="F12908" t="s">
        <v>88</v>
      </c>
      <c r="G12908" t="s">
        <v>88</v>
      </c>
      <c r="H12908" t="s">
        <v>92</v>
      </c>
    </row>
    <row r="12909" spans="1:8" x14ac:dyDescent="0.25">
      <c r="A12909" t="s">
        <v>365</v>
      </c>
      <c r="B12909" t="s">
        <v>615</v>
      </c>
      <c r="C12909" t="s">
        <v>88</v>
      </c>
      <c r="D12909" t="s">
        <v>88</v>
      </c>
      <c r="E12909" t="s">
        <v>709</v>
      </c>
      <c r="F12909" t="s">
        <v>88</v>
      </c>
      <c r="G12909" t="s">
        <v>88</v>
      </c>
      <c r="H12909" t="s">
        <v>92</v>
      </c>
    </row>
    <row r="12910" spans="1:8" x14ac:dyDescent="0.25">
      <c r="A12910" t="s">
        <v>365</v>
      </c>
      <c r="B12910" t="s">
        <v>3242</v>
      </c>
      <c r="C12910" t="s">
        <v>88</v>
      </c>
      <c r="D12910" t="s">
        <v>88</v>
      </c>
      <c r="E12910" t="s">
        <v>709</v>
      </c>
      <c r="F12910" t="s">
        <v>88</v>
      </c>
      <c r="G12910" t="s">
        <v>88</v>
      </c>
      <c r="H12910" t="s">
        <v>92</v>
      </c>
    </row>
    <row r="12911" spans="1:8" x14ac:dyDescent="0.25">
      <c r="A12911" t="s">
        <v>365</v>
      </c>
      <c r="B12911" t="s">
        <v>733</v>
      </c>
      <c r="C12911" t="s">
        <v>88</v>
      </c>
      <c r="D12911" t="s">
        <v>88</v>
      </c>
      <c r="E12911" t="s">
        <v>709</v>
      </c>
      <c r="F12911" t="s">
        <v>88</v>
      </c>
      <c r="G12911" t="s">
        <v>88</v>
      </c>
      <c r="H12911" t="s">
        <v>92</v>
      </c>
    </row>
    <row r="12912" spans="1:8" x14ac:dyDescent="0.25">
      <c r="A12912" t="s">
        <v>365</v>
      </c>
      <c r="B12912" t="s">
        <v>846</v>
      </c>
      <c r="C12912" t="s">
        <v>88</v>
      </c>
      <c r="D12912" t="s">
        <v>88</v>
      </c>
      <c r="E12912" t="s">
        <v>709</v>
      </c>
      <c r="F12912" t="s">
        <v>88</v>
      </c>
      <c r="G12912" t="s">
        <v>88</v>
      </c>
      <c r="H12912" t="s">
        <v>92</v>
      </c>
    </row>
    <row r="12913" spans="1:8" x14ac:dyDescent="0.25">
      <c r="A12913" t="s">
        <v>365</v>
      </c>
      <c r="B12913" t="s">
        <v>795</v>
      </c>
      <c r="C12913" t="s">
        <v>88</v>
      </c>
      <c r="D12913" t="s">
        <v>88</v>
      </c>
      <c r="E12913" t="s">
        <v>709</v>
      </c>
      <c r="F12913" t="s">
        <v>88</v>
      </c>
      <c r="G12913" t="s">
        <v>88</v>
      </c>
      <c r="H12913" t="s">
        <v>92</v>
      </c>
    </row>
    <row r="12914" spans="1:8" x14ac:dyDescent="0.25">
      <c r="A12914" t="s">
        <v>365</v>
      </c>
      <c r="B12914" t="s">
        <v>620</v>
      </c>
      <c r="C12914" t="s">
        <v>88</v>
      </c>
      <c r="D12914" t="s">
        <v>88</v>
      </c>
      <c r="E12914" t="s">
        <v>709</v>
      </c>
      <c r="F12914" t="s">
        <v>88</v>
      </c>
      <c r="G12914" t="s">
        <v>88</v>
      </c>
      <c r="H12914" t="s">
        <v>92</v>
      </c>
    </row>
    <row r="12915" spans="1:8" x14ac:dyDescent="0.25">
      <c r="A12915" t="s">
        <v>365</v>
      </c>
      <c r="B12915" t="s">
        <v>622</v>
      </c>
      <c r="C12915" t="s">
        <v>88</v>
      </c>
      <c r="D12915" t="s">
        <v>88</v>
      </c>
      <c r="E12915" t="s">
        <v>710</v>
      </c>
      <c r="F12915" t="s">
        <v>88</v>
      </c>
      <c r="G12915" t="s">
        <v>88</v>
      </c>
      <c r="H12915" t="s">
        <v>92</v>
      </c>
    </row>
    <row r="12916" spans="1:8" x14ac:dyDescent="0.25">
      <c r="A12916" t="s">
        <v>365</v>
      </c>
      <c r="B12916" t="s">
        <v>623</v>
      </c>
      <c r="C12916" t="s">
        <v>88</v>
      </c>
      <c r="D12916" t="s">
        <v>88</v>
      </c>
      <c r="E12916" t="s">
        <v>713</v>
      </c>
      <c r="F12916" t="s">
        <v>88</v>
      </c>
      <c r="G12916" t="s">
        <v>88</v>
      </c>
      <c r="H12916" t="s">
        <v>92</v>
      </c>
    </row>
    <row r="12917" spans="1:8" x14ac:dyDescent="0.25">
      <c r="A12917" t="s">
        <v>365</v>
      </c>
      <c r="B12917" t="s">
        <v>625</v>
      </c>
      <c r="C12917" t="s">
        <v>88</v>
      </c>
      <c r="D12917" t="s">
        <v>88</v>
      </c>
      <c r="E12917" t="s">
        <v>626</v>
      </c>
      <c r="F12917" t="s">
        <v>88</v>
      </c>
      <c r="G12917" t="s">
        <v>88</v>
      </c>
      <c r="H12917" t="s">
        <v>92</v>
      </c>
    </row>
    <row r="12918" spans="1:8" x14ac:dyDescent="0.25">
      <c r="A12918" t="s">
        <v>366</v>
      </c>
      <c r="B12918" t="s">
        <v>2021</v>
      </c>
      <c r="C12918" t="s">
        <v>88</v>
      </c>
      <c r="D12918" t="s">
        <v>88</v>
      </c>
      <c r="E12918" t="s">
        <v>702</v>
      </c>
      <c r="F12918" t="s">
        <v>88</v>
      </c>
      <c r="G12918" t="s">
        <v>88</v>
      </c>
      <c r="H12918" t="s">
        <v>92</v>
      </c>
    </row>
    <row r="12919" spans="1:8" x14ac:dyDescent="0.25">
      <c r="A12919" t="s">
        <v>366</v>
      </c>
      <c r="B12919" t="s">
        <v>736</v>
      </c>
      <c r="C12919" t="s">
        <v>88</v>
      </c>
      <c r="D12919" t="s">
        <v>10210</v>
      </c>
      <c r="E12919" t="s">
        <v>780</v>
      </c>
      <c r="F12919" t="s">
        <v>88</v>
      </c>
      <c r="G12919" t="s">
        <v>88</v>
      </c>
      <c r="H12919" t="s">
        <v>92</v>
      </c>
    </row>
    <row r="12920" spans="1:8" x14ac:dyDescent="0.25">
      <c r="A12920" t="s">
        <v>366</v>
      </c>
      <c r="B12920" t="s">
        <v>1780</v>
      </c>
      <c r="C12920" t="s">
        <v>88</v>
      </c>
      <c r="D12920" t="s">
        <v>88</v>
      </c>
      <c r="E12920" t="s">
        <v>715</v>
      </c>
      <c r="F12920" t="s">
        <v>88</v>
      </c>
      <c r="G12920" t="s">
        <v>88</v>
      </c>
      <c r="H12920" t="s">
        <v>92</v>
      </c>
    </row>
    <row r="12921" spans="1:8" x14ac:dyDescent="0.25">
      <c r="A12921" t="s">
        <v>366</v>
      </c>
      <c r="B12921" t="s">
        <v>759</v>
      </c>
      <c r="C12921" t="s">
        <v>88</v>
      </c>
      <c r="D12921" t="s">
        <v>10211</v>
      </c>
      <c r="E12921" t="s">
        <v>655</v>
      </c>
      <c r="F12921" t="s">
        <v>88</v>
      </c>
      <c r="G12921" t="s">
        <v>88</v>
      </c>
      <c r="H12921" t="s">
        <v>92</v>
      </c>
    </row>
    <row r="12922" spans="1:8" x14ac:dyDescent="0.25">
      <c r="A12922" t="s">
        <v>366</v>
      </c>
      <c r="B12922" t="s">
        <v>1679</v>
      </c>
      <c r="C12922" t="s">
        <v>88</v>
      </c>
      <c r="D12922" t="s">
        <v>10211</v>
      </c>
      <c r="E12922" t="s">
        <v>844</v>
      </c>
      <c r="F12922" t="s">
        <v>88</v>
      </c>
      <c r="G12922" t="s">
        <v>88</v>
      </c>
      <c r="H12922" t="s">
        <v>92</v>
      </c>
    </row>
    <row r="12923" spans="1:8" x14ac:dyDescent="0.25">
      <c r="A12923" t="s">
        <v>366</v>
      </c>
      <c r="B12923" t="s">
        <v>1780</v>
      </c>
      <c r="C12923" t="s">
        <v>88</v>
      </c>
      <c r="D12923" t="s">
        <v>88</v>
      </c>
      <c r="E12923" t="s">
        <v>715</v>
      </c>
      <c r="F12923" t="s">
        <v>88</v>
      </c>
      <c r="G12923" t="s">
        <v>88</v>
      </c>
      <c r="H12923" t="s">
        <v>92</v>
      </c>
    </row>
    <row r="12924" spans="1:8" x14ac:dyDescent="0.25">
      <c r="A12924" t="s">
        <v>366</v>
      </c>
      <c r="B12924" t="s">
        <v>4102</v>
      </c>
      <c r="C12924" t="s">
        <v>88</v>
      </c>
      <c r="D12924" t="s">
        <v>88</v>
      </c>
      <c r="E12924" t="s">
        <v>700</v>
      </c>
      <c r="F12924" t="s">
        <v>88</v>
      </c>
      <c r="G12924" t="s">
        <v>88</v>
      </c>
      <c r="H12924" t="s">
        <v>92</v>
      </c>
    </row>
    <row r="12925" spans="1:8" x14ac:dyDescent="0.25">
      <c r="A12925" t="s">
        <v>366</v>
      </c>
      <c r="B12925" t="s">
        <v>1673</v>
      </c>
      <c r="C12925" t="s">
        <v>88</v>
      </c>
      <c r="D12925" t="s">
        <v>10211</v>
      </c>
      <c r="E12925" t="s">
        <v>700</v>
      </c>
      <c r="F12925" t="s">
        <v>88</v>
      </c>
      <c r="G12925" t="s">
        <v>88</v>
      </c>
      <c r="H12925" t="s">
        <v>92</v>
      </c>
    </row>
    <row r="12926" spans="1:8" x14ac:dyDescent="0.25">
      <c r="A12926" t="s">
        <v>366</v>
      </c>
      <c r="B12926" t="s">
        <v>1682</v>
      </c>
      <c r="C12926" t="s">
        <v>88</v>
      </c>
      <c r="D12926" t="s">
        <v>10211</v>
      </c>
      <c r="E12926" t="s">
        <v>700</v>
      </c>
      <c r="F12926" t="s">
        <v>88</v>
      </c>
      <c r="G12926" t="s">
        <v>88</v>
      </c>
      <c r="H12926" t="s">
        <v>92</v>
      </c>
    </row>
    <row r="12927" spans="1:8" x14ac:dyDescent="0.25">
      <c r="A12927" t="s">
        <v>366</v>
      </c>
      <c r="B12927" t="s">
        <v>10212</v>
      </c>
      <c r="C12927" t="s">
        <v>88</v>
      </c>
      <c r="D12927" t="s">
        <v>10211</v>
      </c>
      <c r="E12927" t="s">
        <v>700</v>
      </c>
      <c r="F12927" t="s">
        <v>88</v>
      </c>
      <c r="G12927" t="s">
        <v>88</v>
      </c>
      <c r="H12927" t="s">
        <v>92</v>
      </c>
    </row>
    <row r="12928" spans="1:8" x14ac:dyDescent="0.25">
      <c r="A12928" t="s">
        <v>366</v>
      </c>
      <c r="B12928" t="s">
        <v>10213</v>
      </c>
      <c r="C12928" t="s">
        <v>88</v>
      </c>
      <c r="D12928" t="s">
        <v>10211</v>
      </c>
      <c r="E12928" t="s">
        <v>700</v>
      </c>
      <c r="F12928" t="s">
        <v>88</v>
      </c>
      <c r="G12928" t="s">
        <v>88</v>
      </c>
      <c r="H12928" t="s">
        <v>92</v>
      </c>
    </row>
    <row r="12929" spans="1:8" x14ac:dyDescent="0.25">
      <c r="A12929" t="s">
        <v>366</v>
      </c>
      <c r="B12929" t="s">
        <v>6632</v>
      </c>
      <c r="C12929" t="s">
        <v>88</v>
      </c>
      <c r="D12929" t="s">
        <v>10214</v>
      </c>
      <c r="E12929" t="s">
        <v>655</v>
      </c>
      <c r="F12929" t="s">
        <v>88</v>
      </c>
      <c r="G12929" t="s">
        <v>88</v>
      </c>
      <c r="H12929" t="s">
        <v>92</v>
      </c>
    </row>
    <row r="12930" spans="1:8" x14ac:dyDescent="0.25">
      <c r="A12930" t="s">
        <v>366</v>
      </c>
      <c r="B12930" t="s">
        <v>898</v>
      </c>
      <c r="C12930" t="s">
        <v>88</v>
      </c>
      <c r="D12930" t="s">
        <v>10211</v>
      </c>
      <c r="E12930" t="s">
        <v>844</v>
      </c>
      <c r="F12930" t="s">
        <v>88</v>
      </c>
      <c r="G12930" t="s">
        <v>88</v>
      </c>
      <c r="H12930" t="s">
        <v>92</v>
      </c>
    </row>
    <row r="12931" spans="1:8" x14ac:dyDescent="0.25">
      <c r="A12931" t="s">
        <v>366</v>
      </c>
      <c r="B12931" t="s">
        <v>6727</v>
      </c>
      <c r="C12931" t="s">
        <v>88</v>
      </c>
      <c r="D12931" t="s">
        <v>10211</v>
      </c>
      <c r="E12931" t="s">
        <v>655</v>
      </c>
      <c r="F12931" t="s">
        <v>88</v>
      </c>
      <c r="G12931" t="s">
        <v>88</v>
      </c>
      <c r="H12931" t="s">
        <v>92</v>
      </c>
    </row>
    <row r="12932" spans="1:8" x14ac:dyDescent="0.25">
      <c r="A12932" t="s">
        <v>366</v>
      </c>
      <c r="B12932" t="s">
        <v>759</v>
      </c>
      <c r="C12932" t="s">
        <v>88</v>
      </c>
      <c r="D12932" t="s">
        <v>10211</v>
      </c>
      <c r="E12932" t="s">
        <v>655</v>
      </c>
      <c r="F12932" t="s">
        <v>88</v>
      </c>
      <c r="G12932" t="s">
        <v>88</v>
      </c>
      <c r="H12932" t="s">
        <v>92</v>
      </c>
    </row>
    <row r="12933" spans="1:8" x14ac:dyDescent="0.25">
      <c r="A12933" t="s">
        <v>366</v>
      </c>
      <c r="B12933" t="s">
        <v>10215</v>
      </c>
      <c r="C12933" t="s">
        <v>88</v>
      </c>
      <c r="D12933" t="s">
        <v>10211</v>
      </c>
      <c r="E12933" t="s">
        <v>692</v>
      </c>
      <c r="F12933" t="s">
        <v>88</v>
      </c>
      <c r="G12933" t="s">
        <v>88</v>
      </c>
      <c r="H12933" t="s">
        <v>92</v>
      </c>
    </row>
    <row r="12934" spans="1:8" x14ac:dyDescent="0.25">
      <c r="A12934" t="s">
        <v>366</v>
      </c>
      <c r="B12934" t="s">
        <v>10216</v>
      </c>
      <c r="C12934" t="s">
        <v>88</v>
      </c>
      <c r="D12934" t="s">
        <v>10211</v>
      </c>
      <c r="E12934" t="s">
        <v>692</v>
      </c>
      <c r="F12934" t="s">
        <v>88</v>
      </c>
      <c r="G12934" t="s">
        <v>88</v>
      </c>
      <c r="H12934" t="s">
        <v>92</v>
      </c>
    </row>
    <row r="12935" spans="1:8" x14ac:dyDescent="0.25">
      <c r="A12935" t="s">
        <v>366</v>
      </c>
      <c r="B12935" t="s">
        <v>1679</v>
      </c>
      <c r="C12935" t="s">
        <v>88</v>
      </c>
      <c r="D12935" t="s">
        <v>10211</v>
      </c>
      <c r="E12935" t="s">
        <v>844</v>
      </c>
      <c r="F12935" t="s">
        <v>88</v>
      </c>
      <c r="G12935" t="s">
        <v>88</v>
      </c>
      <c r="H12935" t="s">
        <v>92</v>
      </c>
    </row>
    <row r="12936" spans="1:8" x14ac:dyDescent="0.25">
      <c r="A12936" t="s">
        <v>366</v>
      </c>
      <c r="B12936" t="s">
        <v>769</v>
      </c>
      <c r="C12936" t="s">
        <v>88</v>
      </c>
      <c r="D12936" t="s">
        <v>10217</v>
      </c>
      <c r="E12936" t="s">
        <v>964</v>
      </c>
      <c r="F12936" t="s">
        <v>88</v>
      </c>
      <c r="G12936" t="s">
        <v>88</v>
      </c>
      <c r="H12936" t="s">
        <v>92</v>
      </c>
    </row>
    <row r="12937" spans="1:8" x14ac:dyDescent="0.25">
      <c r="A12937" t="s">
        <v>366</v>
      </c>
      <c r="B12937" t="s">
        <v>881</v>
      </c>
      <c r="C12937" t="s">
        <v>88</v>
      </c>
      <c r="D12937" t="s">
        <v>10211</v>
      </c>
      <c r="E12937" t="s">
        <v>655</v>
      </c>
      <c r="F12937" t="s">
        <v>88</v>
      </c>
      <c r="G12937" t="s">
        <v>88</v>
      </c>
      <c r="H12937" t="s">
        <v>92</v>
      </c>
    </row>
    <row r="12938" spans="1:8" x14ac:dyDescent="0.25">
      <c r="A12938" t="s">
        <v>366</v>
      </c>
      <c r="B12938" t="s">
        <v>10218</v>
      </c>
      <c r="C12938" t="s">
        <v>88</v>
      </c>
      <c r="D12938" t="s">
        <v>10211</v>
      </c>
      <c r="E12938" t="s">
        <v>655</v>
      </c>
      <c r="F12938" t="s">
        <v>88</v>
      </c>
      <c r="G12938" t="s">
        <v>88</v>
      </c>
      <c r="H12938" t="s">
        <v>92</v>
      </c>
    </row>
    <row r="12939" spans="1:8" x14ac:dyDescent="0.25">
      <c r="A12939" t="s">
        <v>366</v>
      </c>
      <c r="B12939" t="s">
        <v>768</v>
      </c>
      <c r="C12939" t="s">
        <v>88</v>
      </c>
      <c r="D12939" t="s">
        <v>10211</v>
      </c>
      <c r="E12939" t="s">
        <v>655</v>
      </c>
      <c r="F12939" t="s">
        <v>88</v>
      </c>
      <c r="G12939" t="s">
        <v>88</v>
      </c>
      <c r="H12939" t="s">
        <v>92</v>
      </c>
    </row>
    <row r="12940" spans="1:8" x14ac:dyDescent="0.25">
      <c r="A12940" t="s">
        <v>366</v>
      </c>
      <c r="B12940" t="s">
        <v>2021</v>
      </c>
      <c r="C12940" t="s">
        <v>88</v>
      </c>
      <c r="D12940" t="s">
        <v>88</v>
      </c>
      <c r="E12940" t="s">
        <v>702</v>
      </c>
      <c r="F12940" t="s">
        <v>88</v>
      </c>
      <c r="G12940" t="s">
        <v>88</v>
      </c>
      <c r="H12940" t="s">
        <v>92</v>
      </c>
    </row>
    <row r="12941" spans="1:8" x14ac:dyDescent="0.25">
      <c r="A12941" t="s">
        <v>366</v>
      </c>
      <c r="B12941" t="s">
        <v>1380</v>
      </c>
      <c r="C12941" t="s">
        <v>88</v>
      </c>
      <c r="D12941" t="s">
        <v>10219</v>
      </c>
      <c r="E12941" t="s">
        <v>700</v>
      </c>
      <c r="F12941" t="s">
        <v>88</v>
      </c>
      <c r="G12941" t="s">
        <v>88</v>
      </c>
      <c r="H12941" t="s">
        <v>92</v>
      </c>
    </row>
    <row r="12942" spans="1:8" x14ac:dyDescent="0.25">
      <c r="A12942" t="s">
        <v>366</v>
      </c>
      <c r="B12942" t="s">
        <v>891</v>
      </c>
      <c r="C12942" t="s">
        <v>88</v>
      </c>
      <c r="D12942" t="s">
        <v>88</v>
      </c>
      <c r="E12942" t="s">
        <v>700</v>
      </c>
      <c r="F12942" t="s">
        <v>88</v>
      </c>
      <c r="G12942" t="s">
        <v>88</v>
      </c>
      <c r="H12942" t="s">
        <v>92</v>
      </c>
    </row>
    <row r="12943" spans="1:8" x14ac:dyDescent="0.25">
      <c r="A12943" t="s">
        <v>366</v>
      </c>
      <c r="B12943" t="s">
        <v>892</v>
      </c>
      <c r="C12943" t="s">
        <v>88</v>
      </c>
      <c r="D12943" t="s">
        <v>88</v>
      </c>
      <c r="E12943" t="s">
        <v>700</v>
      </c>
      <c r="F12943" t="s">
        <v>88</v>
      </c>
      <c r="G12943" t="s">
        <v>88</v>
      </c>
      <c r="H12943" t="s">
        <v>92</v>
      </c>
    </row>
    <row r="12944" spans="1:8" x14ac:dyDescent="0.25">
      <c r="A12944" t="s">
        <v>366</v>
      </c>
      <c r="B12944" t="s">
        <v>895</v>
      </c>
      <c r="C12944" t="s">
        <v>88</v>
      </c>
      <c r="D12944" t="s">
        <v>88</v>
      </c>
      <c r="E12944" t="s">
        <v>655</v>
      </c>
      <c r="F12944" t="s">
        <v>88</v>
      </c>
      <c r="G12944" t="s">
        <v>88</v>
      </c>
      <c r="H12944" t="s">
        <v>92</v>
      </c>
    </row>
    <row r="12945" spans="1:8" x14ac:dyDescent="0.25">
      <c r="A12945" t="s">
        <v>366</v>
      </c>
      <c r="B12945" t="s">
        <v>890</v>
      </c>
      <c r="C12945" t="s">
        <v>88</v>
      </c>
      <c r="D12945" t="s">
        <v>88</v>
      </c>
      <c r="E12945" t="s">
        <v>700</v>
      </c>
      <c r="F12945" t="s">
        <v>88</v>
      </c>
      <c r="G12945" t="s">
        <v>88</v>
      </c>
      <c r="H12945" t="s">
        <v>92</v>
      </c>
    </row>
    <row r="12946" spans="1:8" x14ac:dyDescent="0.25">
      <c r="A12946" t="s">
        <v>366</v>
      </c>
      <c r="B12946" t="s">
        <v>1382</v>
      </c>
      <c r="C12946" t="s">
        <v>88</v>
      </c>
      <c r="D12946" t="s">
        <v>88</v>
      </c>
      <c r="E12946" t="s">
        <v>655</v>
      </c>
      <c r="F12946" t="s">
        <v>88</v>
      </c>
      <c r="G12946" t="s">
        <v>88</v>
      </c>
      <c r="H12946" t="s">
        <v>92</v>
      </c>
    </row>
    <row r="12947" spans="1:8" x14ac:dyDescent="0.25">
      <c r="A12947" t="s">
        <v>366</v>
      </c>
      <c r="B12947" t="s">
        <v>736</v>
      </c>
      <c r="C12947" t="s">
        <v>88</v>
      </c>
      <c r="D12947" t="s">
        <v>10210</v>
      </c>
      <c r="E12947" t="s">
        <v>780</v>
      </c>
      <c r="F12947" t="s">
        <v>88</v>
      </c>
      <c r="G12947" t="s">
        <v>88</v>
      </c>
      <c r="H12947" t="s">
        <v>92</v>
      </c>
    </row>
    <row r="12948" spans="1:8" x14ac:dyDescent="0.25">
      <c r="A12948" t="s">
        <v>366</v>
      </c>
      <c r="B12948" t="s">
        <v>739</v>
      </c>
      <c r="C12948" t="s">
        <v>88</v>
      </c>
      <c r="D12948" t="s">
        <v>10210</v>
      </c>
      <c r="E12948" t="s">
        <v>715</v>
      </c>
      <c r="F12948" t="s">
        <v>88</v>
      </c>
      <c r="G12948" t="s">
        <v>88</v>
      </c>
      <c r="H12948" t="s">
        <v>92</v>
      </c>
    </row>
    <row r="12949" spans="1:8" x14ac:dyDescent="0.25">
      <c r="A12949" t="s">
        <v>366</v>
      </c>
      <c r="B12949" t="s">
        <v>777</v>
      </c>
      <c r="C12949" t="s">
        <v>88</v>
      </c>
      <c r="D12949" t="s">
        <v>10210</v>
      </c>
      <c r="E12949" t="s">
        <v>780</v>
      </c>
      <c r="F12949" t="s">
        <v>88</v>
      </c>
      <c r="G12949" t="s">
        <v>88</v>
      </c>
      <c r="H12949" t="s">
        <v>92</v>
      </c>
    </row>
    <row r="12950" spans="1:8" x14ac:dyDescent="0.25">
      <c r="A12950" t="s">
        <v>366</v>
      </c>
      <c r="B12950" t="s">
        <v>705</v>
      </c>
      <c r="C12950" t="s">
        <v>88</v>
      </c>
      <c r="D12950" t="s">
        <v>88</v>
      </c>
      <c r="E12950" t="s">
        <v>709</v>
      </c>
      <c r="F12950" t="s">
        <v>88</v>
      </c>
      <c r="G12950" t="s">
        <v>88</v>
      </c>
      <c r="H12950" t="s">
        <v>92</v>
      </c>
    </row>
    <row r="12951" spans="1:8" x14ac:dyDescent="0.25">
      <c r="A12951" t="s">
        <v>366</v>
      </c>
      <c r="B12951" t="s">
        <v>612</v>
      </c>
      <c r="C12951" t="s">
        <v>88</v>
      </c>
      <c r="D12951" t="s">
        <v>88</v>
      </c>
      <c r="E12951" t="s">
        <v>709</v>
      </c>
      <c r="F12951" t="s">
        <v>88</v>
      </c>
      <c r="G12951" t="s">
        <v>88</v>
      </c>
      <c r="H12951" t="s">
        <v>92</v>
      </c>
    </row>
    <row r="12952" spans="1:8" x14ac:dyDescent="0.25">
      <c r="A12952" t="s">
        <v>366</v>
      </c>
      <c r="B12952" t="s">
        <v>615</v>
      </c>
      <c r="C12952" t="s">
        <v>88</v>
      </c>
      <c r="D12952" t="s">
        <v>88</v>
      </c>
      <c r="E12952" t="s">
        <v>709</v>
      </c>
      <c r="F12952" t="s">
        <v>88</v>
      </c>
      <c r="G12952" t="s">
        <v>88</v>
      </c>
      <c r="H12952" t="s">
        <v>92</v>
      </c>
    </row>
    <row r="12953" spans="1:8" x14ac:dyDescent="0.25">
      <c r="A12953" t="s">
        <v>366</v>
      </c>
      <c r="B12953" t="s">
        <v>617</v>
      </c>
      <c r="C12953" t="s">
        <v>88</v>
      </c>
      <c r="D12953" t="s">
        <v>88</v>
      </c>
      <c r="E12953" t="s">
        <v>709</v>
      </c>
      <c r="F12953" t="s">
        <v>88</v>
      </c>
      <c r="G12953" t="s">
        <v>88</v>
      </c>
      <c r="H12953" t="s">
        <v>92</v>
      </c>
    </row>
    <row r="12954" spans="1:8" x14ac:dyDescent="0.25">
      <c r="A12954" t="s">
        <v>366</v>
      </c>
      <c r="B12954" t="s">
        <v>733</v>
      </c>
      <c r="C12954" t="s">
        <v>88</v>
      </c>
      <c r="D12954" t="s">
        <v>88</v>
      </c>
      <c r="E12954" t="s">
        <v>709</v>
      </c>
      <c r="F12954" t="s">
        <v>88</v>
      </c>
      <c r="G12954" t="s">
        <v>88</v>
      </c>
      <c r="H12954" t="s">
        <v>92</v>
      </c>
    </row>
    <row r="12955" spans="1:8" x14ac:dyDescent="0.25">
      <c r="A12955" t="s">
        <v>366</v>
      </c>
      <c r="B12955" t="s">
        <v>794</v>
      </c>
      <c r="C12955" t="s">
        <v>88</v>
      </c>
      <c r="D12955" t="s">
        <v>88</v>
      </c>
      <c r="E12955" t="s">
        <v>709</v>
      </c>
      <c r="F12955" t="s">
        <v>88</v>
      </c>
      <c r="G12955" t="s">
        <v>88</v>
      </c>
      <c r="H12955" t="s">
        <v>92</v>
      </c>
    </row>
    <row r="12956" spans="1:8" x14ac:dyDescent="0.25">
      <c r="A12956" t="s">
        <v>366</v>
      </c>
      <c r="B12956" t="s">
        <v>795</v>
      </c>
      <c r="C12956" t="s">
        <v>88</v>
      </c>
      <c r="D12956" t="s">
        <v>88</v>
      </c>
      <c r="E12956" t="s">
        <v>711</v>
      </c>
      <c r="F12956" t="s">
        <v>88</v>
      </c>
      <c r="G12956" t="s">
        <v>88</v>
      </c>
      <c r="H12956" t="s">
        <v>92</v>
      </c>
    </row>
    <row r="12957" spans="1:8" x14ac:dyDescent="0.25">
      <c r="A12957" t="s">
        <v>366</v>
      </c>
      <c r="B12957" t="s">
        <v>623</v>
      </c>
      <c r="C12957" t="s">
        <v>88</v>
      </c>
      <c r="D12957" t="s">
        <v>88</v>
      </c>
      <c r="E12957" t="s">
        <v>735</v>
      </c>
      <c r="F12957" t="s">
        <v>88</v>
      </c>
      <c r="G12957" t="s">
        <v>88</v>
      </c>
      <c r="H12957" t="s">
        <v>92</v>
      </c>
    </row>
    <row r="12958" spans="1:8" x14ac:dyDescent="0.25">
      <c r="A12958" t="s">
        <v>366</v>
      </c>
      <c r="B12958" t="s">
        <v>625</v>
      </c>
      <c r="C12958" t="s">
        <v>88</v>
      </c>
      <c r="D12958" t="s">
        <v>88</v>
      </c>
      <c r="E12958" t="s">
        <v>626</v>
      </c>
      <c r="F12958" t="s">
        <v>88</v>
      </c>
      <c r="G12958" t="s">
        <v>88</v>
      </c>
      <c r="H12958" t="s">
        <v>92</v>
      </c>
    </row>
    <row r="12959" spans="1:8" x14ac:dyDescent="0.25">
      <c r="A12959" t="s">
        <v>367</v>
      </c>
      <c r="B12959" t="s">
        <v>10220</v>
      </c>
      <c r="C12959" t="s">
        <v>88</v>
      </c>
      <c r="D12959" t="s">
        <v>10221</v>
      </c>
      <c r="E12959" t="s">
        <v>692</v>
      </c>
      <c r="F12959" t="s">
        <v>88</v>
      </c>
      <c r="G12959" t="s">
        <v>88</v>
      </c>
      <c r="H12959" t="s">
        <v>92</v>
      </c>
    </row>
    <row r="12960" spans="1:8" x14ac:dyDescent="0.25">
      <c r="A12960" t="s">
        <v>367</v>
      </c>
      <c r="B12960" t="s">
        <v>10222</v>
      </c>
      <c r="C12960" t="s">
        <v>88</v>
      </c>
      <c r="D12960" t="s">
        <v>10221</v>
      </c>
      <c r="E12960" t="s">
        <v>692</v>
      </c>
      <c r="F12960" t="s">
        <v>88</v>
      </c>
      <c r="G12960" t="s">
        <v>88</v>
      </c>
      <c r="H12960" t="s">
        <v>92</v>
      </c>
    </row>
    <row r="12961" spans="1:8" x14ac:dyDescent="0.25">
      <c r="A12961" t="s">
        <v>367</v>
      </c>
      <c r="B12961" t="s">
        <v>10223</v>
      </c>
      <c r="C12961" t="s">
        <v>88</v>
      </c>
      <c r="D12961" t="s">
        <v>10224</v>
      </c>
      <c r="E12961" t="s">
        <v>964</v>
      </c>
      <c r="F12961" t="s">
        <v>88</v>
      </c>
      <c r="G12961" t="s">
        <v>88</v>
      </c>
      <c r="H12961" t="s">
        <v>92</v>
      </c>
    </row>
    <row r="12962" spans="1:8" x14ac:dyDescent="0.25">
      <c r="A12962" t="s">
        <v>367</v>
      </c>
      <c r="B12962" t="s">
        <v>6013</v>
      </c>
      <c r="C12962" t="s">
        <v>88</v>
      </c>
      <c r="D12962" t="s">
        <v>88</v>
      </c>
      <c r="E12962" t="s">
        <v>709</v>
      </c>
      <c r="F12962" t="s">
        <v>88</v>
      </c>
      <c r="G12962" t="s">
        <v>88</v>
      </c>
      <c r="H12962" t="s">
        <v>92</v>
      </c>
    </row>
    <row r="12963" spans="1:8" x14ac:dyDescent="0.25">
      <c r="A12963" t="s">
        <v>367</v>
      </c>
      <c r="B12963" t="s">
        <v>10225</v>
      </c>
      <c r="C12963" t="s">
        <v>88</v>
      </c>
      <c r="D12963" t="s">
        <v>10226</v>
      </c>
      <c r="E12963" t="s">
        <v>799</v>
      </c>
      <c r="F12963" t="s">
        <v>88</v>
      </c>
      <c r="G12963" t="s">
        <v>88</v>
      </c>
      <c r="H12963" t="s">
        <v>92</v>
      </c>
    </row>
    <row r="12964" spans="1:8" x14ac:dyDescent="0.25">
      <c r="A12964" t="s">
        <v>367</v>
      </c>
      <c r="B12964" t="s">
        <v>10220</v>
      </c>
      <c r="C12964" t="s">
        <v>88</v>
      </c>
      <c r="D12964" t="s">
        <v>10221</v>
      </c>
      <c r="E12964" t="s">
        <v>692</v>
      </c>
      <c r="F12964" t="s">
        <v>88</v>
      </c>
      <c r="G12964" t="s">
        <v>88</v>
      </c>
      <c r="H12964" t="s">
        <v>92</v>
      </c>
    </row>
    <row r="12965" spans="1:8" x14ac:dyDescent="0.25">
      <c r="A12965" t="s">
        <v>367</v>
      </c>
      <c r="B12965" t="s">
        <v>10227</v>
      </c>
      <c r="C12965" t="s">
        <v>88</v>
      </c>
      <c r="D12965" t="s">
        <v>10221</v>
      </c>
      <c r="E12965" t="s">
        <v>692</v>
      </c>
      <c r="F12965" t="s">
        <v>88</v>
      </c>
      <c r="G12965" t="s">
        <v>88</v>
      </c>
      <c r="H12965" t="s">
        <v>92</v>
      </c>
    </row>
    <row r="12966" spans="1:8" x14ac:dyDescent="0.25">
      <c r="A12966" t="s">
        <v>367</v>
      </c>
      <c r="B12966" t="s">
        <v>10222</v>
      </c>
      <c r="C12966" t="s">
        <v>88</v>
      </c>
      <c r="D12966" t="s">
        <v>10221</v>
      </c>
      <c r="E12966" t="s">
        <v>692</v>
      </c>
      <c r="F12966" t="s">
        <v>88</v>
      </c>
      <c r="G12966" t="s">
        <v>88</v>
      </c>
      <c r="H12966" t="s">
        <v>92</v>
      </c>
    </row>
    <row r="12967" spans="1:8" x14ac:dyDescent="0.25">
      <c r="A12967" t="s">
        <v>367</v>
      </c>
      <c r="B12967" t="s">
        <v>10228</v>
      </c>
      <c r="C12967" t="s">
        <v>88</v>
      </c>
      <c r="D12967" t="s">
        <v>10221</v>
      </c>
      <c r="E12967" t="s">
        <v>692</v>
      </c>
      <c r="F12967" t="s">
        <v>88</v>
      </c>
      <c r="G12967" t="s">
        <v>88</v>
      </c>
      <c r="H12967" t="s">
        <v>92</v>
      </c>
    </row>
    <row r="12968" spans="1:8" x14ac:dyDescent="0.25">
      <c r="A12968" t="s">
        <v>367</v>
      </c>
      <c r="B12968" t="s">
        <v>10229</v>
      </c>
      <c r="C12968" t="s">
        <v>88</v>
      </c>
      <c r="D12968" t="s">
        <v>10221</v>
      </c>
      <c r="E12968" t="s">
        <v>692</v>
      </c>
      <c r="F12968" t="s">
        <v>88</v>
      </c>
      <c r="G12968" t="s">
        <v>88</v>
      </c>
      <c r="H12968" t="s">
        <v>92</v>
      </c>
    </row>
    <row r="12969" spans="1:8" x14ac:dyDescent="0.25">
      <c r="A12969" t="s">
        <v>367</v>
      </c>
      <c r="B12969" t="s">
        <v>10230</v>
      </c>
      <c r="C12969" t="s">
        <v>88</v>
      </c>
      <c r="D12969" t="s">
        <v>10221</v>
      </c>
      <c r="E12969" t="s">
        <v>676</v>
      </c>
      <c r="F12969" t="s">
        <v>88</v>
      </c>
      <c r="G12969" t="s">
        <v>88</v>
      </c>
      <c r="H12969" t="s">
        <v>92</v>
      </c>
    </row>
    <row r="12970" spans="1:8" x14ac:dyDescent="0.25">
      <c r="A12970" t="s">
        <v>367</v>
      </c>
      <c r="B12970" t="s">
        <v>10223</v>
      </c>
      <c r="C12970" t="s">
        <v>88</v>
      </c>
      <c r="D12970" t="s">
        <v>10224</v>
      </c>
      <c r="E12970" t="s">
        <v>964</v>
      </c>
      <c r="F12970" t="s">
        <v>88</v>
      </c>
      <c r="G12970" t="s">
        <v>88</v>
      </c>
      <c r="H12970" t="s">
        <v>92</v>
      </c>
    </row>
    <row r="12971" spans="1:8" x14ac:dyDescent="0.25">
      <c r="A12971" t="s">
        <v>367</v>
      </c>
      <c r="B12971" t="s">
        <v>10231</v>
      </c>
      <c r="C12971" t="s">
        <v>88</v>
      </c>
      <c r="D12971" t="s">
        <v>10224</v>
      </c>
      <c r="E12971" t="s">
        <v>964</v>
      </c>
      <c r="F12971" t="s">
        <v>88</v>
      </c>
      <c r="G12971" t="s">
        <v>88</v>
      </c>
      <c r="H12971" t="s">
        <v>92</v>
      </c>
    </row>
    <row r="12972" spans="1:8" x14ac:dyDescent="0.25">
      <c r="A12972" t="s">
        <v>367</v>
      </c>
      <c r="B12972" t="s">
        <v>10232</v>
      </c>
      <c r="C12972" t="s">
        <v>88</v>
      </c>
      <c r="D12972" t="s">
        <v>10224</v>
      </c>
      <c r="E12972" t="s">
        <v>964</v>
      </c>
      <c r="F12972" t="s">
        <v>88</v>
      </c>
      <c r="G12972" t="s">
        <v>88</v>
      </c>
      <c r="H12972" t="s">
        <v>92</v>
      </c>
    </row>
    <row r="12973" spans="1:8" x14ac:dyDescent="0.25">
      <c r="A12973" t="s">
        <v>367</v>
      </c>
      <c r="B12973" t="s">
        <v>10233</v>
      </c>
      <c r="C12973" t="s">
        <v>88</v>
      </c>
      <c r="D12973" t="s">
        <v>10224</v>
      </c>
      <c r="E12973" t="s">
        <v>964</v>
      </c>
      <c r="F12973" t="s">
        <v>88</v>
      </c>
      <c r="G12973" t="s">
        <v>88</v>
      </c>
      <c r="H12973" t="s">
        <v>92</v>
      </c>
    </row>
    <row r="12974" spans="1:8" x14ac:dyDescent="0.25">
      <c r="A12974" t="s">
        <v>367</v>
      </c>
      <c r="B12974" t="s">
        <v>10234</v>
      </c>
      <c r="C12974" t="s">
        <v>88</v>
      </c>
      <c r="D12974" t="s">
        <v>10224</v>
      </c>
      <c r="E12974" t="s">
        <v>814</v>
      </c>
      <c r="F12974" t="s">
        <v>88</v>
      </c>
      <c r="G12974" t="s">
        <v>88</v>
      </c>
      <c r="H12974" t="s">
        <v>92</v>
      </c>
    </row>
    <row r="12975" spans="1:8" x14ac:dyDescent="0.25">
      <c r="A12975" t="s">
        <v>367</v>
      </c>
      <c r="B12975" t="s">
        <v>6600</v>
      </c>
      <c r="C12975" t="s">
        <v>88</v>
      </c>
      <c r="D12975" t="s">
        <v>10224</v>
      </c>
      <c r="E12975" t="s">
        <v>841</v>
      </c>
      <c r="F12975" t="s">
        <v>88</v>
      </c>
      <c r="G12975" t="s">
        <v>88</v>
      </c>
      <c r="H12975" t="s">
        <v>92</v>
      </c>
    </row>
    <row r="12976" spans="1:8" x14ac:dyDescent="0.25">
      <c r="A12976" t="s">
        <v>367</v>
      </c>
      <c r="B12976" t="s">
        <v>10235</v>
      </c>
      <c r="C12976" t="s">
        <v>88</v>
      </c>
      <c r="D12976" t="s">
        <v>10236</v>
      </c>
      <c r="E12976" t="s">
        <v>1221</v>
      </c>
      <c r="F12976" t="s">
        <v>88</v>
      </c>
      <c r="G12976" t="s">
        <v>88</v>
      </c>
      <c r="H12976" t="s">
        <v>92</v>
      </c>
    </row>
    <row r="12977" spans="1:8" x14ac:dyDescent="0.25">
      <c r="A12977" t="s">
        <v>367</v>
      </c>
      <c r="B12977" t="s">
        <v>8006</v>
      </c>
      <c r="C12977" t="s">
        <v>88</v>
      </c>
      <c r="D12977" t="s">
        <v>10236</v>
      </c>
      <c r="E12977" t="s">
        <v>1221</v>
      </c>
      <c r="F12977" t="s">
        <v>88</v>
      </c>
      <c r="G12977" t="s">
        <v>88</v>
      </c>
      <c r="H12977" t="s">
        <v>92</v>
      </c>
    </row>
    <row r="12978" spans="1:8" x14ac:dyDescent="0.25">
      <c r="A12978" t="s">
        <v>367</v>
      </c>
      <c r="B12978" t="s">
        <v>10237</v>
      </c>
      <c r="C12978" t="s">
        <v>88</v>
      </c>
      <c r="D12978" t="s">
        <v>10236</v>
      </c>
      <c r="E12978" t="s">
        <v>1221</v>
      </c>
      <c r="F12978" t="s">
        <v>88</v>
      </c>
      <c r="G12978" t="s">
        <v>88</v>
      </c>
      <c r="H12978" t="s">
        <v>92</v>
      </c>
    </row>
    <row r="12979" spans="1:8" x14ac:dyDescent="0.25">
      <c r="A12979" t="s">
        <v>367</v>
      </c>
      <c r="B12979" t="s">
        <v>10238</v>
      </c>
      <c r="C12979" t="s">
        <v>88</v>
      </c>
      <c r="D12979" t="s">
        <v>10236</v>
      </c>
      <c r="E12979" t="s">
        <v>1221</v>
      </c>
      <c r="F12979" t="s">
        <v>88</v>
      </c>
      <c r="G12979" t="s">
        <v>88</v>
      </c>
      <c r="H12979" t="s">
        <v>92</v>
      </c>
    </row>
    <row r="12980" spans="1:8" x14ac:dyDescent="0.25">
      <c r="A12980" t="s">
        <v>367</v>
      </c>
      <c r="B12980" t="s">
        <v>10239</v>
      </c>
      <c r="C12980" t="s">
        <v>88</v>
      </c>
      <c r="D12980" t="s">
        <v>10240</v>
      </c>
      <c r="E12980" t="s">
        <v>692</v>
      </c>
      <c r="F12980" t="s">
        <v>88</v>
      </c>
      <c r="G12980" t="s">
        <v>88</v>
      </c>
      <c r="H12980" t="s">
        <v>92</v>
      </c>
    </row>
    <row r="12981" spans="1:8" x14ac:dyDescent="0.25">
      <c r="A12981" t="s">
        <v>367</v>
      </c>
      <c r="B12981" t="s">
        <v>10241</v>
      </c>
      <c r="C12981" t="s">
        <v>88</v>
      </c>
      <c r="D12981" t="s">
        <v>10240</v>
      </c>
      <c r="E12981" t="s">
        <v>692</v>
      </c>
      <c r="F12981" t="s">
        <v>88</v>
      </c>
      <c r="G12981" t="s">
        <v>88</v>
      </c>
      <c r="H12981" t="s">
        <v>92</v>
      </c>
    </row>
    <row r="12982" spans="1:8" x14ac:dyDescent="0.25">
      <c r="A12982" t="s">
        <v>367</v>
      </c>
      <c r="B12982" t="s">
        <v>10242</v>
      </c>
      <c r="C12982" t="s">
        <v>88</v>
      </c>
      <c r="D12982" t="s">
        <v>10240</v>
      </c>
      <c r="E12982" t="s">
        <v>692</v>
      </c>
      <c r="F12982" t="s">
        <v>88</v>
      </c>
      <c r="G12982" t="s">
        <v>88</v>
      </c>
      <c r="H12982" t="s">
        <v>92</v>
      </c>
    </row>
    <row r="12983" spans="1:8" x14ac:dyDescent="0.25">
      <c r="A12983" t="s">
        <v>367</v>
      </c>
      <c r="B12983" t="s">
        <v>10243</v>
      </c>
      <c r="C12983" t="s">
        <v>88</v>
      </c>
      <c r="D12983" t="s">
        <v>10226</v>
      </c>
      <c r="E12983" t="s">
        <v>679</v>
      </c>
      <c r="F12983" t="s">
        <v>88</v>
      </c>
      <c r="G12983" t="s">
        <v>88</v>
      </c>
      <c r="H12983" t="s">
        <v>92</v>
      </c>
    </row>
    <row r="12984" spans="1:8" x14ac:dyDescent="0.25">
      <c r="A12984" t="s">
        <v>367</v>
      </c>
      <c r="B12984" t="s">
        <v>10225</v>
      </c>
      <c r="C12984" t="s">
        <v>88</v>
      </c>
      <c r="D12984" t="s">
        <v>10226</v>
      </c>
      <c r="E12984" t="s">
        <v>799</v>
      </c>
      <c r="F12984" t="s">
        <v>88</v>
      </c>
      <c r="G12984" t="s">
        <v>88</v>
      </c>
      <c r="H12984" t="s">
        <v>92</v>
      </c>
    </row>
    <row r="12985" spans="1:8" x14ac:dyDescent="0.25">
      <c r="A12985" t="s">
        <v>367</v>
      </c>
      <c r="B12985" t="s">
        <v>6013</v>
      </c>
      <c r="C12985" t="s">
        <v>88</v>
      </c>
      <c r="D12985" t="s">
        <v>88</v>
      </c>
      <c r="E12985" t="s">
        <v>709</v>
      </c>
      <c r="F12985" t="s">
        <v>88</v>
      </c>
      <c r="G12985" t="s">
        <v>88</v>
      </c>
      <c r="H12985" t="s">
        <v>92</v>
      </c>
    </row>
    <row r="12986" spans="1:8" x14ac:dyDescent="0.25">
      <c r="A12986" t="s">
        <v>367</v>
      </c>
      <c r="B12986" t="s">
        <v>10244</v>
      </c>
      <c r="C12986" t="s">
        <v>88</v>
      </c>
      <c r="D12986" t="s">
        <v>88</v>
      </c>
      <c r="E12986" t="s">
        <v>734</v>
      </c>
      <c r="F12986" t="s">
        <v>88</v>
      </c>
      <c r="G12986" t="s">
        <v>88</v>
      </c>
      <c r="H12986" t="s">
        <v>92</v>
      </c>
    </row>
    <row r="12987" spans="1:8" x14ac:dyDescent="0.25">
      <c r="A12987" t="s">
        <v>367</v>
      </c>
      <c r="B12987" t="s">
        <v>10245</v>
      </c>
      <c r="C12987" t="s">
        <v>88</v>
      </c>
      <c r="D12987" t="s">
        <v>88</v>
      </c>
      <c r="E12987" t="s">
        <v>734</v>
      </c>
      <c r="F12987" t="s">
        <v>88</v>
      </c>
      <c r="G12987" t="s">
        <v>88</v>
      </c>
      <c r="H12987" t="s">
        <v>92</v>
      </c>
    </row>
    <row r="12988" spans="1:8" x14ac:dyDescent="0.25">
      <c r="A12988" t="s">
        <v>367</v>
      </c>
      <c r="B12988" t="s">
        <v>706</v>
      </c>
      <c r="C12988" t="s">
        <v>88</v>
      </c>
      <c r="D12988" t="s">
        <v>88</v>
      </c>
      <c r="E12988" t="s">
        <v>734</v>
      </c>
      <c r="F12988" t="s">
        <v>88</v>
      </c>
      <c r="G12988" t="s">
        <v>88</v>
      </c>
      <c r="H12988" t="s">
        <v>92</v>
      </c>
    </row>
    <row r="12989" spans="1:8" x14ac:dyDescent="0.25">
      <c r="A12989" t="s">
        <v>367</v>
      </c>
      <c r="B12989" t="s">
        <v>1821</v>
      </c>
      <c r="C12989" t="s">
        <v>88</v>
      </c>
      <c r="D12989" t="s">
        <v>88</v>
      </c>
      <c r="E12989" t="s">
        <v>848</v>
      </c>
      <c r="F12989" t="s">
        <v>88</v>
      </c>
      <c r="G12989" t="s">
        <v>88</v>
      </c>
      <c r="H12989" t="s">
        <v>92</v>
      </c>
    </row>
    <row r="12990" spans="1:8" x14ac:dyDescent="0.25">
      <c r="A12990" t="s">
        <v>367</v>
      </c>
      <c r="B12990" t="s">
        <v>10246</v>
      </c>
      <c r="C12990" t="s">
        <v>88</v>
      </c>
      <c r="D12990" t="s">
        <v>88</v>
      </c>
      <c r="E12990" t="s">
        <v>848</v>
      </c>
      <c r="F12990" t="s">
        <v>88</v>
      </c>
      <c r="G12990" t="s">
        <v>88</v>
      </c>
      <c r="H12990" t="s">
        <v>92</v>
      </c>
    </row>
    <row r="12991" spans="1:8" x14ac:dyDescent="0.25">
      <c r="A12991" t="s">
        <v>367</v>
      </c>
      <c r="B12991" t="s">
        <v>623</v>
      </c>
      <c r="C12991" t="s">
        <v>88</v>
      </c>
      <c r="D12991" t="s">
        <v>88</v>
      </c>
      <c r="E12991" t="s">
        <v>735</v>
      </c>
      <c r="F12991" t="s">
        <v>88</v>
      </c>
      <c r="G12991" t="s">
        <v>88</v>
      </c>
      <c r="H12991" t="s">
        <v>92</v>
      </c>
    </row>
    <row r="12992" spans="1:8" x14ac:dyDescent="0.25">
      <c r="A12992" t="s">
        <v>367</v>
      </c>
      <c r="B12992" t="s">
        <v>714</v>
      </c>
      <c r="C12992" t="s">
        <v>88</v>
      </c>
      <c r="D12992" t="s">
        <v>88</v>
      </c>
      <c r="E12992" t="s">
        <v>1594</v>
      </c>
      <c r="F12992" t="s">
        <v>88</v>
      </c>
      <c r="G12992" t="s">
        <v>88</v>
      </c>
      <c r="H12992" t="s">
        <v>92</v>
      </c>
    </row>
    <row r="12993" spans="1:8" x14ac:dyDescent="0.25">
      <c r="A12993" t="s">
        <v>367</v>
      </c>
      <c r="B12993" t="s">
        <v>998</v>
      </c>
      <c r="C12993" t="s">
        <v>88</v>
      </c>
      <c r="D12993" t="s">
        <v>88</v>
      </c>
      <c r="E12993" t="s">
        <v>1594</v>
      </c>
      <c r="F12993" t="s">
        <v>88</v>
      </c>
      <c r="G12993" t="s">
        <v>88</v>
      </c>
      <c r="H12993" t="s">
        <v>92</v>
      </c>
    </row>
    <row r="12994" spans="1:8" x14ac:dyDescent="0.25">
      <c r="A12994" t="s">
        <v>367</v>
      </c>
      <c r="B12994" t="s">
        <v>625</v>
      </c>
      <c r="C12994" t="s">
        <v>88</v>
      </c>
      <c r="D12994" t="s">
        <v>88</v>
      </c>
      <c r="E12994" t="s">
        <v>626</v>
      </c>
      <c r="F12994" t="s">
        <v>88</v>
      </c>
      <c r="G12994" t="s">
        <v>88</v>
      </c>
      <c r="H12994" t="s">
        <v>92</v>
      </c>
    </row>
    <row r="12995" spans="1:8" x14ac:dyDescent="0.25">
      <c r="A12995" t="s">
        <v>369</v>
      </c>
      <c r="B12995" t="s">
        <v>10247</v>
      </c>
      <c r="C12995" t="s">
        <v>88</v>
      </c>
      <c r="D12995" t="s">
        <v>10248</v>
      </c>
      <c r="E12995" t="s">
        <v>5943</v>
      </c>
      <c r="F12995" t="s">
        <v>88</v>
      </c>
      <c r="G12995" t="s">
        <v>88</v>
      </c>
      <c r="H12995" t="s">
        <v>92</v>
      </c>
    </row>
    <row r="12996" spans="1:8" x14ac:dyDescent="0.25">
      <c r="A12996" t="s">
        <v>369</v>
      </c>
      <c r="B12996" t="s">
        <v>10249</v>
      </c>
      <c r="C12996" t="s">
        <v>88</v>
      </c>
      <c r="D12996" t="s">
        <v>10250</v>
      </c>
      <c r="E12996" t="s">
        <v>2467</v>
      </c>
      <c r="F12996" t="s">
        <v>88</v>
      </c>
      <c r="G12996" t="s">
        <v>88</v>
      </c>
      <c r="H12996" t="s">
        <v>92</v>
      </c>
    </row>
    <row r="12997" spans="1:8" x14ac:dyDescent="0.25">
      <c r="A12997" t="s">
        <v>369</v>
      </c>
      <c r="B12997" t="s">
        <v>9741</v>
      </c>
      <c r="C12997" t="s">
        <v>88</v>
      </c>
      <c r="D12997" t="s">
        <v>10251</v>
      </c>
      <c r="E12997" t="s">
        <v>760</v>
      </c>
      <c r="F12997" t="s">
        <v>88</v>
      </c>
      <c r="G12997" t="s">
        <v>88</v>
      </c>
      <c r="H12997" t="s">
        <v>92</v>
      </c>
    </row>
    <row r="12998" spans="1:8" x14ac:dyDescent="0.25">
      <c r="A12998" t="s">
        <v>369</v>
      </c>
      <c r="B12998" t="s">
        <v>3284</v>
      </c>
      <c r="C12998" t="s">
        <v>88</v>
      </c>
      <c r="D12998" t="s">
        <v>10252</v>
      </c>
      <c r="E12998" t="s">
        <v>762</v>
      </c>
      <c r="F12998" t="s">
        <v>88</v>
      </c>
      <c r="G12998" t="s">
        <v>88</v>
      </c>
      <c r="H12998" t="s">
        <v>92</v>
      </c>
    </row>
    <row r="12999" spans="1:8" x14ac:dyDescent="0.25">
      <c r="A12999" t="s">
        <v>369</v>
      </c>
      <c r="B12999" t="s">
        <v>768</v>
      </c>
      <c r="C12999" t="s">
        <v>88</v>
      </c>
      <c r="D12999" t="s">
        <v>10253</v>
      </c>
      <c r="E12999" t="s">
        <v>760</v>
      </c>
      <c r="F12999" t="s">
        <v>88</v>
      </c>
      <c r="G12999" t="s">
        <v>88</v>
      </c>
      <c r="H12999" t="s">
        <v>92</v>
      </c>
    </row>
    <row r="13000" spans="1:8" x14ac:dyDescent="0.25">
      <c r="A13000" t="s">
        <v>369</v>
      </c>
      <c r="B13000" t="s">
        <v>10254</v>
      </c>
      <c r="C13000" t="s">
        <v>88</v>
      </c>
      <c r="D13000" t="s">
        <v>10255</v>
      </c>
      <c r="E13000" t="s">
        <v>760</v>
      </c>
      <c r="F13000" t="s">
        <v>88</v>
      </c>
      <c r="G13000" t="s">
        <v>88</v>
      </c>
      <c r="H13000" t="s">
        <v>92</v>
      </c>
    </row>
    <row r="13001" spans="1:8" x14ac:dyDescent="0.25">
      <c r="A13001" t="s">
        <v>369</v>
      </c>
      <c r="B13001" t="s">
        <v>2310</v>
      </c>
      <c r="C13001" t="s">
        <v>88</v>
      </c>
      <c r="D13001" t="s">
        <v>10256</v>
      </c>
      <c r="E13001" t="s">
        <v>760</v>
      </c>
      <c r="F13001" t="s">
        <v>88</v>
      </c>
      <c r="G13001" t="s">
        <v>88</v>
      </c>
      <c r="H13001" t="s">
        <v>92</v>
      </c>
    </row>
    <row r="13002" spans="1:8" x14ac:dyDescent="0.25">
      <c r="A13002" t="s">
        <v>369</v>
      </c>
      <c r="B13002" t="s">
        <v>2322</v>
      </c>
      <c r="C13002" t="s">
        <v>88</v>
      </c>
      <c r="D13002" t="s">
        <v>10257</v>
      </c>
      <c r="E13002" t="s">
        <v>760</v>
      </c>
      <c r="F13002" t="s">
        <v>88</v>
      </c>
      <c r="G13002" t="s">
        <v>88</v>
      </c>
      <c r="H13002" t="s">
        <v>92</v>
      </c>
    </row>
    <row r="13003" spans="1:8" x14ac:dyDescent="0.25">
      <c r="A13003" t="s">
        <v>369</v>
      </c>
      <c r="B13003" t="s">
        <v>5329</v>
      </c>
      <c r="C13003" t="s">
        <v>88</v>
      </c>
      <c r="D13003" t="s">
        <v>10258</v>
      </c>
      <c r="E13003" t="s">
        <v>655</v>
      </c>
      <c r="F13003" t="s">
        <v>88</v>
      </c>
      <c r="G13003" t="s">
        <v>88</v>
      </c>
      <c r="H13003" t="s">
        <v>92</v>
      </c>
    </row>
    <row r="13004" spans="1:8" x14ac:dyDescent="0.25">
      <c r="A13004" t="s">
        <v>369</v>
      </c>
      <c r="B13004" t="s">
        <v>2399</v>
      </c>
      <c r="C13004" t="s">
        <v>88</v>
      </c>
      <c r="D13004" t="s">
        <v>10259</v>
      </c>
      <c r="E13004" t="s">
        <v>1680</v>
      </c>
      <c r="F13004" t="s">
        <v>88</v>
      </c>
      <c r="G13004" t="s">
        <v>88</v>
      </c>
      <c r="H13004" t="s">
        <v>92</v>
      </c>
    </row>
    <row r="13005" spans="1:8" x14ac:dyDescent="0.25">
      <c r="A13005" t="s">
        <v>369</v>
      </c>
      <c r="B13005" t="s">
        <v>3323</v>
      </c>
      <c r="C13005" t="s">
        <v>88</v>
      </c>
      <c r="D13005" t="s">
        <v>10260</v>
      </c>
      <c r="E13005" t="s">
        <v>836</v>
      </c>
      <c r="F13005" t="s">
        <v>88</v>
      </c>
      <c r="G13005" t="s">
        <v>88</v>
      </c>
      <c r="H13005" t="s">
        <v>92</v>
      </c>
    </row>
    <row r="13006" spans="1:8" x14ac:dyDescent="0.25">
      <c r="A13006" t="s">
        <v>369</v>
      </c>
      <c r="B13006" t="s">
        <v>2308</v>
      </c>
      <c r="C13006" t="s">
        <v>88</v>
      </c>
      <c r="D13006" t="s">
        <v>10261</v>
      </c>
      <c r="E13006" t="s">
        <v>1006</v>
      </c>
      <c r="F13006" t="s">
        <v>88</v>
      </c>
      <c r="G13006" t="s">
        <v>88</v>
      </c>
      <c r="H13006" t="s">
        <v>92</v>
      </c>
    </row>
    <row r="13007" spans="1:8" x14ac:dyDescent="0.25">
      <c r="A13007" t="s">
        <v>369</v>
      </c>
      <c r="B13007" t="s">
        <v>10262</v>
      </c>
      <c r="C13007" t="s">
        <v>88</v>
      </c>
      <c r="D13007" t="s">
        <v>10263</v>
      </c>
      <c r="E13007" t="s">
        <v>820</v>
      </c>
      <c r="F13007" t="s">
        <v>88</v>
      </c>
      <c r="G13007" t="s">
        <v>88</v>
      </c>
      <c r="H13007" t="s">
        <v>92</v>
      </c>
    </row>
    <row r="13008" spans="1:8" x14ac:dyDescent="0.25">
      <c r="A13008" t="s">
        <v>369</v>
      </c>
      <c r="B13008" t="s">
        <v>2398</v>
      </c>
      <c r="C13008" t="s">
        <v>88</v>
      </c>
      <c r="D13008" t="s">
        <v>10264</v>
      </c>
      <c r="E13008" t="s">
        <v>836</v>
      </c>
      <c r="F13008" t="s">
        <v>88</v>
      </c>
      <c r="G13008" t="s">
        <v>88</v>
      </c>
      <c r="H13008" t="s">
        <v>92</v>
      </c>
    </row>
    <row r="13009" spans="1:8" x14ac:dyDescent="0.25">
      <c r="A13009" t="s">
        <v>369</v>
      </c>
      <c r="B13009" t="s">
        <v>586</v>
      </c>
      <c r="C13009" t="s">
        <v>88</v>
      </c>
      <c r="D13009" t="s">
        <v>10265</v>
      </c>
      <c r="E13009" t="s">
        <v>1282</v>
      </c>
      <c r="F13009" t="s">
        <v>88</v>
      </c>
      <c r="G13009" t="s">
        <v>88</v>
      </c>
      <c r="H13009" t="s">
        <v>92</v>
      </c>
    </row>
    <row r="13010" spans="1:8" x14ac:dyDescent="0.25">
      <c r="A13010" t="s">
        <v>369</v>
      </c>
      <c r="B13010" t="s">
        <v>594</v>
      </c>
      <c r="C13010" t="s">
        <v>88</v>
      </c>
      <c r="D13010" t="s">
        <v>10266</v>
      </c>
      <c r="E13010" t="s">
        <v>717</v>
      </c>
      <c r="F13010" t="s">
        <v>88</v>
      </c>
      <c r="G13010" t="s">
        <v>88</v>
      </c>
      <c r="H13010" t="s">
        <v>92</v>
      </c>
    </row>
    <row r="13011" spans="1:8" x14ac:dyDescent="0.25">
      <c r="A13011" t="s">
        <v>369</v>
      </c>
      <c r="B13011" t="s">
        <v>583</v>
      </c>
      <c r="C13011" t="s">
        <v>88</v>
      </c>
      <c r="D13011" t="s">
        <v>10267</v>
      </c>
      <c r="E13011" t="s">
        <v>762</v>
      </c>
      <c r="F13011" t="s">
        <v>88</v>
      </c>
      <c r="G13011" t="s">
        <v>88</v>
      </c>
      <c r="H13011" t="s">
        <v>92</v>
      </c>
    </row>
    <row r="13012" spans="1:8" x14ac:dyDescent="0.25">
      <c r="A13012" t="s">
        <v>369</v>
      </c>
      <c r="B13012" t="s">
        <v>598</v>
      </c>
      <c r="C13012" t="s">
        <v>88</v>
      </c>
      <c r="D13012" t="s">
        <v>10268</v>
      </c>
      <c r="E13012" t="s">
        <v>762</v>
      </c>
      <c r="F13012" t="s">
        <v>88</v>
      </c>
      <c r="G13012" t="s">
        <v>88</v>
      </c>
      <c r="H13012" t="s">
        <v>92</v>
      </c>
    </row>
    <row r="13013" spans="1:8" x14ac:dyDescent="0.25">
      <c r="A13013" t="s">
        <v>369</v>
      </c>
      <c r="B13013" t="s">
        <v>8168</v>
      </c>
      <c r="C13013" t="s">
        <v>88</v>
      </c>
      <c r="D13013" t="s">
        <v>10269</v>
      </c>
      <c r="E13013" t="s">
        <v>748</v>
      </c>
      <c r="F13013" t="s">
        <v>88</v>
      </c>
      <c r="G13013" t="s">
        <v>88</v>
      </c>
      <c r="H13013" t="s">
        <v>92</v>
      </c>
    </row>
    <row r="13014" spans="1:8" x14ac:dyDescent="0.25">
      <c r="A13014" t="s">
        <v>369</v>
      </c>
      <c r="B13014" t="s">
        <v>5268</v>
      </c>
      <c r="C13014" t="s">
        <v>88</v>
      </c>
      <c r="D13014" t="s">
        <v>10270</v>
      </c>
      <c r="E13014" t="s">
        <v>748</v>
      </c>
      <c r="F13014" t="s">
        <v>88</v>
      </c>
      <c r="G13014" t="s">
        <v>88</v>
      </c>
      <c r="H13014" t="s">
        <v>92</v>
      </c>
    </row>
    <row r="13015" spans="1:8" x14ac:dyDescent="0.25">
      <c r="A13015" t="s">
        <v>369</v>
      </c>
      <c r="B13015" t="s">
        <v>5919</v>
      </c>
      <c r="C13015" t="s">
        <v>88</v>
      </c>
      <c r="D13015" t="s">
        <v>10271</v>
      </c>
      <c r="E13015" t="s">
        <v>679</v>
      </c>
      <c r="F13015" t="s">
        <v>88</v>
      </c>
      <c r="G13015" t="s">
        <v>88</v>
      </c>
      <c r="H13015" t="s">
        <v>92</v>
      </c>
    </row>
    <row r="13016" spans="1:8" x14ac:dyDescent="0.25">
      <c r="A13016" t="s">
        <v>369</v>
      </c>
      <c r="B13016" t="s">
        <v>2151</v>
      </c>
      <c r="C13016" t="s">
        <v>88</v>
      </c>
      <c r="D13016" t="s">
        <v>10272</v>
      </c>
      <c r="E13016" t="s">
        <v>717</v>
      </c>
      <c r="F13016" t="s">
        <v>88</v>
      </c>
      <c r="G13016" t="s">
        <v>88</v>
      </c>
      <c r="H13016" t="s">
        <v>92</v>
      </c>
    </row>
    <row r="13017" spans="1:8" x14ac:dyDescent="0.25">
      <c r="A13017" t="s">
        <v>369</v>
      </c>
      <c r="B13017" t="s">
        <v>10273</v>
      </c>
      <c r="C13017" t="s">
        <v>88</v>
      </c>
      <c r="D13017" t="s">
        <v>10190</v>
      </c>
      <c r="E13017" t="s">
        <v>748</v>
      </c>
      <c r="F13017" t="s">
        <v>88</v>
      </c>
      <c r="G13017" t="s">
        <v>88</v>
      </c>
      <c r="H13017" t="s">
        <v>92</v>
      </c>
    </row>
    <row r="13018" spans="1:8" x14ac:dyDescent="0.25">
      <c r="A13018" t="s">
        <v>369</v>
      </c>
      <c r="B13018" t="s">
        <v>3394</v>
      </c>
      <c r="C13018" t="s">
        <v>88</v>
      </c>
      <c r="D13018" t="s">
        <v>10274</v>
      </c>
      <c r="E13018" t="s">
        <v>658</v>
      </c>
      <c r="F13018" t="s">
        <v>88</v>
      </c>
      <c r="G13018" t="s">
        <v>88</v>
      </c>
      <c r="H13018" t="s">
        <v>92</v>
      </c>
    </row>
    <row r="13019" spans="1:8" x14ac:dyDescent="0.25">
      <c r="A13019" t="s">
        <v>369</v>
      </c>
      <c r="B13019" t="s">
        <v>1732</v>
      </c>
      <c r="C13019" t="s">
        <v>88</v>
      </c>
      <c r="D13019" t="s">
        <v>10275</v>
      </c>
      <c r="E13019" t="s">
        <v>762</v>
      </c>
      <c r="F13019" t="s">
        <v>88</v>
      </c>
      <c r="G13019" t="s">
        <v>88</v>
      </c>
      <c r="H13019" t="s">
        <v>92</v>
      </c>
    </row>
    <row r="13020" spans="1:8" x14ac:dyDescent="0.25">
      <c r="A13020" t="s">
        <v>369</v>
      </c>
      <c r="B13020" t="s">
        <v>3395</v>
      </c>
      <c r="C13020" t="s">
        <v>88</v>
      </c>
      <c r="D13020" t="s">
        <v>10276</v>
      </c>
      <c r="E13020" t="s">
        <v>658</v>
      </c>
      <c r="F13020" t="s">
        <v>88</v>
      </c>
      <c r="G13020" t="s">
        <v>88</v>
      </c>
      <c r="H13020" t="s">
        <v>92</v>
      </c>
    </row>
    <row r="13021" spans="1:8" x14ac:dyDescent="0.25">
      <c r="A13021" t="s">
        <v>369</v>
      </c>
      <c r="B13021" t="s">
        <v>895</v>
      </c>
      <c r="C13021" t="s">
        <v>88</v>
      </c>
      <c r="D13021" t="s">
        <v>10277</v>
      </c>
      <c r="E13021" t="s">
        <v>655</v>
      </c>
      <c r="F13021" t="s">
        <v>88</v>
      </c>
      <c r="G13021" t="s">
        <v>88</v>
      </c>
      <c r="H13021" t="s">
        <v>92</v>
      </c>
    </row>
    <row r="13022" spans="1:8" x14ac:dyDescent="0.25">
      <c r="A13022" t="s">
        <v>369</v>
      </c>
      <c r="B13022" t="s">
        <v>10278</v>
      </c>
      <c r="C13022" t="s">
        <v>88</v>
      </c>
      <c r="D13022" t="s">
        <v>10279</v>
      </c>
      <c r="E13022" t="s">
        <v>820</v>
      </c>
      <c r="F13022" t="s">
        <v>88</v>
      </c>
      <c r="G13022" t="s">
        <v>88</v>
      </c>
      <c r="H13022" t="s">
        <v>92</v>
      </c>
    </row>
    <row r="13023" spans="1:8" x14ac:dyDescent="0.25">
      <c r="A13023" t="s">
        <v>369</v>
      </c>
      <c r="B13023" t="s">
        <v>1382</v>
      </c>
      <c r="C13023" t="s">
        <v>88</v>
      </c>
      <c r="D13023" t="s">
        <v>10280</v>
      </c>
      <c r="E13023" t="s">
        <v>700</v>
      </c>
      <c r="F13023" t="s">
        <v>88</v>
      </c>
      <c r="G13023" t="s">
        <v>88</v>
      </c>
      <c r="H13023" t="s">
        <v>92</v>
      </c>
    </row>
    <row r="13024" spans="1:8" x14ac:dyDescent="0.25">
      <c r="A13024" t="s">
        <v>369</v>
      </c>
      <c r="B13024" t="s">
        <v>10281</v>
      </c>
      <c r="C13024" t="s">
        <v>88</v>
      </c>
      <c r="D13024" t="s">
        <v>88</v>
      </c>
      <c r="E13024" t="s">
        <v>658</v>
      </c>
      <c r="F13024" t="s">
        <v>88</v>
      </c>
      <c r="G13024" t="s">
        <v>88</v>
      </c>
      <c r="H13024" t="s">
        <v>92</v>
      </c>
    </row>
    <row r="13025" spans="1:8" x14ac:dyDescent="0.25">
      <c r="A13025" t="s">
        <v>369</v>
      </c>
      <c r="B13025" t="s">
        <v>10282</v>
      </c>
      <c r="C13025" t="s">
        <v>88</v>
      </c>
      <c r="D13025" t="s">
        <v>10283</v>
      </c>
      <c r="E13025" t="s">
        <v>655</v>
      </c>
      <c r="F13025" t="s">
        <v>88</v>
      </c>
      <c r="G13025" t="s">
        <v>88</v>
      </c>
      <c r="H13025" t="s">
        <v>92</v>
      </c>
    </row>
    <row r="13026" spans="1:8" x14ac:dyDescent="0.25">
      <c r="A13026" t="s">
        <v>369</v>
      </c>
      <c r="B13026" t="s">
        <v>892</v>
      </c>
      <c r="C13026" t="s">
        <v>88</v>
      </c>
      <c r="D13026" t="s">
        <v>10284</v>
      </c>
      <c r="E13026" t="s">
        <v>762</v>
      </c>
      <c r="F13026" t="s">
        <v>88</v>
      </c>
      <c r="G13026" t="s">
        <v>88</v>
      </c>
      <c r="H13026" t="s">
        <v>92</v>
      </c>
    </row>
    <row r="13027" spans="1:8" x14ac:dyDescent="0.25">
      <c r="A13027" t="s">
        <v>369</v>
      </c>
      <c r="B13027" t="s">
        <v>10285</v>
      </c>
      <c r="C13027" t="s">
        <v>88</v>
      </c>
      <c r="D13027" t="s">
        <v>10286</v>
      </c>
      <c r="E13027" t="s">
        <v>700</v>
      </c>
      <c r="F13027" t="s">
        <v>88</v>
      </c>
      <c r="G13027" t="s">
        <v>88</v>
      </c>
      <c r="H13027" t="s">
        <v>92</v>
      </c>
    </row>
    <row r="13028" spans="1:8" x14ac:dyDescent="0.25">
      <c r="A13028" t="s">
        <v>369</v>
      </c>
      <c r="B13028" t="s">
        <v>10287</v>
      </c>
      <c r="C13028" t="s">
        <v>88</v>
      </c>
      <c r="D13028" t="s">
        <v>10288</v>
      </c>
      <c r="E13028" t="s">
        <v>820</v>
      </c>
      <c r="F13028" t="s">
        <v>88</v>
      </c>
      <c r="G13028" t="s">
        <v>88</v>
      </c>
      <c r="H13028" t="s">
        <v>92</v>
      </c>
    </row>
    <row r="13029" spans="1:8" x14ac:dyDescent="0.25">
      <c r="A13029" t="s">
        <v>369</v>
      </c>
      <c r="B13029" t="s">
        <v>10289</v>
      </c>
      <c r="C13029" t="s">
        <v>88</v>
      </c>
      <c r="D13029" t="s">
        <v>10290</v>
      </c>
      <c r="E13029" t="s">
        <v>692</v>
      </c>
      <c r="F13029" t="s">
        <v>88</v>
      </c>
      <c r="G13029" t="s">
        <v>88</v>
      </c>
      <c r="H13029" t="s">
        <v>92</v>
      </c>
    </row>
    <row r="13030" spans="1:8" x14ac:dyDescent="0.25">
      <c r="A13030" t="s">
        <v>369</v>
      </c>
      <c r="B13030" t="s">
        <v>10291</v>
      </c>
      <c r="C13030" t="s">
        <v>88</v>
      </c>
      <c r="D13030" t="s">
        <v>10292</v>
      </c>
      <c r="E13030" t="s">
        <v>655</v>
      </c>
      <c r="F13030" t="s">
        <v>88</v>
      </c>
      <c r="G13030" t="s">
        <v>88</v>
      </c>
      <c r="H13030" t="s">
        <v>92</v>
      </c>
    </row>
    <row r="13031" spans="1:8" x14ac:dyDescent="0.25">
      <c r="A13031" t="s">
        <v>369</v>
      </c>
      <c r="B13031" t="s">
        <v>10293</v>
      </c>
      <c r="C13031" t="s">
        <v>88</v>
      </c>
      <c r="D13031" t="s">
        <v>10294</v>
      </c>
      <c r="E13031" t="s">
        <v>717</v>
      </c>
      <c r="F13031" t="s">
        <v>88</v>
      </c>
      <c r="G13031" t="s">
        <v>88</v>
      </c>
      <c r="H13031" t="s">
        <v>92</v>
      </c>
    </row>
    <row r="13032" spans="1:8" x14ac:dyDescent="0.25">
      <c r="A13032" t="s">
        <v>369</v>
      </c>
      <c r="B13032" t="s">
        <v>10295</v>
      </c>
      <c r="C13032" t="s">
        <v>88</v>
      </c>
      <c r="D13032" t="s">
        <v>10296</v>
      </c>
      <c r="E13032" t="s">
        <v>762</v>
      </c>
      <c r="F13032" t="s">
        <v>88</v>
      </c>
      <c r="G13032" t="s">
        <v>88</v>
      </c>
      <c r="H13032" t="s">
        <v>92</v>
      </c>
    </row>
    <row r="13033" spans="1:8" x14ac:dyDescent="0.25">
      <c r="A13033" t="s">
        <v>369</v>
      </c>
      <c r="B13033" t="s">
        <v>10297</v>
      </c>
      <c r="C13033" t="s">
        <v>88</v>
      </c>
      <c r="D13033" t="s">
        <v>10298</v>
      </c>
      <c r="E13033" t="s">
        <v>760</v>
      </c>
      <c r="F13033" t="s">
        <v>88</v>
      </c>
      <c r="G13033" t="s">
        <v>88</v>
      </c>
      <c r="H13033" t="s">
        <v>92</v>
      </c>
    </row>
    <row r="13034" spans="1:8" x14ac:dyDescent="0.25">
      <c r="A13034" t="s">
        <v>369</v>
      </c>
      <c r="B13034" t="s">
        <v>7415</v>
      </c>
      <c r="C13034" t="s">
        <v>88</v>
      </c>
      <c r="D13034" t="s">
        <v>10299</v>
      </c>
      <c r="E13034" t="s">
        <v>760</v>
      </c>
      <c r="F13034" t="s">
        <v>88</v>
      </c>
      <c r="G13034" t="s">
        <v>88</v>
      </c>
      <c r="H13034" t="s">
        <v>92</v>
      </c>
    </row>
    <row r="13035" spans="1:8" x14ac:dyDescent="0.25">
      <c r="A13035" t="s">
        <v>369</v>
      </c>
      <c r="B13035" t="s">
        <v>7461</v>
      </c>
      <c r="C13035" t="s">
        <v>88</v>
      </c>
      <c r="D13035" t="s">
        <v>10300</v>
      </c>
      <c r="E13035" t="s">
        <v>762</v>
      </c>
      <c r="F13035" t="s">
        <v>88</v>
      </c>
      <c r="G13035" t="s">
        <v>88</v>
      </c>
      <c r="H13035" t="s">
        <v>92</v>
      </c>
    </row>
    <row r="13036" spans="1:8" x14ac:dyDescent="0.25">
      <c r="A13036" t="s">
        <v>369</v>
      </c>
      <c r="B13036" t="s">
        <v>10301</v>
      </c>
      <c r="C13036" t="s">
        <v>88</v>
      </c>
      <c r="D13036" t="s">
        <v>10302</v>
      </c>
      <c r="E13036" t="s">
        <v>760</v>
      </c>
      <c r="F13036" t="s">
        <v>88</v>
      </c>
      <c r="G13036" t="s">
        <v>88</v>
      </c>
      <c r="H13036" t="s">
        <v>92</v>
      </c>
    </row>
    <row r="13037" spans="1:8" x14ac:dyDescent="0.25">
      <c r="A13037" t="s">
        <v>369</v>
      </c>
      <c r="B13037" t="s">
        <v>10303</v>
      </c>
      <c r="C13037" t="s">
        <v>88</v>
      </c>
      <c r="D13037" t="s">
        <v>10304</v>
      </c>
      <c r="E13037" t="s">
        <v>655</v>
      </c>
      <c r="F13037" t="s">
        <v>88</v>
      </c>
      <c r="G13037" t="s">
        <v>88</v>
      </c>
      <c r="H13037" t="s">
        <v>92</v>
      </c>
    </row>
    <row r="13038" spans="1:8" x14ac:dyDescent="0.25">
      <c r="A13038" t="s">
        <v>369</v>
      </c>
      <c r="B13038" t="s">
        <v>10305</v>
      </c>
      <c r="C13038" t="s">
        <v>88</v>
      </c>
      <c r="D13038" t="s">
        <v>10306</v>
      </c>
      <c r="E13038" t="s">
        <v>717</v>
      </c>
      <c r="F13038" t="s">
        <v>88</v>
      </c>
      <c r="G13038" t="s">
        <v>88</v>
      </c>
      <c r="H13038" t="s">
        <v>92</v>
      </c>
    </row>
    <row r="13039" spans="1:8" x14ac:dyDescent="0.25">
      <c r="A13039" t="s">
        <v>369</v>
      </c>
      <c r="B13039" t="s">
        <v>10307</v>
      </c>
      <c r="C13039" t="s">
        <v>88</v>
      </c>
      <c r="D13039" t="s">
        <v>10308</v>
      </c>
      <c r="E13039" t="s">
        <v>1282</v>
      </c>
      <c r="F13039" t="s">
        <v>88</v>
      </c>
      <c r="G13039" t="s">
        <v>88</v>
      </c>
      <c r="H13039" t="s">
        <v>92</v>
      </c>
    </row>
    <row r="13040" spans="1:8" x14ac:dyDescent="0.25">
      <c r="A13040" t="s">
        <v>369</v>
      </c>
      <c r="B13040" t="s">
        <v>10309</v>
      </c>
      <c r="C13040" t="s">
        <v>88</v>
      </c>
      <c r="D13040" t="s">
        <v>10310</v>
      </c>
      <c r="E13040" t="s">
        <v>748</v>
      </c>
      <c r="F13040" t="s">
        <v>88</v>
      </c>
      <c r="G13040" t="s">
        <v>88</v>
      </c>
      <c r="H13040" t="s">
        <v>92</v>
      </c>
    </row>
    <row r="13041" spans="1:8" x14ac:dyDescent="0.25">
      <c r="A13041" t="s">
        <v>369</v>
      </c>
      <c r="B13041" t="s">
        <v>9746</v>
      </c>
      <c r="C13041" t="s">
        <v>88</v>
      </c>
      <c r="D13041" t="s">
        <v>10311</v>
      </c>
      <c r="E13041" t="s">
        <v>762</v>
      </c>
      <c r="F13041" t="s">
        <v>88</v>
      </c>
      <c r="G13041" t="s">
        <v>88</v>
      </c>
      <c r="H13041" t="s">
        <v>92</v>
      </c>
    </row>
    <row r="13042" spans="1:8" x14ac:dyDescent="0.25">
      <c r="A13042" t="s">
        <v>369</v>
      </c>
      <c r="B13042" t="s">
        <v>696</v>
      </c>
      <c r="C13042" t="s">
        <v>88</v>
      </c>
      <c r="D13042" t="s">
        <v>10312</v>
      </c>
      <c r="E13042" t="s">
        <v>658</v>
      </c>
      <c r="F13042" t="s">
        <v>88</v>
      </c>
      <c r="G13042" t="s">
        <v>88</v>
      </c>
      <c r="H13042" t="s">
        <v>92</v>
      </c>
    </row>
    <row r="13043" spans="1:8" x14ac:dyDescent="0.25">
      <c r="A13043" t="s">
        <v>369</v>
      </c>
      <c r="B13043" t="s">
        <v>3343</v>
      </c>
      <c r="C13043" t="s">
        <v>88</v>
      </c>
      <c r="D13043" t="s">
        <v>10313</v>
      </c>
      <c r="E13043" t="s">
        <v>717</v>
      </c>
      <c r="F13043" t="s">
        <v>88</v>
      </c>
      <c r="G13043" t="s">
        <v>88</v>
      </c>
      <c r="H13043" t="s">
        <v>92</v>
      </c>
    </row>
    <row r="13044" spans="1:8" x14ac:dyDescent="0.25">
      <c r="A13044" t="s">
        <v>369</v>
      </c>
      <c r="B13044" t="s">
        <v>693</v>
      </c>
      <c r="C13044" t="s">
        <v>88</v>
      </c>
      <c r="D13044" t="s">
        <v>10314</v>
      </c>
      <c r="E13044" t="s">
        <v>663</v>
      </c>
      <c r="F13044" t="s">
        <v>88</v>
      </c>
      <c r="G13044" t="s">
        <v>88</v>
      </c>
      <c r="H13044" t="s">
        <v>92</v>
      </c>
    </row>
    <row r="13045" spans="1:8" x14ac:dyDescent="0.25">
      <c r="A13045" t="s">
        <v>369</v>
      </c>
      <c r="B13045" t="s">
        <v>4329</v>
      </c>
      <c r="C13045" t="s">
        <v>88</v>
      </c>
      <c r="D13045" t="s">
        <v>10315</v>
      </c>
      <c r="E13045" t="s">
        <v>663</v>
      </c>
      <c r="F13045" t="s">
        <v>88</v>
      </c>
      <c r="G13045" t="s">
        <v>88</v>
      </c>
      <c r="H13045" t="s">
        <v>92</v>
      </c>
    </row>
    <row r="13046" spans="1:8" x14ac:dyDescent="0.25">
      <c r="A13046" t="s">
        <v>369</v>
      </c>
      <c r="B13046" t="s">
        <v>1322</v>
      </c>
      <c r="C13046" t="s">
        <v>88</v>
      </c>
      <c r="D13046" t="s">
        <v>88</v>
      </c>
      <c r="E13046" t="s">
        <v>723</v>
      </c>
      <c r="F13046" t="s">
        <v>88</v>
      </c>
      <c r="G13046" t="s">
        <v>88</v>
      </c>
      <c r="H13046" t="s">
        <v>92</v>
      </c>
    </row>
    <row r="13047" spans="1:8" x14ac:dyDescent="0.25">
      <c r="A13047" t="s">
        <v>369</v>
      </c>
      <c r="B13047" t="s">
        <v>3681</v>
      </c>
      <c r="C13047" t="s">
        <v>88</v>
      </c>
      <c r="D13047" t="s">
        <v>88</v>
      </c>
      <c r="E13047" t="s">
        <v>723</v>
      </c>
      <c r="F13047" t="s">
        <v>88</v>
      </c>
      <c r="G13047" t="s">
        <v>88</v>
      </c>
      <c r="H13047" t="s">
        <v>92</v>
      </c>
    </row>
    <row r="13048" spans="1:8" x14ac:dyDescent="0.25">
      <c r="A13048" t="s">
        <v>369</v>
      </c>
      <c r="B13048" t="s">
        <v>606</v>
      </c>
      <c r="C13048" t="s">
        <v>88</v>
      </c>
      <c r="D13048" t="s">
        <v>10315</v>
      </c>
      <c r="E13048" t="s">
        <v>679</v>
      </c>
      <c r="F13048" t="s">
        <v>88</v>
      </c>
      <c r="G13048" t="s">
        <v>88</v>
      </c>
      <c r="H13048" t="s">
        <v>92</v>
      </c>
    </row>
    <row r="13049" spans="1:8" x14ac:dyDescent="0.25">
      <c r="A13049" t="s">
        <v>369</v>
      </c>
      <c r="B13049" t="s">
        <v>10316</v>
      </c>
      <c r="C13049" t="s">
        <v>88</v>
      </c>
      <c r="D13049" t="s">
        <v>10317</v>
      </c>
      <c r="E13049" t="s">
        <v>655</v>
      </c>
      <c r="F13049" t="s">
        <v>88</v>
      </c>
      <c r="G13049" t="s">
        <v>88</v>
      </c>
      <c r="H13049" t="s">
        <v>92</v>
      </c>
    </row>
    <row r="13050" spans="1:8" x14ac:dyDescent="0.25">
      <c r="A13050" t="s">
        <v>369</v>
      </c>
      <c r="B13050" t="s">
        <v>4080</v>
      </c>
      <c r="C13050" t="s">
        <v>88</v>
      </c>
      <c r="D13050" t="s">
        <v>10318</v>
      </c>
      <c r="E13050" t="s">
        <v>679</v>
      </c>
      <c r="F13050" t="s">
        <v>88</v>
      </c>
      <c r="G13050" t="s">
        <v>88</v>
      </c>
      <c r="H13050" t="s">
        <v>92</v>
      </c>
    </row>
    <row r="13051" spans="1:8" x14ac:dyDescent="0.25">
      <c r="A13051" t="s">
        <v>369</v>
      </c>
      <c r="B13051" t="s">
        <v>5964</v>
      </c>
      <c r="C13051" t="s">
        <v>88</v>
      </c>
      <c r="D13051" t="s">
        <v>10319</v>
      </c>
      <c r="E13051" t="s">
        <v>717</v>
      </c>
      <c r="F13051" t="s">
        <v>88</v>
      </c>
      <c r="G13051" t="s">
        <v>88</v>
      </c>
      <c r="H13051" t="s">
        <v>92</v>
      </c>
    </row>
    <row r="13052" spans="1:8" x14ac:dyDescent="0.25">
      <c r="A13052" t="s">
        <v>369</v>
      </c>
      <c r="B13052" t="s">
        <v>10320</v>
      </c>
      <c r="C13052" t="s">
        <v>88</v>
      </c>
      <c r="D13052" t="s">
        <v>10321</v>
      </c>
      <c r="E13052" t="s">
        <v>658</v>
      </c>
      <c r="F13052" t="s">
        <v>88</v>
      </c>
      <c r="G13052" t="s">
        <v>88</v>
      </c>
      <c r="H13052" t="s">
        <v>92</v>
      </c>
    </row>
    <row r="13053" spans="1:8" x14ac:dyDescent="0.25">
      <c r="A13053" t="s">
        <v>369</v>
      </c>
      <c r="B13053" t="s">
        <v>8295</v>
      </c>
      <c r="C13053" t="s">
        <v>88</v>
      </c>
      <c r="D13053" t="s">
        <v>88</v>
      </c>
      <c r="E13053" t="s">
        <v>663</v>
      </c>
      <c r="F13053" t="s">
        <v>88</v>
      </c>
      <c r="G13053" t="s">
        <v>88</v>
      </c>
      <c r="H13053" t="s">
        <v>92</v>
      </c>
    </row>
    <row r="13054" spans="1:8" x14ac:dyDescent="0.25">
      <c r="A13054" t="s">
        <v>369</v>
      </c>
      <c r="B13054" t="s">
        <v>10322</v>
      </c>
      <c r="C13054" t="s">
        <v>88</v>
      </c>
      <c r="D13054" t="s">
        <v>10323</v>
      </c>
      <c r="E13054" t="s">
        <v>658</v>
      </c>
      <c r="F13054" t="s">
        <v>88</v>
      </c>
      <c r="G13054" t="s">
        <v>88</v>
      </c>
      <c r="H13054" t="s">
        <v>92</v>
      </c>
    </row>
    <row r="13055" spans="1:8" x14ac:dyDescent="0.25">
      <c r="A13055" t="s">
        <v>369</v>
      </c>
      <c r="B13055" t="s">
        <v>9826</v>
      </c>
      <c r="C13055" t="s">
        <v>88</v>
      </c>
      <c r="D13055" t="s">
        <v>10324</v>
      </c>
      <c r="E13055" t="s">
        <v>663</v>
      </c>
      <c r="F13055" t="s">
        <v>88</v>
      </c>
      <c r="G13055" t="s">
        <v>88</v>
      </c>
      <c r="H13055" t="s">
        <v>92</v>
      </c>
    </row>
    <row r="13056" spans="1:8" x14ac:dyDescent="0.25">
      <c r="A13056" t="s">
        <v>369</v>
      </c>
      <c r="B13056" t="s">
        <v>10325</v>
      </c>
      <c r="C13056" t="s">
        <v>88</v>
      </c>
      <c r="D13056" t="s">
        <v>10326</v>
      </c>
      <c r="E13056" t="s">
        <v>663</v>
      </c>
      <c r="F13056" t="s">
        <v>88</v>
      </c>
      <c r="G13056" t="s">
        <v>88</v>
      </c>
      <c r="H13056" t="s">
        <v>92</v>
      </c>
    </row>
    <row r="13057" spans="1:8" x14ac:dyDescent="0.25">
      <c r="A13057" t="s">
        <v>369</v>
      </c>
      <c r="B13057" t="s">
        <v>1125</v>
      </c>
      <c r="C13057" t="s">
        <v>88</v>
      </c>
      <c r="D13057" t="s">
        <v>88</v>
      </c>
      <c r="E13057" t="s">
        <v>663</v>
      </c>
      <c r="F13057" t="s">
        <v>88</v>
      </c>
      <c r="G13057" t="s">
        <v>88</v>
      </c>
      <c r="H13057" t="s">
        <v>92</v>
      </c>
    </row>
    <row r="13058" spans="1:8" x14ac:dyDescent="0.25">
      <c r="A13058" t="s">
        <v>369</v>
      </c>
      <c r="B13058" t="s">
        <v>5375</v>
      </c>
      <c r="C13058" t="s">
        <v>88</v>
      </c>
      <c r="D13058" t="s">
        <v>10327</v>
      </c>
      <c r="E13058" t="s">
        <v>658</v>
      </c>
      <c r="F13058" t="s">
        <v>88</v>
      </c>
      <c r="G13058" t="s">
        <v>88</v>
      </c>
      <c r="H13058" t="s">
        <v>92</v>
      </c>
    </row>
    <row r="13059" spans="1:8" x14ac:dyDescent="0.25">
      <c r="A13059" t="s">
        <v>369</v>
      </c>
      <c r="B13059" t="s">
        <v>5602</v>
      </c>
      <c r="C13059" t="s">
        <v>88</v>
      </c>
      <c r="D13059" t="s">
        <v>88</v>
      </c>
      <c r="E13059" t="s">
        <v>663</v>
      </c>
      <c r="F13059" t="s">
        <v>88</v>
      </c>
      <c r="G13059" t="s">
        <v>88</v>
      </c>
      <c r="H13059" t="s">
        <v>92</v>
      </c>
    </row>
    <row r="13060" spans="1:8" x14ac:dyDescent="0.25">
      <c r="A13060" t="s">
        <v>369</v>
      </c>
      <c r="B13060" t="s">
        <v>10328</v>
      </c>
      <c r="C13060" t="s">
        <v>88</v>
      </c>
      <c r="D13060" t="s">
        <v>88</v>
      </c>
      <c r="E13060" t="s">
        <v>663</v>
      </c>
      <c r="F13060" t="s">
        <v>88</v>
      </c>
      <c r="G13060" t="s">
        <v>88</v>
      </c>
      <c r="H13060" t="s">
        <v>92</v>
      </c>
    </row>
    <row r="13061" spans="1:8" x14ac:dyDescent="0.25">
      <c r="A13061" t="s">
        <v>369</v>
      </c>
      <c r="B13061" t="s">
        <v>10329</v>
      </c>
      <c r="C13061" t="s">
        <v>88</v>
      </c>
      <c r="D13061" t="s">
        <v>10330</v>
      </c>
      <c r="E13061" t="s">
        <v>663</v>
      </c>
      <c r="F13061" t="s">
        <v>88</v>
      </c>
      <c r="G13061" t="s">
        <v>88</v>
      </c>
      <c r="H13061" t="s">
        <v>92</v>
      </c>
    </row>
    <row r="13062" spans="1:8" x14ac:dyDescent="0.25">
      <c r="A13062" t="s">
        <v>369</v>
      </c>
      <c r="B13062" t="s">
        <v>10331</v>
      </c>
      <c r="C13062" t="s">
        <v>88</v>
      </c>
      <c r="D13062" t="s">
        <v>88</v>
      </c>
      <c r="E13062" t="s">
        <v>663</v>
      </c>
      <c r="F13062" t="s">
        <v>88</v>
      </c>
      <c r="G13062" t="s">
        <v>88</v>
      </c>
      <c r="H13062" t="s">
        <v>92</v>
      </c>
    </row>
    <row r="13063" spans="1:8" x14ac:dyDescent="0.25">
      <c r="A13063" t="s">
        <v>369</v>
      </c>
      <c r="B13063" t="s">
        <v>10332</v>
      </c>
      <c r="C13063" t="s">
        <v>88</v>
      </c>
      <c r="D13063" t="s">
        <v>10333</v>
      </c>
      <c r="E13063" t="s">
        <v>663</v>
      </c>
      <c r="F13063" t="s">
        <v>88</v>
      </c>
      <c r="G13063" t="s">
        <v>88</v>
      </c>
      <c r="H13063" t="s">
        <v>92</v>
      </c>
    </row>
    <row r="13064" spans="1:8" x14ac:dyDescent="0.25">
      <c r="A13064" t="s">
        <v>369</v>
      </c>
      <c r="B13064" t="s">
        <v>10334</v>
      </c>
      <c r="C13064" t="s">
        <v>88</v>
      </c>
      <c r="D13064" t="s">
        <v>10335</v>
      </c>
      <c r="E13064" t="s">
        <v>663</v>
      </c>
      <c r="F13064" t="s">
        <v>88</v>
      </c>
      <c r="G13064" t="s">
        <v>88</v>
      </c>
      <c r="H13064" t="s">
        <v>92</v>
      </c>
    </row>
    <row r="13065" spans="1:8" x14ac:dyDescent="0.25">
      <c r="A13065" t="s">
        <v>369</v>
      </c>
      <c r="B13065" t="s">
        <v>9283</v>
      </c>
      <c r="C13065" t="s">
        <v>88</v>
      </c>
      <c r="D13065" t="s">
        <v>88</v>
      </c>
      <c r="E13065" t="s">
        <v>849</v>
      </c>
      <c r="F13065" t="s">
        <v>88</v>
      </c>
      <c r="G13065" t="s">
        <v>88</v>
      </c>
      <c r="H13065" t="s">
        <v>92</v>
      </c>
    </row>
    <row r="13066" spans="1:8" x14ac:dyDescent="0.25">
      <c r="A13066" t="s">
        <v>369</v>
      </c>
      <c r="B13066" t="s">
        <v>1609</v>
      </c>
      <c r="C13066" t="s">
        <v>88</v>
      </c>
      <c r="D13066" t="s">
        <v>88</v>
      </c>
      <c r="E13066" t="s">
        <v>7755</v>
      </c>
      <c r="F13066" t="s">
        <v>88</v>
      </c>
      <c r="G13066" t="s">
        <v>88</v>
      </c>
      <c r="H13066" t="s">
        <v>92</v>
      </c>
    </row>
    <row r="13067" spans="1:8" x14ac:dyDescent="0.25">
      <c r="A13067" t="s">
        <v>369</v>
      </c>
      <c r="B13067" t="s">
        <v>1611</v>
      </c>
      <c r="C13067" t="s">
        <v>88</v>
      </c>
      <c r="D13067" t="s">
        <v>88</v>
      </c>
      <c r="E13067" t="s">
        <v>7755</v>
      </c>
      <c r="F13067" t="s">
        <v>88</v>
      </c>
      <c r="G13067" t="s">
        <v>88</v>
      </c>
      <c r="H13067" t="s">
        <v>92</v>
      </c>
    </row>
    <row r="13068" spans="1:8" x14ac:dyDescent="0.25">
      <c r="A13068" t="s">
        <v>369</v>
      </c>
      <c r="B13068" t="s">
        <v>2573</v>
      </c>
      <c r="C13068" t="s">
        <v>88</v>
      </c>
      <c r="D13068" t="s">
        <v>88</v>
      </c>
      <c r="E13068" t="s">
        <v>849</v>
      </c>
      <c r="F13068" t="s">
        <v>88</v>
      </c>
      <c r="G13068" t="s">
        <v>88</v>
      </c>
      <c r="H13068" t="s">
        <v>92</v>
      </c>
    </row>
    <row r="13069" spans="1:8" x14ac:dyDescent="0.25">
      <c r="A13069" t="s">
        <v>369</v>
      </c>
      <c r="B13069" t="s">
        <v>10336</v>
      </c>
      <c r="C13069" t="s">
        <v>88</v>
      </c>
      <c r="D13069" t="s">
        <v>88</v>
      </c>
      <c r="E13069" t="s">
        <v>849</v>
      </c>
      <c r="F13069" t="s">
        <v>88</v>
      </c>
      <c r="G13069" t="s">
        <v>88</v>
      </c>
      <c r="H13069" t="s">
        <v>92</v>
      </c>
    </row>
    <row r="13070" spans="1:8" x14ac:dyDescent="0.25">
      <c r="A13070" t="s">
        <v>369</v>
      </c>
      <c r="B13070" t="s">
        <v>705</v>
      </c>
      <c r="C13070" t="s">
        <v>88</v>
      </c>
      <c r="D13070" t="s">
        <v>88</v>
      </c>
      <c r="E13070" t="s">
        <v>1596</v>
      </c>
      <c r="F13070" t="s">
        <v>88</v>
      </c>
      <c r="G13070" t="s">
        <v>88</v>
      </c>
      <c r="H13070" t="s">
        <v>92</v>
      </c>
    </row>
    <row r="13071" spans="1:8" x14ac:dyDescent="0.25">
      <c r="A13071" t="s">
        <v>369</v>
      </c>
      <c r="B13071" t="s">
        <v>620</v>
      </c>
      <c r="C13071" t="s">
        <v>88</v>
      </c>
      <c r="D13071" t="s">
        <v>88</v>
      </c>
      <c r="E13071" t="s">
        <v>702</v>
      </c>
      <c r="F13071" t="s">
        <v>88</v>
      </c>
      <c r="G13071" t="s">
        <v>88</v>
      </c>
      <c r="H13071" t="s">
        <v>92</v>
      </c>
    </row>
    <row r="13072" spans="1:8" x14ac:dyDescent="0.25">
      <c r="A13072" t="s">
        <v>369</v>
      </c>
      <c r="B13072" t="s">
        <v>618</v>
      </c>
      <c r="C13072" t="s">
        <v>88</v>
      </c>
      <c r="D13072" t="s">
        <v>88</v>
      </c>
      <c r="E13072" t="s">
        <v>732</v>
      </c>
      <c r="F13072" t="s">
        <v>88</v>
      </c>
      <c r="G13072" t="s">
        <v>88</v>
      </c>
      <c r="H13072" t="s">
        <v>92</v>
      </c>
    </row>
    <row r="13073" spans="1:8" x14ac:dyDescent="0.25">
      <c r="A13073" t="s">
        <v>369</v>
      </c>
      <c r="B13073" t="s">
        <v>703</v>
      </c>
      <c r="C13073" t="s">
        <v>88</v>
      </c>
      <c r="D13073" t="s">
        <v>88</v>
      </c>
      <c r="E13073" t="s">
        <v>1596</v>
      </c>
      <c r="F13073" t="s">
        <v>88</v>
      </c>
      <c r="G13073" t="s">
        <v>88</v>
      </c>
      <c r="H13073" t="s">
        <v>92</v>
      </c>
    </row>
    <row r="13074" spans="1:8" x14ac:dyDescent="0.25">
      <c r="A13074" t="s">
        <v>369</v>
      </c>
      <c r="B13074" t="s">
        <v>706</v>
      </c>
      <c r="C13074" t="s">
        <v>88</v>
      </c>
      <c r="D13074" t="s">
        <v>88</v>
      </c>
      <c r="E13074" t="s">
        <v>1596</v>
      </c>
      <c r="F13074" t="s">
        <v>88</v>
      </c>
      <c r="G13074" t="s">
        <v>88</v>
      </c>
      <c r="H13074" t="s">
        <v>92</v>
      </c>
    </row>
    <row r="13075" spans="1:8" x14ac:dyDescent="0.25">
      <c r="A13075" t="s">
        <v>369</v>
      </c>
      <c r="B13075" t="s">
        <v>712</v>
      </c>
      <c r="C13075" t="s">
        <v>88</v>
      </c>
      <c r="D13075" t="s">
        <v>88</v>
      </c>
      <c r="E13075" t="s">
        <v>848</v>
      </c>
      <c r="F13075" t="s">
        <v>88</v>
      </c>
      <c r="G13075" t="s">
        <v>88</v>
      </c>
      <c r="H13075" t="s">
        <v>92</v>
      </c>
    </row>
    <row r="13076" spans="1:8" x14ac:dyDescent="0.25">
      <c r="A13076" t="s">
        <v>369</v>
      </c>
      <c r="B13076" t="s">
        <v>622</v>
      </c>
      <c r="C13076" t="s">
        <v>88</v>
      </c>
      <c r="D13076" t="s">
        <v>88</v>
      </c>
      <c r="E13076" t="s">
        <v>734</v>
      </c>
      <c r="F13076" t="s">
        <v>88</v>
      </c>
      <c r="G13076" t="s">
        <v>88</v>
      </c>
      <c r="H13076" t="s">
        <v>92</v>
      </c>
    </row>
    <row r="13077" spans="1:8" x14ac:dyDescent="0.25">
      <c r="A13077" t="s">
        <v>369</v>
      </c>
      <c r="B13077" t="s">
        <v>704</v>
      </c>
      <c r="C13077" t="s">
        <v>88</v>
      </c>
      <c r="D13077" t="s">
        <v>88</v>
      </c>
      <c r="E13077" t="s">
        <v>1596</v>
      </c>
      <c r="F13077" t="s">
        <v>88</v>
      </c>
      <c r="G13077" t="s">
        <v>88</v>
      </c>
      <c r="H13077" t="s">
        <v>92</v>
      </c>
    </row>
    <row r="13078" spans="1:8" x14ac:dyDescent="0.25">
      <c r="A13078" t="s">
        <v>369</v>
      </c>
      <c r="B13078" t="s">
        <v>707</v>
      </c>
      <c r="C13078" t="s">
        <v>88</v>
      </c>
      <c r="D13078" t="s">
        <v>88</v>
      </c>
      <c r="E13078" t="s">
        <v>1596</v>
      </c>
      <c r="F13078" t="s">
        <v>88</v>
      </c>
      <c r="G13078" t="s">
        <v>88</v>
      </c>
      <c r="H13078" t="s">
        <v>92</v>
      </c>
    </row>
    <row r="13079" spans="1:8" x14ac:dyDescent="0.25">
      <c r="A13079" t="s">
        <v>369</v>
      </c>
      <c r="B13079" t="s">
        <v>708</v>
      </c>
      <c r="C13079" t="s">
        <v>88</v>
      </c>
      <c r="D13079" t="s">
        <v>88</v>
      </c>
      <c r="E13079" t="s">
        <v>1596</v>
      </c>
      <c r="F13079" t="s">
        <v>88</v>
      </c>
      <c r="G13079" t="s">
        <v>88</v>
      </c>
      <c r="H13079" t="s">
        <v>92</v>
      </c>
    </row>
    <row r="13080" spans="1:8" x14ac:dyDescent="0.25">
      <c r="A13080" t="s">
        <v>369</v>
      </c>
      <c r="B13080" t="s">
        <v>701</v>
      </c>
      <c r="C13080" t="s">
        <v>88</v>
      </c>
      <c r="D13080" t="s">
        <v>88</v>
      </c>
      <c r="E13080" t="s">
        <v>1596</v>
      </c>
      <c r="F13080" t="s">
        <v>88</v>
      </c>
      <c r="G13080" t="s">
        <v>88</v>
      </c>
      <c r="H13080" t="s">
        <v>92</v>
      </c>
    </row>
    <row r="13081" spans="1:8" x14ac:dyDescent="0.25">
      <c r="A13081" t="s">
        <v>369</v>
      </c>
      <c r="B13081" t="s">
        <v>625</v>
      </c>
      <c r="C13081" t="s">
        <v>88</v>
      </c>
      <c r="D13081" t="s">
        <v>88</v>
      </c>
      <c r="E13081" t="s">
        <v>626</v>
      </c>
      <c r="F13081" t="s">
        <v>88</v>
      </c>
      <c r="G13081" t="s">
        <v>88</v>
      </c>
      <c r="H13081" t="s">
        <v>92</v>
      </c>
    </row>
    <row r="13082" spans="1:8" x14ac:dyDescent="0.25">
      <c r="A13082" t="s">
        <v>370</v>
      </c>
      <c r="B13082" t="s">
        <v>789</v>
      </c>
      <c r="C13082" t="s">
        <v>88</v>
      </c>
      <c r="D13082" t="s">
        <v>10337</v>
      </c>
      <c r="E13082" t="s">
        <v>702</v>
      </c>
      <c r="F13082" t="s">
        <v>88</v>
      </c>
      <c r="G13082" t="s">
        <v>88</v>
      </c>
      <c r="H13082" t="s">
        <v>92</v>
      </c>
    </row>
    <row r="13083" spans="1:8" x14ac:dyDescent="0.25">
      <c r="A13083" t="s">
        <v>370</v>
      </c>
      <c r="B13083" t="s">
        <v>6362</v>
      </c>
      <c r="C13083" t="s">
        <v>88</v>
      </c>
      <c r="D13083" t="s">
        <v>10338</v>
      </c>
      <c r="E13083" t="s">
        <v>715</v>
      </c>
      <c r="F13083" t="s">
        <v>88</v>
      </c>
      <c r="G13083" t="s">
        <v>88</v>
      </c>
      <c r="H13083" t="s">
        <v>92</v>
      </c>
    </row>
    <row r="13084" spans="1:8" x14ac:dyDescent="0.25">
      <c r="A13084" t="s">
        <v>370</v>
      </c>
      <c r="B13084" t="s">
        <v>830</v>
      </c>
      <c r="C13084" t="s">
        <v>88</v>
      </c>
      <c r="D13084" t="s">
        <v>10339</v>
      </c>
      <c r="E13084" t="s">
        <v>679</v>
      </c>
      <c r="F13084" t="s">
        <v>88</v>
      </c>
      <c r="G13084" t="s">
        <v>88</v>
      </c>
      <c r="H13084" t="s">
        <v>92</v>
      </c>
    </row>
    <row r="13085" spans="1:8" x14ac:dyDescent="0.25">
      <c r="A13085" t="s">
        <v>370</v>
      </c>
      <c r="B13085" t="s">
        <v>10340</v>
      </c>
      <c r="C13085" t="s">
        <v>88</v>
      </c>
      <c r="D13085" t="s">
        <v>10339</v>
      </c>
      <c r="E13085" t="s">
        <v>663</v>
      </c>
      <c r="F13085" t="s">
        <v>88</v>
      </c>
      <c r="G13085" t="s">
        <v>88</v>
      </c>
      <c r="H13085" t="s">
        <v>92</v>
      </c>
    </row>
    <row r="13086" spans="1:8" x14ac:dyDescent="0.25">
      <c r="A13086" t="s">
        <v>370</v>
      </c>
      <c r="B13086" t="s">
        <v>816</v>
      </c>
      <c r="C13086" t="s">
        <v>88</v>
      </c>
      <c r="D13086" t="s">
        <v>10339</v>
      </c>
      <c r="E13086" t="s">
        <v>700</v>
      </c>
      <c r="F13086" t="s">
        <v>88</v>
      </c>
      <c r="G13086" t="s">
        <v>88</v>
      </c>
      <c r="H13086" t="s">
        <v>92</v>
      </c>
    </row>
    <row r="13087" spans="1:8" x14ac:dyDescent="0.25">
      <c r="A13087" t="s">
        <v>370</v>
      </c>
      <c r="B13087" t="s">
        <v>10341</v>
      </c>
      <c r="C13087" t="s">
        <v>88</v>
      </c>
      <c r="D13087" t="s">
        <v>10339</v>
      </c>
      <c r="E13087" t="s">
        <v>655</v>
      </c>
      <c r="F13087" t="s">
        <v>88</v>
      </c>
      <c r="G13087" t="s">
        <v>88</v>
      </c>
      <c r="H13087" t="s">
        <v>92</v>
      </c>
    </row>
    <row r="13088" spans="1:8" x14ac:dyDescent="0.25">
      <c r="A13088" t="s">
        <v>370</v>
      </c>
      <c r="B13088" t="s">
        <v>942</v>
      </c>
      <c r="C13088" t="s">
        <v>88</v>
      </c>
      <c r="D13088" t="s">
        <v>10339</v>
      </c>
      <c r="E13088" t="s">
        <v>692</v>
      </c>
      <c r="F13088" t="s">
        <v>88</v>
      </c>
      <c r="G13088" t="s">
        <v>88</v>
      </c>
      <c r="H13088" t="s">
        <v>92</v>
      </c>
    </row>
    <row r="13089" spans="1:8" x14ac:dyDescent="0.25">
      <c r="A13089" t="s">
        <v>370</v>
      </c>
      <c r="B13089" t="s">
        <v>823</v>
      </c>
      <c r="C13089" t="s">
        <v>88</v>
      </c>
      <c r="D13089" t="s">
        <v>10339</v>
      </c>
      <c r="E13089" t="s">
        <v>964</v>
      </c>
      <c r="F13089" t="s">
        <v>88</v>
      </c>
      <c r="G13089" t="s">
        <v>88</v>
      </c>
      <c r="H13089" t="s">
        <v>92</v>
      </c>
    </row>
    <row r="13090" spans="1:8" x14ac:dyDescent="0.25">
      <c r="A13090" t="s">
        <v>370</v>
      </c>
      <c r="B13090" t="s">
        <v>10342</v>
      </c>
      <c r="C13090" t="s">
        <v>88</v>
      </c>
      <c r="D13090" t="s">
        <v>10339</v>
      </c>
      <c r="E13090" t="s">
        <v>825</v>
      </c>
      <c r="F13090" t="s">
        <v>88</v>
      </c>
      <c r="G13090" t="s">
        <v>88</v>
      </c>
      <c r="H13090" t="s">
        <v>92</v>
      </c>
    </row>
    <row r="13091" spans="1:8" x14ac:dyDescent="0.25">
      <c r="A13091" t="s">
        <v>370</v>
      </c>
      <c r="B13091" t="s">
        <v>705</v>
      </c>
      <c r="C13091" t="s">
        <v>88</v>
      </c>
      <c r="D13091" t="s">
        <v>88</v>
      </c>
      <c r="E13091" t="s">
        <v>709</v>
      </c>
      <c r="F13091" t="s">
        <v>88</v>
      </c>
      <c r="G13091" t="s">
        <v>88</v>
      </c>
      <c r="H13091" t="s">
        <v>92</v>
      </c>
    </row>
    <row r="13092" spans="1:8" x14ac:dyDescent="0.25">
      <c r="A13092" t="s">
        <v>370</v>
      </c>
      <c r="B13092" t="s">
        <v>794</v>
      </c>
      <c r="C13092" t="s">
        <v>88</v>
      </c>
      <c r="D13092" t="s">
        <v>88</v>
      </c>
      <c r="E13092" t="s">
        <v>710</v>
      </c>
      <c r="F13092" t="s">
        <v>88</v>
      </c>
      <c r="G13092" t="s">
        <v>88</v>
      </c>
      <c r="H13092" t="s">
        <v>92</v>
      </c>
    </row>
    <row r="13093" spans="1:8" x14ac:dyDescent="0.25">
      <c r="A13093" t="s">
        <v>370</v>
      </c>
      <c r="B13093" t="s">
        <v>1670</v>
      </c>
      <c r="C13093" t="s">
        <v>88</v>
      </c>
      <c r="D13093" t="s">
        <v>88</v>
      </c>
      <c r="E13093" t="s">
        <v>711</v>
      </c>
      <c r="F13093" t="s">
        <v>88</v>
      </c>
      <c r="G13093" t="s">
        <v>88</v>
      </c>
      <c r="H13093" t="s">
        <v>92</v>
      </c>
    </row>
    <row r="13094" spans="1:8" x14ac:dyDescent="0.25">
      <c r="A13094" t="s">
        <v>370</v>
      </c>
      <c r="B13094" t="s">
        <v>701</v>
      </c>
      <c r="C13094" t="s">
        <v>88</v>
      </c>
      <c r="D13094" t="s">
        <v>88</v>
      </c>
      <c r="E13094" t="s">
        <v>709</v>
      </c>
      <c r="F13094" t="s">
        <v>88</v>
      </c>
      <c r="G13094" t="s">
        <v>88</v>
      </c>
      <c r="H13094" t="s">
        <v>92</v>
      </c>
    </row>
    <row r="13095" spans="1:8" x14ac:dyDescent="0.25">
      <c r="A13095" t="s">
        <v>370</v>
      </c>
      <c r="B13095" t="s">
        <v>623</v>
      </c>
      <c r="C13095" t="s">
        <v>88</v>
      </c>
      <c r="D13095" t="s">
        <v>88</v>
      </c>
      <c r="E13095" t="s">
        <v>735</v>
      </c>
      <c r="F13095" t="s">
        <v>88</v>
      </c>
      <c r="G13095" t="s">
        <v>88</v>
      </c>
      <c r="H13095" t="s">
        <v>92</v>
      </c>
    </row>
    <row r="13096" spans="1:8" x14ac:dyDescent="0.25">
      <c r="A13096" t="s">
        <v>370</v>
      </c>
      <c r="B13096" t="s">
        <v>625</v>
      </c>
      <c r="C13096" t="s">
        <v>88</v>
      </c>
      <c r="D13096" t="s">
        <v>88</v>
      </c>
      <c r="E13096" t="s">
        <v>626</v>
      </c>
      <c r="F13096" t="s">
        <v>88</v>
      </c>
      <c r="G13096" t="s">
        <v>88</v>
      </c>
      <c r="H13096" t="s">
        <v>92</v>
      </c>
    </row>
    <row r="13097" spans="1:8" x14ac:dyDescent="0.25">
      <c r="A13097" t="s">
        <v>372</v>
      </c>
      <c r="B13097" t="s">
        <v>1668</v>
      </c>
      <c r="C13097" t="s">
        <v>88</v>
      </c>
      <c r="D13097" t="s">
        <v>88</v>
      </c>
      <c r="E13097" t="s">
        <v>10343</v>
      </c>
      <c r="F13097" t="s">
        <v>88</v>
      </c>
      <c r="G13097" t="s">
        <v>88</v>
      </c>
      <c r="H13097" t="s">
        <v>92</v>
      </c>
    </row>
    <row r="13098" spans="1:8" x14ac:dyDescent="0.25">
      <c r="A13098" t="s">
        <v>372</v>
      </c>
      <c r="B13098" t="s">
        <v>2277</v>
      </c>
      <c r="C13098" t="s">
        <v>88</v>
      </c>
      <c r="D13098" t="s">
        <v>10344</v>
      </c>
      <c r="E13098" t="s">
        <v>10345</v>
      </c>
      <c r="F13098" t="s">
        <v>88</v>
      </c>
      <c r="G13098" t="s">
        <v>88</v>
      </c>
      <c r="H13098" t="s">
        <v>92</v>
      </c>
    </row>
    <row r="13099" spans="1:8" x14ac:dyDescent="0.25">
      <c r="A13099" t="s">
        <v>372</v>
      </c>
      <c r="B13099" t="s">
        <v>4113</v>
      </c>
      <c r="C13099" t="s">
        <v>88</v>
      </c>
      <c r="D13099" t="s">
        <v>10344</v>
      </c>
      <c r="E13099" t="s">
        <v>10345</v>
      </c>
      <c r="F13099" t="s">
        <v>88</v>
      </c>
      <c r="G13099" t="s">
        <v>88</v>
      </c>
      <c r="H13099" t="s">
        <v>92</v>
      </c>
    </row>
    <row r="13100" spans="1:8" x14ac:dyDescent="0.25">
      <c r="A13100" t="s">
        <v>372</v>
      </c>
      <c r="B13100" t="s">
        <v>10346</v>
      </c>
      <c r="C13100" t="s">
        <v>88</v>
      </c>
      <c r="D13100" t="s">
        <v>10347</v>
      </c>
      <c r="E13100" t="s">
        <v>9950</v>
      </c>
      <c r="F13100" t="s">
        <v>88</v>
      </c>
      <c r="G13100" t="s">
        <v>88</v>
      </c>
      <c r="H13100" t="s">
        <v>92</v>
      </c>
    </row>
    <row r="13101" spans="1:8" x14ac:dyDescent="0.25">
      <c r="A13101" t="s">
        <v>372</v>
      </c>
      <c r="B13101" t="s">
        <v>5329</v>
      </c>
      <c r="C13101" t="s">
        <v>88</v>
      </c>
      <c r="D13101" t="s">
        <v>10344</v>
      </c>
      <c r="E13101" t="s">
        <v>10345</v>
      </c>
      <c r="F13101" t="s">
        <v>88</v>
      </c>
      <c r="G13101" t="s">
        <v>88</v>
      </c>
      <c r="H13101" t="s">
        <v>92</v>
      </c>
    </row>
    <row r="13102" spans="1:8" x14ac:dyDescent="0.25">
      <c r="A13102" t="s">
        <v>372</v>
      </c>
      <c r="B13102" t="s">
        <v>10346</v>
      </c>
      <c r="C13102" t="s">
        <v>88</v>
      </c>
      <c r="D13102" t="s">
        <v>10347</v>
      </c>
      <c r="E13102" t="s">
        <v>10348</v>
      </c>
      <c r="F13102" t="s">
        <v>88</v>
      </c>
      <c r="G13102" t="s">
        <v>88</v>
      </c>
      <c r="H13102" t="s">
        <v>92</v>
      </c>
    </row>
    <row r="13103" spans="1:8" x14ac:dyDescent="0.25">
      <c r="A13103" t="s">
        <v>372</v>
      </c>
      <c r="B13103" t="s">
        <v>5329</v>
      </c>
      <c r="C13103" t="s">
        <v>88</v>
      </c>
      <c r="D13103" t="s">
        <v>10344</v>
      </c>
      <c r="E13103" t="s">
        <v>10345</v>
      </c>
      <c r="F13103" t="s">
        <v>88</v>
      </c>
      <c r="G13103" t="s">
        <v>88</v>
      </c>
      <c r="H13103" t="s">
        <v>92</v>
      </c>
    </row>
    <row r="13104" spans="1:8" x14ac:dyDescent="0.25">
      <c r="A13104" t="s">
        <v>372</v>
      </c>
      <c r="B13104" t="s">
        <v>1668</v>
      </c>
      <c r="C13104" t="s">
        <v>88</v>
      </c>
      <c r="D13104" t="s">
        <v>88</v>
      </c>
      <c r="E13104" t="s">
        <v>10343</v>
      </c>
      <c r="F13104" t="s">
        <v>88</v>
      </c>
      <c r="G13104" t="s">
        <v>88</v>
      </c>
      <c r="H13104" t="s">
        <v>92</v>
      </c>
    </row>
    <row r="13105" spans="1:8" x14ac:dyDescent="0.25">
      <c r="A13105" t="s">
        <v>372</v>
      </c>
      <c r="B13105" t="s">
        <v>10349</v>
      </c>
      <c r="C13105" t="s">
        <v>88</v>
      </c>
      <c r="D13105" t="s">
        <v>10344</v>
      </c>
      <c r="E13105" t="s">
        <v>10345</v>
      </c>
      <c r="F13105" t="s">
        <v>88</v>
      </c>
      <c r="G13105" t="s">
        <v>88</v>
      </c>
      <c r="H13105" t="s">
        <v>92</v>
      </c>
    </row>
    <row r="13106" spans="1:8" x14ac:dyDescent="0.25">
      <c r="A13106" t="s">
        <v>372</v>
      </c>
      <c r="B13106" t="s">
        <v>10350</v>
      </c>
      <c r="C13106" t="s">
        <v>88</v>
      </c>
      <c r="D13106" t="s">
        <v>10344</v>
      </c>
      <c r="E13106" t="s">
        <v>10345</v>
      </c>
      <c r="F13106" t="s">
        <v>88</v>
      </c>
      <c r="G13106" t="s">
        <v>88</v>
      </c>
      <c r="H13106" t="s">
        <v>92</v>
      </c>
    </row>
    <row r="13107" spans="1:8" x14ac:dyDescent="0.25">
      <c r="A13107" t="s">
        <v>372</v>
      </c>
      <c r="B13107" t="s">
        <v>2277</v>
      </c>
      <c r="C13107" t="s">
        <v>88</v>
      </c>
      <c r="D13107" t="s">
        <v>10344</v>
      </c>
      <c r="E13107" t="s">
        <v>10345</v>
      </c>
      <c r="F13107" t="s">
        <v>88</v>
      </c>
      <c r="G13107" t="s">
        <v>88</v>
      </c>
      <c r="H13107" t="s">
        <v>92</v>
      </c>
    </row>
    <row r="13108" spans="1:8" x14ac:dyDescent="0.25">
      <c r="A13108" t="s">
        <v>372</v>
      </c>
      <c r="B13108" t="s">
        <v>10351</v>
      </c>
      <c r="C13108" t="s">
        <v>88</v>
      </c>
      <c r="D13108" t="s">
        <v>10344</v>
      </c>
      <c r="E13108" t="s">
        <v>10345</v>
      </c>
      <c r="F13108" t="s">
        <v>88</v>
      </c>
      <c r="G13108" t="s">
        <v>88</v>
      </c>
      <c r="H13108" t="s">
        <v>92</v>
      </c>
    </row>
    <row r="13109" spans="1:8" x14ac:dyDescent="0.25">
      <c r="A13109" t="s">
        <v>372</v>
      </c>
      <c r="B13109" t="s">
        <v>4113</v>
      </c>
      <c r="C13109" t="s">
        <v>88</v>
      </c>
      <c r="D13109" t="s">
        <v>10344</v>
      </c>
      <c r="E13109" t="s">
        <v>10345</v>
      </c>
      <c r="F13109" t="s">
        <v>88</v>
      </c>
      <c r="G13109" t="s">
        <v>88</v>
      </c>
      <c r="H13109" t="s">
        <v>92</v>
      </c>
    </row>
    <row r="13110" spans="1:8" x14ac:dyDescent="0.25">
      <c r="A13110" t="s">
        <v>372</v>
      </c>
      <c r="B13110" t="s">
        <v>10352</v>
      </c>
      <c r="C13110" t="s">
        <v>88</v>
      </c>
      <c r="D13110" t="s">
        <v>10344</v>
      </c>
      <c r="E13110" t="s">
        <v>10345</v>
      </c>
      <c r="F13110" t="s">
        <v>88</v>
      </c>
      <c r="G13110" t="s">
        <v>88</v>
      </c>
      <c r="H13110" t="s">
        <v>92</v>
      </c>
    </row>
    <row r="13111" spans="1:8" x14ac:dyDescent="0.25">
      <c r="A13111" t="s">
        <v>372</v>
      </c>
      <c r="B13111" t="s">
        <v>2267</v>
      </c>
      <c r="C13111" t="s">
        <v>88</v>
      </c>
      <c r="D13111" t="s">
        <v>10344</v>
      </c>
      <c r="E13111" t="s">
        <v>10353</v>
      </c>
      <c r="F13111" t="s">
        <v>88</v>
      </c>
      <c r="G13111" t="s">
        <v>88</v>
      </c>
      <c r="H13111" t="s">
        <v>92</v>
      </c>
    </row>
    <row r="13112" spans="1:8" x14ac:dyDescent="0.25">
      <c r="A13112" t="s">
        <v>372</v>
      </c>
      <c r="B13112" t="s">
        <v>768</v>
      </c>
      <c r="C13112" t="s">
        <v>88</v>
      </c>
      <c r="D13112" t="s">
        <v>10354</v>
      </c>
      <c r="E13112" t="s">
        <v>10355</v>
      </c>
      <c r="F13112" t="s">
        <v>88</v>
      </c>
      <c r="G13112" t="s">
        <v>88</v>
      </c>
      <c r="H13112" t="s">
        <v>92</v>
      </c>
    </row>
    <row r="13113" spans="1:8" x14ac:dyDescent="0.25">
      <c r="A13113" t="s">
        <v>372</v>
      </c>
      <c r="B13113" t="s">
        <v>10356</v>
      </c>
      <c r="C13113" t="s">
        <v>88</v>
      </c>
      <c r="D13113" t="s">
        <v>10344</v>
      </c>
      <c r="E13113" t="s">
        <v>10345</v>
      </c>
      <c r="F13113" t="s">
        <v>88</v>
      </c>
      <c r="G13113" t="s">
        <v>88</v>
      </c>
      <c r="H13113" t="s">
        <v>92</v>
      </c>
    </row>
    <row r="13114" spans="1:8" x14ac:dyDescent="0.25">
      <c r="A13114" t="s">
        <v>372</v>
      </c>
      <c r="B13114" t="s">
        <v>10357</v>
      </c>
      <c r="C13114" t="s">
        <v>88</v>
      </c>
      <c r="D13114" t="s">
        <v>10358</v>
      </c>
      <c r="E13114" t="s">
        <v>10359</v>
      </c>
      <c r="F13114" t="s">
        <v>88</v>
      </c>
      <c r="G13114" t="s">
        <v>88</v>
      </c>
      <c r="H13114" t="s">
        <v>92</v>
      </c>
    </row>
    <row r="13115" spans="1:8" x14ac:dyDescent="0.25">
      <c r="A13115" t="s">
        <v>372</v>
      </c>
      <c r="B13115" t="s">
        <v>3323</v>
      </c>
      <c r="C13115" t="s">
        <v>88</v>
      </c>
      <c r="D13115" t="s">
        <v>10360</v>
      </c>
      <c r="E13115" t="s">
        <v>10361</v>
      </c>
      <c r="F13115" t="s">
        <v>88</v>
      </c>
      <c r="G13115" t="s">
        <v>88</v>
      </c>
      <c r="H13115" t="s">
        <v>92</v>
      </c>
    </row>
    <row r="13116" spans="1:8" x14ac:dyDescent="0.25">
      <c r="A13116" t="s">
        <v>372</v>
      </c>
      <c r="B13116" t="s">
        <v>2156</v>
      </c>
      <c r="C13116" t="s">
        <v>88</v>
      </c>
      <c r="D13116" t="s">
        <v>10360</v>
      </c>
      <c r="E13116" t="s">
        <v>10361</v>
      </c>
      <c r="F13116" t="s">
        <v>88</v>
      </c>
      <c r="G13116" t="s">
        <v>88</v>
      </c>
      <c r="H13116" t="s">
        <v>92</v>
      </c>
    </row>
    <row r="13117" spans="1:8" x14ac:dyDescent="0.25">
      <c r="A13117" t="s">
        <v>372</v>
      </c>
      <c r="B13117" t="s">
        <v>608</v>
      </c>
      <c r="C13117" t="s">
        <v>88</v>
      </c>
      <c r="D13117" t="s">
        <v>88</v>
      </c>
      <c r="E13117" t="s">
        <v>10362</v>
      </c>
      <c r="F13117" t="s">
        <v>88</v>
      </c>
      <c r="G13117" t="s">
        <v>88</v>
      </c>
      <c r="H13117" t="s">
        <v>92</v>
      </c>
    </row>
    <row r="13118" spans="1:8" x14ac:dyDescent="0.25">
      <c r="A13118" t="s">
        <v>372</v>
      </c>
      <c r="B13118" t="s">
        <v>612</v>
      </c>
      <c r="C13118" t="s">
        <v>88</v>
      </c>
      <c r="D13118" t="s">
        <v>88</v>
      </c>
      <c r="E13118" t="s">
        <v>10363</v>
      </c>
      <c r="F13118" t="s">
        <v>88</v>
      </c>
      <c r="G13118" t="s">
        <v>88</v>
      </c>
      <c r="H13118" t="s">
        <v>92</v>
      </c>
    </row>
    <row r="13119" spans="1:8" x14ac:dyDescent="0.25">
      <c r="A13119" t="s">
        <v>372</v>
      </c>
      <c r="B13119" t="s">
        <v>614</v>
      </c>
      <c r="C13119" t="s">
        <v>88</v>
      </c>
      <c r="D13119" t="s">
        <v>88</v>
      </c>
      <c r="E13119" t="s">
        <v>10363</v>
      </c>
      <c r="F13119" t="s">
        <v>88</v>
      </c>
      <c r="G13119" t="s">
        <v>88</v>
      </c>
      <c r="H13119" t="s">
        <v>92</v>
      </c>
    </row>
    <row r="13120" spans="1:8" x14ac:dyDescent="0.25">
      <c r="A13120" t="s">
        <v>372</v>
      </c>
      <c r="B13120" t="s">
        <v>617</v>
      </c>
      <c r="C13120" t="s">
        <v>88</v>
      </c>
      <c r="D13120" t="s">
        <v>88</v>
      </c>
      <c r="E13120" t="s">
        <v>10363</v>
      </c>
      <c r="F13120" t="s">
        <v>88</v>
      </c>
      <c r="G13120" t="s">
        <v>88</v>
      </c>
      <c r="H13120" t="s">
        <v>92</v>
      </c>
    </row>
    <row r="13121" spans="1:8" x14ac:dyDescent="0.25">
      <c r="A13121" t="s">
        <v>372</v>
      </c>
      <c r="B13121" t="s">
        <v>733</v>
      </c>
      <c r="C13121" t="s">
        <v>88</v>
      </c>
      <c r="D13121" t="s">
        <v>88</v>
      </c>
      <c r="E13121" t="s">
        <v>10363</v>
      </c>
      <c r="F13121" t="s">
        <v>88</v>
      </c>
      <c r="G13121" t="s">
        <v>88</v>
      </c>
      <c r="H13121" t="s">
        <v>92</v>
      </c>
    </row>
    <row r="13122" spans="1:8" x14ac:dyDescent="0.25">
      <c r="A13122" t="s">
        <v>372</v>
      </c>
      <c r="B13122" t="s">
        <v>623</v>
      </c>
      <c r="C13122" t="s">
        <v>88</v>
      </c>
      <c r="D13122" t="s">
        <v>88</v>
      </c>
      <c r="E13122" t="s">
        <v>711</v>
      </c>
      <c r="F13122" t="s">
        <v>88</v>
      </c>
      <c r="G13122" t="s">
        <v>88</v>
      </c>
      <c r="H13122" t="s">
        <v>92</v>
      </c>
    </row>
    <row r="13123" spans="1:8" x14ac:dyDescent="0.25">
      <c r="A13123" t="s">
        <v>372</v>
      </c>
      <c r="B13123" t="s">
        <v>625</v>
      </c>
      <c r="C13123" t="s">
        <v>88</v>
      </c>
      <c r="D13123" t="s">
        <v>88</v>
      </c>
      <c r="E13123" t="s">
        <v>626</v>
      </c>
      <c r="F13123" t="s">
        <v>88</v>
      </c>
      <c r="G13123" t="s">
        <v>88</v>
      </c>
      <c r="H13123" t="s">
        <v>92</v>
      </c>
    </row>
    <row r="13124" spans="1:8" x14ac:dyDescent="0.25">
      <c r="A13124" t="s">
        <v>374</v>
      </c>
      <c r="B13124" t="s">
        <v>1658</v>
      </c>
      <c r="C13124" t="s">
        <v>88</v>
      </c>
      <c r="D13124" t="s">
        <v>10364</v>
      </c>
      <c r="E13124" t="s">
        <v>679</v>
      </c>
      <c r="F13124" t="s">
        <v>88</v>
      </c>
      <c r="G13124" t="s">
        <v>88</v>
      </c>
      <c r="H13124" t="s">
        <v>92</v>
      </c>
    </row>
    <row r="13125" spans="1:8" x14ac:dyDescent="0.25">
      <c r="A13125" t="s">
        <v>374</v>
      </c>
      <c r="B13125" t="s">
        <v>1659</v>
      </c>
      <c r="C13125" t="s">
        <v>88</v>
      </c>
      <c r="D13125" t="s">
        <v>10365</v>
      </c>
      <c r="E13125" t="s">
        <v>1006</v>
      </c>
      <c r="F13125" t="s">
        <v>88</v>
      </c>
      <c r="G13125" t="s">
        <v>88</v>
      </c>
      <c r="H13125" t="s">
        <v>92</v>
      </c>
    </row>
    <row r="13126" spans="1:8" x14ac:dyDescent="0.25">
      <c r="A13126" t="s">
        <v>374</v>
      </c>
      <c r="B13126" t="s">
        <v>736</v>
      </c>
      <c r="C13126" t="s">
        <v>88</v>
      </c>
      <c r="D13126" t="s">
        <v>10364</v>
      </c>
      <c r="E13126" t="s">
        <v>679</v>
      </c>
      <c r="F13126" t="s">
        <v>88</v>
      </c>
      <c r="G13126" t="s">
        <v>88</v>
      </c>
      <c r="H13126" t="s">
        <v>92</v>
      </c>
    </row>
    <row r="13127" spans="1:8" x14ac:dyDescent="0.25">
      <c r="A13127" t="s">
        <v>374</v>
      </c>
      <c r="B13127" t="s">
        <v>4890</v>
      </c>
      <c r="C13127" t="s">
        <v>88</v>
      </c>
      <c r="D13127" t="s">
        <v>88</v>
      </c>
      <c r="E13127" t="s">
        <v>655</v>
      </c>
      <c r="F13127" t="s">
        <v>88</v>
      </c>
      <c r="G13127" t="s">
        <v>88</v>
      </c>
      <c r="H13127" t="s">
        <v>92</v>
      </c>
    </row>
    <row r="13128" spans="1:8" x14ac:dyDescent="0.25">
      <c r="A13128" t="s">
        <v>374</v>
      </c>
      <c r="B13128" t="s">
        <v>1780</v>
      </c>
      <c r="C13128" t="s">
        <v>88</v>
      </c>
      <c r="D13128" t="s">
        <v>88</v>
      </c>
      <c r="E13128" t="s">
        <v>780</v>
      </c>
      <c r="F13128" t="s">
        <v>88</v>
      </c>
      <c r="G13128" t="s">
        <v>88</v>
      </c>
      <c r="H13128" t="s">
        <v>92</v>
      </c>
    </row>
    <row r="13129" spans="1:8" x14ac:dyDescent="0.25">
      <c r="A13129" t="s">
        <v>374</v>
      </c>
      <c r="B13129" t="s">
        <v>1780</v>
      </c>
      <c r="C13129" t="s">
        <v>88</v>
      </c>
      <c r="D13129" t="s">
        <v>88</v>
      </c>
      <c r="E13129" t="s">
        <v>780</v>
      </c>
      <c r="F13129" t="s">
        <v>88</v>
      </c>
      <c r="G13129" t="s">
        <v>88</v>
      </c>
      <c r="H13129" t="s">
        <v>92</v>
      </c>
    </row>
    <row r="13130" spans="1:8" x14ac:dyDescent="0.25">
      <c r="A13130" t="s">
        <v>374</v>
      </c>
      <c r="B13130" t="s">
        <v>4890</v>
      </c>
      <c r="C13130" t="s">
        <v>88</v>
      </c>
      <c r="D13130" t="s">
        <v>88</v>
      </c>
      <c r="E13130" t="s">
        <v>655</v>
      </c>
      <c r="F13130" t="s">
        <v>88</v>
      </c>
      <c r="G13130" t="s">
        <v>88</v>
      </c>
      <c r="H13130" t="s">
        <v>92</v>
      </c>
    </row>
    <row r="13131" spans="1:8" x14ac:dyDescent="0.25">
      <c r="A13131" t="s">
        <v>374</v>
      </c>
      <c r="B13131" t="s">
        <v>876</v>
      </c>
      <c r="C13131" t="s">
        <v>88</v>
      </c>
      <c r="D13131" t="s">
        <v>9692</v>
      </c>
      <c r="E13131" t="s">
        <v>692</v>
      </c>
      <c r="F13131" t="s">
        <v>88</v>
      </c>
      <c r="G13131" t="s">
        <v>88</v>
      </c>
      <c r="H13131" t="s">
        <v>92</v>
      </c>
    </row>
    <row r="13132" spans="1:8" x14ac:dyDescent="0.25">
      <c r="A13132" t="s">
        <v>374</v>
      </c>
      <c r="B13132" t="s">
        <v>769</v>
      </c>
      <c r="C13132" t="s">
        <v>88</v>
      </c>
      <c r="D13132" t="s">
        <v>10366</v>
      </c>
      <c r="E13132" t="s">
        <v>841</v>
      </c>
      <c r="F13132" t="s">
        <v>88</v>
      </c>
      <c r="G13132" t="s">
        <v>88</v>
      </c>
      <c r="H13132" t="s">
        <v>92</v>
      </c>
    </row>
    <row r="13133" spans="1:8" x14ac:dyDescent="0.25">
      <c r="A13133" t="s">
        <v>374</v>
      </c>
      <c r="B13133" t="s">
        <v>10367</v>
      </c>
      <c r="C13133" t="s">
        <v>88</v>
      </c>
      <c r="D13133" t="s">
        <v>10368</v>
      </c>
      <c r="E13133" t="s">
        <v>844</v>
      </c>
      <c r="F13133" t="s">
        <v>88</v>
      </c>
      <c r="G13133" t="s">
        <v>88</v>
      </c>
      <c r="H13133" t="s">
        <v>92</v>
      </c>
    </row>
    <row r="13134" spans="1:8" x14ac:dyDescent="0.25">
      <c r="A13134" t="s">
        <v>374</v>
      </c>
      <c r="B13134" t="s">
        <v>10369</v>
      </c>
      <c r="C13134" t="s">
        <v>88</v>
      </c>
      <c r="D13134" t="s">
        <v>10370</v>
      </c>
      <c r="E13134" t="s">
        <v>760</v>
      </c>
      <c r="F13134" t="s">
        <v>88</v>
      </c>
      <c r="G13134" t="s">
        <v>88</v>
      </c>
      <c r="H13134" t="s">
        <v>92</v>
      </c>
    </row>
    <row r="13135" spans="1:8" x14ac:dyDescent="0.25">
      <c r="A13135" t="s">
        <v>374</v>
      </c>
      <c r="B13135" t="s">
        <v>897</v>
      </c>
      <c r="C13135" t="s">
        <v>88</v>
      </c>
      <c r="D13135" t="s">
        <v>9692</v>
      </c>
      <c r="E13135" t="s">
        <v>692</v>
      </c>
      <c r="F13135" t="s">
        <v>88</v>
      </c>
      <c r="G13135" t="s">
        <v>88</v>
      </c>
      <c r="H13135" t="s">
        <v>92</v>
      </c>
    </row>
    <row r="13136" spans="1:8" x14ac:dyDescent="0.25">
      <c r="A13136" t="s">
        <v>374</v>
      </c>
      <c r="B13136" t="s">
        <v>898</v>
      </c>
      <c r="C13136" t="s">
        <v>88</v>
      </c>
      <c r="D13136" t="s">
        <v>9692</v>
      </c>
      <c r="E13136" t="s">
        <v>844</v>
      </c>
      <c r="F13136" t="s">
        <v>88</v>
      </c>
      <c r="G13136" t="s">
        <v>88</v>
      </c>
      <c r="H13136" t="s">
        <v>92</v>
      </c>
    </row>
    <row r="13137" spans="1:8" x14ac:dyDescent="0.25">
      <c r="A13137" t="s">
        <v>374</v>
      </c>
      <c r="B13137" t="s">
        <v>764</v>
      </c>
      <c r="C13137" t="s">
        <v>88</v>
      </c>
      <c r="D13137" t="s">
        <v>9692</v>
      </c>
      <c r="E13137" t="s">
        <v>692</v>
      </c>
      <c r="F13137" t="s">
        <v>88</v>
      </c>
      <c r="G13137" t="s">
        <v>88</v>
      </c>
      <c r="H13137" t="s">
        <v>92</v>
      </c>
    </row>
    <row r="13138" spans="1:8" x14ac:dyDescent="0.25">
      <c r="A13138" t="s">
        <v>374</v>
      </c>
      <c r="B13138" t="s">
        <v>740</v>
      </c>
      <c r="C13138" t="s">
        <v>88</v>
      </c>
      <c r="D13138" t="s">
        <v>9692</v>
      </c>
      <c r="E13138" t="s">
        <v>762</v>
      </c>
      <c r="F13138" t="s">
        <v>88</v>
      </c>
      <c r="G13138" t="s">
        <v>88</v>
      </c>
      <c r="H13138" t="s">
        <v>92</v>
      </c>
    </row>
    <row r="13139" spans="1:8" x14ac:dyDescent="0.25">
      <c r="A13139" t="s">
        <v>374</v>
      </c>
      <c r="B13139" t="s">
        <v>1675</v>
      </c>
      <c r="C13139" t="s">
        <v>88</v>
      </c>
      <c r="D13139" t="s">
        <v>9692</v>
      </c>
      <c r="E13139" t="s">
        <v>760</v>
      </c>
      <c r="F13139" t="s">
        <v>88</v>
      </c>
      <c r="G13139" t="s">
        <v>88</v>
      </c>
      <c r="H13139" t="s">
        <v>92</v>
      </c>
    </row>
    <row r="13140" spans="1:8" x14ac:dyDescent="0.25">
      <c r="A13140" t="s">
        <v>374</v>
      </c>
      <c r="B13140" t="s">
        <v>10371</v>
      </c>
      <c r="C13140" t="s">
        <v>88</v>
      </c>
      <c r="D13140" t="s">
        <v>9692</v>
      </c>
      <c r="E13140" t="s">
        <v>760</v>
      </c>
      <c r="F13140" t="s">
        <v>88</v>
      </c>
      <c r="G13140" t="s">
        <v>88</v>
      </c>
      <c r="H13140" t="s">
        <v>92</v>
      </c>
    </row>
    <row r="13141" spans="1:8" x14ac:dyDescent="0.25">
      <c r="A13141" t="s">
        <v>374</v>
      </c>
      <c r="B13141" t="s">
        <v>2005</v>
      </c>
      <c r="C13141" t="s">
        <v>88</v>
      </c>
      <c r="D13141" t="s">
        <v>10372</v>
      </c>
      <c r="E13141" t="s">
        <v>1068</v>
      </c>
      <c r="F13141" t="s">
        <v>88</v>
      </c>
      <c r="G13141" t="s">
        <v>88</v>
      </c>
      <c r="H13141" t="s">
        <v>92</v>
      </c>
    </row>
    <row r="13142" spans="1:8" x14ac:dyDescent="0.25">
      <c r="A13142" t="s">
        <v>374</v>
      </c>
      <c r="B13142" t="s">
        <v>2007</v>
      </c>
      <c r="C13142" t="s">
        <v>88</v>
      </c>
      <c r="D13142" t="s">
        <v>10372</v>
      </c>
      <c r="E13142" t="s">
        <v>4153</v>
      </c>
      <c r="F13142" t="s">
        <v>88</v>
      </c>
      <c r="G13142" t="s">
        <v>88</v>
      </c>
      <c r="H13142" t="s">
        <v>92</v>
      </c>
    </row>
    <row r="13143" spans="1:8" x14ac:dyDescent="0.25">
      <c r="A13143" t="s">
        <v>374</v>
      </c>
      <c r="B13143" t="s">
        <v>1667</v>
      </c>
      <c r="C13143" t="s">
        <v>88</v>
      </c>
      <c r="D13143" t="s">
        <v>9692</v>
      </c>
      <c r="E13143" t="s">
        <v>692</v>
      </c>
      <c r="F13143" t="s">
        <v>88</v>
      </c>
      <c r="G13143" t="s">
        <v>88</v>
      </c>
      <c r="H13143" t="s">
        <v>92</v>
      </c>
    </row>
    <row r="13144" spans="1:8" x14ac:dyDescent="0.25">
      <c r="A13144" t="s">
        <v>374</v>
      </c>
      <c r="B13144" t="s">
        <v>1659</v>
      </c>
      <c r="C13144" t="s">
        <v>88</v>
      </c>
      <c r="D13144" t="s">
        <v>10365</v>
      </c>
      <c r="E13144" t="s">
        <v>1006</v>
      </c>
      <c r="F13144" t="s">
        <v>88</v>
      </c>
      <c r="G13144" t="s">
        <v>88</v>
      </c>
      <c r="H13144" t="s">
        <v>92</v>
      </c>
    </row>
    <row r="13145" spans="1:8" x14ac:dyDescent="0.25">
      <c r="A13145" t="s">
        <v>374</v>
      </c>
      <c r="B13145" t="s">
        <v>1658</v>
      </c>
      <c r="C13145" t="s">
        <v>88</v>
      </c>
      <c r="D13145" t="s">
        <v>10364</v>
      </c>
      <c r="E13145" t="s">
        <v>679</v>
      </c>
      <c r="F13145" t="s">
        <v>88</v>
      </c>
      <c r="G13145" t="s">
        <v>88</v>
      </c>
      <c r="H13145" t="s">
        <v>92</v>
      </c>
    </row>
    <row r="13146" spans="1:8" x14ac:dyDescent="0.25">
      <c r="A13146" t="s">
        <v>374</v>
      </c>
      <c r="B13146" t="s">
        <v>736</v>
      </c>
      <c r="C13146" t="s">
        <v>88</v>
      </c>
      <c r="D13146" t="s">
        <v>10364</v>
      </c>
      <c r="E13146" t="s">
        <v>679</v>
      </c>
      <c r="F13146" t="s">
        <v>88</v>
      </c>
      <c r="G13146" t="s">
        <v>88</v>
      </c>
      <c r="H13146" t="s">
        <v>92</v>
      </c>
    </row>
    <row r="13147" spans="1:8" x14ac:dyDescent="0.25">
      <c r="A13147" t="s">
        <v>374</v>
      </c>
      <c r="B13147" t="s">
        <v>925</v>
      </c>
      <c r="C13147" t="s">
        <v>88</v>
      </c>
      <c r="D13147" t="s">
        <v>10364</v>
      </c>
      <c r="E13147" t="s">
        <v>679</v>
      </c>
      <c r="F13147" t="s">
        <v>88</v>
      </c>
      <c r="G13147" t="s">
        <v>88</v>
      </c>
      <c r="H13147" t="s">
        <v>92</v>
      </c>
    </row>
    <row r="13148" spans="1:8" x14ac:dyDescent="0.25">
      <c r="A13148" t="s">
        <v>374</v>
      </c>
      <c r="B13148" t="s">
        <v>1396</v>
      </c>
      <c r="C13148" t="s">
        <v>88</v>
      </c>
      <c r="D13148" t="s">
        <v>2397</v>
      </c>
      <c r="E13148" t="s">
        <v>663</v>
      </c>
      <c r="F13148" t="s">
        <v>88</v>
      </c>
      <c r="G13148" t="s">
        <v>88</v>
      </c>
      <c r="H13148" t="s">
        <v>92</v>
      </c>
    </row>
    <row r="13149" spans="1:8" x14ac:dyDescent="0.25">
      <c r="A13149" t="s">
        <v>374</v>
      </c>
      <c r="B13149" t="s">
        <v>739</v>
      </c>
      <c r="C13149" t="s">
        <v>88</v>
      </c>
      <c r="D13149" t="s">
        <v>10364</v>
      </c>
      <c r="E13149" t="s">
        <v>780</v>
      </c>
      <c r="F13149" t="s">
        <v>88</v>
      </c>
      <c r="G13149" t="s">
        <v>88</v>
      </c>
      <c r="H13149" t="s">
        <v>92</v>
      </c>
    </row>
    <row r="13150" spans="1:8" x14ac:dyDescent="0.25">
      <c r="A13150" t="s">
        <v>374</v>
      </c>
      <c r="B13150" t="s">
        <v>789</v>
      </c>
      <c r="C13150" t="s">
        <v>88</v>
      </c>
      <c r="D13150" t="s">
        <v>10373</v>
      </c>
      <c r="E13150" t="s">
        <v>791</v>
      </c>
      <c r="F13150" t="s">
        <v>88</v>
      </c>
      <c r="G13150" t="s">
        <v>88</v>
      </c>
      <c r="H13150" t="s">
        <v>92</v>
      </c>
    </row>
    <row r="13151" spans="1:8" x14ac:dyDescent="0.25">
      <c r="A13151" t="s">
        <v>374</v>
      </c>
      <c r="B13151" t="s">
        <v>816</v>
      </c>
      <c r="C13151" t="s">
        <v>88</v>
      </c>
      <c r="D13151" t="s">
        <v>10374</v>
      </c>
      <c r="E13151" t="s">
        <v>655</v>
      </c>
      <c r="F13151" t="s">
        <v>88</v>
      </c>
      <c r="G13151" t="s">
        <v>88</v>
      </c>
      <c r="H13151" t="s">
        <v>92</v>
      </c>
    </row>
    <row r="13152" spans="1:8" x14ac:dyDescent="0.25">
      <c r="A13152" t="s">
        <v>374</v>
      </c>
      <c r="B13152" t="s">
        <v>823</v>
      </c>
      <c r="C13152" t="s">
        <v>88</v>
      </c>
      <c r="D13152" t="s">
        <v>10374</v>
      </c>
      <c r="E13152" t="s">
        <v>825</v>
      </c>
      <c r="F13152" t="s">
        <v>88</v>
      </c>
      <c r="G13152" t="s">
        <v>88</v>
      </c>
      <c r="H13152" t="s">
        <v>92</v>
      </c>
    </row>
    <row r="13153" spans="1:8" x14ac:dyDescent="0.25">
      <c r="A13153" t="s">
        <v>374</v>
      </c>
      <c r="B13153" t="s">
        <v>2162</v>
      </c>
      <c r="C13153" t="s">
        <v>88</v>
      </c>
      <c r="D13153" t="s">
        <v>88</v>
      </c>
      <c r="E13153" t="s">
        <v>760</v>
      </c>
      <c r="F13153" t="s">
        <v>88</v>
      </c>
      <c r="G13153" t="s">
        <v>88</v>
      </c>
      <c r="H13153" t="s">
        <v>92</v>
      </c>
    </row>
    <row r="13154" spans="1:8" x14ac:dyDescent="0.25">
      <c r="A13154" t="s">
        <v>374</v>
      </c>
      <c r="B13154" t="s">
        <v>6245</v>
      </c>
      <c r="C13154" t="s">
        <v>88</v>
      </c>
      <c r="D13154" t="s">
        <v>88</v>
      </c>
      <c r="E13154" t="s">
        <v>692</v>
      </c>
      <c r="F13154" t="s">
        <v>88</v>
      </c>
      <c r="G13154" t="s">
        <v>88</v>
      </c>
      <c r="H13154" t="s">
        <v>92</v>
      </c>
    </row>
    <row r="13155" spans="1:8" x14ac:dyDescent="0.25">
      <c r="A13155" t="s">
        <v>374</v>
      </c>
      <c r="B13155" t="s">
        <v>2399</v>
      </c>
      <c r="C13155" t="s">
        <v>88</v>
      </c>
      <c r="D13155" t="s">
        <v>88</v>
      </c>
      <c r="E13155" t="s">
        <v>692</v>
      </c>
      <c r="F13155" t="s">
        <v>88</v>
      </c>
      <c r="G13155" t="s">
        <v>88</v>
      </c>
      <c r="H13155" t="s">
        <v>92</v>
      </c>
    </row>
    <row r="13156" spans="1:8" x14ac:dyDescent="0.25">
      <c r="A13156" t="s">
        <v>374</v>
      </c>
      <c r="B13156" t="s">
        <v>3310</v>
      </c>
      <c r="C13156" t="s">
        <v>88</v>
      </c>
      <c r="D13156" t="s">
        <v>10375</v>
      </c>
      <c r="E13156" t="s">
        <v>676</v>
      </c>
      <c r="F13156" t="s">
        <v>88</v>
      </c>
      <c r="G13156" t="s">
        <v>88</v>
      </c>
      <c r="H13156" t="s">
        <v>92</v>
      </c>
    </row>
    <row r="13157" spans="1:8" x14ac:dyDescent="0.25">
      <c r="A13157" t="s">
        <v>374</v>
      </c>
      <c r="B13157" t="s">
        <v>3306</v>
      </c>
      <c r="C13157" t="s">
        <v>88</v>
      </c>
      <c r="D13157" t="s">
        <v>10375</v>
      </c>
      <c r="E13157" t="s">
        <v>676</v>
      </c>
      <c r="F13157" t="s">
        <v>88</v>
      </c>
      <c r="G13157" t="s">
        <v>88</v>
      </c>
      <c r="H13157" t="s">
        <v>92</v>
      </c>
    </row>
    <row r="13158" spans="1:8" x14ac:dyDescent="0.25">
      <c r="A13158" t="s">
        <v>374</v>
      </c>
      <c r="B13158" t="s">
        <v>2196</v>
      </c>
      <c r="C13158" t="s">
        <v>88</v>
      </c>
      <c r="D13158" t="s">
        <v>10376</v>
      </c>
      <c r="E13158" t="s">
        <v>700</v>
      </c>
      <c r="F13158" t="s">
        <v>88</v>
      </c>
      <c r="G13158" t="s">
        <v>88</v>
      </c>
      <c r="H13158" t="s">
        <v>92</v>
      </c>
    </row>
    <row r="13159" spans="1:8" x14ac:dyDescent="0.25">
      <c r="A13159" t="s">
        <v>374</v>
      </c>
      <c r="B13159" t="s">
        <v>4790</v>
      </c>
      <c r="C13159" t="s">
        <v>88</v>
      </c>
      <c r="D13159" t="s">
        <v>88</v>
      </c>
      <c r="E13159" t="s">
        <v>780</v>
      </c>
      <c r="F13159" t="s">
        <v>88</v>
      </c>
      <c r="G13159" t="s">
        <v>88</v>
      </c>
      <c r="H13159" t="s">
        <v>92</v>
      </c>
    </row>
    <row r="13160" spans="1:8" x14ac:dyDescent="0.25">
      <c r="A13160" t="s">
        <v>374</v>
      </c>
      <c r="B13160" t="s">
        <v>701</v>
      </c>
      <c r="C13160" t="s">
        <v>88</v>
      </c>
      <c r="D13160" t="s">
        <v>88</v>
      </c>
      <c r="E13160" t="s">
        <v>732</v>
      </c>
      <c r="F13160" t="s">
        <v>88</v>
      </c>
      <c r="G13160" t="s">
        <v>88</v>
      </c>
      <c r="H13160" t="s">
        <v>92</v>
      </c>
    </row>
    <row r="13161" spans="1:8" x14ac:dyDescent="0.25">
      <c r="A13161" t="s">
        <v>374</v>
      </c>
      <c r="B13161" t="s">
        <v>705</v>
      </c>
      <c r="C13161" t="s">
        <v>88</v>
      </c>
      <c r="D13161" t="s">
        <v>88</v>
      </c>
      <c r="E13161" t="s">
        <v>732</v>
      </c>
      <c r="F13161" t="s">
        <v>88</v>
      </c>
      <c r="G13161" t="s">
        <v>88</v>
      </c>
      <c r="H13161" t="s">
        <v>92</v>
      </c>
    </row>
    <row r="13162" spans="1:8" x14ac:dyDescent="0.25">
      <c r="A13162" t="s">
        <v>374</v>
      </c>
      <c r="B13162" t="s">
        <v>612</v>
      </c>
      <c r="C13162" t="s">
        <v>88</v>
      </c>
      <c r="D13162" t="s">
        <v>88</v>
      </c>
      <c r="E13162" t="s">
        <v>732</v>
      </c>
      <c r="F13162" t="s">
        <v>88</v>
      </c>
      <c r="G13162" t="s">
        <v>88</v>
      </c>
      <c r="H13162" t="s">
        <v>92</v>
      </c>
    </row>
    <row r="13163" spans="1:8" x14ac:dyDescent="0.25">
      <c r="A13163" t="s">
        <v>374</v>
      </c>
      <c r="B13163" t="s">
        <v>615</v>
      </c>
      <c r="C13163" t="s">
        <v>88</v>
      </c>
      <c r="D13163" t="s">
        <v>88</v>
      </c>
      <c r="E13163" t="s">
        <v>732</v>
      </c>
      <c r="F13163" t="s">
        <v>88</v>
      </c>
      <c r="G13163" t="s">
        <v>88</v>
      </c>
      <c r="H13163" t="s">
        <v>92</v>
      </c>
    </row>
    <row r="13164" spans="1:8" x14ac:dyDescent="0.25">
      <c r="A13164" t="s">
        <v>374</v>
      </c>
      <c r="B13164" t="s">
        <v>707</v>
      </c>
      <c r="C13164" t="s">
        <v>88</v>
      </c>
      <c r="D13164" t="s">
        <v>88</v>
      </c>
      <c r="E13164" t="s">
        <v>732</v>
      </c>
      <c r="F13164" t="s">
        <v>88</v>
      </c>
      <c r="G13164" t="s">
        <v>88</v>
      </c>
      <c r="H13164" t="s">
        <v>92</v>
      </c>
    </row>
    <row r="13165" spans="1:8" x14ac:dyDescent="0.25">
      <c r="A13165" t="s">
        <v>374</v>
      </c>
      <c r="B13165" t="s">
        <v>846</v>
      </c>
      <c r="C13165" t="s">
        <v>88</v>
      </c>
      <c r="D13165" t="s">
        <v>88</v>
      </c>
      <c r="E13165" t="s">
        <v>709</v>
      </c>
      <c r="F13165" t="s">
        <v>88</v>
      </c>
      <c r="G13165" t="s">
        <v>88</v>
      </c>
      <c r="H13165" t="s">
        <v>92</v>
      </c>
    </row>
    <row r="13166" spans="1:8" x14ac:dyDescent="0.25">
      <c r="A13166" t="s">
        <v>374</v>
      </c>
      <c r="B13166" t="s">
        <v>618</v>
      </c>
      <c r="C13166" t="s">
        <v>88</v>
      </c>
      <c r="D13166" t="s">
        <v>88</v>
      </c>
      <c r="E13166" t="s">
        <v>711</v>
      </c>
      <c r="F13166" t="s">
        <v>88</v>
      </c>
      <c r="G13166" t="s">
        <v>88</v>
      </c>
      <c r="H13166" t="s">
        <v>92</v>
      </c>
    </row>
    <row r="13167" spans="1:8" x14ac:dyDescent="0.25">
      <c r="A13167" t="s">
        <v>374</v>
      </c>
      <c r="B13167" t="s">
        <v>926</v>
      </c>
      <c r="C13167" t="s">
        <v>88</v>
      </c>
      <c r="D13167" t="s">
        <v>88</v>
      </c>
      <c r="E13167" t="s">
        <v>711</v>
      </c>
      <c r="F13167" t="s">
        <v>88</v>
      </c>
      <c r="G13167" t="s">
        <v>88</v>
      </c>
      <c r="H13167" t="s">
        <v>92</v>
      </c>
    </row>
    <row r="13168" spans="1:8" x14ac:dyDescent="0.25">
      <c r="A13168" t="s">
        <v>374</v>
      </c>
      <c r="B13168" t="s">
        <v>620</v>
      </c>
      <c r="C13168" t="s">
        <v>88</v>
      </c>
      <c r="D13168" t="s">
        <v>88</v>
      </c>
      <c r="E13168" t="s">
        <v>710</v>
      </c>
      <c r="F13168" t="s">
        <v>88</v>
      </c>
      <c r="G13168" t="s">
        <v>88</v>
      </c>
      <c r="H13168" t="s">
        <v>92</v>
      </c>
    </row>
    <row r="13169" spans="1:8" x14ac:dyDescent="0.25">
      <c r="A13169" t="s">
        <v>374</v>
      </c>
      <c r="B13169" t="s">
        <v>622</v>
      </c>
      <c r="C13169" t="s">
        <v>88</v>
      </c>
      <c r="D13169" t="s">
        <v>88</v>
      </c>
      <c r="E13169" t="s">
        <v>710</v>
      </c>
      <c r="F13169" t="s">
        <v>88</v>
      </c>
      <c r="G13169" t="s">
        <v>88</v>
      </c>
      <c r="H13169" t="s">
        <v>92</v>
      </c>
    </row>
    <row r="13170" spans="1:8" x14ac:dyDescent="0.25">
      <c r="A13170" t="s">
        <v>374</v>
      </c>
      <c r="B13170" t="s">
        <v>623</v>
      </c>
      <c r="C13170" t="s">
        <v>88</v>
      </c>
      <c r="D13170" t="s">
        <v>88</v>
      </c>
      <c r="E13170" t="s">
        <v>735</v>
      </c>
      <c r="F13170" t="s">
        <v>88</v>
      </c>
      <c r="G13170" t="s">
        <v>88</v>
      </c>
      <c r="H13170" t="s">
        <v>92</v>
      </c>
    </row>
    <row r="13171" spans="1:8" x14ac:dyDescent="0.25">
      <c r="A13171" t="s">
        <v>374</v>
      </c>
      <c r="B13171" t="s">
        <v>714</v>
      </c>
      <c r="C13171" t="s">
        <v>88</v>
      </c>
      <c r="D13171" t="s">
        <v>88</v>
      </c>
      <c r="E13171" t="s">
        <v>702</v>
      </c>
      <c r="F13171" t="s">
        <v>88</v>
      </c>
      <c r="G13171" t="s">
        <v>88</v>
      </c>
      <c r="H13171" t="s">
        <v>92</v>
      </c>
    </row>
    <row r="13172" spans="1:8" x14ac:dyDescent="0.25">
      <c r="A13172" t="s">
        <v>374</v>
      </c>
      <c r="B13172" t="s">
        <v>998</v>
      </c>
      <c r="C13172" t="s">
        <v>88</v>
      </c>
      <c r="D13172" t="s">
        <v>88</v>
      </c>
      <c r="E13172" t="s">
        <v>702</v>
      </c>
      <c r="F13172" t="s">
        <v>88</v>
      </c>
      <c r="G13172" t="s">
        <v>88</v>
      </c>
      <c r="H13172" t="s">
        <v>92</v>
      </c>
    </row>
    <row r="13173" spans="1:8" x14ac:dyDescent="0.25">
      <c r="A13173" t="s">
        <v>374</v>
      </c>
      <c r="B13173" t="s">
        <v>4027</v>
      </c>
      <c r="C13173" t="s">
        <v>88</v>
      </c>
      <c r="D13173" t="s">
        <v>10377</v>
      </c>
      <c r="E13173" t="s">
        <v>1171</v>
      </c>
      <c r="F13173" t="s">
        <v>88</v>
      </c>
      <c r="G13173" t="s">
        <v>88</v>
      </c>
      <c r="H13173" t="s">
        <v>92</v>
      </c>
    </row>
    <row r="13174" spans="1:8" x14ac:dyDescent="0.25">
      <c r="A13174" t="s">
        <v>374</v>
      </c>
      <c r="B13174" t="s">
        <v>4029</v>
      </c>
      <c r="C13174" t="s">
        <v>88</v>
      </c>
      <c r="D13174" t="s">
        <v>10377</v>
      </c>
      <c r="E13174" t="s">
        <v>1920</v>
      </c>
      <c r="F13174" t="s">
        <v>88</v>
      </c>
      <c r="G13174" t="s">
        <v>88</v>
      </c>
      <c r="H13174" t="s">
        <v>92</v>
      </c>
    </row>
    <row r="13175" spans="1:8" x14ac:dyDescent="0.25">
      <c r="A13175" t="s">
        <v>374</v>
      </c>
      <c r="B13175" t="s">
        <v>625</v>
      </c>
      <c r="C13175" t="s">
        <v>88</v>
      </c>
      <c r="D13175" t="s">
        <v>88</v>
      </c>
      <c r="E13175" t="s">
        <v>626</v>
      </c>
      <c r="F13175" t="s">
        <v>88</v>
      </c>
      <c r="G13175" t="s">
        <v>88</v>
      </c>
      <c r="H13175" t="s">
        <v>92</v>
      </c>
    </row>
    <row r="13176" spans="1:8" x14ac:dyDescent="0.25">
      <c r="A13176" t="s">
        <v>375</v>
      </c>
      <c r="B13176" t="s">
        <v>10378</v>
      </c>
      <c r="C13176" t="s">
        <v>88</v>
      </c>
      <c r="D13176" t="s">
        <v>10379</v>
      </c>
      <c r="E13176" t="s">
        <v>692</v>
      </c>
      <c r="F13176" t="s">
        <v>88</v>
      </c>
      <c r="G13176" t="s">
        <v>88</v>
      </c>
      <c r="H13176" t="s">
        <v>92</v>
      </c>
    </row>
    <row r="13177" spans="1:8" x14ac:dyDescent="0.25">
      <c r="A13177" t="s">
        <v>375</v>
      </c>
      <c r="B13177" t="s">
        <v>7547</v>
      </c>
      <c r="C13177" t="s">
        <v>88</v>
      </c>
      <c r="D13177" t="s">
        <v>10380</v>
      </c>
      <c r="E13177" t="s">
        <v>7810</v>
      </c>
      <c r="F13177" t="s">
        <v>88</v>
      </c>
      <c r="G13177" t="s">
        <v>88</v>
      </c>
      <c r="H13177" t="s">
        <v>92</v>
      </c>
    </row>
    <row r="13178" spans="1:8" x14ac:dyDescent="0.25">
      <c r="A13178" t="s">
        <v>375</v>
      </c>
      <c r="B13178" t="s">
        <v>736</v>
      </c>
      <c r="C13178" t="s">
        <v>88</v>
      </c>
      <c r="D13178" t="s">
        <v>10381</v>
      </c>
      <c r="E13178" t="s">
        <v>679</v>
      </c>
      <c r="F13178" t="s">
        <v>88</v>
      </c>
      <c r="G13178" t="s">
        <v>88</v>
      </c>
      <c r="H13178" t="s">
        <v>92</v>
      </c>
    </row>
    <row r="13179" spans="1:8" x14ac:dyDescent="0.25">
      <c r="A13179" t="s">
        <v>375</v>
      </c>
      <c r="B13179" t="s">
        <v>1842</v>
      </c>
      <c r="C13179" t="s">
        <v>88</v>
      </c>
      <c r="D13179" t="s">
        <v>2845</v>
      </c>
      <c r="E13179" t="s">
        <v>725</v>
      </c>
      <c r="F13179" t="s">
        <v>88</v>
      </c>
      <c r="G13179" t="s">
        <v>88</v>
      </c>
      <c r="H13179" t="s">
        <v>92</v>
      </c>
    </row>
    <row r="13180" spans="1:8" x14ac:dyDescent="0.25">
      <c r="A13180" t="s">
        <v>375</v>
      </c>
      <c r="B13180" t="s">
        <v>4177</v>
      </c>
      <c r="C13180" t="s">
        <v>88</v>
      </c>
      <c r="D13180" t="s">
        <v>10382</v>
      </c>
      <c r="E13180" t="s">
        <v>717</v>
      </c>
      <c r="F13180" t="s">
        <v>88</v>
      </c>
      <c r="G13180" t="s">
        <v>88</v>
      </c>
      <c r="H13180" t="s">
        <v>92</v>
      </c>
    </row>
    <row r="13181" spans="1:8" x14ac:dyDescent="0.25">
      <c r="A13181" t="s">
        <v>375</v>
      </c>
      <c r="B13181" t="s">
        <v>7223</v>
      </c>
      <c r="C13181" t="s">
        <v>88</v>
      </c>
      <c r="D13181" t="s">
        <v>10383</v>
      </c>
      <c r="E13181" t="s">
        <v>889</v>
      </c>
      <c r="F13181" t="s">
        <v>88</v>
      </c>
      <c r="G13181" t="s">
        <v>88</v>
      </c>
      <c r="H13181" t="s">
        <v>92</v>
      </c>
    </row>
    <row r="13182" spans="1:8" x14ac:dyDescent="0.25">
      <c r="A13182" t="s">
        <v>375</v>
      </c>
      <c r="B13182" t="s">
        <v>4190</v>
      </c>
      <c r="C13182" t="s">
        <v>88</v>
      </c>
      <c r="D13182" t="s">
        <v>4191</v>
      </c>
      <c r="E13182" t="s">
        <v>762</v>
      </c>
      <c r="F13182" t="s">
        <v>88</v>
      </c>
      <c r="G13182" t="s">
        <v>88</v>
      </c>
      <c r="H13182" t="s">
        <v>92</v>
      </c>
    </row>
    <row r="13183" spans="1:8" x14ac:dyDescent="0.25">
      <c r="A13183" t="s">
        <v>375</v>
      </c>
      <c r="B13183" t="s">
        <v>7628</v>
      </c>
      <c r="C13183" t="s">
        <v>88</v>
      </c>
      <c r="D13183" t="s">
        <v>4197</v>
      </c>
      <c r="E13183" t="s">
        <v>1139</v>
      </c>
      <c r="F13183" t="s">
        <v>88</v>
      </c>
      <c r="G13183" t="s">
        <v>88</v>
      </c>
      <c r="H13183" t="s">
        <v>92</v>
      </c>
    </row>
    <row r="13184" spans="1:8" x14ac:dyDescent="0.25">
      <c r="A13184" t="s">
        <v>375</v>
      </c>
      <c r="B13184" t="s">
        <v>10384</v>
      </c>
      <c r="C13184" t="s">
        <v>88</v>
      </c>
      <c r="D13184" t="s">
        <v>10385</v>
      </c>
      <c r="E13184" t="s">
        <v>762</v>
      </c>
      <c r="F13184" t="s">
        <v>88</v>
      </c>
      <c r="G13184" t="s">
        <v>88</v>
      </c>
      <c r="H13184" t="s">
        <v>92</v>
      </c>
    </row>
    <row r="13185" spans="1:8" x14ac:dyDescent="0.25">
      <c r="A13185" t="s">
        <v>375</v>
      </c>
      <c r="B13185" t="s">
        <v>2965</v>
      </c>
      <c r="C13185" t="s">
        <v>88</v>
      </c>
      <c r="D13185" t="s">
        <v>7622</v>
      </c>
      <c r="E13185" t="s">
        <v>3015</v>
      </c>
      <c r="F13185" t="s">
        <v>88</v>
      </c>
      <c r="G13185" t="s">
        <v>88</v>
      </c>
      <c r="H13185" t="s">
        <v>92</v>
      </c>
    </row>
    <row r="13186" spans="1:8" x14ac:dyDescent="0.25">
      <c r="A13186" t="s">
        <v>375</v>
      </c>
      <c r="B13186" t="s">
        <v>4192</v>
      </c>
      <c r="C13186" t="s">
        <v>88</v>
      </c>
      <c r="D13186" t="s">
        <v>4193</v>
      </c>
      <c r="E13186" t="s">
        <v>5256</v>
      </c>
      <c r="F13186" t="s">
        <v>88</v>
      </c>
      <c r="G13186" t="s">
        <v>88</v>
      </c>
      <c r="H13186" t="s">
        <v>92</v>
      </c>
    </row>
    <row r="13187" spans="1:8" x14ac:dyDescent="0.25">
      <c r="A13187" t="s">
        <v>375</v>
      </c>
      <c r="B13187" t="s">
        <v>7612</v>
      </c>
      <c r="C13187" t="s">
        <v>88</v>
      </c>
      <c r="D13187" t="s">
        <v>10386</v>
      </c>
      <c r="E13187" t="s">
        <v>717</v>
      </c>
      <c r="F13187" t="s">
        <v>88</v>
      </c>
      <c r="G13187" t="s">
        <v>88</v>
      </c>
      <c r="H13187" t="s">
        <v>92</v>
      </c>
    </row>
    <row r="13188" spans="1:8" x14ac:dyDescent="0.25">
      <c r="A13188" t="s">
        <v>375</v>
      </c>
      <c r="B13188" t="s">
        <v>10378</v>
      </c>
      <c r="C13188" t="s">
        <v>88</v>
      </c>
      <c r="D13188" t="s">
        <v>10379</v>
      </c>
      <c r="E13188" t="s">
        <v>692</v>
      </c>
      <c r="F13188" t="s">
        <v>88</v>
      </c>
      <c r="G13188" t="s">
        <v>88</v>
      </c>
      <c r="H13188" t="s">
        <v>92</v>
      </c>
    </row>
    <row r="13189" spans="1:8" x14ac:dyDescent="0.25">
      <c r="A13189" t="s">
        <v>375</v>
      </c>
      <c r="B13189" t="s">
        <v>10387</v>
      </c>
      <c r="C13189" t="s">
        <v>88</v>
      </c>
      <c r="D13189" t="s">
        <v>10388</v>
      </c>
      <c r="E13189" t="s">
        <v>655</v>
      </c>
      <c r="F13189" t="s">
        <v>88</v>
      </c>
      <c r="G13189" t="s">
        <v>88</v>
      </c>
      <c r="H13189" t="s">
        <v>92</v>
      </c>
    </row>
    <row r="13190" spans="1:8" x14ac:dyDescent="0.25">
      <c r="A13190" t="s">
        <v>375</v>
      </c>
      <c r="B13190" t="s">
        <v>10389</v>
      </c>
      <c r="C13190" t="s">
        <v>88</v>
      </c>
      <c r="D13190" t="s">
        <v>10390</v>
      </c>
      <c r="E13190" t="s">
        <v>2481</v>
      </c>
      <c r="F13190" t="s">
        <v>88</v>
      </c>
      <c r="G13190" t="s">
        <v>88</v>
      </c>
      <c r="H13190" t="s">
        <v>92</v>
      </c>
    </row>
    <row r="13191" spans="1:8" x14ac:dyDescent="0.25">
      <c r="A13191" t="s">
        <v>375</v>
      </c>
      <c r="B13191" t="s">
        <v>8683</v>
      </c>
      <c r="C13191" t="s">
        <v>88</v>
      </c>
      <c r="D13191" t="s">
        <v>10391</v>
      </c>
      <c r="E13191" t="s">
        <v>2481</v>
      </c>
      <c r="F13191" t="s">
        <v>88</v>
      </c>
      <c r="G13191" t="s">
        <v>88</v>
      </c>
      <c r="H13191" t="s">
        <v>92</v>
      </c>
    </row>
    <row r="13192" spans="1:8" x14ac:dyDescent="0.25">
      <c r="A13192" t="s">
        <v>375</v>
      </c>
      <c r="B13192" t="s">
        <v>7632</v>
      </c>
      <c r="C13192" t="s">
        <v>88</v>
      </c>
      <c r="D13192" t="s">
        <v>10392</v>
      </c>
      <c r="E13192" t="s">
        <v>1219</v>
      </c>
      <c r="F13192" t="s">
        <v>88</v>
      </c>
      <c r="G13192" t="s">
        <v>88</v>
      </c>
      <c r="H13192" t="s">
        <v>92</v>
      </c>
    </row>
    <row r="13193" spans="1:8" x14ac:dyDescent="0.25">
      <c r="A13193" t="s">
        <v>375</v>
      </c>
      <c r="B13193" t="s">
        <v>4158</v>
      </c>
      <c r="C13193" t="s">
        <v>88</v>
      </c>
      <c r="D13193" t="s">
        <v>4159</v>
      </c>
      <c r="E13193" t="s">
        <v>1139</v>
      </c>
      <c r="F13193" t="s">
        <v>88</v>
      </c>
      <c r="G13193" t="s">
        <v>88</v>
      </c>
      <c r="H13193" t="s">
        <v>92</v>
      </c>
    </row>
    <row r="13194" spans="1:8" x14ac:dyDescent="0.25">
      <c r="A13194" t="s">
        <v>375</v>
      </c>
      <c r="B13194" t="s">
        <v>7636</v>
      </c>
      <c r="C13194" t="s">
        <v>88</v>
      </c>
      <c r="D13194" t="s">
        <v>10393</v>
      </c>
      <c r="E13194" t="s">
        <v>1219</v>
      </c>
      <c r="F13194" t="s">
        <v>88</v>
      </c>
      <c r="G13194" t="s">
        <v>88</v>
      </c>
      <c r="H13194" t="s">
        <v>92</v>
      </c>
    </row>
    <row r="13195" spans="1:8" x14ac:dyDescent="0.25">
      <c r="A13195" t="s">
        <v>375</v>
      </c>
      <c r="B13195" t="s">
        <v>4160</v>
      </c>
      <c r="C13195" t="s">
        <v>88</v>
      </c>
      <c r="D13195" t="s">
        <v>10394</v>
      </c>
      <c r="E13195" t="s">
        <v>889</v>
      </c>
      <c r="F13195" t="s">
        <v>88</v>
      </c>
      <c r="G13195" t="s">
        <v>88</v>
      </c>
      <c r="H13195" t="s">
        <v>92</v>
      </c>
    </row>
    <row r="13196" spans="1:8" x14ac:dyDescent="0.25">
      <c r="A13196" t="s">
        <v>375</v>
      </c>
      <c r="B13196" t="s">
        <v>4181</v>
      </c>
      <c r="C13196" t="s">
        <v>88</v>
      </c>
      <c r="D13196" t="s">
        <v>10391</v>
      </c>
      <c r="E13196" t="s">
        <v>1219</v>
      </c>
      <c r="F13196" t="s">
        <v>88</v>
      </c>
      <c r="G13196" t="s">
        <v>88</v>
      </c>
      <c r="H13196" t="s">
        <v>92</v>
      </c>
    </row>
    <row r="13197" spans="1:8" x14ac:dyDescent="0.25">
      <c r="A13197" t="s">
        <v>375</v>
      </c>
      <c r="B13197" t="s">
        <v>7610</v>
      </c>
      <c r="C13197" t="s">
        <v>88</v>
      </c>
      <c r="D13197" t="s">
        <v>4198</v>
      </c>
      <c r="E13197" t="s">
        <v>655</v>
      </c>
      <c r="F13197" t="s">
        <v>88</v>
      </c>
      <c r="G13197" t="s">
        <v>88</v>
      </c>
      <c r="H13197" t="s">
        <v>92</v>
      </c>
    </row>
    <row r="13198" spans="1:8" x14ac:dyDescent="0.25">
      <c r="A13198" t="s">
        <v>375</v>
      </c>
      <c r="B13198" t="s">
        <v>4177</v>
      </c>
      <c r="C13198" t="s">
        <v>88</v>
      </c>
      <c r="D13198" t="s">
        <v>10382</v>
      </c>
      <c r="E13198" t="s">
        <v>717</v>
      </c>
      <c r="F13198" t="s">
        <v>88</v>
      </c>
      <c r="G13198" t="s">
        <v>88</v>
      </c>
      <c r="H13198" t="s">
        <v>92</v>
      </c>
    </row>
    <row r="13199" spans="1:8" x14ac:dyDescent="0.25">
      <c r="A13199" t="s">
        <v>375</v>
      </c>
      <c r="B13199" t="s">
        <v>7634</v>
      </c>
      <c r="C13199" t="s">
        <v>88</v>
      </c>
      <c r="D13199" t="s">
        <v>10395</v>
      </c>
      <c r="E13199" t="s">
        <v>2193</v>
      </c>
      <c r="F13199" t="s">
        <v>88</v>
      </c>
      <c r="G13199" t="s">
        <v>88</v>
      </c>
      <c r="H13199" t="s">
        <v>92</v>
      </c>
    </row>
    <row r="13200" spans="1:8" x14ac:dyDescent="0.25">
      <c r="A13200" t="s">
        <v>375</v>
      </c>
      <c r="B13200" t="s">
        <v>6309</v>
      </c>
      <c r="C13200" t="s">
        <v>88</v>
      </c>
      <c r="D13200" t="s">
        <v>10396</v>
      </c>
      <c r="E13200" t="s">
        <v>1219</v>
      </c>
      <c r="F13200" t="s">
        <v>88</v>
      </c>
      <c r="G13200" t="s">
        <v>88</v>
      </c>
      <c r="H13200" t="s">
        <v>92</v>
      </c>
    </row>
    <row r="13201" spans="1:8" x14ac:dyDescent="0.25">
      <c r="A13201" t="s">
        <v>375</v>
      </c>
      <c r="B13201" t="s">
        <v>10397</v>
      </c>
      <c r="C13201" t="s">
        <v>88</v>
      </c>
      <c r="D13201" t="s">
        <v>10398</v>
      </c>
      <c r="E13201" t="s">
        <v>959</v>
      </c>
      <c r="F13201" t="s">
        <v>88</v>
      </c>
      <c r="G13201" t="s">
        <v>88</v>
      </c>
      <c r="H13201" t="s">
        <v>92</v>
      </c>
    </row>
    <row r="13202" spans="1:8" x14ac:dyDescent="0.25">
      <c r="A13202" t="s">
        <v>375</v>
      </c>
      <c r="B13202" t="s">
        <v>671</v>
      </c>
      <c r="C13202" t="s">
        <v>88</v>
      </c>
      <c r="D13202" t="s">
        <v>4187</v>
      </c>
      <c r="E13202" t="s">
        <v>1139</v>
      </c>
      <c r="F13202" t="s">
        <v>88</v>
      </c>
      <c r="G13202" t="s">
        <v>88</v>
      </c>
      <c r="H13202" t="s">
        <v>92</v>
      </c>
    </row>
    <row r="13203" spans="1:8" x14ac:dyDescent="0.25">
      <c r="A13203" t="s">
        <v>375</v>
      </c>
      <c r="B13203" t="s">
        <v>1842</v>
      </c>
      <c r="C13203" t="s">
        <v>88</v>
      </c>
      <c r="D13203" t="s">
        <v>2845</v>
      </c>
      <c r="E13203" t="s">
        <v>725</v>
      </c>
      <c r="F13203" t="s">
        <v>88</v>
      </c>
      <c r="G13203" t="s">
        <v>88</v>
      </c>
      <c r="H13203" t="s">
        <v>92</v>
      </c>
    </row>
    <row r="13204" spans="1:8" x14ac:dyDescent="0.25">
      <c r="A13204" t="s">
        <v>375</v>
      </c>
      <c r="B13204" t="s">
        <v>1859</v>
      </c>
      <c r="C13204" t="s">
        <v>88</v>
      </c>
      <c r="D13204" t="s">
        <v>10399</v>
      </c>
      <c r="E13204" t="s">
        <v>748</v>
      </c>
      <c r="F13204" t="s">
        <v>88</v>
      </c>
      <c r="G13204" t="s">
        <v>88</v>
      </c>
      <c r="H13204" t="s">
        <v>92</v>
      </c>
    </row>
    <row r="13205" spans="1:8" x14ac:dyDescent="0.25">
      <c r="A13205" t="s">
        <v>375</v>
      </c>
      <c r="B13205" t="s">
        <v>7547</v>
      </c>
      <c r="C13205" t="s">
        <v>88</v>
      </c>
      <c r="D13205" t="s">
        <v>10380</v>
      </c>
      <c r="E13205" t="s">
        <v>7810</v>
      </c>
      <c r="F13205" t="s">
        <v>88</v>
      </c>
      <c r="G13205" t="s">
        <v>88</v>
      </c>
      <c r="H13205" t="s">
        <v>92</v>
      </c>
    </row>
    <row r="13206" spans="1:8" x14ac:dyDescent="0.25">
      <c r="A13206" t="s">
        <v>375</v>
      </c>
      <c r="B13206" t="s">
        <v>8634</v>
      </c>
      <c r="C13206" t="s">
        <v>88</v>
      </c>
      <c r="D13206" t="s">
        <v>10400</v>
      </c>
      <c r="E13206" t="s">
        <v>964</v>
      </c>
      <c r="F13206" t="s">
        <v>88</v>
      </c>
      <c r="G13206" t="s">
        <v>88</v>
      </c>
      <c r="H13206" t="s">
        <v>92</v>
      </c>
    </row>
    <row r="13207" spans="1:8" x14ac:dyDescent="0.25">
      <c r="A13207" t="s">
        <v>375</v>
      </c>
      <c r="B13207" t="s">
        <v>10401</v>
      </c>
      <c r="C13207" t="s">
        <v>88</v>
      </c>
      <c r="D13207" t="s">
        <v>10402</v>
      </c>
      <c r="E13207" t="s">
        <v>841</v>
      </c>
      <c r="F13207" t="s">
        <v>88</v>
      </c>
      <c r="G13207" t="s">
        <v>88</v>
      </c>
      <c r="H13207" t="s">
        <v>92</v>
      </c>
    </row>
    <row r="13208" spans="1:8" x14ac:dyDescent="0.25">
      <c r="A13208" t="s">
        <v>375</v>
      </c>
      <c r="B13208" t="s">
        <v>10403</v>
      </c>
      <c r="C13208" t="s">
        <v>88</v>
      </c>
      <c r="D13208" t="s">
        <v>10404</v>
      </c>
      <c r="E13208" t="s">
        <v>841</v>
      </c>
      <c r="F13208" t="s">
        <v>88</v>
      </c>
      <c r="G13208" t="s">
        <v>88</v>
      </c>
      <c r="H13208" t="s">
        <v>92</v>
      </c>
    </row>
    <row r="13209" spans="1:8" x14ac:dyDescent="0.25">
      <c r="A13209" t="s">
        <v>375</v>
      </c>
      <c r="B13209" t="s">
        <v>10405</v>
      </c>
      <c r="C13209" t="s">
        <v>88</v>
      </c>
      <c r="D13209" t="s">
        <v>10406</v>
      </c>
      <c r="E13209" t="s">
        <v>1255</v>
      </c>
      <c r="F13209" t="s">
        <v>88</v>
      </c>
      <c r="G13209" t="s">
        <v>88</v>
      </c>
      <c r="H13209" t="s">
        <v>92</v>
      </c>
    </row>
    <row r="13210" spans="1:8" x14ac:dyDescent="0.25">
      <c r="A13210" t="s">
        <v>375</v>
      </c>
      <c r="B13210" t="s">
        <v>10407</v>
      </c>
      <c r="C13210" t="s">
        <v>88</v>
      </c>
      <c r="D13210" t="s">
        <v>10408</v>
      </c>
      <c r="E13210" t="s">
        <v>7290</v>
      </c>
      <c r="F13210" t="s">
        <v>88</v>
      </c>
      <c r="G13210" t="s">
        <v>88</v>
      </c>
      <c r="H13210" t="s">
        <v>92</v>
      </c>
    </row>
    <row r="13211" spans="1:8" x14ac:dyDescent="0.25">
      <c r="A13211" t="s">
        <v>375</v>
      </c>
      <c r="B13211" t="s">
        <v>10409</v>
      </c>
      <c r="C13211" t="s">
        <v>88</v>
      </c>
      <c r="D13211" t="s">
        <v>10410</v>
      </c>
      <c r="E13211" t="s">
        <v>2294</v>
      </c>
      <c r="F13211" t="s">
        <v>88</v>
      </c>
      <c r="G13211" t="s">
        <v>88</v>
      </c>
      <c r="H13211" t="s">
        <v>92</v>
      </c>
    </row>
    <row r="13212" spans="1:8" x14ac:dyDescent="0.25">
      <c r="A13212" t="s">
        <v>375</v>
      </c>
      <c r="B13212" t="s">
        <v>10411</v>
      </c>
      <c r="C13212" t="s">
        <v>88</v>
      </c>
      <c r="D13212" t="s">
        <v>10412</v>
      </c>
      <c r="E13212" t="s">
        <v>964</v>
      </c>
      <c r="F13212" t="s">
        <v>88</v>
      </c>
      <c r="G13212" t="s">
        <v>88</v>
      </c>
      <c r="H13212" t="s">
        <v>92</v>
      </c>
    </row>
    <row r="13213" spans="1:8" x14ac:dyDescent="0.25">
      <c r="A13213" t="s">
        <v>375</v>
      </c>
      <c r="B13213" t="s">
        <v>10413</v>
      </c>
      <c r="C13213" t="s">
        <v>88</v>
      </c>
      <c r="D13213" t="s">
        <v>10402</v>
      </c>
      <c r="E13213" t="s">
        <v>841</v>
      </c>
      <c r="F13213" t="s">
        <v>88</v>
      </c>
      <c r="G13213" t="s">
        <v>88</v>
      </c>
      <c r="H13213" t="s">
        <v>92</v>
      </c>
    </row>
    <row r="13214" spans="1:8" x14ac:dyDescent="0.25">
      <c r="A13214" t="s">
        <v>375</v>
      </c>
      <c r="B13214" t="s">
        <v>10414</v>
      </c>
      <c r="C13214" t="s">
        <v>88</v>
      </c>
      <c r="D13214" t="s">
        <v>10415</v>
      </c>
      <c r="E13214" t="s">
        <v>825</v>
      </c>
      <c r="F13214" t="s">
        <v>88</v>
      </c>
      <c r="G13214" t="s">
        <v>88</v>
      </c>
      <c r="H13214" t="s">
        <v>92</v>
      </c>
    </row>
    <row r="13215" spans="1:8" x14ac:dyDescent="0.25">
      <c r="A13215" t="s">
        <v>375</v>
      </c>
      <c r="B13215" t="s">
        <v>10416</v>
      </c>
      <c r="C13215" t="s">
        <v>88</v>
      </c>
      <c r="D13215" t="s">
        <v>10417</v>
      </c>
      <c r="E13215" t="s">
        <v>2294</v>
      </c>
      <c r="F13215" t="s">
        <v>88</v>
      </c>
      <c r="G13215" t="s">
        <v>88</v>
      </c>
      <c r="H13215" t="s">
        <v>92</v>
      </c>
    </row>
    <row r="13216" spans="1:8" x14ac:dyDescent="0.25">
      <c r="A13216" t="s">
        <v>375</v>
      </c>
      <c r="B13216" t="s">
        <v>10418</v>
      </c>
      <c r="C13216" t="s">
        <v>88</v>
      </c>
      <c r="D13216" t="s">
        <v>10419</v>
      </c>
      <c r="E13216" t="s">
        <v>841</v>
      </c>
      <c r="F13216" t="s">
        <v>88</v>
      </c>
      <c r="G13216" t="s">
        <v>88</v>
      </c>
      <c r="H13216" t="s">
        <v>92</v>
      </c>
    </row>
    <row r="13217" spans="1:8" x14ac:dyDescent="0.25">
      <c r="A13217" t="s">
        <v>375</v>
      </c>
      <c r="B13217" t="s">
        <v>10420</v>
      </c>
      <c r="C13217" t="s">
        <v>88</v>
      </c>
      <c r="D13217" t="s">
        <v>10421</v>
      </c>
      <c r="E13217" t="s">
        <v>902</v>
      </c>
      <c r="F13217" t="s">
        <v>88</v>
      </c>
      <c r="G13217" t="s">
        <v>88</v>
      </c>
      <c r="H13217" t="s">
        <v>92</v>
      </c>
    </row>
    <row r="13218" spans="1:8" x14ac:dyDescent="0.25">
      <c r="A13218" t="s">
        <v>375</v>
      </c>
      <c r="B13218" t="s">
        <v>10422</v>
      </c>
      <c r="C13218" t="s">
        <v>88</v>
      </c>
      <c r="D13218" t="s">
        <v>10423</v>
      </c>
      <c r="E13218" t="s">
        <v>964</v>
      </c>
      <c r="F13218" t="s">
        <v>88</v>
      </c>
      <c r="G13218" t="s">
        <v>88</v>
      </c>
      <c r="H13218" t="s">
        <v>92</v>
      </c>
    </row>
    <row r="13219" spans="1:8" x14ac:dyDescent="0.25">
      <c r="A13219" t="s">
        <v>375</v>
      </c>
      <c r="B13219" t="s">
        <v>10424</v>
      </c>
      <c r="C13219" t="s">
        <v>88</v>
      </c>
      <c r="D13219" t="s">
        <v>10425</v>
      </c>
      <c r="E13219" t="s">
        <v>2294</v>
      </c>
      <c r="F13219" t="s">
        <v>88</v>
      </c>
      <c r="G13219" t="s">
        <v>88</v>
      </c>
      <c r="H13219" t="s">
        <v>92</v>
      </c>
    </row>
    <row r="13220" spans="1:8" x14ac:dyDescent="0.25">
      <c r="A13220" t="s">
        <v>375</v>
      </c>
      <c r="B13220" t="s">
        <v>10426</v>
      </c>
      <c r="C13220" t="s">
        <v>88</v>
      </c>
      <c r="D13220" t="s">
        <v>10427</v>
      </c>
      <c r="E13220" t="s">
        <v>825</v>
      </c>
      <c r="F13220" t="s">
        <v>88</v>
      </c>
      <c r="G13220" t="s">
        <v>88</v>
      </c>
      <c r="H13220" t="s">
        <v>92</v>
      </c>
    </row>
    <row r="13221" spans="1:8" x14ac:dyDescent="0.25">
      <c r="A13221" t="s">
        <v>375</v>
      </c>
      <c r="B13221" t="s">
        <v>10428</v>
      </c>
      <c r="C13221" t="s">
        <v>88</v>
      </c>
      <c r="D13221" t="s">
        <v>10429</v>
      </c>
      <c r="E13221" t="s">
        <v>825</v>
      </c>
      <c r="F13221" t="s">
        <v>88</v>
      </c>
      <c r="G13221" t="s">
        <v>88</v>
      </c>
      <c r="H13221" t="s">
        <v>92</v>
      </c>
    </row>
    <row r="13222" spans="1:8" x14ac:dyDescent="0.25">
      <c r="A13222" t="s">
        <v>375</v>
      </c>
      <c r="B13222" t="s">
        <v>10430</v>
      </c>
      <c r="C13222" t="s">
        <v>88</v>
      </c>
      <c r="D13222" t="s">
        <v>10431</v>
      </c>
      <c r="E13222" t="s">
        <v>692</v>
      </c>
      <c r="F13222" t="s">
        <v>88</v>
      </c>
      <c r="G13222" t="s">
        <v>88</v>
      </c>
      <c r="H13222" t="s">
        <v>92</v>
      </c>
    </row>
    <row r="13223" spans="1:8" x14ac:dyDescent="0.25">
      <c r="A13223" t="s">
        <v>375</v>
      </c>
      <c r="B13223" t="s">
        <v>10432</v>
      </c>
      <c r="C13223" t="s">
        <v>88</v>
      </c>
      <c r="D13223" t="s">
        <v>10433</v>
      </c>
      <c r="E13223" t="s">
        <v>692</v>
      </c>
      <c r="F13223" t="s">
        <v>88</v>
      </c>
      <c r="G13223" t="s">
        <v>88</v>
      </c>
      <c r="H13223" t="s">
        <v>92</v>
      </c>
    </row>
    <row r="13224" spans="1:8" x14ac:dyDescent="0.25">
      <c r="A13224" t="s">
        <v>375</v>
      </c>
      <c r="B13224" t="s">
        <v>10434</v>
      </c>
      <c r="C13224" t="s">
        <v>88</v>
      </c>
      <c r="D13224" t="s">
        <v>10435</v>
      </c>
      <c r="E13224" t="s">
        <v>760</v>
      </c>
      <c r="F13224" t="s">
        <v>88</v>
      </c>
      <c r="G13224" t="s">
        <v>88</v>
      </c>
      <c r="H13224" t="s">
        <v>92</v>
      </c>
    </row>
    <row r="13225" spans="1:8" x14ac:dyDescent="0.25">
      <c r="A13225" t="s">
        <v>375</v>
      </c>
      <c r="B13225" t="s">
        <v>10436</v>
      </c>
      <c r="C13225" t="s">
        <v>88</v>
      </c>
      <c r="D13225" t="s">
        <v>10437</v>
      </c>
      <c r="E13225" t="s">
        <v>844</v>
      </c>
      <c r="F13225" t="s">
        <v>88</v>
      </c>
      <c r="G13225" t="s">
        <v>88</v>
      </c>
      <c r="H13225" t="s">
        <v>92</v>
      </c>
    </row>
    <row r="13226" spans="1:8" x14ac:dyDescent="0.25">
      <c r="A13226" t="s">
        <v>375</v>
      </c>
      <c r="B13226" t="s">
        <v>10438</v>
      </c>
      <c r="C13226" t="s">
        <v>88</v>
      </c>
      <c r="D13226" t="s">
        <v>10439</v>
      </c>
      <c r="E13226" t="s">
        <v>760</v>
      </c>
      <c r="F13226" t="s">
        <v>88</v>
      </c>
      <c r="G13226" t="s">
        <v>88</v>
      </c>
      <c r="H13226" t="s">
        <v>92</v>
      </c>
    </row>
    <row r="13227" spans="1:8" x14ac:dyDescent="0.25">
      <c r="A13227" t="s">
        <v>375</v>
      </c>
      <c r="B13227" t="s">
        <v>10440</v>
      </c>
      <c r="C13227" t="s">
        <v>88</v>
      </c>
      <c r="D13227" t="s">
        <v>10441</v>
      </c>
      <c r="E13227" t="s">
        <v>760</v>
      </c>
      <c r="F13227" t="s">
        <v>88</v>
      </c>
      <c r="G13227" t="s">
        <v>88</v>
      </c>
      <c r="H13227" t="s">
        <v>92</v>
      </c>
    </row>
    <row r="13228" spans="1:8" x14ac:dyDescent="0.25">
      <c r="A13228" t="s">
        <v>375</v>
      </c>
      <c r="B13228" t="s">
        <v>10442</v>
      </c>
      <c r="C13228" t="s">
        <v>88</v>
      </c>
      <c r="D13228" t="s">
        <v>10431</v>
      </c>
      <c r="E13228" t="s">
        <v>692</v>
      </c>
      <c r="F13228" t="s">
        <v>88</v>
      </c>
      <c r="G13228" t="s">
        <v>88</v>
      </c>
      <c r="H13228" t="s">
        <v>92</v>
      </c>
    </row>
    <row r="13229" spans="1:8" x14ac:dyDescent="0.25">
      <c r="A13229" t="s">
        <v>375</v>
      </c>
      <c r="B13229" t="s">
        <v>10443</v>
      </c>
      <c r="C13229" t="s">
        <v>88</v>
      </c>
      <c r="D13229" t="s">
        <v>10444</v>
      </c>
      <c r="E13229" t="s">
        <v>844</v>
      </c>
      <c r="F13229" t="s">
        <v>88</v>
      </c>
      <c r="G13229" t="s">
        <v>88</v>
      </c>
      <c r="H13229" t="s">
        <v>92</v>
      </c>
    </row>
    <row r="13230" spans="1:8" x14ac:dyDescent="0.25">
      <c r="A13230" t="s">
        <v>375</v>
      </c>
      <c r="B13230" t="s">
        <v>10445</v>
      </c>
      <c r="C13230" t="s">
        <v>88</v>
      </c>
      <c r="D13230" t="s">
        <v>10446</v>
      </c>
      <c r="E13230" t="s">
        <v>760</v>
      </c>
      <c r="F13230" t="s">
        <v>88</v>
      </c>
      <c r="G13230" t="s">
        <v>88</v>
      </c>
      <c r="H13230" t="s">
        <v>92</v>
      </c>
    </row>
    <row r="13231" spans="1:8" x14ac:dyDescent="0.25">
      <c r="A13231" t="s">
        <v>375</v>
      </c>
      <c r="B13231" t="s">
        <v>10447</v>
      </c>
      <c r="C13231" t="s">
        <v>88</v>
      </c>
      <c r="D13231" t="s">
        <v>10448</v>
      </c>
      <c r="E13231" t="s">
        <v>692</v>
      </c>
      <c r="F13231" t="s">
        <v>88</v>
      </c>
      <c r="G13231" t="s">
        <v>88</v>
      </c>
      <c r="H13231" t="s">
        <v>92</v>
      </c>
    </row>
    <row r="13232" spans="1:8" x14ac:dyDescent="0.25">
      <c r="A13232" t="s">
        <v>375</v>
      </c>
      <c r="B13232" t="s">
        <v>10449</v>
      </c>
      <c r="C13232" t="s">
        <v>88</v>
      </c>
      <c r="D13232" t="s">
        <v>10450</v>
      </c>
      <c r="E13232" t="s">
        <v>760</v>
      </c>
      <c r="F13232" t="s">
        <v>88</v>
      </c>
      <c r="G13232" t="s">
        <v>88</v>
      </c>
      <c r="H13232" t="s">
        <v>92</v>
      </c>
    </row>
    <row r="13233" spans="1:8" x14ac:dyDescent="0.25">
      <c r="A13233" t="s">
        <v>375</v>
      </c>
      <c r="B13233" t="s">
        <v>10451</v>
      </c>
      <c r="C13233" t="s">
        <v>88</v>
      </c>
      <c r="D13233" t="s">
        <v>10452</v>
      </c>
      <c r="E13233" t="s">
        <v>760</v>
      </c>
      <c r="F13233" t="s">
        <v>88</v>
      </c>
      <c r="G13233" t="s">
        <v>88</v>
      </c>
      <c r="H13233" t="s">
        <v>92</v>
      </c>
    </row>
    <row r="13234" spans="1:8" x14ac:dyDescent="0.25">
      <c r="A13234" t="s">
        <v>375</v>
      </c>
      <c r="B13234" t="s">
        <v>10453</v>
      </c>
      <c r="C13234" t="s">
        <v>88</v>
      </c>
      <c r="D13234" t="s">
        <v>10454</v>
      </c>
      <c r="E13234" t="s">
        <v>844</v>
      </c>
      <c r="F13234" t="s">
        <v>88</v>
      </c>
      <c r="G13234" t="s">
        <v>88</v>
      </c>
      <c r="H13234" t="s">
        <v>92</v>
      </c>
    </row>
    <row r="13235" spans="1:8" x14ac:dyDescent="0.25">
      <c r="A13235" t="s">
        <v>375</v>
      </c>
      <c r="B13235" t="s">
        <v>10455</v>
      </c>
      <c r="C13235" t="s">
        <v>88</v>
      </c>
      <c r="D13235" t="s">
        <v>10456</v>
      </c>
      <c r="E13235" t="s">
        <v>844</v>
      </c>
      <c r="F13235" t="s">
        <v>88</v>
      </c>
      <c r="G13235" t="s">
        <v>88</v>
      </c>
      <c r="H13235" t="s">
        <v>92</v>
      </c>
    </row>
    <row r="13236" spans="1:8" x14ac:dyDescent="0.25">
      <c r="A13236" t="s">
        <v>375</v>
      </c>
      <c r="B13236" t="s">
        <v>10457</v>
      </c>
      <c r="C13236" t="s">
        <v>88</v>
      </c>
      <c r="D13236" t="s">
        <v>10458</v>
      </c>
      <c r="E13236" t="s">
        <v>692</v>
      </c>
      <c r="F13236" t="s">
        <v>88</v>
      </c>
      <c r="G13236" t="s">
        <v>88</v>
      </c>
      <c r="H13236" t="s">
        <v>92</v>
      </c>
    </row>
    <row r="13237" spans="1:8" x14ac:dyDescent="0.25">
      <c r="A13237" t="s">
        <v>375</v>
      </c>
      <c r="B13237" t="s">
        <v>7691</v>
      </c>
      <c r="C13237" t="s">
        <v>88</v>
      </c>
      <c r="D13237" t="s">
        <v>10459</v>
      </c>
      <c r="E13237" t="s">
        <v>676</v>
      </c>
      <c r="F13237" t="s">
        <v>88</v>
      </c>
      <c r="G13237" t="s">
        <v>88</v>
      </c>
      <c r="H13237" t="s">
        <v>92</v>
      </c>
    </row>
    <row r="13238" spans="1:8" x14ac:dyDescent="0.25">
      <c r="A13238" t="s">
        <v>375</v>
      </c>
      <c r="B13238" t="s">
        <v>10460</v>
      </c>
      <c r="C13238" t="s">
        <v>88</v>
      </c>
      <c r="D13238" t="s">
        <v>10461</v>
      </c>
      <c r="E13238" t="s">
        <v>676</v>
      </c>
      <c r="F13238" t="s">
        <v>88</v>
      </c>
      <c r="G13238" t="s">
        <v>88</v>
      </c>
      <c r="H13238" t="s">
        <v>92</v>
      </c>
    </row>
    <row r="13239" spans="1:8" x14ac:dyDescent="0.25">
      <c r="A13239" t="s">
        <v>375</v>
      </c>
      <c r="B13239" t="s">
        <v>7685</v>
      </c>
      <c r="C13239" t="s">
        <v>88</v>
      </c>
      <c r="D13239" t="s">
        <v>3604</v>
      </c>
      <c r="E13239" t="s">
        <v>844</v>
      </c>
      <c r="F13239" t="s">
        <v>88</v>
      </c>
      <c r="G13239" t="s">
        <v>88</v>
      </c>
      <c r="H13239" t="s">
        <v>92</v>
      </c>
    </row>
    <row r="13240" spans="1:8" x14ac:dyDescent="0.25">
      <c r="A13240" t="s">
        <v>375</v>
      </c>
      <c r="B13240" t="s">
        <v>3654</v>
      </c>
      <c r="C13240" t="s">
        <v>88</v>
      </c>
      <c r="D13240" t="s">
        <v>9602</v>
      </c>
      <c r="E13240" t="s">
        <v>964</v>
      </c>
      <c r="F13240" t="s">
        <v>88</v>
      </c>
      <c r="G13240" t="s">
        <v>88</v>
      </c>
      <c r="H13240" t="s">
        <v>92</v>
      </c>
    </row>
    <row r="13241" spans="1:8" x14ac:dyDescent="0.25">
      <c r="A13241" t="s">
        <v>375</v>
      </c>
      <c r="B13241" t="s">
        <v>10462</v>
      </c>
      <c r="C13241" t="s">
        <v>88</v>
      </c>
      <c r="D13241" t="s">
        <v>3626</v>
      </c>
      <c r="E13241" t="s">
        <v>844</v>
      </c>
      <c r="F13241" t="s">
        <v>88</v>
      </c>
      <c r="G13241" t="s">
        <v>88</v>
      </c>
      <c r="H13241" t="s">
        <v>92</v>
      </c>
    </row>
    <row r="13242" spans="1:8" x14ac:dyDescent="0.25">
      <c r="A13242" t="s">
        <v>375</v>
      </c>
      <c r="B13242" t="s">
        <v>7686</v>
      </c>
      <c r="C13242" t="s">
        <v>88</v>
      </c>
      <c r="D13242" t="s">
        <v>3638</v>
      </c>
      <c r="E13242" t="s">
        <v>844</v>
      </c>
      <c r="F13242" t="s">
        <v>88</v>
      </c>
      <c r="G13242" t="s">
        <v>88</v>
      </c>
      <c r="H13242" t="s">
        <v>92</v>
      </c>
    </row>
    <row r="13243" spans="1:8" x14ac:dyDescent="0.25">
      <c r="A13243" t="s">
        <v>375</v>
      </c>
      <c r="B13243" t="s">
        <v>9613</v>
      </c>
      <c r="C13243" t="s">
        <v>88</v>
      </c>
      <c r="D13243" t="s">
        <v>10463</v>
      </c>
      <c r="E13243" t="s">
        <v>676</v>
      </c>
      <c r="F13243" t="s">
        <v>88</v>
      </c>
      <c r="G13243" t="s">
        <v>88</v>
      </c>
      <c r="H13243" t="s">
        <v>92</v>
      </c>
    </row>
    <row r="13244" spans="1:8" x14ac:dyDescent="0.25">
      <c r="A13244" t="s">
        <v>375</v>
      </c>
      <c r="B13244" t="s">
        <v>7690</v>
      </c>
      <c r="C13244" t="s">
        <v>88</v>
      </c>
      <c r="D13244" t="s">
        <v>10459</v>
      </c>
      <c r="E13244" t="s">
        <v>676</v>
      </c>
      <c r="F13244" t="s">
        <v>88</v>
      </c>
      <c r="G13244" t="s">
        <v>88</v>
      </c>
      <c r="H13244" t="s">
        <v>92</v>
      </c>
    </row>
    <row r="13245" spans="1:8" x14ac:dyDescent="0.25">
      <c r="A13245" t="s">
        <v>375</v>
      </c>
      <c r="B13245" t="s">
        <v>7693</v>
      </c>
      <c r="C13245" t="s">
        <v>88</v>
      </c>
      <c r="D13245" t="s">
        <v>10464</v>
      </c>
      <c r="E13245" t="s">
        <v>964</v>
      </c>
      <c r="F13245" t="s">
        <v>88</v>
      </c>
      <c r="G13245" t="s">
        <v>88</v>
      </c>
      <c r="H13245" t="s">
        <v>92</v>
      </c>
    </row>
    <row r="13246" spans="1:8" x14ac:dyDescent="0.25">
      <c r="A13246" t="s">
        <v>375</v>
      </c>
      <c r="B13246" t="s">
        <v>10465</v>
      </c>
      <c r="C13246" t="s">
        <v>88</v>
      </c>
      <c r="D13246" t="s">
        <v>10466</v>
      </c>
      <c r="E13246" t="s">
        <v>899</v>
      </c>
      <c r="F13246" t="s">
        <v>88</v>
      </c>
      <c r="G13246" t="s">
        <v>88</v>
      </c>
      <c r="H13246" t="s">
        <v>92</v>
      </c>
    </row>
    <row r="13247" spans="1:8" x14ac:dyDescent="0.25">
      <c r="A13247" t="s">
        <v>375</v>
      </c>
      <c r="B13247" t="s">
        <v>7692</v>
      </c>
      <c r="C13247" t="s">
        <v>88</v>
      </c>
      <c r="D13247" t="s">
        <v>10467</v>
      </c>
      <c r="E13247" t="s">
        <v>676</v>
      </c>
      <c r="F13247" t="s">
        <v>88</v>
      </c>
      <c r="G13247" t="s">
        <v>88</v>
      </c>
      <c r="H13247" t="s">
        <v>92</v>
      </c>
    </row>
    <row r="13248" spans="1:8" x14ac:dyDescent="0.25">
      <c r="A13248" t="s">
        <v>375</v>
      </c>
      <c r="B13248" t="s">
        <v>7688</v>
      </c>
      <c r="C13248" t="s">
        <v>88</v>
      </c>
      <c r="D13248" t="s">
        <v>7719</v>
      </c>
      <c r="E13248" t="s">
        <v>844</v>
      </c>
      <c r="F13248" t="s">
        <v>88</v>
      </c>
      <c r="G13248" t="s">
        <v>88</v>
      </c>
      <c r="H13248" t="s">
        <v>92</v>
      </c>
    </row>
    <row r="13249" spans="1:8" x14ac:dyDescent="0.25">
      <c r="A13249" t="s">
        <v>375</v>
      </c>
      <c r="B13249" t="s">
        <v>10468</v>
      </c>
      <c r="C13249" t="s">
        <v>88</v>
      </c>
      <c r="D13249" t="s">
        <v>7713</v>
      </c>
      <c r="E13249" t="s">
        <v>844</v>
      </c>
      <c r="F13249" t="s">
        <v>88</v>
      </c>
      <c r="G13249" t="s">
        <v>88</v>
      </c>
      <c r="H13249" t="s">
        <v>92</v>
      </c>
    </row>
    <row r="13250" spans="1:8" x14ac:dyDescent="0.25">
      <c r="A13250" t="s">
        <v>375</v>
      </c>
      <c r="B13250" t="s">
        <v>3781</v>
      </c>
      <c r="C13250" t="s">
        <v>88</v>
      </c>
      <c r="D13250" t="s">
        <v>10469</v>
      </c>
      <c r="E13250" t="s">
        <v>964</v>
      </c>
      <c r="F13250" t="s">
        <v>88</v>
      </c>
      <c r="G13250" t="s">
        <v>88</v>
      </c>
      <c r="H13250" t="s">
        <v>92</v>
      </c>
    </row>
    <row r="13251" spans="1:8" x14ac:dyDescent="0.25">
      <c r="A13251" t="s">
        <v>375</v>
      </c>
      <c r="B13251" t="s">
        <v>9606</v>
      </c>
      <c r="C13251" t="s">
        <v>88</v>
      </c>
      <c r="D13251" t="s">
        <v>10470</v>
      </c>
      <c r="E13251" t="s">
        <v>964</v>
      </c>
      <c r="F13251" t="s">
        <v>88</v>
      </c>
      <c r="G13251" t="s">
        <v>88</v>
      </c>
      <c r="H13251" t="s">
        <v>92</v>
      </c>
    </row>
    <row r="13252" spans="1:8" x14ac:dyDescent="0.25">
      <c r="A13252" t="s">
        <v>375</v>
      </c>
      <c r="B13252" t="s">
        <v>7726</v>
      </c>
      <c r="C13252" t="s">
        <v>88</v>
      </c>
      <c r="D13252" t="s">
        <v>10459</v>
      </c>
      <c r="E13252" t="s">
        <v>814</v>
      </c>
      <c r="F13252" t="s">
        <v>88</v>
      </c>
      <c r="G13252" t="s">
        <v>88</v>
      </c>
      <c r="H13252" t="s">
        <v>92</v>
      </c>
    </row>
    <row r="13253" spans="1:8" x14ac:dyDescent="0.25">
      <c r="A13253" t="s">
        <v>375</v>
      </c>
      <c r="B13253" t="s">
        <v>10471</v>
      </c>
      <c r="C13253" t="s">
        <v>88</v>
      </c>
      <c r="D13253" t="s">
        <v>10461</v>
      </c>
      <c r="E13253" t="s">
        <v>814</v>
      </c>
      <c r="F13253" t="s">
        <v>88</v>
      </c>
      <c r="G13253" t="s">
        <v>88</v>
      </c>
      <c r="H13253" t="s">
        <v>92</v>
      </c>
    </row>
    <row r="13254" spans="1:8" x14ac:dyDescent="0.25">
      <c r="A13254" t="s">
        <v>375</v>
      </c>
      <c r="B13254" t="s">
        <v>7728</v>
      </c>
      <c r="C13254" t="s">
        <v>88</v>
      </c>
      <c r="D13254" t="s">
        <v>3604</v>
      </c>
      <c r="E13254" t="s">
        <v>1714</v>
      </c>
      <c r="F13254" t="s">
        <v>88</v>
      </c>
      <c r="G13254" t="s">
        <v>88</v>
      </c>
      <c r="H13254" t="s">
        <v>92</v>
      </c>
    </row>
    <row r="13255" spans="1:8" x14ac:dyDescent="0.25">
      <c r="A13255" t="s">
        <v>375</v>
      </c>
      <c r="B13255" t="s">
        <v>4292</v>
      </c>
      <c r="C13255" t="s">
        <v>88</v>
      </c>
      <c r="D13255" t="s">
        <v>3626</v>
      </c>
      <c r="E13255" t="s">
        <v>1714</v>
      </c>
      <c r="F13255" t="s">
        <v>88</v>
      </c>
      <c r="G13255" t="s">
        <v>88</v>
      </c>
      <c r="H13255" t="s">
        <v>92</v>
      </c>
    </row>
    <row r="13256" spans="1:8" x14ac:dyDescent="0.25">
      <c r="A13256" t="s">
        <v>375</v>
      </c>
      <c r="B13256" t="s">
        <v>4316</v>
      </c>
      <c r="C13256" t="s">
        <v>88</v>
      </c>
      <c r="D13256" t="s">
        <v>3638</v>
      </c>
      <c r="E13256" t="s">
        <v>1714</v>
      </c>
      <c r="F13256" t="s">
        <v>88</v>
      </c>
      <c r="G13256" t="s">
        <v>88</v>
      </c>
      <c r="H13256" t="s">
        <v>92</v>
      </c>
    </row>
    <row r="13257" spans="1:8" x14ac:dyDescent="0.25">
      <c r="A13257" t="s">
        <v>375</v>
      </c>
      <c r="B13257" t="s">
        <v>7730</v>
      </c>
      <c r="C13257" t="s">
        <v>88</v>
      </c>
      <c r="D13257" t="s">
        <v>10459</v>
      </c>
      <c r="E13257" t="s">
        <v>814</v>
      </c>
      <c r="F13257" t="s">
        <v>88</v>
      </c>
      <c r="G13257" t="s">
        <v>88</v>
      </c>
      <c r="H13257" t="s">
        <v>92</v>
      </c>
    </row>
    <row r="13258" spans="1:8" x14ac:dyDescent="0.25">
      <c r="A13258" t="s">
        <v>375</v>
      </c>
      <c r="B13258" t="s">
        <v>7296</v>
      </c>
      <c r="C13258" t="s">
        <v>88</v>
      </c>
      <c r="D13258" t="s">
        <v>10466</v>
      </c>
      <c r="E13258" t="s">
        <v>1714</v>
      </c>
      <c r="F13258" t="s">
        <v>88</v>
      </c>
      <c r="G13258" t="s">
        <v>88</v>
      </c>
      <c r="H13258" t="s">
        <v>92</v>
      </c>
    </row>
    <row r="13259" spans="1:8" x14ac:dyDescent="0.25">
      <c r="A13259" t="s">
        <v>375</v>
      </c>
      <c r="B13259" t="s">
        <v>7733</v>
      </c>
      <c r="C13259" t="s">
        <v>88</v>
      </c>
      <c r="D13259" t="s">
        <v>10467</v>
      </c>
      <c r="E13259" t="s">
        <v>814</v>
      </c>
      <c r="F13259" t="s">
        <v>88</v>
      </c>
      <c r="G13259" t="s">
        <v>88</v>
      </c>
      <c r="H13259" t="s">
        <v>92</v>
      </c>
    </row>
    <row r="13260" spans="1:8" x14ac:dyDescent="0.25">
      <c r="A13260" t="s">
        <v>375</v>
      </c>
      <c r="B13260" t="s">
        <v>7734</v>
      </c>
      <c r="C13260" t="s">
        <v>88</v>
      </c>
      <c r="D13260" t="s">
        <v>7719</v>
      </c>
      <c r="E13260" t="s">
        <v>1714</v>
      </c>
      <c r="F13260" t="s">
        <v>88</v>
      </c>
      <c r="G13260" t="s">
        <v>88</v>
      </c>
      <c r="H13260" t="s">
        <v>92</v>
      </c>
    </row>
    <row r="13261" spans="1:8" x14ac:dyDescent="0.25">
      <c r="A13261" t="s">
        <v>375</v>
      </c>
      <c r="B13261" t="s">
        <v>10472</v>
      </c>
      <c r="C13261" t="s">
        <v>88</v>
      </c>
      <c r="D13261" t="s">
        <v>7713</v>
      </c>
      <c r="E13261" t="s">
        <v>1714</v>
      </c>
      <c r="F13261" t="s">
        <v>88</v>
      </c>
      <c r="G13261" t="s">
        <v>88</v>
      </c>
      <c r="H13261" t="s">
        <v>92</v>
      </c>
    </row>
    <row r="13262" spans="1:8" x14ac:dyDescent="0.25">
      <c r="A13262" t="s">
        <v>375</v>
      </c>
      <c r="B13262" t="s">
        <v>9626</v>
      </c>
      <c r="C13262" t="s">
        <v>88</v>
      </c>
      <c r="D13262" t="s">
        <v>10463</v>
      </c>
      <c r="E13262" t="s">
        <v>814</v>
      </c>
      <c r="F13262" t="s">
        <v>88</v>
      </c>
      <c r="G13262" t="s">
        <v>88</v>
      </c>
      <c r="H13262" t="s">
        <v>92</v>
      </c>
    </row>
    <row r="13263" spans="1:8" x14ac:dyDescent="0.25">
      <c r="A13263" t="s">
        <v>375</v>
      </c>
      <c r="B13263" t="s">
        <v>7583</v>
      </c>
      <c r="C13263" t="s">
        <v>88</v>
      </c>
      <c r="D13263" t="s">
        <v>10469</v>
      </c>
      <c r="E13263" t="s">
        <v>1153</v>
      </c>
      <c r="F13263" t="s">
        <v>88</v>
      </c>
      <c r="G13263" t="s">
        <v>88</v>
      </c>
      <c r="H13263" t="s">
        <v>92</v>
      </c>
    </row>
    <row r="13264" spans="1:8" x14ac:dyDescent="0.25">
      <c r="A13264" t="s">
        <v>375</v>
      </c>
      <c r="B13264" t="s">
        <v>9622</v>
      </c>
      <c r="C13264" t="s">
        <v>88</v>
      </c>
      <c r="D13264" t="s">
        <v>10470</v>
      </c>
      <c r="E13264" t="s">
        <v>1153</v>
      </c>
      <c r="F13264" t="s">
        <v>88</v>
      </c>
      <c r="G13264" t="s">
        <v>88</v>
      </c>
      <c r="H13264" t="s">
        <v>92</v>
      </c>
    </row>
    <row r="13265" spans="1:8" x14ac:dyDescent="0.25">
      <c r="A13265" t="s">
        <v>375</v>
      </c>
      <c r="B13265" t="s">
        <v>4306</v>
      </c>
      <c r="C13265" t="s">
        <v>88</v>
      </c>
      <c r="D13265" t="s">
        <v>9602</v>
      </c>
      <c r="E13265" t="s">
        <v>1135</v>
      </c>
      <c r="F13265" t="s">
        <v>88</v>
      </c>
      <c r="G13265" t="s">
        <v>88</v>
      </c>
      <c r="H13265" t="s">
        <v>92</v>
      </c>
    </row>
    <row r="13266" spans="1:8" x14ac:dyDescent="0.25">
      <c r="A13266" t="s">
        <v>375</v>
      </c>
      <c r="B13266" t="s">
        <v>7732</v>
      </c>
      <c r="C13266" t="s">
        <v>88</v>
      </c>
      <c r="D13266" t="s">
        <v>10464</v>
      </c>
      <c r="E13266" t="s">
        <v>1135</v>
      </c>
      <c r="F13266" t="s">
        <v>88</v>
      </c>
      <c r="G13266" t="s">
        <v>88</v>
      </c>
      <c r="H13266" t="s">
        <v>92</v>
      </c>
    </row>
    <row r="13267" spans="1:8" x14ac:dyDescent="0.25">
      <c r="A13267" t="s">
        <v>375</v>
      </c>
      <c r="B13267" t="s">
        <v>8925</v>
      </c>
      <c r="C13267" t="s">
        <v>88</v>
      </c>
      <c r="D13267" t="s">
        <v>10473</v>
      </c>
      <c r="E13267" t="s">
        <v>937</v>
      </c>
      <c r="F13267" t="s">
        <v>88</v>
      </c>
      <c r="G13267" t="s">
        <v>88</v>
      </c>
      <c r="H13267" t="s">
        <v>92</v>
      </c>
    </row>
    <row r="13268" spans="1:8" x14ac:dyDescent="0.25">
      <c r="A13268" t="s">
        <v>375</v>
      </c>
      <c r="B13268" t="s">
        <v>4328</v>
      </c>
      <c r="C13268" t="s">
        <v>88</v>
      </c>
      <c r="D13268" t="s">
        <v>7713</v>
      </c>
      <c r="E13268" t="s">
        <v>780</v>
      </c>
      <c r="F13268" t="s">
        <v>88</v>
      </c>
      <c r="G13268" t="s">
        <v>88</v>
      </c>
      <c r="H13268" t="s">
        <v>92</v>
      </c>
    </row>
    <row r="13269" spans="1:8" x14ac:dyDescent="0.25">
      <c r="A13269" t="s">
        <v>375</v>
      </c>
      <c r="B13269" t="s">
        <v>876</v>
      </c>
      <c r="C13269" t="s">
        <v>88</v>
      </c>
      <c r="D13269" t="s">
        <v>10474</v>
      </c>
      <c r="E13269" t="s">
        <v>655</v>
      </c>
      <c r="F13269" t="s">
        <v>88</v>
      </c>
      <c r="G13269" t="s">
        <v>88</v>
      </c>
      <c r="H13269" t="s">
        <v>92</v>
      </c>
    </row>
    <row r="13270" spans="1:8" x14ac:dyDescent="0.25">
      <c r="A13270" t="s">
        <v>375</v>
      </c>
      <c r="B13270" t="s">
        <v>743</v>
      </c>
      <c r="C13270" t="s">
        <v>88</v>
      </c>
      <c r="D13270" t="s">
        <v>10474</v>
      </c>
      <c r="E13270" t="s">
        <v>883</v>
      </c>
      <c r="F13270" t="s">
        <v>88</v>
      </c>
      <c r="G13270" t="s">
        <v>88</v>
      </c>
      <c r="H13270" t="s">
        <v>92</v>
      </c>
    </row>
    <row r="13271" spans="1:8" x14ac:dyDescent="0.25">
      <c r="A13271" t="s">
        <v>375</v>
      </c>
      <c r="B13271" t="s">
        <v>764</v>
      </c>
      <c r="C13271" t="s">
        <v>88</v>
      </c>
      <c r="D13271" t="s">
        <v>10474</v>
      </c>
      <c r="E13271" t="s">
        <v>883</v>
      </c>
      <c r="F13271" t="s">
        <v>88</v>
      </c>
      <c r="G13271" t="s">
        <v>88</v>
      </c>
      <c r="H13271" t="s">
        <v>92</v>
      </c>
    </row>
    <row r="13272" spans="1:8" x14ac:dyDescent="0.25">
      <c r="A13272" t="s">
        <v>375</v>
      </c>
      <c r="B13272" t="s">
        <v>767</v>
      </c>
      <c r="C13272" t="s">
        <v>88</v>
      </c>
      <c r="D13272" t="s">
        <v>10474</v>
      </c>
      <c r="E13272" t="s">
        <v>883</v>
      </c>
      <c r="F13272" t="s">
        <v>88</v>
      </c>
      <c r="G13272" t="s">
        <v>88</v>
      </c>
      <c r="H13272" t="s">
        <v>92</v>
      </c>
    </row>
    <row r="13273" spans="1:8" x14ac:dyDescent="0.25">
      <c r="A13273" t="s">
        <v>375</v>
      </c>
      <c r="B13273" t="s">
        <v>7525</v>
      </c>
      <c r="C13273" t="s">
        <v>88</v>
      </c>
      <c r="D13273" t="s">
        <v>10474</v>
      </c>
      <c r="E13273" t="s">
        <v>655</v>
      </c>
      <c r="F13273" t="s">
        <v>88</v>
      </c>
      <c r="G13273" t="s">
        <v>88</v>
      </c>
      <c r="H13273" t="s">
        <v>92</v>
      </c>
    </row>
    <row r="13274" spans="1:8" x14ac:dyDescent="0.25">
      <c r="A13274" t="s">
        <v>375</v>
      </c>
      <c r="B13274" t="s">
        <v>6025</v>
      </c>
      <c r="C13274" t="s">
        <v>88</v>
      </c>
      <c r="D13274" t="s">
        <v>10474</v>
      </c>
      <c r="E13274" t="s">
        <v>883</v>
      </c>
      <c r="F13274" t="s">
        <v>88</v>
      </c>
      <c r="G13274" t="s">
        <v>88</v>
      </c>
      <c r="H13274" t="s">
        <v>92</v>
      </c>
    </row>
    <row r="13275" spans="1:8" x14ac:dyDescent="0.25">
      <c r="A13275" t="s">
        <v>375</v>
      </c>
      <c r="B13275" t="s">
        <v>736</v>
      </c>
      <c r="C13275" t="s">
        <v>88</v>
      </c>
      <c r="D13275" t="s">
        <v>10381</v>
      </c>
      <c r="E13275" t="s">
        <v>679</v>
      </c>
      <c r="F13275" t="s">
        <v>88</v>
      </c>
      <c r="G13275" t="s">
        <v>88</v>
      </c>
      <c r="H13275" t="s">
        <v>92</v>
      </c>
    </row>
    <row r="13276" spans="1:8" x14ac:dyDescent="0.25">
      <c r="A13276" t="s">
        <v>375</v>
      </c>
      <c r="B13276" t="s">
        <v>2012</v>
      </c>
      <c r="C13276" t="s">
        <v>88</v>
      </c>
      <c r="D13276" t="s">
        <v>10381</v>
      </c>
      <c r="E13276" t="s">
        <v>679</v>
      </c>
      <c r="F13276" t="s">
        <v>88</v>
      </c>
      <c r="G13276" t="s">
        <v>88</v>
      </c>
      <c r="H13276" t="s">
        <v>92</v>
      </c>
    </row>
    <row r="13277" spans="1:8" x14ac:dyDescent="0.25">
      <c r="A13277" t="s">
        <v>375</v>
      </c>
      <c r="B13277" t="s">
        <v>3203</v>
      </c>
      <c r="C13277" t="s">
        <v>88</v>
      </c>
      <c r="D13277" t="s">
        <v>10381</v>
      </c>
      <c r="E13277" t="s">
        <v>780</v>
      </c>
      <c r="F13277" t="s">
        <v>88</v>
      </c>
      <c r="G13277" t="s">
        <v>88</v>
      </c>
      <c r="H13277" t="s">
        <v>92</v>
      </c>
    </row>
    <row r="13278" spans="1:8" x14ac:dyDescent="0.25">
      <c r="A13278" t="s">
        <v>375</v>
      </c>
      <c r="B13278" t="s">
        <v>789</v>
      </c>
      <c r="C13278" t="s">
        <v>88</v>
      </c>
      <c r="D13278" t="s">
        <v>10475</v>
      </c>
      <c r="E13278" t="s">
        <v>791</v>
      </c>
      <c r="F13278" t="s">
        <v>88</v>
      </c>
      <c r="G13278" t="s">
        <v>88</v>
      </c>
      <c r="H13278" t="s">
        <v>92</v>
      </c>
    </row>
    <row r="13279" spans="1:8" x14ac:dyDescent="0.25">
      <c r="A13279" t="s">
        <v>375</v>
      </c>
      <c r="B13279" t="s">
        <v>1868</v>
      </c>
      <c r="C13279" t="s">
        <v>88</v>
      </c>
      <c r="D13279" t="s">
        <v>10476</v>
      </c>
      <c r="E13279" t="s">
        <v>780</v>
      </c>
      <c r="F13279" t="s">
        <v>88</v>
      </c>
      <c r="G13279" t="s">
        <v>88</v>
      </c>
      <c r="H13279" t="s">
        <v>92</v>
      </c>
    </row>
    <row r="13280" spans="1:8" x14ac:dyDescent="0.25">
      <c r="A13280" t="s">
        <v>375</v>
      </c>
      <c r="B13280" t="s">
        <v>4199</v>
      </c>
      <c r="C13280" t="s">
        <v>88</v>
      </c>
      <c r="D13280" t="s">
        <v>10476</v>
      </c>
      <c r="E13280" t="s">
        <v>679</v>
      </c>
      <c r="F13280" t="s">
        <v>88</v>
      </c>
      <c r="G13280" t="s">
        <v>88</v>
      </c>
      <c r="H13280" t="s">
        <v>92</v>
      </c>
    </row>
    <row r="13281" spans="1:8" x14ac:dyDescent="0.25">
      <c r="A13281" t="s">
        <v>375</v>
      </c>
      <c r="B13281" t="s">
        <v>583</v>
      </c>
      <c r="C13281" t="s">
        <v>88</v>
      </c>
      <c r="D13281" t="s">
        <v>10476</v>
      </c>
      <c r="E13281" t="s">
        <v>780</v>
      </c>
      <c r="F13281" t="s">
        <v>88</v>
      </c>
      <c r="G13281" t="s">
        <v>88</v>
      </c>
      <c r="H13281" t="s">
        <v>92</v>
      </c>
    </row>
    <row r="13282" spans="1:8" x14ac:dyDescent="0.25">
      <c r="A13282" t="s">
        <v>375</v>
      </c>
      <c r="B13282" t="s">
        <v>3052</v>
      </c>
      <c r="C13282" t="s">
        <v>88</v>
      </c>
      <c r="D13282" t="s">
        <v>10476</v>
      </c>
      <c r="E13282" t="s">
        <v>679</v>
      </c>
      <c r="F13282" t="s">
        <v>88</v>
      </c>
      <c r="G13282" t="s">
        <v>88</v>
      </c>
      <c r="H13282" t="s">
        <v>92</v>
      </c>
    </row>
    <row r="13283" spans="1:8" x14ac:dyDescent="0.25">
      <c r="A13283" t="s">
        <v>375</v>
      </c>
      <c r="B13283" t="s">
        <v>1871</v>
      </c>
      <c r="C13283" t="s">
        <v>88</v>
      </c>
      <c r="D13283" t="s">
        <v>10476</v>
      </c>
      <c r="E13283" t="s">
        <v>959</v>
      </c>
      <c r="F13283" t="s">
        <v>88</v>
      </c>
      <c r="G13283" t="s">
        <v>88</v>
      </c>
      <c r="H13283" t="s">
        <v>92</v>
      </c>
    </row>
    <row r="13284" spans="1:8" x14ac:dyDescent="0.25">
      <c r="A13284" t="s">
        <v>375</v>
      </c>
      <c r="B13284" t="s">
        <v>4200</v>
      </c>
      <c r="C13284" t="s">
        <v>88</v>
      </c>
      <c r="D13284" t="s">
        <v>10476</v>
      </c>
      <c r="E13284" t="s">
        <v>679</v>
      </c>
      <c r="F13284" t="s">
        <v>88</v>
      </c>
      <c r="G13284" t="s">
        <v>88</v>
      </c>
      <c r="H13284" t="s">
        <v>92</v>
      </c>
    </row>
    <row r="13285" spans="1:8" x14ac:dyDescent="0.25">
      <c r="A13285" t="s">
        <v>375</v>
      </c>
      <c r="B13285" t="s">
        <v>787</v>
      </c>
      <c r="C13285" t="s">
        <v>88</v>
      </c>
      <c r="D13285" t="s">
        <v>10477</v>
      </c>
      <c r="E13285" t="s">
        <v>663</v>
      </c>
      <c r="F13285" t="s">
        <v>88</v>
      </c>
      <c r="G13285" t="s">
        <v>88</v>
      </c>
      <c r="H13285" t="s">
        <v>92</v>
      </c>
    </row>
    <row r="13286" spans="1:8" x14ac:dyDescent="0.25">
      <c r="A13286" t="s">
        <v>375</v>
      </c>
      <c r="B13286" t="s">
        <v>2207</v>
      </c>
      <c r="C13286" t="s">
        <v>88</v>
      </c>
      <c r="D13286" t="s">
        <v>88</v>
      </c>
      <c r="E13286" t="s">
        <v>735</v>
      </c>
      <c r="F13286" t="s">
        <v>88</v>
      </c>
      <c r="G13286" t="s">
        <v>88</v>
      </c>
      <c r="H13286" t="s">
        <v>92</v>
      </c>
    </row>
    <row r="13287" spans="1:8" x14ac:dyDescent="0.25">
      <c r="A13287" t="s">
        <v>375</v>
      </c>
      <c r="B13287" t="s">
        <v>7748</v>
      </c>
      <c r="C13287" t="s">
        <v>88</v>
      </c>
      <c r="D13287" t="s">
        <v>88</v>
      </c>
      <c r="E13287" t="s">
        <v>655</v>
      </c>
      <c r="F13287" t="s">
        <v>88</v>
      </c>
      <c r="G13287" t="s">
        <v>88</v>
      </c>
      <c r="H13287" t="s">
        <v>92</v>
      </c>
    </row>
    <row r="13288" spans="1:8" x14ac:dyDescent="0.25">
      <c r="A13288" t="s">
        <v>375</v>
      </c>
      <c r="B13288" t="s">
        <v>7749</v>
      </c>
      <c r="C13288" t="s">
        <v>88</v>
      </c>
      <c r="D13288" t="s">
        <v>88</v>
      </c>
      <c r="E13288" t="s">
        <v>692</v>
      </c>
      <c r="F13288" t="s">
        <v>88</v>
      </c>
      <c r="G13288" t="s">
        <v>88</v>
      </c>
      <c r="H13288" t="s">
        <v>92</v>
      </c>
    </row>
    <row r="13289" spans="1:8" x14ac:dyDescent="0.25">
      <c r="A13289" t="s">
        <v>375</v>
      </c>
      <c r="B13289" t="s">
        <v>7747</v>
      </c>
      <c r="C13289" t="s">
        <v>88</v>
      </c>
      <c r="D13289" t="s">
        <v>88</v>
      </c>
      <c r="E13289" t="s">
        <v>725</v>
      </c>
      <c r="F13289" t="s">
        <v>88</v>
      </c>
      <c r="G13289" t="s">
        <v>88</v>
      </c>
      <c r="H13289" t="s">
        <v>92</v>
      </c>
    </row>
    <row r="13290" spans="1:8" x14ac:dyDescent="0.25">
      <c r="A13290" t="s">
        <v>375</v>
      </c>
      <c r="B13290" t="s">
        <v>608</v>
      </c>
      <c r="C13290" t="s">
        <v>88</v>
      </c>
      <c r="D13290" t="s">
        <v>88</v>
      </c>
      <c r="E13290" t="s">
        <v>721</v>
      </c>
      <c r="F13290" t="s">
        <v>88</v>
      </c>
      <c r="G13290" t="s">
        <v>88</v>
      </c>
      <c r="H13290" t="s">
        <v>92</v>
      </c>
    </row>
    <row r="13291" spans="1:8" x14ac:dyDescent="0.25">
      <c r="A13291" t="s">
        <v>375</v>
      </c>
      <c r="B13291" t="s">
        <v>2210</v>
      </c>
      <c r="C13291" t="s">
        <v>88</v>
      </c>
      <c r="D13291" t="s">
        <v>88</v>
      </c>
      <c r="E13291" t="s">
        <v>937</v>
      </c>
      <c r="F13291" t="s">
        <v>88</v>
      </c>
      <c r="G13291" t="s">
        <v>88</v>
      </c>
      <c r="H13291" t="s">
        <v>92</v>
      </c>
    </row>
    <row r="13292" spans="1:8" x14ac:dyDescent="0.25">
      <c r="A13292" t="s">
        <v>375</v>
      </c>
      <c r="B13292" t="s">
        <v>610</v>
      </c>
      <c r="C13292" t="s">
        <v>88</v>
      </c>
      <c r="D13292" t="s">
        <v>88</v>
      </c>
      <c r="E13292" t="s">
        <v>780</v>
      </c>
      <c r="F13292" t="s">
        <v>88</v>
      </c>
      <c r="G13292" t="s">
        <v>88</v>
      </c>
      <c r="H13292" t="s">
        <v>92</v>
      </c>
    </row>
    <row r="13293" spans="1:8" x14ac:dyDescent="0.25">
      <c r="A13293" t="s">
        <v>375</v>
      </c>
      <c r="B13293" t="s">
        <v>4920</v>
      </c>
      <c r="C13293" t="s">
        <v>88</v>
      </c>
      <c r="D13293" t="s">
        <v>88</v>
      </c>
      <c r="E13293" t="s">
        <v>679</v>
      </c>
      <c r="F13293" t="s">
        <v>88</v>
      </c>
      <c r="G13293" t="s">
        <v>88</v>
      </c>
      <c r="H13293" t="s">
        <v>92</v>
      </c>
    </row>
    <row r="13294" spans="1:8" x14ac:dyDescent="0.25">
      <c r="A13294" t="s">
        <v>375</v>
      </c>
      <c r="B13294" t="s">
        <v>4918</v>
      </c>
      <c r="C13294" t="s">
        <v>88</v>
      </c>
      <c r="D13294" t="s">
        <v>88</v>
      </c>
      <c r="E13294" t="s">
        <v>791</v>
      </c>
      <c r="F13294" t="s">
        <v>88</v>
      </c>
      <c r="G13294" t="s">
        <v>88</v>
      </c>
      <c r="H13294" t="s">
        <v>92</v>
      </c>
    </row>
    <row r="13295" spans="1:8" x14ac:dyDescent="0.25">
      <c r="A13295" t="s">
        <v>375</v>
      </c>
      <c r="B13295" t="s">
        <v>4919</v>
      </c>
      <c r="C13295" t="s">
        <v>88</v>
      </c>
      <c r="D13295" t="s">
        <v>88</v>
      </c>
      <c r="E13295" t="s">
        <v>715</v>
      </c>
      <c r="F13295" t="s">
        <v>88</v>
      </c>
      <c r="G13295" t="s">
        <v>88</v>
      </c>
      <c r="H13295" t="s">
        <v>92</v>
      </c>
    </row>
    <row r="13296" spans="1:8" x14ac:dyDescent="0.25">
      <c r="A13296" t="s">
        <v>375</v>
      </c>
      <c r="B13296" t="s">
        <v>4327</v>
      </c>
      <c r="C13296" t="s">
        <v>88</v>
      </c>
      <c r="D13296" t="s">
        <v>88</v>
      </c>
      <c r="E13296" t="s">
        <v>1598</v>
      </c>
      <c r="F13296" t="s">
        <v>88</v>
      </c>
      <c r="G13296" t="s">
        <v>88</v>
      </c>
      <c r="H13296" t="s">
        <v>92</v>
      </c>
    </row>
    <row r="13297" spans="1:8" x14ac:dyDescent="0.25">
      <c r="A13297" t="s">
        <v>375</v>
      </c>
      <c r="B13297" t="s">
        <v>10478</v>
      </c>
      <c r="C13297" t="s">
        <v>88</v>
      </c>
      <c r="D13297" t="s">
        <v>88</v>
      </c>
      <c r="E13297" t="s">
        <v>2662</v>
      </c>
      <c r="F13297" t="s">
        <v>88</v>
      </c>
      <c r="G13297" t="s">
        <v>88</v>
      </c>
      <c r="H13297" t="s">
        <v>92</v>
      </c>
    </row>
    <row r="13298" spans="1:8" x14ac:dyDescent="0.25">
      <c r="A13298" t="s">
        <v>375</v>
      </c>
      <c r="B13298" t="s">
        <v>9630</v>
      </c>
      <c r="C13298" t="s">
        <v>88</v>
      </c>
      <c r="D13298" t="s">
        <v>88</v>
      </c>
      <c r="E13298" t="s">
        <v>886</v>
      </c>
      <c r="F13298" t="s">
        <v>88</v>
      </c>
      <c r="G13298" t="s">
        <v>88</v>
      </c>
      <c r="H13298" t="s">
        <v>92</v>
      </c>
    </row>
    <row r="13299" spans="1:8" x14ac:dyDescent="0.25">
      <c r="A13299" t="s">
        <v>375</v>
      </c>
      <c r="B13299" t="s">
        <v>2349</v>
      </c>
      <c r="C13299" t="s">
        <v>88</v>
      </c>
      <c r="D13299" t="s">
        <v>10479</v>
      </c>
      <c r="E13299" t="s">
        <v>658</v>
      </c>
      <c r="F13299" t="s">
        <v>88</v>
      </c>
      <c r="G13299" t="s">
        <v>88</v>
      </c>
      <c r="H13299" t="s">
        <v>92</v>
      </c>
    </row>
    <row r="13300" spans="1:8" x14ac:dyDescent="0.25">
      <c r="A13300" t="s">
        <v>375</v>
      </c>
      <c r="B13300" t="s">
        <v>1608</v>
      </c>
      <c r="C13300" t="s">
        <v>88</v>
      </c>
      <c r="D13300" t="s">
        <v>10480</v>
      </c>
      <c r="E13300" t="s">
        <v>663</v>
      </c>
      <c r="F13300" t="s">
        <v>88</v>
      </c>
      <c r="G13300" t="s">
        <v>88</v>
      </c>
      <c r="H13300" t="s">
        <v>92</v>
      </c>
    </row>
    <row r="13301" spans="1:8" x14ac:dyDescent="0.25">
      <c r="A13301" t="s">
        <v>375</v>
      </c>
      <c r="B13301" t="s">
        <v>1794</v>
      </c>
      <c r="C13301" t="s">
        <v>88</v>
      </c>
      <c r="D13301" t="s">
        <v>10481</v>
      </c>
      <c r="E13301" t="s">
        <v>663</v>
      </c>
      <c r="F13301" t="s">
        <v>88</v>
      </c>
      <c r="G13301" t="s">
        <v>88</v>
      </c>
      <c r="H13301" t="s">
        <v>92</v>
      </c>
    </row>
    <row r="13302" spans="1:8" x14ac:dyDescent="0.25">
      <c r="A13302" t="s">
        <v>375</v>
      </c>
      <c r="B13302" t="s">
        <v>3457</v>
      </c>
      <c r="C13302" t="s">
        <v>88</v>
      </c>
      <c r="D13302" t="s">
        <v>10482</v>
      </c>
      <c r="E13302" t="s">
        <v>658</v>
      </c>
      <c r="F13302" t="s">
        <v>88</v>
      </c>
      <c r="G13302" t="s">
        <v>88</v>
      </c>
      <c r="H13302" t="s">
        <v>92</v>
      </c>
    </row>
    <row r="13303" spans="1:8" x14ac:dyDescent="0.25">
      <c r="A13303" t="s">
        <v>375</v>
      </c>
      <c r="B13303" t="s">
        <v>1398</v>
      </c>
      <c r="C13303" t="s">
        <v>88</v>
      </c>
      <c r="D13303" t="s">
        <v>88</v>
      </c>
      <c r="E13303" t="s">
        <v>663</v>
      </c>
      <c r="F13303" t="s">
        <v>88</v>
      </c>
      <c r="G13303" t="s">
        <v>88</v>
      </c>
      <c r="H13303" t="s">
        <v>92</v>
      </c>
    </row>
    <row r="13304" spans="1:8" x14ac:dyDescent="0.25">
      <c r="A13304" t="s">
        <v>375</v>
      </c>
      <c r="B13304" t="s">
        <v>701</v>
      </c>
      <c r="C13304" t="s">
        <v>88</v>
      </c>
      <c r="D13304" t="s">
        <v>88</v>
      </c>
      <c r="E13304" t="s">
        <v>702</v>
      </c>
      <c r="F13304" t="s">
        <v>88</v>
      </c>
      <c r="G13304" t="s">
        <v>88</v>
      </c>
      <c r="H13304" t="s">
        <v>92</v>
      </c>
    </row>
    <row r="13305" spans="1:8" x14ac:dyDescent="0.25">
      <c r="A13305" t="s">
        <v>375</v>
      </c>
      <c r="B13305" t="s">
        <v>705</v>
      </c>
      <c r="C13305" t="s">
        <v>88</v>
      </c>
      <c r="D13305" t="s">
        <v>88</v>
      </c>
      <c r="E13305" t="s">
        <v>702</v>
      </c>
      <c r="F13305" t="s">
        <v>88</v>
      </c>
      <c r="G13305" t="s">
        <v>88</v>
      </c>
      <c r="H13305" t="s">
        <v>92</v>
      </c>
    </row>
    <row r="13306" spans="1:8" x14ac:dyDescent="0.25">
      <c r="A13306" t="s">
        <v>375</v>
      </c>
      <c r="B13306" t="s">
        <v>706</v>
      </c>
      <c r="C13306" t="s">
        <v>88</v>
      </c>
      <c r="D13306" t="s">
        <v>88</v>
      </c>
      <c r="E13306" t="s">
        <v>702</v>
      </c>
      <c r="F13306" t="s">
        <v>88</v>
      </c>
      <c r="G13306" t="s">
        <v>88</v>
      </c>
      <c r="H13306" t="s">
        <v>92</v>
      </c>
    </row>
    <row r="13307" spans="1:8" x14ac:dyDescent="0.25">
      <c r="A13307" t="s">
        <v>375</v>
      </c>
      <c r="B13307" t="s">
        <v>707</v>
      </c>
      <c r="C13307" t="s">
        <v>88</v>
      </c>
      <c r="D13307" t="s">
        <v>88</v>
      </c>
      <c r="E13307" t="s">
        <v>702</v>
      </c>
      <c r="F13307" t="s">
        <v>88</v>
      </c>
      <c r="G13307" t="s">
        <v>88</v>
      </c>
      <c r="H13307" t="s">
        <v>92</v>
      </c>
    </row>
    <row r="13308" spans="1:8" x14ac:dyDescent="0.25">
      <c r="A13308" t="s">
        <v>375</v>
      </c>
      <c r="B13308" t="s">
        <v>733</v>
      </c>
      <c r="C13308" t="s">
        <v>88</v>
      </c>
      <c r="D13308" t="s">
        <v>88</v>
      </c>
      <c r="E13308" t="s">
        <v>702</v>
      </c>
      <c r="F13308" t="s">
        <v>88</v>
      </c>
      <c r="G13308" t="s">
        <v>88</v>
      </c>
      <c r="H13308" t="s">
        <v>92</v>
      </c>
    </row>
    <row r="13309" spans="1:8" x14ac:dyDescent="0.25">
      <c r="A13309" t="s">
        <v>375</v>
      </c>
      <c r="B13309" t="s">
        <v>794</v>
      </c>
      <c r="C13309" t="s">
        <v>88</v>
      </c>
      <c r="D13309" t="s">
        <v>88</v>
      </c>
      <c r="E13309" t="s">
        <v>709</v>
      </c>
      <c r="F13309" t="s">
        <v>88</v>
      </c>
      <c r="G13309" t="s">
        <v>88</v>
      </c>
      <c r="H13309" t="s">
        <v>92</v>
      </c>
    </row>
    <row r="13310" spans="1:8" x14ac:dyDescent="0.25">
      <c r="A13310" t="s">
        <v>375</v>
      </c>
      <c r="B13310" t="s">
        <v>618</v>
      </c>
      <c r="C13310" t="s">
        <v>88</v>
      </c>
      <c r="D13310" t="s">
        <v>88</v>
      </c>
      <c r="E13310" t="s">
        <v>711</v>
      </c>
      <c r="F13310" t="s">
        <v>88</v>
      </c>
      <c r="G13310" t="s">
        <v>88</v>
      </c>
      <c r="H13310" t="s">
        <v>92</v>
      </c>
    </row>
    <row r="13311" spans="1:8" x14ac:dyDescent="0.25">
      <c r="A13311" t="s">
        <v>375</v>
      </c>
      <c r="B13311" t="s">
        <v>620</v>
      </c>
      <c r="C13311" t="s">
        <v>88</v>
      </c>
      <c r="D13311" t="s">
        <v>88</v>
      </c>
      <c r="E13311" t="s">
        <v>710</v>
      </c>
      <c r="F13311" t="s">
        <v>88</v>
      </c>
      <c r="G13311" t="s">
        <v>88</v>
      </c>
      <c r="H13311" t="s">
        <v>92</v>
      </c>
    </row>
    <row r="13312" spans="1:8" x14ac:dyDescent="0.25">
      <c r="A13312" t="s">
        <v>375</v>
      </c>
      <c r="B13312" t="s">
        <v>622</v>
      </c>
      <c r="C13312" t="s">
        <v>88</v>
      </c>
      <c r="D13312" t="s">
        <v>88</v>
      </c>
      <c r="E13312" t="s">
        <v>710</v>
      </c>
      <c r="F13312" t="s">
        <v>88</v>
      </c>
      <c r="G13312" t="s">
        <v>88</v>
      </c>
      <c r="H13312" t="s">
        <v>92</v>
      </c>
    </row>
    <row r="13313" spans="1:8" x14ac:dyDescent="0.25">
      <c r="A13313" t="s">
        <v>375</v>
      </c>
      <c r="B13313" t="s">
        <v>623</v>
      </c>
      <c r="C13313" t="s">
        <v>88</v>
      </c>
      <c r="D13313" t="s">
        <v>88</v>
      </c>
      <c r="E13313" t="s">
        <v>735</v>
      </c>
      <c r="F13313" t="s">
        <v>88</v>
      </c>
      <c r="G13313" t="s">
        <v>88</v>
      </c>
      <c r="H13313" t="s">
        <v>92</v>
      </c>
    </row>
    <row r="13314" spans="1:8" x14ac:dyDescent="0.25">
      <c r="A13314" t="s">
        <v>375</v>
      </c>
      <c r="B13314" t="s">
        <v>714</v>
      </c>
      <c r="C13314" t="s">
        <v>88</v>
      </c>
      <c r="D13314" t="s">
        <v>88</v>
      </c>
      <c r="E13314" t="s">
        <v>791</v>
      </c>
      <c r="F13314" t="s">
        <v>88</v>
      </c>
      <c r="G13314" t="s">
        <v>88</v>
      </c>
      <c r="H13314" t="s">
        <v>92</v>
      </c>
    </row>
    <row r="13315" spans="1:8" x14ac:dyDescent="0.25">
      <c r="A13315" t="s">
        <v>375</v>
      </c>
      <c r="B13315" t="s">
        <v>998</v>
      </c>
      <c r="C13315" t="s">
        <v>88</v>
      </c>
      <c r="D13315" t="s">
        <v>88</v>
      </c>
      <c r="E13315" t="s">
        <v>791</v>
      </c>
      <c r="F13315" t="s">
        <v>88</v>
      </c>
      <c r="G13315" t="s">
        <v>88</v>
      </c>
      <c r="H13315" t="s">
        <v>92</v>
      </c>
    </row>
    <row r="13316" spans="1:8" x14ac:dyDescent="0.25">
      <c r="A13316" t="s">
        <v>375</v>
      </c>
      <c r="B13316" t="s">
        <v>1989</v>
      </c>
      <c r="C13316" t="s">
        <v>88</v>
      </c>
      <c r="D13316" t="s">
        <v>88</v>
      </c>
      <c r="E13316" t="s">
        <v>715</v>
      </c>
      <c r="F13316" t="s">
        <v>88</v>
      </c>
      <c r="G13316" t="s">
        <v>88</v>
      </c>
      <c r="H13316" t="s">
        <v>92</v>
      </c>
    </row>
    <row r="13317" spans="1:8" x14ac:dyDescent="0.25">
      <c r="A13317" t="s">
        <v>375</v>
      </c>
      <c r="B13317" t="s">
        <v>3213</v>
      </c>
      <c r="C13317" t="s">
        <v>88</v>
      </c>
      <c r="D13317" t="s">
        <v>88</v>
      </c>
      <c r="E13317" t="s">
        <v>738</v>
      </c>
      <c r="F13317" t="s">
        <v>88</v>
      </c>
      <c r="G13317" t="s">
        <v>88</v>
      </c>
      <c r="H13317" t="s">
        <v>92</v>
      </c>
    </row>
    <row r="13318" spans="1:8" x14ac:dyDescent="0.25">
      <c r="A13318" t="s">
        <v>375</v>
      </c>
      <c r="B13318" t="s">
        <v>1609</v>
      </c>
      <c r="C13318" t="s">
        <v>88</v>
      </c>
      <c r="D13318" t="s">
        <v>88</v>
      </c>
      <c r="E13318" t="s">
        <v>850</v>
      </c>
      <c r="F13318" t="s">
        <v>88</v>
      </c>
      <c r="G13318" t="s">
        <v>88</v>
      </c>
      <c r="H13318" t="s">
        <v>92</v>
      </c>
    </row>
    <row r="13319" spans="1:8" x14ac:dyDescent="0.25">
      <c r="A13319" t="s">
        <v>375</v>
      </c>
      <c r="B13319" t="s">
        <v>1611</v>
      </c>
      <c r="C13319" t="s">
        <v>88</v>
      </c>
      <c r="D13319" t="s">
        <v>88</v>
      </c>
      <c r="E13319" t="s">
        <v>850</v>
      </c>
      <c r="F13319" t="s">
        <v>88</v>
      </c>
      <c r="G13319" t="s">
        <v>88</v>
      </c>
      <c r="H13319" t="s">
        <v>92</v>
      </c>
    </row>
    <row r="13320" spans="1:8" x14ac:dyDescent="0.25">
      <c r="A13320" t="s">
        <v>375</v>
      </c>
      <c r="B13320" t="s">
        <v>1234</v>
      </c>
      <c r="C13320" t="s">
        <v>88</v>
      </c>
      <c r="D13320" t="s">
        <v>6638</v>
      </c>
      <c r="E13320" t="s">
        <v>964</v>
      </c>
      <c r="F13320" t="s">
        <v>88</v>
      </c>
      <c r="G13320" t="s">
        <v>88</v>
      </c>
      <c r="H13320" t="s">
        <v>92</v>
      </c>
    </row>
    <row r="13321" spans="1:8" x14ac:dyDescent="0.25">
      <c r="A13321" t="s">
        <v>375</v>
      </c>
      <c r="B13321" t="s">
        <v>1237</v>
      </c>
      <c r="C13321" t="s">
        <v>88</v>
      </c>
      <c r="D13321" t="s">
        <v>6638</v>
      </c>
      <c r="E13321" t="s">
        <v>964</v>
      </c>
      <c r="F13321" t="s">
        <v>88</v>
      </c>
      <c r="G13321" t="s">
        <v>88</v>
      </c>
      <c r="H13321" t="s">
        <v>92</v>
      </c>
    </row>
    <row r="13322" spans="1:8" x14ac:dyDescent="0.25">
      <c r="A13322" t="s">
        <v>375</v>
      </c>
      <c r="B13322" t="s">
        <v>1238</v>
      </c>
      <c r="C13322" t="s">
        <v>88</v>
      </c>
      <c r="D13322" t="s">
        <v>6638</v>
      </c>
      <c r="E13322" t="s">
        <v>964</v>
      </c>
      <c r="F13322" t="s">
        <v>88</v>
      </c>
      <c r="G13322" t="s">
        <v>88</v>
      </c>
      <c r="H13322" t="s">
        <v>92</v>
      </c>
    </row>
    <row r="13323" spans="1:8" x14ac:dyDescent="0.25">
      <c r="A13323" t="s">
        <v>375</v>
      </c>
      <c r="B13323" t="s">
        <v>2417</v>
      </c>
      <c r="C13323" t="s">
        <v>88</v>
      </c>
      <c r="D13323" t="s">
        <v>6638</v>
      </c>
      <c r="E13323" t="s">
        <v>964</v>
      </c>
      <c r="F13323" t="s">
        <v>88</v>
      </c>
      <c r="G13323" t="s">
        <v>88</v>
      </c>
      <c r="H13323" t="s">
        <v>92</v>
      </c>
    </row>
    <row r="13324" spans="1:8" x14ac:dyDescent="0.25">
      <c r="A13324" t="s">
        <v>375</v>
      </c>
      <c r="B13324" t="s">
        <v>2423</v>
      </c>
      <c r="C13324" t="s">
        <v>88</v>
      </c>
      <c r="D13324" t="s">
        <v>10483</v>
      </c>
      <c r="E13324" t="s">
        <v>803</v>
      </c>
      <c r="F13324" t="s">
        <v>88</v>
      </c>
      <c r="G13324" t="s">
        <v>88</v>
      </c>
      <c r="H13324" t="s">
        <v>92</v>
      </c>
    </row>
    <row r="13325" spans="1:8" x14ac:dyDescent="0.25">
      <c r="A13325" t="s">
        <v>375</v>
      </c>
      <c r="B13325" t="s">
        <v>2418</v>
      </c>
      <c r="C13325" t="s">
        <v>88</v>
      </c>
      <c r="D13325" t="s">
        <v>10483</v>
      </c>
      <c r="E13325" t="s">
        <v>803</v>
      </c>
      <c r="F13325" t="s">
        <v>88</v>
      </c>
      <c r="G13325" t="s">
        <v>88</v>
      </c>
      <c r="H13325" t="s">
        <v>92</v>
      </c>
    </row>
    <row r="13326" spans="1:8" x14ac:dyDescent="0.25">
      <c r="A13326" t="s">
        <v>375</v>
      </c>
      <c r="B13326" t="s">
        <v>2772</v>
      </c>
      <c r="C13326" t="s">
        <v>88</v>
      </c>
      <c r="D13326" t="s">
        <v>10483</v>
      </c>
      <c r="E13326" t="s">
        <v>2016</v>
      </c>
      <c r="F13326" t="s">
        <v>88</v>
      </c>
      <c r="G13326" t="s">
        <v>88</v>
      </c>
      <c r="H13326" t="s">
        <v>92</v>
      </c>
    </row>
    <row r="13327" spans="1:8" x14ac:dyDescent="0.25">
      <c r="A13327" t="s">
        <v>375</v>
      </c>
      <c r="B13327" t="s">
        <v>4120</v>
      </c>
      <c r="C13327" t="s">
        <v>88</v>
      </c>
      <c r="D13327" t="s">
        <v>10483</v>
      </c>
      <c r="E13327" t="s">
        <v>803</v>
      </c>
      <c r="F13327" t="s">
        <v>88</v>
      </c>
      <c r="G13327" t="s">
        <v>88</v>
      </c>
      <c r="H13327" t="s">
        <v>92</v>
      </c>
    </row>
    <row r="13328" spans="1:8" x14ac:dyDescent="0.25">
      <c r="A13328" t="s">
        <v>375</v>
      </c>
      <c r="B13328" t="s">
        <v>7325</v>
      </c>
      <c r="C13328" t="s">
        <v>88</v>
      </c>
      <c r="D13328" t="s">
        <v>10484</v>
      </c>
      <c r="E13328" t="s">
        <v>803</v>
      </c>
      <c r="F13328" t="s">
        <v>88</v>
      </c>
      <c r="G13328" t="s">
        <v>88</v>
      </c>
      <c r="H13328" t="s">
        <v>92</v>
      </c>
    </row>
    <row r="13329" spans="1:8" x14ac:dyDescent="0.25">
      <c r="A13329" t="s">
        <v>375</v>
      </c>
      <c r="B13329" t="s">
        <v>3336</v>
      </c>
      <c r="C13329" t="s">
        <v>88</v>
      </c>
      <c r="D13329" t="s">
        <v>10485</v>
      </c>
      <c r="E13329" t="s">
        <v>964</v>
      </c>
      <c r="F13329" t="s">
        <v>88</v>
      </c>
      <c r="G13329" t="s">
        <v>88</v>
      </c>
      <c r="H13329" t="s">
        <v>92</v>
      </c>
    </row>
    <row r="13330" spans="1:8" x14ac:dyDescent="0.25">
      <c r="A13330" t="s">
        <v>375</v>
      </c>
      <c r="B13330" t="s">
        <v>10486</v>
      </c>
      <c r="C13330" t="s">
        <v>88</v>
      </c>
      <c r="D13330" t="s">
        <v>10483</v>
      </c>
      <c r="E13330" t="s">
        <v>641</v>
      </c>
      <c r="F13330" t="s">
        <v>88</v>
      </c>
      <c r="G13330" t="s">
        <v>88</v>
      </c>
      <c r="H13330" t="s">
        <v>92</v>
      </c>
    </row>
    <row r="13331" spans="1:8" x14ac:dyDescent="0.25">
      <c r="A13331" t="s">
        <v>375</v>
      </c>
      <c r="B13331" t="s">
        <v>625</v>
      </c>
      <c r="C13331" t="s">
        <v>88</v>
      </c>
      <c r="D13331" t="s">
        <v>88</v>
      </c>
      <c r="E13331" t="s">
        <v>626</v>
      </c>
      <c r="F13331" t="s">
        <v>88</v>
      </c>
      <c r="G13331" t="s">
        <v>88</v>
      </c>
      <c r="H13331" t="s">
        <v>92</v>
      </c>
    </row>
    <row r="13332" spans="1:8" x14ac:dyDescent="0.25">
      <c r="A13332" t="s">
        <v>376</v>
      </c>
      <c r="B13332" t="s">
        <v>10487</v>
      </c>
      <c r="C13332" t="s">
        <v>88</v>
      </c>
      <c r="D13332" t="s">
        <v>88</v>
      </c>
      <c r="E13332" t="s">
        <v>3109</v>
      </c>
      <c r="F13332" t="s">
        <v>88</v>
      </c>
      <c r="G13332" t="s">
        <v>88</v>
      </c>
      <c r="H13332" t="s">
        <v>92</v>
      </c>
    </row>
    <row r="13333" spans="1:8" x14ac:dyDescent="0.25">
      <c r="A13333" t="s">
        <v>376</v>
      </c>
      <c r="B13333" t="s">
        <v>10488</v>
      </c>
      <c r="C13333" t="s">
        <v>88</v>
      </c>
      <c r="D13333" t="s">
        <v>10489</v>
      </c>
      <c r="E13333" t="s">
        <v>2585</v>
      </c>
      <c r="F13333" t="s">
        <v>88</v>
      </c>
      <c r="G13333" t="s">
        <v>88</v>
      </c>
      <c r="H13333" t="s">
        <v>92</v>
      </c>
    </row>
    <row r="13334" spans="1:8" x14ac:dyDescent="0.25">
      <c r="A13334" t="s">
        <v>376</v>
      </c>
      <c r="B13334" t="s">
        <v>10490</v>
      </c>
      <c r="C13334" t="s">
        <v>88</v>
      </c>
      <c r="D13334" t="s">
        <v>10491</v>
      </c>
      <c r="E13334" t="s">
        <v>2585</v>
      </c>
      <c r="F13334" t="s">
        <v>88</v>
      </c>
      <c r="G13334" t="s">
        <v>88</v>
      </c>
      <c r="H13334" t="s">
        <v>92</v>
      </c>
    </row>
    <row r="13335" spans="1:8" x14ac:dyDescent="0.25">
      <c r="A13335" t="s">
        <v>376</v>
      </c>
      <c r="B13335" t="s">
        <v>10492</v>
      </c>
      <c r="C13335" t="s">
        <v>88</v>
      </c>
      <c r="D13335" t="s">
        <v>10314</v>
      </c>
      <c r="E13335" t="s">
        <v>2585</v>
      </c>
      <c r="F13335" t="s">
        <v>88</v>
      </c>
      <c r="G13335" t="s">
        <v>88</v>
      </c>
      <c r="H13335" t="s">
        <v>92</v>
      </c>
    </row>
    <row r="13336" spans="1:8" x14ac:dyDescent="0.25">
      <c r="A13336" t="s">
        <v>376</v>
      </c>
      <c r="B13336" t="s">
        <v>10493</v>
      </c>
      <c r="C13336" t="s">
        <v>88</v>
      </c>
      <c r="D13336" t="s">
        <v>10314</v>
      </c>
      <c r="E13336" t="s">
        <v>2585</v>
      </c>
      <c r="F13336" t="s">
        <v>88</v>
      </c>
      <c r="G13336" t="s">
        <v>88</v>
      </c>
      <c r="H13336" t="s">
        <v>92</v>
      </c>
    </row>
    <row r="13337" spans="1:8" x14ac:dyDescent="0.25">
      <c r="A13337" t="s">
        <v>376</v>
      </c>
      <c r="B13337" t="s">
        <v>10494</v>
      </c>
      <c r="C13337" t="s">
        <v>88</v>
      </c>
      <c r="D13337" t="s">
        <v>10314</v>
      </c>
      <c r="E13337" t="s">
        <v>2585</v>
      </c>
      <c r="F13337" t="s">
        <v>88</v>
      </c>
      <c r="G13337" t="s">
        <v>88</v>
      </c>
      <c r="H13337" t="s">
        <v>92</v>
      </c>
    </row>
    <row r="13338" spans="1:8" x14ac:dyDescent="0.25">
      <c r="A13338" t="s">
        <v>376</v>
      </c>
      <c r="B13338" t="s">
        <v>10495</v>
      </c>
      <c r="C13338" t="s">
        <v>88</v>
      </c>
      <c r="D13338" t="s">
        <v>88</v>
      </c>
      <c r="E13338" t="s">
        <v>609</v>
      </c>
      <c r="F13338" t="s">
        <v>88</v>
      </c>
      <c r="G13338" t="s">
        <v>88</v>
      </c>
      <c r="H13338" t="s">
        <v>92</v>
      </c>
    </row>
    <row r="13339" spans="1:8" x14ac:dyDescent="0.25">
      <c r="A13339" t="s">
        <v>376</v>
      </c>
      <c r="B13339" t="s">
        <v>10496</v>
      </c>
      <c r="C13339" t="s">
        <v>88</v>
      </c>
      <c r="D13339" t="s">
        <v>10497</v>
      </c>
      <c r="E13339" t="s">
        <v>2585</v>
      </c>
      <c r="F13339" t="s">
        <v>88</v>
      </c>
      <c r="G13339" t="s">
        <v>88</v>
      </c>
      <c r="H13339" t="s">
        <v>92</v>
      </c>
    </row>
    <row r="13340" spans="1:8" x14ac:dyDescent="0.25">
      <c r="A13340" t="s">
        <v>376</v>
      </c>
      <c r="B13340" t="s">
        <v>10498</v>
      </c>
      <c r="C13340" t="s">
        <v>88</v>
      </c>
      <c r="D13340" t="s">
        <v>10499</v>
      </c>
      <c r="E13340" t="s">
        <v>2585</v>
      </c>
      <c r="F13340" t="s">
        <v>88</v>
      </c>
      <c r="G13340" t="s">
        <v>88</v>
      </c>
      <c r="H13340" t="s">
        <v>92</v>
      </c>
    </row>
    <row r="13341" spans="1:8" x14ac:dyDescent="0.25">
      <c r="A13341" t="s">
        <v>376</v>
      </c>
      <c r="B13341" t="s">
        <v>10350</v>
      </c>
      <c r="C13341" t="s">
        <v>88</v>
      </c>
      <c r="D13341" t="s">
        <v>10500</v>
      </c>
      <c r="E13341" t="s">
        <v>2585</v>
      </c>
      <c r="F13341" t="s">
        <v>88</v>
      </c>
      <c r="G13341" t="s">
        <v>88</v>
      </c>
      <c r="H13341" t="s">
        <v>92</v>
      </c>
    </row>
    <row r="13342" spans="1:8" x14ac:dyDescent="0.25">
      <c r="A13342" t="s">
        <v>376</v>
      </c>
      <c r="B13342" t="s">
        <v>10501</v>
      </c>
      <c r="C13342" t="s">
        <v>88</v>
      </c>
      <c r="D13342" t="s">
        <v>10502</v>
      </c>
      <c r="E13342" t="s">
        <v>2585</v>
      </c>
      <c r="F13342" t="s">
        <v>88</v>
      </c>
      <c r="G13342" t="s">
        <v>88</v>
      </c>
      <c r="H13342" t="s">
        <v>92</v>
      </c>
    </row>
    <row r="13343" spans="1:8" x14ac:dyDescent="0.25">
      <c r="A13343" t="s">
        <v>376</v>
      </c>
      <c r="B13343" t="s">
        <v>5329</v>
      </c>
      <c r="C13343" t="s">
        <v>88</v>
      </c>
      <c r="D13343" t="s">
        <v>10503</v>
      </c>
      <c r="E13343" t="s">
        <v>2585</v>
      </c>
      <c r="F13343" t="s">
        <v>88</v>
      </c>
      <c r="G13343" t="s">
        <v>88</v>
      </c>
      <c r="H13343" t="s">
        <v>92</v>
      </c>
    </row>
    <row r="13344" spans="1:8" x14ac:dyDescent="0.25">
      <c r="A13344" t="s">
        <v>376</v>
      </c>
      <c r="B13344" t="s">
        <v>10504</v>
      </c>
      <c r="C13344" t="s">
        <v>88</v>
      </c>
      <c r="D13344" t="s">
        <v>10505</v>
      </c>
      <c r="E13344" t="s">
        <v>2585</v>
      </c>
      <c r="F13344" t="s">
        <v>88</v>
      </c>
      <c r="G13344" t="s">
        <v>88</v>
      </c>
      <c r="H13344" t="s">
        <v>92</v>
      </c>
    </row>
    <row r="13345" spans="1:8" x14ac:dyDescent="0.25">
      <c r="A13345" t="s">
        <v>376</v>
      </c>
      <c r="B13345" t="s">
        <v>4113</v>
      </c>
      <c r="C13345" t="s">
        <v>88</v>
      </c>
      <c r="D13345" t="s">
        <v>10506</v>
      </c>
      <c r="E13345" t="s">
        <v>2585</v>
      </c>
      <c r="F13345" t="s">
        <v>88</v>
      </c>
      <c r="G13345" t="s">
        <v>88</v>
      </c>
      <c r="H13345" t="s">
        <v>92</v>
      </c>
    </row>
    <row r="13346" spans="1:8" x14ac:dyDescent="0.25">
      <c r="A13346" t="s">
        <v>376</v>
      </c>
      <c r="B13346" t="s">
        <v>10507</v>
      </c>
      <c r="C13346" t="s">
        <v>88</v>
      </c>
      <c r="D13346" t="s">
        <v>10508</v>
      </c>
      <c r="E13346" t="s">
        <v>2585</v>
      </c>
      <c r="F13346" t="s">
        <v>88</v>
      </c>
      <c r="G13346" t="s">
        <v>88</v>
      </c>
      <c r="H13346" t="s">
        <v>92</v>
      </c>
    </row>
    <row r="13347" spans="1:8" x14ac:dyDescent="0.25">
      <c r="A13347" t="s">
        <v>376</v>
      </c>
      <c r="B13347" t="s">
        <v>10356</v>
      </c>
      <c r="C13347" t="s">
        <v>88</v>
      </c>
      <c r="D13347" t="s">
        <v>10509</v>
      </c>
      <c r="E13347" t="s">
        <v>2585</v>
      </c>
      <c r="F13347" t="s">
        <v>88</v>
      </c>
      <c r="G13347" t="s">
        <v>88</v>
      </c>
      <c r="H13347" t="s">
        <v>92</v>
      </c>
    </row>
    <row r="13348" spans="1:8" x14ac:dyDescent="0.25">
      <c r="A13348" t="s">
        <v>376</v>
      </c>
      <c r="B13348" t="s">
        <v>1682</v>
      </c>
      <c r="C13348" t="s">
        <v>88</v>
      </c>
      <c r="D13348" t="s">
        <v>10509</v>
      </c>
      <c r="E13348" t="s">
        <v>2585</v>
      </c>
      <c r="F13348" t="s">
        <v>88</v>
      </c>
      <c r="G13348" t="s">
        <v>88</v>
      </c>
      <c r="H13348" t="s">
        <v>92</v>
      </c>
    </row>
    <row r="13349" spans="1:8" x14ac:dyDescent="0.25">
      <c r="A13349" t="s">
        <v>376</v>
      </c>
      <c r="B13349" t="s">
        <v>2267</v>
      </c>
      <c r="C13349" t="s">
        <v>88</v>
      </c>
      <c r="D13349" t="s">
        <v>10510</v>
      </c>
      <c r="E13349" t="s">
        <v>2585</v>
      </c>
      <c r="F13349" t="s">
        <v>88</v>
      </c>
      <c r="G13349" t="s">
        <v>88</v>
      </c>
      <c r="H13349" t="s">
        <v>92</v>
      </c>
    </row>
    <row r="13350" spans="1:8" x14ac:dyDescent="0.25">
      <c r="A13350" t="s">
        <v>376</v>
      </c>
      <c r="B13350" t="s">
        <v>2275</v>
      </c>
      <c r="C13350" t="s">
        <v>88</v>
      </c>
      <c r="D13350" t="s">
        <v>10511</v>
      </c>
      <c r="E13350" t="s">
        <v>2585</v>
      </c>
      <c r="F13350" t="s">
        <v>88</v>
      </c>
      <c r="G13350" t="s">
        <v>88</v>
      </c>
      <c r="H13350" t="s">
        <v>92</v>
      </c>
    </row>
    <row r="13351" spans="1:8" x14ac:dyDescent="0.25">
      <c r="A13351" t="s">
        <v>376</v>
      </c>
      <c r="B13351" t="s">
        <v>2277</v>
      </c>
      <c r="C13351" t="s">
        <v>88</v>
      </c>
      <c r="D13351" t="s">
        <v>10512</v>
      </c>
      <c r="E13351" t="s">
        <v>2585</v>
      </c>
      <c r="F13351" t="s">
        <v>88</v>
      </c>
      <c r="G13351" t="s">
        <v>88</v>
      </c>
      <c r="H13351" t="s">
        <v>92</v>
      </c>
    </row>
    <row r="13352" spans="1:8" x14ac:dyDescent="0.25">
      <c r="A13352" t="s">
        <v>376</v>
      </c>
      <c r="B13352" t="s">
        <v>10513</v>
      </c>
      <c r="C13352" t="s">
        <v>88</v>
      </c>
      <c r="D13352" t="s">
        <v>88</v>
      </c>
      <c r="E13352" t="s">
        <v>647</v>
      </c>
      <c r="F13352" t="s">
        <v>88</v>
      </c>
      <c r="G13352" t="s">
        <v>88</v>
      </c>
      <c r="H13352" t="s">
        <v>92</v>
      </c>
    </row>
    <row r="13353" spans="1:8" x14ac:dyDescent="0.25">
      <c r="A13353" t="s">
        <v>376</v>
      </c>
      <c r="B13353" t="s">
        <v>3537</v>
      </c>
      <c r="C13353" t="s">
        <v>88</v>
      </c>
      <c r="D13353" t="s">
        <v>88</v>
      </c>
      <c r="E13353" t="s">
        <v>2540</v>
      </c>
      <c r="F13353" t="s">
        <v>88</v>
      </c>
      <c r="G13353" t="s">
        <v>88</v>
      </c>
      <c r="H13353" t="s">
        <v>92</v>
      </c>
    </row>
    <row r="13354" spans="1:8" x14ac:dyDescent="0.25">
      <c r="A13354" t="s">
        <v>376</v>
      </c>
      <c r="B13354" t="s">
        <v>5336</v>
      </c>
      <c r="C13354" t="s">
        <v>88</v>
      </c>
      <c r="D13354" t="s">
        <v>88</v>
      </c>
      <c r="E13354" t="s">
        <v>2540</v>
      </c>
      <c r="F13354" t="s">
        <v>88</v>
      </c>
      <c r="G13354" t="s">
        <v>88</v>
      </c>
      <c r="H13354" t="s">
        <v>92</v>
      </c>
    </row>
    <row r="13355" spans="1:8" x14ac:dyDescent="0.25">
      <c r="A13355" t="s">
        <v>376</v>
      </c>
      <c r="B13355" t="s">
        <v>3533</v>
      </c>
      <c r="C13355" t="s">
        <v>88</v>
      </c>
      <c r="D13355" t="s">
        <v>88</v>
      </c>
      <c r="E13355" t="s">
        <v>2540</v>
      </c>
      <c r="F13355" t="s">
        <v>88</v>
      </c>
      <c r="G13355" t="s">
        <v>88</v>
      </c>
      <c r="H13355" t="s">
        <v>92</v>
      </c>
    </row>
    <row r="13356" spans="1:8" x14ac:dyDescent="0.25">
      <c r="A13356" t="s">
        <v>376</v>
      </c>
      <c r="B13356" t="s">
        <v>10514</v>
      </c>
      <c r="C13356" t="s">
        <v>88</v>
      </c>
      <c r="D13356" t="s">
        <v>10515</v>
      </c>
      <c r="E13356" t="s">
        <v>591</v>
      </c>
      <c r="F13356" t="s">
        <v>88</v>
      </c>
      <c r="G13356" t="s">
        <v>88</v>
      </c>
      <c r="H13356" t="s">
        <v>92</v>
      </c>
    </row>
    <row r="13357" spans="1:8" x14ac:dyDescent="0.25">
      <c r="A13357" t="s">
        <v>376</v>
      </c>
      <c r="B13357" t="s">
        <v>10516</v>
      </c>
      <c r="C13357" t="s">
        <v>88</v>
      </c>
      <c r="D13357" t="s">
        <v>10517</v>
      </c>
      <c r="E13357" t="s">
        <v>591</v>
      </c>
      <c r="F13357" t="s">
        <v>88</v>
      </c>
      <c r="G13357" t="s">
        <v>88</v>
      </c>
      <c r="H13357" t="s">
        <v>92</v>
      </c>
    </row>
    <row r="13358" spans="1:8" x14ac:dyDescent="0.25">
      <c r="A13358" t="s">
        <v>376</v>
      </c>
      <c r="B13358" t="s">
        <v>10518</v>
      </c>
      <c r="C13358" t="s">
        <v>88</v>
      </c>
      <c r="D13358" t="s">
        <v>88</v>
      </c>
      <c r="E13358" t="s">
        <v>591</v>
      </c>
      <c r="F13358" t="s">
        <v>88</v>
      </c>
      <c r="G13358" t="s">
        <v>88</v>
      </c>
      <c r="H13358" t="s">
        <v>92</v>
      </c>
    </row>
    <row r="13359" spans="1:8" x14ac:dyDescent="0.25">
      <c r="A13359" t="s">
        <v>376</v>
      </c>
      <c r="B13359" t="s">
        <v>10519</v>
      </c>
      <c r="C13359" t="s">
        <v>88</v>
      </c>
      <c r="D13359" t="s">
        <v>10489</v>
      </c>
      <c r="E13359" t="s">
        <v>591</v>
      </c>
      <c r="F13359" t="s">
        <v>88</v>
      </c>
      <c r="G13359" t="s">
        <v>88</v>
      </c>
      <c r="H13359" t="s">
        <v>92</v>
      </c>
    </row>
    <row r="13360" spans="1:8" x14ac:dyDescent="0.25">
      <c r="A13360" t="s">
        <v>376</v>
      </c>
      <c r="B13360" t="s">
        <v>10520</v>
      </c>
      <c r="C13360" t="s">
        <v>88</v>
      </c>
      <c r="D13360" t="s">
        <v>88</v>
      </c>
      <c r="E13360" t="s">
        <v>591</v>
      </c>
      <c r="F13360" t="s">
        <v>88</v>
      </c>
      <c r="G13360" t="s">
        <v>88</v>
      </c>
      <c r="H13360" t="s">
        <v>92</v>
      </c>
    </row>
    <row r="13361" spans="1:8" x14ac:dyDescent="0.25">
      <c r="A13361" t="s">
        <v>376</v>
      </c>
      <c r="B13361" t="s">
        <v>10521</v>
      </c>
      <c r="C13361" t="s">
        <v>88</v>
      </c>
      <c r="D13361" t="s">
        <v>88</v>
      </c>
      <c r="E13361" t="s">
        <v>10522</v>
      </c>
      <c r="F13361" t="s">
        <v>88</v>
      </c>
      <c r="G13361" t="s">
        <v>88</v>
      </c>
      <c r="H13361" t="s">
        <v>92</v>
      </c>
    </row>
    <row r="13362" spans="1:8" x14ac:dyDescent="0.25">
      <c r="A13362" t="s">
        <v>376</v>
      </c>
      <c r="B13362" t="s">
        <v>1868</v>
      </c>
      <c r="C13362" t="s">
        <v>88</v>
      </c>
      <c r="D13362" t="s">
        <v>10523</v>
      </c>
      <c r="E13362" t="s">
        <v>2540</v>
      </c>
      <c r="F13362" t="s">
        <v>88</v>
      </c>
      <c r="G13362" t="s">
        <v>88</v>
      </c>
      <c r="H13362" t="s">
        <v>92</v>
      </c>
    </row>
    <row r="13363" spans="1:8" x14ac:dyDescent="0.25">
      <c r="A13363" t="s">
        <v>376</v>
      </c>
      <c r="B13363" t="s">
        <v>583</v>
      </c>
      <c r="C13363" t="s">
        <v>88</v>
      </c>
      <c r="D13363" t="s">
        <v>10524</v>
      </c>
      <c r="E13363" t="s">
        <v>2540</v>
      </c>
      <c r="F13363" t="s">
        <v>88</v>
      </c>
      <c r="G13363" t="s">
        <v>88</v>
      </c>
      <c r="H13363" t="s">
        <v>92</v>
      </c>
    </row>
    <row r="13364" spans="1:8" x14ac:dyDescent="0.25">
      <c r="A13364" t="s">
        <v>376</v>
      </c>
      <c r="B13364" t="s">
        <v>10525</v>
      </c>
      <c r="C13364" t="s">
        <v>88</v>
      </c>
      <c r="D13364" t="s">
        <v>10526</v>
      </c>
      <c r="E13364" t="s">
        <v>2540</v>
      </c>
      <c r="F13364" t="s">
        <v>88</v>
      </c>
      <c r="G13364" t="s">
        <v>88</v>
      </c>
      <c r="H13364" t="s">
        <v>92</v>
      </c>
    </row>
    <row r="13365" spans="1:8" x14ac:dyDescent="0.25">
      <c r="A13365" t="s">
        <v>376</v>
      </c>
      <c r="B13365" t="s">
        <v>598</v>
      </c>
      <c r="C13365" t="s">
        <v>88</v>
      </c>
      <c r="D13365" t="s">
        <v>10527</v>
      </c>
      <c r="E13365" t="s">
        <v>2540</v>
      </c>
      <c r="F13365" t="s">
        <v>88</v>
      </c>
      <c r="G13365" t="s">
        <v>88</v>
      </c>
      <c r="H13365" t="s">
        <v>92</v>
      </c>
    </row>
    <row r="13366" spans="1:8" x14ac:dyDescent="0.25">
      <c r="A13366" t="s">
        <v>376</v>
      </c>
      <c r="B13366" t="s">
        <v>10528</v>
      </c>
      <c r="C13366" t="s">
        <v>88</v>
      </c>
      <c r="D13366" t="s">
        <v>88</v>
      </c>
      <c r="E13366" t="s">
        <v>649</v>
      </c>
      <c r="F13366" t="s">
        <v>88</v>
      </c>
      <c r="G13366" t="s">
        <v>88</v>
      </c>
      <c r="H13366" t="s">
        <v>92</v>
      </c>
    </row>
    <row r="13367" spans="1:8" x14ac:dyDescent="0.25">
      <c r="A13367" t="s">
        <v>376</v>
      </c>
      <c r="B13367" t="s">
        <v>948</v>
      </c>
      <c r="C13367" t="s">
        <v>88</v>
      </c>
      <c r="D13367" t="s">
        <v>88</v>
      </c>
      <c r="E13367" t="s">
        <v>1765</v>
      </c>
      <c r="F13367" t="s">
        <v>88</v>
      </c>
      <c r="G13367" t="s">
        <v>88</v>
      </c>
      <c r="H13367" t="s">
        <v>92</v>
      </c>
    </row>
    <row r="13368" spans="1:8" x14ac:dyDescent="0.25">
      <c r="A13368" t="s">
        <v>376</v>
      </c>
      <c r="B13368" t="s">
        <v>606</v>
      </c>
      <c r="C13368" t="s">
        <v>88</v>
      </c>
      <c r="D13368" t="s">
        <v>88</v>
      </c>
      <c r="E13368" t="s">
        <v>2864</v>
      </c>
      <c r="F13368" t="s">
        <v>88</v>
      </c>
      <c r="G13368" t="s">
        <v>88</v>
      </c>
      <c r="H13368" t="s">
        <v>92</v>
      </c>
    </row>
    <row r="13369" spans="1:8" x14ac:dyDescent="0.25">
      <c r="A13369" t="s">
        <v>376</v>
      </c>
      <c r="B13369" t="s">
        <v>10529</v>
      </c>
      <c r="C13369" t="s">
        <v>88</v>
      </c>
      <c r="D13369" t="s">
        <v>88</v>
      </c>
      <c r="E13369" t="s">
        <v>609</v>
      </c>
      <c r="F13369" t="s">
        <v>88</v>
      </c>
      <c r="G13369" t="s">
        <v>88</v>
      </c>
      <c r="H13369" t="s">
        <v>92</v>
      </c>
    </row>
    <row r="13370" spans="1:8" x14ac:dyDescent="0.25">
      <c r="A13370" t="s">
        <v>376</v>
      </c>
      <c r="B13370" t="s">
        <v>1322</v>
      </c>
      <c r="C13370" t="s">
        <v>88</v>
      </c>
      <c r="D13370" t="s">
        <v>88</v>
      </c>
      <c r="E13370" t="s">
        <v>649</v>
      </c>
      <c r="F13370" t="s">
        <v>88</v>
      </c>
      <c r="G13370" t="s">
        <v>88</v>
      </c>
      <c r="H13370" t="s">
        <v>92</v>
      </c>
    </row>
    <row r="13371" spans="1:8" x14ac:dyDescent="0.25">
      <c r="A13371" t="s">
        <v>376</v>
      </c>
      <c r="B13371" t="s">
        <v>5964</v>
      </c>
      <c r="C13371" t="s">
        <v>88</v>
      </c>
      <c r="D13371" t="s">
        <v>88</v>
      </c>
      <c r="E13371" t="s">
        <v>2119</v>
      </c>
      <c r="F13371" t="s">
        <v>88</v>
      </c>
      <c r="G13371" t="s">
        <v>88</v>
      </c>
      <c r="H13371" t="s">
        <v>92</v>
      </c>
    </row>
    <row r="13372" spans="1:8" x14ac:dyDescent="0.25">
      <c r="A13372" t="s">
        <v>376</v>
      </c>
      <c r="B13372" t="s">
        <v>10530</v>
      </c>
      <c r="C13372" t="s">
        <v>88</v>
      </c>
      <c r="D13372" t="s">
        <v>88</v>
      </c>
      <c r="E13372" t="s">
        <v>2108</v>
      </c>
      <c r="F13372" t="s">
        <v>88</v>
      </c>
      <c r="G13372" t="s">
        <v>88</v>
      </c>
      <c r="H13372" t="s">
        <v>92</v>
      </c>
    </row>
    <row r="13373" spans="1:8" x14ac:dyDescent="0.25">
      <c r="A13373" t="s">
        <v>376</v>
      </c>
      <c r="B13373" t="s">
        <v>10531</v>
      </c>
      <c r="C13373" t="s">
        <v>88</v>
      </c>
      <c r="D13373" t="s">
        <v>88</v>
      </c>
      <c r="E13373" t="s">
        <v>2108</v>
      </c>
      <c r="F13373" t="s">
        <v>88</v>
      </c>
      <c r="G13373" t="s">
        <v>88</v>
      </c>
      <c r="H13373" t="s">
        <v>92</v>
      </c>
    </row>
    <row r="13374" spans="1:8" x14ac:dyDescent="0.25">
      <c r="A13374" t="s">
        <v>376</v>
      </c>
      <c r="B13374" t="s">
        <v>10532</v>
      </c>
      <c r="C13374" t="s">
        <v>88</v>
      </c>
      <c r="D13374" t="s">
        <v>10533</v>
      </c>
      <c r="E13374" t="s">
        <v>647</v>
      </c>
      <c r="F13374" t="s">
        <v>88</v>
      </c>
      <c r="G13374" t="s">
        <v>88</v>
      </c>
      <c r="H13374" t="s">
        <v>92</v>
      </c>
    </row>
    <row r="13375" spans="1:8" x14ac:dyDescent="0.25">
      <c r="A13375" t="s">
        <v>376</v>
      </c>
      <c r="B13375" t="s">
        <v>3457</v>
      </c>
      <c r="C13375" t="s">
        <v>88</v>
      </c>
      <c r="D13375" t="s">
        <v>10534</v>
      </c>
      <c r="E13375" t="s">
        <v>605</v>
      </c>
      <c r="F13375" t="s">
        <v>88</v>
      </c>
      <c r="G13375" t="s">
        <v>88</v>
      </c>
      <c r="H13375" t="s">
        <v>92</v>
      </c>
    </row>
    <row r="13376" spans="1:8" x14ac:dyDescent="0.25">
      <c r="A13376" t="s">
        <v>376</v>
      </c>
      <c r="B13376" t="s">
        <v>2345</v>
      </c>
      <c r="C13376" t="s">
        <v>88</v>
      </c>
      <c r="D13376" t="s">
        <v>10535</v>
      </c>
      <c r="E13376" t="s">
        <v>605</v>
      </c>
      <c r="F13376" t="s">
        <v>88</v>
      </c>
      <c r="G13376" t="s">
        <v>88</v>
      </c>
      <c r="H13376" t="s">
        <v>92</v>
      </c>
    </row>
    <row r="13377" spans="1:8" x14ac:dyDescent="0.25">
      <c r="A13377" t="s">
        <v>376</v>
      </c>
      <c r="B13377" t="s">
        <v>10536</v>
      </c>
      <c r="C13377" t="s">
        <v>88</v>
      </c>
      <c r="D13377" t="s">
        <v>10537</v>
      </c>
      <c r="E13377" t="s">
        <v>605</v>
      </c>
      <c r="F13377" t="s">
        <v>88</v>
      </c>
      <c r="G13377" t="s">
        <v>88</v>
      </c>
      <c r="H13377" t="s">
        <v>92</v>
      </c>
    </row>
    <row r="13378" spans="1:8" x14ac:dyDescent="0.25">
      <c r="A13378" t="s">
        <v>376</v>
      </c>
      <c r="B13378" t="s">
        <v>10538</v>
      </c>
      <c r="C13378" t="s">
        <v>88</v>
      </c>
      <c r="D13378" t="s">
        <v>88</v>
      </c>
      <c r="E13378" t="s">
        <v>609</v>
      </c>
      <c r="F13378" t="s">
        <v>88</v>
      </c>
      <c r="G13378" t="s">
        <v>88</v>
      </c>
      <c r="H13378" t="s">
        <v>92</v>
      </c>
    </row>
    <row r="13379" spans="1:8" x14ac:dyDescent="0.25">
      <c r="A13379" t="s">
        <v>376</v>
      </c>
      <c r="B13379" t="s">
        <v>5610</v>
      </c>
      <c r="C13379" t="s">
        <v>88</v>
      </c>
      <c r="D13379" t="s">
        <v>88</v>
      </c>
      <c r="E13379" t="s">
        <v>619</v>
      </c>
      <c r="F13379" t="s">
        <v>88</v>
      </c>
      <c r="G13379" t="s">
        <v>88</v>
      </c>
      <c r="H13379" t="s">
        <v>92</v>
      </c>
    </row>
    <row r="13380" spans="1:8" x14ac:dyDescent="0.25">
      <c r="A13380" t="s">
        <v>376</v>
      </c>
      <c r="B13380" t="s">
        <v>10539</v>
      </c>
      <c r="C13380" t="s">
        <v>88</v>
      </c>
      <c r="D13380" t="s">
        <v>88</v>
      </c>
      <c r="E13380" t="s">
        <v>2564</v>
      </c>
      <c r="F13380" t="s">
        <v>88</v>
      </c>
      <c r="G13380" t="s">
        <v>88</v>
      </c>
      <c r="H13380" t="s">
        <v>92</v>
      </c>
    </row>
    <row r="13381" spans="1:8" x14ac:dyDescent="0.25">
      <c r="A13381" t="s">
        <v>376</v>
      </c>
      <c r="B13381" t="s">
        <v>10540</v>
      </c>
      <c r="C13381" t="s">
        <v>88</v>
      </c>
      <c r="D13381" t="s">
        <v>88</v>
      </c>
      <c r="E13381" t="s">
        <v>2564</v>
      </c>
      <c r="F13381" t="s">
        <v>88</v>
      </c>
      <c r="G13381" t="s">
        <v>88</v>
      </c>
      <c r="H13381" t="s">
        <v>92</v>
      </c>
    </row>
    <row r="13382" spans="1:8" x14ac:dyDescent="0.25">
      <c r="A13382" t="s">
        <v>376</v>
      </c>
      <c r="B13382" t="s">
        <v>612</v>
      </c>
      <c r="C13382" t="s">
        <v>88</v>
      </c>
      <c r="D13382" t="s">
        <v>88</v>
      </c>
      <c r="E13382" t="s">
        <v>650</v>
      </c>
      <c r="F13382" t="s">
        <v>88</v>
      </c>
      <c r="G13382" t="s">
        <v>88</v>
      </c>
      <c r="H13382" t="s">
        <v>92</v>
      </c>
    </row>
    <row r="13383" spans="1:8" x14ac:dyDescent="0.25">
      <c r="A13383" t="s">
        <v>376</v>
      </c>
      <c r="B13383" t="s">
        <v>651</v>
      </c>
      <c r="C13383" t="s">
        <v>88</v>
      </c>
      <c r="D13383" t="s">
        <v>88</v>
      </c>
      <c r="E13383" t="s">
        <v>650</v>
      </c>
      <c r="F13383" t="s">
        <v>88</v>
      </c>
      <c r="G13383" t="s">
        <v>88</v>
      </c>
      <c r="H13383" t="s">
        <v>92</v>
      </c>
    </row>
    <row r="13384" spans="1:8" x14ac:dyDescent="0.25">
      <c r="A13384" t="s">
        <v>376</v>
      </c>
      <c r="B13384" t="s">
        <v>614</v>
      </c>
      <c r="C13384" t="s">
        <v>88</v>
      </c>
      <c r="D13384" t="s">
        <v>88</v>
      </c>
      <c r="E13384" t="s">
        <v>650</v>
      </c>
      <c r="F13384" t="s">
        <v>88</v>
      </c>
      <c r="G13384" t="s">
        <v>88</v>
      </c>
      <c r="H13384" t="s">
        <v>92</v>
      </c>
    </row>
    <row r="13385" spans="1:8" x14ac:dyDescent="0.25">
      <c r="A13385" t="s">
        <v>376</v>
      </c>
      <c r="B13385" t="s">
        <v>615</v>
      </c>
      <c r="C13385" t="s">
        <v>88</v>
      </c>
      <c r="D13385" t="s">
        <v>88</v>
      </c>
      <c r="E13385" t="s">
        <v>650</v>
      </c>
      <c r="F13385" t="s">
        <v>88</v>
      </c>
      <c r="G13385" t="s">
        <v>88</v>
      </c>
      <c r="H13385" t="s">
        <v>92</v>
      </c>
    </row>
    <row r="13386" spans="1:8" x14ac:dyDescent="0.25">
      <c r="A13386" t="s">
        <v>376</v>
      </c>
      <c r="B13386" t="s">
        <v>616</v>
      </c>
      <c r="C13386" t="s">
        <v>88</v>
      </c>
      <c r="D13386" t="s">
        <v>88</v>
      </c>
      <c r="E13386" t="s">
        <v>650</v>
      </c>
      <c r="F13386" t="s">
        <v>88</v>
      </c>
      <c r="G13386" t="s">
        <v>88</v>
      </c>
      <c r="H13386" t="s">
        <v>92</v>
      </c>
    </row>
    <row r="13387" spans="1:8" x14ac:dyDescent="0.25">
      <c r="A13387" t="s">
        <v>376</v>
      </c>
      <c r="B13387" t="s">
        <v>617</v>
      </c>
      <c r="C13387" t="s">
        <v>88</v>
      </c>
      <c r="D13387" t="s">
        <v>88</v>
      </c>
      <c r="E13387" t="s">
        <v>650</v>
      </c>
      <c r="F13387" t="s">
        <v>88</v>
      </c>
      <c r="G13387" t="s">
        <v>88</v>
      </c>
      <c r="H13387" t="s">
        <v>92</v>
      </c>
    </row>
    <row r="13388" spans="1:8" x14ac:dyDescent="0.25">
      <c r="A13388" t="s">
        <v>376</v>
      </c>
      <c r="B13388" t="s">
        <v>618</v>
      </c>
      <c r="C13388" t="s">
        <v>88</v>
      </c>
      <c r="D13388" t="s">
        <v>88</v>
      </c>
      <c r="E13388" t="s">
        <v>621</v>
      </c>
      <c r="F13388" t="s">
        <v>88</v>
      </c>
      <c r="G13388" t="s">
        <v>88</v>
      </c>
      <c r="H13388" t="s">
        <v>92</v>
      </c>
    </row>
    <row r="13389" spans="1:8" x14ac:dyDescent="0.25">
      <c r="A13389" t="s">
        <v>376</v>
      </c>
      <c r="B13389" t="s">
        <v>620</v>
      </c>
      <c r="C13389" t="s">
        <v>88</v>
      </c>
      <c r="D13389" t="s">
        <v>88</v>
      </c>
      <c r="E13389" t="s">
        <v>1978</v>
      </c>
      <c r="F13389" t="s">
        <v>88</v>
      </c>
      <c r="G13389" t="s">
        <v>88</v>
      </c>
      <c r="H13389" t="s">
        <v>92</v>
      </c>
    </row>
    <row r="13390" spans="1:8" x14ac:dyDescent="0.25">
      <c r="A13390" t="s">
        <v>376</v>
      </c>
      <c r="B13390" t="s">
        <v>622</v>
      </c>
      <c r="C13390" t="s">
        <v>88</v>
      </c>
      <c r="D13390" t="s">
        <v>88</v>
      </c>
      <c r="E13390" t="s">
        <v>710</v>
      </c>
      <c r="F13390" t="s">
        <v>88</v>
      </c>
      <c r="G13390" t="s">
        <v>88</v>
      </c>
      <c r="H13390" t="s">
        <v>92</v>
      </c>
    </row>
    <row r="13391" spans="1:8" x14ac:dyDescent="0.25">
      <c r="A13391" t="s">
        <v>376</v>
      </c>
      <c r="B13391" t="s">
        <v>623</v>
      </c>
      <c r="C13391" t="s">
        <v>88</v>
      </c>
      <c r="D13391" t="s">
        <v>88</v>
      </c>
      <c r="E13391" t="s">
        <v>2136</v>
      </c>
      <c r="F13391" t="s">
        <v>88</v>
      </c>
      <c r="G13391" t="s">
        <v>88</v>
      </c>
      <c r="H13391" t="s">
        <v>92</v>
      </c>
    </row>
    <row r="13392" spans="1:8" x14ac:dyDescent="0.25">
      <c r="A13392" t="s">
        <v>376</v>
      </c>
      <c r="B13392" t="s">
        <v>798</v>
      </c>
      <c r="C13392" t="s">
        <v>88</v>
      </c>
      <c r="D13392" t="s">
        <v>88</v>
      </c>
      <c r="E13392" t="s">
        <v>2108</v>
      </c>
      <c r="F13392" t="s">
        <v>88</v>
      </c>
      <c r="G13392" t="s">
        <v>88</v>
      </c>
      <c r="H13392" t="s">
        <v>92</v>
      </c>
    </row>
    <row r="13393" spans="1:8" x14ac:dyDescent="0.25">
      <c r="A13393" t="s">
        <v>376</v>
      </c>
      <c r="B13393" t="s">
        <v>625</v>
      </c>
      <c r="C13393" t="s">
        <v>88</v>
      </c>
      <c r="D13393" t="s">
        <v>88</v>
      </c>
      <c r="E13393" t="s">
        <v>626</v>
      </c>
      <c r="F13393" t="s">
        <v>88</v>
      </c>
      <c r="G13393" t="s">
        <v>88</v>
      </c>
      <c r="H13393" t="s">
        <v>92</v>
      </c>
    </row>
    <row r="13394" spans="1:8" x14ac:dyDescent="0.25">
      <c r="A13394" t="s">
        <v>377</v>
      </c>
      <c r="B13394" t="s">
        <v>10541</v>
      </c>
      <c r="C13394" t="s">
        <v>88</v>
      </c>
      <c r="D13394" t="s">
        <v>10542</v>
      </c>
      <c r="E13394" t="s">
        <v>10543</v>
      </c>
      <c r="F13394" t="s">
        <v>88</v>
      </c>
      <c r="G13394" t="s">
        <v>88</v>
      </c>
      <c r="H13394" t="s">
        <v>92</v>
      </c>
    </row>
    <row r="13395" spans="1:8" x14ac:dyDescent="0.25">
      <c r="A13395" t="s">
        <v>377</v>
      </c>
      <c r="B13395" t="s">
        <v>10544</v>
      </c>
      <c r="C13395" t="s">
        <v>88</v>
      </c>
      <c r="D13395" t="s">
        <v>10545</v>
      </c>
      <c r="E13395" t="s">
        <v>10546</v>
      </c>
      <c r="F13395" t="s">
        <v>88</v>
      </c>
      <c r="G13395" t="s">
        <v>88</v>
      </c>
      <c r="H13395" t="s">
        <v>92</v>
      </c>
    </row>
    <row r="13396" spans="1:8" x14ac:dyDescent="0.25">
      <c r="A13396" t="s">
        <v>377</v>
      </c>
      <c r="B13396" t="s">
        <v>10547</v>
      </c>
      <c r="C13396" t="s">
        <v>88</v>
      </c>
      <c r="D13396" t="s">
        <v>10548</v>
      </c>
      <c r="E13396" t="s">
        <v>10549</v>
      </c>
      <c r="F13396" t="s">
        <v>88</v>
      </c>
      <c r="G13396" t="s">
        <v>88</v>
      </c>
      <c r="H13396" t="s">
        <v>92</v>
      </c>
    </row>
    <row r="13397" spans="1:8" x14ac:dyDescent="0.25">
      <c r="A13397" t="s">
        <v>377</v>
      </c>
      <c r="B13397" t="s">
        <v>2916</v>
      </c>
      <c r="C13397" t="s">
        <v>88</v>
      </c>
      <c r="D13397" t="s">
        <v>10550</v>
      </c>
      <c r="E13397" t="s">
        <v>10551</v>
      </c>
      <c r="F13397" t="s">
        <v>88</v>
      </c>
      <c r="G13397" t="s">
        <v>88</v>
      </c>
      <c r="H13397" t="s">
        <v>92</v>
      </c>
    </row>
    <row r="13398" spans="1:8" x14ac:dyDescent="0.25">
      <c r="A13398" t="s">
        <v>377</v>
      </c>
      <c r="B13398" t="s">
        <v>10552</v>
      </c>
      <c r="C13398" t="s">
        <v>88</v>
      </c>
      <c r="D13398" t="s">
        <v>10553</v>
      </c>
      <c r="E13398" t="s">
        <v>10554</v>
      </c>
      <c r="F13398" t="s">
        <v>88</v>
      </c>
      <c r="G13398" t="s">
        <v>88</v>
      </c>
      <c r="H13398" t="s">
        <v>92</v>
      </c>
    </row>
    <row r="13399" spans="1:8" x14ac:dyDescent="0.25">
      <c r="A13399" t="s">
        <v>377</v>
      </c>
      <c r="B13399" t="s">
        <v>2364</v>
      </c>
      <c r="C13399" t="s">
        <v>88</v>
      </c>
      <c r="D13399" t="s">
        <v>88</v>
      </c>
      <c r="E13399" t="s">
        <v>10555</v>
      </c>
      <c r="F13399" t="s">
        <v>88</v>
      </c>
      <c r="G13399" t="s">
        <v>88</v>
      </c>
      <c r="H13399" t="s">
        <v>92</v>
      </c>
    </row>
    <row r="13400" spans="1:8" x14ac:dyDescent="0.25">
      <c r="A13400" t="s">
        <v>377</v>
      </c>
      <c r="B13400" t="s">
        <v>10556</v>
      </c>
      <c r="C13400" t="s">
        <v>88</v>
      </c>
      <c r="D13400" t="s">
        <v>88</v>
      </c>
      <c r="E13400" t="s">
        <v>10555</v>
      </c>
      <c r="F13400" t="s">
        <v>88</v>
      </c>
      <c r="G13400" t="s">
        <v>88</v>
      </c>
      <c r="H13400" t="s">
        <v>92</v>
      </c>
    </row>
    <row r="13401" spans="1:8" x14ac:dyDescent="0.25">
      <c r="A13401" t="s">
        <v>377</v>
      </c>
      <c r="B13401" t="s">
        <v>10557</v>
      </c>
      <c r="C13401" t="s">
        <v>88</v>
      </c>
      <c r="D13401" t="s">
        <v>88</v>
      </c>
      <c r="E13401" t="s">
        <v>10558</v>
      </c>
      <c r="F13401" t="s">
        <v>88</v>
      </c>
      <c r="G13401" t="s">
        <v>88</v>
      </c>
      <c r="H13401" t="s">
        <v>92</v>
      </c>
    </row>
    <row r="13402" spans="1:8" x14ac:dyDescent="0.25">
      <c r="A13402" t="s">
        <v>377</v>
      </c>
      <c r="B13402" t="s">
        <v>10559</v>
      </c>
      <c r="C13402" t="s">
        <v>88</v>
      </c>
      <c r="D13402" t="s">
        <v>88</v>
      </c>
      <c r="E13402" t="s">
        <v>10560</v>
      </c>
      <c r="F13402" t="s">
        <v>88</v>
      </c>
      <c r="G13402" t="s">
        <v>88</v>
      </c>
      <c r="H13402" t="s">
        <v>92</v>
      </c>
    </row>
    <row r="13403" spans="1:8" x14ac:dyDescent="0.25">
      <c r="A13403" t="s">
        <v>377</v>
      </c>
      <c r="B13403" t="s">
        <v>10561</v>
      </c>
      <c r="C13403" t="s">
        <v>88</v>
      </c>
      <c r="D13403" t="s">
        <v>88</v>
      </c>
      <c r="E13403" t="s">
        <v>10562</v>
      </c>
      <c r="F13403" t="s">
        <v>88</v>
      </c>
      <c r="G13403" t="s">
        <v>88</v>
      </c>
      <c r="H13403" t="s">
        <v>92</v>
      </c>
    </row>
    <row r="13404" spans="1:8" x14ac:dyDescent="0.25">
      <c r="A13404" t="s">
        <v>377</v>
      </c>
      <c r="B13404" t="s">
        <v>10563</v>
      </c>
      <c r="C13404" t="s">
        <v>88</v>
      </c>
      <c r="D13404" t="s">
        <v>88</v>
      </c>
      <c r="E13404" t="s">
        <v>10560</v>
      </c>
      <c r="F13404" t="s">
        <v>88</v>
      </c>
      <c r="G13404" t="s">
        <v>88</v>
      </c>
      <c r="H13404" t="s">
        <v>92</v>
      </c>
    </row>
    <row r="13405" spans="1:8" x14ac:dyDescent="0.25">
      <c r="A13405" t="s">
        <v>377</v>
      </c>
      <c r="B13405" t="s">
        <v>10564</v>
      </c>
      <c r="C13405" t="s">
        <v>88</v>
      </c>
      <c r="D13405" t="s">
        <v>10565</v>
      </c>
      <c r="E13405" t="s">
        <v>10566</v>
      </c>
      <c r="F13405" t="s">
        <v>88</v>
      </c>
      <c r="G13405" t="s">
        <v>88</v>
      </c>
      <c r="H13405" t="s">
        <v>92</v>
      </c>
    </row>
    <row r="13406" spans="1:8" x14ac:dyDescent="0.25">
      <c r="A13406" t="s">
        <v>377</v>
      </c>
      <c r="B13406" t="s">
        <v>10567</v>
      </c>
      <c r="C13406" t="s">
        <v>88</v>
      </c>
      <c r="D13406" t="s">
        <v>88</v>
      </c>
      <c r="E13406" t="s">
        <v>10560</v>
      </c>
      <c r="F13406" t="s">
        <v>88</v>
      </c>
      <c r="G13406" t="s">
        <v>88</v>
      </c>
      <c r="H13406" t="s">
        <v>92</v>
      </c>
    </row>
    <row r="13407" spans="1:8" x14ac:dyDescent="0.25">
      <c r="A13407" t="s">
        <v>377</v>
      </c>
      <c r="B13407" t="s">
        <v>10568</v>
      </c>
      <c r="C13407" t="s">
        <v>88</v>
      </c>
      <c r="D13407" t="s">
        <v>88</v>
      </c>
      <c r="E13407" t="s">
        <v>10562</v>
      </c>
      <c r="F13407" t="s">
        <v>88</v>
      </c>
      <c r="G13407" t="s">
        <v>88</v>
      </c>
      <c r="H13407" t="s">
        <v>92</v>
      </c>
    </row>
    <row r="13408" spans="1:8" x14ac:dyDescent="0.25">
      <c r="A13408" t="s">
        <v>377</v>
      </c>
      <c r="B13408" t="s">
        <v>10569</v>
      </c>
      <c r="C13408" t="s">
        <v>88</v>
      </c>
      <c r="D13408" t="s">
        <v>88</v>
      </c>
      <c r="E13408" t="s">
        <v>10560</v>
      </c>
      <c r="F13408" t="s">
        <v>88</v>
      </c>
      <c r="G13408" t="s">
        <v>88</v>
      </c>
      <c r="H13408" t="s">
        <v>92</v>
      </c>
    </row>
    <row r="13409" spans="1:8" x14ac:dyDescent="0.25">
      <c r="A13409" t="s">
        <v>377</v>
      </c>
      <c r="B13409" t="s">
        <v>10530</v>
      </c>
      <c r="C13409" t="s">
        <v>88</v>
      </c>
      <c r="D13409" t="s">
        <v>88</v>
      </c>
      <c r="E13409" t="s">
        <v>10560</v>
      </c>
      <c r="F13409" t="s">
        <v>88</v>
      </c>
      <c r="G13409" t="s">
        <v>88</v>
      </c>
      <c r="H13409" t="s">
        <v>92</v>
      </c>
    </row>
    <row r="13410" spans="1:8" x14ac:dyDescent="0.25">
      <c r="A13410" t="s">
        <v>377</v>
      </c>
      <c r="B13410" t="s">
        <v>10570</v>
      </c>
      <c r="C13410" t="s">
        <v>88</v>
      </c>
      <c r="D13410" t="s">
        <v>88</v>
      </c>
      <c r="E13410" t="s">
        <v>10560</v>
      </c>
      <c r="F13410" t="s">
        <v>88</v>
      </c>
      <c r="G13410" t="s">
        <v>88</v>
      </c>
      <c r="H13410" t="s">
        <v>92</v>
      </c>
    </row>
    <row r="13411" spans="1:8" x14ac:dyDescent="0.25">
      <c r="A13411" t="s">
        <v>377</v>
      </c>
      <c r="B13411" t="s">
        <v>10571</v>
      </c>
      <c r="C13411" t="s">
        <v>88</v>
      </c>
      <c r="D13411" t="s">
        <v>10572</v>
      </c>
      <c r="E13411" t="s">
        <v>10573</v>
      </c>
      <c r="F13411" t="s">
        <v>88</v>
      </c>
      <c r="G13411" t="s">
        <v>88</v>
      </c>
      <c r="H13411" t="s">
        <v>92</v>
      </c>
    </row>
    <row r="13412" spans="1:8" x14ac:dyDescent="0.25">
      <c r="A13412" t="s">
        <v>377</v>
      </c>
      <c r="B13412" t="s">
        <v>10574</v>
      </c>
      <c r="C13412" t="s">
        <v>88</v>
      </c>
      <c r="D13412" t="s">
        <v>10575</v>
      </c>
      <c r="E13412" t="s">
        <v>10573</v>
      </c>
      <c r="F13412" t="s">
        <v>88</v>
      </c>
      <c r="G13412" t="s">
        <v>88</v>
      </c>
      <c r="H13412" t="s">
        <v>92</v>
      </c>
    </row>
    <row r="13413" spans="1:8" x14ac:dyDescent="0.25">
      <c r="A13413" t="s">
        <v>377</v>
      </c>
      <c r="B13413" t="s">
        <v>10576</v>
      </c>
      <c r="C13413" t="s">
        <v>88</v>
      </c>
      <c r="D13413" t="s">
        <v>10577</v>
      </c>
      <c r="E13413" t="s">
        <v>10573</v>
      </c>
      <c r="F13413" t="s">
        <v>88</v>
      </c>
      <c r="G13413" t="s">
        <v>88</v>
      </c>
      <c r="H13413" t="s">
        <v>92</v>
      </c>
    </row>
    <row r="13414" spans="1:8" x14ac:dyDescent="0.25">
      <c r="A13414" t="s">
        <v>377</v>
      </c>
      <c r="B13414" t="s">
        <v>10578</v>
      </c>
      <c r="C13414" t="s">
        <v>88</v>
      </c>
      <c r="D13414" t="s">
        <v>10579</v>
      </c>
      <c r="E13414" t="s">
        <v>10573</v>
      </c>
      <c r="F13414" t="s">
        <v>88</v>
      </c>
      <c r="G13414" t="s">
        <v>88</v>
      </c>
      <c r="H13414" t="s">
        <v>92</v>
      </c>
    </row>
    <row r="13415" spans="1:8" x14ac:dyDescent="0.25">
      <c r="A13415" t="s">
        <v>377</v>
      </c>
      <c r="B13415" t="s">
        <v>10580</v>
      </c>
      <c r="C13415" t="s">
        <v>88</v>
      </c>
      <c r="D13415" t="s">
        <v>10581</v>
      </c>
      <c r="E13415" t="s">
        <v>10573</v>
      </c>
      <c r="F13415" t="s">
        <v>88</v>
      </c>
      <c r="G13415" t="s">
        <v>88</v>
      </c>
      <c r="H13415" t="s">
        <v>92</v>
      </c>
    </row>
    <row r="13416" spans="1:8" x14ac:dyDescent="0.25">
      <c r="A13416" t="s">
        <v>377</v>
      </c>
      <c r="B13416" t="s">
        <v>10582</v>
      </c>
      <c r="C13416" t="s">
        <v>88</v>
      </c>
      <c r="D13416" t="s">
        <v>10583</v>
      </c>
      <c r="E13416" t="s">
        <v>10573</v>
      </c>
      <c r="F13416" t="s">
        <v>88</v>
      </c>
      <c r="G13416" t="s">
        <v>88</v>
      </c>
      <c r="H13416" t="s">
        <v>92</v>
      </c>
    </row>
    <row r="13417" spans="1:8" x14ac:dyDescent="0.25">
      <c r="A13417" t="s">
        <v>377</v>
      </c>
      <c r="B13417" t="s">
        <v>10584</v>
      </c>
      <c r="C13417" t="s">
        <v>88</v>
      </c>
      <c r="D13417" t="s">
        <v>10585</v>
      </c>
      <c r="E13417" t="s">
        <v>10573</v>
      </c>
      <c r="F13417" t="s">
        <v>88</v>
      </c>
      <c r="G13417" t="s">
        <v>88</v>
      </c>
      <c r="H13417" t="s">
        <v>92</v>
      </c>
    </row>
    <row r="13418" spans="1:8" x14ac:dyDescent="0.25">
      <c r="A13418" t="s">
        <v>377</v>
      </c>
      <c r="B13418" t="s">
        <v>10586</v>
      </c>
      <c r="C13418" t="s">
        <v>88</v>
      </c>
      <c r="D13418" t="s">
        <v>10587</v>
      </c>
      <c r="E13418" t="s">
        <v>10573</v>
      </c>
      <c r="F13418" t="s">
        <v>88</v>
      </c>
      <c r="G13418" t="s">
        <v>88</v>
      </c>
      <c r="H13418" t="s">
        <v>92</v>
      </c>
    </row>
    <row r="13419" spans="1:8" x14ac:dyDescent="0.25">
      <c r="A13419" t="s">
        <v>377</v>
      </c>
      <c r="B13419" t="s">
        <v>10504</v>
      </c>
      <c r="C13419" t="s">
        <v>88</v>
      </c>
      <c r="D13419" t="s">
        <v>10588</v>
      </c>
      <c r="E13419" t="s">
        <v>10573</v>
      </c>
      <c r="F13419" t="s">
        <v>88</v>
      </c>
      <c r="G13419" t="s">
        <v>88</v>
      </c>
      <c r="H13419" t="s">
        <v>92</v>
      </c>
    </row>
    <row r="13420" spans="1:8" x14ac:dyDescent="0.25">
      <c r="A13420" t="s">
        <v>377</v>
      </c>
      <c r="B13420" t="s">
        <v>10589</v>
      </c>
      <c r="C13420" t="s">
        <v>88</v>
      </c>
      <c r="D13420" t="s">
        <v>10590</v>
      </c>
      <c r="E13420" t="s">
        <v>10573</v>
      </c>
      <c r="F13420" t="s">
        <v>88</v>
      </c>
      <c r="G13420" t="s">
        <v>88</v>
      </c>
      <c r="H13420" t="s">
        <v>92</v>
      </c>
    </row>
    <row r="13421" spans="1:8" x14ac:dyDescent="0.25">
      <c r="A13421" t="s">
        <v>377</v>
      </c>
      <c r="B13421" t="s">
        <v>10591</v>
      </c>
      <c r="C13421" t="s">
        <v>88</v>
      </c>
      <c r="D13421" t="s">
        <v>10592</v>
      </c>
      <c r="E13421" t="s">
        <v>10573</v>
      </c>
      <c r="F13421" t="s">
        <v>88</v>
      </c>
      <c r="G13421" t="s">
        <v>88</v>
      </c>
      <c r="H13421" t="s">
        <v>92</v>
      </c>
    </row>
    <row r="13422" spans="1:8" x14ac:dyDescent="0.25">
      <c r="A13422" t="s">
        <v>377</v>
      </c>
      <c r="B13422" t="s">
        <v>10593</v>
      </c>
      <c r="C13422" t="s">
        <v>88</v>
      </c>
      <c r="D13422" t="s">
        <v>10594</v>
      </c>
      <c r="E13422" t="s">
        <v>10573</v>
      </c>
      <c r="F13422" t="s">
        <v>88</v>
      </c>
      <c r="G13422" t="s">
        <v>88</v>
      </c>
      <c r="H13422" t="s">
        <v>92</v>
      </c>
    </row>
    <row r="13423" spans="1:8" x14ac:dyDescent="0.25">
      <c r="A13423" t="s">
        <v>377</v>
      </c>
      <c r="B13423" t="s">
        <v>10595</v>
      </c>
      <c r="C13423" t="s">
        <v>88</v>
      </c>
      <c r="D13423" t="s">
        <v>10596</v>
      </c>
      <c r="E13423" t="s">
        <v>10573</v>
      </c>
      <c r="F13423" t="s">
        <v>88</v>
      </c>
      <c r="G13423" t="s">
        <v>88</v>
      </c>
      <c r="H13423" t="s">
        <v>92</v>
      </c>
    </row>
    <row r="13424" spans="1:8" x14ac:dyDescent="0.25">
      <c r="A13424" t="s">
        <v>377</v>
      </c>
      <c r="B13424" t="s">
        <v>10597</v>
      </c>
      <c r="C13424" t="s">
        <v>88</v>
      </c>
      <c r="D13424" t="s">
        <v>10598</v>
      </c>
      <c r="E13424" t="s">
        <v>10573</v>
      </c>
      <c r="F13424" t="s">
        <v>88</v>
      </c>
      <c r="G13424" t="s">
        <v>88</v>
      </c>
      <c r="H13424" t="s">
        <v>92</v>
      </c>
    </row>
    <row r="13425" spans="1:8" x14ac:dyDescent="0.25">
      <c r="A13425" t="s">
        <v>377</v>
      </c>
      <c r="B13425" t="s">
        <v>10599</v>
      </c>
      <c r="C13425" t="s">
        <v>88</v>
      </c>
      <c r="D13425" t="s">
        <v>10600</v>
      </c>
      <c r="E13425" t="s">
        <v>10573</v>
      </c>
      <c r="F13425" t="s">
        <v>88</v>
      </c>
      <c r="G13425" t="s">
        <v>88</v>
      </c>
      <c r="H13425" t="s">
        <v>92</v>
      </c>
    </row>
    <row r="13426" spans="1:8" x14ac:dyDescent="0.25">
      <c r="A13426" t="s">
        <v>377</v>
      </c>
      <c r="B13426" t="s">
        <v>10601</v>
      </c>
      <c r="C13426" t="s">
        <v>88</v>
      </c>
      <c r="D13426" t="s">
        <v>10602</v>
      </c>
      <c r="E13426" t="s">
        <v>10573</v>
      </c>
      <c r="F13426" t="s">
        <v>88</v>
      </c>
      <c r="G13426" t="s">
        <v>88</v>
      </c>
      <c r="H13426" t="s">
        <v>92</v>
      </c>
    </row>
    <row r="13427" spans="1:8" x14ac:dyDescent="0.25">
      <c r="A13427" t="s">
        <v>377</v>
      </c>
      <c r="B13427" t="s">
        <v>10603</v>
      </c>
      <c r="C13427" t="s">
        <v>88</v>
      </c>
      <c r="D13427" t="s">
        <v>10604</v>
      </c>
      <c r="E13427" t="s">
        <v>10573</v>
      </c>
      <c r="F13427" t="s">
        <v>88</v>
      </c>
      <c r="G13427" t="s">
        <v>88</v>
      </c>
      <c r="H13427" t="s">
        <v>92</v>
      </c>
    </row>
    <row r="13428" spans="1:8" x14ac:dyDescent="0.25">
      <c r="A13428" t="s">
        <v>377</v>
      </c>
      <c r="B13428" t="s">
        <v>10605</v>
      </c>
      <c r="C13428" t="s">
        <v>88</v>
      </c>
      <c r="D13428" t="s">
        <v>10606</v>
      </c>
      <c r="E13428" t="s">
        <v>10573</v>
      </c>
      <c r="F13428" t="s">
        <v>88</v>
      </c>
      <c r="G13428" t="s">
        <v>88</v>
      </c>
      <c r="H13428" t="s">
        <v>92</v>
      </c>
    </row>
    <row r="13429" spans="1:8" x14ac:dyDescent="0.25">
      <c r="A13429" t="s">
        <v>377</v>
      </c>
      <c r="B13429" t="s">
        <v>10607</v>
      </c>
      <c r="C13429" t="s">
        <v>88</v>
      </c>
      <c r="D13429" t="s">
        <v>10608</v>
      </c>
      <c r="E13429" t="s">
        <v>10573</v>
      </c>
      <c r="F13429" t="s">
        <v>88</v>
      </c>
      <c r="G13429" t="s">
        <v>88</v>
      </c>
      <c r="H13429" t="s">
        <v>92</v>
      </c>
    </row>
    <row r="13430" spans="1:8" x14ac:dyDescent="0.25">
      <c r="A13430" t="s">
        <v>377</v>
      </c>
      <c r="B13430" t="s">
        <v>10609</v>
      </c>
      <c r="C13430" t="s">
        <v>88</v>
      </c>
      <c r="D13430" t="s">
        <v>10610</v>
      </c>
      <c r="E13430" t="s">
        <v>10573</v>
      </c>
      <c r="F13430" t="s">
        <v>88</v>
      </c>
      <c r="G13430" t="s">
        <v>88</v>
      </c>
      <c r="H13430" t="s">
        <v>92</v>
      </c>
    </row>
    <row r="13431" spans="1:8" x14ac:dyDescent="0.25">
      <c r="A13431" t="s">
        <v>377</v>
      </c>
      <c r="B13431" t="s">
        <v>10611</v>
      </c>
      <c r="C13431" t="s">
        <v>88</v>
      </c>
      <c r="D13431" t="s">
        <v>10612</v>
      </c>
      <c r="E13431" t="s">
        <v>10573</v>
      </c>
      <c r="F13431" t="s">
        <v>88</v>
      </c>
      <c r="G13431" t="s">
        <v>88</v>
      </c>
      <c r="H13431" t="s">
        <v>92</v>
      </c>
    </row>
    <row r="13432" spans="1:8" x14ac:dyDescent="0.25">
      <c r="A13432" t="s">
        <v>377</v>
      </c>
      <c r="B13432" t="s">
        <v>10613</v>
      </c>
      <c r="C13432" t="s">
        <v>88</v>
      </c>
      <c r="D13432" t="s">
        <v>88</v>
      </c>
      <c r="E13432" t="s">
        <v>861</v>
      </c>
      <c r="F13432" t="s">
        <v>88</v>
      </c>
      <c r="G13432" t="s">
        <v>88</v>
      </c>
      <c r="H13432" t="s">
        <v>92</v>
      </c>
    </row>
    <row r="13433" spans="1:8" x14ac:dyDescent="0.25">
      <c r="A13433" t="s">
        <v>377</v>
      </c>
      <c r="B13433" t="s">
        <v>7753</v>
      </c>
      <c r="C13433" t="s">
        <v>88</v>
      </c>
      <c r="D13433" t="s">
        <v>88</v>
      </c>
      <c r="E13433" t="s">
        <v>10560</v>
      </c>
      <c r="F13433" t="s">
        <v>88</v>
      </c>
      <c r="G13433" t="s">
        <v>88</v>
      </c>
      <c r="H13433" t="s">
        <v>92</v>
      </c>
    </row>
    <row r="13434" spans="1:8" x14ac:dyDescent="0.25">
      <c r="A13434" t="s">
        <v>377</v>
      </c>
      <c r="B13434" t="s">
        <v>1125</v>
      </c>
      <c r="C13434" t="s">
        <v>88</v>
      </c>
      <c r="D13434" t="s">
        <v>88</v>
      </c>
      <c r="E13434" t="s">
        <v>1633</v>
      </c>
      <c r="F13434" t="s">
        <v>88</v>
      </c>
      <c r="G13434" t="s">
        <v>88</v>
      </c>
      <c r="H13434" t="s">
        <v>92</v>
      </c>
    </row>
    <row r="13435" spans="1:8" x14ac:dyDescent="0.25">
      <c r="A13435" t="s">
        <v>377</v>
      </c>
      <c r="B13435" t="s">
        <v>10614</v>
      </c>
      <c r="C13435" t="s">
        <v>88</v>
      </c>
      <c r="D13435" t="s">
        <v>88</v>
      </c>
      <c r="E13435" t="s">
        <v>10562</v>
      </c>
      <c r="F13435" t="s">
        <v>88</v>
      </c>
      <c r="G13435" t="s">
        <v>88</v>
      </c>
      <c r="H13435" t="s">
        <v>92</v>
      </c>
    </row>
    <row r="13436" spans="1:8" x14ac:dyDescent="0.25">
      <c r="A13436" t="s">
        <v>377</v>
      </c>
      <c r="B13436" t="s">
        <v>701</v>
      </c>
      <c r="C13436" t="s">
        <v>88</v>
      </c>
      <c r="D13436" t="s">
        <v>88</v>
      </c>
      <c r="E13436" t="s">
        <v>1633</v>
      </c>
      <c r="F13436" t="s">
        <v>88</v>
      </c>
      <c r="G13436" t="s">
        <v>88</v>
      </c>
      <c r="H13436" t="s">
        <v>92</v>
      </c>
    </row>
    <row r="13437" spans="1:8" x14ac:dyDescent="0.25">
      <c r="A13437" t="s">
        <v>377</v>
      </c>
      <c r="B13437" t="s">
        <v>1072</v>
      </c>
      <c r="C13437" t="s">
        <v>88</v>
      </c>
      <c r="D13437" t="s">
        <v>88</v>
      </c>
      <c r="E13437" t="s">
        <v>1633</v>
      </c>
      <c r="F13437" t="s">
        <v>88</v>
      </c>
      <c r="G13437" t="s">
        <v>88</v>
      </c>
      <c r="H13437" t="s">
        <v>92</v>
      </c>
    </row>
    <row r="13438" spans="1:8" x14ac:dyDescent="0.25">
      <c r="A13438" t="s">
        <v>377</v>
      </c>
      <c r="B13438" t="s">
        <v>705</v>
      </c>
      <c r="C13438" t="s">
        <v>88</v>
      </c>
      <c r="D13438" t="s">
        <v>88</v>
      </c>
      <c r="E13438" t="s">
        <v>1633</v>
      </c>
      <c r="F13438" t="s">
        <v>88</v>
      </c>
      <c r="G13438" t="s">
        <v>88</v>
      </c>
      <c r="H13438" t="s">
        <v>92</v>
      </c>
    </row>
    <row r="13439" spans="1:8" x14ac:dyDescent="0.25">
      <c r="A13439" t="s">
        <v>377</v>
      </c>
      <c r="B13439" t="s">
        <v>707</v>
      </c>
      <c r="C13439" t="s">
        <v>88</v>
      </c>
      <c r="D13439" t="s">
        <v>88</v>
      </c>
      <c r="E13439" t="s">
        <v>1633</v>
      </c>
      <c r="F13439" t="s">
        <v>88</v>
      </c>
      <c r="G13439" t="s">
        <v>88</v>
      </c>
      <c r="H13439" t="s">
        <v>92</v>
      </c>
    </row>
    <row r="13440" spans="1:8" x14ac:dyDescent="0.25">
      <c r="A13440" t="s">
        <v>377</v>
      </c>
      <c r="B13440" t="s">
        <v>1820</v>
      </c>
      <c r="C13440" t="s">
        <v>88</v>
      </c>
      <c r="D13440" t="s">
        <v>88</v>
      </c>
      <c r="E13440" t="s">
        <v>10615</v>
      </c>
      <c r="F13440" t="s">
        <v>88</v>
      </c>
      <c r="G13440" t="s">
        <v>88</v>
      </c>
      <c r="H13440" t="s">
        <v>92</v>
      </c>
    </row>
    <row r="13441" spans="1:8" x14ac:dyDescent="0.25">
      <c r="A13441" t="s">
        <v>377</v>
      </c>
      <c r="B13441" t="s">
        <v>10616</v>
      </c>
      <c r="C13441" t="s">
        <v>88</v>
      </c>
      <c r="D13441" t="s">
        <v>88</v>
      </c>
      <c r="E13441" t="s">
        <v>1625</v>
      </c>
      <c r="F13441" t="s">
        <v>88</v>
      </c>
      <c r="G13441" t="s">
        <v>88</v>
      </c>
      <c r="H13441" t="s">
        <v>92</v>
      </c>
    </row>
    <row r="13442" spans="1:8" x14ac:dyDescent="0.25">
      <c r="A13442" t="s">
        <v>377</v>
      </c>
      <c r="B13442" t="s">
        <v>622</v>
      </c>
      <c r="C13442" t="s">
        <v>88</v>
      </c>
      <c r="D13442" t="s">
        <v>88</v>
      </c>
      <c r="E13442" t="s">
        <v>10617</v>
      </c>
      <c r="F13442" t="s">
        <v>88</v>
      </c>
      <c r="G13442" t="s">
        <v>88</v>
      </c>
      <c r="H13442" t="s">
        <v>92</v>
      </c>
    </row>
    <row r="13443" spans="1:8" x14ac:dyDescent="0.25">
      <c r="A13443" t="s">
        <v>377</v>
      </c>
      <c r="B13443" t="s">
        <v>623</v>
      </c>
      <c r="C13443" t="s">
        <v>88</v>
      </c>
      <c r="D13443" t="s">
        <v>88</v>
      </c>
      <c r="E13443" t="s">
        <v>10618</v>
      </c>
      <c r="F13443" t="s">
        <v>88</v>
      </c>
      <c r="G13443" t="s">
        <v>88</v>
      </c>
      <c r="H13443" t="s">
        <v>92</v>
      </c>
    </row>
    <row r="13444" spans="1:8" x14ac:dyDescent="0.25">
      <c r="A13444" t="s">
        <v>377</v>
      </c>
      <c r="B13444" t="s">
        <v>714</v>
      </c>
      <c r="C13444" t="s">
        <v>88</v>
      </c>
      <c r="D13444" t="s">
        <v>88</v>
      </c>
      <c r="E13444" t="s">
        <v>10562</v>
      </c>
      <c r="F13444" t="s">
        <v>88</v>
      </c>
      <c r="G13444" t="s">
        <v>88</v>
      </c>
      <c r="H13444" t="s">
        <v>92</v>
      </c>
    </row>
    <row r="13445" spans="1:8" x14ac:dyDescent="0.25">
      <c r="A13445" t="s">
        <v>377</v>
      </c>
      <c r="B13445" t="s">
        <v>1075</v>
      </c>
      <c r="C13445" t="s">
        <v>88</v>
      </c>
      <c r="D13445" t="s">
        <v>88</v>
      </c>
      <c r="E13445" t="s">
        <v>10562</v>
      </c>
      <c r="F13445" t="s">
        <v>88</v>
      </c>
      <c r="G13445" t="s">
        <v>88</v>
      </c>
      <c r="H13445" t="s">
        <v>92</v>
      </c>
    </row>
    <row r="13446" spans="1:8" x14ac:dyDescent="0.25">
      <c r="A13446" t="s">
        <v>377</v>
      </c>
      <c r="B13446" t="s">
        <v>998</v>
      </c>
      <c r="C13446" t="s">
        <v>88</v>
      </c>
      <c r="D13446" t="s">
        <v>88</v>
      </c>
      <c r="E13446" t="s">
        <v>10562</v>
      </c>
      <c r="F13446" t="s">
        <v>88</v>
      </c>
      <c r="G13446" t="s">
        <v>88</v>
      </c>
      <c r="H13446" t="s">
        <v>92</v>
      </c>
    </row>
    <row r="13447" spans="1:8" x14ac:dyDescent="0.25">
      <c r="A13447" t="s">
        <v>377</v>
      </c>
      <c r="B13447" t="s">
        <v>10619</v>
      </c>
      <c r="C13447" t="s">
        <v>88</v>
      </c>
      <c r="D13447" t="s">
        <v>10620</v>
      </c>
      <c r="E13447" t="s">
        <v>10621</v>
      </c>
      <c r="F13447" t="s">
        <v>88</v>
      </c>
      <c r="G13447" t="s">
        <v>88</v>
      </c>
      <c r="H13447" t="s">
        <v>92</v>
      </c>
    </row>
    <row r="13448" spans="1:8" x14ac:dyDescent="0.25">
      <c r="A13448" t="s">
        <v>377</v>
      </c>
      <c r="B13448" t="s">
        <v>10622</v>
      </c>
      <c r="C13448" t="s">
        <v>88</v>
      </c>
      <c r="D13448" t="s">
        <v>10623</v>
      </c>
      <c r="E13448" t="s">
        <v>10624</v>
      </c>
      <c r="F13448" t="s">
        <v>88</v>
      </c>
      <c r="G13448" t="s">
        <v>88</v>
      </c>
      <c r="H13448" t="s">
        <v>92</v>
      </c>
    </row>
    <row r="13449" spans="1:8" x14ac:dyDescent="0.25">
      <c r="A13449" t="s">
        <v>377</v>
      </c>
      <c r="B13449" t="s">
        <v>5359</v>
      </c>
      <c r="C13449" t="s">
        <v>88</v>
      </c>
      <c r="D13449" t="s">
        <v>10625</v>
      </c>
      <c r="E13449" t="s">
        <v>10624</v>
      </c>
      <c r="F13449" t="s">
        <v>88</v>
      </c>
      <c r="G13449" t="s">
        <v>88</v>
      </c>
      <c r="H13449" t="s">
        <v>92</v>
      </c>
    </row>
    <row r="13450" spans="1:8" x14ac:dyDescent="0.25">
      <c r="A13450" t="s">
        <v>377</v>
      </c>
      <c r="B13450" t="s">
        <v>10626</v>
      </c>
      <c r="C13450" t="s">
        <v>88</v>
      </c>
      <c r="D13450" t="s">
        <v>10627</v>
      </c>
      <c r="E13450" t="s">
        <v>10624</v>
      </c>
      <c r="F13450" t="s">
        <v>88</v>
      </c>
      <c r="G13450" t="s">
        <v>88</v>
      </c>
      <c r="H13450" t="s">
        <v>92</v>
      </c>
    </row>
    <row r="13451" spans="1:8" x14ac:dyDescent="0.25">
      <c r="A13451" t="s">
        <v>377</v>
      </c>
      <c r="B13451" t="s">
        <v>625</v>
      </c>
      <c r="C13451" t="s">
        <v>88</v>
      </c>
      <c r="D13451" t="s">
        <v>88</v>
      </c>
      <c r="E13451" t="s">
        <v>626</v>
      </c>
      <c r="F13451" t="s">
        <v>88</v>
      </c>
      <c r="G13451" t="s">
        <v>88</v>
      </c>
      <c r="H13451" t="s">
        <v>92</v>
      </c>
    </row>
    <row r="13452" spans="1:8" x14ac:dyDescent="0.25">
      <c r="A13452" t="s">
        <v>379</v>
      </c>
      <c r="B13452" t="s">
        <v>10628</v>
      </c>
      <c r="C13452" t="s">
        <v>88</v>
      </c>
      <c r="D13452" t="s">
        <v>10629</v>
      </c>
      <c r="E13452" t="s">
        <v>1526</v>
      </c>
      <c r="F13452" t="s">
        <v>88</v>
      </c>
      <c r="G13452" t="s">
        <v>88</v>
      </c>
      <c r="H13452" t="s">
        <v>92</v>
      </c>
    </row>
    <row r="13453" spans="1:8" x14ac:dyDescent="0.25">
      <c r="A13453" t="s">
        <v>379</v>
      </c>
      <c r="B13453" t="s">
        <v>10630</v>
      </c>
      <c r="C13453" t="s">
        <v>88</v>
      </c>
      <c r="D13453" t="s">
        <v>10631</v>
      </c>
      <c r="E13453" t="s">
        <v>7502</v>
      </c>
      <c r="F13453" t="s">
        <v>88</v>
      </c>
      <c r="G13453" t="s">
        <v>88</v>
      </c>
      <c r="H13453" t="s">
        <v>92</v>
      </c>
    </row>
    <row r="13454" spans="1:8" x14ac:dyDescent="0.25">
      <c r="A13454" t="s">
        <v>379</v>
      </c>
      <c r="B13454" t="s">
        <v>10632</v>
      </c>
      <c r="C13454" t="s">
        <v>88</v>
      </c>
      <c r="D13454" t="s">
        <v>10633</v>
      </c>
      <c r="E13454" t="s">
        <v>2925</v>
      </c>
      <c r="F13454" t="s">
        <v>88</v>
      </c>
      <c r="G13454" t="s">
        <v>88</v>
      </c>
      <c r="H13454" t="s">
        <v>92</v>
      </c>
    </row>
    <row r="13455" spans="1:8" x14ac:dyDescent="0.25">
      <c r="A13455" t="s">
        <v>379</v>
      </c>
      <c r="B13455" t="s">
        <v>10634</v>
      </c>
      <c r="C13455" t="s">
        <v>88</v>
      </c>
      <c r="D13455" t="s">
        <v>10635</v>
      </c>
      <c r="E13455" t="s">
        <v>10636</v>
      </c>
      <c r="F13455" t="s">
        <v>88</v>
      </c>
      <c r="G13455" t="s">
        <v>88</v>
      </c>
      <c r="H13455" t="s">
        <v>92</v>
      </c>
    </row>
    <row r="13456" spans="1:8" x14ac:dyDescent="0.25">
      <c r="A13456" t="s">
        <v>379</v>
      </c>
      <c r="B13456" t="s">
        <v>8619</v>
      </c>
      <c r="C13456" t="s">
        <v>88</v>
      </c>
      <c r="D13456" t="s">
        <v>10637</v>
      </c>
      <c r="E13456" t="s">
        <v>2913</v>
      </c>
      <c r="F13456" t="s">
        <v>88</v>
      </c>
      <c r="G13456" t="s">
        <v>88</v>
      </c>
      <c r="H13456" t="s">
        <v>92</v>
      </c>
    </row>
    <row r="13457" spans="1:8" x14ac:dyDescent="0.25">
      <c r="A13457" t="s">
        <v>379</v>
      </c>
      <c r="B13457" t="s">
        <v>10638</v>
      </c>
      <c r="C13457" t="s">
        <v>88</v>
      </c>
      <c r="D13457" t="s">
        <v>10639</v>
      </c>
      <c r="E13457" t="s">
        <v>10640</v>
      </c>
      <c r="F13457" t="s">
        <v>88</v>
      </c>
      <c r="G13457" t="s">
        <v>88</v>
      </c>
      <c r="H13457" t="s">
        <v>92</v>
      </c>
    </row>
    <row r="13458" spans="1:8" x14ac:dyDescent="0.25">
      <c r="A13458" t="s">
        <v>379</v>
      </c>
      <c r="B13458" t="s">
        <v>10641</v>
      </c>
      <c r="C13458" t="s">
        <v>88</v>
      </c>
      <c r="D13458" t="s">
        <v>10642</v>
      </c>
      <c r="E13458" t="s">
        <v>3724</v>
      </c>
      <c r="F13458" t="s">
        <v>88</v>
      </c>
      <c r="G13458" t="s">
        <v>88</v>
      </c>
      <c r="H13458" t="s">
        <v>92</v>
      </c>
    </row>
    <row r="13459" spans="1:8" x14ac:dyDescent="0.25">
      <c r="A13459" t="s">
        <v>379</v>
      </c>
      <c r="B13459" t="s">
        <v>10643</v>
      </c>
      <c r="C13459" t="s">
        <v>88</v>
      </c>
      <c r="D13459" t="s">
        <v>10644</v>
      </c>
      <c r="E13459" t="s">
        <v>2925</v>
      </c>
      <c r="F13459" t="s">
        <v>88</v>
      </c>
      <c r="G13459" t="s">
        <v>88</v>
      </c>
      <c r="H13459" t="s">
        <v>92</v>
      </c>
    </row>
    <row r="13460" spans="1:8" x14ac:dyDescent="0.25">
      <c r="A13460" t="s">
        <v>379</v>
      </c>
      <c r="B13460" t="s">
        <v>10645</v>
      </c>
      <c r="C13460" t="s">
        <v>88</v>
      </c>
      <c r="D13460" t="s">
        <v>10646</v>
      </c>
      <c r="E13460" t="s">
        <v>1414</v>
      </c>
      <c r="F13460" t="s">
        <v>88</v>
      </c>
      <c r="G13460" t="s">
        <v>88</v>
      </c>
      <c r="H13460" t="s">
        <v>92</v>
      </c>
    </row>
    <row r="13461" spans="1:8" x14ac:dyDescent="0.25">
      <c r="A13461" t="s">
        <v>379</v>
      </c>
      <c r="B13461" t="s">
        <v>10647</v>
      </c>
      <c r="C13461" t="s">
        <v>88</v>
      </c>
      <c r="D13461" t="s">
        <v>10648</v>
      </c>
      <c r="E13461" t="s">
        <v>1414</v>
      </c>
      <c r="F13461" t="s">
        <v>88</v>
      </c>
      <c r="G13461" t="s">
        <v>88</v>
      </c>
      <c r="H13461" t="s">
        <v>92</v>
      </c>
    </row>
    <row r="13462" spans="1:8" x14ac:dyDescent="0.25">
      <c r="A13462" t="s">
        <v>379</v>
      </c>
      <c r="B13462" t="s">
        <v>10649</v>
      </c>
      <c r="C13462" t="s">
        <v>88</v>
      </c>
      <c r="D13462" t="s">
        <v>10650</v>
      </c>
      <c r="E13462" t="s">
        <v>1462</v>
      </c>
      <c r="F13462" t="s">
        <v>88</v>
      </c>
      <c r="G13462" t="s">
        <v>88</v>
      </c>
      <c r="H13462" t="s">
        <v>92</v>
      </c>
    </row>
    <row r="13463" spans="1:8" x14ac:dyDescent="0.25">
      <c r="A13463" t="s">
        <v>379</v>
      </c>
      <c r="B13463" t="s">
        <v>10651</v>
      </c>
      <c r="C13463" t="s">
        <v>88</v>
      </c>
      <c r="D13463" t="s">
        <v>10652</v>
      </c>
      <c r="E13463" t="s">
        <v>2925</v>
      </c>
      <c r="F13463" t="s">
        <v>88</v>
      </c>
      <c r="G13463" t="s">
        <v>88</v>
      </c>
      <c r="H13463" t="s">
        <v>92</v>
      </c>
    </row>
    <row r="13464" spans="1:8" x14ac:dyDescent="0.25">
      <c r="A13464" t="s">
        <v>379</v>
      </c>
      <c r="B13464" t="s">
        <v>10653</v>
      </c>
      <c r="C13464" t="s">
        <v>88</v>
      </c>
      <c r="D13464" t="s">
        <v>10654</v>
      </c>
      <c r="E13464" t="s">
        <v>1427</v>
      </c>
      <c r="F13464" t="s">
        <v>88</v>
      </c>
      <c r="G13464" t="s">
        <v>88</v>
      </c>
      <c r="H13464" t="s">
        <v>92</v>
      </c>
    </row>
    <row r="13465" spans="1:8" x14ac:dyDescent="0.25">
      <c r="A13465" t="s">
        <v>379</v>
      </c>
      <c r="B13465" t="s">
        <v>10655</v>
      </c>
      <c r="C13465" t="s">
        <v>88</v>
      </c>
      <c r="D13465" t="s">
        <v>10656</v>
      </c>
      <c r="E13465" t="s">
        <v>2895</v>
      </c>
      <c r="F13465" t="s">
        <v>88</v>
      </c>
      <c r="G13465" t="s">
        <v>88</v>
      </c>
      <c r="H13465" t="s">
        <v>92</v>
      </c>
    </row>
    <row r="13466" spans="1:8" x14ac:dyDescent="0.25">
      <c r="A13466" t="s">
        <v>379</v>
      </c>
      <c r="B13466" t="s">
        <v>7547</v>
      </c>
      <c r="C13466" t="s">
        <v>88</v>
      </c>
      <c r="D13466" t="s">
        <v>10657</v>
      </c>
      <c r="E13466" t="s">
        <v>1430</v>
      </c>
      <c r="F13466" t="s">
        <v>88</v>
      </c>
      <c r="G13466" t="s">
        <v>88</v>
      </c>
      <c r="H13466" t="s">
        <v>92</v>
      </c>
    </row>
    <row r="13467" spans="1:8" x14ac:dyDescent="0.25">
      <c r="A13467" t="s">
        <v>379</v>
      </c>
      <c r="B13467" t="s">
        <v>10658</v>
      </c>
      <c r="C13467" t="s">
        <v>88</v>
      </c>
      <c r="D13467" t="s">
        <v>10659</v>
      </c>
      <c r="E13467" t="s">
        <v>2913</v>
      </c>
      <c r="F13467" t="s">
        <v>88</v>
      </c>
      <c r="G13467" t="s">
        <v>88</v>
      </c>
      <c r="H13467" t="s">
        <v>92</v>
      </c>
    </row>
    <row r="13468" spans="1:8" x14ac:dyDescent="0.25">
      <c r="A13468" t="s">
        <v>379</v>
      </c>
      <c r="B13468" t="s">
        <v>10660</v>
      </c>
      <c r="C13468" t="s">
        <v>88</v>
      </c>
      <c r="D13468" t="s">
        <v>10661</v>
      </c>
      <c r="E13468" t="s">
        <v>10662</v>
      </c>
      <c r="F13468" t="s">
        <v>88</v>
      </c>
      <c r="G13468" t="s">
        <v>88</v>
      </c>
      <c r="H13468" t="s">
        <v>92</v>
      </c>
    </row>
    <row r="13469" spans="1:8" x14ac:dyDescent="0.25">
      <c r="A13469" t="s">
        <v>379</v>
      </c>
      <c r="B13469" t="s">
        <v>10663</v>
      </c>
      <c r="C13469" t="s">
        <v>88</v>
      </c>
      <c r="D13469" t="s">
        <v>10664</v>
      </c>
      <c r="E13469" t="s">
        <v>6765</v>
      </c>
      <c r="F13469" t="s">
        <v>88</v>
      </c>
      <c r="G13469" t="s">
        <v>88</v>
      </c>
      <c r="H13469" t="s">
        <v>92</v>
      </c>
    </row>
    <row r="13470" spans="1:8" x14ac:dyDescent="0.25">
      <c r="A13470" t="s">
        <v>379</v>
      </c>
      <c r="B13470" t="s">
        <v>10665</v>
      </c>
      <c r="C13470" t="s">
        <v>88</v>
      </c>
      <c r="D13470" t="s">
        <v>10666</v>
      </c>
      <c r="E13470" t="s">
        <v>10667</v>
      </c>
      <c r="F13470" t="s">
        <v>88</v>
      </c>
      <c r="G13470" t="s">
        <v>88</v>
      </c>
      <c r="H13470" t="s">
        <v>92</v>
      </c>
    </row>
    <row r="13471" spans="1:8" x14ac:dyDescent="0.25">
      <c r="A13471" t="s">
        <v>379</v>
      </c>
      <c r="B13471" t="s">
        <v>10668</v>
      </c>
      <c r="C13471" t="s">
        <v>88</v>
      </c>
      <c r="D13471" t="s">
        <v>10669</v>
      </c>
      <c r="E13471" t="s">
        <v>2888</v>
      </c>
      <c r="F13471" t="s">
        <v>88</v>
      </c>
      <c r="G13471" t="s">
        <v>88</v>
      </c>
      <c r="H13471" t="s">
        <v>92</v>
      </c>
    </row>
    <row r="13472" spans="1:8" x14ac:dyDescent="0.25">
      <c r="A13472" t="s">
        <v>379</v>
      </c>
      <c r="B13472" t="s">
        <v>10670</v>
      </c>
      <c r="C13472" t="s">
        <v>88</v>
      </c>
      <c r="D13472" t="s">
        <v>10671</v>
      </c>
      <c r="E13472" t="s">
        <v>1436</v>
      </c>
      <c r="F13472" t="s">
        <v>88</v>
      </c>
      <c r="G13472" t="s">
        <v>88</v>
      </c>
      <c r="H13472" t="s">
        <v>92</v>
      </c>
    </row>
    <row r="13473" spans="1:8" x14ac:dyDescent="0.25">
      <c r="A13473" t="s">
        <v>379</v>
      </c>
      <c r="B13473" t="s">
        <v>10672</v>
      </c>
      <c r="C13473" t="s">
        <v>88</v>
      </c>
      <c r="D13473" t="s">
        <v>10673</v>
      </c>
      <c r="E13473" t="s">
        <v>1052</v>
      </c>
      <c r="F13473" t="s">
        <v>88</v>
      </c>
      <c r="G13473" t="s">
        <v>88</v>
      </c>
      <c r="H13473" t="s">
        <v>92</v>
      </c>
    </row>
    <row r="13474" spans="1:8" x14ac:dyDescent="0.25">
      <c r="A13474" t="s">
        <v>379</v>
      </c>
      <c r="B13474" t="s">
        <v>7436</v>
      </c>
      <c r="C13474" t="s">
        <v>88</v>
      </c>
      <c r="D13474" t="s">
        <v>10674</v>
      </c>
      <c r="E13474" t="s">
        <v>3810</v>
      </c>
      <c r="F13474" t="s">
        <v>88</v>
      </c>
      <c r="G13474" t="s">
        <v>88</v>
      </c>
      <c r="H13474" t="s">
        <v>92</v>
      </c>
    </row>
    <row r="13475" spans="1:8" x14ac:dyDescent="0.25">
      <c r="A13475" t="s">
        <v>379</v>
      </c>
      <c r="B13475" t="s">
        <v>10675</v>
      </c>
      <c r="C13475" t="s">
        <v>88</v>
      </c>
      <c r="D13475" t="s">
        <v>10676</v>
      </c>
      <c r="E13475" t="s">
        <v>3766</v>
      </c>
      <c r="F13475" t="s">
        <v>88</v>
      </c>
      <c r="G13475" t="s">
        <v>88</v>
      </c>
      <c r="H13475" t="s">
        <v>92</v>
      </c>
    </row>
    <row r="13476" spans="1:8" x14ac:dyDescent="0.25">
      <c r="A13476" t="s">
        <v>379</v>
      </c>
      <c r="B13476" t="s">
        <v>10677</v>
      </c>
      <c r="C13476" t="s">
        <v>88</v>
      </c>
      <c r="D13476" t="s">
        <v>10678</v>
      </c>
      <c r="E13476" t="s">
        <v>10679</v>
      </c>
      <c r="F13476" t="s">
        <v>88</v>
      </c>
      <c r="G13476" t="s">
        <v>88</v>
      </c>
      <c r="H13476" t="s">
        <v>92</v>
      </c>
    </row>
    <row r="13477" spans="1:8" x14ac:dyDescent="0.25">
      <c r="A13477" t="s">
        <v>379</v>
      </c>
      <c r="B13477" t="s">
        <v>10680</v>
      </c>
      <c r="C13477" t="s">
        <v>88</v>
      </c>
      <c r="D13477" t="s">
        <v>10681</v>
      </c>
      <c r="E13477" t="s">
        <v>10667</v>
      </c>
      <c r="F13477" t="s">
        <v>88</v>
      </c>
      <c r="G13477" t="s">
        <v>88</v>
      </c>
      <c r="H13477" t="s">
        <v>92</v>
      </c>
    </row>
    <row r="13478" spans="1:8" x14ac:dyDescent="0.25">
      <c r="A13478" t="s">
        <v>379</v>
      </c>
      <c r="B13478" t="s">
        <v>10682</v>
      </c>
      <c r="C13478" t="s">
        <v>88</v>
      </c>
      <c r="D13478" t="s">
        <v>10683</v>
      </c>
      <c r="E13478" t="s">
        <v>10684</v>
      </c>
      <c r="F13478" t="s">
        <v>88</v>
      </c>
      <c r="G13478" t="s">
        <v>88</v>
      </c>
      <c r="H13478" t="s">
        <v>92</v>
      </c>
    </row>
    <row r="13479" spans="1:8" x14ac:dyDescent="0.25">
      <c r="A13479" t="s">
        <v>379</v>
      </c>
      <c r="B13479" t="s">
        <v>10685</v>
      </c>
      <c r="C13479" t="s">
        <v>88</v>
      </c>
      <c r="D13479" t="s">
        <v>10686</v>
      </c>
      <c r="E13479" t="s">
        <v>3773</v>
      </c>
      <c r="F13479" t="s">
        <v>88</v>
      </c>
      <c r="G13479" t="s">
        <v>88</v>
      </c>
      <c r="H13479" t="s">
        <v>92</v>
      </c>
    </row>
    <row r="13480" spans="1:8" x14ac:dyDescent="0.25">
      <c r="A13480" t="s">
        <v>379</v>
      </c>
      <c r="B13480" t="s">
        <v>10687</v>
      </c>
      <c r="C13480" t="s">
        <v>88</v>
      </c>
      <c r="D13480" t="s">
        <v>10674</v>
      </c>
      <c r="E13480" t="s">
        <v>10688</v>
      </c>
      <c r="F13480" t="s">
        <v>88</v>
      </c>
      <c r="G13480" t="s">
        <v>88</v>
      </c>
      <c r="H13480" t="s">
        <v>92</v>
      </c>
    </row>
    <row r="13481" spans="1:8" x14ac:dyDescent="0.25">
      <c r="A13481" t="s">
        <v>379</v>
      </c>
      <c r="B13481" t="s">
        <v>10689</v>
      </c>
      <c r="C13481" t="s">
        <v>88</v>
      </c>
      <c r="D13481" t="s">
        <v>10690</v>
      </c>
      <c r="E13481" t="s">
        <v>10691</v>
      </c>
      <c r="F13481" t="s">
        <v>88</v>
      </c>
      <c r="G13481" t="s">
        <v>88</v>
      </c>
      <c r="H13481" t="s">
        <v>92</v>
      </c>
    </row>
    <row r="13482" spans="1:8" x14ac:dyDescent="0.25">
      <c r="A13482" t="s">
        <v>379</v>
      </c>
      <c r="B13482" t="s">
        <v>10692</v>
      </c>
      <c r="C13482" t="s">
        <v>88</v>
      </c>
      <c r="D13482" t="s">
        <v>10693</v>
      </c>
      <c r="E13482" t="s">
        <v>10694</v>
      </c>
      <c r="F13482" t="s">
        <v>88</v>
      </c>
      <c r="G13482" t="s">
        <v>88</v>
      </c>
      <c r="H13482" t="s">
        <v>92</v>
      </c>
    </row>
    <row r="13483" spans="1:8" x14ac:dyDescent="0.25">
      <c r="A13483" t="s">
        <v>379</v>
      </c>
      <c r="B13483" t="s">
        <v>10695</v>
      </c>
      <c r="C13483" t="s">
        <v>88</v>
      </c>
      <c r="D13483" t="s">
        <v>10696</v>
      </c>
      <c r="E13483" t="s">
        <v>1452</v>
      </c>
      <c r="F13483" t="s">
        <v>88</v>
      </c>
      <c r="G13483" t="s">
        <v>88</v>
      </c>
      <c r="H13483" t="s">
        <v>92</v>
      </c>
    </row>
    <row r="13484" spans="1:8" x14ac:dyDescent="0.25">
      <c r="A13484" t="s">
        <v>379</v>
      </c>
      <c r="B13484" t="s">
        <v>10697</v>
      </c>
      <c r="C13484" t="s">
        <v>88</v>
      </c>
      <c r="D13484" t="s">
        <v>10698</v>
      </c>
      <c r="E13484" t="s">
        <v>2925</v>
      </c>
      <c r="F13484" t="s">
        <v>88</v>
      </c>
      <c r="G13484" t="s">
        <v>88</v>
      </c>
      <c r="H13484" t="s">
        <v>92</v>
      </c>
    </row>
    <row r="13485" spans="1:8" x14ac:dyDescent="0.25">
      <c r="A13485" t="s">
        <v>379</v>
      </c>
      <c r="B13485" t="s">
        <v>8634</v>
      </c>
      <c r="C13485" t="s">
        <v>88</v>
      </c>
      <c r="D13485" t="s">
        <v>10699</v>
      </c>
      <c r="E13485" t="s">
        <v>3164</v>
      </c>
      <c r="F13485" t="s">
        <v>88</v>
      </c>
      <c r="G13485" t="s">
        <v>88</v>
      </c>
      <c r="H13485" t="s">
        <v>92</v>
      </c>
    </row>
    <row r="13486" spans="1:8" x14ac:dyDescent="0.25">
      <c r="A13486" t="s">
        <v>379</v>
      </c>
      <c r="B13486" t="s">
        <v>10700</v>
      </c>
      <c r="C13486" t="s">
        <v>88</v>
      </c>
      <c r="D13486" t="s">
        <v>10701</v>
      </c>
      <c r="E13486" t="s">
        <v>10662</v>
      </c>
      <c r="F13486" t="s">
        <v>88</v>
      </c>
      <c r="G13486" t="s">
        <v>88</v>
      </c>
      <c r="H13486" t="s">
        <v>92</v>
      </c>
    </row>
    <row r="13487" spans="1:8" x14ac:dyDescent="0.25">
      <c r="A13487" t="s">
        <v>379</v>
      </c>
      <c r="B13487" t="s">
        <v>10702</v>
      </c>
      <c r="C13487" t="s">
        <v>88</v>
      </c>
      <c r="D13487" t="s">
        <v>10703</v>
      </c>
      <c r="E13487" t="s">
        <v>6123</v>
      </c>
      <c r="F13487" t="s">
        <v>88</v>
      </c>
      <c r="G13487" t="s">
        <v>88</v>
      </c>
      <c r="H13487" t="s">
        <v>92</v>
      </c>
    </row>
    <row r="13488" spans="1:8" x14ac:dyDescent="0.25">
      <c r="A13488" t="s">
        <v>379</v>
      </c>
      <c r="B13488" t="s">
        <v>10704</v>
      </c>
      <c r="C13488" t="s">
        <v>88</v>
      </c>
      <c r="D13488" t="s">
        <v>10705</v>
      </c>
      <c r="E13488" t="s">
        <v>9443</v>
      </c>
      <c r="F13488" t="s">
        <v>88</v>
      </c>
      <c r="G13488" t="s">
        <v>88</v>
      </c>
      <c r="H13488" t="s">
        <v>92</v>
      </c>
    </row>
    <row r="13489" spans="1:8" x14ac:dyDescent="0.25">
      <c r="A13489" t="s">
        <v>379</v>
      </c>
      <c r="B13489" t="s">
        <v>10706</v>
      </c>
      <c r="C13489" t="s">
        <v>88</v>
      </c>
      <c r="D13489" t="s">
        <v>10707</v>
      </c>
      <c r="E13489" t="s">
        <v>10708</v>
      </c>
      <c r="F13489" t="s">
        <v>88</v>
      </c>
      <c r="G13489" t="s">
        <v>88</v>
      </c>
      <c r="H13489" t="s">
        <v>92</v>
      </c>
    </row>
    <row r="13490" spans="1:8" x14ac:dyDescent="0.25">
      <c r="A13490" t="s">
        <v>379</v>
      </c>
      <c r="B13490" t="s">
        <v>4158</v>
      </c>
      <c r="C13490" t="s">
        <v>88</v>
      </c>
      <c r="D13490" t="s">
        <v>10709</v>
      </c>
      <c r="E13490" t="s">
        <v>1481</v>
      </c>
      <c r="F13490" t="s">
        <v>88</v>
      </c>
      <c r="G13490" t="s">
        <v>88</v>
      </c>
      <c r="H13490" t="s">
        <v>92</v>
      </c>
    </row>
    <row r="13491" spans="1:8" x14ac:dyDescent="0.25">
      <c r="A13491" t="s">
        <v>379</v>
      </c>
      <c r="B13491" t="s">
        <v>10710</v>
      </c>
      <c r="C13491" t="s">
        <v>88</v>
      </c>
      <c r="D13491" t="s">
        <v>10711</v>
      </c>
      <c r="E13491" t="s">
        <v>1475</v>
      </c>
      <c r="F13491" t="s">
        <v>88</v>
      </c>
      <c r="G13491" t="s">
        <v>88</v>
      </c>
      <c r="H13491" t="s">
        <v>92</v>
      </c>
    </row>
    <row r="13492" spans="1:8" x14ac:dyDescent="0.25">
      <c r="A13492" t="s">
        <v>379</v>
      </c>
      <c r="B13492" t="s">
        <v>2586</v>
      </c>
      <c r="C13492" t="s">
        <v>88</v>
      </c>
      <c r="D13492" t="s">
        <v>10712</v>
      </c>
      <c r="E13492" t="s">
        <v>1420</v>
      </c>
      <c r="F13492" t="s">
        <v>88</v>
      </c>
      <c r="G13492" t="s">
        <v>88</v>
      </c>
      <c r="H13492" t="s">
        <v>92</v>
      </c>
    </row>
    <row r="13493" spans="1:8" x14ac:dyDescent="0.25">
      <c r="A13493" t="s">
        <v>379</v>
      </c>
      <c r="B13493" t="s">
        <v>7632</v>
      </c>
      <c r="C13493" t="s">
        <v>88</v>
      </c>
      <c r="D13493" t="s">
        <v>10713</v>
      </c>
      <c r="E13493" t="s">
        <v>1417</v>
      </c>
      <c r="F13493" t="s">
        <v>88</v>
      </c>
      <c r="G13493" t="s">
        <v>88</v>
      </c>
      <c r="H13493" t="s">
        <v>92</v>
      </c>
    </row>
    <row r="13494" spans="1:8" x14ac:dyDescent="0.25">
      <c r="A13494" t="s">
        <v>379</v>
      </c>
      <c r="B13494" t="s">
        <v>4172</v>
      </c>
      <c r="C13494" t="s">
        <v>88</v>
      </c>
      <c r="D13494" t="s">
        <v>10714</v>
      </c>
      <c r="E13494" t="s">
        <v>1462</v>
      </c>
      <c r="F13494" t="s">
        <v>88</v>
      </c>
      <c r="G13494" t="s">
        <v>88</v>
      </c>
      <c r="H13494" t="s">
        <v>92</v>
      </c>
    </row>
    <row r="13495" spans="1:8" x14ac:dyDescent="0.25">
      <c r="A13495" t="s">
        <v>379</v>
      </c>
      <c r="B13495" t="s">
        <v>10715</v>
      </c>
      <c r="C13495" t="s">
        <v>88</v>
      </c>
      <c r="D13495" t="s">
        <v>10716</v>
      </c>
      <c r="E13495" t="s">
        <v>1526</v>
      </c>
      <c r="F13495" t="s">
        <v>88</v>
      </c>
      <c r="G13495" t="s">
        <v>88</v>
      </c>
      <c r="H13495" t="s">
        <v>92</v>
      </c>
    </row>
    <row r="13496" spans="1:8" x14ac:dyDescent="0.25">
      <c r="A13496" t="s">
        <v>379</v>
      </c>
      <c r="B13496" t="s">
        <v>10717</v>
      </c>
      <c r="C13496" t="s">
        <v>88</v>
      </c>
      <c r="D13496" t="s">
        <v>10718</v>
      </c>
      <c r="E13496" t="s">
        <v>1526</v>
      </c>
      <c r="F13496" t="s">
        <v>88</v>
      </c>
      <c r="G13496" t="s">
        <v>88</v>
      </c>
      <c r="H13496" t="s">
        <v>92</v>
      </c>
    </row>
    <row r="13497" spans="1:8" x14ac:dyDescent="0.25">
      <c r="A13497" t="s">
        <v>379</v>
      </c>
      <c r="B13497" t="s">
        <v>10719</v>
      </c>
      <c r="C13497" t="s">
        <v>88</v>
      </c>
      <c r="D13497" t="s">
        <v>10720</v>
      </c>
      <c r="E13497" t="s">
        <v>1526</v>
      </c>
      <c r="F13497" t="s">
        <v>88</v>
      </c>
      <c r="G13497" t="s">
        <v>88</v>
      </c>
      <c r="H13497" t="s">
        <v>92</v>
      </c>
    </row>
    <row r="13498" spans="1:8" x14ac:dyDescent="0.25">
      <c r="A13498" t="s">
        <v>379</v>
      </c>
      <c r="B13498" t="s">
        <v>10721</v>
      </c>
      <c r="C13498" t="s">
        <v>88</v>
      </c>
      <c r="D13498" t="s">
        <v>10722</v>
      </c>
      <c r="E13498" t="s">
        <v>1526</v>
      </c>
      <c r="F13498" t="s">
        <v>88</v>
      </c>
      <c r="G13498" t="s">
        <v>88</v>
      </c>
      <c r="H13498" t="s">
        <v>92</v>
      </c>
    </row>
    <row r="13499" spans="1:8" x14ac:dyDescent="0.25">
      <c r="A13499" t="s">
        <v>379</v>
      </c>
      <c r="B13499" t="s">
        <v>10723</v>
      </c>
      <c r="C13499" t="s">
        <v>88</v>
      </c>
      <c r="D13499" t="s">
        <v>10724</v>
      </c>
      <c r="E13499" t="s">
        <v>1475</v>
      </c>
      <c r="F13499" t="s">
        <v>88</v>
      </c>
      <c r="G13499" t="s">
        <v>88</v>
      </c>
      <c r="H13499" t="s">
        <v>92</v>
      </c>
    </row>
    <row r="13500" spans="1:8" x14ac:dyDescent="0.25">
      <c r="A13500" t="s">
        <v>379</v>
      </c>
      <c r="B13500" t="s">
        <v>10725</v>
      </c>
      <c r="C13500" t="s">
        <v>88</v>
      </c>
      <c r="D13500" t="s">
        <v>10726</v>
      </c>
      <c r="E13500" t="s">
        <v>1475</v>
      </c>
      <c r="F13500" t="s">
        <v>88</v>
      </c>
      <c r="G13500" t="s">
        <v>88</v>
      </c>
      <c r="H13500" t="s">
        <v>92</v>
      </c>
    </row>
    <row r="13501" spans="1:8" x14ac:dyDescent="0.25">
      <c r="A13501" t="s">
        <v>379</v>
      </c>
      <c r="B13501" t="s">
        <v>10727</v>
      </c>
      <c r="C13501" t="s">
        <v>88</v>
      </c>
      <c r="D13501" t="s">
        <v>10728</v>
      </c>
      <c r="E13501" t="s">
        <v>1475</v>
      </c>
      <c r="F13501" t="s">
        <v>88</v>
      </c>
      <c r="G13501" t="s">
        <v>88</v>
      </c>
      <c r="H13501" t="s">
        <v>92</v>
      </c>
    </row>
    <row r="13502" spans="1:8" x14ac:dyDescent="0.25">
      <c r="A13502" t="s">
        <v>379</v>
      </c>
      <c r="B13502" t="s">
        <v>10729</v>
      </c>
      <c r="C13502" t="s">
        <v>88</v>
      </c>
      <c r="D13502" t="s">
        <v>10730</v>
      </c>
      <c r="E13502" t="s">
        <v>1475</v>
      </c>
      <c r="F13502" t="s">
        <v>88</v>
      </c>
      <c r="G13502" t="s">
        <v>88</v>
      </c>
      <c r="H13502" t="s">
        <v>92</v>
      </c>
    </row>
    <row r="13503" spans="1:8" x14ac:dyDescent="0.25">
      <c r="A13503" t="s">
        <v>379</v>
      </c>
      <c r="B13503" t="s">
        <v>10731</v>
      </c>
      <c r="C13503" t="s">
        <v>88</v>
      </c>
      <c r="D13503" t="s">
        <v>10732</v>
      </c>
      <c r="E13503" t="s">
        <v>1475</v>
      </c>
      <c r="F13503" t="s">
        <v>88</v>
      </c>
      <c r="G13503" t="s">
        <v>88</v>
      </c>
      <c r="H13503" t="s">
        <v>92</v>
      </c>
    </row>
    <row r="13504" spans="1:8" x14ac:dyDescent="0.25">
      <c r="A13504" t="s">
        <v>379</v>
      </c>
      <c r="B13504" t="s">
        <v>10733</v>
      </c>
      <c r="C13504" t="s">
        <v>88</v>
      </c>
      <c r="D13504" t="s">
        <v>10734</v>
      </c>
      <c r="E13504" t="s">
        <v>2885</v>
      </c>
      <c r="F13504" t="s">
        <v>88</v>
      </c>
      <c r="G13504" t="s">
        <v>88</v>
      </c>
      <c r="H13504" t="s">
        <v>92</v>
      </c>
    </row>
    <row r="13505" spans="1:8" x14ac:dyDescent="0.25">
      <c r="A13505" t="s">
        <v>379</v>
      </c>
      <c r="B13505" t="s">
        <v>10735</v>
      </c>
      <c r="C13505" t="s">
        <v>88</v>
      </c>
      <c r="D13505" t="s">
        <v>10736</v>
      </c>
      <c r="E13505" t="s">
        <v>2885</v>
      </c>
      <c r="F13505" t="s">
        <v>88</v>
      </c>
      <c r="G13505" t="s">
        <v>88</v>
      </c>
      <c r="H13505" t="s">
        <v>92</v>
      </c>
    </row>
    <row r="13506" spans="1:8" x14ac:dyDescent="0.25">
      <c r="A13506" t="s">
        <v>379</v>
      </c>
      <c r="B13506" t="s">
        <v>10737</v>
      </c>
      <c r="C13506" t="s">
        <v>88</v>
      </c>
      <c r="D13506" t="s">
        <v>10738</v>
      </c>
      <c r="E13506" t="s">
        <v>2885</v>
      </c>
      <c r="F13506" t="s">
        <v>88</v>
      </c>
      <c r="G13506" t="s">
        <v>88</v>
      </c>
      <c r="H13506" t="s">
        <v>92</v>
      </c>
    </row>
    <row r="13507" spans="1:8" x14ac:dyDescent="0.25">
      <c r="A13507" t="s">
        <v>379</v>
      </c>
      <c r="B13507" t="s">
        <v>10739</v>
      </c>
      <c r="C13507" t="s">
        <v>88</v>
      </c>
      <c r="D13507" t="s">
        <v>10740</v>
      </c>
      <c r="E13507" t="s">
        <v>2885</v>
      </c>
      <c r="F13507" t="s">
        <v>88</v>
      </c>
      <c r="G13507" t="s">
        <v>88</v>
      </c>
      <c r="H13507" t="s">
        <v>92</v>
      </c>
    </row>
    <row r="13508" spans="1:8" x14ac:dyDescent="0.25">
      <c r="A13508" t="s">
        <v>379</v>
      </c>
      <c r="B13508" t="s">
        <v>10741</v>
      </c>
      <c r="C13508" t="s">
        <v>88</v>
      </c>
      <c r="D13508" t="s">
        <v>10742</v>
      </c>
      <c r="E13508" t="s">
        <v>1417</v>
      </c>
      <c r="F13508" t="s">
        <v>88</v>
      </c>
      <c r="G13508" t="s">
        <v>88</v>
      </c>
      <c r="H13508" t="s">
        <v>92</v>
      </c>
    </row>
    <row r="13509" spans="1:8" x14ac:dyDescent="0.25">
      <c r="A13509" t="s">
        <v>379</v>
      </c>
      <c r="B13509" t="s">
        <v>10743</v>
      </c>
      <c r="C13509" t="s">
        <v>88</v>
      </c>
      <c r="D13509" t="s">
        <v>10744</v>
      </c>
      <c r="E13509" t="s">
        <v>1417</v>
      </c>
      <c r="F13509" t="s">
        <v>88</v>
      </c>
      <c r="G13509" t="s">
        <v>88</v>
      </c>
      <c r="H13509" t="s">
        <v>92</v>
      </c>
    </row>
    <row r="13510" spans="1:8" x14ac:dyDescent="0.25">
      <c r="A13510" t="s">
        <v>379</v>
      </c>
      <c r="B13510" t="s">
        <v>10745</v>
      </c>
      <c r="C13510" t="s">
        <v>88</v>
      </c>
      <c r="D13510" t="s">
        <v>10746</v>
      </c>
      <c r="E13510" t="s">
        <v>1417</v>
      </c>
      <c r="F13510" t="s">
        <v>88</v>
      </c>
      <c r="G13510" t="s">
        <v>88</v>
      </c>
      <c r="H13510" t="s">
        <v>92</v>
      </c>
    </row>
    <row r="13511" spans="1:8" x14ac:dyDescent="0.25">
      <c r="A13511" t="s">
        <v>379</v>
      </c>
      <c r="B13511" t="s">
        <v>10747</v>
      </c>
      <c r="C13511" t="s">
        <v>88</v>
      </c>
      <c r="D13511" t="s">
        <v>10748</v>
      </c>
      <c r="E13511" t="s">
        <v>1417</v>
      </c>
      <c r="F13511" t="s">
        <v>88</v>
      </c>
      <c r="G13511" t="s">
        <v>88</v>
      </c>
      <c r="H13511" t="s">
        <v>92</v>
      </c>
    </row>
    <row r="13512" spans="1:8" x14ac:dyDescent="0.25">
      <c r="A13512" t="s">
        <v>379</v>
      </c>
      <c r="B13512" t="s">
        <v>10749</v>
      </c>
      <c r="C13512" t="s">
        <v>88</v>
      </c>
      <c r="D13512" t="s">
        <v>10716</v>
      </c>
      <c r="E13512" t="s">
        <v>1430</v>
      </c>
      <c r="F13512" t="s">
        <v>88</v>
      </c>
      <c r="G13512" t="s">
        <v>88</v>
      </c>
      <c r="H13512" t="s">
        <v>92</v>
      </c>
    </row>
    <row r="13513" spans="1:8" x14ac:dyDescent="0.25">
      <c r="A13513" t="s">
        <v>379</v>
      </c>
      <c r="B13513" t="s">
        <v>10750</v>
      </c>
      <c r="C13513" t="s">
        <v>88</v>
      </c>
      <c r="D13513" t="s">
        <v>10718</v>
      </c>
      <c r="E13513" t="s">
        <v>1430</v>
      </c>
      <c r="F13513" t="s">
        <v>88</v>
      </c>
      <c r="G13513" t="s">
        <v>88</v>
      </c>
      <c r="H13513" t="s">
        <v>92</v>
      </c>
    </row>
    <row r="13514" spans="1:8" x14ac:dyDescent="0.25">
      <c r="A13514" t="s">
        <v>379</v>
      </c>
      <c r="B13514" t="s">
        <v>10751</v>
      </c>
      <c r="C13514" t="s">
        <v>88</v>
      </c>
      <c r="D13514" t="s">
        <v>10720</v>
      </c>
      <c r="E13514" t="s">
        <v>1430</v>
      </c>
      <c r="F13514" t="s">
        <v>88</v>
      </c>
      <c r="G13514" t="s">
        <v>88</v>
      </c>
      <c r="H13514" t="s">
        <v>92</v>
      </c>
    </row>
    <row r="13515" spans="1:8" x14ac:dyDescent="0.25">
      <c r="A13515" t="s">
        <v>379</v>
      </c>
      <c r="B13515" t="s">
        <v>10752</v>
      </c>
      <c r="C13515" t="s">
        <v>88</v>
      </c>
      <c r="D13515" t="s">
        <v>10722</v>
      </c>
      <c r="E13515" t="s">
        <v>1430</v>
      </c>
      <c r="F13515" t="s">
        <v>88</v>
      </c>
      <c r="G13515" t="s">
        <v>88</v>
      </c>
      <c r="H13515" t="s">
        <v>92</v>
      </c>
    </row>
    <row r="13516" spans="1:8" x14ac:dyDescent="0.25">
      <c r="A13516" t="s">
        <v>379</v>
      </c>
      <c r="B13516" t="s">
        <v>10753</v>
      </c>
      <c r="C13516" t="s">
        <v>88</v>
      </c>
      <c r="D13516" t="s">
        <v>10724</v>
      </c>
      <c r="E13516" t="s">
        <v>2969</v>
      </c>
      <c r="F13516" t="s">
        <v>88</v>
      </c>
      <c r="G13516" t="s">
        <v>88</v>
      </c>
      <c r="H13516" t="s">
        <v>92</v>
      </c>
    </row>
    <row r="13517" spans="1:8" x14ac:dyDescent="0.25">
      <c r="A13517" t="s">
        <v>379</v>
      </c>
      <c r="B13517" t="s">
        <v>10754</v>
      </c>
      <c r="C13517" t="s">
        <v>88</v>
      </c>
      <c r="D13517" t="s">
        <v>10726</v>
      </c>
      <c r="E13517" t="s">
        <v>2969</v>
      </c>
      <c r="F13517" t="s">
        <v>88</v>
      </c>
      <c r="G13517" t="s">
        <v>88</v>
      </c>
      <c r="H13517" t="s">
        <v>92</v>
      </c>
    </row>
    <row r="13518" spans="1:8" x14ac:dyDescent="0.25">
      <c r="A13518" t="s">
        <v>379</v>
      </c>
      <c r="B13518" t="s">
        <v>10755</v>
      </c>
      <c r="C13518" t="s">
        <v>88</v>
      </c>
      <c r="D13518" t="s">
        <v>10728</v>
      </c>
      <c r="E13518" t="s">
        <v>2969</v>
      </c>
      <c r="F13518" t="s">
        <v>88</v>
      </c>
      <c r="G13518" t="s">
        <v>88</v>
      </c>
      <c r="H13518" t="s">
        <v>92</v>
      </c>
    </row>
    <row r="13519" spans="1:8" x14ac:dyDescent="0.25">
      <c r="A13519" t="s">
        <v>379</v>
      </c>
      <c r="B13519" t="s">
        <v>10756</v>
      </c>
      <c r="C13519" t="s">
        <v>88</v>
      </c>
      <c r="D13519" t="s">
        <v>10730</v>
      </c>
      <c r="E13519" t="s">
        <v>2969</v>
      </c>
      <c r="F13519" t="s">
        <v>88</v>
      </c>
      <c r="G13519" t="s">
        <v>88</v>
      </c>
      <c r="H13519" t="s">
        <v>92</v>
      </c>
    </row>
    <row r="13520" spans="1:8" x14ac:dyDescent="0.25">
      <c r="A13520" t="s">
        <v>379</v>
      </c>
      <c r="B13520" t="s">
        <v>10757</v>
      </c>
      <c r="C13520" t="s">
        <v>88</v>
      </c>
      <c r="D13520" t="s">
        <v>10732</v>
      </c>
      <c r="E13520" t="s">
        <v>2969</v>
      </c>
      <c r="F13520" t="s">
        <v>88</v>
      </c>
      <c r="G13520" t="s">
        <v>88</v>
      </c>
      <c r="H13520" t="s">
        <v>92</v>
      </c>
    </row>
    <row r="13521" spans="1:8" x14ac:dyDescent="0.25">
      <c r="A13521" t="s">
        <v>379</v>
      </c>
      <c r="B13521" t="s">
        <v>10758</v>
      </c>
      <c r="C13521" t="s">
        <v>88</v>
      </c>
      <c r="D13521" t="s">
        <v>10734</v>
      </c>
      <c r="E13521" t="s">
        <v>9395</v>
      </c>
      <c r="F13521" t="s">
        <v>88</v>
      </c>
      <c r="G13521" t="s">
        <v>88</v>
      </c>
      <c r="H13521" t="s">
        <v>92</v>
      </c>
    </row>
    <row r="13522" spans="1:8" x14ac:dyDescent="0.25">
      <c r="A13522" t="s">
        <v>379</v>
      </c>
      <c r="B13522" t="s">
        <v>10759</v>
      </c>
      <c r="C13522" t="s">
        <v>88</v>
      </c>
      <c r="D13522" t="s">
        <v>10736</v>
      </c>
      <c r="E13522" t="s">
        <v>9395</v>
      </c>
      <c r="F13522" t="s">
        <v>88</v>
      </c>
      <c r="G13522" t="s">
        <v>88</v>
      </c>
      <c r="H13522" t="s">
        <v>92</v>
      </c>
    </row>
    <row r="13523" spans="1:8" x14ac:dyDescent="0.25">
      <c r="A13523" t="s">
        <v>379</v>
      </c>
      <c r="B13523" t="s">
        <v>10760</v>
      </c>
      <c r="C13523" t="s">
        <v>88</v>
      </c>
      <c r="D13523" t="s">
        <v>10738</v>
      </c>
      <c r="E13523" t="s">
        <v>9395</v>
      </c>
      <c r="F13523" t="s">
        <v>88</v>
      </c>
      <c r="G13523" t="s">
        <v>88</v>
      </c>
      <c r="H13523" t="s">
        <v>92</v>
      </c>
    </row>
    <row r="13524" spans="1:8" x14ac:dyDescent="0.25">
      <c r="A13524" t="s">
        <v>379</v>
      </c>
      <c r="B13524" t="s">
        <v>10761</v>
      </c>
      <c r="C13524" t="s">
        <v>88</v>
      </c>
      <c r="D13524" t="s">
        <v>10740</v>
      </c>
      <c r="E13524" t="s">
        <v>9395</v>
      </c>
      <c r="F13524" t="s">
        <v>88</v>
      </c>
      <c r="G13524" t="s">
        <v>88</v>
      </c>
      <c r="H13524" t="s">
        <v>92</v>
      </c>
    </row>
    <row r="13525" spans="1:8" x14ac:dyDescent="0.25">
      <c r="A13525" t="s">
        <v>379</v>
      </c>
      <c r="B13525" t="s">
        <v>10762</v>
      </c>
      <c r="C13525" t="s">
        <v>88</v>
      </c>
      <c r="D13525" t="s">
        <v>10742</v>
      </c>
      <c r="E13525" t="s">
        <v>9438</v>
      </c>
      <c r="F13525" t="s">
        <v>88</v>
      </c>
      <c r="G13525" t="s">
        <v>88</v>
      </c>
      <c r="H13525" t="s">
        <v>92</v>
      </c>
    </row>
    <row r="13526" spans="1:8" x14ac:dyDescent="0.25">
      <c r="A13526" t="s">
        <v>379</v>
      </c>
      <c r="B13526" t="s">
        <v>10763</v>
      </c>
      <c r="C13526" t="s">
        <v>88</v>
      </c>
      <c r="D13526" t="s">
        <v>10744</v>
      </c>
      <c r="E13526" t="s">
        <v>9438</v>
      </c>
      <c r="F13526" t="s">
        <v>88</v>
      </c>
      <c r="G13526" t="s">
        <v>88</v>
      </c>
      <c r="H13526" t="s">
        <v>92</v>
      </c>
    </row>
    <row r="13527" spans="1:8" x14ac:dyDescent="0.25">
      <c r="A13527" t="s">
        <v>379</v>
      </c>
      <c r="B13527" t="s">
        <v>10764</v>
      </c>
      <c r="C13527" t="s">
        <v>88</v>
      </c>
      <c r="D13527" t="s">
        <v>10746</v>
      </c>
      <c r="E13527" t="s">
        <v>9438</v>
      </c>
      <c r="F13527" t="s">
        <v>88</v>
      </c>
      <c r="G13527" t="s">
        <v>88</v>
      </c>
      <c r="H13527" t="s">
        <v>92</v>
      </c>
    </row>
    <row r="13528" spans="1:8" x14ac:dyDescent="0.25">
      <c r="A13528" t="s">
        <v>379</v>
      </c>
      <c r="B13528" t="s">
        <v>10765</v>
      </c>
      <c r="C13528" t="s">
        <v>88</v>
      </c>
      <c r="D13528" t="s">
        <v>10748</v>
      </c>
      <c r="E13528" t="s">
        <v>9438</v>
      </c>
      <c r="F13528" t="s">
        <v>88</v>
      </c>
      <c r="G13528" t="s">
        <v>88</v>
      </c>
      <c r="H13528" t="s">
        <v>92</v>
      </c>
    </row>
    <row r="13529" spans="1:8" x14ac:dyDescent="0.25">
      <c r="A13529" t="s">
        <v>379</v>
      </c>
      <c r="B13529" t="s">
        <v>10766</v>
      </c>
      <c r="C13529" t="s">
        <v>88</v>
      </c>
      <c r="D13529" t="s">
        <v>10716</v>
      </c>
      <c r="E13529" t="s">
        <v>1484</v>
      </c>
      <c r="F13529" t="s">
        <v>88</v>
      </c>
      <c r="G13529" t="s">
        <v>88</v>
      </c>
      <c r="H13529" t="s">
        <v>92</v>
      </c>
    </row>
    <row r="13530" spans="1:8" x14ac:dyDescent="0.25">
      <c r="A13530" t="s">
        <v>379</v>
      </c>
      <c r="B13530" t="s">
        <v>10767</v>
      </c>
      <c r="C13530" t="s">
        <v>88</v>
      </c>
      <c r="D13530" t="s">
        <v>10718</v>
      </c>
      <c r="E13530" t="s">
        <v>1484</v>
      </c>
      <c r="F13530" t="s">
        <v>88</v>
      </c>
      <c r="G13530" t="s">
        <v>88</v>
      </c>
      <c r="H13530" t="s">
        <v>92</v>
      </c>
    </row>
    <row r="13531" spans="1:8" x14ac:dyDescent="0.25">
      <c r="A13531" t="s">
        <v>379</v>
      </c>
      <c r="B13531" t="s">
        <v>10768</v>
      </c>
      <c r="C13531" t="s">
        <v>88</v>
      </c>
      <c r="D13531" t="s">
        <v>10722</v>
      </c>
      <c r="E13531" t="s">
        <v>1484</v>
      </c>
      <c r="F13531" t="s">
        <v>88</v>
      </c>
      <c r="G13531" t="s">
        <v>88</v>
      </c>
      <c r="H13531" t="s">
        <v>92</v>
      </c>
    </row>
    <row r="13532" spans="1:8" x14ac:dyDescent="0.25">
      <c r="A13532" t="s">
        <v>379</v>
      </c>
      <c r="B13532" t="s">
        <v>10769</v>
      </c>
      <c r="C13532" t="s">
        <v>88</v>
      </c>
      <c r="D13532" t="s">
        <v>10720</v>
      </c>
      <c r="E13532" t="s">
        <v>1484</v>
      </c>
      <c r="F13532" t="s">
        <v>88</v>
      </c>
      <c r="G13532" t="s">
        <v>88</v>
      </c>
      <c r="H13532" t="s">
        <v>92</v>
      </c>
    </row>
    <row r="13533" spans="1:8" x14ac:dyDescent="0.25">
      <c r="A13533" t="s">
        <v>379</v>
      </c>
      <c r="B13533" t="s">
        <v>10770</v>
      </c>
      <c r="C13533" t="s">
        <v>88</v>
      </c>
      <c r="D13533" t="s">
        <v>10724</v>
      </c>
      <c r="E13533" t="s">
        <v>1490</v>
      </c>
      <c r="F13533" t="s">
        <v>88</v>
      </c>
      <c r="G13533" t="s">
        <v>88</v>
      </c>
      <c r="H13533" t="s">
        <v>92</v>
      </c>
    </row>
    <row r="13534" spans="1:8" x14ac:dyDescent="0.25">
      <c r="A13534" t="s">
        <v>379</v>
      </c>
      <c r="B13534" t="s">
        <v>10771</v>
      </c>
      <c r="C13534" t="s">
        <v>88</v>
      </c>
      <c r="D13534" t="s">
        <v>10726</v>
      </c>
      <c r="E13534" t="s">
        <v>1490</v>
      </c>
      <c r="F13534" t="s">
        <v>88</v>
      </c>
      <c r="G13534" t="s">
        <v>88</v>
      </c>
      <c r="H13534" t="s">
        <v>92</v>
      </c>
    </row>
    <row r="13535" spans="1:8" x14ac:dyDescent="0.25">
      <c r="A13535" t="s">
        <v>379</v>
      </c>
      <c r="B13535" t="s">
        <v>10772</v>
      </c>
      <c r="C13535" t="s">
        <v>88</v>
      </c>
      <c r="D13535" t="s">
        <v>10728</v>
      </c>
      <c r="E13535" t="s">
        <v>1490</v>
      </c>
      <c r="F13535" t="s">
        <v>88</v>
      </c>
      <c r="G13535" t="s">
        <v>88</v>
      </c>
      <c r="H13535" t="s">
        <v>92</v>
      </c>
    </row>
    <row r="13536" spans="1:8" x14ac:dyDescent="0.25">
      <c r="A13536" t="s">
        <v>379</v>
      </c>
      <c r="B13536" t="s">
        <v>10773</v>
      </c>
      <c r="C13536" t="s">
        <v>88</v>
      </c>
      <c r="D13536" t="s">
        <v>10730</v>
      </c>
      <c r="E13536" t="s">
        <v>1490</v>
      </c>
      <c r="F13536" t="s">
        <v>88</v>
      </c>
      <c r="G13536" t="s">
        <v>88</v>
      </c>
      <c r="H13536" t="s">
        <v>92</v>
      </c>
    </row>
    <row r="13537" spans="1:8" x14ac:dyDescent="0.25">
      <c r="A13537" t="s">
        <v>379</v>
      </c>
      <c r="B13537" t="s">
        <v>10774</v>
      </c>
      <c r="C13537" t="s">
        <v>88</v>
      </c>
      <c r="D13537" t="s">
        <v>10732</v>
      </c>
      <c r="E13537" t="s">
        <v>1490</v>
      </c>
      <c r="F13537" t="s">
        <v>88</v>
      </c>
      <c r="G13537" t="s">
        <v>88</v>
      </c>
      <c r="H13537" t="s">
        <v>92</v>
      </c>
    </row>
    <row r="13538" spans="1:8" x14ac:dyDescent="0.25">
      <c r="A13538" t="s">
        <v>379</v>
      </c>
      <c r="B13538" t="s">
        <v>10775</v>
      </c>
      <c r="C13538" t="s">
        <v>88</v>
      </c>
      <c r="D13538" t="s">
        <v>10734</v>
      </c>
      <c r="E13538" t="s">
        <v>1452</v>
      </c>
      <c r="F13538" t="s">
        <v>88</v>
      </c>
      <c r="G13538" t="s">
        <v>88</v>
      </c>
      <c r="H13538" t="s">
        <v>92</v>
      </c>
    </row>
    <row r="13539" spans="1:8" x14ac:dyDescent="0.25">
      <c r="A13539" t="s">
        <v>379</v>
      </c>
      <c r="B13539" t="s">
        <v>10776</v>
      </c>
      <c r="C13539" t="s">
        <v>88</v>
      </c>
      <c r="D13539" t="s">
        <v>10736</v>
      </c>
      <c r="E13539" t="s">
        <v>1452</v>
      </c>
      <c r="F13539" t="s">
        <v>88</v>
      </c>
      <c r="G13539" t="s">
        <v>88</v>
      </c>
      <c r="H13539" t="s">
        <v>92</v>
      </c>
    </row>
    <row r="13540" spans="1:8" x14ac:dyDescent="0.25">
      <c r="A13540" t="s">
        <v>379</v>
      </c>
      <c r="B13540" t="s">
        <v>10777</v>
      </c>
      <c r="C13540" t="s">
        <v>88</v>
      </c>
      <c r="D13540" t="s">
        <v>10738</v>
      </c>
      <c r="E13540" t="s">
        <v>1452</v>
      </c>
      <c r="F13540" t="s">
        <v>88</v>
      </c>
      <c r="G13540" t="s">
        <v>88</v>
      </c>
      <c r="H13540" t="s">
        <v>92</v>
      </c>
    </row>
    <row r="13541" spans="1:8" x14ac:dyDescent="0.25">
      <c r="A13541" t="s">
        <v>379</v>
      </c>
      <c r="B13541" t="s">
        <v>10778</v>
      </c>
      <c r="C13541" t="s">
        <v>88</v>
      </c>
      <c r="D13541" t="s">
        <v>10779</v>
      </c>
      <c r="E13541" t="s">
        <v>1452</v>
      </c>
      <c r="F13541" t="s">
        <v>88</v>
      </c>
      <c r="G13541" t="s">
        <v>88</v>
      </c>
      <c r="H13541" t="s">
        <v>92</v>
      </c>
    </row>
    <row r="13542" spans="1:8" x14ac:dyDescent="0.25">
      <c r="A13542" t="s">
        <v>379</v>
      </c>
      <c r="B13542" t="s">
        <v>10780</v>
      </c>
      <c r="C13542" t="s">
        <v>88</v>
      </c>
      <c r="D13542" t="s">
        <v>10742</v>
      </c>
      <c r="E13542" t="s">
        <v>1420</v>
      </c>
      <c r="F13542" t="s">
        <v>88</v>
      </c>
      <c r="G13542" t="s">
        <v>88</v>
      </c>
      <c r="H13542" t="s">
        <v>92</v>
      </c>
    </row>
    <row r="13543" spans="1:8" x14ac:dyDescent="0.25">
      <c r="A13543" t="s">
        <v>379</v>
      </c>
      <c r="B13543" t="s">
        <v>10781</v>
      </c>
      <c r="C13543" t="s">
        <v>88</v>
      </c>
      <c r="D13543" t="s">
        <v>10744</v>
      </c>
      <c r="E13543" t="s">
        <v>1420</v>
      </c>
      <c r="F13543" t="s">
        <v>88</v>
      </c>
      <c r="G13543" t="s">
        <v>88</v>
      </c>
      <c r="H13543" t="s">
        <v>92</v>
      </c>
    </row>
    <row r="13544" spans="1:8" x14ac:dyDescent="0.25">
      <c r="A13544" t="s">
        <v>379</v>
      </c>
      <c r="B13544" t="s">
        <v>10782</v>
      </c>
      <c r="C13544" t="s">
        <v>88</v>
      </c>
      <c r="D13544" t="s">
        <v>10746</v>
      </c>
      <c r="E13544" t="s">
        <v>1420</v>
      </c>
      <c r="F13544" t="s">
        <v>88</v>
      </c>
      <c r="G13544" t="s">
        <v>88</v>
      </c>
      <c r="H13544" t="s">
        <v>92</v>
      </c>
    </row>
    <row r="13545" spans="1:8" x14ac:dyDescent="0.25">
      <c r="A13545" t="s">
        <v>379</v>
      </c>
      <c r="B13545" t="s">
        <v>10783</v>
      </c>
      <c r="C13545" t="s">
        <v>88</v>
      </c>
      <c r="D13545" t="s">
        <v>10748</v>
      </c>
      <c r="E13545" t="s">
        <v>1420</v>
      </c>
      <c r="F13545" t="s">
        <v>88</v>
      </c>
      <c r="G13545" t="s">
        <v>88</v>
      </c>
      <c r="H13545" t="s">
        <v>92</v>
      </c>
    </row>
    <row r="13546" spans="1:8" x14ac:dyDescent="0.25">
      <c r="A13546" t="s">
        <v>379</v>
      </c>
      <c r="B13546" t="s">
        <v>10784</v>
      </c>
      <c r="C13546" t="s">
        <v>88</v>
      </c>
      <c r="D13546" t="s">
        <v>88</v>
      </c>
      <c r="E13546" t="s">
        <v>1640</v>
      </c>
      <c r="F13546" t="s">
        <v>88</v>
      </c>
      <c r="G13546" t="s">
        <v>88</v>
      </c>
      <c r="H13546" t="s">
        <v>92</v>
      </c>
    </row>
    <row r="13547" spans="1:8" x14ac:dyDescent="0.25">
      <c r="A13547" t="s">
        <v>379</v>
      </c>
      <c r="B13547" t="s">
        <v>3910</v>
      </c>
      <c r="C13547" t="s">
        <v>88</v>
      </c>
      <c r="D13547" t="s">
        <v>88</v>
      </c>
      <c r="E13547" t="s">
        <v>1636</v>
      </c>
      <c r="F13547" t="s">
        <v>88</v>
      </c>
      <c r="G13547" t="s">
        <v>88</v>
      </c>
      <c r="H13547" t="s">
        <v>92</v>
      </c>
    </row>
    <row r="13548" spans="1:8" x14ac:dyDescent="0.25">
      <c r="A13548" t="s">
        <v>379</v>
      </c>
      <c r="B13548" t="s">
        <v>3918</v>
      </c>
      <c r="C13548" t="s">
        <v>88</v>
      </c>
      <c r="D13548" t="s">
        <v>88</v>
      </c>
      <c r="E13548" t="s">
        <v>3109</v>
      </c>
      <c r="F13548" t="s">
        <v>88</v>
      </c>
      <c r="G13548" t="s">
        <v>88</v>
      </c>
      <c r="H13548" t="s">
        <v>92</v>
      </c>
    </row>
    <row r="13549" spans="1:8" x14ac:dyDescent="0.25">
      <c r="A13549" t="s">
        <v>379</v>
      </c>
      <c r="B13549" t="s">
        <v>10785</v>
      </c>
      <c r="C13549" t="s">
        <v>88</v>
      </c>
      <c r="D13549" t="s">
        <v>10786</v>
      </c>
      <c r="E13549" t="s">
        <v>3117</v>
      </c>
      <c r="F13549" t="s">
        <v>88</v>
      </c>
      <c r="G13549" t="s">
        <v>88</v>
      </c>
      <c r="H13549" t="s">
        <v>92</v>
      </c>
    </row>
    <row r="13550" spans="1:8" x14ac:dyDescent="0.25">
      <c r="A13550" t="s">
        <v>379</v>
      </c>
      <c r="B13550" t="s">
        <v>4919</v>
      </c>
      <c r="C13550" t="s">
        <v>88</v>
      </c>
      <c r="D13550" t="s">
        <v>10786</v>
      </c>
      <c r="E13550" t="s">
        <v>3117</v>
      </c>
      <c r="F13550" t="s">
        <v>88</v>
      </c>
      <c r="G13550" t="s">
        <v>88</v>
      </c>
      <c r="H13550" t="s">
        <v>92</v>
      </c>
    </row>
    <row r="13551" spans="1:8" x14ac:dyDescent="0.25">
      <c r="A13551" t="s">
        <v>379</v>
      </c>
      <c r="B13551" t="s">
        <v>10787</v>
      </c>
      <c r="C13551" t="s">
        <v>88</v>
      </c>
      <c r="D13551" t="s">
        <v>88</v>
      </c>
      <c r="E13551" t="s">
        <v>1646</v>
      </c>
      <c r="F13551" t="s">
        <v>88</v>
      </c>
      <c r="G13551" t="s">
        <v>88</v>
      </c>
      <c r="H13551" t="s">
        <v>92</v>
      </c>
    </row>
    <row r="13552" spans="1:8" x14ac:dyDescent="0.25">
      <c r="A13552" t="s">
        <v>379</v>
      </c>
      <c r="B13552" t="s">
        <v>1874</v>
      </c>
      <c r="C13552" t="s">
        <v>88</v>
      </c>
      <c r="D13552" t="s">
        <v>88</v>
      </c>
      <c r="E13552" t="s">
        <v>1636</v>
      </c>
      <c r="F13552" t="s">
        <v>88</v>
      </c>
      <c r="G13552" t="s">
        <v>88</v>
      </c>
      <c r="H13552" t="s">
        <v>92</v>
      </c>
    </row>
    <row r="13553" spans="1:8" x14ac:dyDescent="0.25">
      <c r="A13553" t="s">
        <v>379</v>
      </c>
      <c r="B13553" t="s">
        <v>2863</v>
      </c>
      <c r="C13553" t="s">
        <v>88</v>
      </c>
      <c r="D13553" t="s">
        <v>88</v>
      </c>
      <c r="E13553" t="s">
        <v>3117</v>
      </c>
      <c r="F13553" t="s">
        <v>88</v>
      </c>
      <c r="G13553" t="s">
        <v>88</v>
      </c>
      <c r="H13553" t="s">
        <v>92</v>
      </c>
    </row>
    <row r="13554" spans="1:8" x14ac:dyDescent="0.25">
      <c r="A13554" t="s">
        <v>379</v>
      </c>
      <c r="B13554" t="s">
        <v>2865</v>
      </c>
      <c r="C13554" t="s">
        <v>88</v>
      </c>
      <c r="D13554" t="s">
        <v>88</v>
      </c>
      <c r="E13554" t="s">
        <v>3117</v>
      </c>
      <c r="F13554" t="s">
        <v>88</v>
      </c>
      <c r="G13554" t="s">
        <v>88</v>
      </c>
      <c r="H13554" t="s">
        <v>92</v>
      </c>
    </row>
    <row r="13555" spans="1:8" x14ac:dyDescent="0.25">
      <c r="A13555" t="s">
        <v>379</v>
      </c>
      <c r="B13555" t="s">
        <v>10788</v>
      </c>
      <c r="C13555" t="s">
        <v>88</v>
      </c>
      <c r="D13555" t="s">
        <v>88</v>
      </c>
      <c r="E13555" t="s">
        <v>1653</v>
      </c>
      <c r="F13555" t="s">
        <v>88</v>
      </c>
      <c r="G13555" t="s">
        <v>88</v>
      </c>
      <c r="H13555" t="s">
        <v>92</v>
      </c>
    </row>
    <row r="13556" spans="1:8" x14ac:dyDescent="0.25">
      <c r="A13556" t="s">
        <v>379</v>
      </c>
      <c r="B13556" t="s">
        <v>10789</v>
      </c>
      <c r="C13556" t="s">
        <v>88</v>
      </c>
      <c r="D13556" t="s">
        <v>10790</v>
      </c>
      <c r="E13556" t="s">
        <v>1636</v>
      </c>
      <c r="F13556" t="s">
        <v>88</v>
      </c>
      <c r="G13556" t="s">
        <v>88</v>
      </c>
      <c r="H13556" t="s">
        <v>92</v>
      </c>
    </row>
    <row r="13557" spans="1:8" x14ac:dyDescent="0.25">
      <c r="A13557" t="s">
        <v>379</v>
      </c>
      <c r="B13557" t="s">
        <v>10791</v>
      </c>
      <c r="C13557" t="s">
        <v>88</v>
      </c>
      <c r="D13557" t="s">
        <v>88</v>
      </c>
      <c r="E13557" t="s">
        <v>1571</v>
      </c>
      <c r="F13557" t="s">
        <v>88</v>
      </c>
      <c r="G13557" t="s">
        <v>88</v>
      </c>
      <c r="H13557" t="s">
        <v>92</v>
      </c>
    </row>
    <row r="13558" spans="1:8" x14ac:dyDescent="0.25">
      <c r="A13558" t="s">
        <v>379</v>
      </c>
      <c r="B13558" t="s">
        <v>10792</v>
      </c>
      <c r="C13558" t="s">
        <v>88</v>
      </c>
      <c r="D13558" t="s">
        <v>9090</v>
      </c>
      <c r="E13558" t="s">
        <v>3112</v>
      </c>
      <c r="F13558" t="s">
        <v>88</v>
      </c>
      <c r="G13558" t="s">
        <v>88</v>
      </c>
      <c r="H13558" t="s">
        <v>92</v>
      </c>
    </row>
    <row r="13559" spans="1:8" x14ac:dyDescent="0.25">
      <c r="A13559" t="s">
        <v>379</v>
      </c>
      <c r="B13559" t="s">
        <v>10793</v>
      </c>
      <c r="C13559" t="s">
        <v>88</v>
      </c>
      <c r="D13559" t="s">
        <v>10794</v>
      </c>
      <c r="E13559" t="s">
        <v>1571</v>
      </c>
      <c r="F13559" t="s">
        <v>88</v>
      </c>
      <c r="G13559" t="s">
        <v>88</v>
      </c>
      <c r="H13559" t="s">
        <v>92</v>
      </c>
    </row>
    <row r="13560" spans="1:8" x14ac:dyDescent="0.25">
      <c r="A13560" t="s">
        <v>379</v>
      </c>
      <c r="B13560" t="s">
        <v>10795</v>
      </c>
      <c r="C13560" t="s">
        <v>88</v>
      </c>
      <c r="D13560" t="s">
        <v>10796</v>
      </c>
      <c r="E13560" t="s">
        <v>1531</v>
      </c>
      <c r="F13560" t="s">
        <v>88</v>
      </c>
      <c r="G13560" t="s">
        <v>88</v>
      </c>
      <c r="H13560" t="s">
        <v>92</v>
      </c>
    </row>
    <row r="13561" spans="1:8" x14ac:dyDescent="0.25">
      <c r="A13561" t="s">
        <v>379</v>
      </c>
      <c r="B13561" t="s">
        <v>10797</v>
      </c>
      <c r="C13561" t="s">
        <v>88</v>
      </c>
      <c r="D13561" t="s">
        <v>10798</v>
      </c>
      <c r="E13561" t="s">
        <v>1526</v>
      </c>
      <c r="F13561" t="s">
        <v>88</v>
      </c>
      <c r="G13561" t="s">
        <v>88</v>
      </c>
      <c r="H13561" t="s">
        <v>92</v>
      </c>
    </row>
    <row r="13562" spans="1:8" x14ac:dyDescent="0.25">
      <c r="A13562" t="s">
        <v>379</v>
      </c>
      <c r="B13562" t="s">
        <v>10799</v>
      </c>
      <c r="C13562" t="s">
        <v>88</v>
      </c>
      <c r="D13562" t="s">
        <v>10800</v>
      </c>
      <c r="E13562" t="s">
        <v>1526</v>
      </c>
      <c r="F13562" t="s">
        <v>88</v>
      </c>
      <c r="G13562" t="s">
        <v>88</v>
      </c>
      <c r="H13562" t="s">
        <v>92</v>
      </c>
    </row>
    <row r="13563" spans="1:8" x14ac:dyDescent="0.25">
      <c r="A13563" t="s">
        <v>379</v>
      </c>
      <c r="B13563" t="s">
        <v>10801</v>
      </c>
      <c r="C13563" t="s">
        <v>88</v>
      </c>
      <c r="D13563" t="s">
        <v>88</v>
      </c>
      <c r="E13563" t="s">
        <v>1646</v>
      </c>
      <c r="F13563" t="s">
        <v>88</v>
      </c>
      <c r="G13563" t="s">
        <v>88</v>
      </c>
      <c r="H13563" t="s">
        <v>92</v>
      </c>
    </row>
    <row r="13564" spans="1:8" x14ac:dyDescent="0.25">
      <c r="A13564" t="s">
        <v>379</v>
      </c>
      <c r="B13564" t="s">
        <v>701</v>
      </c>
      <c r="C13564" t="s">
        <v>88</v>
      </c>
      <c r="D13564" t="s">
        <v>88</v>
      </c>
      <c r="E13564" t="s">
        <v>1636</v>
      </c>
      <c r="F13564" t="s">
        <v>88</v>
      </c>
      <c r="G13564" t="s">
        <v>88</v>
      </c>
      <c r="H13564" t="s">
        <v>92</v>
      </c>
    </row>
    <row r="13565" spans="1:8" x14ac:dyDescent="0.25">
      <c r="A13565" t="s">
        <v>379</v>
      </c>
      <c r="B13565" t="s">
        <v>703</v>
      </c>
      <c r="C13565" t="s">
        <v>88</v>
      </c>
      <c r="D13565" t="s">
        <v>88</v>
      </c>
      <c r="E13565" t="s">
        <v>1636</v>
      </c>
      <c r="F13565" t="s">
        <v>88</v>
      </c>
      <c r="G13565" t="s">
        <v>88</v>
      </c>
      <c r="H13565" t="s">
        <v>92</v>
      </c>
    </row>
    <row r="13566" spans="1:8" x14ac:dyDescent="0.25">
      <c r="A13566" t="s">
        <v>379</v>
      </c>
      <c r="B13566" t="s">
        <v>704</v>
      </c>
      <c r="C13566" t="s">
        <v>88</v>
      </c>
      <c r="D13566" t="s">
        <v>88</v>
      </c>
      <c r="E13566" t="s">
        <v>1636</v>
      </c>
      <c r="F13566" t="s">
        <v>88</v>
      </c>
      <c r="G13566" t="s">
        <v>88</v>
      </c>
      <c r="H13566" t="s">
        <v>92</v>
      </c>
    </row>
    <row r="13567" spans="1:8" x14ac:dyDescent="0.25">
      <c r="A13567" t="s">
        <v>379</v>
      </c>
      <c r="B13567" t="s">
        <v>705</v>
      </c>
      <c r="C13567" t="s">
        <v>88</v>
      </c>
      <c r="D13567" t="s">
        <v>88</v>
      </c>
      <c r="E13567" t="s">
        <v>1636</v>
      </c>
      <c r="F13567" t="s">
        <v>88</v>
      </c>
      <c r="G13567" t="s">
        <v>88</v>
      </c>
      <c r="H13567" t="s">
        <v>92</v>
      </c>
    </row>
    <row r="13568" spans="1:8" x14ac:dyDescent="0.25">
      <c r="A13568" t="s">
        <v>379</v>
      </c>
      <c r="B13568" t="s">
        <v>706</v>
      </c>
      <c r="C13568" t="s">
        <v>88</v>
      </c>
      <c r="D13568" t="s">
        <v>88</v>
      </c>
      <c r="E13568" t="s">
        <v>1636</v>
      </c>
      <c r="F13568" t="s">
        <v>88</v>
      </c>
      <c r="G13568" t="s">
        <v>88</v>
      </c>
      <c r="H13568" t="s">
        <v>92</v>
      </c>
    </row>
    <row r="13569" spans="1:8" x14ac:dyDescent="0.25">
      <c r="A13569" t="s">
        <v>379</v>
      </c>
      <c r="B13569" t="s">
        <v>3955</v>
      </c>
      <c r="C13569" t="s">
        <v>88</v>
      </c>
      <c r="D13569" t="s">
        <v>88</v>
      </c>
      <c r="E13569" t="s">
        <v>1636</v>
      </c>
      <c r="F13569" t="s">
        <v>88</v>
      </c>
      <c r="G13569" t="s">
        <v>88</v>
      </c>
      <c r="H13569" t="s">
        <v>92</v>
      </c>
    </row>
    <row r="13570" spans="1:8" x14ac:dyDescent="0.25">
      <c r="A13570" t="s">
        <v>379</v>
      </c>
      <c r="B13570" t="s">
        <v>10802</v>
      </c>
      <c r="C13570" t="s">
        <v>88</v>
      </c>
      <c r="D13570" t="s">
        <v>88</v>
      </c>
      <c r="E13570" t="s">
        <v>1636</v>
      </c>
      <c r="F13570" t="s">
        <v>88</v>
      </c>
      <c r="G13570" t="s">
        <v>88</v>
      </c>
      <c r="H13570" t="s">
        <v>92</v>
      </c>
    </row>
    <row r="13571" spans="1:8" x14ac:dyDescent="0.25">
      <c r="A13571" t="s">
        <v>379</v>
      </c>
      <c r="B13571" t="s">
        <v>997</v>
      </c>
      <c r="C13571" t="s">
        <v>88</v>
      </c>
      <c r="D13571" t="s">
        <v>88</v>
      </c>
      <c r="E13571" t="s">
        <v>1636</v>
      </c>
      <c r="F13571" t="s">
        <v>88</v>
      </c>
      <c r="G13571" t="s">
        <v>88</v>
      </c>
      <c r="H13571" t="s">
        <v>92</v>
      </c>
    </row>
    <row r="13572" spans="1:8" x14ac:dyDescent="0.25">
      <c r="A13572" t="s">
        <v>379</v>
      </c>
      <c r="B13572" t="s">
        <v>2570</v>
      </c>
      <c r="C13572" t="s">
        <v>88</v>
      </c>
      <c r="D13572" t="s">
        <v>88</v>
      </c>
      <c r="E13572" t="s">
        <v>1636</v>
      </c>
      <c r="F13572" t="s">
        <v>88</v>
      </c>
      <c r="G13572" t="s">
        <v>88</v>
      </c>
      <c r="H13572" t="s">
        <v>92</v>
      </c>
    </row>
    <row r="13573" spans="1:8" x14ac:dyDescent="0.25">
      <c r="A13573" t="s">
        <v>379</v>
      </c>
      <c r="B13573" t="s">
        <v>3954</v>
      </c>
      <c r="C13573" t="s">
        <v>88</v>
      </c>
      <c r="D13573" t="s">
        <v>88</v>
      </c>
      <c r="E13573" t="s">
        <v>1636</v>
      </c>
      <c r="F13573" t="s">
        <v>88</v>
      </c>
      <c r="G13573" t="s">
        <v>88</v>
      </c>
      <c r="H13573" t="s">
        <v>92</v>
      </c>
    </row>
    <row r="13574" spans="1:8" x14ac:dyDescent="0.25">
      <c r="A13574" t="s">
        <v>379</v>
      </c>
      <c r="B13574" t="s">
        <v>1638</v>
      </c>
      <c r="C13574" t="s">
        <v>88</v>
      </c>
      <c r="D13574" t="s">
        <v>88</v>
      </c>
      <c r="E13574" t="s">
        <v>1636</v>
      </c>
      <c r="F13574" t="s">
        <v>88</v>
      </c>
      <c r="G13574" t="s">
        <v>88</v>
      </c>
      <c r="H13574" t="s">
        <v>92</v>
      </c>
    </row>
    <row r="13575" spans="1:8" x14ac:dyDescent="0.25">
      <c r="A13575" t="s">
        <v>379</v>
      </c>
      <c r="B13575" t="s">
        <v>1637</v>
      </c>
      <c r="C13575" t="s">
        <v>88</v>
      </c>
      <c r="D13575" t="s">
        <v>88</v>
      </c>
      <c r="E13575" t="s">
        <v>1636</v>
      </c>
      <c r="F13575" t="s">
        <v>88</v>
      </c>
      <c r="G13575" t="s">
        <v>88</v>
      </c>
      <c r="H13575" t="s">
        <v>92</v>
      </c>
    </row>
    <row r="13576" spans="1:8" x14ac:dyDescent="0.25">
      <c r="A13576" t="s">
        <v>379</v>
      </c>
      <c r="B13576" t="s">
        <v>10803</v>
      </c>
      <c r="C13576" t="s">
        <v>88</v>
      </c>
      <c r="D13576" t="s">
        <v>88</v>
      </c>
      <c r="E13576" t="s">
        <v>1636</v>
      </c>
      <c r="F13576" t="s">
        <v>88</v>
      </c>
      <c r="G13576" t="s">
        <v>88</v>
      </c>
      <c r="H13576" t="s">
        <v>92</v>
      </c>
    </row>
    <row r="13577" spans="1:8" x14ac:dyDescent="0.25">
      <c r="A13577" t="s">
        <v>379</v>
      </c>
      <c r="B13577" t="s">
        <v>10804</v>
      </c>
      <c r="C13577" t="s">
        <v>88</v>
      </c>
      <c r="D13577" t="s">
        <v>88</v>
      </c>
      <c r="E13577" t="s">
        <v>1652</v>
      </c>
      <c r="F13577" t="s">
        <v>88</v>
      </c>
      <c r="G13577" t="s">
        <v>88</v>
      </c>
      <c r="H13577" t="s">
        <v>92</v>
      </c>
    </row>
    <row r="13578" spans="1:8" x14ac:dyDescent="0.25">
      <c r="A13578" t="s">
        <v>379</v>
      </c>
      <c r="B13578" t="s">
        <v>10805</v>
      </c>
      <c r="C13578" t="s">
        <v>88</v>
      </c>
      <c r="D13578" t="s">
        <v>88</v>
      </c>
      <c r="E13578" t="s">
        <v>1652</v>
      </c>
      <c r="F13578" t="s">
        <v>88</v>
      </c>
      <c r="G13578" t="s">
        <v>88</v>
      </c>
      <c r="H13578" t="s">
        <v>92</v>
      </c>
    </row>
    <row r="13579" spans="1:8" x14ac:dyDescent="0.25">
      <c r="A13579" t="s">
        <v>379</v>
      </c>
      <c r="B13579" t="s">
        <v>714</v>
      </c>
      <c r="C13579" t="s">
        <v>88</v>
      </c>
      <c r="D13579" t="s">
        <v>88</v>
      </c>
      <c r="E13579" t="s">
        <v>3117</v>
      </c>
      <c r="F13579" t="s">
        <v>88</v>
      </c>
      <c r="G13579" t="s">
        <v>88</v>
      </c>
      <c r="H13579" t="s">
        <v>92</v>
      </c>
    </row>
    <row r="13580" spans="1:8" x14ac:dyDescent="0.25">
      <c r="A13580" t="s">
        <v>379</v>
      </c>
      <c r="B13580" t="s">
        <v>1074</v>
      </c>
      <c r="C13580" t="s">
        <v>88</v>
      </c>
      <c r="D13580" t="s">
        <v>88</v>
      </c>
      <c r="E13580" t="s">
        <v>3117</v>
      </c>
      <c r="F13580" t="s">
        <v>88</v>
      </c>
      <c r="G13580" t="s">
        <v>88</v>
      </c>
      <c r="H13580" t="s">
        <v>92</v>
      </c>
    </row>
    <row r="13581" spans="1:8" x14ac:dyDescent="0.25">
      <c r="A13581" t="s">
        <v>379</v>
      </c>
      <c r="B13581" t="s">
        <v>1671</v>
      </c>
      <c r="C13581" t="s">
        <v>88</v>
      </c>
      <c r="D13581" t="s">
        <v>88</v>
      </c>
      <c r="E13581" t="s">
        <v>3117</v>
      </c>
      <c r="F13581" t="s">
        <v>88</v>
      </c>
      <c r="G13581" t="s">
        <v>88</v>
      </c>
      <c r="H13581" t="s">
        <v>92</v>
      </c>
    </row>
    <row r="13582" spans="1:8" x14ac:dyDescent="0.25">
      <c r="A13582" t="s">
        <v>379</v>
      </c>
      <c r="B13582" t="s">
        <v>998</v>
      </c>
      <c r="C13582" t="s">
        <v>88</v>
      </c>
      <c r="D13582" t="s">
        <v>88</v>
      </c>
      <c r="E13582" t="s">
        <v>3117</v>
      </c>
      <c r="F13582" t="s">
        <v>88</v>
      </c>
      <c r="G13582" t="s">
        <v>88</v>
      </c>
      <c r="H13582" t="s">
        <v>92</v>
      </c>
    </row>
    <row r="13583" spans="1:8" x14ac:dyDescent="0.25">
      <c r="A13583" t="s">
        <v>379</v>
      </c>
      <c r="B13583" t="s">
        <v>1073</v>
      </c>
      <c r="C13583" t="s">
        <v>88</v>
      </c>
      <c r="D13583" t="s">
        <v>88</v>
      </c>
      <c r="E13583" t="s">
        <v>3117</v>
      </c>
      <c r="F13583" t="s">
        <v>88</v>
      </c>
      <c r="G13583" t="s">
        <v>88</v>
      </c>
      <c r="H13583" t="s">
        <v>92</v>
      </c>
    </row>
    <row r="13584" spans="1:8" x14ac:dyDescent="0.25">
      <c r="A13584" t="s">
        <v>379</v>
      </c>
      <c r="B13584" t="s">
        <v>10806</v>
      </c>
      <c r="C13584" t="s">
        <v>88</v>
      </c>
      <c r="D13584" t="s">
        <v>88</v>
      </c>
      <c r="E13584" t="s">
        <v>10807</v>
      </c>
      <c r="F13584" t="s">
        <v>88</v>
      </c>
      <c r="G13584" t="s">
        <v>88</v>
      </c>
      <c r="H13584" t="s">
        <v>92</v>
      </c>
    </row>
    <row r="13585" spans="1:8" x14ac:dyDescent="0.25">
      <c r="A13585" t="s">
        <v>379</v>
      </c>
      <c r="B13585" t="s">
        <v>1609</v>
      </c>
      <c r="C13585" t="s">
        <v>88</v>
      </c>
      <c r="D13585" t="s">
        <v>88</v>
      </c>
      <c r="E13585" t="s">
        <v>1765</v>
      </c>
      <c r="F13585" t="s">
        <v>88</v>
      </c>
      <c r="G13585" t="s">
        <v>88</v>
      </c>
      <c r="H13585" t="s">
        <v>92</v>
      </c>
    </row>
    <row r="13586" spans="1:8" x14ac:dyDescent="0.25">
      <c r="A13586" t="s">
        <v>379</v>
      </c>
      <c r="B13586" t="s">
        <v>1611</v>
      </c>
      <c r="C13586" t="s">
        <v>88</v>
      </c>
      <c r="D13586" t="s">
        <v>88</v>
      </c>
      <c r="E13586" t="s">
        <v>1765</v>
      </c>
      <c r="F13586" t="s">
        <v>88</v>
      </c>
      <c r="G13586" t="s">
        <v>88</v>
      </c>
      <c r="H13586" t="s">
        <v>92</v>
      </c>
    </row>
    <row r="13587" spans="1:8" x14ac:dyDescent="0.25">
      <c r="A13587" t="s">
        <v>379</v>
      </c>
      <c r="B13587" t="s">
        <v>625</v>
      </c>
      <c r="C13587" t="s">
        <v>88</v>
      </c>
      <c r="D13587" t="s">
        <v>88</v>
      </c>
      <c r="E13587" t="s">
        <v>626</v>
      </c>
      <c r="F13587" t="s">
        <v>88</v>
      </c>
      <c r="G13587" t="s">
        <v>88</v>
      </c>
      <c r="H13587" t="s">
        <v>92</v>
      </c>
    </row>
    <row r="13588" spans="1:8" x14ac:dyDescent="0.25">
      <c r="A13588" t="s">
        <v>381</v>
      </c>
      <c r="B13588" t="s">
        <v>10808</v>
      </c>
      <c r="C13588" t="s">
        <v>88</v>
      </c>
      <c r="D13588" t="s">
        <v>10809</v>
      </c>
      <c r="E13588" t="s">
        <v>692</v>
      </c>
      <c r="F13588" t="s">
        <v>88</v>
      </c>
      <c r="G13588" t="s">
        <v>88</v>
      </c>
      <c r="H13588" t="s">
        <v>92</v>
      </c>
    </row>
    <row r="13589" spans="1:8" x14ac:dyDescent="0.25">
      <c r="A13589" t="s">
        <v>381</v>
      </c>
      <c r="B13589" t="s">
        <v>1780</v>
      </c>
      <c r="C13589" t="s">
        <v>88</v>
      </c>
      <c r="D13589" t="s">
        <v>88</v>
      </c>
      <c r="E13589" t="s">
        <v>715</v>
      </c>
      <c r="F13589" t="s">
        <v>88</v>
      </c>
      <c r="G13589" t="s">
        <v>88</v>
      </c>
      <c r="H13589" t="s">
        <v>92</v>
      </c>
    </row>
    <row r="13590" spans="1:8" x14ac:dyDescent="0.25">
      <c r="A13590" t="s">
        <v>381</v>
      </c>
      <c r="B13590" t="s">
        <v>10810</v>
      </c>
      <c r="C13590" t="s">
        <v>88</v>
      </c>
      <c r="D13590" t="s">
        <v>10811</v>
      </c>
      <c r="E13590" t="s">
        <v>700</v>
      </c>
      <c r="F13590" t="s">
        <v>88</v>
      </c>
      <c r="G13590" t="s">
        <v>88</v>
      </c>
      <c r="H13590" t="s">
        <v>92</v>
      </c>
    </row>
    <row r="13591" spans="1:8" x14ac:dyDescent="0.25">
      <c r="A13591" t="s">
        <v>381</v>
      </c>
      <c r="B13591" t="s">
        <v>10812</v>
      </c>
      <c r="C13591" t="s">
        <v>88</v>
      </c>
      <c r="D13591" t="s">
        <v>10811</v>
      </c>
      <c r="E13591" t="s">
        <v>721</v>
      </c>
      <c r="F13591" t="s">
        <v>88</v>
      </c>
      <c r="G13591" t="s">
        <v>88</v>
      </c>
      <c r="H13591" t="s">
        <v>92</v>
      </c>
    </row>
    <row r="13592" spans="1:8" x14ac:dyDescent="0.25">
      <c r="A13592" t="s">
        <v>381</v>
      </c>
      <c r="B13592" t="s">
        <v>5038</v>
      </c>
      <c r="C13592" t="s">
        <v>88</v>
      </c>
      <c r="D13592" t="s">
        <v>10811</v>
      </c>
      <c r="E13592" t="s">
        <v>721</v>
      </c>
      <c r="F13592" t="s">
        <v>88</v>
      </c>
      <c r="G13592" t="s">
        <v>88</v>
      </c>
      <c r="H13592" t="s">
        <v>92</v>
      </c>
    </row>
    <row r="13593" spans="1:8" x14ac:dyDescent="0.25">
      <c r="A13593" t="s">
        <v>381</v>
      </c>
      <c r="B13593" t="s">
        <v>10813</v>
      </c>
      <c r="C13593" t="s">
        <v>88</v>
      </c>
      <c r="D13593" t="s">
        <v>10811</v>
      </c>
      <c r="E13593" t="s">
        <v>1241</v>
      </c>
      <c r="F13593" t="s">
        <v>88</v>
      </c>
      <c r="G13593" t="s">
        <v>88</v>
      </c>
      <c r="H13593" t="s">
        <v>92</v>
      </c>
    </row>
    <row r="13594" spans="1:8" x14ac:dyDescent="0.25">
      <c r="A13594" t="s">
        <v>381</v>
      </c>
      <c r="B13594" t="s">
        <v>10814</v>
      </c>
      <c r="C13594" t="s">
        <v>88</v>
      </c>
      <c r="D13594" t="s">
        <v>10811</v>
      </c>
      <c r="E13594" t="s">
        <v>820</v>
      </c>
      <c r="F13594" t="s">
        <v>88</v>
      </c>
      <c r="G13594" t="s">
        <v>88</v>
      </c>
      <c r="H13594" t="s">
        <v>92</v>
      </c>
    </row>
    <row r="13595" spans="1:8" x14ac:dyDescent="0.25">
      <c r="A13595" t="s">
        <v>381</v>
      </c>
      <c r="B13595" t="s">
        <v>10815</v>
      </c>
      <c r="C13595" t="s">
        <v>88</v>
      </c>
      <c r="D13595" t="s">
        <v>10811</v>
      </c>
      <c r="E13595" t="s">
        <v>1259</v>
      </c>
      <c r="F13595" t="s">
        <v>88</v>
      </c>
      <c r="G13595" t="s">
        <v>88</v>
      </c>
      <c r="H13595" t="s">
        <v>92</v>
      </c>
    </row>
    <row r="13596" spans="1:8" x14ac:dyDescent="0.25">
      <c r="A13596" t="s">
        <v>381</v>
      </c>
      <c r="B13596" t="s">
        <v>10816</v>
      </c>
      <c r="C13596" t="s">
        <v>88</v>
      </c>
      <c r="D13596" t="s">
        <v>10811</v>
      </c>
      <c r="E13596" t="s">
        <v>700</v>
      </c>
      <c r="F13596" t="s">
        <v>88</v>
      </c>
      <c r="G13596" t="s">
        <v>88</v>
      </c>
      <c r="H13596" t="s">
        <v>92</v>
      </c>
    </row>
    <row r="13597" spans="1:8" x14ac:dyDescent="0.25">
      <c r="A13597" t="s">
        <v>381</v>
      </c>
      <c r="B13597" t="s">
        <v>10817</v>
      </c>
      <c r="C13597" t="s">
        <v>88</v>
      </c>
      <c r="D13597" t="s">
        <v>10811</v>
      </c>
      <c r="E13597" t="s">
        <v>1241</v>
      </c>
      <c r="F13597" t="s">
        <v>88</v>
      </c>
      <c r="G13597" t="s">
        <v>88</v>
      </c>
      <c r="H13597" t="s">
        <v>92</v>
      </c>
    </row>
    <row r="13598" spans="1:8" x14ac:dyDescent="0.25">
      <c r="A13598" t="s">
        <v>381</v>
      </c>
      <c r="B13598" t="s">
        <v>10818</v>
      </c>
      <c r="C13598" t="s">
        <v>88</v>
      </c>
      <c r="D13598" t="s">
        <v>10811</v>
      </c>
      <c r="E13598" t="s">
        <v>820</v>
      </c>
      <c r="F13598" t="s">
        <v>88</v>
      </c>
      <c r="G13598" t="s">
        <v>88</v>
      </c>
      <c r="H13598" t="s">
        <v>92</v>
      </c>
    </row>
    <row r="13599" spans="1:8" x14ac:dyDescent="0.25">
      <c r="A13599" t="s">
        <v>381</v>
      </c>
      <c r="B13599" t="s">
        <v>10819</v>
      </c>
      <c r="C13599" t="s">
        <v>88</v>
      </c>
      <c r="D13599" t="s">
        <v>10811</v>
      </c>
      <c r="E13599" t="s">
        <v>1259</v>
      </c>
      <c r="F13599" t="s">
        <v>88</v>
      </c>
      <c r="G13599" t="s">
        <v>88</v>
      </c>
      <c r="H13599" t="s">
        <v>92</v>
      </c>
    </row>
    <row r="13600" spans="1:8" x14ac:dyDescent="0.25">
      <c r="A13600" t="s">
        <v>381</v>
      </c>
      <c r="B13600" t="s">
        <v>4136</v>
      </c>
      <c r="C13600" t="s">
        <v>88</v>
      </c>
      <c r="D13600" t="s">
        <v>88</v>
      </c>
      <c r="E13600" t="s">
        <v>979</v>
      </c>
      <c r="F13600" t="s">
        <v>88</v>
      </c>
      <c r="G13600" t="s">
        <v>88</v>
      </c>
      <c r="H13600" t="s">
        <v>92</v>
      </c>
    </row>
    <row r="13601" spans="1:8" x14ac:dyDescent="0.25">
      <c r="A13601" t="s">
        <v>381</v>
      </c>
      <c r="B13601" t="s">
        <v>4138</v>
      </c>
      <c r="C13601" t="s">
        <v>88</v>
      </c>
      <c r="D13601" t="s">
        <v>88</v>
      </c>
      <c r="E13601" t="s">
        <v>836</v>
      </c>
      <c r="F13601" t="s">
        <v>88</v>
      </c>
      <c r="G13601" t="s">
        <v>88</v>
      </c>
      <c r="H13601" t="s">
        <v>92</v>
      </c>
    </row>
    <row r="13602" spans="1:8" x14ac:dyDescent="0.25">
      <c r="A13602" t="s">
        <v>381</v>
      </c>
      <c r="B13602" t="s">
        <v>10820</v>
      </c>
      <c r="C13602" t="s">
        <v>88</v>
      </c>
      <c r="D13602" t="s">
        <v>88</v>
      </c>
      <c r="E13602" t="s">
        <v>6044</v>
      </c>
      <c r="F13602" t="s">
        <v>88</v>
      </c>
      <c r="G13602" t="s">
        <v>88</v>
      </c>
      <c r="H13602" t="s">
        <v>92</v>
      </c>
    </row>
    <row r="13603" spans="1:8" x14ac:dyDescent="0.25">
      <c r="A13603" t="s">
        <v>381</v>
      </c>
      <c r="B13603" t="s">
        <v>4027</v>
      </c>
      <c r="C13603" t="s">
        <v>88</v>
      </c>
      <c r="D13603" t="s">
        <v>10821</v>
      </c>
      <c r="E13603" t="s">
        <v>1171</v>
      </c>
      <c r="F13603" t="s">
        <v>88</v>
      </c>
      <c r="G13603" t="s">
        <v>88</v>
      </c>
      <c r="H13603" t="s">
        <v>92</v>
      </c>
    </row>
    <row r="13604" spans="1:8" x14ac:dyDescent="0.25">
      <c r="A13604" t="s">
        <v>381</v>
      </c>
      <c r="B13604" t="s">
        <v>4028</v>
      </c>
      <c r="C13604" t="s">
        <v>88</v>
      </c>
      <c r="D13604" t="s">
        <v>10822</v>
      </c>
      <c r="E13604" t="s">
        <v>7126</v>
      </c>
      <c r="F13604" t="s">
        <v>88</v>
      </c>
      <c r="G13604" t="s">
        <v>88</v>
      </c>
      <c r="H13604" t="s">
        <v>92</v>
      </c>
    </row>
    <row r="13605" spans="1:8" x14ac:dyDescent="0.25">
      <c r="A13605" t="s">
        <v>381</v>
      </c>
      <c r="B13605" t="s">
        <v>4029</v>
      </c>
      <c r="C13605" t="s">
        <v>88</v>
      </c>
      <c r="D13605" t="s">
        <v>10823</v>
      </c>
      <c r="E13605" t="s">
        <v>1920</v>
      </c>
      <c r="F13605" t="s">
        <v>88</v>
      </c>
      <c r="G13605" t="s">
        <v>88</v>
      </c>
      <c r="H13605" t="s">
        <v>92</v>
      </c>
    </row>
    <row r="13606" spans="1:8" x14ac:dyDescent="0.25">
      <c r="A13606" t="s">
        <v>381</v>
      </c>
      <c r="B13606" t="s">
        <v>1659</v>
      </c>
      <c r="C13606" t="s">
        <v>88</v>
      </c>
      <c r="D13606" t="s">
        <v>10824</v>
      </c>
      <c r="E13606" t="s">
        <v>692</v>
      </c>
      <c r="F13606" t="s">
        <v>88</v>
      </c>
      <c r="G13606" t="s">
        <v>88</v>
      </c>
      <c r="H13606" t="s">
        <v>92</v>
      </c>
    </row>
    <row r="13607" spans="1:8" x14ac:dyDescent="0.25">
      <c r="A13607" t="s">
        <v>381</v>
      </c>
      <c r="B13607" t="s">
        <v>10825</v>
      </c>
      <c r="C13607" t="s">
        <v>88</v>
      </c>
      <c r="D13607" t="s">
        <v>10826</v>
      </c>
      <c r="E13607" t="s">
        <v>899</v>
      </c>
      <c r="F13607" t="s">
        <v>88</v>
      </c>
      <c r="G13607" t="s">
        <v>88</v>
      </c>
      <c r="H13607" t="s">
        <v>92</v>
      </c>
    </row>
    <row r="13608" spans="1:8" x14ac:dyDescent="0.25">
      <c r="A13608" t="s">
        <v>381</v>
      </c>
      <c r="B13608" t="s">
        <v>2151</v>
      </c>
      <c r="C13608" t="s">
        <v>88</v>
      </c>
      <c r="D13608" t="s">
        <v>10811</v>
      </c>
      <c r="E13608" t="s">
        <v>679</v>
      </c>
      <c r="F13608" t="s">
        <v>88</v>
      </c>
      <c r="G13608" t="s">
        <v>88</v>
      </c>
      <c r="H13608" t="s">
        <v>92</v>
      </c>
    </row>
    <row r="13609" spans="1:8" x14ac:dyDescent="0.25">
      <c r="A13609" t="s">
        <v>381</v>
      </c>
      <c r="B13609" t="s">
        <v>776</v>
      </c>
      <c r="C13609" t="s">
        <v>88</v>
      </c>
      <c r="D13609" t="s">
        <v>10811</v>
      </c>
      <c r="E13609" t="s">
        <v>679</v>
      </c>
      <c r="F13609" t="s">
        <v>88</v>
      </c>
      <c r="G13609" t="s">
        <v>88</v>
      </c>
      <c r="H13609" t="s">
        <v>92</v>
      </c>
    </row>
    <row r="13610" spans="1:8" x14ac:dyDescent="0.25">
      <c r="A13610" t="s">
        <v>381</v>
      </c>
      <c r="B13610" t="s">
        <v>768</v>
      </c>
      <c r="C13610" t="s">
        <v>88</v>
      </c>
      <c r="D13610" t="s">
        <v>88</v>
      </c>
      <c r="E13610" t="s">
        <v>762</v>
      </c>
      <c r="F13610" t="s">
        <v>88</v>
      </c>
      <c r="G13610" t="s">
        <v>88</v>
      </c>
      <c r="H13610" t="s">
        <v>92</v>
      </c>
    </row>
    <row r="13611" spans="1:8" x14ac:dyDescent="0.25">
      <c r="A13611" t="s">
        <v>381</v>
      </c>
      <c r="B13611" t="s">
        <v>2419</v>
      </c>
      <c r="C13611" t="s">
        <v>88</v>
      </c>
      <c r="D13611" t="s">
        <v>10821</v>
      </c>
      <c r="E13611" t="s">
        <v>825</v>
      </c>
      <c r="F13611" t="s">
        <v>88</v>
      </c>
      <c r="G13611" t="s">
        <v>88</v>
      </c>
      <c r="H13611" t="s">
        <v>92</v>
      </c>
    </row>
    <row r="13612" spans="1:8" x14ac:dyDescent="0.25">
      <c r="A13612" t="s">
        <v>381</v>
      </c>
      <c r="B13612" t="s">
        <v>2423</v>
      </c>
      <c r="C13612" t="s">
        <v>88</v>
      </c>
      <c r="D13612" t="s">
        <v>10823</v>
      </c>
      <c r="E13612" t="s">
        <v>641</v>
      </c>
      <c r="F13612" t="s">
        <v>88</v>
      </c>
      <c r="G13612" t="s">
        <v>88</v>
      </c>
      <c r="H13612" t="s">
        <v>92</v>
      </c>
    </row>
    <row r="13613" spans="1:8" x14ac:dyDescent="0.25">
      <c r="A13613" t="s">
        <v>381</v>
      </c>
      <c r="B13613" t="s">
        <v>1868</v>
      </c>
      <c r="C13613" t="s">
        <v>88</v>
      </c>
      <c r="D13613" t="s">
        <v>10827</v>
      </c>
      <c r="E13613" t="s">
        <v>883</v>
      </c>
      <c r="F13613" t="s">
        <v>88</v>
      </c>
      <c r="G13613" t="s">
        <v>88</v>
      </c>
      <c r="H13613" t="s">
        <v>92</v>
      </c>
    </row>
    <row r="13614" spans="1:8" x14ac:dyDescent="0.25">
      <c r="A13614" t="s">
        <v>381</v>
      </c>
      <c r="B13614" t="s">
        <v>10828</v>
      </c>
      <c r="C13614" t="s">
        <v>88</v>
      </c>
      <c r="D13614" t="s">
        <v>10829</v>
      </c>
      <c r="E13614" t="s">
        <v>748</v>
      </c>
      <c r="F13614" t="s">
        <v>88</v>
      </c>
      <c r="G13614" t="s">
        <v>88</v>
      </c>
      <c r="H13614" t="s">
        <v>92</v>
      </c>
    </row>
    <row r="13615" spans="1:8" x14ac:dyDescent="0.25">
      <c r="A13615" t="s">
        <v>381</v>
      </c>
      <c r="B13615" t="s">
        <v>1322</v>
      </c>
      <c r="C13615" t="s">
        <v>88</v>
      </c>
      <c r="D13615" t="s">
        <v>88</v>
      </c>
      <c r="E13615" t="s">
        <v>613</v>
      </c>
      <c r="F13615" t="s">
        <v>88</v>
      </c>
      <c r="G13615" t="s">
        <v>88</v>
      </c>
      <c r="H13615" t="s">
        <v>92</v>
      </c>
    </row>
    <row r="13616" spans="1:8" x14ac:dyDescent="0.25">
      <c r="A13616" t="s">
        <v>381</v>
      </c>
      <c r="B13616" t="s">
        <v>2013</v>
      </c>
      <c r="C13616" t="s">
        <v>88</v>
      </c>
      <c r="D13616" t="s">
        <v>88</v>
      </c>
      <c r="E13616" t="s">
        <v>613</v>
      </c>
      <c r="F13616" t="s">
        <v>88</v>
      </c>
      <c r="G13616" t="s">
        <v>88</v>
      </c>
      <c r="H13616" t="s">
        <v>92</v>
      </c>
    </row>
    <row r="13617" spans="1:8" x14ac:dyDescent="0.25">
      <c r="A13617" t="s">
        <v>381</v>
      </c>
      <c r="B13617" t="s">
        <v>3559</v>
      </c>
      <c r="C13617" t="s">
        <v>88</v>
      </c>
      <c r="D13617" t="s">
        <v>88</v>
      </c>
      <c r="E13617" t="s">
        <v>613</v>
      </c>
      <c r="F13617" t="s">
        <v>88</v>
      </c>
      <c r="G13617" t="s">
        <v>88</v>
      </c>
      <c r="H13617" t="s">
        <v>92</v>
      </c>
    </row>
    <row r="13618" spans="1:8" x14ac:dyDescent="0.25">
      <c r="A13618" t="s">
        <v>381</v>
      </c>
      <c r="B13618" t="s">
        <v>4034</v>
      </c>
      <c r="C13618" t="s">
        <v>88</v>
      </c>
      <c r="D13618" t="s">
        <v>88</v>
      </c>
      <c r="E13618" t="s">
        <v>711</v>
      </c>
      <c r="F13618" t="s">
        <v>88</v>
      </c>
      <c r="G13618" t="s">
        <v>88</v>
      </c>
      <c r="H13618" t="s">
        <v>92</v>
      </c>
    </row>
    <row r="13619" spans="1:8" x14ac:dyDescent="0.25">
      <c r="A13619" t="s">
        <v>381</v>
      </c>
      <c r="B13619" t="s">
        <v>1764</v>
      </c>
      <c r="C13619" t="s">
        <v>88</v>
      </c>
      <c r="D13619" t="s">
        <v>88</v>
      </c>
      <c r="E13619" t="s">
        <v>711</v>
      </c>
      <c r="F13619" t="s">
        <v>88</v>
      </c>
      <c r="G13619" t="s">
        <v>88</v>
      </c>
      <c r="H13619" t="s">
        <v>92</v>
      </c>
    </row>
    <row r="13620" spans="1:8" x14ac:dyDescent="0.25">
      <c r="A13620" t="s">
        <v>381</v>
      </c>
      <c r="B13620" t="s">
        <v>10830</v>
      </c>
      <c r="C13620" t="s">
        <v>88</v>
      </c>
      <c r="D13620" t="s">
        <v>88</v>
      </c>
      <c r="E13620" t="s">
        <v>711</v>
      </c>
      <c r="F13620" t="s">
        <v>88</v>
      </c>
      <c r="G13620" t="s">
        <v>88</v>
      </c>
      <c r="H13620" t="s">
        <v>92</v>
      </c>
    </row>
    <row r="13621" spans="1:8" x14ac:dyDescent="0.25">
      <c r="A13621" t="s">
        <v>381</v>
      </c>
      <c r="B13621" t="s">
        <v>1609</v>
      </c>
      <c r="C13621" t="s">
        <v>88</v>
      </c>
      <c r="D13621" t="s">
        <v>88</v>
      </c>
      <c r="E13621" t="s">
        <v>850</v>
      </c>
      <c r="F13621" t="s">
        <v>88</v>
      </c>
      <c r="G13621" t="s">
        <v>88</v>
      </c>
      <c r="H13621" t="s">
        <v>92</v>
      </c>
    </row>
    <row r="13622" spans="1:8" x14ac:dyDescent="0.25">
      <c r="A13622" t="s">
        <v>381</v>
      </c>
      <c r="B13622" t="s">
        <v>1611</v>
      </c>
      <c r="C13622" t="s">
        <v>88</v>
      </c>
      <c r="D13622" t="s">
        <v>88</v>
      </c>
      <c r="E13622" t="s">
        <v>850</v>
      </c>
      <c r="F13622" t="s">
        <v>88</v>
      </c>
      <c r="G13622" t="s">
        <v>88</v>
      </c>
      <c r="H13622" t="s">
        <v>92</v>
      </c>
    </row>
    <row r="13623" spans="1:8" x14ac:dyDescent="0.25">
      <c r="A13623" t="s">
        <v>381</v>
      </c>
      <c r="B13623" t="s">
        <v>10831</v>
      </c>
      <c r="C13623" t="s">
        <v>88</v>
      </c>
      <c r="D13623" t="s">
        <v>88</v>
      </c>
      <c r="E13623" t="s">
        <v>734</v>
      </c>
      <c r="F13623" t="s">
        <v>88</v>
      </c>
      <c r="G13623" t="s">
        <v>88</v>
      </c>
      <c r="H13623" t="s">
        <v>92</v>
      </c>
    </row>
    <row r="13624" spans="1:8" x14ac:dyDescent="0.25">
      <c r="A13624" t="s">
        <v>381</v>
      </c>
      <c r="B13624" t="s">
        <v>10832</v>
      </c>
      <c r="C13624" t="s">
        <v>88</v>
      </c>
      <c r="D13624" t="s">
        <v>88</v>
      </c>
      <c r="E13624" t="s">
        <v>734</v>
      </c>
      <c r="F13624" t="s">
        <v>88</v>
      </c>
      <c r="G13624" t="s">
        <v>88</v>
      </c>
      <c r="H13624" t="s">
        <v>92</v>
      </c>
    </row>
    <row r="13625" spans="1:8" x14ac:dyDescent="0.25">
      <c r="A13625" t="s">
        <v>381</v>
      </c>
      <c r="B13625" t="s">
        <v>794</v>
      </c>
      <c r="C13625" t="s">
        <v>88</v>
      </c>
      <c r="D13625" t="s">
        <v>88</v>
      </c>
      <c r="E13625" t="s">
        <v>734</v>
      </c>
      <c r="F13625" t="s">
        <v>88</v>
      </c>
      <c r="G13625" t="s">
        <v>88</v>
      </c>
      <c r="H13625" t="s">
        <v>92</v>
      </c>
    </row>
    <row r="13626" spans="1:8" x14ac:dyDescent="0.25">
      <c r="A13626" t="s">
        <v>381</v>
      </c>
      <c r="B13626" t="s">
        <v>618</v>
      </c>
      <c r="C13626" t="s">
        <v>88</v>
      </c>
      <c r="D13626" t="s">
        <v>88</v>
      </c>
      <c r="E13626" t="s">
        <v>710</v>
      </c>
      <c r="F13626" t="s">
        <v>88</v>
      </c>
      <c r="G13626" t="s">
        <v>88</v>
      </c>
      <c r="H13626" t="s">
        <v>92</v>
      </c>
    </row>
    <row r="13627" spans="1:8" x14ac:dyDescent="0.25">
      <c r="A13627" t="s">
        <v>381</v>
      </c>
      <c r="B13627" t="s">
        <v>10833</v>
      </c>
      <c r="C13627" t="s">
        <v>88</v>
      </c>
      <c r="D13627" t="s">
        <v>88</v>
      </c>
      <c r="E13627" t="s">
        <v>734</v>
      </c>
      <c r="F13627" t="s">
        <v>88</v>
      </c>
      <c r="G13627" t="s">
        <v>88</v>
      </c>
      <c r="H13627" t="s">
        <v>92</v>
      </c>
    </row>
    <row r="13628" spans="1:8" x14ac:dyDescent="0.25">
      <c r="A13628" t="s">
        <v>381</v>
      </c>
      <c r="B13628" t="s">
        <v>10834</v>
      </c>
      <c r="C13628" t="s">
        <v>88</v>
      </c>
      <c r="D13628" t="s">
        <v>88</v>
      </c>
      <c r="E13628" t="s">
        <v>734</v>
      </c>
      <c r="F13628" t="s">
        <v>88</v>
      </c>
      <c r="G13628" t="s">
        <v>88</v>
      </c>
      <c r="H13628" t="s">
        <v>92</v>
      </c>
    </row>
    <row r="13629" spans="1:8" x14ac:dyDescent="0.25">
      <c r="A13629" t="s">
        <v>381</v>
      </c>
      <c r="B13629" t="s">
        <v>10835</v>
      </c>
      <c r="C13629" t="s">
        <v>88</v>
      </c>
      <c r="D13629" t="s">
        <v>88</v>
      </c>
      <c r="E13629" t="s">
        <v>734</v>
      </c>
      <c r="F13629" t="s">
        <v>88</v>
      </c>
      <c r="G13629" t="s">
        <v>88</v>
      </c>
      <c r="H13629" t="s">
        <v>92</v>
      </c>
    </row>
    <row r="13630" spans="1:8" x14ac:dyDescent="0.25">
      <c r="A13630" t="s">
        <v>381</v>
      </c>
      <c r="B13630" t="s">
        <v>10836</v>
      </c>
      <c r="C13630" t="s">
        <v>88</v>
      </c>
      <c r="D13630" t="s">
        <v>88</v>
      </c>
      <c r="E13630" t="s">
        <v>734</v>
      </c>
      <c r="F13630" t="s">
        <v>88</v>
      </c>
      <c r="G13630" t="s">
        <v>88</v>
      </c>
      <c r="H13630" t="s">
        <v>92</v>
      </c>
    </row>
    <row r="13631" spans="1:8" x14ac:dyDescent="0.25">
      <c r="A13631" t="s">
        <v>381</v>
      </c>
      <c r="B13631" t="s">
        <v>620</v>
      </c>
      <c r="C13631" t="s">
        <v>88</v>
      </c>
      <c r="D13631" t="s">
        <v>88</v>
      </c>
      <c r="E13631" t="s">
        <v>710</v>
      </c>
      <c r="F13631" t="s">
        <v>88</v>
      </c>
      <c r="G13631" t="s">
        <v>88</v>
      </c>
      <c r="H13631" t="s">
        <v>92</v>
      </c>
    </row>
    <row r="13632" spans="1:8" x14ac:dyDescent="0.25">
      <c r="A13632" t="s">
        <v>381</v>
      </c>
      <c r="B13632" t="s">
        <v>622</v>
      </c>
      <c r="C13632" t="s">
        <v>88</v>
      </c>
      <c r="D13632" t="s">
        <v>88</v>
      </c>
      <c r="E13632" t="s">
        <v>848</v>
      </c>
      <c r="F13632" t="s">
        <v>88</v>
      </c>
      <c r="G13632" t="s">
        <v>88</v>
      </c>
      <c r="H13632" t="s">
        <v>92</v>
      </c>
    </row>
    <row r="13633" spans="1:8" x14ac:dyDescent="0.25">
      <c r="A13633" t="s">
        <v>381</v>
      </c>
      <c r="B13633" t="s">
        <v>10837</v>
      </c>
      <c r="C13633" t="s">
        <v>88</v>
      </c>
      <c r="D13633" t="s">
        <v>88</v>
      </c>
      <c r="E13633" t="s">
        <v>713</v>
      </c>
      <c r="F13633" t="s">
        <v>88</v>
      </c>
      <c r="G13633" t="s">
        <v>88</v>
      </c>
      <c r="H13633" t="s">
        <v>92</v>
      </c>
    </row>
    <row r="13634" spans="1:8" x14ac:dyDescent="0.25">
      <c r="A13634" t="s">
        <v>381</v>
      </c>
      <c r="B13634" t="s">
        <v>625</v>
      </c>
      <c r="C13634" t="s">
        <v>88</v>
      </c>
      <c r="D13634" t="s">
        <v>88</v>
      </c>
      <c r="E13634" t="s">
        <v>626</v>
      </c>
      <c r="F13634" t="s">
        <v>88</v>
      </c>
      <c r="G13634" t="s">
        <v>88</v>
      </c>
      <c r="H13634" t="s">
        <v>92</v>
      </c>
    </row>
    <row r="13635" spans="1:8" x14ac:dyDescent="0.25">
      <c r="A13635" t="s">
        <v>382</v>
      </c>
      <c r="B13635" t="s">
        <v>10838</v>
      </c>
      <c r="C13635" t="s">
        <v>88</v>
      </c>
      <c r="D13635" t="s">
        <v>10839</v>
      </c>
      <c r="E13635" t="s">
        <v>760</v>
      </c>
      <c r="F13635" t="s">
        <v>88</v>
      </c>
      <c r="G13635" t="s">
        <v>88</v>
      </c>
      <c r="H13635" t="s">
        <v>92</v>
      </c>
    </row>
    <row r="13636" spans="1:8" x14ac:dyDescent="0.25">
      <c r="A13636" t="s">
        <v>382</v>
      </c>
      <c r="B13636" t="s">
        <v>10840</v>
      </c>
      <c r="C13636" t="s">
        <v>88</v>
      </c>
      <c r="D13636" t="s">
        <v>10841</v>
      </c>
      <c r="E13636" t="s">
        <v>663</v>
      </c>
      <c r="F13636" t="s">
        <v>88</v>
      </c>
      <c r="G13636" t="s">
        <v>88</v>
      </c>
      <c r="H13636" t="s">
        <v>92</v>
      </c>
    </row>
    <row r="13637" spans="1:8" x14ac:dyDescent="0.25">
      <c r="A13637" t="s">
        <v>382</v>
      </c>
      <c r="B13637" t="s">
        <v>1365</v>
      </c>
      <c r="C13637" t="s">
        <v>88</v>
      </c>
      <c r="D13637" t="s">
        <v>10842</v>
      </c>
      <c r="E13637" t="s">
        <v>692</v>
      </c>
      <c r="F13637" t="s">
        <v>88</v>
      </c>
      <c r="G13637" t="s">
        <v>88</v>
      </c>
      <c r="H13637" t="s">
        <v>92</v>
      </c>
    </row>
    <row r="13638" spans="1:8" x14ac:dyDescent="0.25">
      <c r="A13638" t="s">
        <v>382</v>
      </c>
      <c r="B13638" t="s">
        <v>10843</v>
      </c>
      <c r="C13638" t="s">
        <v>88</v>
      </c>
      <c r="D13638" t="s">
        <v>10844</v>
      </c>
      <c r="E13638" t="s">
        <v>844</v>
      </c>
      <c r="F13638" t="s">
        <v>88</v>
      </c>
      <c r="G13638" t="s">
        <v>88</v>
      </c>
      <c r="H13638" t="s">
        <v>92</v>
      </c>
    </row>
    <row r="13639" spans="1:8" x14ac:dyDescent="0.25">
      <c r="A13639" t="s">
        <v>382</v>
      </c>
      <c r="B13639" t="s">
        <v>10845</v>
      </c>
      <c r="C13639" t="s">
        <v>88</v>
      </c>
      <c r="D13639" t="s">
        <v>10846</v>
      </c>
      <c r="E13639" t="s">
        <v>700</v>
      </c>
      <c r="F13639" t="s">
        <v>88</v>
      </c>
      <c r="G13639" t="s">
        <v>88</v>
      </c>
      <c r="H13639" t="s">
        <v>92</v>
      </c>
    </row>
    <row r="13640" spans="1:8" x14ac:dyDescent="0.25">
      <c r="A13640" t="s">
        <v>382</v>
      </c>
      <c r="B13640" t="s">
        <v>10847</v>
      </c>
      <c r="C13640" t="s">
        <v>88</v>
      </c>
      <c r="D13640" t="s">
        <v>10848</v>
      </c>
      <c r="E13640" t="s">
        <v>1663</v>
      </c>
      <c r="F13640" t="s">
        <v>88</v>
      </c>
      <c r="G13640" t="s">
        <v>88</v>
      </c>
      <c r="H13640" t="s">
        <v>92</v>
      </c>
    </row>
    <row r="13641" spans="1:8" x14ac:dyDescent="0.25">
      <c r="A13641" t="s">
        <v>382</v>
      </c>
      <c r="B13641" t="s">
        <v>10849</v>
      </c>
      <c r="C13641" t="s">
        <v>88</v>
      </c>
      <c r="D13641" t="s">
        <v>10850</v>
      </c>
      <c r="E13641" t="s">
        <v>937</v>
      </c>
      <c r="F13641" t="s">
        <v>88</v>
      </c>
      <c r="G13641" t="s">
        <v>88</v>
      </c>
      <c r="H13641" t="s">
        <v>92</v>
      </c>
    </row>
    <row r="13642" spans="1:8" x14ac:dyDescent="0.25">
      <c r="A13642" t="s">
        <v>382</v>
      </c>
      <c r="B13642" t="s">
        <v>10851</v>
      </c>
      <c r="C13642" t="s">
        <v>88</v>
      </c>
      <c r="D13642" t="s">
        <v>10852</v>
      </c>
      <c r="E13642" t="s">
        <v>1971</v>
      </c>
      <c r="F13642" t="s">
        <v>88</v>
      </c>
      <c r="G13642" t="s">
        <v>88</v>
      </c>
      <c r="H13642" t="s">
        <v>92</v>
      </c>
    </row>
    <row r="13643" spans="1:8" x14ac:dyDescent="0.25">
      <c r="A13643" t="s">
        <v>382</v>
      </c>
      <c r="B13643" t="s">
        <v>10853</v>
      </c>
      <c r="C13643" t="s">
        <v>88</v>
      </c>
      <c r="D13643" t="s">
        <v>10854</v>
      </c>
      <c r="E13643" t="s">
        <v>1139</v>
      </c>
      <c r="F13643" t="s">
        <v>88</v>
      </c>
      <c r="G13643" t="s">
        <v>88</v>
      </c>
      <c r="H13643" t="s">
        <v>92</v>
      </c>
    </row>
    <row r="13644" spans="1:8" x14ac:dyDescent="0.25">
      <c r="A13644" t="s">
        <v>382</v>
      </c>
      <c r="B13644" t="s">
        <v>10855</v>
      </c>
      <c r="C13644" t="s">
        <v>88</v>
      </c>
      <c r="D13644" t="s">
        <v>10856</v>
      </c>
      <c r="E13644" t="s">
        <v>721</v>
      </c>
      <c r="F13644" t="s">
        <v>88</v>
      </c>
      <c r="G13644" t="s">
        <v>88</v>
      </c>
      <c r="H13644" t="s">
        <v>92</v>
      </c>
    </row>
    <row r="13645" spans="1:8" x14ac:dyDescent="0.25">
      <c r="A13645" t="s">
        <v>382</v>
      </c>
      <c r="B13645" t="s">
        <v>10857</v>
      </c>
      <c r="C13645" t="s">
        <v>88</v>
      </c>
      <c r="D13645" t="s">
        <v>10858</v>
      </c>
      <c r="E13645" t="s">
        <v>762</v>
      </c>
      <c r="F13645" t="s">
        <v>88</v>
      </c>
      <c r="G13645" t="s">
        <v>88</v>
      </c>
      <c r="H13645" t="s">
        <v>92</v>
      </c>
    </row>
    <row r="13646" spans="1:8" x14ac:dyDescent="0.25">
      <c r="A13646" t="s">
        <v>382</v>
      </c>
      <c r="B13646" t="s">
        <v>10838</v>
      </c>
      <c r="C13646" t="s">
        <v>88</v>
      </c>
      <c r="D13646" t="s">
        <v>10839</v>
      </c>
      <c r="E13646" t="s">
        <v>760</v>
      </c>
      <c r="F13646" t="s">
        <v>88</v>
      </c>
      <c r="G13646" t="s">
        <v>88</v>
      </c>
      <c r="H13646" t="s">
        <v>92</v>
      </c>
    </row>
    <row r="13647" spans="1:8" x14ac:dyDescent="0.25">
      <c r="A13647" t="s">
        <v>382</v>
      </c>
      <c r="B13647" t="s">
        <v>1365</v>
      </c>
      <c r="C13647" t="s">
        <v>88</v>
      </c>
      <c r="D13647" t="s">
        <v>10842</v>
      </c>
      <c r="E13647" t="s">
        <v>692</v>
      </c>
      <c r="F13647" t="s">
        <v>88</v>
      </c>
      <c r="G13647" t="s">
        <v>88</v>
      </c>
      <c r="H13647" t="s">
        <v>92</v>
      </c>
    </row>
    <row r="13648" spans="1:8" x14ac:dyDescent="0.25">
      <c r="A13648" t="s">
        <v>382</v>
      </c>
      <c r="B13648" t="s">
        <v>10859</v>
      </c>
      <c r="C13648" t="s">
        <v>88</v>
      </c>
      <c r="D13648" t="s">
        <v>10860</v>
      </c>
      <c r="E13648" t="s">
        <v>844</v>
      </c>
      <c r="F13648" t="s">
        <v>88</v>
      </c>
      <c r="G13648" t="s">
        <v>88</v>
      </c>
      <c r="H13648" t="s">
        <v>92</v>
      </c>
    </row>
    <row r="13649" spans="1:8" x14ac:dyDescent="0.25">
      <c r="A13649" t="s">
        <v>382</v>
      </c>
      <c r="B13649" t="s">
        <v>10861</v>
      </c>
      <c r="C13649" t="s">
        <v>88</v>
      </c>
      <c r="D13649" t="s">
        <v>10862</v>
      </c>
      <c r="E13649" t="s">
        <v>814</v>
      </c>
      <c r="F13649" t="s">
        <v>88</v>
      </c>
      <c r="G13649" t="s">
        <v>88</v>
      </c>
      <c r="H13649" t="s">
        <v>92</v>
      </c>
    </row>
    <row r="13650" spans="1:8" x14ac:dyDescent="0.25">
      <c r="A13650" t="s">
        <v>382</v>
      </c>
      <c r="B13650" t="s">
        <v>10845</v>
      </c>
      <c r="C13650" t="s">
        <v>88</v>
      </c>
      <c r="D13650" t="s">
        <v>10846</v>
      </c>
      <c r="E13650" t="s">
        <v>700</v>
      </c>
      <c r="F13650" t="s">
        <v>88</v>
      </c>
      <c r="G13650" t="s">
        <v>88</v>
      </c>
      <c r="H13650" t="s">
        <v>92</v>
      </c>
    </row>
    <row r="13651" spans="1:8" x14ac:dyDescent="0.25">
      <c r="A13651" t="s">
        <v>382</v>
      </c>
      <c r="B13651" t="s">
        <v>10843</v>
      </c>
      <c r="C13651" t="s">
        <v>88</v>
      </c>
      <c r="D13651" t="s">
        <v>10844</v>
      </c>
      <c r="E13651" t="s">
        <v>844</v>
      </c>
      <c r="F13651" t="s">
        <v>88</v>
      </c>
      <c r="G13651" t="s">
        <v>88</v>
      </c>
      <c r="H13651" t="s">
        <v>92</v>
      </c>
    </row>
    <row r="13652" spans="1:8" x14ac:dyDescent="0.25">
      <c r="A13652" t="s">
        <v>382</v>
      </c>
      <c r="B13652" t="s">
        <v>10863</v>
      </c>
      <c r="C13652" t="s">
        <v>88</v>
      </c>
      <c r="D13652" t="s">
        <v>10864</v>
      </c>
      <c r="E13652" t="s">
        <v>844</v>
      </c>
      <c r="F13652" t="s">
        <v>88</v>
      </c>
      <c r="G13652" t="s">
        <v>88</v>
      </c>
      <c r="H13652" t="s">
        <v>92</v>
      </c>
    </row>
    <row r="13653" spans="1:8" x14ac:dyDescent="0.25">
      <c r="A13653" t="s">
        <v>382</v>
      </c>
      <c r="B13653" t="s">
        <v>10865</v>
      </c>
      <c r="C13653" t="s">
        <v>88</v>
      </c>
      <c r="D13653" t="s">
        <v>10866</v>
      </c>
      <c r="E13653" t="s">
        <v>1153</v>
      </c>
      <c r="F13653" t="s">
        <v>88</v>
      </c>
      <c r="G13653" t="s">
        <v>88</v>
      </c>
      <c r="H13653" t="s">
        <v>92</v>
      </c>
    </row>
    <row r="13654" spans="1:8" x14ac:dyDescent="0.25">
      <c r="A13654" t="s">
        <v>382</v>
      </c>
      <c r="B13654" t="s">
        <v>1342</v>
      </c>
      <c r="C13654" t="s">
        <v>88</v>
      </c>
      <c r="D13654" t="s">
        <v>10867</v>
      </c>
      <c r="E13654" t="s">
        <v>760</v>
      </c>
      <c r="F13654" t="s">
        <v>88</v>
      </c>
      <c r="G13654" t="s">
        <v>88</v>
      </c>
      <c r="H13654" t="s">
        <v>92</v>
      </c>
    </row>
    <row r="13655" spans="1:8" x14ac:dyDescent="0.25">
      <c r="A13655" t="s">
        <v>382</v>
      </c>
      <c r="B13655" t="s">
        <v>10868</v>
      </c>
      <c r="C13655" t="s">
        <v>88</v>
      </c>
      <c r="D13655" t="s">
        <v>10869</v>
      </c>
      <c r="E13655" t="s">
        <v>663</v>
      </c>
      <c r="F13655" t="s">
        <v>88</v>
      </c>
      <c r="G13655" t="s">
        <v>88</v>
      </c>
      <c r="H13655" t="s">
        <v>92</v>
      </c>
    </row>
    <row r="13656" spans="1:8" x14ac:dyDescent="0.25">
      <c r="A13656" t="s">
        <v>382</v>
      </c>
      <c r="B13656" t="s">
        <v>10870</v>
      </c>
      <c r="C13656" t="s">
        <v>88</v>
      </c>
      <c r="D13656" t="s">
        <v>10871</v>
      </c>
      <c r="E13656" t="s">
        <v>700</v>
      </c>
      <c r="F13656" t="s">
        <v>88</v>
      </c>
      <c r="G13656" t="s">
        <v>88</v>
      </c>
      <c r="H13656" t="s">
        <v>92</v>
      </c>
    </row>
    <row r="13657" spans="1:8" x14ac:dyDescent="0.25">
      <c r="A13657" t="s">
        <v>382</v>
      </c>
      <c r="B13657" t="s">
        <v>10872</v>
      </c>
      <c r="C13657" t="s">
        <v>88</v>
      </c>
      <c r="D13657" t="s">
        <v>10873</v>
      </c>
      <c r="E13657" t="s">
        <v>663</v>
      </c>
      <c r="F13657" t="s">
        <v>88</v>
      </c>
      <c r="G13657" t="s">
        <v>88</v>
      </c>
      <c r="H13657" t="s">
        <v>92</v>
      </c>
    </row>
    <row r="13658" spans="1:8" x14ac:dyDescent="0.25">
      <c r="A13658" t="s">
        <v>382</v>
      </c>
      <c r="B13658" t="s">
        <v>10874</v>
      </c>
      <c r="C13658" t="s">
        <v>88</v>
      </c>
      <c r="D13658" t="s">
        <v>10875</v>
      </c>
      <c r="E13658" t="s">
        <v>663</v>
      </c>
      <c r="F13658" t="s">
        <v>88</v>
      </c>
      <c r="G13658" t="s">
        <v>88</v>
      </c>
      <c r="H13658" t="s">
        <v>92</v>
      </c>
    </row>
    <row r="13659" spans="1:8" x14ac:dyDescent="0.25">
      <c r="A13659" t="s">
        <v>382</v>
      </c>
      <c r="B13659" t="s">
        <v>768</v>
      </c>
      <c r="C13659" t="s">
        <v>88</v>
      </c>
      <c r="D13659" t="s">
        <v>10876</v>
      </c>
      <c r="E13659" t="s">
        <v>655</v>
      </c>
      <c r="F13659" t="s">
        <v>88</v>
      </c>
      <c r="G13659" t="s">
        <v>88</v>
      </c>
      <c r="H13659" t="s">
        <v>92</v>
      </c>
    </row>
    <row r="13660" spans="1:8" x14ac:dyDescent="0.25">
      <c r="A13660" t="s">
        <v>382</v>
      </c>
      <c r="B13660" t="s">
        <v>10840</v>
      </c>
      <c r="C13660" t="s">
        <v>88</v>
      </c>
      <c r="D13660" t="s">
        <v>10841</v>
      </c>
      <c r="E13660" t="s">
        <v>663</v>
      </c>
      <c r="F13660" t="s">
        <v>88</v>
      </c>
      <c r="G13660" t="s">
        <v>88</v>
      </c>
      <c r="H13660" t="s">
        <v>92</v>
      </c>
    </row>
    <row r="13661" spans="1:8" x14ac:dyDescent="0.25">
      <c r="A13661" t="s">
        <v>382</v>
      </c>
      <c r="B13661" t="s">
        <v>10877</v>
      </c>
      <c r="C13661" t="s">
        <v>88</v>
      </c>
      <c r="D13661" t="s">
        <v>10878</v>
      </c>
      <c r="E13661" t="s">
        <v>663</v>
      </c>
      <c r="F13661" t="s">
        <v>88</v>
      </c>
      <c r="G13661" t="s">
        <v>88</v>
      </c>
      <c r="H13661" t="s">
        <v>92</v>
      </c>
    </row>
    <row r="13662" spans="1:8" x14ac:dyDescent="0.25">
      <c r="A13662" t="s">
        <v>382</v>
      </c>
      <c r="B13662" t="s">
        <v>10879</v>
      </c>
      <c r="C13662" t="s">
        <v>88</v>
      </c>
      <c r="D13662" t="s">
        <v>10880</v>
      </c>
      <c r="E13662" t="s">
        <v>679</v>
      </c>
      <c r="F13662" t="s">
        <v>88</v>
      </c>
      <c r="G13662" t="s">
        <v>88</v>
      </c>
      <c r="H13662" t="s">
        <v>92</v>
      </c>
    </row>
    <row r="13663" spans="1:8" x14ac:dyDescent="0.25">
      <c r="A13663" t="s">
        <v>382</v>
      </c>
      <c r="B13663" t="s">
        <v>10881</v>
      </c>
      <c r="C13663" t="s">
        <v>88</v>
      </c>
      <c r="D13663" t="s">
        <v>88</v>
      </c>
      <c r="E13663" t="s">
        <v>700</v>
      </c>
      <c r="F13663" t="s">
        <v>88</v>
      </c>
      <c r="G13663" t="s">
        <v>88</v>
      </c>
      <c r="H13663" t="s">
        <v>92</v>
      </c>
    </row>
    <row r="13664" spans="1:8" x14ac:dyDescent="0.25">
      <c r="A13664" t="s">
        <v>382</v>
      </c>
      <c r="B13664" t="s">
        <v>10882</v>
      </c>
      <c r="C13664" t="s">
        <v>88</v>
      </c>
      <c r="D13664" t="s">
        <v>10883</v>
      </c>
      <c r="E13664" t="s">
        <v>700</v>
      </c>
      <c r="F13664" t="s">
        <v>88</v>
      </c>
      <c r="G13664" t="s">
        <v>88</v>
      </c>
      <c r="H13664" t="s">
        <v>92</v>
      </c>
    </row>
    <row r="13665" spans="1:8" x14ac:dyDescent="0.25">
      <c r="A13665" t="s">
        <v>382</v>
      </c>
      <c r="B13665" t="s">
        <v>6579</v>
      </c>
      <c r="C13665" t="s">
        <v>88</v>
      </c>
      <c r="D13665" t="s">
        <v>10880</v>
      </c>
      <c r="E13665" t="s">
        <v>679</v>
      </c>
      <c r="F13665" t="s">
        <v>88</v>
      </c>
      <c r="G13665" t="s">
        <v>88</v>
      </c>
      <c r="H13665" t="s">
        <v>92</v>
      </c>
    </row>
    <row r="13666" spans="1:8" x14ac:dyDescent="0.25">
      <c r="A13666" t="s">
        <v>382</v>
      </c>
      <c r="B13666" t="s">
        <v>10884</v>
      </c>
      <c r="C13666" t="s">
        <v>88</v>
      </c>
      <c r="D13666" t="s">
        <v>10885</v>
      </c>
      <c r="E13666" t="s">
        <v>721</v>
      </c>
      <c r="F13666" t="s">
        <v>88</v>
      </c>
      <c r="G13666" t="s">
        <v>88</v>
      </c>
      <c r="H13666" t="s">
        <v>92</v>
      </c>
    </row>
    <row r="13667" spans="1:8" x14ac:dyDescent="0.25">
      <c r="A13667" t="s">
        <v>382</v>
      </c>
      <c r="B13667" t="s">
        <v>736</v>
      </c>
      <c r="C13667" t="s">
        <v>88</v>
      </c>
      <c r="D13667" t="s">
        <v>7995</v>
      </c>
      <c r="E13667" t="s">
        <v>679</v>
      </c>
      <c r="F13667" t="s">
        <v>88</v>
      </c>
      <c r="G13667" t="s">
        <v>88</v>
      </c>
      <c r="H13667" t="s">
        <v>92</v>
      </c>
    </row>
    <row r="13668" spans="1:8" x14ac:dyDescent="0.25">
      <c r="A13668" t="s">
        <v>382</v>
      </c>
      <c r="B13668" t="s">
        <v>10886</v>
      </c>
      <c r="C13668" t="s">
        <v>88</v>
      </c>
      <c r="D13668" t="s">
        <v>10887</v>
      </c>
      <c r="E13668" t="s">
        <v>700</v>
      </c>
      <c r="F13668" t="s">
        <v>88</v>
      </c>
      <c r="G13668" t="s">
        <v>88</v>
      </c>
      <c r="H13668" t="s">
        <v>92</v>
      </c>
    </row>
    <row r="13669" spans="1:8" x14ac:dyDescent="0.25">
      <c r="A13669" t="s">
        <v>382</v>
      </c>
      <c r="B13669" t="s">
        <v>10204</v>
      </c>
      <c r="C13669" t="s">
        <v>88</v>
      </c>
      <c r="D13669" t="s">
        <v>10888</v>
      </c>
      <c r="E13669" t="s">
        <v>663</v>
      </c>
      <c r="F13669" t="s">
        <v>88</v>
      </c>
      <c r="G13669" t="s">
        <v>88</v>
      </c>
      <c r="H13669" t="s">
        <v>92</v>
      </c>
    </row>
    <row r="13670" spans="1:8" x14ac:dyDescent="0.25">
      <c r="A13670" t="s">
        <v>382</v>
      </c>
      <c r="B13670" t="s">
        <v>10889</v>
      </c>
      <c r="C13670" t="s">
        <v>88</v>
      </c>
      <c r="D13670" t="s">
        <v>10888</v>
      </c>
      <c r="E13670" t="s">
        <v>700</v>
      </c>
      <c r="F13670" t="s">
        <v>88</v>
      </c>
      <c r="G13670" t="s">
        <v>88</v>
      </c>
      <c r="H13670" t="s">
        <v>92</v>
      </c>
    </row>
    <row r="13671" spans="1:8" x14ac:dyDescent="0.25">
      <c r="A13671" t="s">
        <v>382</v>
      </c>
      <c r="B13671" t="s">
        <v>10890</v>
      </c>
      <c r="C13671" t="s">
        <v>88</v>
      </c>
      <c r="D13671" t="s">
        <v>10873</v>
      </c>
      <c r="E13671" t="s">
        <v>717</v>
      </c>
      <c r="F13671" t="s">
        <v>88</v>
      </c>
      <c r="G13671" t="s">
        <v>88</v>
      </c>
      <c r="H13671" t="s">
        <v>92</v>
      </c>
    </row>
    <row r="13672" spans="1:8" x14ac:dyDescent="0.25">
      <c r="A13672" t="s">
        <v>382</v>
      </c>
      <c r="B13672" t="s">
        <v>10891</v>
      </c>
      <c r="C13672" t="s">
        <v>88</v>
      </c>
      <c r="D13672" t="s">
        <v>10892</v>
      </c>
      <c r="E13672" t="s">
        <v>700</v>
      </c>
      <c r="F13672" t="s">
        <v>88</v>
      </c>
      <c r="G13672" t="s">
        <v>88</v>
      </c>
      <c r="H13672" t="s">
        <v>92</v>
      </c>
    </row>
    <row r="13673" spans="1:8" x14ac:dyDescent="0.25">
      <c r="A13673" t="s">
        <v>382</v>
      </c>
      <c r="B13673" t="s">
        <v>10893</v>
      </c>
      <c r="C13673" t="s">
        <v>88</v>
      </c>
      <c r="D13673" t="s">
        <v>10894</v>
      </c>
      <c r="E13673" t="s">
        <v>658</v>
      </c>
      <c r="F13673" t="s">
        <v>88</v>
      </c>
      <c r="G13673" t="s">
        <v>88</v>
      </c>
      <c r="H13673" t="s">
        <v>92</v>
      </c>
    </row>
    <row r="13674" spans="1:8" x14ac:dyDescent="0.25">
      <c r="A13674" t="s">
        <v>382</v>
      </c>
      <c r="B13674" t="s">
        <v>10895</v>
      </c>
      <c r="C13674" t="s">
        <v>88</v>
      </c>
      <c r="D13674" t="s">
        <v>10894</v>
      </c>
      <c r="E13674" t="s">
        <v>700</v>
      </c>
      <c r="F13674" t="s">
        <v>88</v>
      </c>
      <c r="G13674" t="s">
        <v>88</v>
      </c>
      <c r="H13674" t="s">
        <v>92</v>
      </c>
    </row>
    <row r="13675" spans="1:8" x14ac:dyDescent="0.25">
      <c r="A13675" t="s">
        <v>382</v>
      </c>
      <c r="B13675" t="s">
        <v>701</v>
      </c>
      <c r="C13675" t="s">
        <v>88</v>
      </c>
      <c r="D13675" t="s">
        <v>88</v>
      </c>
      <c r="E13675" t="s">
        <v>734</v>
      </c>
      <c r="F13675" t="s">
        <v>88</v>
      </c>
      <c r="G13675" t="s">
        <v>88</v>
      </c>
      <c r="H13675" t="s">
        <v>92</v>
      </c>
    </row>
    <row r="13676" spans="1:8" x14ac:dyDescent="0.25">
      <c r="A13676" t="s">
        <v>382</v>
      </c>
      <c r="B13676" t="s">
        <v>703</v>
      </c>
      <c r="C13676" t="s">
        <v>88</v>
      </c>
      <c r="D13676" t="s">
        <v>88</v>
      </c>
      <c r="E13676" t="s">
        <v>734</v>
      </c>
      <c r="F13676" t="s">
        <v>88</v>
      </c>
      <c r="G13676" t="s">
        <v>88</v>
      </c>
      <c r="H13676" t="s">
        <v>92</v>
      </c>
    </row>
    <row r="13677" spans="1:8" x14ac:dyDescent="0.25">
      <c r="A13677" t="s">
        <v>382</v>
      </c>
      <c r="B13677" t="s">
        <v>704</v>
      </c>
      <c r="C13677" t="s">
        <v>88</v>
      </c>
      <c r="D13677" t="s">
        <v>88</v>
      </c>
      <c r="E13677" t="s">
        <v>734</v>
      </c>
      <c r="F13677" t="s">
        <v>88</v>
      </c>
      <c r="G13677" t="s">
        <v>88</v>
      </c>
      <c r="H13677" t="s">
        <v>92</v>
      </c>
    </row>
    <row r="13678" spans="1:8" x14ac:dyDescent="0.25">
      <c r="A13678" t="s">
        <v>382</v>
      </c>
      <c r="B13678" t="s">
        <v>705</v>
      </c>
      <c r="C13678" t="s">
        <v>88</v>
      </c>
      <c r="D13678" t="s">
        <v>88</v>
      </c>
      <c r="E13678" t="s">
        <v>734</v>
      </c>
      <c r="F13678" t="s">
        <v>88</v>
      </c>
      <c r="G13678" t="s">
        <v>88</v>
      </c>
      <c r="H13678" t="s">
        <v>92</v>
      </c>
    </row>
    <row r="13679" spans="1:8" x14ac:dyDescent="0.25">
      <c r="A13679" t="s">
        <v>382</v>
      </c>
      <c r="B13679" t="s">
        <v>707</v>
      </c>
      <c r="C13679" t="s">
        <v>88</v>
      </c>
      <c r="D13679" t="s">
        <v>88</v>
      </c>
      <c r="E13679" t="s">
        <v>709</v>
      </c>
      <c r="F13679" t="s">
        <v>88</v>
      </c>
      <c r="G13679" t="s">
        <v>88</v>
      </c>
      <c r="H13679" t="s">
        <v>92</v>
      </c>
    </row>
    <row r="13680" spans="1:8" x14ac:dyDescent="0.25">
      <c r="A13680" t="s">
        <v>382</v>
      </c>
      <c r="B13680" t="s">
        <v>10896</v>
      </c>
      <c r="C13680" t="s">
        <v>88</v>
      </c>
      <c r="D13680" t="s">
        <v>88</v>
      </c>
      <c r="E13680" t="s">
        <v>710</v>
      </c>
      <c r="F13680" t="s">
        <v>88</v>
      </c>
      <c r="G13680" t="s">
        <v>88</v>
      </c>
      <c r="H13680" t="s">
        <v>92</v>
      </c>
    </row>
    <row r="13681" spans="1:8" x14ac:dyDescent="0.25">
      <c r="A13681" t="s">
        <v>382</v>
      </c>
      <c r="B13681" t="s">
        <v>618</v>
      </c>
      <c r="C13681" t="s">
        <v>88</v>
      </c>
      <c r="D13681" t="s">
        <v>88</v>
      </c>
      <c r="E13681" t="s">
        <v>711</v>
      </c>
      <c r="F13681" t="s">
        <v>88</v>
      </c>
      <c r="G13681" t="s">
        <v>88</v>
      </c>
      <c r="H13681" t="s">
        <v>92</v>
      </c>
    </row>
    <row r="13682" spans="1:8" x14ac:dyDescent="0.25">
      <c r="A13682" t="s">
        <v>382</v>
      </c>
      <c r="B13682" t="s">
        <v>7872</v>
      </c>
      <c r="C13682" t="s">
        <v>88</v>
      </c>
      <c r="D13682" t="s">
        <v>88</v>
      </c>
      <c r="E13682" t="s">
        <v>713</v>
      </c>
      <c r="F13682" t="s">
        <v>88</v>
      </c>
      <c r="G13682" t="s">
        <v>88</v>
      </c>
      <c r="H13682" t="s">
        <v>92</v>
      </c>
    </row>
    <row r="13683" spans="1:8" x14ac:dyDescent="0.25">
      <c r="A13683" t="s">
        <v>382</v>
      </c>
      <c r="B13683" t="s">
        <v>927</v>
      </c>
      <c r="C13683" t="s">
        <v>88</v>
      </c>
      <c r="D13683" t="s">
        <v>88</v>
      </c>
      <c r="E13683" t="s">
        <v>713</v>
      </c>
      <c r="F13683" t="s">
        <v>88</v>
      </c>
      <c r="G13683" t="s">
        <v>88</v>
      </c>
      <c r="H13683" t="s">
        <v>92</v>
      </c>
    </row>
    <row r="13684" spans="1:8" x14ac:dyDescent="0.25">
      <c r="A13684" t="s">
        <v>382</v>
      </c>
      <c r="B13684" t="s">
        <v>928</v>
      </c>
      <c r="C13684" t="s">
        <v>88</v>
      </c>
      <c r="D13684" t="s">
        <v>88</v>
      </c>
      <c r="E13684" t="s">
        <v>713</v>
      </c>
      <c r="F13684" t="s">
        <v>88</v>
      </c>
      <c r="G13684" t="s">
        <v>88</v>
      </c>
      <c r="H13684" t="s">
        <v>92</v>
      </c>
    </row>
    <row r="13685" spans="1:8" x14ac:dyDescent="0.25">
      <c r="A13685" t="s">
        <v>382</v>
      </c>
      <c r="B13685" t="s">
        <v>929</v>
      </c>
      <c r="C13685" t="s">
        <v>88</v>
      </c>
      <c r="D13685" t="s">
        <v>88</v>
      </c>
      <c r="E13685" t="s">
        <v>849</v>
      </c>
      <c r="F13685" t="s">
        <v>88</v>
      </c>
      <c r="G13685" t="s">
        <v>88</v>
      </c>
      <c r="H13685" t="s">
        <v>92</v>
      </c>
    </row>
    <row r="13686" spans="1:8" x14ac:dyDescent="0.25">
      <c r="A13686" t="s">
        <v>382</v>
      </c>
      <c r="B13686" t="s">
        <v>714</v>
      </c>
      <c r="C13686" t="s">
        <v>88</v>
      </c>
      <c r="D13686" t="s">
        <v>88</v>
      </c>
      <c r="E13686" t="s">
        <v>715</v>
      </c>
      <c r="F13686" t="s">
        <v>88</v>
      </c>
      <c r="G13686" t="s">
        <v>88</v>
      </c>
      <c r="H13686" t="s">
        <v>92</v>
      </c>
    </row>
    <row r="13687" spans="1:8" x14ac:dyDescent="0.25">
      <c r="A13687" t="s">
        <v>382</v>
      </c>
      <c r="B13687" t="s">
        <v>851</v>
      </c>
      <c r="C13687" t="s">
        <v>88</v>
      </c>
      <c r="D13687" t="s">
        <v>88</v>
      </c>
      <c r="E13687" t="s">
        <v>780</v>
      </c>
      <c r="F13687" t="s">
        <v>88</v>
      </c>
      <c r="G13687" t="s">
        <v>88</v>
      </c>
      <c r="H13687" t="s">
        <v>92</v>
      </c>
    </row>
    <row r="13688" spans="1:8" x14ac:dyDescent="0.25">
      <c r="A13688" t="s">
        <v>382</v>
      </c>
      <c r="B13688" t="s">
        <v>5028</v>
      </c>
      <c r="C13688" t="s">
        <v>88</v>
      </c>
      <c r="D13688" t="s">
        <v>10897</v>
      </c>
      <c r="E13688" t="s">
        <v>663</v>
      </c>
      <c r="F13688" t="s">
        <v>88</v>
      </c>
      <c r="G13688" t="s">
        <v>88</v>
      </c>
      <c r="H13688" t="s">
        <v>92</v>
      </c>
    </row>
    <row r="13689" spans="1:8" x14ac:dyDescent="0.25">
      <c r="A13689" t="s">
        <v>382</v>
      </c>
      <c r="B13689" t="s">
        <v>10898</v>
      </c>
      <c r="C13689" t="s">
        <v>88</v>
      </c>
      <c r="D13689" t="s">
        <v>88</v>
      </c>
      <c r="E13689" t="s">
        <v>655</v>
      </c>
      <c r="F13689" t="s">
        <v>88</v>
      </c>
      <c r="G13689" t="s">
        <v>88</v>
      </c>
      <c r="H13689" t="s">
        <v>92</v>
      </c>
    </row>
    <row r="13690" spans="1:8" x14ac:dyDescent="0.25">
      <c r="A13690" t="s">
        <v>382</v>
      </c>
      <c r="B13690" t="s">
        <v>625</v>
      </c>
      <c r="C13690" t="s">
        <v>88</v>
      </c>
      <c r="D13690" t="s">
        <v>88</v>
      </c>
      <c r="E13690" t="s">
        <v>626</v>
      </c>
      <c r="F13690" t="s">
        <v>88</v>
      </c>
      <c r="G13690" t="s">
        <v>88</v>
      </c>
      <c r="H13690" t="s">
        <v>92</v>
      </c>
    </row>
    <row r="13691" spans="1:8" x14ac:dyDescent="0.25">
      <c r="A13691" t="s">
        <v>383</v>
      </c>
      <c r="B13691" t="s">
        <v>10899</v>
      </c>
      <c r="C13691" t="s">
        <v>88</v>
      </c>
      <c r="D13691" t="s">
        <v>2759</v>
      </c>
      <c r="E13691" t="s">
        <v>844</v>
      </c>
      <c r="F13691" t="s">
        <v>88</v>
      </c>
      <c r="G13691" t="s">
        <v>88</v>
      </c>
      <c r="H13691" t="s">
        <v>92</v>
      </c>
    </row>
    <row r="13692" spans="1:8" x14ac:dyDescent="0.25">
      <c r="A13692" t="s">
        <v>383</v>
      </c>
      <c r="B13692" t="s">
        <v>10900</v>
      </c>
      <c r="C13692" t="s">
        <v>88</v>
      </c>
      <c r="D13692" t="s">
        <v>2759</v>
      </c>
      <c r="E13692" t="s">
        <v>964</v>
      </c>
      <c r="F13692" t="s">
        <v>88</v>
      </c>
      <c r="G13692" t="s">
        <v>88</v>
      </c>
      <c r="H13692" t="s">
        <v>92</v>
      </c>
    </row>
    <row r="13693" spans="1:8" x14ac:dyDescent="0.25">
      <c r="A13693" t="s">
        <v>383</v>
      </c>
      <c r="B13693" t="s">
        <v>10901</v>
      </c>
      <c r="C13693" t="s">
        <v>88</v>
      </c>
      <c r="D13693" t="s">
        <v>2759</v>
      </c>
      <c r="E13693" t="s">
        <v>692</v>
      </c>
      <c r="F13693" t="s">
        <v>88</v>
      </c>
      <c r="G13693" t="s">
        <v>88</v>
      </c>
      <c r="H13693" t="s">
        <v>92</v>
      </c>
    </row>
    <row r="13694" spans="1:8" x14ac:dyDescent="0.25">
      <c r="A13694" t="s">
        <v>383</v>
      </c>
      <c r="B13694" t="s">
        <v>1238</v>
      </c>
      <c r="C13694" t="s">
        <v>88</v>
      </c>
      <c r="D13694" t="s">
        <v>2759</v>
      </c>
      <c r="E13694" t="s">
        <v>676</v>
      </c>
      <c r="F13694" t="s">
        <v>88</v>
      </c>
      <c r="G13694" t="s">
        <v>88</v>
      </c>
      <c r="H13694" t="s">
        <v>92</v>
      </c>
    </row>
    <row r="13695" spans="1:8" x14ac:dyDescent="0.25">
      <c r="A13695" t="s">
        <v>383</v>
      </c>
      <c r="B13695" t="s">
        <v>10902</v>
      </c>
      <c r="C13695" t="s">
        <v>88</v>
      </c>
      <c r="D13695" t="s">
        <v>2759</v>
      </c>
      <c r="E13695" t="s">
        <v>676</v>
      </c>
      <c r="F13695" t="s">
        <v>88</v>
      </c>
      <c r="G13695" t="s">
        <v>88</v>
      </c>
      <c r="H13695" t="s">
        <v>92</v>
      </c>
    </row>
    <row r="13696" spans="1:8" x14ac:dyDescent="0.25">
      <c r="A13696" t="s">
        <v>383</v>
      </c>
      <c r="B13696" t="s">
        <v>3556</v>
      </c>
      <c r="C13696" t="s">
        <v>88</v>
      </c>
      <c r="D13696" t="s">
        <v>2759</v>
      </c>
      <c r="E13696" t="s">
        <v>844</v>
      </c>
      <c r="F13696" t="s">
        <v>88</v>
      </c>
      <c r="G13696" t="s">
        <v>88</v>
      </c>
      <c r="H13696" t="s">
        <v>92</v>
      </c>
    </row>
    <row r="13697" spans="1:8" x14ac:dyDescent="0.25">
      <c r="A13697" t="s">
        <v>383</v>
      </c>
      <c r="B13697" t="s">
        <v>10903</v>
      </c>
      <c r="C13697" t="s">
        <v>88</v>
      </c>
      <c r="D13697" t="s">
        <v>2759</v>
      </c>
      <c r="E13697" t="s">
        <v>676</v>
      </c>
      <c r="F13697" t="s">
        <v>88</v>
      </c>
      <c r="G13697" t="s">
        <v>88</v>
      </c>
      <c r="H13697" t="s">
        <v>92</v>
      </c>
    </row>
    <row r="13698" spans="1:8" x14ac:dyDescent="0.25">
      <c r="A13698" t="s">
        <v>383</v>
      </c>
      <c r="B13698" t="s">
        <v>3550</v>
      </c>
      <c r="C13698" t="s">
        <v>88</v>
      </c>
      <c r="D13698" t="s">
        <v>2759</v>
      </c>
      <c r="E13698" t="s">
        <v>692</v>
      </c>
      <c r="F13698" t="s">
        <v>88</v>
      </c>
      <c r="G13698" t="s">
        <v>88</v>
      </c>
      <c r="H13698" t="s">
        <v>92</v>
      </c>
    </row>
    <row r="13699" spans="1:8" x14ac:dyDescent="0.25">
      <c r="A13699" t="s">
        <v>383</v>
      </c>
      <c r="B13699" t="s">
        <v>10899</v>
      </c>
      <c r="C13699" t="s">
        <v>88</v>
      </c>
      <c r="D13699" t="s">
        <v>2759</v>
      </c>
      <c r="E13699" t="s">
        <v>844</v>
      </c>
      <c r="F13699" t="s">
        <v>88</v>
      </c>
      <c r="G13699" t="s">
        <v>88</v>
      </c>
      <c r="H13699" t="s">
        <v>92</v>
      </c>
    </row>
    <row r="13700" spans="1:8" x14ac:dyDescent="0.25">
      <c r="A13700" t="s">
        <v>383</v>
      </c>
      <c r="B13700" t="s">
        <v>10900</v>
      </c>
      <c r="C13700" t="s">
        <v>88</v>
      </c>
      <c r="D13700" t="s">
        <v>2759</v>
      </c>
      <c r="E13700" t="s">
        <v>964</v>
      </c>
      <c r="F13700" t="s">
        <v>88</v>
      </c>
      <c r="G13700" t="s">
        <v>88</v>
      </c>
      <c r="H13700" t="s">
        <v>92</v>
      </c>
    </row>
    <row r="13701" spans="1:8" x14ac:dyDescent="0.25">
      <c r="A13701" t="s">
        <v>383</v>
      </c>
      <c r="B13701" t="s">
        <v>10904</v>
      </c>
      <c r="C13701" t="s">
        <v>88</v>
      </c>
      <c r="D13701" t="s">
        <v>2759</v>
      </c>
      <c r="E13701" t="s">
        <v>844</v>
      </c>
      <c r="F13701" t="s">
        <v>88</v>
      </c>
      <c r="G13701" t="s">
        <v>88</v>
      </c>
      <c r="H13701" t="s">
        <v>92</v>
      </c>
    </row>
    <row r="13702" spans="1:8" x14ac:dyDescent="0.25">
      <c r="A13702" t="s">
        <v>383</v>
      </c>
      <c r="B13702" t="s">
        <v>10905</v>
      </c>
      <c r="C13702" t="s">
        <v>88</v>
      </c>
      <c r="D13702" t="s">
        <v>10906</v>
      </c>
      <c r="E13702" t="s">
        <v>676</v>
      </c>
      <c r="F13702" t="s">
        <v>88</v>
      </c>
      <c r="G13702" t="s">
        <v>88</v>
      </c>
      <c r="H13702" t="s">
        <v>92</v>
      </c>
    </row>
    <row r="13703" spans="1:8" x14ac:dyDescent="0.25">
      <c r="A13703" t="s">
        <v>383</v>
      </c>
      <c r="B13703" t="s">
        <v>10907</v>
      </c>
      <c r="C13703" t="s">
        <v>88</v>
      </c>
      <c r="D13703" t="s">
        <v>2759</v>
      </c>
      <c r="E13703" t="s">
        <v>844</v>
      </c>
      <c r="F13703" t="s">
        <v>88</v>
      </c>
      <c r="G13703" t="s">
        <v>88</v>
      </c>
      <c r="H13703" t="s">
        <v>92</v>
      </c>
    </row>
    <row r="13704" spans="1:8" x14ac:dyDescent="0.25">
      <c r="A13704" t="s">
        <v>383</v>
      </c>
      <c r="B13704" t="s">
        <v>10908</v>
      </c>
      <c r="C13704" t="s">
        <v>88</v>
      </c>
      <c r="D13704" t="s">
        <v>2759</v>
      </c>
      <c r="E13704" t="s">
        <v>844</v>
      </c>
      <c r="F13704" t="s">
        <v>88</v>
      </c>
      <c r="G13704" t="s">
        <v>88</v>
      </c>
      <c r="H13704" t="s">
        <v>92</v>
      </c>
    </row>
    <row r="13705" spans="1:8" x14ac:dyDescent="0.25">
      <c r="A13705" t="s">
        <v>383</v>
      </c>
      <c r="B13705" t="s">
        <v>10909</v>
      </c>
      <c r="C13705" t="s">
        <v>88</v>
      </c>
      <c r="D13705" t="s">
        <v>2759</v>
      </c>
      <c r="E13705" t="s">
        <v>692</v>
      </c>
      <c r="F13705" t="s">
        <v>88</v>
      </c>
      <c r="G13705" t="s">
        <v>88</v>
      </c>
      <c r="H13705" t="s">
        <v>92</v>
      </c>
    </row>
    <row r="13706" spans="1:8" x14ac:dyDescent="0.25">
      <c r="A13706" t="s">
        <v>383</v>
      </c>
      <c r="B13706" t="s">
        <v>10902</v>
      </c>
      <c r="C13706" t="s">
        <v>88</v>
      </c>
      <c r="D13706" t="s">
        <v>2759</v>
      </c>
      <c r="E13706" t="s">
        <v>676</v>
      </c>
      <c r="F13706" t="s">
        <v>88</v>
      </c>
      <c r="G13706" t="s">
        <v>88</v>
      </c>
      <c r="H13706" t="s">
        <v>92</v>
      </c>
    </row>
    <row r="13707" spans="1:8" x14ac:dyDescent="0.25">
      <c r="A13707" t="s">
        <v>383</v>
      </c>
      <c r="B13707" t="s">
        <v>10910</v>
      </c>
      <c r="C13707" t="s">
        <v>88</v>
      </c>
      <c r="D13707" t="s">
        <v>2759</v>
      </c>
      <c r="E13707" t="s">
        <v>964</v>
      </c>
      <c r="F13707" t="s">
        <v>88</v>
      </c>
      <c r="G13707" t="s">
        <v>88</v>
      </c>
      <c r="H13707" t="s">
        <v>92</v>
      </c>
    </row>
    <row r="13708" spans="1:8" x14ac:dyDescent="0.25">
      <c r="A13708" t="s">
        <v>383</v>
      </c>
      <c r="B13708" t="s">
        <v>10911</v>
      </c>
      <c r="C13708" t="s">
        <v>88</v>
      </c>
      <c r="D13708" t="s">
        <v>2759</v>
      </c>
      <c r="E13708" t="s">
        <v>676</v>
      </c>
      <c r="F13708" t="s">
        <v>88</v>
      </c>
      <c r="G13708" t="s">
        <v>88</v>
      </c>
      <c r="H13708" t="s">
        <v>92</v>
      </c>
    </row>
    <row r="13709" spans="1:8" x14ac:dyDescent="0.25">
      <c r="A13709" t="s">
        <v>383</v>
      </c>
      <c r="B13709" t="s">
        <v>10901</v>
      </c>
      <c r="C13709" t="s">
        <v>88</v>
      </c>
      <c r="D13709" t="s">
        <v>2759</v>
      </c>
      <c r="E13709" t="s">
        <v>692</v>
      </c>
      <c r="F13709" t="s">
        <v>88</v>
      </c>
      <c r="G13709" t="s">
        <v>88</v>
      </c>
      <c r="H13709" t="s">
        <v>92</v>
      </c>
    </row>
    <row r="13710" spans="1:8" x14ac:dyDescent="0.25">
      <c r="A13710" t="s">
        <v>383</v>
      </c>
      <c r="B13710" t="s">
        <v>10912</v>
      </c>
      <c r="C13710" t="s">
        <v>88</v>
      </c>
      <c r="D13710" t="s">
        <v>2759</v>
      </c>
      <c r="E13710" t="s">
        <v>844</v>
      </c>
      <c r="F13710" t="s">
        <v>88</v>
      </c>
      <c r="G13710" t="s">
        <v>88</v>
      </c>
      <c r="H13710" t="s">
        <v>92</v>
      </c>
    </row>
    <row r="13711" spans="1:8" x14ac:dyDescent="0.25">
      <c r="A13711" t="s">
        <v>383</v>
      </c>
      <c r="B13711" t="s">
        <v>10913</v>
      </c>
      <c r="C13711" t="s">
        <v>88</v>
      </c>
      <c r="D13711" t="s">
        <v>88</v>
      </c>
      <c r="E13711" t="s">
        <v>702</v>
      </c>
      <c r="F13711" t="s">
        <v>88</v>
      </c>
      <c r="G13711" t="s">
        <v>88</v>
      </c>
      <c r="H13711" t="s">
        <v>92</v>
      </c>
    </row>
    <row r="13712" spans="1:8" x14ac:dyDescent="0.25">
      <c r="A13712" t="s">
        <v>383</v>
      </c>
      <c r="B13712" t="s">
        <v>10914</v>
      </c>
      <c r="C13712" t="s">
        <v>88</v>
      </c>
      <c r="D13712" t="s">
        <v>88</v>
      </c>
      <c r="E13712" t="s">
        <v>702</v>
      </c>
      <c r="F13712" t="s">
        <v>88</v>
      </c>
      <c r="G13712" t="s">
        <v>88</v>
      </c>
      <c r="H13712" t="s">
        <v>92</v>
      </c>
    </row>
    <row r="13713" spans="1:8" x14ac:dyDescent="0.25">
      <c r="A13713" t="s">
        <v>383</v>
      </c>
      <c r="B13713" t="s">
        <v>948</v>
      </c>
      <c r="C13713" t="s">
        <v>88</v>
      </c>
      <c r="D13713" t="s">
        <v>88</v>
      </c>
      <c r="E13713" t="s">
        <v>735</v>
      </c>
      <c r="F13713" t="s">
        <v>88</v>
      </c>
      <c r="G13713" t="s">
        <v>88</v>
      </c>
      <c r="H13713" t="s">
        <v>92</v>
      </c>
    </row>
    <row r="13714" spans="1:8" x14ac:dyDescent="0.25">
      <c r="A13714" t="s">
        <v>383</v>
      </c>
      <c r="B13714" t="s">
        <v>10915</v>
      </c>
      <c r="C13714" t="s">
        <v>88</v>
      </c>
      <c r="D13714" t="s">
        <v>88</v>
      </c>
      <c r="E13714" t="s">
        <v>709</v>
      </c>
      <c r="F13714" t="s">
        <v>88</v>
      </c>
      <c r="G13714" t="s">
        <v>88</v>
      </c>
      <c r="H13714" t="s">
        <v>92</v>
      </c>
    </row>
    <row r="13715" spans="1:8" x14ac:dyDescent="0.25">
      <c r="A13715" t="s">
        <v>383</v>
      </c>
      <c r="B13715" t="s">
        <v>701</v>
      </c>
      <c r="C13715" t="s">
        <v>88</v>
      </c>
      <c r="D13715" t="s">
        <v>88</v>
      </c>
      <c r="E13715" t="s">
        <v>709</v>
      </c>
      <c r="F13715" t="s">
        <v>88</v>
      </c>
      <c r="G13715" t="s">
        <v>88</v>
      </c>
      <c r="H13715" t="s">
        <v>92</v>
      </c>
    </row>
    <row r="13716" spans="1:8" x14ac:dyDescent="0.25">
      <c r="A13716" t="s">
        <v>383</v>
      </c>
      <c r="B13716" t="s">
        <v>705</v>
      </c>
      <c r="C13716" t="s">
        <v>88</v>
      </c>
      <c r="D13716" t="s">
        <v>88</v>
      </c>
      <c r="E13716" t="s">
        <v>709</v>
      </c>
      <c r="F13716" t="s">
        <v>88</v>
      </c>
      <c r="G13716" t="s">
        <v>88</v>
      </c>
      <c r="H13716" t="s">
        <v>92</v>
      </c>
    </row>
    <row r="13717" spans="1:8" x14ac:dyDescent="0.25">
      <c r="A13717" t="s">
        <v>383</v>
      </c>
      <c r="B13717" t="s">
        <v>794</v>
      </c>
      <c r="C13717" t="s">
        <v>88</v>
      </c>
      <c r="D13717" t="s">
        <v>847</v>
      </c>
      <c r="E13717" t="s">
        <v>709</v>
      </c>
      <c r="F13717" t="s">
        <v>88</v>
      </c>
      <c r="G13717" t="s">
        <v>88</v>
      </c>
      <c r="H13717" t="s">
        <v>92</v>
      </c>
    </row>
    <row r="13718" spans="1:8" x14ac:dyDescent="0.25">
      <c r="A13718" t="s">
        <v>383</v>
      </c>
      <c r="B13718" t="s">
        <v>795</v>
      </c>
      <c r="C13718" t="s">
        <v>88</v>
      </c>
      <c r="D13718" t="s">
        <v>88</v>
      </c>
      <c r="E13718" t="s">
        <v>711</v>
      </c>
      <c r="F13718" t="s">
        <v>88</v>
      </c>
      <c r="G13718" t="s">
        <v>88</v>
      </c>
      <c r="H13718" t="s">
        <v>92</v>
      </c>
    </row>
    <row r="13719" spans="1:8" x14ac:dyDescent="0.25">
      <c r="A13719" t="s">
        <v>383</v>
      </c>
      <c r="B13719" t="s">
        <v>714</v>
      </c>
      <c r="C13719" t="s">
        <v>88</v>
      </c>
      <c r="D13719" t="s">
        <v>88</v>
      </c>
      <c r="E13719" t="s">
        <v>732</v>
      </c>
      <c r="F13719" t="s">
        <v>88</v>
      </c>
      <c r="G13719" t="s">
        <v>88</v>
      </c>
      <c r="H13719" t="s">
        <v>92</v>
      </c>
    </row>
    <row r="13720" spans="1:8" x14ac:dyDescent="0.25">
      <c r="A13720" t="s">
        <v>383</v>
      </c>
      <c r="B13720" t="s">
        <v>1671</v>
      </c>
      <c r="C13720" t="s">
        <v>88</v>
      </c>
      <c r="D13720" t="s">
        <v>88</v>
      </c>
      <c r="E13720" t="s">
        <v>732</v>
      </c>
      <c r="F13720" t="s">
        <v>88</v>
      </c>
      <c r="G13720" t="s">
        <v>88</v>
      </c>
      <c r="H13720" t="s">
        <v>92</v>
      </c>
    </row>
    <row r="13721" spans="1:8" x14ac:dyDescent="0.25">
      <c r="A13721" t="s">
        <v>383</v>
      </c>
      <c r="B13721" t="s">
        <v>998</v>
      </c>
      <c r="C13721" t="s">
        <v>88</v>
      </c>
      <c r="D13721" t="s">
        <v>88</v>
      </c>
      <c r="E13721" t="s">
        <v>732</v>
      </c>
      <c r="F13721" t="s">
        <v>88</v>
      </c>
      <c r="G13721" t="s">
        <v>88</v>
      </c>
      <c r="H13721" t="s">
        <v>92</v>
      </c>
    </row>
    <row r="13722" spans="1:8" x14ac:dyDescent="0.25">
      <c r="A13722" t="s">
        <v>383</v>
      </c>
      <c r="B13722" t="s">
        <v>1073</v>
      </c>
      <c r="C13722" t="s">
        <v>88</v>
      </c>
      <c r="D13722" t="s">
        <v>88</v>
      </c>
      <c r="E13722" t="s">
        <v>732</v>
      </c>
      <c r="F13722" t="s">
        <v>88</v>
      </c>
      <c r="G13722" t="s">
        <v>88</v>
      </c>
      <c r="H13722" t="s">
        <v>92</v>
      </c>
    </row>
    <row r="13723" spans="1:8" x14ac:dyDescent="0.25">
      <c r="A13723" t="s">
        <v>383</v>
      </c>
      <c r="B13723" t="s">
        <v>851</v>
      </c>
      <c r="C13723" t="s">
        <v>88</v>
      </c>
      <c r="D13723" t="s">
        <v>847</v>
      </c>
      <c r="E13723" t="s">
        <v>732</v>
      </c>
      <c r="F13723" t="s">
        <v>88</v>
      </c>
      <c r="G13723" t="s">
        <v>88</v>
      </c>
      <c r="H13723" t="s">
        <v>92</v>
      </c>
    </row>
    <row r="13724" spans="1:8" x14ac:dyDescent="0.25">
      <c r="A13724" t="s">
        <v>383</v>
      </c>
      <c r="B13724" t="s">
        <v>1989</v>
      </c>
      <c r="C13724" t="s">
        <v>88</v>
      </c>
      <c r="D13724" t="s">
        <v>88</v>
      </c>
      <c r="E13724" t="s">
        <v>791</v>
      </c>
      <c r="F13724" t="s">
        <v>88</v>
      </c>
      <c r="G13724" t="s">
        <v>88</v>
      </c>
      <c r="H13724" t="s">
        <v>92</v>
      </c>
    </row>
    <row r="13725" spans="1:8" x14ac:dyDescent="0.25">
      <c r="A13725" t="s">
        <v>383</v>
      </c>
      <c r="B13725" t="s">
        <v>1990</v>
      </c>
      <c r="C13725" t="s">
        <v>88</v>
      </c>
      <c r="D13725" t="s">
        <v>88</v>
      </c>
      <c r="E13725" t="s">
        <v>791</v>
      </c>
      <c r="F13725" t="s">
        <v>88</v>
      </c>
      <c r="G13725" t="s">
        <v>88</v>
      </c>
      <c r="H13725" t="s">
        <v>92</v>
      </c>
    </row>
    <row r="13726" spans="1:8" x14ac:dyDescent="0.25">
      <c r="A13726" t="s">
        <v>383</v>
      </c>
      <c r="B13726" t="s">
        <v>2417</v>
      </c>
      <c r="C13726" t="s">
        <v>88</v>
      </c>
      <c r="D13726" t="s">
        <v>2759</v>
      </c>
      <c r="E13726" t="s">
        <v>676</v>
      </c>
      <c r="F13726" t="s">
        <v>88</v>
      </c>
      <c r="G13726" t="s">
        <v>88</v>
      </c>
      <c r="H13726" t="s">
        <v>92</v>
      </c>
    </row>
    <row r="13727" spans="1:8" x14ac:dyDescent="0.25">
      <c r="A13727" t="s">
        <v>383</v>
      </c>
      <c r="B13727" t="s">
        <v>4122</v>
      </c>
      <c r="C13727" t="s">
        <v>88</v>
      </c>
      <c r="D13727" t="s">
        <v>2759</v>
      </c>
      <c r="E13727" t="s">
        <v>814</v>
      </c>
      <c r="F13727" t="s">
        <v>88</v>
      </c>
      <c r="G13727" t="s">
        <v>88</v>
      </c>
      <c r="H13727" t="s">
        <v>92</v>
      </c>
    </row>
    <row r="13728" spans="1:8" x14ac:dyDescent="0.25">
      <c r="A13728" t="s">
        <v>383</v>
      </c>
      <c r="B13728" t="s">
        <v>10916</v>
      </c>
      <c r="C13728" t="s">
        <v>88</v>
      </c>
      <c r="D13728" t="s">
        <v>2759</v>
      </c>
      <c r="E13728" t="s">
        <v>1714</v>
      </c>
      <c r="F13728" t="s">
        <v>88</v>
      </c>
      <c r="G13728" t="s">
        <v>88</v>
      </c>
      <c r="H13728" t="s">
        <v>92</v>
      </c>
    </row>
    <row r="13729" spans="1:8" x14ac:dyDescent="0.25">
      <c r="A13729" t="s">
        <v>383</v>
      </c>
      <c r="B13729" t="s">
        <v>2019</v>
      </c>
      <c r="C13729" t="s">
        <v>88</v>
      </c>
      <c r="D13729" t="s">
        <v>2759</v>
      </c>
      <c r="E13729" t="s">
        <v>1714</v>
      </c>
      <c r="F13729" t="s">
        <v>88</v>
      </c>
      <c r="G13729" t="s">
        <v>88</v>
      </c>
      <c r="H13729" t="s">
        <v>92</v>
      </c>
    </row>
    <row r="13730" spans="1:8" x14ac:dyDescent="0.25">
      <c r="A13730" t="s">
        <v>383</v>
      </c>
      <c r="B13730" t="s">
        <v>10917</v>
      </c>
      <c r="C13730" t="s">
        <v>88</v>
      </c>
      <c r="D13730" t="s">
        <v>2759</v>
      </c>
      <c r="E13730" t="s">
        <v>1714</v>
      </c>
      <c r="F13730" t="s">
        <v>88</v>
      </c>
      <c r="G13730" t="s">
        <v>88</v>
      </c>
      <c r="H13730" t="s">
        <v>92</v>
      </c>
    </row>
    <row r="13731" spans="1:8" x14ac:dyDescent="0.25">
      <c r="A13731" t="s">
        <v>383</v>
      </c>
      <c r="B13731" t="s">
        <v>1238</v>
      </c>
      <c r="C13731" t="s">
        <v>88</v>
      </c>
      <c r="D13731" t="s">
        <v>2759</v>
      </c>
      <c r="E13731" t="s">
        <v>676</v>
      </c>
      <c r="F13731" t="s">
        <v>88</v>
      </c>
      <c r="G13731" t="s">
        <v>88</v>
      </c>
      <c r="H13731" t="s">
        <v>92</v>
      </c>
    </row>
    <row r="13732" spans="1:8" x14ac:dyDescent="0.25">
      <c r="A13732" t="s">
        <v>383</v>
      </c>
      <c r="B13732" t="s">
        <v>2418</v>
      </c>
      <c r="C13732" t="s">
        <v>88</v>
      </c>
      <c r="D13732" t="s">
        <v>2759</v>
      </c>
      <c r="E13732" t="s">
        <v>803</v>
      </c>
      <c r="F13732" t="s">
        <v>88</v>
      </c>
      <c r="G13732" t="s">
        <v>88</v>
      </c>
      <c r="H13732" t="s">
        <v>92</v>
      </c>
    </row>
    <row r="13733" spans="1:8" x14ac:dyDescent="0.25">
      <c r="A13733" t="s">
        <v>383</v>
      </c>
      <c r="B13733" t="s">
        <v>4126</v>
      </c>
      <c r="C13733" t="s">
        <v>88</v>
      </c>
      <c r="D13733" t="s">
        <v>2759</v>
      </c>
      <c r="E13733" t="s">
        <v>1714</v>
      </c>
      <c r="F13733" t="s">
        <v>88</v>
      </c>
      <c r="G13733" t="s">
        <v>88</v>
      </c>
      <c r="H13733" t="s">
        <v>92</v>
      </c>
    </row>
    <row r="13734" spans="1:8" x14ac:dyDescent="0.25">
      <c r="A13734" t="s">
        <v>383</v>
      </c>
      <c r="B13734" t="s">
        <v>1237</v>
      </c>
      <c r="C13734" t="s">
        <v>88</v>
      </c>
      <c r="D13734" t="s">
        <v>2759</v>
      </c>
      <c r="E13734" t="s">
        <v>964</v>
      </c>
      <c r="F13734" t="s">
        <v>88</v>
      </c>
      <c r="G13734" t="s">
        <v>88</v>
      </c>
      <c r="H13734" t="s">
        <v>92</v>
      </c>
    </row>
    <row r="13735" spans="1:8" x14ac:dyDescent="0.25">
      <c r="A13735" t="s">
        <v>383</v>
      </c>
      <c r="B13735" t="s">
        <v>10918</v>
      </c>
      <c r="C13735" t="s">
        <v>88</v>
      </c>
      <c r="D13735" t="s">
        <v>2759</v>
      </c>
      <c r="E13735" t="s">
        <v>676</v>
      </c>
      <c r="F13735" t="s">
        <v>88</v>
      </c>
      <c r="G13735" t="s">
        <v>88</v>
      </c>
      <c r="H13735" t="s">
        <v>92</v>
      </c>
    </row>
    <row r="13736" spans="1:8" x14ac:dyDescent="0.25">
      <c r="A13736" t="s">
        <v>383</v>
      </c>
      <c r="B13736" t="s">
        <v>625</v>
      </c>
      <c r="C13736" t="s">
        <v>88</v>
      </c>
      <c r="D13736" t="s">
        <v>88</v>
      </c>
      <c r="E13736" t="s">
        <v>626</v>
      </c>
      <c r="F13736" t="s">
        <v>88</v>
      </c>
      <c r="G13736" t="s">
        <v>88</v>
      </c>
      <c r="H13736" t="s">
        <v>92</v>
      </c>
    </row>
    <row r="13737" spans="1:8" x14ac:dyDescent="0.25">
      <c r="A13737" t="s">
        <v>385</v>
      </c>
      <c r="B13737" t="s">
        <v>10919</v>
      </c>
      <c r="C13737" t="s">
        <v>88</v>
      </c>
      <c r="D13737" t="s">
        <v>10920</v>
      </c>
      <c r="E13737" t="s">
        <v>613</v>
      </c>
      <c r="F13737" t="s">
        <v>88</v>
      </c>
      <c r="G13737" t="s">
        <v>88</v>
      </c>
      <c r="H13737" t="s">
        <v>92</v>
      </c>
    </row>
    <row r="13738" spans="1:8" x14ac:dyDescent="0.25">
      <c r="A13738" t="s">
        <v>385</v>
      </c>
      <c r="B13738" t="s">
        <v>10921</v>
      </c>
      <c r="C13738" t="s">
        <v>88</v>
      </c>
      <c r="D13738" t="s">
        <v>10922</v>
      </c>
      <c r="E13738" t="s">
        <v>889</v>
      </c>
      <c r="F13738" t="s">
        <v>88</v>
      </c>
      <c r="G13738" t="s">
        <v>88</v>
      </c>
      <c r="H13738" t="s">
        <v>92</v>
      </c>
    </row>
    <row r="13739" spans="1:8" x14ac:dyDescent="0.25">
      <c r="A13739" t="s">
        <v>385</v>
      </c>
      <c r="B13739" t="s">
        <v>10923</v>
      </c>
      <c r="C13739" t="s">
        <v>88</v>
      </c>
      <c r="D13739" t="s">
        <v>10924</v>
      </c>
      <c r="E13739" t="s">
        <v>10925</v>
      </c>
      <c r="F13739" t="s">
        <v>88</v>
      </c>
      <c r="G13739" t="s">
        <v>88</v>
      </c>
      <c r="H13739" t="s">
        <v>92</v>
      </c>
    </row>
    <row r="13740" spans="1:8" x14ac:dyDescent="0.25">
      <c r="A13740" t="s">
        <v>385</v>
      </c>
      <c r="B13740" t="s">
        <v>789</v>
      </c>
      <c r="C13740" t="s">
        <v>88</v>
      </c>
      <c r="D13740" t="s">
        <v>10926</v>
      </c>
      <c r="E13740" t="s">
        <v>791</v>
      </c>
      <c r="F13740" t="s">
        <v>88</v>
      </c>
      <c r="G13740" t="s">
        <v>88</v>
      </c>
      <c r="H13740" t="s">
        <v>92</v>
      </c>
    </row>
    <row r="13741" spans="1:8" x14ac:dyDescent="0.25">
      <c r="A13741" t="s">
        <v>385</v>
      </c>
      <c r="B13741" t="s">
        <v>10927</v>
      </c>
      <c r="C13741" t="s">
        <v>88</v>
      </c>
      <c r="D13741" t="s">
        <v>10928</v>
      </c>
      <c r="E13741" t="s">
        <v>959</v>
      </c>
      <c r="F13741" t="s">
        <v>88</v>
      </c>
      <c r="G13741" t="s">
        <v>88</v>
      </c>
      <c r="H13741" t="s">
        <v>92</v>
      </c>
    </row>
    <row r="13742" spans="1:8" x14ac:dyDescent="0.25">
      <c r="A13742" t="s">
        <v>385</v>
      </c>
      <c r="B13742" t="s">
        <v>10929</v>
      </c>
      <c r="C13742" t="s">
        <v>88</v>
      </c>
      <c r="D13742" t="s">
        <v>10930</v>
      </c>
      <c r="E13742" t="s">
        <v>679</v>
      </c>
      <c r="F13742" t="s">
        <v>88</v>
      </c>
      <c r="G13742" t="s">
        <v>88</v>
      </c>
      <c r="H13742" t="s">
        <v>92</v>
      </c>
    </row>
    <row r="13743" spans="1:8" x14ac:dyDescent="0.25">
      <c r="A13743" t="s">
        <v>385</v>
      </c>
      <c r="B13743" t="s">
        <v>816</v>
      </c>
      <c r="C13743" t="s">
        <v>88</v>
      </c>
      <c r="D13743" t="s">
        <v>10931</v>
      </c>
      <c r="E13743" t="s">
        <v>655</v>
      </c>
      <c r="F13743" t="s">
        <v>88</v>
      </c>
      <c r="G13743" t="s">
        <v>88</v>
      </c>
      <c r="H13743" t="s">
        <v>92</v>
      </c>
    </row>
    <row r="13744" spans="1:8" x14ac:dyDescent="0.25">
      <c r="A13744" t="s">
        <v>385</v>
      </c>
      <c r="B13744" t="s">
        <v>823</v>
      </c>
      <c r="C13744" t="s">
        <v>88</v>
      </c>
      <c r="D13744" t="s">
        <v>10932</v>
      </c>
      <c r="E13744" t="s">
        <v>825</v>
      </c>
      <c r="F13744" t="s">
        <v>88</v>
      </c>
      <c r="G13744" t="s">
        <v>88</v>
      </c>
      <c r="H13744" t="s">
        <v>92</v>
      </c>
    </row>
    <row r="13745" spans="1:8" x14ac:dyDescent="0.25">
      <c r="A13745" t="s">
        <v>385</v>
      </c>
      <c r="B13745" t="s">
        <v>944</v>
      </c>
      <c r="C13745" t="s">
        <v>88</v>
      </c>
      <c r="D13745" t="s">
        <v>88</v>
      </c>
      <c r="E13745" t="s">
        <v>655</v>
      </c>
      <c r="F13745" t="s">
        <v>88</v>
      </c>
      <c r="G13745" t="s">
        <v>88</v>
      </c>
      <c r="H13745" t="s">
        <v>92</v>
      </c>
    </row>
    <row r="13746" spans="1:8" x14ac:dyDescent="0.25">
      <c r="A13746" t="s">
        <v>385</v>
      </c>
      <c r="B13746" t="s">
        <v>965</v>
      </c>
      <c r="C13746" t="s">
        <v>88</v>
      </c>
      <c r="D13746" t="s">
        <v>88</v>
      </c>
      <c r="E13746" t="s">
        <v>723</v>
      </c>
      <c r="F13746" t="s">
        <v>88</v>
      </c>
      <c r="G13746" t="s">
        <v>88</v>
      </c>
      <c r="H13746" t="s">
        <v>92</v>
      </c>
    </row>
    <row r="13747" spans="1:8" x14ac:dyDescent="0.25">
      <c r="A13747" t="s">
        <v>385</v>
      </c>
      <c r="B13747" t="s">
        <v>10933</v>
      </c>
      <c r="C13747" t="s">
        <v>88</v>
      </c>
      <c r="D13747" t="s">
        <v>10934</v>
      </c>
      <c r="E13747" t="s">
        <v>700</v>
      </c>
      <c r="F13747" t="s">
        <v>88</v>
      </c>
      <c r="G13747" t="s">
        <v>88</v>
      </c>
      <c r="H13747" t="s">
        <v>92</v>
      </c>
    </row>
    <row r="13748" spans="1:8" x14ac:dyDescent="0.25">
      <c r="A13748" t="s">
        <v>385</v>
      </c>
      <c r="B13748" t="s">
        <v>10935</v>
      </c>
      <c r="C13748" t="s">
        <v>88</v>
      </c>
      <c r="D13748" t="s">
        <v>10936</v>
      </c>
      <c r="E13748" t="s">
        <v>700</v>
      </c>
      <c r="F13748" t="s">
        <v>88</v>
      </c>
      <c r="G13748" t="s">
        <v>88</v>
      </c>
      <c r="H13748" t="s">
        <v>92</v>
      </c>
    </row>
    <row r="13749" spans="1:8" x14ac:dyDescent="0.25">
      <c r="A13749" t="s">
        <v>385</v>
      </c>
      <c r="B13749" t="s">
        <v>4818</v>
      </c>
      <c r="C13749" t="s">
        <v>88</v>
      </c>
      <c r="D13749" t="s">
        <v>10937</v>
      </c>
      <c r="E13749" t="s">
        <v>738</v>
      </c>
      <c r="F13749" t="s">
        <v>88</v>
      </c>
      <c r="G13749" t="s">
        <v>88</v>
      </c>
      <c r="H13749" t="s">
        <v>92</v>
      </c>
    </row>
    <row r="13750" spans="1:8" x14ac:dyDescent="0.25">
      <c r="A13750" t="s">
        <v>385</v>
      </c>
      <c r="B13750" t="s">
        <v>10938</v>
      </c>
      <c r="C13750" t="s">
        <v>88</v>
      </c>
      <c r="D13750" t="s">
        <v>88</v>
      </c>
      <c r="E13750" t="s">
        <v>850</v>
      </c>
      <c r="F13750" t="s">
        <v>88</v>
      </c>
      <c r="G13750" t="s">
        <v>88</v>
      </c>
      <c r="H13750" t="s">
        <v>92</v>
      </c>
    </row>
    <row r="13751" spans="1:8" x14ac:dyDescent="0.25">
      <c r="A13751" t="s">
        <v>385</v>
      </c>
      <c r="B13751" t="s">
        <v>10939</v>
      </c>
      <c r="C13751" t="s">
        <v>88</v>
      </c>
      <c r="D13751" t="s">
        <v>10940</v>
      </c>
      <c r="E13751" t="s">
        <v>735</v>
      </c>
      <c r="F13751" t="s">
        <v>88</v>
      </c>
      <c r="G13751" t="s">
        <v>88</v>
      </c>
      <c r="H13751" t="s">
        <v>92</v>
      </c>
    </row>
    <row r="13752" spans="1:8" x14ac:dyDescent="0.25">
      <c r="A13752" t="s">
        <v>385</v>
      </c>
      <c r="B13752" t="s">
        <v>10941</v>
      </c>
      <c r="C13752" t="s">
        <v>88</v>
      </c>
      <c r="D13752" t="s">
        <v>88</v>
      </c>
      <c r="E13752" t="s">
        <v>710</v>
      </c>
      <c r="F13752" t="s">
        <v>88</v>
      </c>
      <c r="G13752" t="s">
        <v>88</v>
      </c>
      <c r="H13752" t="s">
        <v>92</v>
      </c>
    </row>
    <row r="13753" spans="1:8" x14ac:dyDescent="0.25">
      <c r="A13753" t="s">
        <v>385</v>
      </c>
      <c r="B13753" t="s">
        <v>10942</v>
      </c>
      <c r="C13753" t="s">
        <v>88</v>
      </c>
      <c r="D13753" t="s">
        <v>88</v>
      </c>
      <c r="E13753" t="s">
        <v>850</v>
      </c>
      <c r="F13753" t="s">
        <v>88</v>
      </c>
      <c r="G13753" t="s">
        <v>88</v>
      </c>
      <c r="H13753" t="s">
        <v>92</v>
      </c>
    </row>
    <row r="13754" spans="1:8" x14ac:dyDescent="0.25">
      <c r="A13754" t="s">
        <v>385</v>
      </c>
      <c r="B13754" t="s">
        <v>10943</v>
      </c>
      <c r="C13754" t="s">
        <v>88</v>
      </c>
      <c r="D13754" t="s">
        <v>88</v>
      </c>
      <c r="E13754" t="s">
        <v>702</v>
      </c>
      <c r="F13754" t="s">
        <v>88</v>
      </c>
      <c r="G13754" t="s">
        <v>88</v>
      </c>
      <c r="H13754" t="s">
        <v>92</v>
      </c>
    </row>
    <row r="13755" spans="1:8" x14ac:dyDescent="0.25">
      <c r="A13755" t="s">
        <v>385</v>
      </c>
      <c r="B13755" t="s">
        <v>10944</v>
      </c>
      <c r="C13755" t="s">
        <v>88</v>
      </c>
      <c r="D13755" t="s">
        <v>88</v>
      </c>
      <c r="E13755" t="s">
        <v>676</v>
      </c>
      <c r="F13755" t="s">
        <v>88</v>
      </c>
      <c r="G13755" t="s">
        <v>88</v>
      </c>
      <c r="H13755" t="s">
        <v>92</v>
      </c>
    </row>
    <row r="13756" spans="1:8" x14ac:dyDescent="0.25">
      <c r="A13756" t="s">
        <v>385</v>
      </c>
      <c r="B13756" t="s">
        <v>6456</v>
      </c>
      <c r="C13756" t="s">
        <v>88</v>
      </c>
      <c r="D13756" t="s">
        <v>88</v>
      </c>
      <c r="E13756" t="s">
        <v>791</v>
      </c>
      <c r="F13756" t="s">
        <v>88</v>
      </c>
      <c r="G13756" t="s">
        <v>88</v>
      </c>
      <c r="H13756" t="s">
        <v>92</v>
      </c>
    </row>
    <row r="13757" spans="1:8" x14ac:dyDescent="0.25">
      <c r="A13757" t="s">
        <v>385</v>
      </c>
      <c r="B13757" t="s">
        <v>6455</v>
      </c>
      <c r="C13757" t="s">
        <v>88</v>
      </c>
      <c r="D13757" t="s">
        <v>88</v>
      </c>
      <c r="E13757" t="s">
        <v>791</v>
      </c>
      <c r="F13757" t="s">
        <v>88</v>
      </c>
      <c r="G13757" t="s">
        <v>88</v>
      </c>
      <c r="H13757" t="s">
        <v>92</v>
      </c>
    </row>
    <row r="13758" spans="1:8" x14ac:dyDescent="0.25">
      <c r="A13758" t="s">
        <v>385</v>
      </c>
      <c r="B13758" t="s">
        <v>6457</v>
      </c>
      <c r="C13758" t="s">
        <v>88</v>
      </c>
      <c r="D13758" t="s">
        <v>88</v>
      </c>
      <c r="E13758" t="s">
        <v>791</v>
      </c>
      <c r="F13758" t="s">
        <v>88</v>
      </c>
      <c r="G13758" t="s">
        <v>88</v>
      </c>
      <c r="H13758" t="s">
        <v>92</v>
      </c>
    </row>
    <row r="13759" spans="1:8" x14ac:dyDescent="0.25">
      <c r="A13759" t="s">
        <v>385</v>
      </c>
      <c r="B13759" t="s">
        <v>6458</v>
      </c>
      <c r="C13759" t="s">
        <v>88</v>
      </c>
      <c r="D13759" t="s">
        <v>88</v>
      </c>
      <c r="E13759" t="s">
        <v>791</v>
      </c>
      <c r="F13759" t="s">
        <v>88</v>
      </c>
      <c r="G13759" t="s">
        <v>88</v>
      </c>
      <c r="H13759" t="s">
        <v>92</v>
      </c>
    </row>
    <row r="13760" spans="1:8" x14ac:dyDescent="0.25">
      <c r="A13760" t="s">
        <v>385</v>
      </c>
      <c r="B13760" t="s">
        <v>10945</v>
      </c>
      <c r="C13760" t="s">
        <v>88</v>
      </c>
      <c r="D13760" t="s">
        <v>88</v>
      </c>
      <c r="E13760" t="s">
        <v>702</v>
      </c>
      <c r="F13760" t="s">
        <v>88</v>
      </c>
      <c r="G13760" t="s">
        <v>88</v>
      </c>
      <c r="H13760" t="s">
        <v>92</v>
      </c>
    </row>
    <row r="13761" spans="1:8" x14ac:dyDescent="0.25">
      <c r="A13761" t="s">
        <v>385</v>
      </c>
      <c r="B13761" t="s">
        <v>10946</v>
      </c>
      <c r="C13761" t="s">
        <v>88</v>
      </c>
      <c r="D13761" t="s">
        <v>88</v>
      </c>
      <c r="E13761" t="s">
        <v>692</v>
      </c>
      <c r="F13761" t="s">
        <v>88</v>
      </c>
      <c r="G13761" t="s">
        <v>88</v>
      </c>
      <c r="H13761" t="s">
        <v>92</v>
      </c>
    </row>
    <row r="13762" spans="1:8" x14ac:dyDescent="0.25">
      <c r="A13762" t="s">
        <v>385</v>
      </c>
      <c r="B13762" t="s">
        <v>10947</v>
      </c>
      <c r="C13762" t="s">
        <v>88</v>
      </c>
      <c r="D13762" t="s">
        <v>88</v>
      </c>
      <c r="E13762" t="s">
        <v>655</v>
      </c>
      <c r="F13762" t="s">
        <v>88</v>
      </c>
      <c r="G13762" t="s">
        <v>88</v>
      </c>
      <c r="H13762" t="s">
        <v>92</v>
      </c>
    </row>
    <row r="13763" spans="1:8" x14ac:dyDescent="0.25">
      <c r="A13763" t="s">
        <v>385</v>
      </c>
      <c r="B13763" t="s">
        <v>10948</v>
      </c>
      <c r="C13763" t="s">
        <v>88</v>
      </c>
      <c r="D13763" t="s">
        <v>88</v>
      </c>
      <c r="E13763" t="s">
        <v>655</v>
      </c>
      <c r="F13763" t="s">
        <v>88</v>
      </c>
      <c r="G13763" t="s">
        <v>88</v>
      </c>
      <c r="H13763" t="s">
        <v>92</v>
      </c>
    </row>
    <row r="13764" spans="1:8" x14ac:dyDescent="0.25">
      <c r="A13764" t="s">
        <v>385</v>
      </c>
      <c r="B13764" t="s">
        <v>10949</v>
      </c>
      <c r="C13764" t="s">
        <v>88</v>
      </c>
      <c r="D13764" t="s">
        <v>88</v>
      </c>
      <c r="E13764" t="s">
        <v>799</v>
      </c>
      <c r="F13764" t="s">
        <v>88</v>
      </c>
      <c r="G13764" t="s">
        <v>88</v>
      </c>
      <c r="H13764" t="s">
        <v>92</v>
      </c>
    </row>
    <row r="13765" spans="1:8" x14ac:dyDescent="0.25">
      <c r="A13765" t="s">
        <v>385</v>
      </c>
      <c r="B13765" t="s">
        <v>10950</v>
      </c>
      <c r="C13765" t="s">
        <v>88</v>
      </c>
      <c r="D13765" t="s">
        <v>88</v>
      </c>
      <c r="E13765" t="s">
        <v>799</v>
      </c>
      <c r="F13765" t="s">
        <v>88</v>
      </c>
      <c r="G13765" t="s">
        <v>88</v>
      </c>
      <c r="H13765" t="s">
        <v>92</v>
      </c>
    </row>
    <row r="13766" spans="1:8" x14ac:dyDescent="0.25">
      <c r="A13766" t="s">
        <v>385</v>
      </c>
      <c r="B13766" t="s">
        <v>10951</v>
      </c>
      <c r="C13766" t="s">
        <v>88</v>
      </c>
      <c r="D13766" t="s">
        <v>88</v>
      </c>
      <c r="E13766" t="s">
        <v>709</v>
      </c>
      <c r="F13766" t="s">
        <v>88</v>
      </c>
      <c r="G13766" t="s">
        <v>88</v>
      </c>
      <c r="H13766" t="s">
        <v>92</v>
      </c>
    </row>
    <row r="13767" spans="1:8" x14ac:dyDescent="0.25">
      <c r="A13767" t="s">
        <v>385</v>
      </c>
      <c r="B13767" t="s">
        <v>10952</v>
      </c>
      <c r="C13767" t="s">
        <v>88</v>
      </c>
      <c r="D13767" t="s">
        <v>88</v>
      </c>
      <c r="E13767" t="s">
        <v>964</v>
      </c>
      <c r="F13767" t="s">
        <v>88</v>
      </c>
      <c r="G13767" t="s">
        <v>88</v>
      </c>
      <c r="H13767" t="s">
        <v>92</v>
      </c>
    </row>
    <row r="13768" spans="1:8" x14ac:dyDescent="0.25">
      <c r="A13768" t="s">
        <v>385</v>
      </c>
      <c r="B13768" t="s">
        <v>7051</v>
      </c>
      <c r="C13768" t="s">
        <v>88</v>
      </c>
      <c r="D13768" t="s">
        <v>88</v>
      </c>
      <c r="E13768" t="s">
        <v>1596</v>
      </c>
      <c r="F13768" t="s">
        <v>88</v>
      </c>
      <c r="G13768" t="s">
        <v>88</v>
      </c>
      <c r="H13768" t="s">
        <v>92</v>
      </c>
    </row>
    <row r="13769" spans="1:8" x14ac:dyDescent="0.25">
      <c r="A13769" t="s">
        <v>385</v>
      </c>
      <c r="B13769" t="s">
        <v>10953</v>
      </c>
      <c r="C13769" t="s">
        <v>88</v>
      </c>
      <c r="D13769" t="s">
        <v>88</v>
      </c>
      <c r="E13769" t="s">
        <v>702</v>
      </c>
      <c r="F13769" t="s">
        <v>88</v>
      </c>
      <c r="G13769" t="s">
        <v>88</v>
      </c>
      <c r="H13769" t="s">
        <v>92</v>
      </c>
    </row>
    <row r="13770" spans="1:8" x14ac:dyDescent="0.25">
      <c r="A13770" t="s">
        <v>385</v>
      </c>
      <c r="B13770" t="s">
        <v>1082</v>
      </c>
      <c r="C13770" t="s">
        <v>88</v>
      </c>
      <c r="D13770" t="s">
        <v>88</v>
      </c>
      <c r="E13770" t="s">
        <v>1596</v>
      </c>
      <c r="F13770" t="s">
        <v>88</v>
      </c>
      <c r="G13770" t="s">
        <v>88</v>
      </c>
      <c r="H13770" t="s">
        <v>92</v>
      </c>
    </row>
    <row r="13771" spans="1:8" x14ac:dyDescent="0.25">
      <c r="A13771" t="s">
        <v>385</v>
      </c>
      <c r="B13771" t="s">
        <v>3182</v>
      </c>
      <c r="C13771" t="s">
        <v>88</v>
      </c>
      <c r="D13771" t="s">
        <v>88</v>
      </c>
      <c r="E13771" t="s">
        <v>655</v>
      </c>
      <c r="F13771" t="s">
        <v>88</v>
      </c>
      <c r="G13771" t="s">
        <v>88</v>
      </c>
      <c r="H13771" t="s">
        <v>92</v>
      </c>
    </row>
    <row r="13772" spans="1:8" x14ac:dyDescent="0.25">
      <c r="A13772" t="s">
        <v>385</v>
      </c>
      <c r="B13772" t="s">
        <v>7923</v>
      </c>
      <c r="C13772" t="s">
        <v>88</v>
      </c>
      <c r="D13772" t="s">
        <v>88</v>
      </c>
      <c r="E13772" t="s">
        <v>780</v>
      </c>
      <c r="F13772" t="s">
        <v>88</v>
      </c>
      <c r="G13772" t="s">
        <v>88</v>
      </c>
      <c r="H13772" t="s">
        <v>92</v>
      </c>
    </row>
    <row r="13773" spans="1:8" x14ac:dyDescent="0.25">
      <c r="A13773" t="s">
        <v>385</v>
      </c>
      <c r="B13773" t="s">
        <v>7134</v>
      </c>
      <c r="C13773" t="s">
        <v>88</v>
      </c>
      <c r="D13773" t="s">
        <v>88</v>
      </c>
      <c r="E13773" t="s">
        <v>655</v>
      </c>
      <c r="F13773" t="s">
        <v>88</v>
      </c>
      <c r="G13773" t="s">
        <v>88</v>
      </c>
      <c r="H13773" t="s">
        <v>92</v>
      </c>
    </row>
    <row r="13774" spans="1:8" x14ac:dyDescent="0.25">
      <c r="A13774" t="s">
        <v>385</v>
      </c>
      <c r="B13774" t="s">
        <v>10954</v>
      </c>
      <c r="C13774" t="s">
        <v>88</v>
      </c>
      <c r="D13774" t="s">
        <v>88</v>
      </c>
      <c r="E13774" t="s">
        <v>676</v>
      </c>
      <c r="F13774" t="s">
        <v>88</v>
      </c>
      <c r="G13774" t="s">
        <v>88</v>
      </c>
      <c r="H13774" t="s">
        <v>92</v>
      </c>
    </row>
    <row r="13775" spans="1:8" x14ac:dyDescent="0.25">
      <c r="A13775" t="s">
        <v>385</v>
      </c>
      <c r="B13775" t="s">
        <v>952</v>
      </c>
      <c r="C13775" t="s">
        <v>88</v>
      </c>
      <c r="D13775" t="s">
        <v>1370</v>
      </c>
      <c r="E13775" t="s">
        <v>848</v>
      </c>
      <c r="F13775" t="s">
        <v>88</v>
      </c>
      <c r="G13775" t="s">
        <v>88</v>
      </c>
      <c r="H13775" t="s">
        <v>92</v>
      </c>
    </row>
    <row r="13776" spans="1:8" x14ac:dyDescent="0.25">
      <c r="A13776" t="s">
        <v>385</v>
      </c>
      <c r="B13776" t="s">
        <v>954</v>
      </c>
      <c r="C13776" t="s">
        <v>88</v>
      </c>
      <c r="D13776" t="s">
        <v>1370</v>
      </c>
      <c r="E13776" t="s">
        <v>848</v>
      </c>
      <c r="F13776" t="s">
        <v>88</v>
      </c>
      <c r="G13776" t="s">
        <v>88</v>
      </c>
      <c r="H13776" t="s">
        <v>92</v>
      </c>
    </row>
    <row r="13777" spans="1:8" x14ac:dyDescent="0.25">
      <c r="A13777" t="s">
        <v>385</v>
      </c>
      <c r="B13777" t="s">
        <v>10955</v>
      </c>
      <c r="C13777" t="s">
        <v>88</v>
      </c>
      <c r="D13777" t="s">
        <v>88</v>
      </c>
      <c r="E13777" t="s">
        <v>711</v>
      </c>
      <c r="F13777" t="s">
        <v>88</v>
      </c>
      <c r="G13777" t="s">
        <v>88</v>
      </c>
      <c r="H13777" t="s">
        <v>92</v>
      </c>
    </row>
    <row r="13778" spans="1:8" x14ac:dyDescent="0.25">
      <c r="A13778" t="s">
        <v>385</v>
      </c>
      <c r="B13778" t="s">
        <v>618</v>
      </c>
      <c r="C13778" t="s">
        <v>88</v>
      </c>
      <c r="D13778" t="s">
        <v>88</v>
      </c>
      <c r="E13778" t="s">
        <v>711</v>
      </c>
      <c r="F13778" t="s">
        <v>88</v>
      </c>
      <c r="G13778" t="s">
        <v>88</v>
      </c>
      <c r="H13778" t="s">
        <v>92</v>
      </c>
    </row>
    <row r="13779" spans="1:8" x14ac:dyDescent="0.25">
      <c r="A13779" t="s">
        <v>385</v>
      </c>
      <c r="B13779" t="s">
        <v>926</v>
      </c>
      <c r="C13779" t="s">
        <v>88</v>
      </c>
      <c r="D13779" t="s">
        <v>88</v>
      </c>
      <c r="E13779" t="s">
        <v>713</v>
      </c>
      <c r="F13779" t="s">
        <v>88</v>
      </c>
      <c r="G13779" t="s">
        <v>88</v>
      </c>
      <c r="H13779" t="s">
        <v>92</v>
      </c>
    </row>
    <row r="13780" spans="1:8" x14ac:dyDescent="0.25">
      <c r="A13780" t="s">
        <v>385</v>
      </c>
      <c r="B13780" t="s">
        <v>620</v>
      </c>
      <c r="C13780" t="s">
        <v>88</v>
      </c>
      <c r="D13780" t="s">
        <v>88</v>
      </c>
      <c r="E13780" t="s">
        <v>713</v>
      </c>
      <c r="F13780" t="s">
        <v>88</v>
      </c>
      <c r="G13780" t="s">
        <v>88</v>
      </c>
      <c r="H13780" t="s">
        <v>92</v>
      </c>
    </row>
    <row r="13781" spans="1:8" x14ac:dyDescent="0.25">
      <c r="A13781" t="s">
        <v>385</v>
      </c>
      <c r="B13781" t="s">
        <v>622</v>
      </c>
      <c r="C13781" t="s">
        <v>88</v>
      </c>
      <c r="D13781" t="s">
        <v>88</v>
      </c>
      <c r="E13781" t="s">
        <v>735</v>
      </c>
      <c r="F13781" t="s">
        <v>88</v>
      </c>
      <c r="G13781" t="s">
        <v>88</v>
      </c>
      <c r="H13781" t="s">
        <v>92</v>
      </c>
    </row>
    <row r="13782" spans="1:8" x14ac:dyDescent="0.25">
      <c r="A13782" t="s">
        <v>385</v>
      </c>
      <c r="B13782" t="s">
        <v>623</v>
      </c>
      <c r="C13782" t="s">
        <v>88</v>
      </c>
      <c r="D13782" t="s">
        <v>88</v>
      </c>
      <c r="E13782" t="s">
        <v>849</v>
      </c>
      <c r="F13782" t="s">
        <v>88</v>
      </c>
      <c r="G13782" t="s">
        <v>88</v>
      </c>
      <c r="H13782" t="s">
        <v>92</v>
      </c>
    </row>
    <row r="13783" spans="1:8" x14ac:dyDescent="0.25">
      <c r="A13783" t="s">
        <v>385</v>
      </c>
      <c r="B13783" t="s">
        <v>714</v>
      </c>
      <c r="C13783" t="s">
        <v>88</v>
      </c>
      <c r="D13783" t="s">
        <v>88</v>
      </c>
      <c r="E13783" t="s">
        <v>702</v>
      </c>
      <c r="F13783" t="s">
        <v>88</v>
      </c>
      <c r="G13783" t="s">
        <v>88</v>
      </c>
      <c r="H13783" t="s">
        <v>92</v>
      </c>
    </row>
    <row r="13784" spans="1:8" x14ac:dyDescent="0.25">
      <c r="A13784" t="s">
        <v>385</v>
      </c>
      <c r="B13784" t="s">
        <v>10956</v>
      </c>
      <c r="C13784" t="s">
        <v>88</v>
      </c>
      <c r="D13784" t="s">
        <v>88</v>
      </c>
      <c r="E13784" t="s">
        <v>791</v>
      </c>
      <c r="F13784" t="s">
        <v>88</v>
      </c>
      <c r="G13784" t="s">
        <v>88</v>
      </c>
      <c r="H13784" t="s">
        <v>92</v>
      </c>
    </row>
    <row r="13785" spans="1:8" x14ac:dyDescent="0.25">
      <c r="A13785" t="s">
        <v>385</v>
      </c>
      <c r="B13785" t="s">
        <v>10957</v>
      </c>
      <c r="C13785" t="s">
        <v>88</v>
      </c>
      <c r="D13785" t="s">
        <v>88</v>
      </c>
      <c r="E13785" t="s">
        <v>723</v>
      </c>
      <c r="F13785" t="s">
        <v>88</v>
      </c>
      <c r="G13785" t="s">
        <v>88</v>
      </c>
      <c r="H13785" t="s">
        <v>92</v>
      </c>
    </row>
    <row r="13786" spans="1:8" x14ac:dyDescent="0.25">
      <c r="A13786" t="s">
        <v>385</v>
      </c>
      <c r="B13786" t="s">
        <v>1989</v>
      </c>
      <c r="C13786" t="s">
        <v>88</v>
      </c>
      <c r="D13786" t="s">
        <v>88</v>
      </c>
      <c r="E13786" t="s">
        <v>791</v>
      </c>
      <c r="F13786" t="s">
        <v>88</v>
      </c>
      <c r="G13786" t="s">
        <v>88</v>
      </c>
      <c r="H13786" t="s">
        <v>92</v>
      </c>
    </row>
    <row r="13787" spans="1:8" x14ac:dyDescent="0.25">
      <c r="A13787" t="s">
        <v>385</v>
      </c>
      <c r="B13787" t="s">
        <v>625</v>
      </c>
      <c r="C13787" t="s">
        <v>88</v>
      </c>
      <c r="D13787" t="s">
        <v>88</v>
      </c>
      <c r="E13787" t="s">
        <v>626</v>
      </c>
      <c r="F13787" t="s">
        <v>88</v>
      </c>
      <c r="G13787" t="s">
        <v>88</v>
      </c>
      <c r="H13787" t="s">
        <v>92</v>
      </c>
    </row>
    <row r="13788" spans="1:8" x14ac:dyDescent="0.25">
      <c r="A13788" t="s">
        <v>386</v>
      </c>
      <c r="B13788" t="s">
        <v>10958</v>
      </c>
      <c r="C13788" t="s">
        <v>88</v>
      </c>
      <c r="D13788" t="s">
        <v>10959</v>
      </c>
      <c r="E13788" t="s">
        <v>10960</v>
      </c>
      <c r="F13788" t="s">
        <v>88</v>
      </c>
      <c r="G13788" t="s">
        <v>88</v>
      </c>
      <c r="H13788" t="s">
        <v>92</v>
      </c>
    </row>
    <row r="13789" spans="1:8" x14ac:dyDescent="0.25">
      <c r="A13789" t="s">
        <v>386</v>
      </c>
      <c r="B13789" t="s">
        <v>10961</v>
      </c>
      <c r="C13789" t="s">
        <v>88</v>
      </c>
      <c r="D13789" t="s">
        <v>10962</v>
      </c>
      <c r="E13789" t="s">
        <v>2925</v>
      </c>
      <c r="F13789" t="s">
        <v>88</v>
      </c>
      <c r="G13789" t="s">
        <v>88</v>
      </c>
      <c r="H13789" t="s">
        <v>92</v>
      </c>
    </row>
    <row r="13790" spans="1:8" x14ac:dyDescent="0.25">
      <c r="A13790" t="s">
        <v>386</v>
      </c>
      <c r="B13790" t="s">
        <v>10963</v>
      </c>
      <c r="C13790" t="s">
        <v>88</v>
      </c>
      <c r="D13790" t="s">
        <v>10964</v>
      </c>
      <c r="E13790" t="s">
        <v>4503</v>
      </c>
      <c r="F13790" t="s">
        <v>88</v>
      </c>
      <c r="G13790" t="s">
        <v>88</v>
      </c>
      <c r="H13790" t="s">
        <v>92</v>
      </c>
    </row>
    <row r="13791" spans="1:8" x14ac:dyDescent="0.25">
      <c r="A13791" t="s">
        <v>386</v>
      </c>
      <c r="B13791" t="s">
        <v>10965</v>
      </c>
      <c r="C13791" t="s">
        <v>88</v>
      </c>
      <c r="D13791" t="s">
        <v>10966</v>
      </c>
      <c r="E13791" t="s">
        <v>6089</v>
      </c>
      <c r="F13791" t="s">
        <v>88</v>
      </c>
      <c r="G13791" t="s">
        <v>88</v>
      </c>
      <c r="H13791" t="s">
        <v>92</v>
      </c>
    </row>
    <row r="13792" spans="1:8" x14ac:dyDescent="0.25">
      <c r="A13792" t="s">
        <v>386</v>
      </c>
      <c r="B13792" t="s">
        <v>1418</v>
      </c>
      <c r="C13792" t="s">
        <v>88</v>
      </c>
      <c r="D13792" t="s">
        <v>10967</v>
      </c>
      <c r="E13792" t="s">
        <v>1052</v>
      </c>
      <c r="F13792" t="s">
        <v>88</v>
      </c>
      <c r="G13792" t="s">
        <v>88</v>
      </c>
      <c r="H13792" t="s">
        <v>92</v>
      </c>
    </row>
    <row r="13793" spans="1:8" x14ac:dyDescent="0.25">
      <c r="A13793" t="s">
        <v>386</v>
      </c>
      <c r="B13793" t="s">
        <v>1421</v>
      </c>
      <c r="C13793" t="s">
        <v>88</v>
      </c>
      <c r="D13793" t="s">
        <v>10967</v>
      </c>
      <c r="E13793" t="s">
        <v>1052</v>
      </c>
      <c r="F13793" t="s">
        <v>88</v>
      </c>
      <c r="G13793" t="s">
        <v>88</v>
      </c>
      <c r="H13793" t="s">
        <v>92</v>
      </c>
    </row>
    <row r="13794" spans="1:8" x14ac:dyDescent="0.25">
      <c r="A13794" t="s">
        <v>386</v>
      </c>
      <c r="B13794" t="s">
        <v>1423</v>
      </c>
      <c r="C13794" t="s">
        <v>88</v>
      </c>
      <c r="D13794" t="s">
        <v>10967</v>
      </c>
      <c r="E13794" t="s">
        <v>1052</v>
      </c>
      <c r="F13794" t="s">
        <v>88</v>
      </c>
      <c r="G13794" t="s">
        <v>88</v>
      </c>
      <c r="H13794" t="s">
        <v>92</v>
      </c>
    </row>
    <row r="13795" spans="1:8" x14ac:dyDescent="0.25">
      <c r="A13795" t="s">
        <v>386</v>
      </c>
      <c r="B13795" t="s">
        <v>1424</v>
      </c>
      <c r="C13795" t="s">
        <v>88</v>
      </c>
      <c r="D13795" t="s">
        <v>10967</v>
      </c>
      <c r="E13795" t="s">
        <v>1052</v>
      </c>
      <c r="F13795" t="s">
        <v>88</v>
      </c>
      <c r="G13795" t="s">
        <v>88</v>
      </c>
      <c r="H13795" t="s">
        <v>92</v>
      </c>
    </row>
    <row r="13796" spans="1:8" x14ac:dyDescent="0.25">
      <c r="A13796" t="s">
        <v>386</v>
      </c>
      <c r="B13796" t="s">
        <v>10968</v>
      </c>
      <c r="C13796" t="s">
        <v>88</v>
      </c>
      <c r="D13796" t="s">
        <v>10969</v>
      </c>
      <c r="E13796" t="s">
        <v>3722</v>
      </c>
      <c r="F13796" t="s">
        <v>88</v>
      </c>
      <c r="G13796" t="s">
        <v>88</v>
      </c>
      <c r="H13796" t="s">
        <v>92</v>
      </c>
    </row>
    <row r="13797" spans="1:8" x14ac:dyDescent="0.25">
      <c r="A13797" t="s">
        <v>386</v>
      </c>
      <c r="B13797" t="s">
        <v>10970</v>
      </c>
      <c r="C13797" t="s">
        <v>88</v>
      </c>
      <c r="D13797" t="s">
        <v>10971</v>
      </c>
      <c r="E13797" t="s">
        <v>1052</v>
      </c>
      <c r="F13797" t="s">
        <v>88</v>
      </c>
      <c r="G13797" t="s">
        <v>88</v>
      </c>
      <c r="H13797" t="s">
        <v>92</v>
      </c>
    </row>
    <row r="13798" spans="1:8" x14ac:dyDescent="0.25">
      <c r="A13798" t="s">
        <v>386</v>
      </c>
      <c r="B13798" t="s">
        <v>630</v>
      </c>
      <c r="C13798" t="s">
        <v>88</v>
      </c>
      <c r="D13798" t="s">
        <v>10972</v>
      </c>
      <c r="E13798" t="s">
        <v>1985</v>
      </c>
      <c r="F13798" t="s">
        <v>88</v>
      </c>
      <c r="G13798" t="s">
        <v>88</v>
      </c>
      <c r="H13798" t="s">
        <v>92</v>
      </c>
    </row>
    <row r="13799" spans="1:8" x14ac:dyDescent="0.25">
      <c r="A13799" t="s">
        <v>386</v>
      </c>
      <c r="B13799" t="s">
        <v>10973</v>
      </c>
      <c r="C13799" t="s">
        <v>88</v>
      </c>
      <c r="D13799" t="s">
        <v>10974</v>
      </c>
      <c r="E13799" t="s">
        <v>2925</v>
      </c>
      <c r="F13799" t="s">
        <v>88</v>
      </c>
      <c r="G13799" t="s">
        <v>88</v>
      </c>
      <c r="H13799" t="s">
        <v>92</v>
      </c>
    </row>
    <row r="13800" spans="1:8" x14ac:dyDescent="0.25">
      <c r="A13800" t="s">
        <v>386</v>
      </c>
      <c r="B13800" t="s">
        <v>8831</v>
      </c>
      <c r="C13800" t="s">
        <v>88</v>
      </c>
      <c r="D13800" t="s">
        <v>10975</v>
      </c>
      <c r="E13800" t="s">
        <v>10976</v>
      </c>
      <c r="F13800" t="s">
        <v>88</v>
      </c>
      <c r="G13800" t="s">
        <v>88</v>
      </c>
      <c r="H13800" t="s">
        <v>92</v>
      </c>
    </row>
    <row r="13801" spans="1:8" x14ac:dyDescent="0.25">
      <c r="A13801" t="s">
        <v>386</v>
      </c>
      <c r="B13801" t="s">
        <v>10977</v>
      </c>
      <c r="C13801" t="s">
        <v>88</v>
      </c>
      <c r="D13801" t="s">
        <v>10978</v>
      </c>
      <c r="E13801" t="s">
        <v>10979</v>
      </c>
      <c r="F13801" t="s">
        <v>88</v>
      </c>
      <c r="G13801" t="s">
        <v>88</v>
      </c>
      <c r="H13801" t="s">
        <v>92</v>
      </c>
    </row>
    <row r="13802" spans="1:8" x14ac:dyDescent="0.25">
      <c r="A13802" t="s">
        <v>386</v>
      </c>
      <c r="B13802" t="s">
        <v>10980</v>
      </c>
      <c r="C13802" t="s">
        <v>88</v>
      </c>
      <c r="D13802" t="s">
        <v>10981</v>
      </c>
      <c r="E13802" t="s">
        <v>3758</v>
      </c>
      <c r="F13802" t="s">
        <v>88</v>
      </c>
      <c r="G13802" t="s">
        <v>88</v>
      </c>
      <c r="H13802" t="s">
        <v>92</v>
      </c>
    </row>
    <row r="13803" spans="1:8" x14ac:dyDescent="0.25">
      <c r="A13803" t="s">
        <v>386</v>
      </c>
      <c r="B13803" t="s">
        <v>10982</v>
      </c>
      <c r="C13803" t="s">
        <v>88</v>
      </c>
      <c r="D13803" t="s">
        <v>10983</v>
      </c>
      <c r="E13803" t="s">
        <v>4397</v>
      </c>
      <c r="F13803" t="s">
        <v>88</v>
      </c>
      <c r="G13803" t="s">
        <v>88</v>
      </c>
      <c r="H13803" t="s">
        <v>92</v>
      </c>
    </row>
    <row r="13804" spans="1:8" x14ac:dyDescent="0.25">
      <c r="A13804" t="s">
        <v>386</v>
      </c>
      <c r="B13804" t="s">
        <v>10984</v>
      </c>
      <c r="C13804" t="s">
        <v>88</v>
      </c>
      <c r="D13804" t="s">
        <v>10985</v>
      </c>
      <c r="E13804" t="s">
        <v>2895</v>
      </c>
      <c r="F13804" t="s">
        <v>88</v>
      </c>
      <c r="G13804" t="s">
        <v>88</v>
      </c>
      <c r="H13804" t="s">
        <v>92</v>
      </c>
    </row>
    <row r="13805" spans="1:8" x14ac:dyDescent="0.25">
      <c r="A13805" t="s">
        <v>386</v>
      </c>
      <c r="B13805" t="s">
        <v>10986</v>
      </c>
      <c r="C13805" t="s">
        <v>88</v>
      </c>
      <c r="D13805" t="s">
        <v>10987</v>
      </c>
      <c r="E13805" t="s">
        <v>1526</v>
      </c>
      <c r="F13805" t="s">
        <v>88</v>
      </c>
      <c r="G13805" t="s">
        <v>88</v>
      </c>
      <c r="H13805" t="s">
        <v>92</v>
      </c>
    </row>
    <row r="13806" spans="1:8" x14ac:dyDescent="0.25">
      <c r="A13806" t="s">
        <v>386</v>
      </c>
      <c r="B13806" t="s">
        <v>10988</v>
      </c>
      <c r="C13806" t="s">
        <v>88</v>
      </c>
      <c r="D13806" t="s">
        <v>10989</v>
      </c>
      <c r="E13806" t="s">
        <v>1475</v>
      </c>
      <c r="F13806" t="s">
        <v>88</v>
      </c>
      <c r="G13806" t="s">
        <v>88</v>
      </c>
      <c r="H13806" t="s">
        <v>92</v>
      </c>
    </row>
    <row r="13807" spans="1:8" x14ac:dyDescent="0.25">
      <c r="A13807" t="s">
        <v>386</v>
      </c>
      <c r="B13807" t="s">
        <v>741</v>
      </c>
      <c r="C13807" t="s">
        <v>88</v>
      </c>
      <c r="D13807" t="s">
        <v>10990</v>
      </c>
      <c r="E13807" t="s">
        <v>1526</v>
      </c>
      <c r="F13807" t="s">
        <v>88</v>
      </c>
      <c r="G13807" t="s">
        <v>88</v>
      </c>
      <c r="H13807" t="s">
        <v>92</v>
      </c>
    </row>
    <row r="13808" spans="1:8" x14ac:dyDescent="0.25">
      <c r="A13808" t="s">
        <v>386</v>
      </c>
      <c r="B13808" t="s">
        <v>10991</v>
      </c>
      <c r="C13808" t="s">
        <v>88</v>
      </c>
      <c r="D13808" t="s">
        <v>10992</v>
      </c>
      <c r="E13808" t="s">
        <v>1452</v>
      </c>
      <c r="F13808" t="s">
        <v>88</v>
      </c>
      <c r="G13808" t="s">
        <v>88</v>
      </c>
      <c r="H13808" t="s">
        <v>92</v>
      </c>
    </row>
    <row r="13809" spans="1:8" x14ac:dyDescent="0.25">
      <c r="A13809" t="s">
        <v>386</v>
      </c>
      <c r="B13809" t="s">
        <v>10993</v>
      </c>
      <c r="C13809" t="s">
        <v>88</v>
      </c>
      <c r="D13809" t="s">
        <v>10994</v>
      </c>
      <c r="E13809" t="s">
        <v>1484</v>
      </c>
      <c r="F13809" t="s">
        <v>88</v>
      </c>
      <c r="G13809" t="s">
        <v>88</v>
      </c>
      <c r="H13809" t="s">
        <v>92</v>
      </c>
    </row>
    <row r="13810" spans="1:8" x14ac:dyDescent="0.25">
      <c r="A13810" t="s">
        <v>386</v>
      </c>
      <c r="B13810" t="s">
        <v>10995</v>
      </c>
      <c r="C13810" t="s">
        <v>88</v>
      </c>
      <c r="D13810" t="s">
        <v>10996</v>
      </c>
      <c r="E13810" t="s">
        <v>1481</v>
      </c>
      <c r="F13810" t="s">
        <v>88</v>
      </c>
      <c r="G13810" t="s">
        <v>88</v>
      </c>
      <c r="H13810" t="s">
        <v>92</v>
      </c>
    </row>
    <row r="13811" spans="1:8" x14ac:dyDescent="0.25">
      <c r="A13811" t="s">
        <v>386</v>
      </c>
      <c r="B13811" t="s">
        <v>10997</v>
      </c>
      <c r="C13811" t="s">
        <v>88</v>
      </c>
      <c r="D13811" t="s">
        <v>10998</v>
      </c>
      <c r="E13811" t="s">
        <v>1490</v>
      </c>
      <c r="F13811" t="s">
        <v>88</v>
      </c>
      <c r="G13811" t="s">
        <v>88</v>
      </c>
      <c r="H13811" t="s">
        <v>92</v>
      </c>
    </row>
    <row r="13812" spans="1:8" x14ac:dyDescent="0.25">
      <c r="A13812" t="s">
        <v>386</v>
      </c>
      <c r="B13812" t="s">
        <v>10999</v>
      </c>
      <c r="C13812" t="s">
        <v>88</v>
      </c>
      <c r="D13812" t="s">
        <v>11000</v>
      </c>
      <c r="E13812" t="s">
        <v>1509</v>
      </c>
      <c r="F13812" t="s">
        <v>88</v>
      </c>
      <c r="G13812" t="s">
        <v>88</v>
      </c>
      <c r="H13812" t="s">
        <v>92</v>
      </c>
    </row>
    <row r="13813" spans="1:8" x14ac:dyDescent="0.25">
      <c r="A13813" t="s">
        <v>386</v>
      </c>
      <c r="B13813" t="s">
        <v>11001</v>
      </c>
      <c r="C13813" t="s">
        <v>88</v>
      </c>
      <c r="D13813" t="s">
        <v>11002</v>
      </c>
      <c r="E13813" t="s">
        <v>1414</v>
      </c>
      <c r="F13813" t="s">
        <v>88</v>
      </c>
      <c r="G13813" t="s">
        <v>88</v>
      </c>
      <c r="H13813" t="s">
        <v>92</v>
      </c>
    </row>
    <row r="13814" spans="1:8" x14ac:dyDescent="0.25">
      <c r="A13814" t="s">
        <v>386</v>
      </c>
      <c r="B13814" t="s">
        <v>11003</v>
      </c>
      <c r="C13814" t="s">
        <v>88</v>
      </c>
      <c r="D13814" t="s">
        <v>11004</v>
      </c>
      <c r="E13814" t="s">
        <v>1481</v>
      </c>
      <c r="F13814" t="s">
        <v>88</v>
      </c>
      <c r="G13814" t="s">
        <v>88</v>
      </c>
      <c r="H13814" t="s">
        <v>92</v>
      </c>
    </row>
    <row r="13815" spans="1:8" x14ac:dyDescent="0.25">
      <c r="A13815" t="s">
        <v>386</v>
      </c>
      <c r="B13815" t="s">
        <v>11005</v>
      </c>
      <c r="C13815" t="s">
        <v>88</v>
      </c>
      <c r="D13815" t="s">
        <v>11006</v>
      </c>
      <c r="E13815" t="s">
        <v>1475</v>
      </c>
      <c r="F13815" t="s">
        <v>88</v>
      </c>
      <c r="G13815" t="s">
        <v>88</v>
      </c>
      <c r="H13815" t="s">
        <v>92</v>
      </c>
    </row>
    <row r="13816" spans="1:8" x14ac:dyDescent="0.25">
      <c r="A13816" t="s">
        <v>386</v>
      </c>
      <c r="B13816" t="s">
        <v>11007</v>
      </c>
      <c r="C13816" t="s">
        <v>88</v>
      </c>
      <c r="D13816" t="s">
        <v>11008</v>
      </c>
      <c r="E13816" t="s">
        <v>1526</v>
      </c>
      <c r="F13816" t="s">
        <v>88</v>
      </c>
      <c r="G13816" t="s">
        <v>88</v>
      </c>
      <c r="H13816" t="s">
        <v>92</v>
      </c>
    </row>
    <row r="13817" spans="1:8" x14ac:dyDescent="0.25">
      <c r="A13817" t="s">
        <v>386</v>
      </c>
      <c r="B13817" t="s">
        <v>11009</v>
      </c>
      <c r="C13817" t="s">
        <v>88</v>
      </c>
      <c r="D13817" t="s">
        <v>11010</v>
      </c>
      <c r="E13817" t="s">
        <v>1490</v>
      </c>
      <c r="F13817" t="s">
        <v>88</v>
      </c>
      <c r="G13817" t="s">
        <v>88</v>
      </c>
      <c r="H13817" t="s">
        <v>92</v>
      </c>
    </row>
    <row r="13818" spans="1:8" x14ac:dyDescent="0.25">
      <c r="A13818" t="s">
        <v>386</v>
      </c>
      <c r="B13818" t="s">
        <v>11011</v>
      </c>
      <c r="C13818" t="s">
        <v>88</v>
      </c>
      <c r="D13818" t="s">
        <v>11012</v>
      </c>
      <c r="E13818" t="s">
        <v>1490</v>
      </c>
      <c r="F13818" t="s">
        <v>88</v>
      </c>
      <c r="G13818" t="s">
        <v>88</v>
      </c>
      <c r="H13818" t="s">
        <v>92</v>
      </c>
    </row>
    <row r="13819" spans="1:8" x14ac:dyDescent="0.25">
      <c r="A13819" t="s">
        <v>386</v>
      </c>
      <c r="B13819" t="s">
        <v>11013</v>
      </c>
      <c r="C13819" t="s">
        <v>88</v>
      </c>
      <c r="D13819" t="s">
        <v>11014</v>
      </c>
      <c r="E13819" t="s">
        <v>1509</v>
      </c>
      <c r="F13819" t="s">
        <v>88</v>
      </c>
      <c r="G13819" t="s">
        <v>88</v>
      </c>
      <c r="H13819" t="s">
        <v>92</v>
      </c>
    </row>
    <row r="13820" spans="1:8" x14ac:dyDescent="0.25">
      <c r="A13820" t="s">
        <v>386</v>
      </c>
      <c r="B13820" t="s">
        <v>11015</v>
      </c>
      <c r="C13820" t="s">
        <v>88</v>
      </c>
      <c r="D13820" t="s">
        <v>11016</v>
      </c>
      <c r="E13820" t="s">
        <v>1484</v>
      </c>
      <c r="F13820" t="s">
        <v>88</v>
      </c>
      <c r="G13820" t="s">
        <v>88</v>
      </c>
      <c r="H13820" t="s">
        <v>92</v>
      </c>
    </row>
    <row r="13821" spans="1:8" x14ac:dyDescent="0.25">
      <c r="A13821" t="s">
        <v>386</v>
      </c>
      <c r="B13821" t="s">
        <v>11017</v>
      </c>
      <c r="C13821" t="s">
        <v>88</v>
      </c>
      <c r="D13821" t="s">
        <v>11018</v>
      </c>
      <c r="E13821" t="s">
        <v>1484</v>
      </c>
      <c r="F13821" t="s">
        <v>88</v>
      </c>
      <c r="G13821" t="s">
        <v>88</v>
      </c>
      <c r="H13821" t="s">
        <v>92</v>
      </c>
    </row>
    <row r="13822" spans="1:8" x14ac:dyDescent="0.25">
      <c r="A13822" t="s">
        <v>386</v>
      </c>
      <c r="B13822" t="s">
        <v>11019</v>
      </c>
      <c r="C13822" t="s">
        <v>88</v>
      </c>
      <c r="D13822" t="s">
        <v>11020</v>
      </c>
      <c r="E13822" t="s">
        <v>1478</v>
      </c>
      <c r="F13822" t="s">
        <v>88</v>
      </c>
      <c r="G13822" t="s">
        <v>88</v>
      </c>
      <c r="H13822" t="s">
        <v>92</v>
      </c>
    </row>
    <row r="13823" spans="1:8" x14ac:dyDescent="0.25">
      <c r="A13823" t="s">
        <v>386</v>
      </c>
      <c r="B13823" t="s">
        <v>11021</v>
      </c>
      <c r="C13823" t="s">
        <v>88</v>
      </c>
      <c r="D13823" t="s">
        <v>11022</v>
      </c>
      <c r="E13823" t="s">
        <v>1509</v>
      </c>
      <c r="F13823" t="s">
        <v>88</v>
      </c>
      <c r="G13823" t="s">
        <v>88</v>
      </c>
      <c r="H13823" t="s">
        <v>92</v>
      </c>
    </row>
    <row r="13824" spans="1:8" x14ac:dyDescent="0.25">
      <c r="A13824" t="s">
        <v>386</v>
      </c>
      <c r="B13824" t="s">
        <v>11023</v>
      </c>
      <c r="C13824" t="s">
        <v>88</v>
      </c>
      <c r="D13824" t="s">
        <v>11024</v>
      </c>
      <c r="E13824" t="s">
        <v>1481</v>
      </c>
      <c r="F13824" t="s">
        <v>88</v>
      </c>
      <c r="G13824" t="s">
        <v>88</v>
      </c>
      <c r="H13824" t="s">
        <v>92</v>
      </c>
    </row>
    <row r="13825" spans="1:8" x14ac:dyDescent="0.25">
      <c r="A13825" t="s">
        <v>386</v>
      </c>
      <c r="B13825" t="s">
        <v>11025</v>
      </c>
      <c r="C13825" t="s">
        <v>88</v>
      </c>
      <c r="D13825" t="s">
        <v>11026</v>
      </c>
      <c r="E13825" t="s">
        <v>2662</v>
      </c>
      <c r="F13825" t="s">
        <v>88</v>
      </c>
      <c r="G13825" t="s">
        <v>88</v>
      </c>
      <c r="H13825" t="s">
        <v>92</v>
      </c>
    </row>
    <row r="13826" spans="1:8" x14ac:dyDescent="0.25">
      <c r="A13826" t="s">
        <v>386</v>
      </c>
      <c r="B13826" t="s">
        <v>11027</v>
      </c>
      <c r="C13826" t="s">
        <v>88</v>
      </c>
      <c r="D13826" t="s">
        <v>11028</v>
      </c>
      <c r="E13826" t="s">
        <v>1636</v>
      </c>
      <c r="F13826" t="s">
        <v>88</v>
      </c>
      <c r="G13826" t="s">
        <v>88</v>
      </c>
      <c r="H13826" t="s">
        <v>92</v>
      </c>
    </row>
    <row r="13827" spans="1:8" x14ac:dyDescent="0.25">
      <c r="A13827" t="s">
        <v>386</v>
      </c>
      <c r="B13827" t="s">
        <v>789</v>
      </c>
      <c r="C13827" t="s">
        <v>88</v>
      </c>
      <c r="D13827" t="s">
        <v>11029</v>
      </c>
      <c r="E13827" t="s">
        <v>1636</v>
      </c>
      <c r="F13827" t="s">
        <v>88</v>
      </c>
      <c r="G13827" t="s">
        <v>88</v>
      </c>
      <c r="H13827" t="s">
        <v>92</v>
      </c>
    </row>
    <row r="13828" spans="1:8" x14ac:dyDescent="0.25">
      <c r="A13828" t="s">
        <v>386</v>
      </c>
      <c r="B13828" t="s">
        <v>1780</v>
      </c>
      <c r="C13828" t="s">
        <v>88</v>
      </c>
      <c r="D13828" t="s">
        <v>88</v>
      </c>
      <c r="E13828" t="s">
        <v>2662</v>
      </c>
      <c r="F13828" t="s">
        <v>88</v>
      </c>
      <c r="G13828" t="s">
        <v>88</v>
      </c>
      <c r="H13828" t="s">
        <v>92</v>
      </c>
    </row>
    <row r="13829" spans="1:8" x14ac:dyDescent="0.25">
      <c r="A13829" t="s">
        <v>386</v>
      </c>
      <c r="B13829" t="s">
        <v>233</v>
      </c>
      <c r="C13829" t="s">
        <v>88</v>
      </c>
      <c r="D13829" t="s">
        <v>88</v>
      </c>
      <c r="E13829" t="s">
        <v>1594</v>
      </c>
      <c r="F13829" t="s">
        <v>88</v>
      </c>
      <c r="G13829" t="s">
        <v>88</v>
      </c>
      <c r="H13829" t="s">
        <v>92</v>
      </c>
    </row>
    <row r="13830" spans="1:8" x14ac:dyDescent="0.25">
      <c r="A13830" t="s">
        <v>386</v>
      </c>
      <c r="B13830" t="s">
        <v>11030</v>
      </c>
      <c r="C13830" t="s">
        <v>88</v>
      </c>
      <c r="D13830" t="s">
        <v>88</v>
      </c>
      <c r="E13830" t="s">
        <v>1646</v>
      </c>
      <c r="F13830" t="s">
        <v>88</v>
      </c>
      <c r="G13830" t="s">
        <v>88</v>
      </c>
      <c r="H13830" t="s">
        <v>92</v>
      </c>
    </row>
    <row r="13831" spans="1:8" x14ac:dyDescent="0.25">
      <c r="A13831" t="s">
        <v>386</v>
      </c>
      <c r="B13831" t="s">
        <v>11031</v>
      </c>
      <c r="C13831" t="s">
        <v>88</v>
      </c>
      <c r="D13831" t="s">
        <v>88</v>
      </c>
      <c r="E13831" t="s">
        <v>1648</v>
      </c>
      <c r="F13831" t="s">
        <v>88</v>
      </c>
      <c r="G13831" t="s">
        <v>88</v>
      </c>
      <c r="H13831" t="s">
        <v>92</v>
      </c>
    </row>
    <row r="13832" spans="1:8" x14ac:dyDescent="0.25">
      <c r="A13832" t="s">
        <v>386</v>
      </c>
      <c r="B13832" t="s">
        <v>3374</v>
      </c>
      <c r="C13832" t="s">
        <v>88</v>
      </c>
      <c r="D13832" t="s">
        <v>88</v>
      </c>
      <c r="E13832" t="s">
        <v>1648</v>
      </c>
      <c r="F13832" t="s">
        <v>88</v>
      </c>
      <c r="G13832" t="s">
        <v>88</v>
      </c>
      <c r="H13832" t="s">
        <v>92</v>
      </c>
    </row>
    <row r="13833" spans="1:8" x14ac:dyDescent="0.25">
      <c r="A13833" t="s">
        <v>386</v>
      </c>
      <c r="B13833" t="s">
        <v>11032</v>
      </c>
      <c r="C13833" t="s">
        <v>88</v>
      </c>
      <c r="D13833" t="s">
        <v>88</v>
      </c>
      <c r="E13833" t="s">
        <v>1978</v>
      </c>
      <c r="F13833" t="s">
        <v>88</v>
      </c>
      <c r="G13833" t="s">
        <v>88</v>
      </c>
      <c r="H13833" t="s">
        <v>92</v>
      </c>
    </row>
    <row r="13834" spans="1:8" x14ac:dyDescent="0.25">
      <c r="A13834" t="s">
        <v>386</v>
      </c>
      <c r="B13834" t="s">
        <v>11033</v>
      </c>
      <c r="C13834" t="s">
        <v>88</v>
      </c>
      <c r="D13834" t="s">
        <v>11034</v>
      </c>
      <c r="E13834" t="s">
        <v>1377</v>
      </c>
      <c r="F13834" t="s">
        <v>88</v>
      </c>
      <c r="G13834" t="s">
        <v>88</v>
      </c>
      <c r="H13834" t="s">
        <v>92</v>
      </c>
    </row>
    <row r="13835" spans="1:8" x14ac:dyDescent="0.25">
      <c r="A13835" t="s">
        <v>386</v>
      </c>
      <c r="B13835" t="s">
        <v>11035</v>
      </c>
      <c r="C13835" t="s">
        <v>88</v>
      </c>
      <c r="D13835" t="s">
        <v>11036</v>
      </c>
      <c r="E13835" t="s">
        <v>1221</v>
      </c>
      <c r="F13835" t="s">
        <v>88</v>
      </c>
      <c r="G13835" t="s">
        <v>88</v>
      </c>
      <c r="H13835" t="s">
        <v>92</v>
      </c>
    </row>
    <row r="13836" spans="1:8" x14ac:dyDescent="0.25">
      <c r="A13836" t="s">
        <v>386</v>
      </c>
      <c r="B13836" t="s">
        <v>11037</v>
      </c>
      <c r="C13836" t="s">
        <v>88</v>
      </c>
      <c r="D13836" t="s">
        <v>11038</v>
      </c>
      <c r="E13836" t="s">
        <v>1490</v>
      </c>
      <c r="F13836" t="s">
        <v>88</v>
      </c>
      <c r="G13836" t="s">
        <v>88</v>
      </c>
      <c r="H13836" t="s">
        <v>92</v>
      </c>
    </row>
    <row r="13837" spans="1:8" x14ac:dyDescent="0.25">
      <c r="A13837" t="s">
        <v>386</v>
      </c>
      <c r="B13837" t="s">
        <v>11039</v>
      </c>
      <c r="C13837" t="s">
        <v>88</v>
      </c>
      <c r="D13837" t="s">
        <v>11040</v>
      </c>
      <c r="E13837" t="s">
        <v>1506</v>
      </c>
      <c r="F13837" t="s">
        <v>88</v>
      </c>
      <c r="G13837" t="s">
        <v>88</v>
      </c>
      <c r="H13837" t="s">
        <v>92</v>
      </c>
    </row>
    <row r="13838" spans="1:8" x14ac:dyDescent="0.25">
      <c r="A13838" t="s">
        <v>386</v>
      </c>
      <c r="B13838" t="s">
        <v>7993</v>
      </c>
      <c r="C13838" t="s">
        <v>88</v>
      </c>
      <c r="D13838" t="s">
        <v>11041</v>
      </c>
      <c r="E13838" t="s">
        <v>1506</v>
      </c>
      <c r="F13838" t="s">
        <v>88</v>
      </c>
      <c r="G13838" t="s">
        <v>88</v>
      </c>
      <c r="H13838" t="s">
        <v>92</v>
      </c>
    </row>
    <row r="13839" spans="1:8" x14ac:dyDescent="0.25">
      <c r="A13839" t="s">
        <v>386</v>
      </c>
      <c r="B13839" t="s">
        <v>11042</v>
      </c>
      <c r="C13839" t="s">
        <v>88</v>
      </c>
      <c r="D13839" t="s">
        <v>11043</v>
      </c>
      <c r="E13839" t="s">
        <v>1495</v>
      </c>
      <c r="F13839" t="s">
        <v>88</v>
      </c>
      <c r="G13839" t="s">
        <v>88</v>
      </c>
      <c r="H13839" t="s">
        <v>92</v>
      </c>
    </row>
    <row r="13840" spans="1:8" x14ac:dyDescent="0.25">
      <c r="A13840" t="s">
        <v>386</v>
      </c>
      <c r="B13840" t="s">
        <v>4027</v>
      </c>
      <c r="C13840" t="s">
        <v>88</v>
      </c>
      <c r="D13840" t="s">
        <v>88</v>
      </c>
      <c r="E13840" t="s">
        <v>11044</v>
      </c>
      <c r="F13840" t="s">
        <v>88</v>
      </c>
      <c r="G13840" t="s">
        <v>88</v>
      </c>
      <c r="H13840" t="s">
        <v>92</v>
      </c>
    </row>
    <row r="13841" spans="1:8" x14ac:dyDescent="0.25">
      <c r="A13841" t="s">
        <v>386</v>
      </c>
      <c r="B13841" t="s">
        <v>4029</v>
      </c>
      <c r="C13841" t="s">
        <v>88</v>
      </c>
      <c r="D13841" t="s">
        <v>88</v>
      </c>
      <c r="E13841" t="s">
        <v>11045</v>
      </c>
      <c r="F13841" t="s">
        <v>88</v>
      </c>
      <c r="G13841" t="s">
        <v>88</v>
      </c>
      <c r="H13841" t="s">
        <v>92</v>
      </c>
    </row>
    <row r="13842" spans="1:8" x14ac:dyDescent="0.25">
      <c r="A13842" t="s">
        <v>386</v>
      </c>
      <c r="B13842" t="s">
        <v>11046</v>
      </c>
      <c r="C13842" t="s">
        <v>88</v>
      </c>
      <c r="D13842" t="s">
        <v>11038</v>
      </c>
      <c r="E13842" t="s">
        <v>1484</v>
      </c>
      <c r="F13842" t="s">
        <v>88</v>
      </c>
      <c r="G13842" t="s">
        <v>88</v>
      </c>
      <c r="H13842" t="s">
        <v>92</v>
      </c>
    </row>
    <row r="13843" spans="1:8" x14ac:dyDescent="0.25">
      <c r="A13843" t="s">
        <v>386</v>
      </c>
      <c r="B13843" t="s">
        <v>11047</v>
      </c>
      <c r="C13843" t="s">
        <v>88</v>
      </c>
      <c r="D13843" t="s">
        <v>11048</v>
      </c>
      <c r="E13843" t="s">
        <v>1574</v>
      </c>
      <c r="F13843" t="s">
        <v>88</v>
      </c>
      <c r="G13843" t="s">
        <v>88</v>
      </c>
      <c r="H13843" t="s">
        <v>92</v>
      </c>
    </row>
    <row r="13844" spans="1:8" x14ac:dyDescent="0.25">
      <c r="A13844" t="s">
        <v>386</v>
      </c>
      <c r="B13844" t="s">
        <v>11049</v>
      </c>
      <c r="C13844" t="s">
        <v>88</v>
      </c>
      <c r="D13844" t="s">
        <v>11050</v>
      </c>
      <c r="E13844" t="s">
        <v>1574</v>
      </c>
      <c r="F13844" t="s">
        <v>88</v>
      </c>
      <c r="G13844" t="s">
        <v>88</v>
      </c>
      <c r="H13844" t="s">
        <v>92</v>
      </c>
    </row>
    <row r="13845" spans="1:8" x14ac:dyDescent="0.25">
      <c r="A13845" t="s">
        <v>386</v>
      </c>
      <c r="B13845" t="s">
        <v>11051</v>
      </c>
      <c r="C13845" t="s">
        <v>88</v>
      </c>
      <c r="D13845" t="s">
        <v>11043</v>
      </c>
      <c r="E13845" t="s">
        <v>1568</v>
      </c>
      <c r="F13845" t="s">
        <v>88</v>
      </c>
      <c r="G13845" t="s">
        <v>88</v>
      </c>
      <c r="H13845" t="s">
        <v>92</v>
      </c>
    </row>
    <row r="13846" spans="1:8" x14ac:dyDescent="0.25">
      <c r="A13846" t="s">
        <v>386</v>
      </c>
      <c r="B13846" t="s">
        <v>2018</v>
      </c>
      <c r="C13846" t="s">
        <v>88</v>
      </c>
      <c r="D13846" t="s">
        <v>88</v>
      </c>
      <c r="E13846" t="s">
        <v>7502</v>
      </c>
      <c r="F13846" t="s">
        <v>88</v>
      </c>
      <c r="G13846" t="s">
        <v>88</v>
      </c>
      <c r="H13846" t="s">
        <v>92</v>
      </c>
    </row>
    <row r="13847" spans="1:8" x14ac:dyDescent="0.25">
      <c r="A13847" t="s">
        <v>386</v>
      </c>
      <c r="B13847" t="s">
        <v>2015</v>
      </c>
      <c r="C13847" t="s">
        <v>88</v>
      </c>
      <c r="D13847" t="s">
        <v>88</v>
      </c>
      <c r="E13847" t="s">
        <v>11052</v>
      </c>
      <c r="F13847" t="s">
        <v>88</v>
      </c>
      <c r="G13847" t="s">
        <v>88</v>
      </c>
      <c r="H13847" t="s">
        <v>92</v>
      </c>
    </row>
    <row r="13848" spans="1:8" x14ac:dyDescent="0.25">
      <c r="A13848" t="s">
        <v>386</v>
      </c>
      <c r="B13848" t="s">
        <v>11053</v>
      </c>
      <c r="C13848" t="s">
        <v>88</v>
      </c>
      <c r="D13848" t="s">
        <v>11054</v>
      </c>
      <c r="E13848" t="s">
        <v>1518</v>
      </c>
      <c r="F13848" t="s">
        <v>88</v>
      </c>
      <c r="G13848" t="s">
        <v>88</v>
      </c>
      <c r="H13848" t="s">
        <v>92</v>
      </c>
    </row>
    <row r="13849" spans="1:8" x14ac:dyDescent="0.25">
      <c r="A13849" t="s">
        <v>386</v>
      </c>
      <c r="B13849" t="s">
        <v>11055</v>
      </c>
      <c r="C13849" t="s">
        <v>88</v>
      </c>
      <c r="D13849" t="s">
        <v>11056</v>
      </c>
      <c r="E13849" t="s">
        <v>1052</v>
      </c>
      <c r="F13849" t="s">
        <v>88</v>
      </c>
      <c r="G13849" t="s">
        <v>88</v>
      </c>
      <c r="H13849" t="s">
        <v>92</v>
      </c>
    </row>
    <row r="13850" spans="1:8" x14ac:dyDescent="0.25">
      <c r="A13850" t="s">
        <v>386</v>
      </c>
      <c r="B13850" t="s">
        <v>11057</v>
      </c>
      <c r="C13850" t="s">
        <v>88</v>
      </c>
      <c r="D13850" t="s">
        <v>11058</v>
      </c>
      <c r="E13850" t="s">
        <v>1487</v>
      </c>
      <c r="F13850" t="s">
        <v>88</v>
      </c>
      <c r="G13850" t="s">
        <v>88</v>
      </c>
      <c r="H13850" t="s">
        <v>92</v>
      </c>
    </row>
    <row r="13851" spans="1:8" x14ac:dyDescent="0.25">
      <c r="A13851" t="s">
        <v>386</v>
      </c>
      <c r="B13851" t="s">
        <v>11059</v>
      </c>
      <c r="C13851" t="s">
        <v>88</v>
      </c>
      <c r="D13851" t="s">
        <v>11060</v>
      </c>
      <c r="E13851" t="s">
        <v>1490</v>
      </c>
      <c r="F13851" t="s">
        <v>88</v>
      </c>
      <c r="G13851" t="s">
        <v>88</v>
      </c>
      <c r="H13851" t="s">
        <v>92</v>
      </c>
    </row>
    <row r="13852" spans="1:8" x14ac:dyDescent="0.25">
      <c r="A13852" t="s">
        <v>386</v>
      </c>
      <c r="B13852" t="s">
        <v>736</v>
      </c>
      <c r="C13852" t="s">
        <v>88</v>
      </c>
      <c r="D13852" t="s">
        <v>11061</v>
      </c>
      <c r="E13852" t="s">
        <v>1484</v>
      </c>
      <c r="F13852" t="s">
        <v>88</v>
      </c>
      <c r="G13852" t="s">
        <v>88</v>
      </c>
      <c r="H13852" t="s">
        <v>92</v>
      </c>
    </row>
    <row r="13853" spans="1:8" x14ac:dyDescent="0.25">
      <c r="A13853" t="s">
        <v>386</v>
      </c>
      <c r="B13853" t="s">
        <v>11062</v>
      </c>
      <c r="C13853" t="s">
        <v>88</v>
      </c>
      <c r="D13853" t="s">
        <v>11063</v>
      </c>
      <c r="E13853" t="s">
        <v>1478</v>
      </c>
      <c r="F13853" t="s">
        <v>88</v>
      </c>
      <c r="G13853" t="s">
        <v>88</v>
      </c>
      <c r="H13853" t="s">
        <v>92</v>
      </c>
    </row>
    <row r="13854" spans="1:8" x14ac:dyDescent="0.25">
      <c r="A13854" t="s">
        <v>386</v>
      </c>
      <c r="B13854" t="s">
        <v>11064</v>
      </c>
      <c r="C13854" t="s">
        <v>88</v>
      </c>
      <c r="D13854" t="s">
        <v>88</v>
      </c>
      <c r="E13854" t="s">
        <v>3107</v>
      </c>
      <c r="F13854" t="s">
        <v>88</v>
      </c>
      <c r="G13854" t="s">
        <v>88</v>
      </c>
      <c r="H13854" t="s">
        <v>92</v>
      </c>
    </row>
    <row r="13855" spans="1:8" x14ac:dyDescent="0.25">
      <c r="A13855" t="s">
        <v>386</v>
      </c>
      <c r="B13855" t="s">
        <v>6200</v>
      </c>
      <c r="C13855" t="s">
        <v>88</v>
      </c>
      <c r="D13855" t="s">
        <v>88</v>
      </c>
      <c r="E13855" t="s">
        <v>1594</v>
      </c>
      <c r="F13855" t="s">
        <v>88</v>
      </c>
      <c r="G13855" t="s">
        <v>88</v>
      </c>
      <c r="H13855" t="s">
        <v>92</v>
      </c>
    </row>
    <row r="13856" spans="1:8" x14ac:dyDescent="0.25">
      <c r="A13856" t="s">
        <v>386</v>
      </c>
      <c r="B13856" t="s">
        <v>6201</v>
      </c>
      <c r="C13856" t="s">
        <v>88</v>
      </c>
      <c r="D13856" t="s">
        <v>88</v>
      </c>
      <c r="E13856" t="s">
        <v>1596</v>
      </c>
      <c r="F13856" t="s">
        <v>88</v>
      </c>
      <c r="G13856" t="s">
        <v>88</v>
      </c>
      <c r="H13856" t="s">
        <v>92</v>
      </c>
    </row>
    <row r="13857" spans="1:8" x14ac:dyDescent="0.25">
      <c r="A13857" t="s">
        <v>386</v>
      </c>
      <c r="B13857" t="s">
        <v>11065</v>
      </c>
      <c r="C13857" t="s">
        <v>88</v>
      </c>
      <c r="D13857" t="s">
        <v>88</v>
      </c>
      <c r="E13857" t="s">
        <v>1598</v>
      </c>
      <c r="F13857" t="s">
        <v>88</v>
      </c>
      <c r="G13857" t="s">
        <v>88</v>
      </c>
      <c r="H13857" t="s">
        <v>92</v>
      </c>
    </row>
    <row r="13858" spans="1:8" x14ac:dyDescent="0.25">
      <c r="A13858" t="s">
        <v>386</v>
      </c>
      <c r="B13858" t="s">
        <v>1603</v>
      </c>
      <c r="C13858" t="s">
        <v>88</v>
      </c>
      <c r="D13858" t="s">
        <v>88</v>
      </c>
      <c r="E13858" t="s">
        <v>1653</v>
      </c>
      <c r="F13858" t="s">
        <v>88</v>
      </c>
      <c r="G13858" t="s">
        <v>88</v>
      </c>
      <c r="H13858" t="s">
        <v>92</v>
      </c>
    </row>
    <row r="13859" spans="1:8" x14ac:dyDescent="0.25">
      <c r="A13859" t="s">
        <v>386</v>
      </c>
      <c r="B13859" t="s">
        <v>1604</v>
      </c>
      <c r="C13859" t="s">
        <v>88</v>
      </c>
      <c r="D13859" t="s">
        <v>88</v>
      </c>
      <c r="E13859" t="s">
        <v>3117</v>
      </c>
      <c r="F13859" t="s">
        <v>88</v>
      </c>
      <c r="G13859" t="s">
        <v>88</v>
      </c>
      <c r="H13859" t="s">
        <v>92</v>
      </c>
    </row>
    <row r="13860" spans="1:8" x14ac:dyDescent="0.25">
      <c r="A13860" t="s">
        <v>386</v>
      </c>
      <c r="B13860" t="s">
        <v>1398</v>
      </c>
      <c r="C13860" t="s">
        <v>88</v>
      </c>
      <c r="D13860" t="s">
        <v>88</v>
      </c>
      <c r="E13860" t="s">
        <v>6840</v>
      </c>
      <c r="F13860" t="s">
        <v>88</v>
      </c>
      <c r="G13860" t="s">
        <v>88</v>
      </c>
      <c r="H13860" t="s">
        <v>92</v>
      </c>
    </row>
    <row r="13861" spans="1:8" x14ac:dyDescent="0.25">
      <c r="A13861" t="s">
        <v>386</v>
      </c>
      <c r="B13861" t="s">
        <v>11066</v>
      </c>
      <c r="C13861" t="s">
        <v>88</v>
      </c>
      <c r="D13861" t="s">
        <v>88</v>
      </c>
      <c r="E13861" t="s">
        <v>1568</v>
      </c>
      <c r="F13861" t="s">
        <v>88</v>
      </c>
      <c r="G13861" t="s">
        <v>88</v>
      </c>
      <c r="H13861" t="s">
        <v>92</v>
      </c>
    </row>
    <row r="13862" spans="1:8" x14ac:dyDescent="0.25">
      <c r="A13862" t="s">
        <v>386</v>
      </c>
      <c r="B13862" t="s">
        <v>7753</v>
      </c>
      <c r="C13862" t="s">
        <v>88</v>
      </c>
      <c r="D13862" t="s">
        <v>88</v>
      </c>
      <c r="E13862" t="s">
        <v>1594</v>
      </c>
      <c r="F13862" t="s">
        <v>88</v>
      </c>
      <c r="G13862" t="s">
        <v>88</v>
      </c>
      <c r="H13862" t="s">
        <v>92</v>
      </c>
    </row>
    <row r="13863" spans="1:8" x14ac:dyDescent="0.25">
      <c r="A13863" t="s">
        <v>386</v>
      </c>
      <c r="B13863" t="s">
        <v>1072</v>
      </c>
      <c r="C13863" t="s">
        <v>88</v>
      </c>
      <c r="D13863" t="s">
        <v>88</v>
      </c>
      <c r="E13863" t="s">
        <v>1636</v>
      </c>
      <c r="F13863" t="s">
        <v>88</v>
      </c>
      <c r="G13863" t="s">
        <v>88</v>
      </c>
      <c r="H13863" t="s">
        <v>92</v>
      </c>
    </row>
    <row r="13864" spans="1:8" x14ac:dyDescent="0.25">
      <c r="A13864" t="s">
        <v>386</v>
      </c>
      <c r="B13864" t="s">
        <v>701</v>
      </c>
      <c r="C13864" t="s">
        <v>88</v>
      </c>
      <c r="D13864" t="s">
        <v>88</v>
      </c>
      <c r="E13864" t="s">
        <v>1636</v>
      </c>
      <c r="F13864" t="s">
        <v>88</v>
      </c>
      <c r="G13864" t="s">
        <v>88</v>
      </c>
      <c r="H13864" t="s">
        <v>92</v>
      </c>
    </row>
    <row r="13865" spans="1:8" x14ac:dyDescent="0.25">
      <c r="A13865" t="s">
        <v>386</v>
      </c>
      <c r="B13865" t="s">
        <v>703</v>
      </c>
      <c r="C13865" t="s">
        <v>88</v>
      </c>
      <c r="D13865" t="s">
        <v>88</v>
      </c>
      <c r="E13865" t="s">
        <v>1636</v>
      </c>
      <c r="F13865" t="s">
        <v>88</v>
      </c>
      <c r="G13865" t="s">
        <v>88</v>
      </c>
      <c r="H13865" t="s">
        <v>92</v>
      </c>
    </row>
    <row r="13866" spans="1:8" x14ac:dyDescent="0.25">
      <c r="A13866" t="s">
        <v>386</v>
      </c>
      <c r="B13866" t="s">
        <v>705</v>
      </c>
      <c r="C13866" t="s">
        <v>88</v>
      </c>
      <c r="D13866" t="s">
        <v>88</v>
      </c>
      <c r="E13866" t="s">
        <v>1636</v>
      </c>
      <c r="F13866" t="s">
        <v>88</v>
      </c>
      <c r="G13866" t="s">
        <v>88</v>
      </c>
      <c r="H13866" t="s">
        <v>92</v>
      </c>
    </row>
    <row r="13867" spans="1:8" x14ac:dyDescent="0.25">
      <c r="A13867" t="s">
        <v>386</v>
      </c>
      <c r="B13867" t="s">
        <v>706</v>
      </c>
      <c r="C13867" t="s">
        <v>88</v>
      </c>
      <c r="D13867" t="s">
        <v>88</v>
      </c>
      <c r="E13867" t="s">
        <v>1636</v>
      </c>
      <c r="F13867" t="s">
        <v>88</v>
      </c>
      <c r="G13867" t="s">
        <v>88</v>
      </c>
      <c r="H13867" t="s">
        <v>92</v>
      </c>
    </row>
    <row r="13868" spans="1:8" x14ac:dyDescent="0.25">
      <c r="A13868" t="s">
        <v>386</v>
      </c>
      <c r="B13868" t="s">
        <v>1638</v>
      </c>
      <c r="C13868" t="s">
        <v>88</v>
      </c>
      <c r="D13868" t="s">
        <v>88</v>
      </c>
      <c r="E13868" t="s">
        <v>1636</v>
      </c>
      <c r="F13868" t="s">
        <v>88</v>
      </c>
      <c r="G13868" t="s">
        <v>88</v>
      </c>
      <c r="H13868" t="s">
        <v>92</v>
      </c>
    </row>
    <row r="13869" spans="1:8" x14ac:dyDescent="0.25">
      <c r="A13869" t="s">
        <v>386</v>
      </c>
      <c r="B13869" t="s">
        <v>1637</v>
      </c>
      <c r="C13869" t="s">
        <v>88</v>
      </c>
      <c r="D13869" t="s">
        <v>88</v>
      </c>
      <c r="E13869" t="s">
        <v>1636</v>
      </c>
      <c r="F13869" t="s">
        <v>88</v>
      </c>
      <c r="G13869" t="s">
        <v>88</v>
      </c>
      <c r="H13869" t="s">
        <v>92</v>
      </c>
    </row>
    <row r="13870" spans="1:8" x14ac:dyDescent="0.25">
      <c r="A13870" t="s">
        <v>386</v>
      </c>
      <c r="B13870" t="s">
        <v>618</v>
      </c>
      <c r="C13870" t="s">
        <v>88</v>
      </c>
      <c r="D13870" t="s">
        <v>88</v>
      </c>
      <c r="E13870" t="s">
        <v>1646</v>
      </c>
      <c r="F13870" t="s">
        <v>88</v>
      </c>
      <c r="G13870" t="s">
        <v>88</v>
      </c>
      <c r="H13870" t="s">
        <v>92</v>
      </c>
    </row>
    <row r="13871" spans="1:8" x14ac:dyDescent="0.25">
      <c r="A13871" t="s">
        <v>386</v>
      </c>
      <c r="B13871" t="s">
        <v>1685</v>
      </c>
      <c r="C13871" t="s">
        <v>88</v>
      </c>
      <c r="D13871" t="s">
        <v>88</v>
      </c>
      <c r="E13871" t="s">
        <v>1646</v>
      </c>
      <c r="F13871" t="s">
        <v>88</v>
      </c>
      <c r="G13871" t="s">
        <v>88</v>
      </c>
      <c r="H13871" t="s">
        <v>92</v>
      </c>
    </row>
    <row r="13872" spans="1:8" x14ac:dyDescent="0.25">
      <c r="A13872" t="s">
        <v>386</v>
      </c>
      <c r="B13872" t="s">
        <v>11067</v>
      </c>
      <c r="C13872" t="s">
        <v>88</v>
      </c>
      <c r="D13872" t="s">
        <v>88</v>
      </c>
      <c r="E13872" t="s">
        <v>1646</v>
      </c>
      <c r="F13872" t="s">
        <v>88</v>
      </c>
      <c r="G13872" t="s">
        <v>88</v>
      </c>
      <c r="H13872" t="s">
        <v>92</v>
      </c>
    </row>
    <row r="13873" spans="1:8" x14ac:dyDescent="0.25">
      <c r="A13873" t="s">
        <v>386</v>
      </c>
      <c r="B13873" t="s">
        <v>9557</v>
      </c>
      <c r="C13873" t="s">
        <v>88</v>
      </c>
      <c r="D13873" t="s">
        <v>9558</v>
      </c>
      <c r="E13873" t="s">
        <v>1648</v>
      </c>
      <c r="F13873" t="s">
        <v>88</v>
      </c>
      <c r="G13873" t="s">
        <v>88</v>
      </c>
      <c r="H13873" t="s">
        <v>92</v>
      </c>
    </row>
    <row r="13874" spans="1:8" x14ac:dyDescent="0.25">
      <c r="A13874" t="s">
        <v>386</v>
      </c>
      <c r="B13874" t="s">
        <v>4372</v>
      </c>
      <c r="C13874" t="s">
        <v>88</v>
      </c>
      <c r="D13874" t="s">
        <v>9558</v>
      </c>
      <c r="E13874" t="s">
        <v>1648</v>
      </c>
      <c r="F13874" t="s">
        <v>88</v>
      </c>
      <c r="G13874" t="s">
        <v>88</v>
      </c>
      <c r="H13874" t="s">
        <v>92</v>
      </c>
    </row>
    <row r="13875" spans="1:8" x14ac:dyDescent="0.25">
      <c r="A13875" t="s">
        <v>386</v>
      </c>
      <c r="B13875" t="s">
        <v>11068</v>
      </c>
      <c r="C13875" t="s">
        <v>88</v>
      </c>
      <c r="D13875" t="s">
        <v>9558</v>
      </c>
      <c r="E13875" t="s">
        <v>1648</v>
      </c>
      <c r="F13875" t="s">
        <v>88</v>
      </c>
      <c r="G13875" t="s">
        <v>88</v>
      </c>
      <c r="H13875" t="s">
        <v>92</v>
      </c>
    </row>
    <row r="13876" spans="1:8" x14ac:dyDescent="0.25">
      <c r="A13876" t="s">
        <v>386</v>
      </c>
      <c r="B13876" t="s">
        <v>11069</v>
      </c>
      <c r="C13876" t="s">
        <v>88</v>
      </c>
      <c r="D13876" t="s">
        <v>9558</v>
      </c>
      <c r="E13876" t="s">
        <v>1648</v>
      </c>
      <c r="F13876" t="s">
        <v>88</v>
      </c>
      <c r="G13876" t="s">
        <v>88</v>
      </c>
      <c r="H13876" t="s">
        <v>92</v>
      </c>
    </row>
    <row r="13877" spans="1:8" x14ac:dyDescent="0.25">
      <c r="A13877" t="s">
        <v>386</v>
      </c>
      <c r="B13877" t="s">
        <v>11070</v>
      </c>
      <c r="C13877" t="s">
        <v>88</v>
      </c>
      <c r="D13877" t="s">
        <v>9558</v>
      </c>
      <c r="E13877" t="s">
        <v>1648</v>
      </c>
      <c r="F13877" t="s">
        <v>88</v>
      </c>
      <c r="G13877" t="s">
        <v>88</v>
      </c>
      <c r="H13877" t="s">
        <v>92</v>
      </c>
    </row>
    <row r="13878" spans="1:8" x14ac:dyDescent="0.25">
      <c r="A13878" t="s">
        <v>386</v>
      </c>
      <c r="B13878" t="s">
        <v>11071</v>
      </c>
      <c r="C13878" t="s">
        <v>88</v>
      </c>
      <c r="D13878" t="s">
        <v>9558</v>
      </c>
      <c r="E13878" t="s">
        <v>1648</v>
      </c>
      <c r="F13878" t="s">
        <v>88</v>
      </c>
      <c r="G13878" t="s">
        <v>88</v>
      </c>
      <c r="H13878" t="s">
        <v>92</v>
      </c>
    </row>
    <row r="13879" spans="1:8" x14ac:dyDescent="0.25">
      <c r="A13879" t="s">
        <v>386</v>
      </c>
      <c r="B13879" t="s">
        <v>11072</v>
      </c>
      <c r="C13879" t="s">
        <v>88</v>
      </c>
      <c r="D13879" t="s">
        <v>9558</v>
      </c>
      <c r="E13879" t="s">
        <v>1648</v>
      </c>
      <c r="F13879" t="s">
        <v>88</v>
      </c>
      <c r="G13879" t="s">
        <v>88</v>
      </c>
      <c r="H13879" t="s">
        <v>92</v>
      </c>
    </row>
    <row r="13880" spans="1:8" x14ac:dyDescent="0.25">
      <c r="A13880" t="s">
        <v>386</v>
      </c>
      <c r="B13880" t="s">
        <v>929</v>
      </c>
      <c r="C13880" t="s">
        <v>88</v>
      </c>
      <c r="D13880" t="s">
        <v>6216</v>
      </c>
      <c r="E13880" t="s">
        <v>1652</v>
      </c>
      <c r="F13880" t="s">
        <v>88</v>
      </c>
      <c r="G13880" t="s">
        <v>88</v>
      </c>
      <c r="H13880" t="s">
        <v>92</v>
      </c>
    </row>
    <row r="13881" spans="1:8" x14ac:dyDescent="0.25">
      <c r="A13881" t="s">
        <v>386</v>
      </c>
      <c r="B13881" t="s">
        <v>714</v>
      </c>
      <c r="C13881" t="s">
        <v>88</v>
      </c>
      <c r="D13881" t="s">
        <v>88</v>
      </c>
      <c r="E13881" t="s">
        <v>1653</v>
      </c>
      <c r="F13881" t="s">
        <v>88</v>
      </c>
      <c r="G13881" t="s">
        <v>88</v>
      </c>
      <c r="H13881" t="s">
        <v>92</v>
      </c>
    </row>
    <row r="13882" spans="1:8" x14ac:dyDescent="0.25">
      <c r="A13882" t="s">
        <v>386</v>
      </c>
      <c r="B13882" t="s">
        <v>1074</v>
      </c>
      <c r="C13882" t="s">
        <v>88</v>
      </c>
      <c r="D13882" t="s">
        <v>88</v>
      </c>
      <c r="E13882" t="s">
        <v>1653</v>
      </c>
      <c r="F13882" t="s">
        <v>88</v>
      </c>
      <c r="G13882" t="s">
        <v>88</v>
      </c>
      <c r="H13882" t="s">
        <v>92</v>
      </c>
    </row>
    <row r="13883" spans="1:8" x14ac:dyDescent="0.25">
      <c r="A13883" t="s">
        <v>386</v>
      </c>
      <c r="B13883" t="s">
        <v>1075</v>
      </c>
      <c r="C13883" t="s">
        <v>88</v>
      </c>
      <c r="D13883" t="s">
        <v>88</v>
      </c>
      <c r="E13883" t="s">
        <v>1653</v>
      </c>
      <c r="F13883" t="s">
        <v>88</v>
      </c>
      <c r="G13883" t="s">
        <v>88</v>
      </c>
      <c r="H13883" t="s">
        <v>92</v>
      </c>
    </row>
    <row r="13884" spans="1:8" x14ac:dyDescent="0.25">
      <c r="A13884" t="s">
        <v>386</v>
      </c>
      <c r="B13884" t="s">
        <v>998</v>
      </c>
      <c r="C13884" t="s">
        <v>88</v>
      </c>
      <c r="D13884" t="s">
        <v>88</v>
      </c>
      <c r="E13884" t="s">
        <v>1653</v>
      </c>
      <c r="F13884" t="s">
        <v>88</v>
      </c>
      <c r="G13884" t="s">
        <v>88</v>
      </c>
      <c r="H13884" t="s">
        <v>92</v>
      </c>
    </row>
    <row r="13885" spans="1:8" x14ac:dyDescent="0.25">
      <c r="A13885" t="s">
        <v>386</v>
      </c>
      <c r="B13885" t="s">
        <v>1073</v>
      </c>
      <c r="C13885" t="s">
        <v>88</v>
      </c>
      <c r="D13885" t="s">
        <v>88</v>
      </c>
      <c r="E13885" t="s">
        <v>1653</v>
      </c>
      <c r="F13885" t="s">
        <v>88</v>
      </c>
      <c r="G13885" t="s">
        <v>88</v>
      </c>
      <c r="H13885" t="s">
        <v>92</v>
      </c>
    </row>
    <row r="13886" spans="1:8" x14ac:dyDescent="0.25">
      <c r="A13886" t="s">
        <v>386</v>
      </c>
      <c r="B13886" t="s">
        <v>1654</v>
      </c>
      <c r="C13886" t="s">
        <v>88</v>
      </c>
      <c r="D13886" t="s">
        <v>88</v>
      </c>
      <c r="E13886" t="s">
        <v>1653</v>
      </c>
      <c r="F13886" t="s">
        <v>88</v>
      </c>
      <c r="G13886" t="s">
        <v>88</v>
      </c>
      <c r="H13886" t="s">
        <v>92</v>
      </c>
    </row>
    <row r="13887" spans="1:8" x14ac:dyDescent="0.25">
      <c r="A13887" t="s">
        <v>386</v>
      </c>
      <c r="B13887" t="s">
        <v>1655</v>
      </c>
      <c r="C13887" t="s">
        <v>88</v>
      </c>
      <c r="D13887" t="s">
        <v>88</v>
      </c>
      <c r="E13887" t="s">
        <v>1653</v>
      </c>
      <c r="F13887" t="s">
        <v>88</v>
      </c>
      <c r="G13887" t="s">
        <v>88</v>
      </c>
      <c r="H13887" t="s">
        <v>92</v>
      </c>
    </row>
    <row r="13888" spans="1:8" x14ac:dyDescent="0.25">
      <c r="A13888" t="s">
        <v>386</v>
      </c>
      <c r="B13888" t="s">
        <v>1609</v>
      </c>
      <c r="C13888" t="s">
        <v>88</v>
      </c>
      <c r="D13888" t="s">
        <v>88</v>
      </c>
      <c r="E13888" t="s">
        <v>1610</v>
      </c>
      <c r="F13888" t="s">
        <v>88</v>
      </c>
      <c r="G13888" t="s">
        <v>88</v>
      </c>
      <c r="H13888" t="s">
        <v>92</v>
      </c>
    </row>
    <row r="13889" spans="1:8" x14ac:dyDescent="0.25">
      <c r="A13889" t="s">
        <v>386</v>
      </c>
      <c r="B13889" t="s">
        <v>1611</v>
      </c>
      <c r="C13889" t="s">
        <v>88</v>
      </c>
      <c r="D13889" t="s">
        <v>88</v>
      </c>
      <c r="E13889" t="s">
        <v>1610</v>
      </c>
      <c r="F13889" t="s">
        <v>88</v>
      </c>
      <c r="G13889" t="s">
        <v>88</v>
      </c>
      <c r="H13889" t="s">
        <v>92</v>
      </c>
    </row>
    <row r="13890" spans="1:8" x14ac:dyDescent="0.25">
      <c r="A13890" t="s">
        <v>386</v>
      </c>
      <c r="B13890" t="s">
        <v>2573</v>
      </c>
      <c r="C13890" t="s">
        <v>88</v>
      </c>
      <c r="D13890" t="s">
        <v>88</v>
      </c>
      <c r="E13890" t="s">
        <v>1610</v>
      </c>
      <c r="F13890" t="s">
        <v>88</v>
      </c>
      <c r="G13890" t="s">
        <v>88</v>
      </c>
      <c r="H13890" t="s">
        <v>92</v>
      </c>
    </row>
    <row r="13891" spans="1:8" x14ac:dyDescent="0.25">
      <c r="A13891" t="s">
        <v>386</v>
      </c>
      <c r="B13891" t="s">
        <v>1612</v>
      </c>
      <c r="C13891" t="s">
        <v>88</v>
      </c>
      <c r="D13891" t="s">
        <v>88</v>
      </c>
      <c r="E13891" t="s">
        <v>849</v>
      </c>
      <c r="F13891" t="s">
        <v>88</v>
      </c>
      <c r="G13891" t="s">
        <v>88</v>
      </c>
      <c r="H13891" t="s">
        <v>92</v>
      </c>
    </row>
    <row r="13892" spans="1:8" x14ac:dyDescent="0.25">
      <c r="A13892" t="s">
        <v>386</v>
      </c>
      <c r="B13892" t="s">
        <v>2579</v>
      </c>
      <c r="C13892" t="s">
        <v>88</v>
      </c>
      <c r="D13892" t="s">
        <v>88</v>
      </c>
      <c r="E13892" t="s">
        <v>849</v>
      </c>
      <c r="F13892" t="s">
        <v>88</v>
      </c>
      <c r="G13892" t="s">
        <v>88</v>
      </c>
      <c r="H13892" t="s">
        <v>92</v>
      </c>
    </row>
    <row r="13893" spans="1:8" x14ac:dyDescent="0.25">
      <c r="A13893" t="s">
        <v>386</v>
      </c>
      <c r="B13893" t="s">
        <v>11073</v>
      </c>
      <c r="C13893" t="s">
        <v>88</v>
      </c>
      <c r="D13893" t="s">
        <v>88</v>
      </c>
      <c r="E13893" t="s">
        <v>735</v>
      </c>
      <c r="F13893" t="s">
        <v>88</v>
      </c>
      <c r="G13893" t="s">
        <v>88</v>
      </c>
      <c r="H13893" t="s">
        <v>92</v>
      </c>
    </row>
    <row r="13894" spans="1:8" x14ac:dyDescent="0.25">
      <c r="A13894" t="s">
        <v>386</v>
      </c>
      <c r="B13894" t="s">
        <v>11074</v>
      </c>
      <c r="C13894" t="s">
        <v>88</v>
      </c>
      <c r="D13894" t="s">
        <v>88</v>
      </c>
      <c r="E13894" t="s">
        <v>849</v>
      </c>
      <c r="F13894" t="s">
        <v>88</v>
      </c>
      <c r="G13894" t="s">
        <v>88</v>
      </c>
      <c r="H13894" t="s">
        <v>92</v>
      </c>
    </row>
    <row r="13895" spans="1:8" x14ac:dyDescent="0.25">
      <c r="A13895" t="s">
        <v>388</v>
      </c>
      <c r="B13895" t="s">
        <v>11075</v>
      </c>
      <c r="C13895" t="s">
        <v>88</v>
      </c>
      <c r="D13895" t="s">
        <v>11076</v>
      </c>
      <c r="E13895" t="s">
        <v>2888</v>
      </c>
      <c r="F13895" t="s">
        <v>88</v>
      </c>
      <c r="G13895" t="s">
        <v>88</v>
      </c>
      <c r="H13895" t="s">
        <v>92</v>
      </c>
    </row>
    <row r="13896" spans="1:8" x14ac:dyDescent="0.25">
      <c r="A13896" t="s">
        <v>388</v>
      </c>
      <c r="B13896" t="s">
        <v>11077</v>
      </c>
      <c r="C13896" t="s">
        <v>88</v>
      </c>
      <c r="D13896" t="s">
        <v>11078</v>
      </c>
      <c r="E13896" t="s">
        <v>3573</v>
      </c>
      <c r="F13896" t="s">
        <v>88</v>
      </c>
      <c r="G13896" t="s">
        <v>88</v>
      </c>
      <c r="H13896" t="s">
        <v>92</v>
      </c>
    </row>
    <row r="13897" spans="1:8" x14ac:dyDescent="0.25">
      <c r="A13897" t="s">
        <v>388</v>
      </c>
      <c r="B13897" t="s">
        <v>11079</v>
      </c>
      <c r="C13897" t="s">
        <v>88</v>
      </c>
      <c r="D13897" t="s">
        <v>11080</v>
      </c>
      <c r="E13897" t="s">
        <v>1414</v>
      </c>
      <c r="F13897" t="s">
        <v>88</v>
      </c>
      <c r="G13897" t="s">
        <v>88</v>
      </c>
      <c r="H13897" t="s">
        <v>92</v>
      </c>
    </row>
    <row r="13898" spans="1:8" x14ac:dyDescent="0.25">
      <c r="A13898" t="s">
        <v>388</v>
      </c>
      <c r="B13898" t="s">
        <v>11081</v>
      </c>
      <c r="C13898" t="s">
        <v>88</v>
      </c>
      <c r="D13898" t="s">
        <v>11082</v>
      </c>
      <c r="E13898" t="s">
        <v>2925</v>
      </c>
      <c r="F13898" t="s">
        <v>88</v>
      </c>
      <c r="G13898" t="s">
        <v>88</v>
      </c>
      <c r="H13898" t="s">
        <v>92</v>
      </c>
    </row>
    <row r="13899" spans="1:8" x14ac:dyDescent="0.25">
      <c r="A13899" t="s">
        <v>388</v>
      </c>
      <c r="B13899" t="s">
        <v>11083</v>
      </c>
      <c r="C13899" t="s">
        <v>88</v>
      </c>
      <c r="D13899" t="s">
        <v>11084</v>
      </c>
      <c r="E13899" t="s">
        <v>1427</v>
      </c>
      <c r="F13899" t="s">
        <v>88</v>
      </c>
      <c r="G13899" t="s">
        <v>88</v>
      </c>
      <c r="H13899" t="s">
        <v>92</v>
      </c>
    </row>
    <row r="13900" spans="1:8" x14ac:dyDescent="0.25">
      <c r="A13900" t="s">
        <v>388</v>
      </c>
      <c r="B13900" t="s">
        <v>11085</v>
      </c>
      <c r="C13900" t="s">
        <v>88</v>
      </c>
      <c r="D13900" t="s">
        <v>11086</v>
      </c>
      <c r="E13900" t="s">
        <v>1481</v>
      </c>
      <c r="F13900" t="s">
        <v>88</v>
      </c>
      <c r="G13900" t="s">
        <v>88</v>
      </c>
      <c r="H13900" t="s">
        <v>92</v>
      </c>
    </row>
    <row r="13901" spans="1:8" x14ac:dyDescent="0.25">
      <c r="A13901" t="s">
        <v>388</v>
      </c>
      <c r="B13901" t="s">
        <v>11087</v>
      </c>
      <c r="C13901" t="s">
        <v>88</v>
      </c>
      <c r="D13901" t="s">
        <v>11088</v>
      </c>
      <c r="E13901" t="s">
        <v>2925</v>
      </c>
      <c r="F13901" t="s">
        <v>88</v>
      </c>
      <c r="G13901" t="s">
        <v>88</v>
      </c>
      <c r="H13901" t="s">
        <v>92</v>
      </c>
    </row>
    <row r="13902" spans="1:8" x14ac:dyDescent="0.25">
      <c r="A13902" t="s">
        <v>388</v>
      </c>
      <c r="B13902" t="s">
        <v>1421</v>
      </c>
      <c r="C13902" t="s">
        <v>88</v>
      </c>
      <c r="D13902" t="s">
        <v>11089</v>
      </c>
      <c r="E13902" t="s">
        <v>11090</v>
      </c>
      <c r="F13902" t="s">
        <v>88</v>
      </c>
      <c r="G13902" t="s">
        <v>88</v>
      </c>
      <c r="H13902" t="s">
        <v>92</v>
      </c>
    </row>
    <row r="13903" spans="1:8" x14ac:dyDescent="0.25">
      <c r="A13903" t="s">
        <v>388</v>
      </c>
      <c r="B13903" t="s">
        <v>1423</v>
      </c>
      <c r="C13903" t="s">
        <v>88</v>
      </c>
      <c r="D13903" t="s">
        <v>11089</v>
      </c>
      <c r="E13903" t="s">
        <v>11090</v>
      </c>
      <c r="F13903" t="s">
        <v>88</v>
      </c>
      <c r="G13903" t="s">
        <v>88</v>
      </c>
      <c r="H13903" t="s">
        <v>92</v>
      </c>
    </row>
    <row r="13904" spans="1:8" x14ac:dyDescent="0.25">
      <c r="A13904" t="s">
        <v>388</v>
      </c>
      <c r="B13904" t="s">
        <v>1424</v>
      </c>
      <c r="C13904" t="s">
        <v>88</v>
      </c>
      <c r="D13904" t="s">
        <v>11089</v>
      </c>
      <c r="E13904" t="s">
        <v>11090</v>
      </c>
      <c r="F13904" t="s">
        <v>88</v>
      </c>
      <c r="G13904" t="s">
        <v>88</v>
      </c>
      <c r="H13904" t="s">
        <v>92</v>
      </c>
    </row>
    <row r="13905" spans="1:8" x14ac:dyDescent="0.25">
      <c r="A13905" t="s">
        <v>388</v>
      </c>
      <c r="B13905" t="s">
        <v>1418</v>
      </c>
      <c r="C13905" t="s">
        <v>88</v>
      </c>
      <c r="D13905" t="s">
        <v>11089</v>
      </c>
      <c r="E13905" t="s">
        <v>11090</v>
      </c>
      <c r="F13905" t="s">
        <v>88</v>
      </c>
      <c r="G13905" t="s">
        <v>88</v>
      </c>
      <c r="H13905" t="s">
        <v>92</v>
      </c>
    </row>
    <row r="13906" spans="1:8" x14ac:dyDescent="0.25">
      <c r="A13906" t="s">
        <v>388</v>
      </c>
      <c r="B13906" t="s">
        <v>11091</v>
      </c>
      <c r="C13906" t="s">
        <v>88</v>
      </c>
      <c r="D13906" t="s">
        <v>11092</v>
      </c>
      <c r="E13906" t="s">
        <v>11093</v>
      </c>
      <c r="F13906" t="s">
        <v>88</v>
      </c>
      <c r="G13906" t="s">
        <v>88</v>
      </c>
      <c r="H13906" t="s">
        <v>92</v>
      </c>
    </row>
    <row r="13907" spans="1:8" x14ac:dyDescent="0.25">
      <c r="A13907" t="s">
        <v>388</v>
      </c>
      <c r="B13907" t="s">
        <v>11094</v>
      </c>
      <c r="C13907" t="s">
        <v>88</v>
      </c>
      <c r="D13907" t="s">
        <v>11095</v>
      </c>
      <c r="E13907" t="s">
        <v>11096</v>
      </c>
      <c r="F13907" t="s">
        <v>88</v>
      </c>
      <c r="G13907" t="s">
        <v>88</v>
      </c>
      <c r="H13907" t="s">
        <v>92</v>
      </c>
    </row>
    <row r="13908" spans="1:8" x14ac:dyDescent="0.25">
      <c r="A13908" t="s">
        <v>388</v>
      </c>
      <c r="B13908" t="s">
        <v>11097</v>
      </c>
      <c r="C13908" t="s">
        <v>88</v>
      </c>
      <c r="D13908" t="s">
        <v>11098</v>
      </c>
      <c r="E13908" t="s">
        <v>11099</v>
      </c>
      <c r="F13908" t="s">
        <v>88</v>
      </c>
      <c r="G13908" t="s">
        <v>88</v>
      </c>
      <c r="H13908" t="s">
        <v>92</v>
      </c>
    </row>
    <row r="13909" spans="1:8" x14ac:dyDescent="0.25">
      <c r="A13909" t="s">
        <v>388</v>
      </c>
      <c r="B13909" t="s">
        <v>11100</v>
      </c>
      <c r="C13909" t="s">
        <v>88</v>
      </c>
      <c r="D13909" t="s">
        <v>11101</v>
      </c>
      <c r="E13909" t="s">
        <v>11102</v>
      </c>
      <c r="F13909" t="s">
        <v>88</v>
      </c>
      <c r="G13909" t="s">
        <v>88</v>
      </c>
      <c r="H13909" t="s">
        <v>92</v>
      </c>
    </row>
    <row r="13910" spans="1:8" x14ac:dyDescent="0.25">
      <c r="A13910" t="s">
        <v>388</v>
      </c>
      <c r="B13910" t="s">
        <v>11103</v>
      </c>
      <c r="C13910" t="s">
        <v>88</v>
      </c>
      <c r="D13910" t="s">
        <v>11104</v>
      </c>
      <c r="E13910" t="s">
        <v>11099</v>
      </c>
      <c r="F13910" t="s">
        <v>88</v>
      </c>
      <c r="G13910" t="s">
        <v>88</v>
      </c>
      <c r="H13910" t="s">
        <v>92</v>
      </c>
    </row>
    <row r="13911" spans="1:8" x14ac:dyDescent="0.25">
      <c r="A13911" t="s">
        <v>388</v>
      </c>
      <c r="B13911" t="s">
        <v>11105</v>
      </c>
      <c r="C13911" t="s">
        <v>88</v>
      </c>
      <c r="D13911" t="s">
        <v>11106</v>
      </c>
      <c r="E13911" t="s">
        <v>11107</v>
      </c>
      <c r="F13911" t="s">
        <v>88</v>
      </c>
      <c r="G13911" t="s">
        <v>88</v>
      </c>
      <c r="H13911" t="s">
        <v>92</v>
      </c>
    </row>
    <row r="13912" spans="1:8" x14ac:dyDescent="0.25">
      <c r="A13912" t="s">
        <v>388</v>
      </c>
      <c r="B13912" t="s">
        <v>11108</v>
      </c>
      <c r="C13912" t="s">
        <v>88</v>
      </c>
      <c r="D13912" t="s">
        <v>11109</v>
      </c>
      <c r="E13912" t="s">
        <v>11110</v>
      </c>
      <c r="F13912" t="s">
        <v>88</v>
      </c>
      <c r="G13912" t="s">
        <v>88</v>
      </c>
      <c r="H13912" t="s">
        <v>92</v>
      </c>
    </row>
    <row r="13913" spans="1:8" x14ac:dyDescent="0.25">
      <c r="A13913" t="s">
        <v>388</v>
      </c>
      <c r="B13913" t="s">
        <v>11111</v>
      </c>
      <c r="C13913" t="s">
        <v>88</v>
      </c>
      <c r="D13913" t="s">
        <v>11112</v>
      </c>
      <c r="E13913" t="s">
        <v>11107</v>
      </c>
      <c r="F13913" t="s">
        <v>88</v>
      </c>
      <c r="G13913" t="s">
        <v>88</v>
      </c>
      <c r="H13913" t="s">
        <v>92</v>
      </c>
    </row>
    <row r="13914" spans="1:8" x14ac:dyDescent="0.25">
      <c r="A13914" t="s">
        <v>388</v>
      </c>
      <c r="B13914" t="s">
        <v>11113</v>
      </c>
      <c r="C13914" t="s">
        <v>88</v>
      </c>
      <c r="D13914" t="s">
        <v>11114</v>
      </c>
      <c r="E13914" t="s">
        <v>11093</v>
      </c>
      <c r="F13914" t="s">
        <v>88</v>
      </c>
      <c r="G13914" t="s">
        <v>88</v>
      </c>
      <c r="H13914" t="s">
        <v>92</v>
      </c>
    </row>
    <row r="13915" spans="1:8" x14ac:dyDescent="0.25">
      <c r="A13915" t="s">
        <v>388</v>
      </c>
      <c r="B13915" t="s">
        <v>11115</v>
      </c>
      <c r="C13915" t="s">
        <v>88</v>
      </c>
      <c r="D13915" t="s">
        <v>11116</v>
      </c>
      <c r="E13915" t="s">
        <v>11099</v>
      </c>
      <c r="F13915" t="s">
        <v>88</v>
      </c>
      <c r="G13915" t="s">
        <v>88</v>
      </c>
      <c r="H13915" t="s">
        <v>92</v>
      </c>
    </row>
    <row r="13916" spans="1:8" x14ac:dyDescent="0.25">
      <c r="A13916" t="s">
        <v>388</v>
      </c>
      <c r="B13916" t="s">
        <v>11117</v>
      </c>
      <c r="C13916" t="s">
        <v>88</v>
      </c>
      <c r="D13916" t="s">
        <v>11118</v>
      </c>
      <c r="E13916" t="s">
        <v>11096</v>
      </c>
      <c r="F13916" t="s">
        <v>88</v>
      </c>
      <c r="G13916" t="s">
        <v>88</v>
      </c>
      <c r="H13916" t="s">
        <v>92</v>
      </c>
    </row>
    <row r="13917" spans="1:8" x14ac:dyDescent="0.25">
      <c r="A13917" t="s">
        <v>388</v>
      </c>
      <c r="B13917" t="s">
        <v>11119</v>
      </c>
      <c r="C13917" t="s">
        <v>88</v>
      </c>
      <c r="D13917" t="s">
        <v>11120</v>
      </c>
      <c r="E13917" t="s">
        <v>11121</v>
      </c>
      <c r="F13917" t="s">
        <v>88</v>
      </c>
      <c r="G13917" t="s">
        <v>88</v>
      </c>
      <c r="H13917" t="s">
        <v>92</v>
      </c>
    </row>
    <row r="13918" spans="1:8" x14ac:dyDescent="0.25">
      <c r="A13918" t="s">
        <v>388</v>
      </c>
      <c r="B13918" t="s">
        <v>11122</v>
      </c>
      <c r="C13918" t="s">
        <v>88</v>
      </c>
      <c r="D13918" t="s">
        <v>11123</v>
      </c>
      <c r="E13918" t="s">
        <v>11099</v>
      </c>
      <c r="F13918" t="s">
        <v>88</v>
      </c>
      <c r="G13918" t="s">
        <v>88</v>
      </c>
      <c r="H13918" t="s">
        <v>92</v>
      </c>
    </row>
    <row r="13919" spans="1:8" x14ac:dyDescent="0.25">
      <c r="A13919" t="s">
        <v>388</v>
      </c>
      <c r="B13919" t="s">
        <v>11124</v>
      </c>
      <c r="C13919" t="s">
        <v>88</v>
      </c>
      <c r="D13919" t="s">
        <v>11125</v>
      </c>
      <c r="E13919" t="s">
        <v>11126</v>
      </c>
      <c r="F13919" t="s">
        <v>88</v>
      </c>
      <c r="G13919" t="s">
        <v>88</v>
      </c>
      <c r="H13919" t="s">
        <v>92</v>
      </c>
    </row>
    <row r="13920" spans="1:8" x14ac:dyDescent="0.25">
      <c r="A13920" t="s">
        <v>388</v>
      </c>
      <c r="B13920" t="s">
        <v>11127</v>
      </c>
      <c r="C13920" t="s">
        <v>88</v>
      </c>
      <c r="D13920" t="s">
        <v>11128</v>
      </c>
      <c r="E13920" t="s">
        <v>1574</v>
      </c>
      <c r="F13920" t="s">
        <v>88</v>
      </c>
      <c r="G13920" t="s">
        <v>88</v>
      </c>
      <c r="H13920" t="s">
        <v>92</v>
      </c>
    </row>
    <row r="13921" spans="1:8" x14ac:dyDescent="0.25">
      <c r="A13921" t="s">
        <v>388</v>
      </c>
      <c r="B13921" t="s">
        <v>11129</v>
      </c>
      <c r="C13921" t="s">
        <v>88</v>
      </c>
      <c r="D13921" t="s">
        <v>11130</v>
      </c>
      <c r="E13921" t="s">
        <v>1523</v>
      </c>
      <c r="F13921" t="s">
        <v>88</v>
      </c>
      <c r="G13921" t="s">
        <v>88</v>
      </c>
      <c r="H13921" t="s">
        <v>92</v>
      </c>
    </row>
    <row r="13922" spans="1:8" x14ac:dyDescent="0.25">
      <c r="A13922" t="s">
        <v>388</v>
      </c>
      <c r="B13922" t="s">
        <v>890</v>
      </c>
      <c r="C13922" t="s">
        <v>88</v>
      </c>
      <c r="D13922" t="s">
        <v>11131</v>
      </c>
      <c r="E13922" t="s">
        <v>1487</v>
      </c>
      <c r="F13922" t="s">
        <v>88</v>
      </c>
      <c r="G13922" t="s">
        <v>88</v>
      </c>
      <c r="H13922" t="s">
        <v>92</v>
      </c>
    </row>
    <row r="13923" spans="1:8" x14ac:dyDescent="0.25">
      <c r="A13923" t="s">
        <v>388</v>
      </c>
      <c r="B13923" t="s">
        <v>892</v>
      </c>
      <c r="C13923" t="s">
        <v>88</v>
      </c>
      <c r="D13923" t="s">
        <v>11132</v>
      </c>
      <c r="E13923" t="s">
        <v>1487</v>
      </c>
      <c r="F13923" t="s">
        <v>88</v>
      </c>
      <c r="G13923" t="s">
        <v>88</v>
      </c>
      <c r="H13923" t="s">
        <v>92</v>
      </c>
    </row>
    <row r="13924" spans="1:8" x14ac:dyDescent="0.25">
      <c r="A13924" t="s">
        <v>388</v>
      </c>
      <c r="B13924" t="s">
        <v>3395</v>
      </c>
      <c r="C13924" t="s">
        <v>88</v>
      </c>
      <c r="D13924" t="s">
        <v>11133</v>
      </c>
      <c r="E13924" t="s">
        <v>1571</v>
      </c>
      <c r="F13924" t="s">
        <v>88</v>
      </c>
      <c r="G13924" t="s">
        <v>88</v>
      </c>
      <c r="H13924" t="s">
        <v>92</v>
      </c>
    </row>
    <row r="13925" spans="1:8" x14ac:dyDescent="0.25">
      <c r="A13925" t="s">
        <v>388</v>
      </c>
      <c r="B13925" t="s">
        <v>1733</v>
      </c>
      <c r="C13925" t="s">
        <v>88</v>
      </c>
      <c r="D13925" t="s">
        <v>11134</v>
      </c>
      <c r="E13925" t="s">
        <v>1531</v>
      </c>
      <c r="F13925" t="s">
        <v>88</v>
      </c>
      <c r="G13925" t="s">
        <v>88</v>
      </c>
      <c r="H13925" t="s">
        <v>92</v>
      </c>
    </row>
    <row r="13926" spans="1:8" x14ac:dyDescent="0.25">
      <c r="A13926" t="s">
        <v>388</v>
      </c>
      <c r="B13926" t="s">
        <v>895</v>
      </c>
      <c r="C13926" t="s">
        <v>88</v>
      </c>
      <c r="D13926" t="s">
        <v>11135</v>
      </c>
      <c r="E13926" t="s">
        <v>1523</v>
      </c>
      <c r="F13926" t="s">
        <v>88</v>
      </c>
      <c r="G13926" t="s">
        <v>88</v>
      </c>
      <c r="H13926" t="s">
        <v>92</v>
      </c>
    </row>
    <row r="13927" spans="1:8" x14ac:dyDescent="0.25">
      <c r="A13927" t="s">
        <v>388</v>
      </c>
      <c r="B13927" t="s">
        <v>3394</v>
      </c>
      <c r="C13927" t="s">
        <v>88</v>
      </c>
      <c r="D13927" t="s">
        <v>11136</v>
      </c>
      <c r="E13927" t="s">
        <v>1600</v>
      </c>
      <c r="F13927" t="s">
        <v>88</v>
      </c>
      <c r="G13927" t="s">
        <v>88</v>
      </c>
      <c r="H13927" t="s">
        <v>92</v>
      </c>
    </row>
    <row r="13928" spans="1:8" x14ac:dyDescent="0.25">
      <c r="A13928" t="s">
        <v>388</v>
      </c>
      <c r="B13928" t="s">
        <v>896</v>
      </c>
      <c r="C13928" t="s">
        <v>88</v>
      </c>
      <c r="D13928" t="s">
        <v>11137</v>
      </c>
      <c r="E13928" t="s">
        <v>1478</v>
      </c>
      <c r="F13928" t="s">
        <v>88</v>
      </c>
      <c r="G13928" t="s">
        <v>88</v>
      </c>
      <c r="H13928" t="s">
        <v>92</v>
      </c>
    </row>
    <row r="13929" spans="1:8" x14ac:dyDescent="0.25">
      <c r="A13929" t="s">
        <v>388</v>
      </c>
      <c r="B13929" t="s">
        <v>3305</v>
      </c>
      <c r="C13929" t="s">
        <v>88</v>
      </c>
      <c r="D13929" t="s">
        <v>11138</v>
      </c>
      <c r="E13929" t="s">
        <v>1487</v>
      </c>
      <c r="F13929" t="s">
        <v>88</v>
      </c>
      <c r="G13929" t="s">
        <v>88</v>
      </c>
      <c r="H13929" t="s">
        <v>92</v>
      </c>
    </row>
    <row r="13930" spans="1:8" x14ac:dyDescent="0.25">
      <c r="A13930" t="s">
        <v>388</v>
      </c>
      <c r="B13930" t="s">
        <v>10285</v>
      </c>
      <c r="C13930" t="s">
        <v>88</v>
      </c>
      <c r="D13930" t="s">
        <v>11139</v>
      </c>
      <c r="E13930" t="s">
        <v>1556</v>
      </c>
      <c r="F13930" t="s">
        <v>88</v>
      </c>
      <c r="G13930" t="s">
        <v>88</v>
      </c>
      <c r="H13930" t="s">
        <v>92</v>
      </c>
    </row>
    <row r="13931" spans="1:8" x14ac:dyDescent="0.25">
      <c r="A13931" t="s">
        <v>388</v>
      </c>
      <c r="B13931" t="s">
        <v>11140</v>
      </c>
      <c r="C13931" t="s">
        <v>88</v>
      </c>
      <c r="D13931" t="s">
        <v>11136</v>
      </c>
      <c r="E13931" t="s">
        <v>1600</v>
      </c>
      <c r="F13931" t="s">
        <v>88</v>
      </c>
      <c r="G13931" t="s">
        <v>88</v>
      </c>
      <c r="H13931" t="s">
        <v>92</v>
      </c>
    </row>
    <row r="13932" spans="1:8" x14ac:dyDescent="0.25">
      <c r="A13932" t="s">
        <v>388</v>
      </c>
      <c r="B13932" t="s">
        <v>11141</v>
      </c>
      <c r="C13932" t="s">
        <v>88</v>
      </c>
      <c r="D13932" t="s">
        <v>11142</v>
      </c>
      <c r="E13932" t="s">
        <v>1571</v>
      </c>
      <c r="F13932" t="s">
        <v>88</v>
      </c>
      <c r="G13932" t="s">
        <v>88</v>
      </c>
      <c r="H13932" t="s">
        <v>92</v>
      </c>
    </row>
    <row r="13933" spans="1:8" x14ac:dyDescent="0.25">
      <c r="A13933" t="s">
        <v>388</v>
      </c>
      <c r="B13933" t="s">
        <v>11143</v>
      </c>
      <c r="C13933" t="s">
        <v>88</v>
      </c>
      <c r="D13933" t="s">
        <v>11131</v>
      </c>
      <c r="E13933" t="s">
        <v>1487</v>
      </c>
      <c r="F13933" t="s">
        <v>88</v>
      </c>
      <c r="G13933" t="s">
        <v>88</v>
      </c>
      <c r="H13933" t="s">
        <v>92</v>
      </c>
    </row>
    <row r="13934" spans="1:8" x14ac:dyDescent="0.25">
      <c r="A13934" t="s">
        <v>388</v>
      </c>
      <c r="B13934" t="s">
        <v>2021</v>
      </c>
      <c r="C13934" t="s">
        <v>88</v>
      </c>
      <c r="D13934" t="s">
        <v>11144</v>
      </c>
      <c r="E13934" t="s">
        <v>3112</v>
      </c>
      <c r="F13934" t="s">
        <v>88</v>
      </c>
      <c r="G13934" t="s">
        <v>88</v>
      </c>
      <c r="H13934" t="s">
        <v>92</v>
      </c>
    </row>
    <row r="13935" spans="1:8" x14ac:dyDescent="0.25">
      <c r="A13935" t="s">
        <v>388</v>
      </c>
      <c r="B13935" t="s">
        <v>11145</v>
      </c>
      <c r="C13935" t="s">
        <v>88</v>
      </c>
      <c r="D13935" t="s">
        <v>11144</v>
      </c>
      <c r="E13935" t="s">
        <v>3112</v>
      </c>
      <c r="F13935" t="s">
        <v>88</v>
      </c>
      <c r="G13935" t="s">
        <v>88</v>
      </c>
      <c r="H13935" t="s">
        <v>92</v>
      </c>
    </row>
    <row r="13936" spans="1:8" x14ac:dyDescent="0.25">
      <c r="A13936" t="s">
        <v>388</v>
      </c>
      <c r="B13936" t="s">
        <v>11146</v>
      </c>
      <c r="C13936" t="s">
        <v>88</v>
      </c>
      <c r="D13936" t="s">
        <v>11147</v>
      </c>
      <c r="E13936" t="s">
        <v>9161</v>
      </c>
      <c r="F13936" t="s">
        <v>88</v>
      </c>
      <c r="G13936" t="s">
        <v>88</v>
      </c>
      <c r="H13936" t="s">
        <v>92</v>
      </c>
    </row>
    <row r="13937" spans="1:8" x14ac:dyDescent="0.25">
      <c r="A13937" t="s">
        <v>388</v>
      </c>
      <c r="B13937" t="s">
        <v>11148</v>
      </c>
      <c r="C13937" t="s">
        <v>88</v>
      </c>
      <c r="D13937" t="s">
        <v>88</v>
      </c>
      <c r="E13937" t="s">
        <v>10158</v>
      </c>
      <c r="F13937" t="s">
        <v>88</v>
      </c>
      <c r="G13937" t="s">
        <v>88</v>
      </c>
      <c r="H13937" t="s">
        <v>92</v>
      </c>
    </row>
    <row r="13938" spans="1:8" x14ac:dyDescent="0.25">
      <c r="A13938" t="s">
        <v>388</v>
      </c>
      <c r="B13938" t="s">
        <v>11149</v>
      </c>
      <c r="C13938" t="s">
        <v>88</v>
      </c>
      <c r="D13938" t="s">
        <v>88</v>
      </c>
      <c r="E13938" t="s">
        <v>2748</v>
      </c>
      <c r="F13938" t="s">
        <v>88</v>
      </c>
      <c r="G13938" t="s">
        <v>88</v>
      </c>
      <c r="H13938" t="s">
        <v>92</v>
      </c>
    </row>
    <row r="13939" spans="1:8" x14ac:dyDescent="0.25">
      <c r="A13939" t="s">
        <v>388</v>
      </c>
      <c r="B13939" t="s">
        <v>11150</v>
      </c>
      <c r="C13939" t="s">
        <v>88</v>
      </c>
      <c r="D13939" t="s">
        <v>88</v>
      </c>
      <c r="E13939" t="s">
        <v>711</v>
      </c>
      <c r="F13939" t="s">
        <v>88</v>
      </c>
      <c r="G13939" t="s">
        <v>88</v>
      </c>
      <c r="H13939" t="s">
        <v>92</v>
      </c>
    </row>
    <row r="13940" spans="1:8" x14ac:dyDescent="0.25">
      <c r="A13940" t="s">
        <v>388</v>
      </c>
      <c r="B13940" t="s">
        <v>11151</v>
      </c>
      <c r="C13940" t="s">
        <v>88</v>
      </c>
      <c r="D13940" t="s">
        <v>88</v>
      </c>
      <c r="E13940" t="s">
        <v>886</v>
      </c>
      <c r="F13940" t="s">
        <v>88</v>
      </c>
      <c r="G13940" t="s">
        <v>88</v>
      </c>
      <c r="H13940" t="s">
        <v>92</v>
      </c>
    </row>
    <row r="13941" spans="1:8" x14ac:dyDescent="0.25">
      <c r="A13941" t="s">
        <v>388</v>
      </c>
      <c r="B13941" t="s">
        <v>11152</v>
      </c>
      <c r="C13941" t="s">
        <v>88</v>
      </c>
      <c r="D13941" t="s">
        <v>88</v>
      </c>
      <c r="E13941" t="s">
        <v>2478</v>
      </c>
      <c r="F13941" t="s">
        <v>88</v>
      </c>
      <c r="G13941" t="s">
        <v>88</v>
      </c>
      <c r="H13941" t="s">
        <v>92</v>
      </c>
    </row>
    <row r="13942" spans="1:8" x14ac:dyDescent="0.25">
      <c r="A13942" t="s">
        <v>388</v>
      </c>
      <c r="B13942" t="s">
        <v>11153</v>
      </c>
      <c r="C13942" t="s">
        <v>88</v>
      </c>
      <c r="D13942" t="s">
        <v>88</v>
      </c>
      <c r="E13942" t="s">
        <v>2193</v>
      </c>
      <c r="F13942" t="s">
        <v>88</v>
      </c>
      <c r="G13942" t="s">
        <v>88</v>
      </c>
      <c r="H13942" t="s">
        <v>92</v>
      </c>
    </row>
    <row r="13943" spans="1:8" x14ac:dyDescent="0.25">
      <c r="A13943" t="s">
        <v>388</v>
      </c>
      <c r="B13943" t="s">
        <v>1398</v>
      </c>
      <c r="C13943" t="s">
        <v>88</v>
      </c>
      <c r="D13943" t="s">
        <v>11154</v>
      </c>
      <c r="E13943" t="s">
        <v>10555</v>
      </c>
      <c r="F13943" t="s">
        <v>88</v>
      </c>
      <c r="G13943" t="s">
        <v>88</v>
      </c>
      <c r="H13943" t="s">
        <v>92</v>
      </c>
    </row>
    <row r="13944" spans="1:8" x14ac:dyDescent="0.25">
      <c r="A13944" t="s">
        <v>388</v>
      </c>
      <c r="B13944" t="s">
        <v>11066</v>
      </c>
      <c r="C13944" t="s">
        <v>88</v>
      </c>
      <c r="D13944" t="s">
        <v>11155</v>
      </c>
      <c r="E13944" t="s">
        <v>11156</v>
      </c>
      <c r="F13944" t="s">
        <v>88</v>
      </c>
      <c r="G13944" t="s">
        <v>88</v>
      </c>
      <c r="H13944" t="s">
        <v>92</v>
      </c>
    </row>
    <row r="13945" spans="1:8" x14ac:dyDescent="0.25">
      <c r="A13945" t="s">
        <v>388</v>
      </c>
      <c r="B13945" t="s">
        <v>7753</v>
      </c>
      <c r="C13945" t="s">
        <v>88</v>
      </c>
      <c r="D13945" t="s">
        <v>88</v>
      </c>
      <c r="E13945" t="s">
        <v>1633</v>
      </c>
      <c r="F13945" t="s">
        <v>88</v>
      </c>
      <c r="G13945" t="s">
        <v>88</v>
      </c>
      <c r="H13945" t="s">
        <v>92</v>
      </c>
    </row>
    <row r="13946" spans="1:8" x14ac:dyDescent="0.25">
      <c r="A13946" t="s">
        <v>388</v>
      </c>
      <c r="B13946" t="s">
        <v>701</v>
      </c>
      <c r="C13946" t="s">
        <v>88</v>
      </c>
      <c r="D13946" t="s">
        <v>88</v>
      </c>
      <c r="E13946" t="s">
        <v>1636</v>
      </c>
      <c r="F13946" t="s">
        <v>88</v>
      </c>
      <c r="G13946" t="s">
        <v>88</v>
      </c>
      <c r="H13946" t="s">
        <v>92</v>
      </c>
    </row>
    <row r="13947" spans="1:8" x14ac:dyDescent="0.25">
      <c r="A13947" t="s">
        <v>388</v>
      </c>
      <c r="B13947" t="s">
        <v>704</v>
      </c>
      <c r="C13947" t="s">
        <v>88</v>
      </c>
      <c r="D13947" t="s">
        <v>88</v>
      </c>
      <c r="E13947" t="s">
        <v>1636</v>
      </c>
      <c r="F13947" t="s">
        <v>88</v>
      </c>
      <c r="G13947" t="s">
        <v>88</v>
      </c>
      <c r="H13947" t="s">
        <v>92</v>
      </c>
    </row>
    <row r="13948" spans="1:8" x14ac:dyDescent="0.25">
      <c r="A13948" t="s">
        <v>388</v>
      </c>
      <c r="B13948" t="s">
        <v>703</v>
      </c>
      <c r="C13948" t="s">
        <v>88</v>
      </c>
      <c r="D13948" t="s">
        <v>88</v>
      </c>
      <c r="E13948" t="s">
        <v>1636</v>
      </c>
      <c r="F13948" t="s">
        <v>88</v>
      </c>
      <c r="G13948" t="s">
        <v>88</v>
      </c>
      <c r="H13948" t="s">
        <v>92</v>
      </c>
    </row>
    <row r="13949" spans="1:8" x14ac:dyDescent="0.25">
      <c r="A13949" t="s">
        <v>388</v>
      </c>
      <c r="B13949" t="s">
        <v>705</v>
      </c>
      <c r="C13949" t="s">
        <v>88</v>
      </c>
      <c r="D13949" t="s">
        <v>88</v>
      </c>
      <c r="E13949" t="s">
        <v>1636</v>
      </c>
      <c r="F13949" t="s">
        <v>88</v>
      </c>
      <c r="G13949" t="s">
        <v>88</v>
      </c>
      <c r="H13949" t="s">
        <v>92</v>
      </c>
    </row>
    <row r="13950" spans="1:8" x14ac:dyDescent="0.25">
      <c r="A13950" t="s">
        <v>388</v>
      </c>
      <c r="B13950" t="s">
        <v>706</v>
      </c>
      <c r="C13950" t="s">
        <v>88</v>
      </c>
      <c r="D13950" t="s">
        <v>88</v>
      </c>
      <c r="E13950" t="s">
        <v>1636</v>
      </c>
      <c r="F13950" t="s">
        <v>88</v>
      </c>
      <c r="G13950" t="s">
        <v>88</v>
      </c>
      <c r="H13950" t="s">
        <v>92</v>
      </c>
    </row>
    <row r="13951" spans="1:8" x14ac:dyDescent="0.25">
      <c r="A13951" t="s">
        <v>388</v>
      </c>
      <c r="B13951" t="s">
        <v>1637</v>
      </c>
      <c r="C13951" t="s">
        <v>88</v>
      </c>
      <c r="D13951" t="s">
        <v>88</v>
      </c>
      <c r="E13951" t="s">
        <v>1636</v>
      </c>
      <c r="F13951" t="s">
        <v>88</v>
      </c>
      <c r="G13951" t="s">
        <v>88</v>
      </c>
      <c r="H13951" t="s">
        <v>92</v>
      </c>
    </row>
    <row r="13952" spans="1:8" x14ac:dyDescent="0.25">
      <c r="A13952" t="s">
        <v>388</v>
      </c>
      <c r="B13952" t="s">
        <v>1638</v>
      </c>
      <c r="C13952" t="s">
        <v>88</v>
      </c>
      <c r="D13952" t="s">
        <v>88</v>
      </c>
      <c r="E13952" t="s">
        <v>1636</v>
      </c>
      <c r="F13952" t="s">
        <v>88</v>
      </c>
      <c r="G13952" t="s">
        <v>88</v>
      </c>
      <c r="H13952" t="s">
        <v>92</v>
      </c>
    </row>
    <row r="13953" spans="1:8" x14ac:dyDescent="0.25">
      <c r="A13953" t="s">
        <v>388</v>
      </c>
      <c r="B13953" t="s">
        <v>1645</v>
      </c>
      <c r="C13953" t="s">
        <v>88</v>
      </c>
      <c r="D13953" t="s">
        <v>88</v>
      </c>
      <c r="E13953" t="s">
        <v>1646</v>
      </c>
      <c r="F13953" t="s">
        <v>88</v>
      </c>
      <c r="G13953" t="s">
        <v>88</v>
      </c>
      <c r="H13953" t="s">
        <v>92</v>
      </c>
    </row>
    <row r="13954" spans="1:8" x14ac:dyDescent="0.25">
      <c r="A13954" t="s">
        <v>388</v>
      </c>
      <c r="B13954" t="s">
        <v>9557</v>
      </c>
      <c r="C13954" t="s">
        <v>88</v>
      </c>
      <c r="D13954" t="s">
        <v>11157</v>
      </c>
      <c r="E13954" t="s">
        <v>1648</v>
      </c>
      <c r="F13954" t="s">
        <v>88</v>
      </c>
      <c r="G13954" t="s">
        <v>88</v>
      </c>
      <c r="H13954" t="s">
        <v>92</v>
      </c>
    </row>
    <row r="13955" spans="1:8" x14ac:dyDescent="0.25">
      <c r="A13955" t="s">
        <v>388</v>
      </c>
      <c r="B13955" t="s">
        <v>929</v>
      </c>
      <c r="C13955" t="s">
        <v>88</v>
      </c>
      <c r="D13955" t="s">
        <v>11158</v>
      </c>
      <c r="E13955" t="s">
        <v>1652</v>
      </c>
      <c r="F13955" t="s">
        <v>88</v>
      </c>
      <c r="G13955" t="s">
        <v>88</v>
      </c>
      <c r="H13955" t="s">
        <v>92</v>
      </c>
    </row>
    <row r="13956" spans="1:8" x14ac:dyDescent="0.25">
      <c r="A13956" t="s">
        <v>388</v>
      </c>
      <c r="B13956" t="s">
        <v>714</v>
      </c>
      <c r="C13956" t="s">
        <v>88</v>
      </c>
      <c r="D13956" t="s">
        <v>88</v>
      </c>
      <c r="E13956" t="s">
        <v>1653</v>
      </c>
      <c r="F13956" t="s">
        <v>88</v>
      </c>
      <c r="G13956" t="s">
        <v>88</v>
      </c>
      <c r="H13956" t="s">
        <v>92</v>
      </c>
    </row>
    <row r="13957" spans="1:8" x14ac:dyDescent="0.25">
      <c r="A13957" t="s">
        <v>388</v>
      </c>
      <c r="B13957" t="s">
        <v>1074</v>
      </c>
      <c r="C13957" t="s">
        <v>88</v>
      </c>
      <c r="D13957" t="s">
        <v>88</v>
      </c>
      <c r="E13957" t="s">
        <v>1653</v>
      </c>
      <c r="F13957" t="s">
        <v>88</v>
      </c>
      <c r="G13957" t="s">
        <v>88</v>
      </c>
      <c r="H13957" t="s">
        <v>92</v>
      </c>
    </row>
    <row r="13958" spans="1:8" x14ac:dyDescent="0.25">
      <c r="A13958" t="s">
        <v>388</v>
      </c>
      <c r="B13958" t="s">
        <v>1671</v>
      </c>
      <c r="C13958" t="s">
        <v>88</v>
      </c>
      <c r="D13958" t="s">
        <v>88</v>
      </c>
      <c r="E13958" t="s">
        <v>1653</v>
      </c>
      <c r="F13958" t="s">
        <v>88</v>
      </c>
      <c r="G13958" t="s">
        <v>88</v>
      </c>
      <c r="H13958" t="s">
        <v>92</v>
      </c>
    </row>
    <row r="13959" spans="1:8" x14ac:dyDescent="0.25">
      <c r="A13959" t="s">
        <v>388</v>
      </c>
      <c r="B13959" t="s">
        <v>998</v>
      </c>
      <c r="C13959" t="s">
        <v>88</v>
      </c>
      <c r="D13959" t="s">
        <v>88</v>
      </c>
      <c r="E13959" t="s">
        <v>1653</v>
      </c>
      <c r="F13959" t="s">
        <v>88</v>
      </c>
      <c r="G13959" t="s">
        <v>88</v>
      </c>
      <c r="H13959" t="s">
        <v>92</v>
      </c>
    </row>
    <row r="13960" spans="1:8" x14ac:dyDescent="0.25">
      <c r="A13960" t="s">
        <v>388</v>
      </c>
      <c r="B13960" t="s">
        <v>1073</v>
      </c>
      <c r="C13960" t="s">
        <v>88</v>
      </c>
      <c r="D13960" t="s">
        <v>88</v>
      </c>
      <c r="E13960" t="s">
        <v>1653</v>
      </c>
      <c r="F13960" t="s">
        <v>88</v>
      </c>
      <c r="G13960" t="s">
        <v>88</v>
      </c>
      <c r="H13960" t="s">
        <v>92</v>
      </c>
    </row>
    <row r="13961" spans="1:8" x14ac:dyDescent="0.25">
      <c r="A13961" t="s">
        <v>388</v>
      </c>
      <c r="B13961" t="s">
        <v>1654</v>
      </c>
      <c r="C13961" t="s">
        <v>88</v>
      </c>
      <c r="D13961" t="s">
        <v>88</v>
      </c>
      <c r="E13961" t="s">
        <v>1653</v>
      </c>
      <c r="F13961" t="s">
        <v>88</v>
      </c>
      <c r="G13961" t="s">
        <v>88</v>
      </c>
      <c r="H13961" t="s">
        <v>92</v>
      </c>
    </row>
    <row r="13962" spans="1:8" x14ac:dyDescent="0.25">
      <c r="A13962" t="s">
        <v>388</v>
      </c>
      <c r="B13962" t="s">
        <v>1655</v>
      </c>
      <c r="C13962" t="s">
        <v>88</v>
      </c>
      <c r="D13962" t="s">
        <v>88</v>
      </c>
      <c r="E13962" t="s">
        <v>1653</v>
      </c>
      <c r="F13962" t="s">
        <v>88</v>
      </c>
      <c r="G13962" t="s">
        <v>88</v>
      </c>
      <c r="H13962" t="s">
        <v>92</v>
      </c>
    </row>
    <row r="13963" spans="1:8" x14ac:dyDescent="0.25">
      <c r="A13963" t="s">
        <v>388</v>
      </c>
      <c r="B13963" t="s">
        <v>1609</v>
      </c>
      <c r="C13963" t="s">
        <v>88</v>
      </c>
      <c r="D13963" t="s">
        <v>88</v>
      </c>
      <c r="E13963" t="s">
        <v>1765</v>
      </c>
      <c r="F13963" t="s">
        <v>88</v>
      </c>
      <c r="G13963" t="s">
        <v>88</v>
      </c>
      <c r="H13963" t="s">
        <v>92</v>
      </c>
    </row>
    <row r="13964" spans="1:8" x14ac:dyDescent="0.25">
      <c r="A13964" t="s">
        <v>388</v>
      </c>
      <c r="B13964" t="s">
        <v>2573</v>
      </c>
      <c r="C13964" t="s">
        <v>88</v>
      </c>
      <c r="D13964" t="s">
        <v>88</v>
      </c>
      <c r="E13964" t="s">
        <v>850</v>
      </c>
      <c r="F13964" t="s">
        <v>88</v>
      </c>
      <c r="G13964" t="s">
        <v>88</v>
      </c>
      <c r="H13964" t="s">
        <v>92</v>
      </c>
    </row>
    <row r="13965" spans="1:8" x14ac:dyDescent="0.25">
      <c r="A13965" t="s">
        <v>388</v>
      </c>
      <c r="B13965" t="s">
        <v>1611</v>
      </c>
      <c r="C13965" t="s">
        <v>88</v>
      </c>
      <c r="D13965" t="s">
        <v>88</v>
      </c>
      <c r="E13965" t="s">
        <v>1765</v>
      </c>
      <c r="F13965" t="s">
        <v>88</v>
      </c>
      <c r="G13965" t="s">
        <v>88</v>
      </c>
      <c r="H13965" t="s">
        <v>92</v>
      </c>
    </row>
    <row r="13966" spans="1:8" x14ac:dyDescent="0.25">
      <c r="A13966" t="s">
        <v>390</v>
      </c>
      <c r="B13966" t="s">
        <v>789</v>
      </c>
      <c r="C13966" t="s">
        <v>88</v>
      </c>
      <c r="D13966" t="s">
        <v>11159</v>
      </c>
      <c r="E13966" t="s">
        <v>791</v>
      </c>
      <c r="F13966" t="s">
        <v>88</v>
      </c>
      <c r="G13966" t="s">
        <v>88</v>
      </c>
      <c r="H13966" t="s">
        <v>92</v>
      </c>
    </row>
    <row r="13967" spans="1:8" x14ac:dyDescent="0.25">
      <c r="A13967" t="s">
        <v>390</v>
      </c>
      <c r="B13967" t="s">
        <v>816</v>
      </c>
      <c r="C13967" t="s">
        <v>88</v>
      </c>
      <c r="D13967" t="s">
        <v>11160</v>
      </c>
      <c r="E13967" t="s">
        <v>655</v>
      </c>
      <c r="F13967" t="s">
        <v>88</v>
      </c>
      <c r="G13967" t="s">
        <v>88</v>
      </c>
      <c r="H13967" t="s">
        <v>92</v>
      </c>
    </row>
    <row r="13968" spans="1:8" x14ac:dyDescent="0.25">
      <c r="A13968" t="s">
        <v>390</v>
      </c>
      <c r="B13968" t="s">
        <v>1023</v>
      </c>
      <c r="C13968" t="s">
        <v>88</v>
      </c>
      <c r="D13968" t="s">
        <v>11161</v>
      </c>
      <c r="E13968" t="s">
        <v>725</v>
      </c>
      <c r="F13968" t="s">
        <v>88</v>
      </c>
      <c r="G13968" t="s">
        <v>88</v>
      </c>
      <c r="H13968" t="s">
        <v>92</v>
      </c>
    </row>
    <row r="13969" spans="1:8" x14ac:dyDescent="0.25">
      <c r="A13969" t="s">
        <v>390</v>
      </c>
      <c r="B13969" t="s">
        <v>931</v>
      </c>
      <c r="C13969" t="s">
        <v>88</v>
      </c>
      <c r="D13969" t="s">
        <v>11162</v>
      </c>
      <c r="E13969" t="s">
        <v>723</v>
      </c>
      <c r="F13969" t="s">
        <v>88</v>
      </c>
      <c r="G13969" t="s">
        <v>88</v>
      </c>
      <c r="H13969" t="s">
        <v>92</v>
      </c>
    </row>
    <row r="13970" spans="1:8" x14ac:dyDescent="0.25">
      <c r="A13970" t="s">
        <v>390</v>
      </c>
      <c r="B13970" t="s">
        <v>942</v>
      </c>
      <c r="C13970" t="s">
        <v>88</v>
      </c>
      <c r="D13970" t="s">
        <v>11163</v>
      </c>
      <c r="E13970" t="s">
        <v>841</v>
      </c>
      <c r="F13970" t="s">
        <v>88</v>
      </c>
      <c r="G13970" t="s">
        <v>88</v>
      </c>
      <c r="H13970" t="s">
        <v>92</v>
      </c>
    </row>
    <row r="13971" spans="1:8" x14ac:dyDescent="0.25">
      <c r="A13971" t="s">
        <v>390</v>
      </c>
      <c r="B13971" t="s">
        <v>789</v>
      </c>
      <c r="C13971" t="s">
        <v>88</v>
      </c>
      <c r="D13971" t="s">
        <v>11159</v>
      </c>
      <c r="E13971" t="s">
        <v>791</v>
      </c>
      <c r="F13971" t="s">
        <v>88</v>
      </c>
      <c r="G13971" t="s">
        <v>88</v>
      </c>
      <c r="H13971" t="s">
        <v>92</v>
      </c>
    </row>
    <row r="13972" spans="1:8" x14ac:dyDescent="0.25">
      <c r="A13972" t="s">
        <v>390</v>
      </c>
      <c r="B13972" t="s">
        <v>931</v>
      </c>
      <c r="C13972" t="s">
        <v>88</v>
      </c>
      <c r="D13972" t="s">
        <v>11162</v>
      </c>
      <c r="E13972" t="s">
        <v>723</v>
      </c>
      <c r="F13972" t="s">
        <v>88</v>
      </c>
      <c r="G13972" t="s">
        <v>88</v>
      </c>
      <c r="H13972" t="s">
        <v>92</v>
      </c>
    </row>
    <row r="13973" spans="1:8" x14ac:dyDescent="0.25">
      <c r="A13973" t="s">
        <v>390</v>
      </c>
      <c r="B13973" t="s">
        <v>1023</v>
      </c>
      <c r="C13973" t="s">
        <v>88</v>
      </c>
      <c r="D13973" t="s">
        <v>11161</v>
      </c>
      <c r="E13973" t="s">
        <v>725</v>
      </c>
      <c r="F13973" t="s">
        <v>88</v>
      </c>
      <c r="G13973" t="s">
        <v>88</v>
      </c>
      <c r="H13973" t="s">
        <v>92</v>
      </c>
    </row>
    <row r="13974" spans="1:8" x14ac:dyDescent="0.25">
      <c r="A13974" t="s">
        <v>390</v>
      </c>
      <c r="B13974" t="s">
        <v>11164</v>
      </c>
      <c r="C13974" t="s">
        <v>88</v>
      </c>
      <c r="D13974" t="s">
        <v>11165</v>
      </c>
      <c r="E13974" t="s">
        <v>883</v>
      </c>
      <c r="F13974" t="s">
        <v>88</v>
      </c>
      <c r="G13974" t="s">
        <v>88</v>
      </c>
      <c r="H13974" t="s">
        <v>92</v>
      </c>
    </row>
    <row r="13975" spans="1:8" x14ac:dyDescent="0.25">
      <c r="A13975" t="s">
        <v>390</v>
      </c>
      <c r="B13975" t="s">
        <v>816</v>
      </c>
      <c r="C13975" t="s">
        <v>88</v>
      </c>
      <c r="D13975" t="s">
        <v>11160</v>
      </c>
      <c r="E13975" t="s">
        <v>655</v>
      </c>
      <c r="F13975" t="s">
        <v>88</v>
      </c>
      <c r="G13975" t="s">
        <v>88</v>
      </c>
      <c r="H13975" t="s">
        <v>92</v>
      </c>
    </row>
    <row r="13976" spans="1:8" x14ac:dyDescent="0.25">
      <c r="A13976" t="s">
        <v>390</v>
      </c>
      <c r="B13976" t="s">
        <v>944</v>
      </c>
      <c r="C13976" t="s">
        <v>88</v>
      </c>
      <c r="D13976" t="s">
        <v>11166</v>
      </c>
      <c r="E13976" t="s">
        <v>676</v>
      </c>
      <c r="F13976" t="s">
        <v>88</v>
      </c>
      <c r="G13976" t="s">
        <v>88</v>
      </c>
      <c r="H13976" t="s">
        <v>92</v>
      </c>
    </row>
    <row r="13977" spans="1:8" x14ac:dyDescent="0.25">
      <c r="A13977" t="s">
        <v>390</v>
      </c>
      <c r="B13977" t="s">
        <v>942</v>
      </c>
      <c r="C13977" t="s">
        <v>88</v>
      </c>
      <c r="D13977" t="s">
        <v>11163</v>
      </c>
      <c r="E13977" t="s">
        <v>841</v>
      </c>
      <c r="F13977" t="s">
        <v>88</v>
      </c>
      <c r="G13977" t="s">
        <v>88</v>
      </c>
      <c r="H13977" t="s">
        <v>92</v>
      </c>
    </row>
    <row r="13978" spans="1:8" x14ac:dyDescent="0.25">
      <c r="A13978" t="s">
        <v>390</v>
      </c>
      <c r="B13978" t="s">
        <v>823</v>
      </c>
      <c r="C13978" t="s">
        <v>88</v>
      </c>
      <c r="D13978" t="s">
        <v>11167</v>
      </c>
      <c r="E13978" t="s">
        <v>825</v>
      </c>
      <c r="F13978" t="s">
        <v>88</v>
      </c>
      <c r="G13978" t="s">
        <v>88</v>
      </c>
      <c r="H13978" t="s">
        <v>92</v>
      </c>
    </row>
    <row r="13979" spans="1:8" x14ac:dyDescent="0.25">
      <c r="A13979" t="s">
        <v>390</v>
      </c>
      <c r="B13979" t="s">
        <v>846</v>
      </c>
      <c r="C13979" t="s">
        <v>88</v>
      </c>
      <c r="D13979" t="s">
        <v>847</v>
      </c>
      <c r="E13979" t="s">
        <v>710</v>
      </c>
      <c r="F13979" t="s">
        <v>88</v>
      </c>
      <c r="G13979" t="s">
        <v>88</v>
      </c>
      <c r="H13979" t="s">
        <v>92</v>
      </c>
    </row>
    <row r="13980" spans="1:8" x14ac:dyDescent="0.25">
      <c r="A13980" t="s">
        <v>390</v>
      </c>
      <c r="B13980" t="s">
        <v>2135</v>
      </c>
      <c r="C13980" t="s">
        <v>88</v>
      </c>
      <c r="D13980" t="s">
        <v>88</v>
      </c>
      <c r="E13980" t="s">
        <v>711</v>
      </c>
      <c r="F13980" t="s">
        <v>88</v>
      </c>
      <c r="G13980" t="s">
        <v>88</v>
      </c>
      <c r="H13980" t="s">
        <v>92</v>
      </c>
    </row>
    <row r="13981" spans="1:8" x14ac:dyDescent="0.25">
      <c r="A13981" t="s">
        <v>390</v>
      </c>
      <c r="B13981" t="s">
        <v>11168</v>
      </c>
      <c r="C13981" t="s">
        <v>88</v>
      </c>
      <c r="D13981" t="s">
        <v>88</v>
      </c>
      <c r="E13981" t="s">
        <v>711</v>
      </c>
      <c r="F13981" t="s">
        <v>88</v>
      </c>
      <c r="G13981" t="s">
        <v>88</v>
      </c>
      <c r="H13981" t="s">
        <v>92</v>
      </c>
    </row>
    <row r="13982" spans="1:8" x14ac:dyDescent="0.25">
      <c r="A13982" t="s">
        <v>390</v>
      </c>
      <c r="B13982" t="s">
        <v>625</v>
      </c>
      <c r="C13982" t="s">
        <v>88</v>
      </c>
      <c r="D13982" t="s">
        <v>88</v>
      </c>
      <c r="E13982" t="s">
        <v>626</v>
      </c>
      <c r="F13982" t="s">
        <v>88</v>
      </c>
      <c r="G13982" t="s">
        <v>88</v>
      </c>
      <c r="H13982" t="s">
        <v>92</v>
      </c>
    </row>
    <row r="13983" spans="1:8" x14ac:dyDescent="0.25">
      <c r="A13983" t="s">
        <v>391</v>
      </c>
      <c r="B13983" t="s">
        <v>789</v>
      </c>
      <c r="C13983" t="s">
        <v>88</v>
      </c>
      <c r="D13983" t="s">
        <v>11169</v>
      </c>
      <c r="E13983" t="s">
        <v>799</v>
      </c>
      <c r="F13983" t="s">
        <v>88</v>
      </c>
      <c r="G13983" t="s">
        <v>88</v>
      </c>
      <c r="H13983" t="s">
        <v>92</v>
      </c>
    </row>
    <row r="13984" spans="1:8" x14ac:dyDescent="0.25">
      <c r="A13984" t="s">
        <v>391</v>
      </c>
      <c r="B13984" t="s">
        <v>830</v>
      </c>
      <c r="C13984" t="s">
        <v>88</v>
      </c>
      <c r="D13984" t="s">
        <v>11170</v>
      </c>
      <c r="E13984" t="s">
        <v>663</v>
      </c>
      <c r="F13984" t="s">
        <v>88</v>
      </c>
      <c r="G13984" t="s">
        <v>88</v>
      </c>
      <c r="H13984" t="s">
        <v>92</v>
      </c>
    </row>
    <row r="13985" spans="1:8" x14ac:dyDescent="0.25">
      <c r="A13985" t="s">
        <v>391</v>
      </c>
      <c r="B13985" t="s">
        <v>816</v>
      </c>
      <c r="C13985" t="s">
        <v>88</v>
      </c>
      <c r="D13985" t="s">
        <v>11170</v>
      </c>
      <c r="E13985" t="s">
        <v>655</v>
      </c>
      <c r="F13985" t="s">
        <v>88</v>
      </c>
      <c r="G13985" t="s">
        <v>88</v>
      </c>
      <c r="H13985" t="s">
        <v>92</v>
      </c>
    </row>
    <row r="13986" spans="1:8" x14ac:dyDescent="0.25">
      <c r="A13986" t="s">
        <v>391</v>
      </c>
      <c r="B13986" t="s">
        <v>823</v>
      </c>
      <c r="C13986" t="s">
        <v>88</v>
      </c>
      <c r="D13986" t="s">
        <v>11170</v>
      </c>
      <c r="E13986" t="s">
        <v>841</v>
      </c>
      <c r="F13986" t="s">
        <v>88</v>
      </c>
      <c r="G13986" t="s">
        <v>88</v>
      </c>
      <c r="H13986" t="s">
        <v>92</v>
      </c>
    </row>
    <row r="13987" spans="1:8" x14ac:dyDescent="0.25">
      <c r="A13987" t="s">
        <v>391</v>
      </c>
      <c r="B13987" t="s">
        <v>612</v>
      </c>
      <c r="C13987" t="s">
        <v>88</v>
      </c>
      <c r="D13987" t="s">
        <v>88</v>
      </c>
      <c r="E13987" t="s">
        <v>3397</v>
      </c>
      <c r="F13987" t="s">
        <v>88</v>
      </c>
      <c r="G13987" t="s">
        <v>88</v>
      </c>
      <c r="H13987" t="s">
        <v>92</v>
      </c>
    </row>
    <row r="13988" spans="1:8" x14ac:dyDescent="0.25">
      <c r="A13988" t="s">
        <v>391</v>
      </c>
      <c r="B13988" t="s">
        <v>623</v>
      </c>
      <c r="C13988" t="s">
        <v>88</v>
      </c>
      <c r="D13988" t="s">
        <v>88</v>
      </c>
      <c r="E13988" t="s">
        <v>849</v>
      </c>
      <c r="F13988" t="s">
        <v>88</v>
      </c>
      <c r="G13988" t="s">
        <v>88</v>
      </c>
      <c r="H13988" t="s">
        <v>92</v>
      </c>
    </row>
    <row r="13989" spans="1:8" x14ac:dyDescent="0.25">
      <c r="A13989" t="s">
        <v>391</v>
      </c>
      <c r="B13989" t="s">
        <v>6732</v>
      </c>
      <c r="C13989" t="s">
        <v>88</v>
      </c>
      <c r="D13989" t="s">
        <v>88</v>
      </c>
      <c r="E13989" t="s">
        <v>848</v>
      </c>
      <c r="F13989" t="s">
        <v>88</v>
      </c>
      <c r="G13989" t="s">
        <v>88</v>
      </c>
      <c r="H13989" t="s">
        <v>92</v>
      </c>
    </row>
    <row r="13990" spans="1:8" x14ac:dyDescent="0.25">
      <c r="A13990" t="s">
        <v>391</v>
      </c>
      <c r="B13990" t="s">
        <v>846</v>
      </c>
      <c r="C13990" t="s">
        <v>88</v>
      </c>
      <c r="D13990" t="s">
        <v>88</v>
      </c>
      <c r="E13990" t="s">
        <v>710</v>
      </c>
      <c r="F13990" t="s">
        <v>88</v>
      </c>
      <c r="G13990" t="s">
        <v>88</v>
      </c>
      <c r="H13990" t="s">
        <v>92</v>
      </c>
    </row>
    <row r="13991" spans="1:8" x14ac:dyDescent="0.25">
      <c r="A13991" t="s">
        <v>391</v>
      </c>
      <c r="B13991" t="s">
        <v>615</v>
      </c>
      <c r="C13991" t="s">
        <v>88</v>
      </c>
      <c r="D13991" t="s">
        <v>88</v>
      </c>
      <c r="E13991" t="s">
        <v>3397</v>
      </c>
      <c r="F13991" t="s">
        <v>88</v>
      </c>
      <c r="G13991" t="s">
        <v>88</v>
      </c>
      <c r="H13991" t="s">
        <v>92</v>
      </c>
    </row>
    <row r="13992" spans="1:8" x14ac:dyDescent="0.25">
      <c r="A13992" t="s">
        <v>391</v>
      </c>
      <c r="B13992" t="s">
        <v>11171</v>
      </c>
      <c r="C13992" t="s">
        <v>88</v>
      </c>
      <c r="D13992" t="s">
        <v>88</v>
      </c>
      <c r="E13992" t="s">
        <v>713</v>
      </c>
      <c r="F13992" t="s">
        <v>88</v>
      </c>
      <c r="G13992" t="s">
        <v>88</v>
      </c>
      <c r="H13992" t="s">
        <v>92</v>
      </c>
    </row>
    <row r="13993" spans="1:8" x14ac:dyDescent="0.25">
      <c r="A13993" t="s">
        <v>391</v>
      </c>
      <c r="B13993" t="s">
        <v>625</v>
      </c>
      <c r="C13993" t="s">
        <v>88</v>
      </c>
      <c r="D13993" t="s">
        <v>88</v>
      </c>
      <c r="E13993" t="s">
        <v>626</v>
      </c>
      <c r="F13993" t="s">
        <v>88</v>
      </c>
      <c r="G13993" t="s">
        <v>88</v>
      </c>
      <c r="H13993" t="s">
        <v>92</v>
      </c>
    </row>
    <row r="13994" spans="1:8" x14ac:dyDescent="0.25">
      <c r="A13994" t="s">
        <v>393</v>
      </c>
      <c r="B13994" t="s">
        <v>789</v>
      </c>
      <c r="C13994" t="s">
        <v>88</v>
      </c>
      <c r="D13994" t="s">
        <v>11172</v>
      </c>
      <c r="E13994" t="s">
        <v>1323</v>
      </c>
      <c r="F13994" t="s">
        <v>88</v>
      </c>
      <c r="G13994" t="s">
        <v>88</v>
      </c>
      <c r="H13994" t="s">
        <v>92</v>
      </c>
    </row>
    <row r="13995" spans="1:8" x14ac:dyDescent="0.25">
      <c r="A13995" t="s">
        <v>393</v>
      </c>
      <c r="B13995" t="s">
        <v>2660</v>
      </c>
      <c r="C13995" t="s">
        <v>88</v>
      </c>
      <c r="D13995" t="s">
        <v>11173</v>
      </c>
      <c r="E13995" t="s">
        <v>738</v>
      </c>
      <c r="F13995" t="s">
        <v>88</v>
      </c>
      <c r="G13995" t="s">
        <v>88</v>
      </c>
      <c r="H13995" t="s">
        <v>92</v>
      </c>
    </row>
    <row r="13996" spans="1:8" x14ac:dyDescent="0.25">
      <c r="A13996" t="s">
        <v>393</v>
      </c>
      <c r="B13996" t="s">
        <v>816</v>
      </c>
      <c r="C13996" t="s">
        <v>88</v>
      </c>
      <c r="D13996" t="s">
        <v>11174</v>
      </c>
      <c r="E13996" t="s">
        <v>1241</v>
      </c>
      <c r="F13996" t="s">
        <v>88</v>
      </c>
      <c r="G13996" t="s">
        <v>88</v>
      </c>
      <c r="H13996" t="s">
        <v>92</v>
      </c>
    </row>
    <row r="13997" spans="1:8" x14ac:dyDescent="0.25">
      <c r="A13997" t="s">
        <v>393</v>
      </c>
      <c r="B13997" t="s">
        <v>823</v>
      </c>
      <c r="C13997" t="s">
        <v>88</v>
      </c>
      <c r="D13997" t="s">
        <v>11175</v>
      </c>
      <c r="E13997" t="s">
        <v>2378</v>
      </c>
      <c r="F13997" t="s">
        <v>88</v>
      </c>
      <c r="G13997" t="s">
        <v>88</v>
      </c>
      <c r="H13997" t="s">
        <v>92</v>
      </c>
    </row>
    <row r="13998" spans="1:8" x14ac:dyDescent="0.25">
      <c r="A13998" t="s">
        <v>393</v>
      </c>
      <c r="B13998" t="s">
        <v>830</v>
      </c>
      <c r="C13998" t="s">
        <v>88</v>
      </c>
      <c r="D13998" t="s">
        <v>11176</v>
      </c>
      <c r="E13998" t="s">
        <v>725</v>
      </c>
      <c r="F13998" t="s">
        <v>88</v>
      </c>
      <c r="G13998" t="s">
        <v>88</v>
      </c>
      <c r="H13998" t="s">
        <v>92</v>
      </c>
    </row>
    <row r="13999" spans="1:8" x14ac:dyDescent="0.25">
      <c r="A13999" t="s">
        <v>393</v>
      </c>
      <c r="B13999" t="s">
        <v>2660</v>
      </c>
      <c r="C13999" t="s">
        <v>88</v>
      </c>
      <c r="D13999" t="s">
        <v>11173</v>
      </c>
      <c r="E13999" t="s">
        <v>738</v>
      </c>
      <c r="F13999" t="s">
        <v>88</v>
      </c>
      <c r="G13999" t="s">
        <v>88</v>
      </c>
      <c r="H13999" t="s">
        <v>92</v>
      </c>
    </row>
    <row r="14000" spans="1:8" x14ac:dyDescent="0.25">
      <c r="A14000" t="s">
        <v>393</v>
      </c>
      <c r="B14000" t="s">
        <v>10923</v>
      </c>
      <c r="C14000" t="s">
        <v>88</v>
      </c>
      <c r="D14000" t="s">
        <v>11177</v>
      </c>
      <c r="E14000" t="s">
        <v>748</v>
      </c>
      <c r="F14000" t="s">
        <v>88</v>
      </c>
      <c r="G14000" t="s">
        <v>88</v>
      </c>
      <c r="H14000" t="s">
        <v>92</v>
      </c>
    </row>
    <row r="14001" spans="1:8" x14ac:dyDescent="0.25">
      <c r="A14001" t="s">
        <v>393</v>
      </c>
      <c r="B14001" t="s">
        <v>789</v>
      </c>
      <c r="C14001" t="s">
        <v>88</v>
      </c>
      <c r="D14001" t="s">
        <v>11172</v>
      </c>
      <c r="E14001" t="s">
        <v>1323</v>
      </c>
      <c r="F14001" t="s">
        <v>88</v>
      </c>
      <c r="G14001" t="s">
        <v>88</v>
      </c>
      <c r="H14001" t="s">
        <v>92</v>
      </c>
    </row>
    <row r="14002" spans="1:8" x14ac:dyDescent="0.25">
      <c r="A14002" t="s">
        <v>393</v>
      </c>
      <c r="B14002" t="s">
        <v>816</v>
      </c>
      <c r="C14002" t="s">
        <v>88</v>
      </c>
      <c r="D14002" t="s">
        <v>11174</v>
      </c>
      <c r="E14002" t="s">
        <v>1241</v>
      </c>
      <c r="F14002" t="s">
        <v>88</v>
      </c>
      <c r="G14002" t="s">
        <v>88</v>
      </c>
      <c r="H14002" t="s">
        <v>92</v>
      </c>
    </row>
    <row r="14003" spans="1:8" x14ac:dyDescent="0.25">
      <c r="A14003" t="s">
        <v>393</v>
      </c>
      <c r="B14003" t="s">
        <v>942</v>
      </c>
      <c r="C14003" t="s">
        <v>88</v>
      </c>
      <c r="D14003" t="s">
        <v>11178</v>
      </c>
      <c r="E14003" t="s">
        <v>836</v>
      </c>
      <c r="F14003" t="s">
        <v>88</v>
      </c>
      <c r="G14003" t="s">
        <v>88</v>
      </c>
      <c r="H14003" t="s">
        <v>92</v>
      </c>
    </row>
    <row r="14004" spans="1:8" x14ac:dyDescent="0.25">
      <c r="A14004" t="s">
        <v>393</v>
      </c>
      <c r="B14004" t="s">
        <v>11179</v>
      </c>
      <c r="C14004" t="s">
        <v>88</v>
      </c>
      <c r="D14004" t="s">
        <v>11180</v>
      </c>
      <c r="E14004" t="s">
        <v>738</v>
      </c>
      <c r="F14004" t="s">
        <v>88</v>
      </c>
      <c r="G14004" t="s">
        <v>88</v>
      </c>
      <c r="H14004" t="s">
        <v>92</v>
      </c>
    </row>
    <row r="14005" spans="1:8" x14ac:dyDescent="0.25">
      <c r="A14005" t="s">
        <v>393</v>
      </c>
      <c r="B14005" t="s">
        <v>830</v>
      </c>
      <c r="C14005" t="s">
        <v>88</v>
      </c>
      <c r="D14005" t="s">
        <v>11176</v>
      </c>
      <c r="E14005" t="s">
        <v>725</v>
      </c>
      <c r="F14005" t="s">
        <v>88</v>
      </c>
      <c r="G14005" t="s">
        <v>88</v>
      </c>
      <c r="H14005" t="s">
        <v>92</v>
      </c>
    </row>
    <row r="14006" spans="1:8" x14ac:dyDescent="0.25">
      <c r="A14006" t="s">
        <v>393</v>
      </c>
      <c r="B14006" t="s">
        <v>823</v>
      </c>
      <c r="C14006" t="s">
        <v>88</v>
      </c>
      <c r="D14006" t="s">
        <v>11175</v>
      </c>
      <c r="E14006" t="s">
        <v>2378</v>
      </c>
      <c r="F14006" t="s">
        <v>88</v>
      </c>
      <c r="G14006" t="s">
        <v>88</v>
      </c>
      <c r="H14006" t="s">
        <v>92</v>
      </c>
    </row>
    <row r="14007" spans="1:8" x14ac:dyDescent="0.25">
      <c r="A14007" t="s">
        <v>393</v>
      </c>
      <c r="B14007" t="s">
        <v>11181</v>
      </c>
      <c r="C14007" t="s">
        <v>88</v>
      </c>
      <c r="D14007" t="s">
        <v>11182</v>
      </c>
      <c r="E14007" t="s">
        <v>11183</v>
      </c>
      <c r="F14007" t="s">
        <v>88</v>
      </c>
      <c r="G14007" t="s">
        <v>88</v>
      </c>
      <c r="H14007" t="s">
        <v>92</v>
      </c>
    </row>
    <row r="14008" spans="1:8" x14ac:dyDescent="0.25">
      <c r="A14008" t="s">
        <v>393</v>
      </c>
      <c r="B14008" t="s">
        <v>948</v>
      </c>
      <c r="C14008" t="s">
        <v>88</v>
      </c>
      <c r="D14008" t="s">
        <v>88</v>
      </c>
      <c r="E14008" t="s">
        <v>711</v>
      </c>
      <c r="F14008" t="s">
        <v>88</v>
      </c>
      <c r="G14008" t="s">
        <v>88</v>
      </c>
      <c r="H14008" t="s">
        <v>92</v>
      </c>
    </row>
    <row r="14009" spans="1:8" x14ac:dyDescent="0.25">
      <c r="A14009" t="s">
        <v>393</v>
      </c>
      <c r="B14009" t="s">
        <v>7887</v>
      </c>
      <c r="C14009" t="s">
        <v>88</v>
      </c>
      <c r="D14009" t="s">
        <v>88</v>
      </c>
      <c r="E14009" t="s">
        <v>723</v>
      </c>
      <c r="F14009" t="s">
        <v>88</v>
      </c>
      <c r="G14009" t="s">
        <v>88</v>
      </c>
      <c r="H14009" t="s">
        <v>92</v>
      </c>
    </row>
    <row r="14010" spans="1:8" x14ac:dyDescent="0.25">
      <c r="A14010" t="s">
        <v>393</v>
      </c>
      <c r="B14010" t="s">
        <v>701</v>
      </c>
      <c r="C14010" t="s">
        <v>88</v>
      </c>
      <c r="D14010" t="s">
        <v>88</v>
      </c>
      <c r="E14010" t="s">
        <v>709</v>
      </c>
      <c r="F14010" t="s">
        <v>88</v>
      </c>
      <c r="G14010" t="s">
        <v>88</v>
      </c>
      <c r="H14010" t="s">
        <v>92</v>
      </c>
    </row>
    <row r="14011" spans="1:8" x14ac:dyDescent="0.25">
      <c r="A14011" t="s">
        <v>393</v>
      </c>
      <c r="B14011" t="s">
        <v>705</v>
      </c>
      <c r="C14011" t="s">
        <v>88</v>
      </c>
      <c r="D14011" t="s">
        <v>88</v>
      </c>
      <c r="E14011" t="s">
        <v>709</v>
      </c>
      <c r="F14011" t="s">
        <v>88</v>
      </c>
      <c r="G14011" t="s">
        <v>88</v>
      </c>
      <c r="H14011" t="s">
        <v>92</v>
      </c>
    </row>
    <row r="14012" spans="1:8" x14ac:dyDescent="0.25">
      <c r="A14012" t="s">
        <v>393</v>
      </c>
      <c r="B14012" t="s">
        <v>794</v>
      </c>
      <c r="C14012" t="s">
        <v>88</v>
      </c>
      <c r="D14012" t="s">
        <v>88</v>
      </c>
      <c r="E14012" t="s">
        <v>710</v>
      </c>
      <c r="F14012" t="s">
        <v>88</v>
      </c>
      <c r="G14012" t="s">
        <v>88</v>
      </c>
      <c r="H14012" t="s">
        <v>92</v>
      </c>
    </row>
    <row r="14013" spans="1:8" x14ac:dyDescent="0.25">
      <c r="A14013" t="s">
        <v>393</v>
      </c>
      <c r="B14013" t="s">
        <v>1399</v>
      </c>
      <c r="C14013" t="s">
        <v>88</v>
      </c>
      <c r="D14013" t="s">
        <v>88</v>
      </c>
      <c r="E14013" t="s">
        <v>711</v>
      </c>
      <c r="F14013" t="s">
        <v>88</v>
      </c>
      <c r="G14013" t="s">
        <v>88</v>
      </c>
      <c r="H14013" t="s">
        <v>92</v>
      </c>
    </row>
    <row r="14014" spans="1:8" x14ac:dyDescent="0.25">
      <c r="A14014" t="s">
        <v>393</v>
      </c>
      <c r="B14014" t="s">
        <v>11184</v>
      </c>
      <c r="C14014" t="s">
        <v>88</v>
      </c>
      <c r="D14014" t="s">
        <v>88</v>
      </c>
      <c r="E14014" t="s">
        <v>711</v>
      </c>
      <c r="F14014" t="s">
        <v>88</v>
      </c>
      <c r="G14014" t="s">
        <v>88</v>
      </c>
      <c r="H14014" t="s">
        <v>92</v>
      </c>
    </row>
    <row r="14015" spans="1:8" x14ac:dyDescent="0.25">
      <c r="A14015" t="s">
        <v>393</v>
      </c>
      <c r="B14015" t="s">
        <v>623</v>
      </c>
      <c r="C14015" t="s">
        <v>88</v>
      </c>
      <c r="D14015" t="s">
        <v>88</v>
      </c>
      <c r="E14015" t="s">
        <v>735</v>
      </c>
      <c r="F14015" t="s">
        <v>88</v>
      </c>
      <c r="G14015" t="s">
        <v>88</v>
      </c>
      <c r="H14015" t="s">
        <v>92</v>
      </c>
    </row>
    <row r="14016" spans="1:8" x14ac:dyDescent="0.25">
      <c r="A14016" t="s">
        <v>393</v>
      </c>
      <c r="B14016" t="s">
        <v>851</v>
      </c>
      <c r="C14016" t="s">
        <v>88</v>
      </c>
      <c r="D14016" t="s">
        <v>88</v>
      </c>
      <c r="E14016" t="s">
        <v>959</v>
      </c>
      <c r="F14016" t="s">
        <v>88</v>
      </c>
      <c r="G14016" t="s">
        <v>88</v>
      </c>
      <c r="H14016" t="s">
        <v>92</v>
      </c>
    </row>
    <row r="14017" spans="1:8" x14ac:dyDescent="0.25">
      <c r="A14017" t="s">
        <v>393</v>
      </c>
      <c r="B14017" t="s">
        <v>625</v>
      </c>
      <c r="C14017" t="s">
        <v>88</v>
      </c>
      <c r="D14017" t="s">
        <v>88</v>
      </c>
      <c r="E14017" t="s">
        <v>626</v>
      </c>
      <c r="F14017" t="s">
        <v>88</v>
      </c>
      <c r="G14017" t="s">
        <v>88</v>
      </c>
      <c r="H14017" t="s">
        <v>92</v>
      </c>
    </row>
    <row r="14018" spans="1:8" x14ac:dyDescent="0.25">
      <c r="A14018" t="s">
        <v>395</v>
      </c>
      <c r="B14018" t="s">
        <v>11185</v>
      </c>
      <c r="C14018" t="s">
        <v>88</v>
      </c>
      <c r="D14018" t="s">
        <v>11186</v>
      </c>
      <c r="E14018" t="s">
        <v>721</v>
      </c>
      <c r="F14018" t="s">
        <v>88</v>
      </c>
      <c r="G14018" t="s">
        <v>88</v>
      </c>
      <c r="H14018" t="s">
        <v>92</v>
      </c>
    </row>
    <row r="14019" spans="1:8" x14ac:dyDescent="0.25">
      <c r="A14019" t="s">
        <v>395</v>
      </c>
      <c r="B14019" t="s">
        <v>789</v>
      </c>
      <c r="C14019" t="s">
        <v>88</v>
      </c>
      <c r="D14019" t="s">
        <v>11187</v>
      </c>
      <c r="E14019" t="s">
        <v>2757</v>
      </c>
      <c r="F14019" t="s">
        <v>88</v>
      </c>
      <c r="G14019" t="s">
        <v>88</v>
      </c>
      <c r="H14019" t="s">
        <v>92</v>
      </c>
    </row>
    <row r="14020" spans="1:8" x14ac:dyDescent="0.25">
      <c r="A14020" t="s">
        <v>395</v>
      </c>
      <c r="B14020" t="s">
        <v>11188</v>
      </c>
      <c r="C14020" t="s">
        <v>88</v>
      </c>
      <c r="D14020" t="s">
        <v>11189</v>
      </c>
      <c r="E14020" t="s">
        <v>4085</v>
      </c>
      <c r="F14020" t="s">
        <v>88</v>
      </c>
      <c r="G14020" t="s">
        <v>88</v>
      </c>
      <c r="H14020" t="s">
        <v>92</v>
      </c>
    </row>
    <row r="14021" spans="1:8" x14ac:dyDescent="0.25">
      <c r="A14021" t="s">
        <v>395</v>
      </c>
      <c r="B14021" t="s">
        <v>11190</v>
      </c>
      <c r="C14021" t="s">
        <v>88</v>
      </c>
      <c r="D14021" t="s">
        <v>11191</v>
      </c>
      <c r="E14021" t="s">
        <v>2686</v>
      </c>
      <c r="F14021" t="s">
        <v>88</v>
      </c>
      <c r="G14021" t="s">
        <v>88</v>
      </c>
      <c r="H14021" t="s">
        <v>92</v>
      </c>
    </row>
    <row r="14022" spans="1:8" x14ac:dyDescent="0.25">
      <c r="A14022" t="s">
        <v>395</v>
      </c>
      <c r="B14022" t="s">
        <v>11192</v>
      </c>
      <c r="C14022" t="s">
        <v>88</v>
      </c>
      <c r="D14022" t="s">
        <v>11193</v>
      </c>
      <c r="E14022" t="s">
        <v>655</v>
      </c>
      <c r="F14022" t="s">
        <v>88</v>
      </c>
      <c r="G14022" t="s">
        <v>88</v>
      </c>
      <c r="H14022" t="s">
        <v>92</v>
      </c>
    </row>
    <row r="14023" spans="1:8" x14ac:dyDescent="0.25">
      <c r="A14023" t="s">
        <v>395</v>
      </c>
      <c r="B14023" t="s">
        <v>823</v>
      </c>
      <c r="C14023" t="s">
        <v>88</v>
      </c>
      <c r="D14023" t="s">
        <v>11194</v>
      </c>
      <c r="E14023" t="s">
        <v>676</v>
      </c>
      <c r="F14023" t="s">
        <v>88</v>
      </c>
      <c r="G14023" t="s">
        <v>88</v>
      </c>
      <c r="H14023" t="s">
        <v>92</v>
      </c>
    </row>
    <row r="14024" spans="1:8" x14ac:dyDescent="0.25">
      <c r="A14024" t="s">
        <v>395</v>
      </c>
      <c r="B14024" t="s">
        <v>612</v>
      </c>
      <c r="C14024" t="s">
        <v>88</v>
      </c>
      <c r="D14024" t="s">
        <v>88</v>
      </c>
      <c r="E14024" t="s">
        <v>1978</v>
      </c>
      <c r="F14024" t="s">
        <v>88</v>
      </c>
      <c r="G14024" t="s">
        <v>88</v>
      </c>
      <c r="H14024" t="s">
        <v>92</v>
      </c>
    </row>
    <row r="14025" spans="1:8" x14ac:dyDescent="0.25">
      <c r="A14025" t="s">
        <v>395</v>
      </c>
      <c r="B14025" t="s">
        <v>846</v>
      </c>
      <c r="C14025" t="s">
        <v>88</v>
      </c>
      <c r="D14025" t="s">
        <v>88</v>
      </c>
      <c r="E14025" t="s">
        <v>3241</v>
      </c>
      <c r="F14025" t="s">
        <v>88</v>
      </c>
      <c r="G14025" t="s">
        <v>88</v>
      </c>
      <c r="H14025" t="s">
        <v>92</v>
      </c>
    </row>
    <row r="14026" spans="1:8" x14ac:dyDescent="0.25">
      <c r="A14026" t="s">
        <v>395</v>
      </c>
      <c r="B14026" t="s">
        <v>618</v>
      </c>
      <c r="C14026" t="s">
        <v>88</v>
      </c>
      <c r="D14026" t="s">
        <v>88</v>
      </c>
      <c r="E14026" t="s">
        <v>711</v>
      </c>
      <c r="F14026" t="s">
        <v>88</v>
      </c>
      <c r="G14026" t="s">
        <v>88</v>
      </c>
      <c r="H14026" t="s">
        <v>92</v>
      </c>
    </row>
    <row r="14027" spans="1:8" x14ac:dyDescent="0.25">
      <c r="A14027" t="s">
        <v>395</v>
      </c>
      <c r="B14027" t="s">
        <v>623</v>
      </c>
      <c r="C14027" t="s">
        <v>88</v>
      </c>
      <c r="D14027" t="s">
        <v>88</v>
      </c>
      <c r="E14027" t="s">
        <v>849</v>
      </c>
      <c r="F14027" t="s">
        <v>88</v>
      </c>
      <c r="G14027" t="s">
        <v>88</v>
      </c>
      <c r="H14027" t="s">
        <v>92</v>
      </c>
    </row>
    <row r="14028" spans="1:8" x14ac:dyDescent="0.25">
      <c r="A14028" t="s">
        <v>395</v>
      </c>
      <c r="B14028" t="s">
        <v>851</v>
      </c>
      <c r="C14028" t="s">
        <v>88</v>
      </c>
      <c r="D14028" t="s">
        <v>88</v>
      </c>
      <c r="E14028" t="s">
        <v>2757</v>
      </c>
      <c r="F14028" t="s">
        <v>88</v>
      </c>
      <c r="G14028" t="s">
        <v>88</v>
      </c>
      <c r="H14028" t="s">
        <v>92</v>
      </c>
    </row>
    <row r="14029" spans="1:8" x14ac:dyDescent="0.25">
      <c r="A14029" t="s">
        <v>395</v>
      </c>
      <c r="B14029" t="s">
        <v>625</v>
      </c>
      <c r="C14029" t="s">
        <v>88</v>
      </c>
      <c r="D14029" t="s">
        <v>88</v>
      </c>
      <c r="E14029" t="s">
        <v>626</v>
      </c>
      <c r="F14029" t="s">
        <v>88</v>
      </c>
      <c r="G14029" t="s">
        <v>88</v>
      </c>
      <c r="H14029" t="s">
        <v>92</v>
      </c>
    </row>
    <row r="14030" spans="1:8" x14ac:dyDescent="0.25">
      <c r="A14030" t="s">
        <v>396</v>
      </c>
      <c r="B14030" t="s">
        <v>11195</v>
      </c>
      <c r="C14030" t="s">
        <v>88</v>
      </c>
      <c r="D14030" t="s">
        <v>11196</v>
      </c>
      <c r="E14030" t="s">
        <v>889</v>
      </c>
      <c r="F14030" t="s">
        <v>88</v>
      </c>
      <c r="G14030" t="s">
        <v>88</v>
      </c>
      <c r="H14030" t="s">
        <v>92</v>
      </c>
    </row>
    <row r="14031" spans="1:8" x14ac:dyDescent="0.25">
      <c r="A14031" t="s">
        <v>396</v>
      </c>
      <c r="B14031" t="s">
        <v>11197</v>
      </c>
      <c r="C14031" t="s">
        <v>88</v>
      </c>
      <c r="D14031" t="s">
        <v>11198</v>
      </c>
      <c r="E14031" t="s">
        <v>738</v>
      </c>
      <c r="F14031" t="s">
        <v>88</v>
      </c>
      <c r="G14031" t="s">
        <v>88</v>
      </c>
      <c r="H14031" t="s">
        <v>92</v>
      </c>
    </row>
    <row r="14032" spans="1:8" x14ac:dyDescent="0.25">
      <c r="A14032" t="s">
        <v>396</v>
      </c>
      <c r="B14032" t="s">
        <v>11199</v>
      </c>
      <c r="C14032" t="s">
        <v>88</v>
      </c>
      <c r="D14032" t="s">
        <v>88</v>
      </c>
      <c r="E14032" t="s">
        <v>713</v>
      </c>
      <c r="F14032" t="s">
        <v>88</v>
      </c>
      <c r="G14032" t="s">
        <v>88</v>
      </c>
      <c r="H14032" t="s">
        <v>92</v>
      </c>
    </row>
    <row r="14033" spans="1:8" x14ac:dyDescent="0.25">
      <c r="A14033" t="s">
        <v>396</v>
      </c>
      <c r="B14033" t="s">
        <v>11200</v>
      </c>
      <c r="C14033" t="s">
        <v>88</v>
      </c>
      <c r="D14033" t="s">
        <v>11201</v>
      </c>
      <c r="E14033" t="s">
        <v>791</v>
      </c>
      <c r="F14033" t="s">
        <v>88</v>
      </c>
      <c r="G14033" t="s">
        <v>88</v>
      </c>
      <c r="H14033" t="s">
        <v>92</v>
      </c>
    </row>
    <row r="14034" spans="1:8" x14ac:dyDescent="0.25">
      <c r="A14034" t="s">
        <v>396</v>
      </c>
      <c r="B14034" t="s">
        <v>11202</v>
      </c>
      <c r="C14034" t="s">
        <v>88</v>
      </c>
      <c r="D14034" t="s">
        <v>11201</v>
      </c>
      <c r="E14034" t="s">
        <v>715</v>
      </c>
      <c r="F14034" t="s">
        <v>88</v>
      </c>
      <c r="G14034" t="s">
        <v>88</v>
      </c>
      <c r="H14034" t="s">
        <v>92</v>
      </c>
    </row>
    <row r="14035" spans="1:8" x14ac:dyDescent="0.25">
      <c r="A14035" t="s">
        <v>396</v>
      </c>
      <c r="B14035" t="s">
        <v>11203</v>
      </c>
      <c r="C14035" t="s">
        <v>88</v>
      </c>
      <c r="D14035" t="s">
        <v>11204</v>
      </c>
      <c r="E14035" t="s">
        <v>1839</v>
      </c>
      <c r="F14035" t="s">
        <v>88</v>
      </c>
      <c r="G14035" t="s">
        <v>88</v>
      </c>
      <c r="H14035" t="s">
        <v>92</v>
      </c>
    </row>
    <row r="14036" spans="1:8" x14ac:dyDescent="0.25">
      <c r="A14036" t="s">
        <v>396</v>
      </c>
      <c r="B14036" t="s">
        <v>11205</v>
      </c>
      <c r="C14036" t="s">
        <v>88</v>
      </c>
      <c r="D14036" t="s">
        <v>11206</v>
      </c>
      <c r="E14036" t="s">
        <v>11207</v>
      </c>
      <c r="F14036" t="s">
        <v>88</v>
      </c>
      <c r="G14036" t="s">
        <v>88</v>
      </c>
      <c r="H14036" t="s">
        <v>92</v>
      </c>
    </row>
    <row r="14037" spans="1:8" x14ac:dyDescent="0.25">
      <c r="A14037" t="s">
        <v>396</v>
      </c>
      <c r="B14037" t="s">
        <v>11208</v>
      </c>
      <c r="C14037" t="s">
        <v>88</v>
      </c>
      <c r="D14037" t="s">
        <v>11209</v>
      </c>
      <c r="E14037" t="s">
        <v>2166</v>
      </c>
      <c r="F14037" t="s">
        <v>88</v>
      </c>
      <c r="G14037" t="s">
        <v>88</v>
      </c>
      <c r="H14037" t="s">
        <v>92</v>
      </c>
    </row>
    <row r="14038" spans="1:8" x14ac:dyDescent="0.25">
      <c r="A14038" t="s">
        <v>396</v>
      </c>
      <c r="B14038" t="s">
        <v>11200</v>
      </c>
      <c r="C14038" t="s">
        <v>88</v>
      </c>
      <c r="D14038" t="s">
        <v>11201</v>
      </c>
      <c r="E14038" t="s">
        <v>791</v>
      </c>
      <c r="F14038" t="s">
        <v>88</v>
      </c>
      <c r="G14038" t="s">
        <v>88</v>
      </c>
      <c r="H14038" t="s">
        <v>92</v>
      </c>
    </row>
    <row r="14039" spans="1:8" x14ac:dyDescent="0.25">
      <c r="A14039" t="s">
        <v>396</v>
      </c>
      <c r="B14039" t="s">
        <v>11197</v>
      </c>
      <c r="C14039" t="s">
        <v>88</v>
      </c>
      <c r="D14039" t="s">
        <v>11198</v>
      </c>
      <c r="E14039" t="s">
        <v>738</v>
      </c>
      <c r="F14039" t="s">
        <v>88</v>
      </c>
      <c r="G14039" t="s">
        <v>88</v>
      </c>
      <c r="H14039" t="s">
        <v>92</v>
      </c>
    </row>
    <row r="14040" spans="1:8" x14ac:dyDescent="0.25">
      <c r="A14040" t="s">
        <v>396</v>
      </c>
      <c r="B14040" t="s">
        <v>11210</v>
      </c>
      <c r="C14040" t="s">
        <v>88</v>
      </c>
      <c r="D14040" t="s">
        <v>11211</v>
      </c>
      <c r="E14040" t="s">
        <v>1221</v>
      </c>
      <c r="F14040" t="s">
        <v>88</v>
      </c>
      <c r="G14040" t="s">
        <v>88</v>
      </c>
      <c r="H14040" t="s">
        <v>92</v>
      </c>
    </row>
    <row r="14041" spans="1:8" x14ac:dyDescent="0.25">
      <c r="A14041" t="s">
        <v>396</v>
      </c>
      <c r="B14041" t="s">
        <v>11212</v>
      </c>
      <c r="C14041" t="s">
        <v>88</v>
      </c>
      <c r="D14041" t="s">
        <v>11211</v>
      </c>
      <c r="E14041" t="s">
        <v>692</v>
      </c>
      <c r="F14041" t="s">
        <v>88</v>
      </c>
      <c r="G14041" t="s">
        <v>88</v>
      </c>
      <c r="H14041" t="s">
        <v>92</v>
      </c>
    </row>
    <row r="14042" spans="1:8" x14ac:dyDescent="0.25">
      <c r="A14042" t="s">
        <v>396</v>
      </c>
      <c r="B14042" t="s">
        <v>11202</v>
      </c>
      <c r="C14042" t="s">
        <v>88</v>
      </c>
      <c r="D14042" t="s">
        <v>11201</v>
      </c>
      <c r="E14042" t="s">
        <v>715</v>
      </c>
      <c r="F14042" t="s">
        <v>88</v>
      </c>
      <c r="G14042" t="s">
        <v>88</v>
      </c>
      <c r="H14042" t="s">
        <v>92</v>
      </c>
    </row>
    <row r="14043" spans="1:8" x14ac:dyDescent="0.25">
      <c r="A14043" t="s">
        <v>396</v>
      </c>
      <c r="B14043" t="s">
        <v>11213</v>
      </c>
      <c r="C14043" t="s">
        <v>88</v>
      </c>
      <c r="D14043" t="s">
        <v>11196</v>
      </c>
      <c r="E14043" t="s">
        <v>723</v>
      </c>
      <c r="F14043" t="s">
        <v>88</v>
      </c>
      <c r="G14043" t="s">
        <v>88</v>
      </c>
      <c r="H14043" t="s">
        <v>92</v>
      </c>
    </row>
    <row r="14044" spans="1:8" x14ac:dyDescent="0.25">
      <c r="A14044" t="s">
        <v>396</v>
      </c>
      <c r="B14044" t="s">
        <v>11195</v>
      </c>
      <c r="C14044" t="s">
        <v>88</v>
      </c>
      <c r="D14044" t="s">
        <v>11196</v>
      </c>
      <c r="E14044" t="s">
        <v>889</v>
      </c>
      <c r="F14044" t="s">
        <v>88</v>
      </c>
      <c r="G14044" t="s">
        <v>88</v>
      </c>
      <c r="H14044" t="s">
        <v>92</v>
      </c>
    </row>
    <row r="14045" spans="1:8" x14ac:dyDescent="0.25">
      <c r="A14045" t="s">
        <v>396</v>
      </c>
      <c r="B14045" t="s">
        <v>11214</v>
      </c>
      <c r="C14045" t="s">
        <v>88</v>
      </c>
      <c r="D14045" t="s">
        <v>11196</v>
      </c>
      <c r="E14045" t="s">
        <v>841</v>
      </c>
      <c r="F14045" t="s">
        <v>88</v>
      </c>
      <c r="G14045" t="s">
        <v>88</v>
      </c>
      <c r="H14045" t="s">
        <v>92</v>
      </c>
    </row>
    <row r="14046" spans="1:8" x14ac:dyDescent="0.25">
      <c r="A14046" t="s">
        <v>396</v>
      </c>
      <c r="B14046" t="s">
        <v>11199</v>
      </c>
      <c r="C14046" t="s">
        <v>88</v>
      </c>
      <c r="D14046" t="s">
        <v>88</v>
      </c>
      <c r="E14046" t="s">
        <v>713</v>
      </c>
      <c r="F14046" t="s">
        <v>88</v>
      </c>
      <c r="G14046" t="s">
        <v>88</v>
      </c>
      <c r="H14046" t="s">
        <v>92</v>
      </c>
    </row>
    <row r="14047" spans="1:8" x14ac:dyDescent="0.25">
      <c r="A14047" t="s">
        <v>396</v>
      </c>
      <c r="B14047" t="s">
        <v>7887</v>
      </c>
      <c r="C14047" t="s">
        <v>88</v>
      </c>
      <c r="D14047" t="s">
        <v>88</v>
      </c>
      <c r="E14047" t="s">
        <v>1221</v>
      </c>
      <c r="F14047" t="s">
        <v>88</v>
      </c>
      <c r="G14047" t="s">
        <v>88</v>
      </c>
      <c r="H14047" t="s">
        <v>92</v>
      </c>
    </row>
    <row r="14048" spans="1:8" x14ac:dyDescent="0.25">
      <c r="A14048" t="s">
        <v>396</v>
      </c>
      <c r="B14048" t="s">
        <v>11215</v>
      </c>
      <c r="C14048" t="s">
        <v>88</v>
      </c>
      <c r="D14048" t="s">
        <v>88</v>
      </c>
      <c r="E14048" t="s">
        <v>738</v>
      </c>
      <c r="F14048" t="s">
        <v>88</v>
      </c>
      <c r="G14048" t="s">
        <v>88</v>
      </c>
      <c r="H14048" t="s">
        <v>92</v>
      </c>
    </row>
    <row r="14049" spans="1:8" x14ac:dyDescent="0.25">
      <c r="A14049" t="s">
        <v>396</v>
      </c>
      <c r="B14049" t="s">
        <v>3943</v>
      </c>
      <c r="C14049" t="s">
        <v>88</v>
      </c>
      <c r="D14049" t="s">
        <v>88</v>
      </c>
      <c r="E14049" t="s">
        <v>715</v>
      </c>
      <c r="F14049" t="s">
        <v>88</v>
      </c>
      <c r="G14049" t="s">
        <v>88</v>
      </c>
      <c r="H14049" t="s">
        <v>92</v>
      </c>
    </row>
    <row r="14050" spans="1:8" x14ac:dyDescent="0.25">
      <c r="A14050" t="s">
        <v>396</v>
      </c>
      <c r="B14050" t="s">
        <v>701</v>
      </c>
      <c r="C14050" t="s">
        <v>88</v>
      </c>
      <c r="D14050" t="s">
        <v>88</v>
      </c>
      <c r="E14050" t="s">
        <v>734</v>
      </c>
      <c r="F14050" t="s">
        <v>88</v>
      </c>
      <c r="G14050" t="s">
        <v>88</v>
      </c>
      <c r="H14050" t="s">
        <v>92</v>
      </c>
    </row>
    <row r="14051" spans="1:8" x14ac:dyDescent="0.25">
      <c r="A14051" t="s">
        <v>396</v>
      </c>
      <c r="B14051" t="s">
        <v>1815</v>
      </c>
      <c r="C14051" t="s">
        <v>88</v>
      </c>
      <c r="D14051" t="s">
        <v>88</v>
      </c>
      <c r="E14051" t="s">
        <v>710</v>
      </c>
      <c r="F14051" t="s">
        <v>88</v>
      </c>
      <c r="G14051" t="s">
        <v>88</v>
      </c>
      <c r="H14051" t="s">
        <v>92</v>
      </c>
    </row>
    <row r="14052" spans="1:8" x14ac:dyDescent="0.25">
      <c r="A14052" t="s">
        <v>396</v>
      </c>
      <c r="B14052" t="s">
        <v>1816</v>
      </c>
      <c r="C14052" t="s">
        <v>88</v>
      </c>
      <c r="D14052" t="s">
        <v>88</v>
      </c>
      <c r="E14052" t="s">
        <v>710</v>
      </c>
      <c r="F14052" t="s">
        <v>88</v>
      </c>
      <c r="G14052" t="s">
        <v>88</v>
      </c>
      <c r="H14052" t="s">
        <v>92</v>
      </c>
    </row>
    <row r="14053" spans="1:8" x14ac:dyDescent="0.25">
      <c r="A14053" t="s">
        <v>396</v>
      </c>
      <c r="B14053" t="s">
        <v>846</v>
      </c>
      <c r="C14053" t="s">
        <v>88</v>
      </c>
      <c r="D14053" t="s">
        <v>88</v>
      </c>
      <c r="E14053" t="s">
        <v>848</v>
      </c>
      <c r="F14053" t="s">
        <v>88</v>
      </c>
      <c r="G14053" t="s">
        <v>88</v>
      </c>
      <c r="H14053" t="s">
        <v>92</v>
      </c>
    </row>
    <row r="14054" spans="1:8" x14ac:dyDescent="0.25">
      <c r="A14054" t="s">
        <v>396</v>
      </c>
      <c r="B14054" t="s">
        <v>6732</v>
      </c>
      <c r="C14054" t="s">
        <v>88</v>
      </c>
      <c r="D14054" t="s">
        <v>88</v>
      </c>
      <c r="E14054" t="s">
        <v>711</v>
      </c>
      <c r="F14054" t="s">
        <v>88</v>
      </c>
      <c r="G14054" t="s">
        <v>88</v>
      </c>
      <c r="H14054" t="s">
        <v>92</v>
      </c>
    </row>
    <row r="14055" spans="1:8" x14ac:dyDescent="0.25">
      <c r="A14055" t="s">
        <v>396</v>
      </c>
      <c r="B14055" t="s">
        <v>797</v>
      </c>
      <c r="C14055" t="s">
        <v>88</v>
      </c>
      <c r="D14055" t="s">
        <v>88</v>
      </c>
      <c r="E14055" t="s">
        <v>711</v>
      </c>
      <c r="F14055" t="s">
        <v>88</v>
      </c>
      <c r="G14055" t="s">
        <v>88</v>
      </c>
      <c r="H14055" t="s">
        <v>92</v>
      </c>
    </row>
    <row r="14056" spans="1:8" x14ac:dyDescent="0.25">
      <c r="A14056" t="s">
        <v>396</v>
      </c>
      <c r="B14056" t="s">
        <v>622</v>
      </c>
      <c r="C14056" t="s">
        <v>88</v>
      </c>
      <c r="D14056" t="s">
        <v>88</v>
      </c>
      <c r="E14056" t="s">
        <v>713</v>
      </c>
      <c r="F14056" t="s">
        <v>88</v>
      </c>
      <c r="G14056" t="s">
        <v>88</v>
      </c>
      <c r="H14056" t="s">
        <v>92</v>
      </c>
    </row>
    <row r="14057" spans="1:8" x14ac:dyDescent="0.25">
      <c r="A14057" t="s">
        <v>396</v>
      </c>
      <c r="B14057" t="s">
        <v>623</v>
      </c>
      <c r="C14057" t="s">
        <v>88</v>
      </c>
      <c r="D14057" t="s">
        <v>88</v>
      </c>
      <c r="E14057" t="s">
        <v>735</v>
      </c>
      <c r="F14057" t="s">
        <v>88</v>
      </c>
      <c r="G14057" t="s">
        <v>88</v>
      </c>
      <c r="H14057" t="s">
        <v>92</v>
      </c>
    </row>
    <row r="14058" spans="1:8" x14ac:dyDescent="0.25">
      <c r="A14058" t="s">
        <v>396</v>
      </c>
      <c r="B14058" t="s">
        <v>714</v>
      </c>
      <c r="C14058" t="s">
        <v>88</v>
      </c>
      <c r="D14058" t="s">
        <v>88</v>
      </c>
      <c r="E14058" t="s">
        <v>799</v>
      </c>
      <c r="F14058" t="s">
        <v>88</v>
      </c>
      <c r="G14058" t="s">
        <v>88</v>
      </c>
      <c r="H14058" t="s">
        <v>92</v>
      </c>
    </row>
    <row r="14059" spans="1:8" x14ac:dyDescent="0.25">
      <c r="A14059" t="s">
        <v>396</v>
      </c>
      <c r="B14059" t="s">
        <v>998</v>
      </c>
      <c r="C14059" t="s">
        <v>88</v>
      </c>
      <c r="D14059" t="s">
        <v>88</v>
      </c>
      <c r="E14059" t="s">
        <v>799</v>
      </c>
      <c r="F14059" t="s">
        <v>88</v>
      </c>
      <c r="G14059" t="s">
        <v>88</v>
      </c>
      <c r="H14059" t="s">
        <v>92</v>
      </c>
    </row>
    <row r="14060" spans="1:8" x14ac:dyDescent="0.25">
      <c r="A14060" t="s">
        <v>396</v>
      </c>
      <c r="B14060" t="s">
        <v>798</v>
      </c>
      <c r="C14060" t="s">
        <v>88</v>
      </c>
      <c r="D14060" t="s">
        <v>88</v>
      </c>
      <c r="E14060" t="s">
        <v>799</v>
      </c>
      <c r="F14060" t="s">
        <v>88</v>
      </c>
      <c r="G14060" t="s">
        <v>88</v>
      </c>
      <c r="H14060" t="s">
        <v>92</v>
      </c>
    </row>
    <row r="14061" spans="1:8" x14ac:dyDescent="0.25">
      <c r="A14061" t="s">
        <v>396</v>
      </c>
      <c r="B14061" t="s">
        <v>851</v>
      </c>
      <c r="C14061" t="s">
        <v>88</v>
      </c>
      <c r="D14061" t="s">
        <v>88</v>
      </c>
      <c r="E14061" t="s">
        <v>791</v>
      </c>
      <c r="F14061" t="s">
        <v>88</v>
      </c>
      <c r="G14061" t="s">
        <v>88</v>
      </c>
      <c r="H14061" t="s">
        <v>92</v>
      </c>
    </row>
    <row r="14062" spans="1:8" x14ac:dyDescent="0.25">
      <c r="A14062" t="s">
        <v>396</v>
      </c>
      <c r="B14062" t="s">
        <v>11216</v>
      </c>
      <c r="C14062" t="s">
        <v>88</v>
      </c>
      <c r="D14062" t="s">
        <v>88</v>
      </c>
      <c r="E14062" t="s">
        <v>791</v>
      </c>
      <c r="F14062" t="s">
        <v>88</v>
      </c>
      <c r="G14062" t="s">
        <v>88</v>
      </c>
      <c r="H14062" t="s">
        <v>92</v>
      </c>
    </row>
    <row r="14063" spans="1:8" x14ac:dyDescent="0.25">
      <c r="A14063" t="s">
        <v>396</v>
      </c>
      <c r="B14063" t="s">
        <v>7414</v>
      </c>
      <c r="C14063" t="s">
        <v>88</v>
      </c>
      <c r="D14063" t="s">
        <v>88</v>
      </c>
      <c r="E14063" t="s">
        <v>844</v>
      </c>
      <c r="F14063" t="s">
        <v>88</v>
      </c>
      <c r="G14063" t="s">
        <v>88</v>
      </c>
      <c r="H14063" t="s">
        <v>92</v>
      </c>
    </row>
    <row r="14064" spans="1:8" x14ac:dyDescent="0.25">
      <c r="A14064" t="s">
        <v>396</v>
      </c>
      <c r="B14064" t="s">
        <v>625</v>
      </c>
      <c r="C14064" t="s">
        <v>88</v>
      </c>
      <c r="D14064" t="s">
        <v>88</v>
      </c>
      <c r="E14064" t="s">
        <v>626</v>
      </c>
      <c r="F14064" t="s">
        <v>88</v>
      </c>
      <c r="G14064" t="s">
        <v>88</v>
      </c>
      <c r="H14064" t="s">
        <v>92</v>
      </c>
    </row>
    <row r="14065" spans="1:8" x14ac:dyDescent="0.25">
      <c r="A14065" t="s">
        <v>397</v>
      </c>
      <c r="B14065" t="s">
        <v>972</v>
      </c>
      <c r="C14065" t="s">
        <v>88</v>
      </c>
      <c r="D14065" t="s">
        <v>11217</v>
      </c>
      <c r="E14065" t="s">
        <v>937</v>
      </c>
      <c r="F14065" t="s">
        <v>88</v>
      </c>
      <c r="G14065" t="s">
        <v>88</v>
      </c>
      <c r="H14065" t="s">
        <v>92</v>
      </c>
    </row>
    <row r="14066" spans="1:8" x14ac:dyDescent="0.25">
      <c r="A14066" t="s">
        <v>397</v>
      </c>
      <c r="B14066" t="s">
        <v>789</v>
      </c>
      <c r="C14066" t="s">
        <v>88</v>
      </c>
      <c r="D14066" t="s">
        <v>11217</v>
      </c>
      <c r="E14066" t="s">
        <v>715</v>
      </c>
      <c r="F14066" t="s">
        <v>88</v>
      </c>
      <c r="G14066" t="s">
        <v>88</v>
      </c>
      <c r="H14066" t="s">
        <v>92</v>
      </c>
    </row>
    <row r="14067" spans="1:8" x14ac:dyDescent="0.25">
      <c r="A14067" t="s">
        <v>397</v>
      </c>
      <c r="B14067" t="s">
        <v>11218</v>
      </c>
      <c r="C14067" t="s">
        <v>88</v>
      </c>
      <c r="D14067" t="s">
        <v>11219</v>
      </c>
      <c r="E14067" t="s">
        <v>679</v>
      </c>
      <c r="F14067" t="s">
        <v>88</v>
      </c>
      <c r="G14067" t="s">
        <v>88</v>
      </c>
      <c r="H14067" t="s">
        <v>92</v>
      </c>
    </row>
    <row r="14068" spans="1:8" x14ac:dyDescent="0.25">
      <c r="A14068" t="s">
        <v>397</v>
      </c>
      <c r="B14068" t="s">
        <v>11220</v>
      </c>
      <c r="C14068" t="s">
        <v>88</v>
      </c>
      <c r="D14068" t="s">
        <v>11221</v>
      </c>
      <c r="E14068" t="s">
        <v>663</v>
      </c>
      <c r="F14068" t="s">
        <v>88</v>
      </c>
      <c r="G14068" t="s">
        <v>88</v>
      </c>
      <c r="H14068" t="s">
        <v>92</v>
      </c>
    </row>
    <row r="14069" spans="1:8" x14ac:dyDescent="0.25">
      <c r="A14069" t="s">
        <v>397</v>
      </c>
      <c r="B14069" t="s">
        <v>11222</v>
      </c>
      <c r="C14069" t="s">
        <v>88</v>
      </c>
      <c r="D14069" t="s">
        <v>11223</v>
      </c>
      <c r="E14069" t="s">
        <v>658</v>
      </c>
      <c r="F14069" t="s">
        <v>88</v>
      </c>
      <c r="G14069" t="s">
        <v>88</v>
      </c>
      <c r="H14069" t="s">
        <v>92</v>
      </c>
    </row>
    <row r="14070" spans="1:8" x14ac:dyDescent="0.25">
      <c r="A14070" t="s">
        <v>397</v>
      </c>
      <c r="B14070" t="s">
        <v>11224</v>
      </c>
      <c r="C14070" t="s">
        <v>88</v>
      </c>
      <c r="D14070" t="s">
        <v>11225</v>
      </c>
      <c r="E14070" t="s">
        <v>663</v>
      </c>
      <c r="F14070" t="s">
        <v>88</v>
      </c>
      <c r="G14070" t="s">
        <v>88</v>
      </c>
      <c r="H14070" t="s">
        <v>92</v>
      </c>
    </row>
    <row r="14071" spans="1:8" x14ac:dyDescent="0.25">
      <c r="A14071" t="s">
        <v>397</v>
      </c>
      <c r="B14071" t="s">
        <v>789</v>
      </c>
      <c r="C14071" t="s">
        <v>88</v>
      </c>
      <c r="D14071" t="s">
        <v>11217</v>
      </c>
      <c r="E14071" t="s">
        <v>715</v>
      </c>
      <c r="F14071" t="s">
        <v>88</v>
      </c>
      <c r="G14071" t="s">
        <v>88</v>
      </c>
      <c r="H14071" t="s">
        <v>92</v>
      </c>
    </row>
    <row r="14072" spans="1:8" x14ac:dyDescent="0.25">
      <c r="A14072" t="s">
        <v>397</v>
      </c>
      <c r="B14072" t="s">
        <v>972</v>
      </c>
      <c r="C14072" t="s">
        <v>88</v>
      </c>
      <c r="D14072" t="s">
        <v>11217</v>
      </c>
      <c r="E14072" t="s">
        <v>937</v>
      </c>
      <c r="F14072" t="s">
        <v>88</v>
      </c>
      <c r="G14072" t="s">
        <v>88</v>
      </c>
      <c r="H14072" t="s">
        <v>92</v>
      </c>
    </row>
    <row r="14073" spans="1:8" x14ac:dyDescent="0.25">
      <c r="A14073" t="s">
        <v>397</v>
      </c>
      <c r="B14073" t="s">
        <v>4368</v>
      </c>
      <c r="C14073" t="s">
        <v>88</v>
      </c>
      <c r="D14073" t="s">
        <v>11226</v>
      </c>
      <c r="E14073" t="s">
        <v>673</v>
      </c>
      <c r="F14073" t="s">
        <v>88</v>
      </c>
      <c r="G14073" t="s">
        <v>88</v>
      </c>
      <c r="H14073" t="s">
        <v>92</v>
      </c>
    </row>
    <row r="14074" spans="1:8" x14ac:dyDescent="0.25">
      <c r="A14074" t="s">
        <v>397</v>
      </c>
      <c r="B14074" t="s">
        <v>11227</v>
      </c>
      <c r="C14074" t="s">
        <v>88</v>
      </c>
      <c r="D14074" t="s">
        <v>11228</v>
      </c>
      <c r="E14074" t="s">
        <v>676</v>
      </c>
      <c r="F14074" t="s">
        <v>88</v>
      </c>
      <c r="G14074" t="s">
        <v>88</v>
      </c>
      <c r="H14074" t="s">
        <v>92</v>
      </c>
    </row>
    <row r="14075" spans="1:8" x14ac:dyDescent="0.25">
      <c r="A14075" t="s">
        <v>397</v>
      </c>
      <c r="B14075" t="s">
        <v>11229</v>
      </c>
      <c r="C14075" t="s">
        <v>88</v>
      </c>
      <c r="D14075" t="s">
        <v>11230</v>
      </c>
      <c r="E14075" t="s">
        <v>3663</v>
      </c>
      <c r="F14075" t="s">
        <v>88</v>
      </c>
      <c r="G14075" t="s">
        <v>88</v>
      </c>
      <c r="H14075" t="s">
        <v>92</v>
      </c>
    </row>
    <row r="14076" spans="1:8" x14ac:dyDescent="0.25">
      <c r="A14076" t="s">
        <v>397</v>
      </c>
      <c r="B14076" t="s">
        <v>823</v>
      </c>
      <c r="C14076" t="s">
        <v>88</v>
      </c>
      <c r="D14076" t="s">
        <v>11231</v>
      </c>
      <c r="E14076" t="s">
        <v>2490</v>
      </c>
      <c r="F14076" t="s">
        <v>88</v>
      </c>
      <c r="G14076" t="s">
        <v>88</v>
      </c>
      <c r="H14076" t="s">
        <v>92</v>
      </c>
    </row>
    <row r="14077" spans="1:8" x14ac:dyDescent="0.25">
      <c r="A14077" t="s">
        <v>397</v>
      </c>
      <c r="B14077" t="s">
        <v>5046</v>
      </c>
      <c r="C14077" t="s">
        <v>88</v>
      </c>
      <c r="D14077" t="s">
        <v>88</v>
      </c>
      <c r="E14077" t="s">
        <v>709</v>
      </c>
      <c r="F14077" t="s">
        <v>88</v>
      </c>
      <c r="G14077" t="s">
        <v>88</v>
      </c>
      <c r="H14077" t="s">
        <v>92</v>
      </c>
    </row>
    <row r="14078" spans="1:8" x14ac:dyDescent="0.25">
      <c r="A14078" t="s">
        <v>397</v>
      </c>
      <c r="B14078" t="s">
        <v>11232</v>
      </c>
      <c r="C14078" t="s">
        <v>88</v>
      </c>
      <c r="D14078" t="s">
        <v>88</v>
      </c>
      <c r="E14078" t="s">
        <v>709</v>
      </c>
      <c r="F14078" t="s">
        <v>88</v>
      </c>
      <c r="G14078" t="s">
        <v>88</v>
      </c>
      <c r="H14078" t="s">
        <v>92</v>
      </c>
    </row>
    <row r="14079" spans="1:8" x14ac:dyDescent="0.25">
      <c r="A14079" t="s">
        <v>397</v>
      </c>
      <c r="B14079" t="s">
        <v>7840</v>
      </c>
      <c r="C14079" t="s">
        <v>88</v>
      </c>
      <c r="D14079" t="s">
        <v>88</v>
      </c>
      <c r="E14079" t="s">
        <v>709</v>
      </c>
      <c r="F14079" t="s">
        <v>88</v>
      </c>
      <c r="G14079" t="s">
        <v>88</v>
      </c>
      <c r="H14079" t="s">
        <v>92</v>
      </c>
    </row>
    <row r="14080" spans="1:8" x14ac:dyDescent="0.25">
      <c r="A14080" t="s">
        <v>397</v>
      </c>
      <c r="B14080" t="s">
        <v>1043</v>
      </c>
      <c r="C14080" t="s">
        <v>88</v>
      </c>
      <c r="D14080" t="s">
        <v>88</v>
      </c>
      <c r="E14080" t="s">
        <v>791</v>
      </c>
      <c r="F14080" t="s">
        <v>88</v>
      </c>
      <c r="G14080" t="s">
        <v>88</v>
      </c>
      <c r="H14080" t="s">
        <v>92</v>
      </c>
    </row>
    <row r="14081" spans="1:8" x14ac:dyDescent="0.25">
      <c r="A14081" t="s">
        <v>397</v>
      </c>
      <c r="B14081" t="s">
        <v>11233</v>
      </c>
      <c r="C14081" t="s">
        <v>88</v>
      </c>
      <c r="D14081" t="s">
        <v>88</v>
      </c>
      <c r="E14081" t="s">
        <v>780</v>
      </c>
      <c r="F14081" t="s">
        <v>88</v>
      </c>
      <c r="G14081" t="s">
        <v>88</v>
      </c>
      <c r="H14081" t="s">
        <v>92</v>
      </c>
    </row>
    <row r="14082" spans="1:8" x14ac:dyDescent="0.25">
      <c r="A14082" t="s">
        <v>397</v>
      </c>
      <c r="B14082" t="s">
        <v>11234</v>
      </c>
      <c r="C14082" t="s">
        <v>88</v>
      </c>
      <c r="D14082" t="s">
        <v>88</v>
      </c>
      <c r="E14082" t="s">
        <v>663</v>
      </c>
      <c r="F14082" t="s">
        <v>88</v>
      </c>
      <c r="G14082" t="s">
        <v>88</v>
      </c>
      <c r="H14082" t="s">
        <v>92</v>
      </c>
    </row>
    <row r="14083" spans="1:8" x14ac:dyDescent="0.25">
      <c r="A14083" t="s">
        <v>397</v>
      </c>
      <c r="B14083" t="s">
        <v>11235</v>
      </c>
      <c r="C14083" t="s">
        <v>88</v>
      </c>
      <c r="D14083" t="s">
        <v>88</v>
      </c>
      <c r="E14083" t="s">
        <v>1153</v>
      </c>
      <c r="F14083" t="s">
        <v>88</v>
      </c>
      <c r="G14083" t="s">
        <v>88</v>
      </c>
      <c r="H14083" t="s">
        <v>92</v>
      </c>
    </row>
    <row r="14084" spans="1:8" x14ac:dyDescent="0.25">
      <c r="A14084" t="s">
        <v>397</v>
      </c>
      <c r="B14084" t="s">
        <v>705</v>
      </c>
      <c r="C14084" t="s">
        <v>88</v>
      </c>
      <c r="D14084" t="s">
        <v>88</v>
      </c>
      <c r="E14084" t="s">
        <v>709</v>
      </c>
      <c r="F14084" t="s">
        <v>88</v>
      </c>
      <c r="G14084" t="s">
        <v>88</v>
      </c>
      <c r="H14084" t="s">
        <v>92</v>
      </c>
    </row>
    <row r="14085" spans="1:8" x14ac:dyDescent="0.25">
      <c r="A14085" t="s">
        <v>397</v>
      </c>
      <c r="B14085" t="s">
        <v>846</v>
      </c>
      <c r="C14085" t="s">
        <v>88</v>
      </c>
      <c r="D14085" t="s">
        <v>88</v>
      </c>
      <c r="E14085" t="s">
        <v>710</v>
      </c>
      <c r="F14085" t="s">
        <v>88</v>
      </c>
      <c r="G14085" t="s">
        <v>88</v>
      </c>
      <c r="H14085" t="s">
        <v>92</v>
      </c>
    </row>
    <row r="14086" spans="1:8" x14ac:dyDescent="0.25">
      <c r="A14086" t="s">
        <v>397</v>
      </c>
      <c r="B14086" t="s">
        <v>618</v>
      </c>
      <c r="C14086" t="s">
        <v>88</v>
      </c>
      <c r="D14086" t="s">
        <v>88</v>
      </c>
      <c r="E14086" t="s">
        <v>710</v>
      </c>
      <c r="F14086" t="s">
        <v>88</v>
      </c>
      <c r="G14086" t="s">
        <v>88</v>
      </c>
      <c r="H14086" t="s">
        <v>92</v>
      </c>
    </row>
    <row r="14087" spans="1:8" x14ac:dyDescent="0.25">
      <c r="A14087" t="s">
        <v>397</v>
      </c>
      <c r="B14087" t="s">
        <v>795</v>
      </c>
      <c r="C14087" t="s">
        <v>88</v>
      </c>
      <c r="D14087" t="s">
        <v>88</v>
      </c>
      <c r="E14087" t="s">
        <v>711</v>
      </c>
      <c r="F14087" t="s">
        <v>88</v>
      </c>
      <c r="G14087" t="s">
        <v>88</v>
      </c>
      <c r="H14087" t="s">
        <v>92</v>
      </c>
    </row>
    <row r="14088" spans="1:8" x14ac:dyDescent="0.25">
      <c r="A14088" t="s">
        <v>397</v>
      </c>
      <c r="B14088" t="s">
        <v>620</v>
      </c>
      <c r="C14088" t="s">
        <v>88</v>
      </c>
      <c r="D14088" t="s">
        <v>88</v>
      </c>
      <c r="E14088" t="s">
        <v>713</v>
      </c>
      <c r="F14088" t="s">
        <v>88</v>
      </c>
      <c r="G14088" t="s">
        <v>88</v>
      </c>
      <c r="H14088" t="s">
        <v>92</v>
      </c>
    </row>
    <row r="14089" spans="1:8" x14ac:dyDescent="0.25">
      <c r="A14089" t="s">
        <v>397</v>
      </c>
      <c r="B14089" t="s">
        <v>622</v>
      </c>
      <c r="C14089" t="s">
        <v>88</v>
      </c>
      <c r="D14089" t="s">
        <v>88</v>
      </c>
      <c r="E14089" t="s">
        <v>735</v>
      </c>
      <c r="F14089" t="s">
        <v>88</v>
      </c>
      <c r="G14089" t="s">
        <v>88</v>
      </c>
      <c r="H14089" t="s">
        <v>92</v>
      </c>
    </row>
    <row r="14090" spans="1:8" x14ac:dyDescent="0.25">
      <c r="A14090" t="s">
        <v>397</v>
      </c>
      <c r="B14090" t="s">
        <v>623</v>
      </c>
      <c r="C14090" t="s">
        <v>88</v>
      </c>
      <c r="D14090" t="s">
        <v>88</v>
      </c>
      <c r="E14090" t="s">
        <v>849</v>
      </c>
      <c r="F14090" t="s">
        <v>88</v>
      </c>
      <c r="G14090" t="s">
        <v>88</v>
      </c>
      <c r="H14090" t="s">
        <v>92</v>
      </c>
    </row>
    <row r="14091" spans="1:8" x14ac:dyDescent="0.25">
      <c r="A14091" t="s">
        <v>397</v>
      </c>
      <c r="B14091" t="s">
        <v>1046</v>
      </c>
      <c r="C14091" t="s">
        <v>88</v>
      </c>
      <c r="D14091" t="s">
        <v>88</v>
      </c>
      <c r="E14091" t="s">
        <v>692</v>
      </c>
      <c r="F14091" t="s">
        <v>88</v>
      </c>
      <c r="G14091" t="s">
        <v>88</v>
      </c>
      <c r="H14091" t="s">
        <v>92</v>
      </c>
    </row>
    <row r="14092" spans="1:8" x14ac:dyDescent="0.25">
      <c r="A14092" t="s">
        <v>397</v>
      </c>
      <c r="B14092" t="s">
        <v>1053</v>
      </c>
      <c r="C14092" t="s">
        <v>88</v>
      </c>
      <c r="D14092" t="s">
        <v>88</v>
      </c>
      <c r="E14092" t="s">
        <v>964</v>
      </c>
      <c r="F14092" t="s">
        <v>88</v>
      </c>
      <c r="G14092" t="s">
        <v>88</v>
      </c>
      <c r="H14092" t="s">
        <v>92</v>
      </c>
    </row>
    <row r="14093" spans="1:8" x14ac:dyDescent="0.25">
      <c r="A14093" t="s">
        <v>397</v>
      </c>
      <c r="B14093" t="s">
        <v>1055</v>
      </c>
      <c r="C14093" t="s">
        <v>88</v>
      </c>
      <c r="D14093" t="s">
        <v>88</v>
      </c>
      <c r="E14093" t="s">
        <v>676</v>
      </c>
      <c r="F14093" t="s">
        <v>88</v>
      </c>
      <c r="G14093" t="s">
        <v>88</v>
      </c>
      <c r="H14093" t="s">
        <v>92</v>
      </c>
    </row>
    <row r="14094" spans="1:8" x14ac:dyDescent="0.25">
      <c r="A14094" t="s">
        <v>397</v>
      </c>
      <c r="B14094" t="s">
        <v>625</v>
      </c>
      <c r="C14094" t="s">
        <v>88</v>
      </c>
      <c r="D14094" t="s">
        <v>88</v>
      </c>
      <c r="E14094" t="s">
        <v>626</v>
      </c>
      <c r="F14094" t="s">
        <v>88</v>
      </c>
      <c r="G14094" t="s">
        <v>88</v>
      </c>
      <c r="H14094" t="s">
        <v>92</v>
      </c>
    </row>
    <row r="14095" spans="1:8" x14ac:dyDescent="0.25">
      <c r="A14095" t="s">
        <v>398</v>
      </c>
      <c r="B14095" t="s">
        <v>818</v>
      </c>
      <c r="C14095" t="s">
        <v>88</v>
      </c>
      <c r="D14095" t="s">
        <v>11236</v>
      </c>
      <c r="E14095" t="s">
        <v>1680</v>
      </c>
      <c r="F14095" t="s">
        <v>88</v>
      </c>
      <c r="G14095" t="s">
        <v>88</v>
      </c>
      <c r="H14095" t="s">
        <v>92</v>
      </c>
    </row>
    <row r="14096" spans="1:8" x14ac:dyDescent="0.25">
      <c r="A14096" t="s">
        <v>398</v>
      </c>
      <c r="B14096" t="s">
        <v>823</v>
      </c>
      <c r="C14096" t="s">
        <v>88</v>
      </c>
      <c r="D14096" t="s">
        <v>11237</v>
      </c>
      <c r="E14096" t="s">
        <v>825</v>
      </c>
      <c r="F14096" t="s">
        <v>88</v>
      </c>
      <c r="G14096" t="s">
        <v>88</v>
      </c>
      <c r="H14096" t="s">
        <v>92</v>
      </c>
    </row>
    <row r="14097" spans="1:8" x14ac:dyDescent="0.25">
      <c r="A14097" t="s">
        <v>398</v>
      </c>
      <c r="B14097" t="s">
        <v>11238</v>
      </c>
      <c r="C14097" t="s">
        <v>88</v>
      </c>
      <c r="D14097" t="s">
        <v>6261</v>
      </c>
      <c r="E14097" t="s">
        <v>2166</v>
      </c>
      <c r="F14097" t="s">
        <v>88</v>
      </c>
      <c r="G14097" t="s">
        <v>88</v>
      </c>
      <c r="H14097" t="s">
        <v>92</v>
      </c>
    </row>
    <row r="14098" spans="1:8" x14ac:dyDescent="0.25">
      <c r="A14098" t="s">
        <v>398</v>
      </c>
      <c r="B14098" t="s">
        <v>8923</v>
      </c>
      <c r="C14098" t="s">
        <v>88</v>
      </c>
      <c r="D14098" t="s">
        <v>11239</v>
      </c>
      <c r="E14098" t="s">
        <v>799</v>
      </c>
      <c r="F14098" t="s">
        <v>88</v>
      </c>
      <c r="G14098" t="s">
        <v>88</v>
      </c>
      <c r="H14098" t="s">
        <v>92</v>
      </c>
    </row>
    <row r="14099" spans="1:8" x14ac:dyDescent="0.25">
      <c r="A14099" t="s">
        <v>398</v>
      </c>
      <c r="B14099" t="s">
        <v>11240</v>
      </c>
      <c r="C14099" t="s">
        <v>88</v>
      </c>
      <c r="D14099" t="s">
        <v>11241</v>
      </c>
      <c r="E14099" t="s">
        <v>679</v>
      </c>
      <c r="F14099" t="s">
        <v>88</v>
      </c>
      <c r="G14099" t="s">
        <v>88</v>
      </c>
      <c r="H14099" t="s">
        <v>92</v>
      </c>
    </row>
    <row r="14100" spans="1:8" x14ac:dyDescent="0.25">
      <c r="A14100" t="s">
        <v>398</v>
      </c>
      <c r="B14100" t="s">
        <v>11242</v>
      </c>
      <c r="C14100" t="s">
        <v>88</v>
      </c>
      <c r="D14100" t="s">
        <v>11243</v>
      </c>
      <c r="E14100" t="s">
        <v>820</v>
      </c>
      <c r="F14100" t="s">
        <v>88</v>
      </c>
      <c r="G14100" t="s">
        <v>88</v>
      </c>
      <c r="H14100" t="s">
        <v>92</v>
      </c>
    </row>
    <row r="14101" spans="1:8" x14ac:dyDescent="0.25">
      <c r="A14101" t="s">
        <v>398</v>
      </c>
      <c r="B14101" t="s">
        <v>818</v>
      </c>
      <c r="C14101" t="s">
        <v>88</v>
      </c>
      <c r="D14101" t="s">
        <v>11236</v>
      </c>
      <c r="E14101" t="s">
        <v>1680</v>
      </c>
      <c r="F14101" t="s">
        <v>88</v>
      </c>
      <c r="G14101" t="s">
        <v>88</v>
      </c>
      <c r="H14101" t="s">
        <v>92</v>
      </c>
    </row>
    <row r="14102" spans="1:8" x14ac:dyDescent="0.25">
      <c r="A14102" t="s">
        <v>398</v>
      </c>
      <c r="B14102" t="s">
        <v>11244</v>
      </c>
      <c r="C14102" t="s">
        <v>88</v>
      </c>
      <c r="D14102" t="s">
        <v>11237</v>
      </c>
      <c r="E14102" t="s">
        <v>841</v>
      </c>
      <c r="F14102" t="s">
        <v>88</v>
      </c>
      <c r="G14102" t="s">
        <v>88</v>
      </c>
      <c r="H14102" t="s">
        <v>92</v>
      </c>
    </row>
    <row r="14103" spans="1:8" x14ac:dyDescent="0.25">
      <c r="A14103" t="s">
        <v>398</v>
      </c>
      <c r="B14103" t="s">
        <v>823</v>
      </c>
      <c r="C14103" t="s">
        <v>88</v>
      </c>
      <c r="D14103" t="s">
        <v>11237</v>
      </c>
      <c r="E14103" t="s">
        <v>825</v>
      </c>
      <c r="F14103" t="s">
        <v>88</v>
      </c>
      <c r="G14103" t="s">
        <v>88</v>
      </c>
      <c r="H14103" t="s">
        <v>92</v>
      </c>
    </row>
    <row r="14104" spans="1:8" x14ac:dyDescent="0.25">
      <c r="A14104" t="s">
        <v>398</v>
      </c>
      <c r="B14104" t="s">
        <v>701</v>
      </c>
      <c r="C14104" t="s">
        <v>88</v>
      </c>
      <c r="D14104" t="s">
        <v>88</v>
      </c>
      <c r="E14104" t="s">
        <v>710</v>
      </c>
      <c r="F14104" t="s">
        <v>88</v>
      </c>
      <c r="G14104" t="s">
        <v>88</v>
      </c>
      <c r="H14104" t="s">
        <v>92</v>
      </c>
    </row>
    <row r="14105" spans="1:8" x14ac:dyDescent="0.25">
      <c r="A14105" t="s">
        <v>398</v>
      </c>
      <c r="B14105" t="s">
        <v>703</v>
      </c>
      <c r="C14105" t="s">
        <v>88</v>
      </c>
      <c r="D14105" t="s">
        <v>88</v>
      </c>
      <c r="E14105" t="s">
        <v>710</v>
      </c>
      <c r="F14105" t="s">
        <v>88</v>
      </c>
      <c r="G14105" t="s">
        <v>88</v>
      </c>
      <c r="H14105" t="s">
        <v>92</v>
      </c>
    </row>
    <row r="14106" spans="1:8" x14ac:dyDescent="0.25">
      <c r="A14106" t="s">
        <v>398</v>
      </c>
      <c r="B14106" t="s">
        <v>705</v>
      </c>
      <c r="C14106" t="s">
        <v>88</v>
      </c>
      <c r="D14106" t="s">
        <v>88</v>
      </c>
      <c r="E14106" t="s">
        <v>710</v>
      </c>
      <c r="F14106" t="s">
        <v>88</v>
      </c>
      <c r="G14106" t="s">
        <v>88</v>
      </c>
      <c r="H14106" t="s">
        <v>92</v>
      </c>
    </row>
    <row r="14107" spans="1:8" x14ac:dyDescent="0.25">
      <c r="A14107" t="s">
        <v>398</v>
      </c>
      <c r="B14107" t="s">
        <v>846</v>
      </c>
      <c r="C14107" t="s">
        <v>88</v>
      </c>
      <c r="D14107" t="s">
        <v>88</v>
      </c>
      <c r="E14107" t="s">
        <v>710</v>
      </c>
      <c r="F14107" t="s">
        <v>88</v>
      </c>
      <c r="G14107" t="s">
        <v>88</v>
      </c>
      <c r="H14107" t="s">
        <v>92</v>
      </c>
    </row>
    <row r="14108" spans="1:8" x14ac:dyDescent="0.25">
      <c r="A14108" t="s">
        <v>398</v>
      </c>
      <c r="B14108" t="s">
        <v>4393</v>
      </c>
      <c r="C14108" t="s">
        <v>88</v>
      </c>
      <c r="D14108" t="s">
        <v>88</v>
      </c>
      <c r="E14108" t="s">
        <v>711</v>
      </c>
      <c r="F14108" t="s">
        <v>88</v>
      </c>
      <c r="G14108" t="s">
        <v>88</v>
      </c>
      <c r="H14108" t="s">
        <v>92</v>
      </c>
    </row>
    <row r="14109" spans="1:8" x14ac:dyDescent="0.25">
      <c r="A14109" t="s">
        <v>398</v>
      </c>
      <c r="B14109" t="s">
        <v>797</v>
      </c>
      <c r="C14109" t="s">
        <v>88</v>
      </c>
      <c r="D14109" t="s">
        <v>88</v>
      </c>
      <c r="E14109" t="s">
        <v>711</v>
      </c>
      <c r="F14109" t="s">
        <v>88</v>
      </c>
      <c r="G14109" t="s">
        <v>88</v>
      </c>
      <c r="H14109" t="s">
        <v>92</v>
      </c>
    </row>
    <row r="14110" spans="1:8" x14ac:dyDescent="0.25">
      <c r="A14110" t="s">
        <v>398</v>
      </c>
      <c r="B14110" t="s">
        <v>622</v>
      </c>
      <c r="C14110" t="s">
        <v>88</v>
      </c>
      <c r="D14110" t="s">
        <v>88</v>
      </c>
      <c r="E14110" t="s">
        <v>735</v>
      </c>
      <c r="F14110" t="s">
        <v>88</v>
      </c>
      <c r="G14110" t="s">
        <v>88</v>
      </c>
      <c r="H14110" t="s">
        <v>92</v>
      </c>
    </row>
    <row r="14111" spans="1:8" x14ac:dyDescent="0.25">
      <c r="A14111" t="s">
        <v>398</v>
      </c>
      <c r="B14111" t="s">
        <v>3259</v>
      </c>
      <c r="C14111" t="s">
        <v>88</v>
      </c>
      <c r="D14111" t="s">
        <v>88</v>
      </c>
      <c r="E14111" t="s">
        <v>849</v>
      </c>
      <c r="F14111" t="s">
        <v>88</v>
      </c>
      <c r="G14111" t="s">
        <v>88</v>
      </c>
      <c r="H14111" t="s">
        <v>92</v>
      </c>
    </row>
    <row r="14112" spans="1:8" x14ac:dyDescent="0.25">
      <c r="A14112" t="s">
        <v>398</v>
      </c>
      <c r="B14112" t="s">
        <v>625</v>
      </c>
      <c r="C14112" t="s">
        <v>88</v>
      </c>
      <c r="D14112" t="s">
        <v>88</v>
      </c>
      <c r="E14112" t="s">
        <v>626</v>
      </c>
      <c r="F14112" t="s">
        <v>88</v>
      </c>
      <c r="G14112" t="s">
        <v>88</v>
      </c>
      <c r="H14112" t="s">
        <v>92</v>
      </c>
    </row>
    <row r="14113" spans="1:8" x14ac:dyDescent="0.25">
      <c r="A14113" t="s">
        <v>399</v>
      </c>
      <c r="B14113" t="s">
        <v>1837</v>
      </c>
      <c r="C14113" t="s">
        <v>88</v>
      </c>
      <c r="D14113" t="s">
        <v>11245</v>
      </c>
      <c r="E14113" t="s">
        <v>820</v>
      </c>
      <c r="F14113" t="s">
        <v>88</v>
      </c>
      <c r="G14113" t="s">
        <v>88</v>
      </c>
      <c r="H14113" t="s">
        <v>92</v>
      </c>
    </row>
    <row r="14114" spans="1:8" x14ac:dyDescent="0.25">
      <c r="A14114" t="s">
        <v>399</v>
      </c>
      <c r="B14114" t="s">
        <v>696</v>
      </c>
      <c r="C14114" t="s">
        <v>88</v>
      </c>
      <c r="D14114" t="s">
        <v>5907</v>
      </c>
      <c r="E14114" t="s">
        <v>1282</v>
      </c>
      <c r="F14114" t="s">
        <v>88</v>
      </c>
      <c r="G14114" t="s">
        <v>88</v>
      </c>
      <c r="H14114" t="s">
        <v>92</v>
      </c>
    </row>
    <row r="14115" spans="1:8" x14ac:dyDescent="0.25">
      <c r="A14115" t="s">
        <v>399</v>
      </c>
      <c r="B14115" t="s">
        <v>9741</v>
      </c>
      <c r="C14115" t="s">
        <v>88</v>
      </c>
      <c r="D14115" t="s">
        <v>11246</v>
      </c>
      <c r="E14115" t="s">
        <v>820</v>
      </c>
      <c r="F14115" t="s">
        <v>88</v>
      </c>
      <c r="G14115" t="s">
        <v>88</v>
      </c>
      <c r="H14115" t="s">
        <v>92</v>
      </c>
    </row>
    <row r="14116" spans="1:8" x14ac:dyDescent="0.25">
      <c r="A14116" t="s">
        <v>399</v>
      </c>
      <c r="B14116" t="s">
        <v>9746</v>
      </c>
      <c r="C14116" t="s">
        <v>88</v>
      </c>
      <c r="D14116" t="s">
        <v>11247</v>
      </c>
      <c r="E14116" t="s">
        <v>820</v>
      </c>
      <c r="F14116" t="s">
        <v>88</v>
      </c>
      <c r="G14116" t="s">
        <v>88</v>
      </c>
      <c r="H14116" t="s">
        <v>92</v>
      </c>
    </row>
    <row r="14117" spans="1:8" x14ac:dyDescent="0.25">
      <c r="A14117" t="s">
        <v>399</v>
      </c>
      <c r="B14117" t="s">
        <v>693</v>
      </c>
      <c r="C14117" t="s">
        <v>88</v>
      </c>
      <c r="D14117" t="s">
        <v>694</v>
      </c>
      <c r="E14117" t="s">
        <v>762</v>
      </c>
      <c r="F14117" t="s">
        <v>88</v>
      </c>
      <c r="G14117" t="s">
        <v>88</v>
      </c>
      <c r="H14117" t="s">
        <v>92</v>
      </c>
    </row>
    <row r="14118" spans="1:8" x14ac:dyDescent="0.25">
      <c r="A14118" t="s">
        <v>399</v>
      </c>
      <c r="B14118" t="s">
        <v>11248</v>
      </c>
      <c r="C14118" t="s">
        <v>88</v>
      </c>
      <c r="D14118" t="s">
        <v>11249</v>
      </c>
      <c r="E14118" t="s">
        <v>883</v>
      </c>
      <c r="F14118" t="s">
        <v>88</v>
      </c>
      <c r="G14118" t="s">
        <v>88</v>
      </c>
      <c r="H14118" t="s">
        <v>92</v>
      </c>
    </row>
    <row r="14119" spans="1:8" x14ac:dyDescent="0.25">
      <c r="A14119" t="s">
        <v>399</v>
      </c>
      <c r="B14119" t="s">
        <v>11250</v>
      </c>
      <c r="C14119" t="s">
        <v>88</v>
      </c>
      <c r="D14119" t="s">
        <v>11251</v>
      </c>
      <c r="E14119" t="s">
        <v>10068</v>
      </c>
      <c r="F14119" t="s">
        <v>88</v>
      </c>
      <c r="G14119" t="s">
        <v>88</v>
      </c>
      <c r="H14119" t="s">
        <v>92</v>
      </c>
    </row>
    <row r="14120" spans="1:8" x14ac:dyDescent="0.25">
      <c r="A14120" t="s">
        <v>399</v>
      </c>
      <c r="B14120" t="s">
        <v>11252</v>
      </c>
      <c r="C14120" t="s">
        <v>88</v>
      </c>
      <c r="D14120" t="s">
        <v>11253</v>
      </c>
      <c r="E14120" t="s">
        <v>1282</v>
      </c>
      <c r="F14120" t="s">
        <v>88</v>
      </c>
      <c r="G14120" t="s">
        <v>88</v>
      </c>
      <c r="H14120" t="s">
        <v>92</v>
      </c>
    </row>
    <row r="14121" spans="1:8" x14ac:dyDescent="0.25">
      <c r="A14121" t="s">
        <v>399</v>
      </c>
      <c r="B14121" t="s">
        <v>2167</v>
      </c>
      <c r="C14121" t="s">
        <v>88</v>
      </c>
      <c r="D14121" t="s">
        <v>2168</v>
      </c>
      <c r="E14121" t="s">
        <v>893</v>
      </c>
      <c r="F14121" t="s">
        <v>88</v>
      </c>
      <c r="G14121" t="s">
        <v>88</v>
      </c>
      <c r="H14121" t="s">
        <v>92</v>
      </c>
    </row>
    <row r="14122" spans="1:8" x14ac:dyDescent="0.25">
      <c r="A14122" t="s">
        <v>399</v>
      </c>
      <c r="B14122" t="s">
        <v>1776</v>
      </c>
      <c r="C14122" t="s">
        <v>88</v>
      </c>
      <c r="D14122" t="s">
        <v>11254</v>
      </c>
      <c r="E14122" t="s">
        <v>692</v>
      </c>
      <c r="F14122" t="s">
        <v>88</v>
      </c>
      <c r="G14122" t="s">
        <v>88</v>
      </c>
      <c r="H14122" t="s">
        <v>92</v>
      </c>
    </row>
    <row r="14123" spans="1:8" x14ac:dyDescent="0.25">
      <c r="A14123" t="s">
        <v>399</v>
      </c>
      <c r="B14123" t="s">
        <v>11255</v>
      </c>
      <c r="C14123" t="s">
        <v>88</v>
      </c>
      <c r="D14123" t="s">
        <v>11256</v>
      </c>
      <c r="E14123" t="s">
        <v>820</v>
      </c>
      <c r="F14123" t="s">
        <v>88</v>
      </c>
      <c r="G14123" t="s">
        <v>88</v>
      </c>
      <c r="H14123" t="s">
        <v>92</v>
      </c>
    </row>
    <row r="14124" spans="1:8" x14ac:dyDescent="0.25">
      <c r="A14124" t="s">
        <v>399</v>
      </c>
      <c r="B14124" t="s">
        <v>11257</v>
      </c>
      <c r="C14124" t="s">
        <v>88</v>
      </c>
      <c r="D14124" t="s">
        <v>11258</v>
      </c>
      <c r="E14124" t="s">
        <v>1006</v>
      </c>
      <c r="F14124" t="s">
        <v>88</v>
      </c>
      <c r="G14124" t="s">
        <v>88</v>
      </c>
      <c r="H14124" t="s">
        <v>92</v>
      </c>
    </row>
    <row r="14125" spans="1:8" x14ac:dyDescent="0.25">
      <c r="A14125" t="s">
        <v>399</v>
      </c>
      <c r="B14125" t="s">
        <v>3429</v>
      </c>
      <c r="C14125" t="s">
        <v>88</v>
      </c>
      <c r="D14125" t="s">
        <v>11259</v>
      </c>
      <c r="E14125" t="s">
        <v>820</v>
      </c>
      <c r="F14125" t="s">
        <v>88</v>
      </c>
      <c r="G14125" t="s">
        <v>88</v>
      </c>
      <c r="H14125" t="s">
        <v>92</v>
      </c>
    </row>
    <row r="14126" spans="1:8" x14ac:dyDescent="0.25">
      <c r="A14126" t="s">
        <v>399</v>
      </c>
      <c r="B14126" t="s">
        <v>776</v>
      </c>
      <c r="C14126" t="s">
        <v>88</v>
      </c>
      <c r="D14126" t="s">
        <v>11260</v>
      </c>
      <c r="E14126" t="s">
        <v>692</v>
      </c>
      <c r="F14126" t="s">
        <v>88</v>
      </c>
      <c r="G14126" t="s">
        <v>88</v>
      </c>
      <c r="H14126" t="s">
        <v>92</v>
      </c>
    </row>
    <row r="14127" spans="1:8" x14ac:dyDescent="0.25">
      <c r="A14127" t="s">
        <v>399</v>
      </c>
      <c r="B14127" t="s">
        <v>11261</v>
      </c>
      <c r="C14127" t="s">
        <v>88</v>
      </c>
      <c r="D14127" t="s">
        <v>11262</v>
      </c>
      <c r="E14127" t="s">
        <v>1282</v>
      </c>
      <c r="F14127" t="s">
        <v>88</v>
      </c>
      <c r="G14127" t="s">
        <v>88</v>
      </c>
      <c r="H14127" t="s">
        <v>92</v>
      </c>
    </row>
    <row r="14128" spans="1:8" x14ac:dyDescent="0.25">
      <c r="A14128" t="s">
        <v>399</v>
      </c>
      <c r="B14128" t="s">
        <v>11263</v>
      </c>
      <c r="C14128" t="s">
        <v>88</v>
      </c>
      <c r="D14128" t="s">
        <v>11264</v>
      </c>
      <c r="E14128" t="s">
        <v>676</v>
      </c>
      <c r="F14128" t="s">
        <v>88</v>
      </c>
      <c r="G14128" t="s">
        <v>88</v>
      </c>
      <c r="H14128" t="s">
        <v>92</v>
      </c>
    </row>
    <row r="14129" spans="1:8" x14ac:dyDescent="0.25">
      <c r="A14129" t="s">
        <v>399</v>
      </c>
      <c r="B14129" t="s">
        <v>11265</v>
      </c>
      <c r="C14129" t="s">
        <v>88</v>
      </c>
      <c r="D14129" t="s">
        <v>11266</v>
      </c>
      <c r="E14129" t="s">
        <v>676</v>
      </c>
      <c r="F14129" t="s">
        <v>88</v>
      </c>
      <c r="G14129" t="s">
        <v>88</v>
      </c>
      <c r="H14129" t="s">
        <v>92</v>
      </c>
    </row>
    <row r="14130" spans="1:8" x14ac:dyDescent="0.25">
      <c r="A14130" t="s">
        <v>399</v>
      </c>
      <c r="B14130" t="s">
        <v>11267</v>
      </c>
      <c r="C14130" t="s">
        <v>88</v>
      </c>
      <c r="D14130" t="s">
        <v>11268</v>
      </c>
      <c r="E14130" t="s">
        <v>676</v>
      </c>
      <c r="F14130" t="s">
        <v>88</v>
      </c>
      <c r="G14130" t="s">
        <v>88</v>
      </c>
      <c r="H14130" t="s">
        <v>92</v>
      </c>
    </row>
    <row r="14131" spans="1:8" x14ac:dyDescent="0.25">
      <c r="A14131" t="s">
        <v>399</v>
      </c>
      <c r="B14131" t="s">
        <v>11269</v>
      </c>
      <c r="C14131" t="s">
        <v>88</v>
      </c>
      <c r="D14131" t="s">
        <v>11270</v>
      </c>
      <c r="E14131" t="s">
        <v>676</v>
      </c>
      <c r="F14131" t="s">
        <v>88</v>
      </c>
      <c r="G14131" t="s">
        <v>88</v>
      </c>
      <c r="H14131" t="s">
        <v>92</v>
      </c>
    </row>
    <row r="14132" spans="1:8" x14ac:dyDescent="0.25">
      <c r="A14132" t="s">
        <v>399</v>
      </c>
      <c r="B14132" t="s">
        <v>671</v>
      </c>
      <c r="C14132" t="s">
        <v>88</v>
      </c>
      <c r="D14132" t="s">
        <v>11271</v>
      </c>
      <c r="E14132" t="s">
        <v>676</v>
      </c>
      <c r="F14132" t="s">
        <v>88</v>
      </c>
      <c r="G14132" t="s">
        <v>88</v>
      </c>
      <c r="H14132" t="s">
        <v>92</v>
      </c>
    </row>
    <row r="14133" spans="1:8" x14ac:dyDescent="0.25">
      <c r="A14133" t="s">
        <v>399</v>
      </c>
      <c r="B14133" t="s">
        <v>11272</v>
      </c>
      <c r="C14133" t="s">
        <v>88</v>
      </c>
      <c r="D14133" t="s">
        <v>11273</v>
      </c>
      <c r="E14133" t="s">
        <v>692</v>
      </c>
      <c r="F14133" t="s">
        <v>88</v>
      </c>
      <c r="G14133" t="s">
        <v>88</v>
      </c>
      <c r="H14133" t="s">
        <v>92</v>
      </c>
    </row>
    <row r="14134" spans="1:8" x14ac:dyDescent="0.25">
      <c r="A14134" t="s">
        <v>399</v>
      </c>
      <c r="B14134" t="s">
        <v>11274</v>
      </c>
      <c r="C14134" t="s">
        <v>88</v>
      </c>
      <c r="D14134" t="s">
        <v>11275</v>
      </c>
      <c r="E14134" t="s">
        <v>676</v>
      </c>
      <c r="F14134" t="s">
        <v>88</v>
      </c>
      <c r="G14134" t="s">
        <v>88</v>
      </c>
      <c r="H14134" t="s">
        <v>92</v>
      </c>
    </row>
    <row r="14135" spans="1:8" x14ac:dyDescent="0.25">
      <c r="A14135" t="s">
        <v>399</v>
      </c>
      <c r="B14135" t="s">
        <v>5247</v>
      </c>
      <c r="C14135" t="s">
        <v>88</v>
      </c>
      <c r="D14135" t="s">
        <v>11276</v>
      </c>
      <c r="E14135" t="s">
        <v>820</v>
      </c>
      <c r="F14135" t="s">
        <v>88</v>
      </c>
      <c r="G14135" t="s">
        <v>88</v>
      </c>
      <c r="H14135" t="s">
        <v>92</v>
      </c>
    </row>
    <row r="14136" spans="1:8" x14ac:dyDescent="0.25">
      <c r="A14136" t="s">
        <v>399</v>
      </c>
      <c r="B14136" t="s">
        <v>9741</v>
      </c>
      <c r="C14136" t="s">
        <v>88</v>
      </c>
      <c r="D14136" t="s">
        <v>11246</v>
      </c>
      <c r="E14136" t="s">
        <v>820</v>
      </c>
      <c r="F14136" t="s">
        <v>88</v>
      </c>
      <c r="G14136" t="s">
        <v>88</v>
      </c>
      <c r="H14136" t="s">
        <v>92</v>
      </c>
    </row>
    <row r="14137" spans="1:8" x14ac:dyDescent="0.25">
      <c r="A14137" t="s">
        <v>399</v>
      </c>
      <c r="B14137" t="s">
        <v>11277</v>
      </c>
      <c r="C14137" t="s">
        <v>88</v>
      </c>
      <c r="D14137" t="s">
        <v>11278</v>
      </c>
      <c r="E14137" t="s">
        <v>676</v>
      </c>
      <c r="F14137" t="s">
        <v>88</v>
      </c>
      <c r="G14137" t="s">
        <v>88</v>
      </c>
      <c r="H14137" t="s">
        <v>92</v>
      </c>
    </row>
    <row r="14138" spans="1:8" x14ac:dyDescent="0.25">
      <c r="A14138" t="s">
        <v>399</v>
      </c>
      <c r="B14138" t="s">
        <v>5252</v>
      </c>
      <c r="C14138" t="s">
        <v>88</v>
      </c>
      <c r="D14138" t="s">
        <v>11279</v>
      </c>
      <c r="E14138" t="s">
        <v>760</v>
      </c>
      <c r="F14138" t="s">
        <v>88</v>
      </c>
      <c r="G14138" t="s">
        <v>88</v>
      </c>
      <c r="H14138" t="s">
        <v>92</v>
      </c>
    </row>
    <row r="14139" spans="1:8" x14ac:dyDescent="0.25">
      <c r="A14139" t="s">
        <v>399</v>
      </c>
      <c r="B14139" t="s">
        <v>4873</v>
      </c>
      <c r="C14139" t="s">
        <v>88</v>
      </c>
      <c r="D14139" t="s">
        <v>11280</v>
      </c>
      <c r="E14139" t="s">
        <v>760</v>
      </c>
      <c r="F14139" t="s">
        <v>88</v>
      </c>
      <c r="G14139" t="s">
        <v>88</v>
      </c>
      <c r="H14139" t="s">
        <v>92</v>
      </c>
    </row>
    <row r="14140" spans="1:8" x14ac:dyDescent="0.25">
      <c r="A14140" t="s">
        <v>399</v>
      </c>
      <c r="B14140" t="s">
        <v>5250</v>
      </c>
      <c r="C14140" t="s">
        <v>88</v>
      </c>
      <c r="D14140" t="s">
        <v>11281</v>
      </c>
      <c r="E14140" t="s">
        <v>760</v>
      </c>
      <c r="F14140" t="s">
        <v>88</v>
      </c>
      <c r="G14140" t="s">
        <v>88</v>
      </c>
      <c r="H14140" t="s">
        <v>92</v>
      </c>
    </row>
    <row r="14141" spans="1:8" x14ac:dyDescent="0.25">
      <c r="A14141" t="s">
        <v>399</v>
      </c>
      <c r="B14141" t="s">
        <v>9774</v>
      </c>
      <c r="C14141" t="s">
        <v>88</v>
      </c>
      <c r="D14141" t="s">
        <v>11282</v>
      </c>
      <c r="E14141" t="s">
        <v>1282</v>
      </c>
      <c r="F14141" t="s">
        <v>88</v>
      </c>
      <c r="G14141" t="s">
        <v>88</v>
      </c>
      <c r="H14141" t="s">
        <v>92</v>
      </c>
    </row>
    <row r="14142" spans="1:8" x14ac:dyDescent="0.25">
      <c r="A14142" t="s">
        <v>399</v>
      </c>
      <c r="B14142" t="s">
        <v>3343</v>
      </c>
      <c r="C14142" t="s">
        <v>88</v>
      </c>
      <c r="D14142" t="s">
        <v>694</v>
      </c>
      <c r="E14142" t="s">
        <v>1282</v>
      </c>
      <c r="F14142" t="s">
        <v>88</v>
      </c>
      <c r="G14142" t="s">
        <v>88</v>
      </c>
      <c r="H14142" t="s">
        <v>92</v>
      </c>
    </row>
    <row r="14143" spans="1:8" x14ac:dyDescent="0.25">
      <c r="A14143" t="s">
        <v>399</v>
      </c>
      <c r="B14143" t="s">
        <v>9746</v>
      </c>
      <c r="C14143" t="s">
        <v>88</v>
      </c>
      <c r="D14143" t="s">
        <v>11247</v>
      </c>
      <c r="E14143" t="s">
        <v>820</v>
      </c>
      <c r="F14143" t="s">
        <v>88</v>
      </c>
      <c r="G14143" t="s">
        <v>88</v>
      </c>
      <c r="H14143" t="s">
        <v>92</v>
      </c>
    </row>
    <row r="14144" spans="1:8" x14ac:dyDescent="0.25">
      <c r="A14144" t="s">
        <v>399</v>
      </c>
      <c r="B14144" t="s">
        <v>696</v>
      </c>
      <c r="C14144" t="s">
        <v>88</v>
      </c>
      <c r="D14144" t="s">
        <v>5907</v>
      </c>
      <c r="E14144" t="s">
        <v>1282</v>
      </c>
      <c r="F14144" t="s">
        <v>88</v>
      </c>
      <c r="G14144" t="s">
        <v>88</v>
      </c>
      <c r="H14144" t="s">
        <v>92</v>
      </c>
    </row>
    <row r="14145" spans="1:8" x14ac:dyDescent="0.25">
      <c r="A14145" t="s">
        <v>399</v>
      </c>
      <c r="B14145" t="s">
        <v>693</v>
      </c>
      <c r="C14145" t="s">
        <v>88</v>
      </c>
      <c r="D14145" t="s">
        <v>694</v>
      </c>
      <c r="E14145" t="s">
        <v>762</v>
      </c>
      <c r="F14145" t="s">
        <v>88</v>
      </c>
      <c r="G14145" t="s">
        <v>88</v>
      </c>
      <c r="H14145" t="s">
        <v>92</v>
      </c>
    </row>
    <row r="14146" spans="1:8" x14ac:dyDescent="0.25">
      <c r="A14146" t="s">
        <v>399</v>
      </c>
      <c r="B14146" t="s">
        <v>695</v>
      </c>
      <c r="C14146" t="s">
        <v>88</v>
      </c>
      <c r="D14146" t="s">
        <v>694</v>
      </c>
      <c r="E14146" t="s">
        <v>655</v>
      </c>
      <c r="F14146" t="s">
        <v>88</v>
      </c>
      <c r="G14146" t="s">
        <v>88</v>
      </c>
      <c r="H14146" t="s">
        <v>92</v>
      </c>
    </row>
    <row r="14147" spans="1:8" x14ac:dyDescent="0.25">
      <c r="A14147" t="s">
        <v>399</v>
      </c>
      <c r="B14147" t="s">
        <v>11283</v>
      </c>
      <c r="C14147" t="s">
        <v>88</v>
      </c>
      <c r="D14147" t="s">
        <v>11284</v>
      </c>
      <c r="E14147" t="s">
        <v>820</v>
      </c>
      <c r="F14147" t="s">
        <v>88</v>
      </c>
      <c r="G14147" t="s">
        <v>88</v>
      </c>
      <c r="H14147" t="s">
        <v>92</v>
      </c>
    </row>
    <row r="14148" spans="1:8" x14ac:dyDescent="0.25">
      <c r="A14148" t="s">
        <v>399</v>
      </c>
      <c r="B14148" t="s">
        <v>11285</v>
      </c>
      <c r="C14148" t="s">
        <v>88</v>
      </c>
      <c r="D14148" t="s">
        <v>11286</v>
      </c>
      <c r="E14148" t="s">
        <v>836</v>
      </c>
      <c r="F14148" t="s">
        <v>88</v>
      </c>
      <c r="G14148" t="s">
        <v>88</v>
      </c>
      <c r="H14148" t="s">
        <v>92</v>
      </c>
    </row>
    <row r="14149" spans="1:8" x14ac:dyDescent="0.25">
      <c r="A14149" t="s">
        <v>399</v>
      </c>
      <c r="B14149" t="s">
        <v>11287</v>
      </c>
      <c r="C14149" t="s">
        <v>88</v>
      </c>
      <c r="D14149" t="s">
        <v>11288</v>
      </c>
      <c r="E14149" t="s">
        <v>820</v>
      </c>
      <c r="F14149" t="s">
        <v>88</v>
      </c>
      <c r="G14149" t="s">
        <v>88</v>
      </c>
      <c r="H14149" t="s">
        <v>92</v>
      </c>
    </row>
    <row r="14150" spans="1:8" x14ac:dyDescent="0.25">
      <c r="A14150" t="s">
        <v>399</v>
      </c>
      <c r="B14150" t="s">
        <v>11289</v>
      </c>
      <c r="C14150" t="s">
        <v>88</v>
      </c>
      <c r="D14150" t="s">
        <v>11290</v>
      </c>
      <c r="E14150" t="s">
        <v>655</v>
      </c>
      <c r="F14150" t="s">
        <v>88</v>
      </c>
      <c r="G14150" t="s">
        <v>88</v>
      </c>
      <c r="H14150" t="s">
        <v>92</v>
      </c>
    </row>
    <row r="14151" spans="1:8" x14ac:dyDescent="0.25">
      <c r="A14151" t="s">
        <v>399</v>
      </c>
      <c r="B14151" t="s">
        <v>11291</v>
      </c>
      <c r="C14151" t="s">
        <v>88</v>
      </c>
      <c r="D14151" t="s">
        <v>11292</v>
      </c>
      <c r="E14151" t="s">
        <v>820</v>
      </c>
      <c r="F14151" t="s">
        <v>88</v>
      </c>
      <c r="G14151" t="s">
        <v>88</v>
      </c>
      <c r="H14151" t="s">
        <v>92</v>
      </c>
    </row>
    <row r="14152" spans="1:8" x14ac:dyDescent="0.25">
      <c r="A14152" t="s">
        <v>399</v>
      </c>
      <c r="B14152" t="s">
        <v>11293</v>
      </c>
      <c r="C14152" t="s">
        <v>88</v>
      </c>
      <c r="D14152" t="s">
        <v>11294</v>
      </c>
      <c r="E14152" t="s">
        <v>1282</v>
      </c>
      <c r="F14152" t="s">
        <v>88</v>
      </c>
      <c r="G14152" t="s">
        <v>88</v>
      </c>
      <c r="H14152" t="s">
        <v>92</v>
      </c>
    </row>
    <row r="14153" spans="1:8" x14ac:dyDescent="0.25">
      <c r="A14153" t="s">
        <v>399</v>
      </c>
      <c r="B14153" t="s">
        <v>11295</v>
      </c>
      <c r="C14153" t="s">
        <v>88</v>
      </c>
      <c r="D14153" t="s">
        <v>11296</v>
      </c>
      <c r="E14153" t="s">
        <v>1282</v>
      </c>
      <c r="F14153" t="s">
        <v>88</v>
      </c>
      <c r="G14153" t="s">
        <v>88</v>
      </c>
      <c r="H14153" t="s">
        <v>92</v>
      </c>
    </row>
    <row r="14154" spans="1:8" x14ac:dyDescent="0.25">
      <c r="A14154" t="s">
        <v>399</v>
      </c>
      <c r="B14154" t="s">
        <v>11297</v>
      </c>
      <c r="C14154" t="s">
        <v>88</v>
      </c>
      <c r="D14154" t="s">
        <v>11298</v>
      </c>
      <c r="E14154" t="s">
        <v>836</v>
      </c>
      <c r="F14154" t="s">
        <v>88</v>
      </c>
      <c r="G14154" t="s">
        <v>88</v>
      </c>
      <c r="H14154" t="s">
        <v>92</v>
      </c>
    </row>
    <row r="14155" spans="1:8" x14ac:dyDescent="0.25">
      <c r="A14155" t="s">
        <v>399</v>
      </c>
      <c r="B14155" t="s">
        <v>3346</v>
      </c>
      <c r="C14155" t="s">
        <v>88</v>
      </c>
      <c r="D14155" t="s">
        <v>11299</v>
      </c>
      <c r="E14155" t="s">
        <v>844</v>
      </c>
      <c r="F14155" t="s">
        <v>88</v>
      </c>
      <c r="G14155" t="s">
        <v>88</v>
      </c>
      <c r="H14155" t="s">
        <v>92</v>
      </c>
    </row>
    <row r="14156" spans="1:8" x14ac:dyDescent="0.25">
      <c r="A14156" t="s">
        <v>399</v>
      </c>
      <c r="B14156" t="s">
        <v>11300</v>
      </c>
      <c r="C14156" t="s">
        <v>88</v>
      </c>
      <c r="D14156" t="s">
        <v>88</v>
      </c>
      <c r="E14156" t="s">
        <v>760</v>
      </c>
      <c r="F14156" t="s">
        <v>88</v>
      </c>
      <c r="G14156" t="s">
        <v>88</v>
      </c>
      <c r="H14156" t="s">
        <v>92</v>
      </c>
    </row>
    <row r="14157" spans="1:8" x14ac:dyDescent="0.25">
      <c r="A14157" t="s">
        <v>399</v>
      </c>
      <c r="B14157" t="s">
        <v>11301</v>
      </c>
      <c r="C14157" t="s">
        <v>88</v>
      </c>
      <c r="D14157" t="s">
        <v>88</v>
      </c>
      <c r="E14157" t="s">
        <v>655</v>
      </c>
      <c r="F14157" t="s">
        <v>88</v>
      </c>
      <c r="G14157" t="s">
        <v>88</v>
      </c>
      <c r="H14157" t="s">
        <v>92</v>
      </c>
    </row>
    <row r="14158" spans="1:8" x14ac:dyDescent="0.25">
      <c r="A14158" t="s">
        <v>399</v>
      </c>
      <c r="B14158" t="s">
        <v>5919</v>
      </c>
      <c r="C14158" t="s">
        <v>88</v>
      </c>
      <c r="D14158" t="s">
        <v>88</v>
      </c>
      <c r="E14158" t="s">
        <v>762</v>
      </c>
      <c r="F14158" t="s">
        <v>88</v>
      </c>
      <c r="G14158" t="s">
        <v>88</v>
      </c>
      <c r="H14158" t="s">
        <v>92</v>
      </c>
    </row>
    <row r="14159" spans="1:8" x14ac:dyDescent="0.25">
      <c r="A14159" t="s">
        <v>399</v>
      </c>
      <c r="B14159" t="s">
        <v>3285</v>
      </c>
      <c r="C14159" t="s">
        <v>88</v>
      </c>
      <c r="D14159" t="s">
        <v>772</v>
      </c>
      <c r="E14159" t="s">
        <v>760</v>
      </c>
      <c r="F14159" t="s">
        <v>88</v>
      </c>
      <c r="G14159" t="s">
        <v>88</v>
      </c>
      <c r="H14159" t="s">
        <v>92</v>
      </c>
    </row>
    <row r="14160" spans="1:8" x14ac:dyDescent="0.25">
      <c r="A14160" t="s">
        <v>399</v>
      </c>
      <c r="B14160" t="s">
        <v>5268</v>
      </c>
      <c r="C14160" t="s">
        <v>88</v>
      </c>
      <c r="D14160" t="s">
        <v>11302</v>
      </c>
      <c r="E14160" t="s">
        <v>820</v>
      </c>
      <c r="F14160" t="s">
        <v>88</v>
      </c>
      <c r="G14160" t="s">
        <v>88</v>
      </c>
      <c r="H14160" t="s">
        <v>92</v>
      </c>
    </row>
    <row r="14161" spans="1:8" x14ac:dyDescent="0.25">
      <c r="A14161" t="s">
        <v>399</v>
      </c>
      <c r="B14161" t="s">
        <v>1837</v>
      </c>
      <c r="C14161" t="s">
        <v>88</v>
      </c>
      <c r="D14161" t="s">
        <v>11245</v>
      </c>
      <c r="E14161" t="s">
        <v>820</v>
      </c>
      <c r="F14161" t="s">
        <v>88</v>
      </c>
      <c r="G14161" t="s">
        <v>88</v>
      </c>
      <c r="H14161" t="s">
        <v>92</v>
      </c>
    </row>
    <row r="14162" spans="1:8" x14ac:dyDescent="0.25">
      <c r="A14162" t="s">
        <v>399</v>
      </c>
      <c r="B14162" t="s">
        <v>1868</v>
      </c>
      <c r="C14162" t="s">
        <v>88</v>
      </c>
      <c r="D14162" t="s">
        <v>11303</v>
      </c>
      <c r="E14162" t="s">
        <v>692</v>
      </c>
      <c r="F14162" t="s">
        <v>88</v>
      </c>
      <c r="G14162" t="s">
        <v>88</v>
      </c>
      <c r="H14162" t="s">
        <v>92</v>
      </c>
    </row>
    <row r="14163" spans="1:8" x14ac:dyDescent="0.25">
      <c r="A14163" t="s">
        <v>399</v>
      </c>
      <c r="B14163" t="s">
        <v>583</v>
      </c>
      <c r="C14163" t="s">
        <v>88</v>
      </c>
      <c r="D14163" t="s">
        <v>11304</v>
      </c>
      <c r="E14163" t="s">
        <v>844</v>
      </c>
      <c r="F14163" t="s">
        <v>88</v>
      </c>
      <c r="G14163" t="s">
        <v>88</v>
      </c>
      <c r="H14163" t="s">
        <v>92</v>
      </c>
    </row>
    <row r="14164" spans="1:8" x14ac:dyDescent="0.25">
      <c r="A14164" t="s">
        <v>399</v>
      </c>
      <c r="B14164" t="s">
        <v>598</v>
      </c>
      <c r="C14164" t="s">
        <v>88</v>
      </c>
      <c r="D14164" t="s">
        <v>11305</v>
      </c>
      <c r="E14164" t="s">
        <v>676</v>
      </c>
      <c r="F14164" t="s">
        <v>88</v>
      </c>
      <c r="G14164" t="s">
        <v>88</v>
      </c>
      <c r="H14164" t="s">
        <v>92</v>
      </c>
    </row>
    <row r="14165" spans="1:8" x14ac:dyDescent="0.25">
      <c r="A14165" t="s">
        <v>399</v>
      </c>
      <c r="B14165" t="s">
        <v>2271</v>
      </c>
      <c r="C14165" t="s">
        <v>88</v>
      </c>
      <c r="D14165" t="s">
        <v>88</v>
      </c>
      <c r="E14165" t="s">
        <v>820</v>
      </c>
      <c r="F14165" t="s">
        <v>88</v>
      </c>
      <c r="G14165" t="s">
        <v>88</v>
      </c>
      <c r="H14165" t="s">
        <v>92</v>
      </c>
    </row>
    <row r="14166" spans="1:8" x14ac:dyDescent="0.25">
      <c r="A14166" t="s">
        <v>399</v>
      </c>
      <c r="B14166" t="s">
        <v>2194</v>
      </c>
      <c r="C14166" t="s">
        <v>88</v>
      </c>
      <c r="D14166" t="s">
        <v>11306</v>
      </c>
      <c r="E14166" t="s">
        <v>836</v>
      </c>
      <c r="F14166" t="s">
        <v>88</v>
      </c>
      <c r="G14166" t="s">
        <v>88</v>
      </c>
      <c r="H14166" t="s">
        <v>92</v>
      </c>
    </row>
    <row r="14167" spans="1:8" x14ac:dyDescent="0.25">
      <c r="A14167" t="s">
        <v>399</v>
      </c>
      <c r="B14167" t="s">
        <v>5328</v>
      </c>
      <c r="C14167" t="s">
        <v>88</v>
      </c>
      <c r="D14167" t="s">
        <v>11306</v>
      </c>
      <c r="E14167" t="s">
        <v>844</v>
      </c>
      <c r="F14167" t="s">
        <v>88</v>
      </c>
      <c r="G14167" t="s">
        <v>88</v>
      </c>
      <c r="H14167" t="s">
        <v>92</v>
      </c>
    </row>
    <row r="14168" spans="1:8" x14ac:dyDescent="0.25">
      <c r="A14168" t="s">
        <v>399</v>
      </c>
      <c r="B14168" t="s">
        <v>11307</v>
      </c>
      <c r="C14168" t="s">
        <v>88</v>
      </c>
      <c r="D14168" t="s">
        <v>88</v>
      </c>
      <c r="E14168" t="s">
        <v>820</v>
      </c>
      <c r="F14168" t="s">
        <v>88</v>
      </c>
      <c r="G14168" t="s">
        <v>88</v>
      </c>
      <c r="H14168" t="s">
        <v>92</v>
      </c>
    </row>
    <row r="14169" spans="1:8" x14ac:dyDescent="0.25">
      <c r="A14169" t="s">
        <v>399</v>
      </c>
      <c r="B14169" t="s">
        <v>11308</v>
      </c>
      <c r="C14169" t="s">
        <v>88</v>
      </c>
      <c r="D14169" t="s">
        <v>11309</v>
      </c>
      <c r="E14169" t="s">
        <v>836</v>
      </c>
      <c r="F14169" t="s">
        <v>88</v>
      </c>
      <c r="G14169" t="s">
        <v>88</v>
      </c>
      <c r="H14169" t="s">
        <v>92</v>
      </c>
    </row>
    <row r="14170" spans="1:8" x14ac:dyDescent="0.25">
      <c r="A14170" t="s">
        <v>399</v>
      </c>
      <c r="B14170" t="s">
        <v>11310</v>
      </c>
      <c r="C14170" t="s">
        <v>88</v>
      </c>
      <c r="D14170" t="s">
        <v>88</v>
      </c>
      <c r="E14170" t="s">
        <v>676</v>
      </c>
      <c r="F14170" t="s">
        <v>88</v>
      </c>
      <c r="G14170" t="s">
        <v>88</v>
      </c>
      <c r="H14170" t="s">
        <v>92</v>
      </c>
    </row>
    <row r="14171" spans="1:8" x14ac:dyDescent="0.25">
      <c r="A14171" t="s">
        <v>399</v>
      </c>
      <c r="B14171" t="s">
        <v>2160</v>
      </c>
      <c r="C14171" t="s">
        <v>88</v>
      </c>
      <c r="D14171" t="s">
        <v>88</v>
      </c>
      <c r="E14171" t="s">
        <v>836</v>
      </c>
      <c r="F14171" t="s">
        <v>88</v>
      </c>
      <c r="G14171" t="s">
        <v>88</v>
      </c>
      <c r="H14171" t="s">
        <v>92</v>
      </c>
    </row>
    <row r="14172" spans="1:8" x14ac:dyDescent="0.25">
      <c r="A14172" t="s">
        <v>399</v>
      </c>
      <c r="B14172" t="s">
        <v>3309</v>
      </c>
      <c r="C14172" t="s">
        <v>88</v>
      </c>
      <c r="D14172" t="s">
        <v>88</v>
      </c>
      <c r="E14172" t="s">
        <v>2833</v>
      </c>
      <c r="F14172" t="s">
        <v>88</v>
      </c>
      <c r="G14172" t="s">
        <v>88</v>
      </c>
      <c r="H14172" t="s">
        <v>92</v>
      </c>
    </row>
    <row r="14173" spans="1:8" x14ac:dyDescent="0.25">
      <c r="A14173" t="s">
        <v>399</v>
      </c>
      <c r="B14173" t="s">
        <v>2325</v>
      </c>
      <c r="C14173" t="s">
        <v>88</v>
      </c>
      <c r="D14173" t="s">
        <v>11311</v>
      </c>
      <c r="E14173" t="s">
        <v>836</v>
      </c>
      <c r="F14173" t="s">
        <v>88</v>
      </c>
      <c r="G14173" t="s">
        <v>88</v>
      </c>
      <c r="H14173" t="s">
        <v>92</v>
      </c>
    </row>
    <row r="14174" spans="1:8" x14ac:dyDescent="0.25">
      <c r="A14174" t="s">
        <v>399</v>
      </c>
      <c r="B14174" t="s">
        <v>2322</v>
      </c>
      <c r="C14174" t="s">
        <v>88</v>
      </c>
      <c r="D14174" t="s">
        <v>11312</v>
      </c>
      <c r="E14174" t="s">
        <v>836</v>
      </c>
      <c r="F14174" t="s">
        <v>88</v>
      </c>
      <c r="G14174" t="s">
        <v>88</v>
      </c>
      <c r="H14174" t="s">
        <v>92</v>
      </c>
    </row>
    <row r="14175" spans="1:8" x14ac:dyDescent="0.25">
      <c r="A14175" t="s">
        <v>399</v>
      </c>
      <c r="B14175" t="s">
        <v>11313</v>
      </c>
      <c r="C14175" t="s">
        <v>88</v>
      </c>
      <c r="D14175" t="s">
        <v>11314</v>
      </c>
      <c r="E14175" t="s">
        <v>2833</v>
      </c>
      <c r="F14175" t="s">
        <v>88</v>
      </c>
      <c r="G14175" t="s">
        <v>88</v>
      </c>
      <c r="H14175" t="s">
        <v>92</v>
      </c>
    </row>
    <row r="14176" spans="1:8" x14ac:dyDescent="0.25">
      <c r="A14176" t="s">
        <v>399</v>
      </c>
      <c r="B14176" t="s">
        <v>2391</v>
      </c>
      <c r="C14176" t="s">
        <v>88</v>
      </c>
      <c r="D14176" t="s">
        <v>11315</v>
      </c>
      <c r="E14176" t="s">
        <v>836</v>
      </c>
      <c r="F14176" t="s">
        <v>88</v>
      </c>
      <c r="G14176" t="s">
        <v>88</v>
      </c>
      <c r="H14176" t="s">
        <v>92</v>
      </c>
    </row>
    <row r="14177" spans="1:8" x14ac:dyDescent="0.25">
      <c r="A14177" t="s">
        <v>399</v>
      </c>
      <c r="B14177" t="s">
        <v>2399</v>
      </c>
      <c r="C14177" t="s">
        <v>88</v>
      </c>
      <c r="D14177" t="s">
        <v>11316</v>
      </c>
      <c r="E14177" t="s">
        <v>676</v>
      </c>
      <c r="F14177" t="s">
        <v>88</v>
      </c>
      <c r="G14177" t="s">
        <v>88</v>
      </c>
      <c r="H14177" t="s">
        <v>92</v>
      </c>
    </row>
    <row r="14178" spans="1:8" x14ac:dyDescent="0.25">
      <c r="A14178" t="s">
        <v>399</v>
      </c>
      <c r="B14178" t="s">
        <v>2394</v>
      </c>
      <c r="C14178" t="s">
        <v>88</v>
      </c>
      <c r="D14178" t="s">
        <v>11317</v>
      </c>
      <c r="E14178" t="s">
        <v>676</v>
      </c>
      <c r="F14178" t="s">
        <v>88</v>
      </c>
      <c r="G14178" t="s">
        <v>88</v>
      </c>
      <c r="H14178" t="s">
        <v>92</v>
      </c>
    </row>
    <row r="14179" spans="1:8" x14ac:dyDescent="0.25">
      <c r="A14179" t="s">
        <v>399</v>
      </c>
      <c r="B14179" t="s">
        <v>11318</v>
      </c>
      <c r="C14179" t="s">
        <v>88</v>
      </c>
      <c r="D14179" t="s">
        <v>88</v>
      </c>
      <c r="E14179" t="s">
        <v>844</v>
      </c>
      <c r="F14179" t="s">
        <v>88</v>
      </c>
      <c r="G14179" t="s">
        <v>88</v>
      </c>
      <c r="H14179" t="s">
        <v>92</v>
      </c>
    </row>
    <row r="14180" spans="1:8" x14ac:dyDescent="0.25">
      <c r="A14180" t="s">
        <v>399</v>
      </c>
      <c r="B14180" t="s">
        <v>9816</v>
      </c>
      <c r="C14180" t="s">
        <v>88</v>
      </c>
      <c r="D14180" t="s">
        <v>88</v>
      </c>
      <c r="E14180" t="s">
        <v>760</v>
      </c>
      <c r="F14180" t="s">
        <v>88</v>
      </c>
      <c r="G14180" t="s">
        <v>88</v>
      </c>
      <c r="H14180" t="s">
        <v>92</v>
      </c>
    </row>
    <row r="14181" spans="1:8" x14ac:dyDescent="0.25">
      <c r="A14181" t="s">
        <v>399</v>
      </c>
      <c r="B14181" t="s">
        <v>2204</v>
      </c>
      <c r="C14181" t="s">
        <v>88</v>
      </c>
      <c r="D14181" t="s">
        <v>88</v>
      </c>
      <c r="E14181" t="s">
        <v>760</v>
      </c>
      <c r="F14181" t="s">
        <v>88</v>
      </c>
      <c r="G14181" t="s">
        <v>88</v>
      </c>
      <c r="H14181" t="s">
        <v>92</v>
      </c>
    </row>
    <row r="14182" spans="1:8" x14ac:dyDescent="0.25">
      <c r="A14182" t="s">
        <v>399</v>
      </c>
      <c r="B14182" t="s">
        <v>2199</v>
      </c>
      <c r="C14182" t="s">
        <v>88</v>
      </c>
      <c r="D14182" t="s">
        <v>88</v>
      </c>
      <c r="E14182" t="s">
        <v>692</v>
      </c>
      <c r="F14182" t="s">
        <v>88</v>
      </c>
      <c r="G14182" t="s">
        <v>88</v>
      </c>
      <c r="H14182" t="s">
        <v>92</v>
      </c>
    </row>
    <row r="14183" spans="1:8" x14ac:dyDescent="0.25">
      <c r="A14183" t="s">
        <v>399</v>
      </c>
      <c r="B14183" t="s">
        <v>5172</v>
      </c>
      <c r="C14183" t="s">
        <v>88</v>
      </c>
      <c r="D14183" t="s">
        <v>88</v>
      </c>
      <c r="E14183" t="s">
        <v>844</v>
      </c>
      <c r="F14183" t="s">
        <v>88</v>
      </c>
      <c r="G14183" t="s">
        <v>88</v>
      </c>
      <c r="H14183" t="s">
        <v>92</v>
      </c>
    </row>
    <row r="14184" spans="1:8" x14ac:dyDescent="0.25">
      <c r="A14184" t="s">
        <v>399</v>
      </c>
      <c r="B14184" t="s">
        <v>2202</v>
      </c>
      <c r="C14184" t="s">
        <v>88</v>
      </c>
      <c r="D14184" t="s">
        <v>88</v>
      </c>
      <c r="E14184" t="s">
        <v>655</v>
      </c>
      <c r="F14184" t="s">
        <v>88</v>
      </c>
      <c r="G14184" t="s">
        <v>88</v>
      </c>
      <c r="H14184" t="s">
        <v>92</v>
      </c>
    </row>
    <row r="14185" spans="1:8" x14ac:dyDescent="0.25">
      <c r="A14185" t="s">
        <v>399</v>
      </c>
      <c r="B14185" t="s">
        <v>11319</v>
      </c>
      <c r="C14185" t="s">
        <v>88</v>
      </c>
      <c r="D14185" t="s">
        <v>88</v>
      </c>
      <c r="E14185" t="s">
        <v>820</v>
      </c>
      <c r="F14185" t="s">
        <v>88</v>
      </c>
      <c r="G14185" t="s">
        <v>88</v>
      </c>
      <c r="H14185" t="s">
        <v>92</v>
      </c>
    </row>
    <row r="14186" spans="1:8" x14ac:dyDescent="0.25">
      <c r="A14186" t="s">
        <v>399</v>
      </c>
      <c r="B14186" t="s">
        <v>2349</v>
      </c>
      <c r="C14186" t="s">
        <v>88</v>
      </c>
      <c r="D14186" t="s">
        <v>11320</v>
      </c>
      <c r="E14186" t="s">
        <v>1006</v>
      </c>
      <c r="F14186" t="s">
        <v>88</v>
      </c>
      <c r="G14186" t="s">
        <v>88</v>
      </c>
      <c r="H14186" t="s">
        <v>92</v>
      </c>
    </row>
    <row r="14187" spans="1:8" x14ac:dyDescent="0.25">
      <c r="A14187" t="s">
        <v>399</v>
      </c>
      <c r="B14187" t="s">
        <v>11321</v>
      </c>
      <c r="C14187" t="s">
        <v>88</v>
      </c>
      <c r="D14187" t="s">
        <v>11322</v>
      </c>
      <c r="E14187" t="s">
        <v>760</v>
      </c>
      <c r="F14187" t="s">
        <v>88</v>
      </c>
      <c r="G14187" t="s">
        <v>88</v>
      </c>
      <c r="H14187" t="s">
        <v>92</v>
      </c>
    </row>
    <row r="14188" spans="1:8" x14ac:dyDescent="0.25">
      <c r="A14188" t="s">
        <v>399</v>
      </c>
      <c r="B14188" t="s">
        <v>11323</v>
      </c>
      <c r="C14188" t="s">
        <v>88</v>
      </c>
      <c r="D14188" t="s">
        <v>11324</v>
      </c>
      <c r="E14188" t="s">
        <v>1006</v>
      </c>
      <c r="F14188" t="s">
        <v>88</v>
      </c>
      <c r="G14188" t="s">
        <v>88</v>
      </c>
      <c r="H14188" t="s">
        <v>92</v>
      </c>
    </row>
    <row r="14189" spans="1:8" x14ac:dyDescent="0.25">
      <c r="A14189" t="s">
        <v>399</v>
      </c>
      <c r="B14189" t="s">
        <v>2345</v>
      </c>
      <c r="C14189" t="s">
        <v>88</v>
      </c>
      <c r="D14189" t="s">
        <v>11325</v>
      </c>
      <c r="E14189" t="s">
        <v>820</v>
      </c>
      <c r="F14189" t="s">
        <v>88</v>
      </c>
      <c r="G14189" t="s">
        <v>88</v>
      </c>
      <c r="H14189" t="s">
        <v>92</v>
      </c>
    </row>
    <row r="14190" spans="1:8" x14ac:dyDescent="0.25">
      <c r="A14190" t="s">
        <v>399</v>
      </c>
      <c r="B14190" t="s">
        <v>11326</v>
      </c>
      <c r="C14190" t="s">
        <v>88</v>
      </c>
      <c r="D14190" t="s">
        <v>11327</v>
      </c>
      <c r="E14190" t="s">
        <v>760</v>
      </c>
      <c r="F14190" t="s">
        <v>88</v>
      </c>
      <c r="G14190" t="s">
        <v>88</v>
      </c>
      <c r="H14190" t="s">
        <v>92</v>
      </c>
    </row>
    <row r="14191" spans="1:8" x14ac:dyDescent="0.25">
      <c r="A14191" t="s">
        <v>399</v>
      </c>
      <c r="B14191" t="s">
        <v>11328</v>
      </c>
      <c r="C14191" t="s">
        <v>88</v>
      </c>
      <c r="D14191" t="s">
        <v>11329</v>
      </c>
      <c r="E14191" t="s">
        <v>844</v>
      </c>
      <c r="F14191" t="s">
        <v>88</v>
      </c>
      <c r="G14191" t="s">
        <v>88</v>
      </c>
      <c r="H14191" t="s">
        <v>92</v>
      </c>
    </row>
    <row r="14192" spans="1:8" x14ac:dyDescent="0.25">
      <c r="A14192" t="s">
        <v>399</v>
      </c>
      <c r="B14192" t="s">
        <v>11330</v>
      </c>
      <c r="C14192" t="s">
        <v>88</v>
      </c>
      <c r="D14192" t="s">
        <v>11331</v>
      </c>
      <c r="E14192" t="s">
        <v>1282</v>
      </c>
      <c r="F14192" t="s">
        <v>88</v>
      </c>
      <c r="G14192" t="s">
        <v>88</v>
      </c>
      <c r="H14192" t="s">
        <v>92</v>
      </c>
    </row>
    <row r="14193" spans="1:8" x14ac:dyDescent="0.25">
      <c r="A14193" t="s">
        <v>399</v>
      </c>
      <c r="B14193" t="s">
        <v>1116</v>
      </c>
      <c r="C14193" t="s">
        <v>88</v>
      </c>
      <c r="D14193" t="s">
        <v>88</v>
      </c>
      <c r="E14193" t="s">
        <v>760</v>
      </c>
      <c r="F14193" t="s">
        <v>88</v>
      </c>
      <c r="G14193" t="s">
        <v>88</v>
      </c>
      <c r="H14193" t="s">
        <v>92</v>
      </c>
    </row>
    <row r="14194" spans="1:8" x14ac:dyDescent="0.25">
      <c r="A14194" t="s">
        <v>399</v>
      </c>
      <c r="B14194" t="s">
        <v>11332</v>
      </c>
      <c r="C14194" t="s">
        <v>88</v>
      </c>
      <c r="D14194" t="s">
        <v>88</v>
      </c>
      <c r="E14194" t="s">
        <v>760</v>
      </c>
      <c r="F14194" t="s">
        <v>88</v>
      </c>
      <c r="G14194" t="s">
        <v>88</v>
      </c>
      <c r="H14194" t="s">
        <v>92</v>
      </c>
    </row>
    <row r="14195" spans="1:8" x14ac:dyDescent="0.25">
      <c r="A14195" t="s">
        <v>399</v>
      </c>
      <c r="B14195" t="s">
        <v>8295</v>
      </c>
      <c r="C14195" t="s">
        <v>88</v>
      </c>
      <c r="D14195" t="s">
        <v>88</v>
      </c>
      <c r="E14195" t="s">
        <v>760</v>
      </c>
      <c r="F14195" t="s">
        <v>88</v>
      </c>
      <c r="G14195" t="s">
        <v>88</v>
      </c>
      <c r="H14195" t="s">
        <v>92</v>
      </c>
    </row>
    <row r="14196" spans="1:8" x14ac:dyDescent="0.25">
      <c r="A14196" t="s">
        <v>399</v>
      </c>
      <c r="B14196" t="s">
        <v>11333</v>
      </c>
      <c r="C14196" t="s">
        <v>88</v>
      </c>
      <c r="D14196" t="s">
        <v>88</v>
      </c>
      <c r="E14196" t="s">
        <v>760</v>
      </c>
      <c r="F14196" t="s">
        <v>88</v>
      </c>
      <c r="G14196" t="s">
        <v>88</v>
      </c>
      <c r="H14196" t="s">
        <v>92</v>
      </c>
    </row>
    <row r="14197" spans="1:8" x14ac:dyDescent="0.25">
      <c r="A14197" t="s">
        <v>399</v>
      </c>
      <c r="B14197" t="s">
        <v>11334</v>
      </c>
      <c r="C14197" t="s">
        <v>88</v>
      </c>
      <c r="D14197" t="s">
        <v>88</v>
      </c>
      <c r="E14197" t="s">
        <v>760</v>
      </c>
      <c r="F14197" t="s">
        <v>88</v>
      </c>
      <c r="G14197" t="s">
        <v>88</v>
      </c>
      <c r="H14197" t="s">
        <v>92</v>
      </c>
    </row>
    <row r="14198" spans="1:8" x14ac:dyDescent="0.25">
      <c r="A14198" t="s">
        <v>399</v>
      </c>
      <c r="B14198" t="s">
        <v>4440</v>
      </c>
      <c r="C14198" t="s">
        <v>88</v>
      </c>
      <c r="D14198" t="s">
        <v>88</v>
      </c>
      <c r="E14198" t="s">
        <v>760</v>
      </c>
      <c r="F14198" t="s">
        <v>88</v>
      </c>
      <c r="G14198" t="s">
        <v>88</v>
      </c>
      <c r="H14198" t="s">
        <v>92</v>
      </c>
    </row>
    <row r="14199" spans="1:8" x14ac:dyDescent="0.25">
      <c r="A14199" t="s">
        <v>399</v>
      </c>
      <c r="B14199" t="s">
        <v>1398</v>
      </c>
      <c r="C14199" t="s">
        <v>88</v>
      </c>
      <c r="D14199" t="s">
        <v>88</v>
      </c>
      <c r="E14199" t="s">
        <v>760</v>
      </c>
      <c r="F14199" t="s">
        <v>88</v>
      </c>
      <c r="G14199" t="s">
        <v>88</v>
      </c>
      <c r="H14199" t="s">
        <v>92</v>
      </c>
    </row>
    <row r="14200" spans="1:8" x14ac:dyDescent="0.25">
      <c r="A14200" t="s">
        <v>399</v>
      </c>
      <c r="B14200" t="s">
        <v>11335</v>
      </c>
      <c r="C14200" t="s">
        <v>88</v>
      </c>
      <c r="D14200" t="s">
        <v>88</v>
      </c>
      <c r="E14200" t="s">
        <v>844</v>
      </c>
      <c r="F14200" t="s">
        <v>88</v>
      </c>
      <c r="G14200" t="s">
        <v>88</v>
      </c>
      <c r="H14200" t="s">
        <v>92</v>
      </c>
    </row>
    <row r="14201" spans="1:8" x14ac:dyDescent="0.25">
      <c r="A14201" t="s">
        <v>399</v>
      </c>
      <c r="B14201" t="s">
        <v>701</v>
      </c>
      <c r="C14201" t="s">
        <v>88</v>
      </c>
      <c r="D14201" t="s">
        <v>88</v>
      </c>
      <c r="E14201" t="s">
        <v>738</v>
      </c>
      <c r="F14201" t="s">
        <v>88</v>
      </c>
      <c r="G14201" t="s">
        <v>88</v>
      </c>
      <c r="H14201" t="s">
        <v>92</v>
      </c>
    </row>
    <row r="14202" spans="1:8" x14ac:dyDescent="0.25">
      <c r="A14202" t="s">
        <v>399</v>
      </c>
      <c r="B14202" t="s">
        <v>703</v>
      </c>
      <c r="C14202" t="s">
        <v>88</v>
      </c>
      <c r="D14202" t="s">
        <v>88</v>
      </c>
      <c r="E14202" t="s">
        <v>780</v>
      </c>
      <c r="F14202" t="s">
        <v>88</v>
      </c>
      <c r="G14202" t="s">
        <v>88</v>
      </c>
      <c r="H14202" t="s">
        <v>92</v>
      </c>
    </row>
    <row r="14203" spans="1:8" x14ac:dyDescent="0.25">
      <c r="A14203" t="s">
        <v>399</v>
      </c>
      <c r="B14203" t="s">
        <v>704</v>
      </c>
      <c r="C14203" t="s">
        <v>88</v>
      </c>
      <c r="D14203" t="s">
        <v>88</v>
      </c>
      <c r="E14203" t="s">
        <v>780</v>
      </c>
      <c r="F14203" t="s">
        <v>88</v>
      </c>
      <c r="G14203" t="s">
        <v>88</v>
      </c>
      <c r="H14203" t="s">
        <v>92</v>
      </c>
    </row>
    <row r="14204" spans="1:8" x14ac:dyDescent="0.25">
      <c r="A14204" t="s">
        <v>399</v>
      </c>
      <c r="B14204" t="s">
        <v>705</v>
      </c>
      <c r="C14204" t="s">
        <v>88</v>
      </c>
      <c r="D14204" t="s">
        <v>88</v>
      </c>
      <c r="E14204" t="s">
        <v>780</v>
      </c>
      <c r="F14204" t="s">
        <v>88</v>
      </c>
      <c r="G14204" t="s">
        <v>88</v>
      </c>
      <c r="H14204" t="s">
        <v>92</v>
      </c>
    </row>
    <row r="14205" spans="1:8" x14ac:dyDescent="0.25">
      <c r="A14205" t="s">
        <v>399</v>
      </c>
      <c r="B14205" t="s">
        <v>706</v>
      </c>
      <c r="C14205" t="s">
        <v>88</v>
      </c>
      <c r="D14205" t="s">
        <v>88</v>
      </c>
      <c r="E14205" t="s">
        <v>738</v>
      </c>
      <c r="F14205" t="s">
        <v>88</v>
      </c>
      <c r="G14205" t="s">
        <v>88</v>
      </c>
      <c r="H14205" t="s">
        <v>92</v>
      </c>
    </row>
    <row r="14206" spans="1:8" x14ac:dyDescent="0.25">
      <c r="A14206" t="s">
        <v>399</v>
      </c>
      <c r="B14206" t="s">
        <v>707</v>
      </c>
      <c r="C14206" t="s">
        <v>88</v>
      </c>
      <c r="D14206" t="s">
        <v>88</v>
      </c>
      <c r="E14206" t="s">
        <v>738</v>
      </c>
      <c r="F14206" t="s">
        <v>88</v>
      </c>
      <c r="G14206" t="s">
        <v>88</v>
      </c>
      <c r="H14206" t="s">
        <v>92</v>
      </c>
    </row>
    <row r="14207" spans="1:8" x14ac:dyDescent="0.25">
      <c r="A14207" t="s">
        <v>399</v>
      </c>
      <c r="B14207" t="s">
        <v>11336</v>
      </c>
      <c r="C14207" t="s">
        <v>88</v>
      </c>
      <c r="D14207" t="s">
        <v>88</v>
      </c>
      <c r="E14207" t="s">
        <v>738</v>
      </c>
      <c r="F14207" t="s">
        <v>88</v>
      </c>
      <c r="G14207" t="s">
        <v>88</v>
      </c>
      <c r="H14207" t="s">
        <v>92</v>
      </c>
    </row>
    <row r="14208" spans="1:8" x14ac:dyDescent="0.25">
      <c r="A14208" t="s">
        <v>399</v>
      </c>
      <c r="B14208" t="s">
        <v>708</v>
      </c>
      <c r="C14208" t="s">
        <v>88</v>
      </c>
      <c r="D14208" t="s">
        <v>88</v>
      </c>
      <c r="E14208" t="s">
        <v>738</v>
      </c>
      <c r="F14208" t="s">
        <v>88</v>
      </c>
      <c r="G14208" t="s">
        <v>88</v>
      </c>
      <c r="H14208" t="s">
        <v>92</v>
      </c>
    </row>
    <row r="14209" spans="1:8" x14ac:dyDescent="0.25">
      <c r="A14209" t="s">
        <v>399</v>
      </c>
      <c r="B14209" t="s">
        <v>11337</v>
      </c>
      <c r="C14209" t="s">
        <v>88</v>
      </c>
      <c r="D14209" t="s">
        <v>88</v>
      </c>
      <c r="E14209" t="s">
        <v>655</v>
      </c>
      <c r="F14209" t="s">
        <v>88</v>
      </c>
      <c r="G14209" t="s">
        <v>88</v>
      </c>
      <c r="H14209" t="s">
        <v>92</v>
      </c>
    </row>
    <row r="14210" spans="1:8" x14ac:dyDescent="0.25">
      <c r="A14210" t="s">
        <v>399</v>
      </c>
      <c r="B14210" t="s">
        <v>618</v>
      </c>
      <c r="C14210" t="s">
        <v>88</v>
      </c>
      <c r="D14210" t="s">
        <v>88</v>
      </c>
      <c r="E14210" t="s">
        <v>715</v>
      </c>
      <c r="F14210" t="s">
        <v>88</v>
      </c>
      <c r="G14210" t="s">
        <v>88</v>
      </c>
      <c r="H14210" t="s">
        <v>92</v>
      </c>
    </row>
    <row r="14211" spans="1:8" x14ac:dyDescent="0.25">
      <c r="A14211" t="s">
        <v>399</v>
      </c>
      <c r="B14211" t="s">
        <v>620</v>
      </c>
      <c r="C14211" t="s">
        <v>88</v>
      </c>
      <c r="D14211" t="s">
        <v>88</v>
      </c>
      <c r="E14211" t="s">
        <v>738</v>
      </c>
      <c r="F14211" t="s">
        <v>88</v>
      </c>
      <c r="G14211" t="s">
        <v>88</v>
      </c>
      <c r="H14211" t="s">
        <v>92</v>
      </c>
    </row>
    <row r="14212" spans="1:8" x14ac:dyDescent="0.25">
      <c r="A14212" t="s">
        <v>399</v>
      </c>
      <c r="B14212" t="s">
        <v>623</v>
      </c>
      <c r="C14212" t="s">
        <v>88</v>
      </c>
      <c r="D14212" t="s">
        <v>88</v>
      </c>
      <c r="E14212" t="s">
        <v>709</v>
      </c>
      <c r="F14212" t="s">
        <v>88</v>
      </c>
      <c r="G14212" t="s">
        <v>88</v>
      </c>
      <c r="H14212" t="s">
        <v>92</v>
      </c>
    </row>
    <row r="14213" spans="1:8" x14ac:dyDescent="0.25">
      <c r="A14213" t="s">
        <v>399</v>
      </c>
      <c r="B14213" t="s">
        <v>11338</v>
      </c>
      <c r="C14213" t="s">
        <v>88</v>
      </c>
      <c r="D14213" t="s">
        <v>11339</v>
      </c>
      <c r="E14213" t="s">
        <v>655</v>
      </c>
      <c r="F14213" t="s">
        <v>88</v>
      </c>
      <c r="G14213" t="s">
        <v>88</v>
      </c>
      <c r="H14213" t="s">
        <v>92</v>
      </c>
    </row>
    <row r="14214" spans="1:8" x14ac:dyDescent="0.25">
      <c r="A14214" t="s">
        <v>399</v>
      </c>
      <c r="B14214" t="s">
        <v>5538</v>
      </c>
      <c r="C14214" t="s">
        <v>88</v>
      </c>
      <c r="D14214" t="s">
        <v>11339</v>
      </c>
      <c r="E14214" t="s">
        <v>655</v>
      </c>
      <c r="F14214" t="s">
        <v>88</v>
      </c>
      <c r="G14214" t="s">
        <v>88</v>
      </c>
      <c r="H14214" t="s">
        <v>92</v>
      </c>
    </row>
    <row r="14215" spans="1:8" x14ac:dyDescent="0.25">
      <c r="A14215" t="s">
        <v>399</v>
      </c>
      <c r="B14215" t="s">
        <v>11340</v>
      </c>
      <c r="C14215" t="s">
        <v>88</v>
      </c>
      <c r="D14215" t="s">
        <v>11341</v>
      </c>
      <c r="E14215" t="s">
        <v>655</v>
      </c>
      <c r="F14215" t="s">
        <v>88</v>
      </c>
      <c r="G14215" t="s">
        <v>88</v>
      </c>
      <c r="H14215" t="s">
        <v>92</v>
      </c>
    </row>
    <row r="14216" spans="1:8" x14ac:dyDescent="0.25">
      <c r="A14216" t="s">
        <v>399</v>
      </c>
      <c r="B14216" t="s">
        <v>11342</v>
      </c>
      <c r="C14216" t="s">
        <v>88</v>
      </c>
      <c r="D14216" t="s">
        <v>88</v>
      </c>
      <c r="E14216" t="s">
        <v>655</v>
      </c>
      <c r="F14216" t="s">
        <v>88</v>
      </c>
      <c r="G14216" t="s">
        <v>88</v>
      </c>
      <c r="H14216" t="s">
        <v>92</v>
      </c>
    </row>
    <row r="14217" spans="1:8" x14ac:dyDescent="0.25">
      <c r="A14217" t="s">
        <v>399</v>
      </c>
      <c r="B14217" t="s">
        <v>11343</v>
      </c>
      <c r="C14217" t="s">
        <v>88</v>
      </c>
      <c r="D14217" t="s">
        <v>88</v>
      </c>
      <c r="E14217" t="s">
        <v>655</v>
      </c>
      <c r="F14217" t="s">
        <v>88</v>
      </c>
      <c r="G14217" t="s">
        <v>88</v>
      </c>
      <c r="H14217" t="s">
        <v>92</v>
      </c>
    </row>
    <row r="14218" spans="1:8" x14ac:dyDescent="0.25">
      <c r="A14218" t="s">
        <v>399</v>
      </c>
      <c r="B14218" t="s">
        <v>11344</v>
      </c>
      <c r="C14218" t="s">
        <v>88</v>
      </c>
      <c r="D14218" t="s">
        <v>88</v>
      </c>
      <c r="E14218" t="s">
        <v>760</v>
      </c>
      <c r="F14218" t="s">
        <v>88</v>
      </c>
      <c r="G14218" t="s">
        <v>88</v>
      </c>
      <c r="H14218" t="s">
        <v>92</v>
      </c>
    </row>
    <row r="14219" spans="1:8" x14ac:dyDescent="0.25">
      <c r="A14219" t="s">
        <v>399</v>
      </c>
      <c r="B14219" t="s">
        <v>5405</v>
      </c>
      <c r="C14219" t="s">
        <v>88</v>
      </c>
      <c r="D14219" t="s">
        <v>88</v>
      </c>
      <c r="E14219" t="s">
        <v>1282</v>
      </c>
      <c r="F14219" t="s">
        <v>88</v>
      </c>
      <c r="G14219" t="s">
        <v>88</v>
      </c>
      <c r="H14219" t="s">
        <v>92</v>
      </c>
    </row>
    <row r="14220" spans="1:8" x14ac:dyDescent="0.25">
      <c r="A14220" t="s">
        <v>399</v>
      </c>
      <c r="B14220" t="s">
        <v>5409</v>
      </c>
      <c r="C14220" t="s">
        <v>88</v>
      </c>
      <c r="D14220" t="s">
        <v>88</v>
      </c>
      <c r="E14220" t="s">
        <v>655</v>
      </c>
      <c r="F14220" t="s">
        <v>88</v>
      </c>
      <c r="G14220" t="s">
        <v>88</v>
      </c>
      <c r="H14220" t="s">
        <v>92</v>
      </c>
    </row>
    <row r="14221" spans="1:8" x14ac:dyDescent="0.25">
      <c r="A14221" t="s">
        <v>399</v>
      </c>
      <c r="B14221" t="s">
        <v>5410</v>
      </c>
      <c r="C14221" t="s">
        <v>88</v>
      </c>
      <c r="D14221" t="s">
        <v>88</v>
      </c>
      <c r="E14221" t="s">
        <v>748</v>
      </c>
      <c r="F14221" t="s">
        <v>88</v>
      </c>
      <c r="G14221" t="s">
        <v>88</v>
      </c>
      <c r="H14221" t="s">
        <v>92</v>
      </c>
    </row>
    <row r="14222" spans="1:8" x14ac:dyDescent="0.25">
      <c r="A14222" t="s">
        <v>399</v>
      </c>
      <c r="B14222" t="s">
        <v>11345</v>
      </c>
      <c r="C14222" t="s">
        <v>88</v>
      </c>
      <c r="D14222" t="s">
        <v>88</v>
      </c>
      <c r="E14222" t="s">
        <v>717</v>
      </c>
      <c r="F14222" t="s">
        <v>88</v>
      </c>
      <c r="G14222" t="s">
        <v>88</v>
      </c>
      <c r="H14222" t="s">
        <v>92</v>
      </c>
    </row>
    <row r="14223" spans="1:8" x14ac:dyDescent="0.25">
      <c r="A14223" t="s">
        <v>399</v>
      </c>
      <c r="B14223" t="s">
        <v>11346</v>
      </c>
      <c r="C14223" t="s">
        <v>88</v>
      </c>
      <c r="D14223" t="s">
        <v>88</v>
      </c>
      <c r="E14223" t="s">
        <v>760</v>
      </c>
      <c r="F14223" t="s">
        <v>88</v>
      </c>
      <c r="G14223" t="s">
        <v>88</v>
      </c>
      <c r="H14223" t="s">
        <v>92</v>
      </c>
    </row>
    <row r="14224" spans="1:8" x14ac:dyDescent="0.25">
      <c r="A14224" t="s">
        <v>399</v>
      </c>
      <c r="B14224" t="s">
        <v>5435</v>
      </c>
      <c r="C14224" t="s">
        <v>88</v>
      </c>
      <c r="D14224" t="s">
        <v>88</v>
      </c>
      <c r="E14224" t="s">
        <v>700</v>
      </c>
      <c r="F14224" t="s">
        <v>88</v>
      </c>
      <c r="G14224" t="s">
        <v>88</v>
      </c>
      <c r="H14224" t="s">
        <v>92</v>
      </c>
    </row>
    <row r="14225" spans="1:8" x14ac:dyDescent="0.25">
      <c r="A14225" t="s">
        <v>399</v>
      </c>
      <c r="B14225" t="s">
        <v>5439</v>
      </c>
      <c r="C14225" t="s">
        <v>88</v>
      </c>
      <c r="D14225" t="s">
        <v>88</v>
      </c>
      <c r="E14225" t="s">
        <v>762</v>
      </c>
      <c r="F14225" t="s">
        <v>88</v>
      </c>
      <c r="G14225" t="s">
        <v>88</v>
      </c>
      <c r="H14225" t="s">
        <v>92</v>
      </c>
    </row>
    <row r="14226" spans="1:8" x14ac:dyDescent="0.25">
      <c r="A14226" t="s">
        <v>399</v>
      </c>
      <c r="B14226" t="s">
        <v>5451</v>
      </c>
      <c r="C14226" t="s">
        <v>88</v>
      </c>
      <c r="D14226" t="s">
        <v>88</v>
      </c>
      <c r="E14226" t="s">
        <v>748</v>
      </c>
      <c r="F14226" t="s">
        <v>88</v>
      </c>
      <c r="G14226" t="s">
        <v>88</v>
      </c>
      <c r="H14226" t="s">
        <v>92</v>
      </c>
    </row>
    <row r="14227" spans="1:8" x14ac:dyDescent="0.25">
      <c r="A14227" t="s">
        <v>399</v>
      </c>
      <c r="B14227" t="s">
        <v>5455</v>
      </c>
      <c r="C14227" t="s">
        <v>88</v>
      </c>
      <c r="D14227" t="s">
        <v>88</v>
      </c>
      <c r="E14227" t="s">
        <v>658</v>
      </c>
      <c r="F14227" t="s">
        <v>88</v>
      </c>
      <c r="G14227" t="s">
        <v>88</v>
      </c>
      <c r="H14227" t="s">
        <v>92</v>
      </c>
    </row>
    <row r="14228" spans="1:8" x14ac:dyDescent="0.25">
      <c r="A14228" t="s">
        <v>399</v>
      </c>
      <c r="B14228" t="s">
        <v>11347</v>
      </c>
      <c r="C14228" t="s">
        <v>88</v>
      </c>
      <c r="D14228" t="s">
        <v>88</v>
      </c>
      <c r="E14228" t="s">
        <v>748</v>
      </c>
      <c r="F14228" t="s">
        <v>88</v>
      </c>
      <c r="G14228" t="s">
        <v>88</v>
      </c>
      <c r="H14228" t="s">
        <v>92</v>
      </c>
    </row>
    <row r="14229" spans="1:8" x14ac:dyDescent="0.25">
      <c r="A14229" t="s">
        <v>399</v>
      </c>
      <c r="B14229" t="s">
        <v>11348</v>
      </c>
      <c r="C14229" t="s">
        <v>88</v>
      </c>
      <c r="D14229" t="s">
        <v>88</v>
      </c>
      <c r="E14229" t="s">
        <v>658</v>
      </c>
      <c r="F14229" t="s">
        <v>88</v>
      </c>
      <c r="G14229" t="s">
        <v>88</v>
      </c>
      <c r="H14229" t="s">
        <v>92</v>
      </c>
    </row>
    <row r="14230" spans="1:8" x14ac:dyDescent="0.25">
      <c r="A14230" t="s">
        <v>399</v>
      </c>
      <c r="B14230" t="s">
        <v>11349</v>
      </c>
      <c r="C14230" t="s">
        <v>88</v>
      </c>
      <c r="D14230" t="s">
        <v>88</v>
      </c>
      <c r="E14230" t="s">
        <v>748</v>
      </c>
      <c r="F14230" t="s">
        <v>88</v>
      </c>
      <c r="G14230" t="s">
        <v>88</v>
      </c>
      <c r="H14230" t="s">
        <v>92</v>
      </c>
    </row>
    <row r="14231" spans="1:8" x14ac:dyDescent="0.25">
      <c r="A14231" t="s">
        <v>399</v>
      </c>
      <c r="B14231" t="s">
        <v>11350</v>
      </c>
      <c r="C14231" t="s">
        <v>88</v>
      </c>
      <c r="D14231" t="s">
        <v>88</v>
      </c>
      <c r="E14231" t="s">
        <v>748</v>
      </c>
      <c r="F14231" t="s">
        <v>88</v>
      </c>
      <c r="G14231" t="s">
        <v>88</v>
      </c>
      <c r="H14231" t="s">
        <v>92</v>
      </c>
    </row>
    <row r="14232" spans="1:8" x14ac:dyDescent="0.25">
      <c r="A14232" t="s">
        <v>399</v>
      </c>
      <c r="B14232" t="s">
        <v>11351</v>
      </c>
      <c r="C14232" t="s">
        <v>88</v>
      </c>
      <c r="D14232" t="s">
        <v>88</v>
      </c>
      <c r="E14232" t="s">
        <v>655</v>
      </c>
      <c r="F14232" t="s">
        <v>88</v>
      </c>
      <c r="G14232" t="s">
        <v>88</v>
      </c>
      <c r="H14232" t="s">
        <v>92</v>
      </c>
    </row>
    <row r="14233" spans="1:8" x14ac:dyDescent="0.25">
      <c r="A14233" t="s">
        <v>399</v>
      </c>
      <c r="B14233" t="s">
        <v>11352</v>
      </c>
      <c r="C14233" t="s">
        <v>88</v>
      </c>
      <c r="D14233" t="s">
        <v>88</v>
      </c>
      <c r="E14233" t="s">
        <v>655</v>
      </c>
      <c r="F14233" t="s">
        <v>88</v>
      </c>
      <c r="G14233" t="s">
        <v>88</v>
      </c>
      <c r="H14233" t="s">
        <v>92</v>
      </c>
    </row>
    <row r="14234" spans="1:8" x14ac:dyDescent="0.25">
      <c r="A14234" t="s">
        <v>399</v>
      </c>
      <c r="B14234" t="s">
        <v>11353</v>
      </c>
      <c r="C14234" t="s">
        <v>88</v>
      </c>
      <c r="D14234" t="s">
        <v>88</v>
      </c>
      <c r="E14234" t="s">
        <v>655</v>
      </c>
      <c r="F14234" t="s">
        <v>88</v>
      </c>
      <c r="G14234" t="s">
        <v>88</v>
      </c>
      <c r="H14234" t="s">
        <v>92</v>
      </c>
    </row>
    <row r="14235" spans="1:8" x14ac:dyDescent="0.25">
      <c r="A14235" t="s">
        <v>399</v>
      </c>
      <c r="B14235" t="s">
        <v>11354</v>
      </c>
      <c r="C14235" t="s">
        <v>88</v>
      </c>
      <c r="D14235" t="s">
        <v>88</v>
      </c>
      <c r="E14235" t="s">
        <v>655</v>
      </c>
      <c r="F14235" t="s">
        <v>88</v>
      </c>
      <c r="G14235" t="s">
        <v>88</v>
      </c>
      <c r="H14235" t="s">
        <v>92</v>
      </c>
    </row>
    <row r="14236" spans="1:8" x14ac:dyDescent="0.25">
      <c r="A14236" t="s">
        <v>399</v>
      </c>
      <c r="B14236" t="s">
        <v>11355</v>
      </c>
      <c r="C14236" t="s">
        <v>88</v>
      </c>
      <c r="D14236" t="s">
        <v>11356</v>
      </c>
      <c r="E14236" t="s">
        <v>655</v>
      </c>
      <c r="F14236" t="s">
        <v>88</v>
      </c>
      <c r="G14236" t="s">
        <v>88</v>
      </c>
      <c r="H14236" t="s">
        <v>92</v>
      </c>
    </row>
    <row r="14237" spans="1:8" x14ac:dyDescent="0.25">
      <c r="A14237" t="s">
        <v>399</v>
      </c>
      <c r="B14237" t="s">
        <v>11357</v>
      </c>
      <c r="C14237" t="s">
        <v>88</v>
      </c>
      <c r="D14237" t="s">
        <v>88</v>
      </c>
      <c r="E14237" t="s">
        <v>762</v>
      </c>
      <c r="F14237" t="s">
        <v>88</v>
      </c>
      <c r="G14237" t="s">
        <v>88</v>
      </c>
      <c r="H14237" t="s">
        <v>92</v>
      </c>
    </row>
    <row r="14238" spans="1:8" x14ac:dyDescent="0.25">
      <c r="A14238" t="s">
        <v>399</v>
      </c>
      <c r="B14238" t="s">
        <v>11358</v>
      </c>
      <c r="C14238" t="s">
        <v>88</v>
      </c>
      <c r="D14238" t="s">
        <v>88</v>
      </c>
      <c r="E14238" t="s">
        <v>655</v>
      </c>
      <c r="F14238" t="s">
        <v>88</v>
      </c>
      <c r="G14238" t="s">
        <v>88</v>
      </c>
      <c r="H14238" t="s">
        <v>92</v>
      </c>
    </row>
    <row r="14239" spans="1:8" x14ac:dyDescent="0.25">
      <c r="A14239" t="s">
        <v>399</v>
      </c>
      <c r="B14239" t="s">
        <v>11359</v>
      </c>
      <c r="C14239" t="s">
        <v>88</v>
      </c>
      <c r="D14239" t="s">
        <v>88</v>
      </c>
      <c r="E14239" t="s">
        <v>655</v>
      </c>
      <c r="F14239" t="s">
        <v>88</v>
      </c>
      <c r="G14239" t="s">
        <v>88</v>
      </c>
      <c r="H14239" t="s">
        <v>92</v>
      </c>
    </row>
    <row r="14240" spans="1:8" x14ac:dyDescent="0.25">
      <c r="A14240" t="s">
        <v>399</v>
      </c>
      <c r="B14240" t="s">
        <v>11360</v>
      </c>
      <c r="C14240" t="s">
        <v>88</v>
      </c>
      <c r="D14240" t="s">
        <v>88</v>
      </c>
      <c r="E14240" t="s">
        <v>655</v>
      </c>
      <c r="F14240" t="s">
        <v>88</v>
      </c>
      <c r="G14240" t="s">
        <v>88</v>
      </c>
      <c r="H14240" t="s">
        <v>92</v>
      </c>
    </row>
    <row r="14241" spans="1:8" x14ac:dyDescent="0.25">
      <c r="A14241" t="s">
        <v>399</v>
      </c>
      <c r="B14241" t="s">
        <v>11361</v>
      </c>
      <c r="C14241" t="s">
        <v>88</v>
      </c>
      <c r="D14241" t="s">
        <v>88</v>
      </c>
      <c r="E14241" t="s">
        <v>700</v>
      </c>
      <c r="F14241" t="s">
        <v>88</v>
      </c>
      <c r="G14241" t="s">
        <v>88</v>
      </c>
      <c r="H14241" t="s">
        <v>92</v>
      </c>
    </row>
    <row r="14242" spans="1:8" x14ac:dyDescent="0.25">
      <c r="A14242" t="s">
        <v>399</v>
      </c>
      <c r="B14242" t="s">
        <v>11362</v>
      </c>
      <c r="C14242" t="s">
        <v>88</v>
      </c>
      <c r="D14242" t="s">
        <v>11363</v>
      </c>
      <c r="E14242" t="s">
        <v>844</v>
      </c>
      <c r="F14242" t="s">
        <v>88</v>
      </c>
      <c r="G14242" t="s">
        <v>88</v>
      </c>
      <c r="H14242" t="s">
        <v>92</v>
      </c>
    </row>
    <row r="14243" spans="1:8" x14ac:dyDescent="0.25">
      <c r="A14243" t="s">
        <v>399</v>
      </c>
      <c r="B14243" t="s">
        <v>11364</v>
      </c>
      <c r="C14243" t="s">
        <v>88</v>
      </c>
      <c r="D14243" t="s">
        <v>11365</v>
      </c>
      <c r="E14243" t="s">
        <v>836</v>
      </c>
      <c r="F14243" t="s">
        <v>88</v>
      </c>
      <c r="G14243" t="s">
        <v>88</v>
      </c>
      <c r="H14243" t="s">
        <v>92</v>
      </c>
    </row>
    <row r="14244" spans="1:8" x14ac:dyDescent="0.25">
      <c r="A14244" t="s">
        <v>399</v>
      </c>
      <c r="B14244" t="s">
        <v>625</v>
      </c>
      <c r="C14244" t="s">
        <v>88</v>
      </c>
      <c r="D14244" t="s">
        <v>88</v>
      </c>
      <c r="E14244" t="s">
        <v>626</v>
      </c>
      <c r="F14244" t="s">
        <v>88</v>
      </c>
      <c r="G14244" t="s">
        <v>88</v>
      </c>
      <c r="H14244" t="s">
        <v>92</v>
      </c>
    </row>
    <row r="14245" spans="1:8" x14ac:dyDescent="0.25">
      <c r="A14245" t="s">
        <v>400</v>
      </c>
      <c r="B14245" t="s">
        <v>9818</v>
      </c>
      <c r="C14245" t="s">
        <v>88</v>
      </c>
      <c r="D14245" t="s">
        <v>11366</v>
      </c>
      <c r="E14245" t="s">
        <v>715</v>
      </c>
      <c r="F14245" t="s">
        <v>88</v>
      </c>
      <c r="G14245" t="s">
        <v>88</v>
      </c>
      <c r="H14245" t="s">
        <v>92</v>
      </c>
    </row>
    <row r="14246" spans="1:8" x14ac:dyDescent="0.25">
      <c r="A14246" t="s">
        <v>400</v>
      </c>
      <c r="B14246" t="s">
        <v>816</v>
      </c>
      <c r="C14246" t="s">
        <v>88</v>
      </c>
      <c r="D14246" t="s">
        <v>11367</v>
      </c>
      <c r="E14246" t="s">
        <v>700</v>
      </c>
      <c r="F14246" t="s">
        <v>88</v>
      </c>
      <c r="G14246" t="s">
        <v>88</v>
      </c>
      <c r="H14246" t="s">
        <v>92</v>
      </c>
    </row>
    <row r="14247" spans="1:8" x14ac:dyDescent="0.25">
      <c r="A14247" t="s">
        <v>400</v>
      </c>
      <c r="B14247" t="s">
        <v>9818</v>
      </c>
      <c r="C14247" t="s">
        <v>88</v>
      </c>
      <c r="D14247" t="s">
        <v>11366</v>
      </c>
      <c r="E14247" t="s">
        <v>715</v>
      </c>
      <c r="F14247" t="s">
        <v>88</v>
      </c>
      <c r="G14247" t="s">
        <v>88</v>
      </c>
      <c r="H14247" t="s">
        <v>92</v>
      </c>
    </row>
    <row r="14248" spans="1:8" x14ac:dyDescent="0.25">
      <c r="A14248" t="s">
        <v>400</v>
      </c>
      <c r="B14248" t="s">
        <v>789</v>
      </c>
      <c r="C14248" t="s">
        <v>88</v>
      </c>
      <c r="D14248" t="s">
        <v>11366</v>
      </c>
      <c r="E14248" t="s">
        <v>791</v>
      </c>
      <c r="F14248" t="s">
        <v>88</v>
      </c>
      <c r="G14248" t="s">
        <v>88</v>
      </c>
      <c r="H14248" t="s">
        <v>92</v>
      </c>
    </row>
    <row r="14249" spans="1:8" x14ac:dyDescent="0.25">
      <c r="A14249" t="s">
        <v>400</v>
      </c>
      <c r="B14249" t="s">
        <v>11368</v>
      </c>
      <c r="C14249" t="s">
        <v>88</v>
      </c>
      <c r="D14249" t="s">
        <v>11367</v>
      </c>
      <c r="E14249" t="s">
        <v>748</v>
      </c>
      <c r="F14249" t="s">
        <v>88</v>
      </c>
      <c r="G14249" t="s">
        <v>88</v>
      </c>
      <c r="H14249" t="s">
        <v>92</v>
      </c>
    </row>
    <row r="14250" spans="1:8" x14ac:dyDescent="0.25">
      <c r="A14250" t="s">
        <v>400</v>
      </c>
      <c r="B14250" t="s">
        <v>832</v>
      </c>
      <c r="C14250" t="s">
        <v>88</v>
      </c>
      <c r="D14250" t="s">
        <v>11367</v>
      </c>
      <c r="E14250" t="s">
        <v>663</v>
      </c>
      <c r="F14250" t="s">
        <v>88</v>
      </c>
      <c r="G14250" t="s">
        <v>88</v>
      </c>
      <c r="H14250" t="s">
        <v>92</v>
      </c>
    </row>
    <row r="14251" spans="1:8" x14ac:dyDescent="0.25">
      <c r="A14251" t="s">
        <v>400</v>
      </c>
      <c r="B14251" t="s">
        <v>816</v>
      </c>
      <c r="C14251" t="s">
        <v>88</v>
      </c>
      <c r="D14251" t="s">
        <v>11367</v>
      </c>
      <c r="E14251" t="s">
        <v>700</v>
      </c>
      <c r="F14251" t="s">
        <v>88</v>
      </c>
      <c r="G14251" t="s">
        <v>88</v>
      </c>
      <c r="H14251" t="s">
        <v>92</v>
      </c>
    </row>
    <row r="14252" spans="1:8" x14ac:dyDescent="0.25">
      <c r="A14252" t="s">
        <v>400</v>
      </c>
      <c r="B14252" t="s">
        <v>10341</v>
      </c>
      <c r="C14252" t="s">
        <v>88</v>
      </c>
      <c r="D14252" t="s">
        <v>11367</v>
      </c>
      <c r="E14252" t="s">
        <v>655</v>
      </c>
      <c r="F14252" t="s">
        <v>88</v>
      </c>
      <c r="G14252" t="s">
        <v>88</v>
      </c>
      <c r="H14252" t="s">
        <v>92</v>
      </c>
    </row>
    <row r="14253" spans="1:8" x14ac:dyDescent="0.25">
      <c r="A14253" t="s">
        <v>400</v>
      </c>
      <c r="B14253" t="s">
        <v>823</v>
      </c>
      <c r="C14253" t="s">
        <v>88</v>
      </c>
      <c r="D14253" t="s">
        <v>11367</v>
      </c>
      <c r="E14253" t="s">
        <v>964</v>
      </c>
      <c r="F14253" t="s">
        <v>88</v>
      </c>
      <c r="G14253" t="s">
        <v>88</v>
      </c>
      <c r="H14253" t="s">
        <v>92</v>
      </c>
    </row>
    <row r="14254" spans="1:8" x14ac:dyDescent="0.25">
      <c r="A14254" t="s">
        <v>400</v>
      </c>
      <c r="B14254" t="s">
        <v>10342</v>
      </c>
      <c r="C14254" t="s">
        <v>88</v>
      </c>
      <c r="D14254" t="s">
        <v>11367</v>
      </c>
      <c r="E14254" t="s">
        <v>825</v>
      </c>
      <c r="F14254" t="s">
        <v>88</v>
      </c>
      <c r="G14254" t="s">
        <v>88</v>
      </c>
      <c r="H14254" t="s">
        <v>92</v>
      </c>
    </row>
    <row r="14255" spans="1:8" x14ac:dyDescent="0.25">
      <c r="A14255" t="s">
        <v>400</v>
      </c>
      <c r="B14255" t="s">
        <v>6066</v>
      </c>
      <c r="C14255" t="s">
        <v>88</v>
      </c>
      <c r="D14255" t="s">
        <v>88</v>
      </c>
      <c r="E14255" t="s">
        <v>735</v>
      </c>
      <c r="F14255" t="s">
        <v>88</v>
      </c>
      <c r="G14255" t="s">
        <v>88</v>
      </c>
      <c r="H14255" t="s">
        <v>92</v>
      </c>
    </row>
    <row r="14256" spans="1:8" x14ac:dyDescent="0.25">
      <c r="A14256" t="s">
        <v>400</v>
      </c>
      <c r="B14256" t="s">
        <v>623</v>
      </c>
      <c r="C14256" t="s">
        <v>88</v>
      </c>
      <c r="D14256" t="s">
        <v>88</v>
      </c>
      <c r="E14256" t="s">
        <v>735</v>
      </c>
      <c r="F14256" t="s">
        <v>88</v>
      </c>
      <c r="G14256" t="s">
        <v>88</v>
      </c>
      <c r="H14256" t="s">
        <v>92</v>
      </c>
    </row>
    <row r="14257" spans="1:8" x14ac:dyDescent="0.25">
      <c r="A14257" t="s">
        <v>400</v>
      </c>
      <c r="B14257" t="s">
        <v>846</v>
      </c>
      <c r="C14257" t="s">
        <v>88</v>
      </c>
      <c r="D14257" t="s">
        <v>88</v>
      </c>
      <c r="E14257" t="s">
        <v>710</v>
      </c>
      <c r="F14257" t="s">
        <v>88</v>
      </c>
      <c r="G14257" t="s">
        <v>88</v>
      </c>
      <c r="H14257" t="s">
        <v>92</v>
      </c>
    </row>
    <row r="14258" spans="1:8" x14ac:dyDescent="0.25">
      <c r="A14258" t="s">
        <v>400</v>
      </c>
      <c r="B14258" t="s">
        <v>625</v>
      </c>
      <c r="C14258" t="s">
        <v>88</v>
      </c>
      <c r="D14258" t="s">
        <v>88</v>
      </c>
      <c r="E14258" t="s">
        <v>626</v>
      </c>
      <c r="F14258" t="s">
        <v>88</v>
      </c>
      <c r="G14258" t="s">
        <v>88</v>
      </c>
      <c r="H14258" t="s">
        <v>92</v>
      </c>
    </row>
    <row r="14259" spans="1:8" x14ac:dyDescent="0.25">
      <c r="A14259" t="s">
        <v>401</v>
      </c>
      <c r="B14259" t="s">
        <v>1830</v>
      </c>
      <c r="C14259" t="s">
        <v>88</v>
      </c>
      <c r="D14259" t="s">
        <v>11369</v>
      </c>
      <c r="E14259" t="s">
        <v>723</v>
      </c>
      <c r="F14259" t="s">
        <v>88</v>
      </c>
      <c r="G14259" t="s">
        <v>88</v>
      </c>
      <c r="H14259" t="s">
        <v>92</v>
      </c>
    </row>
    <row r="14260" spans="1:8" x14ac:dyDescent="0.25">
      <c r="A14260" t="s">
        <v>401</v>
      </c>
      <c r="B14260" t="s">
        <v>1658</v>
      </c>
      <c r="C14260" t="s">
        <v>88</v>
      </c>
      <c r="D14260" t="s">
        <v>11370</v>
      </c>
      <c r="E14260" t="s">
        <v>725</v>
      </c>
      <c r="F14260" t="s">
        <v>88</v>
      </c>
      <c r="G14260" t="s">
        <v>88</v>
      </c>
      <c r="H14260" t="s">
        <v>92</v>
      </c>
    </row>
    <row r="14261" spans="1:8" x14ac:dyDescent="0.25">
      <c r="A14261" t="s">
        <v>401</v>
      </c>
      <c r="B14261" t="s">
        <v>11371</v>
      </c>
      <c r="C14261" t="s">
        <v>88</v>
      </c>
      <c r="D14261" t="s">
        <v>11372</v>
      </c>
      <c r="E14261" t="s">
        <v>5901</v>
      </c>
      <c r="F14261" t="s">
        <v>88</v>
      </c>
      <c r="G14261" t="s">
        <v>88</v>
      </c>
      <c r="H14261" t="s">
        <v>92</v>
      </c>
    </row>
    <row r="14262" spans="1:8" x14ac:dyDescent="0.25">
      <c r="A14262" t="s">
        <v>401</v>
      </c>
      <c r="B14262" t="s">
        <v>3264</v>
      </c>
      <c r="C14262" t="s">
        <v>88</v>
      </c>
      <c r="D14262" t="s">
        <v>11373</v>
      </c>
      <c r="E14262" t="s">
        <v>700</v>
      </c>
      <c r="F14262" t="s">
        <v>88</v>
      </c>
      <c r="G14262" t="s">
        <v>88</v>
      </c>
      <c r="H14262" t="s">
        <v>92</v>
      </c>
    </row>
    <row r="14263" spans="1:8" x14ac:dyDescent="0.25">
      <c r="A14263" t="s">
        <v>401</v>
      </c>
      <c r="B14263" t="s">
        <v>1824</v>
      </c>
      <c r="C14263" t="s">
        <v>88</v>
      </c>
      <c r="D14263" t="s">
        <v>88</v>
      </c>
      <c r="E14263" t="s">
        <v>723</v>
      </c>
      <c r="F14263" t="s">
        <v>88</v>
      </c>
      <c r="G14263" t="s">
        <v>88</v>
      </c>
      <c r="H14263" t="s">
        <v>92</v>
      </c>
    </row>
    <row r="14264" spans="1:8" x14ac:dyDescent="0.25">
      <c r="A14264" t="s">
        <v>401</v>
      </c>
      <c r="B14264" t="s">
        <v>11374</v>
      </c>
      <c r="C14264" t="s">
        <v>88</v>
      </c>
      <c r="D14264" t="s">
        <v>11375</v>
      </c>
      <c r="E14264" t="s">
        <v>676</v>
      </c>
      <c r="F14264" t="s">
        <v>88</v>
      </c>
      <c r="G14264" t="s">
        <v>88</v>
      </c>
      <c r="H14264" t="s">
        <v>92</v>
      </c>
    </row>
    <row r="14265" spans="1:8" x14ac:dyDescent="0.25">
      <c r="A14265" t="s">
        <v>401</v>
      </c>
      <c r="B14265" t="s">
        <v>11371</v>
      </c>
      <c r="C14265" t="s">
        <v>88</v>
      </c>
      <c r="D14265" t="s">
        <v>11372</v>
      </c>
      <c r="E14265" t="s">
        <v>820</v>
      </c>
      <c r="F14265" t="s">
        <v>88</v>
      </c>
      <c r="G14265" t="s">
        <v>88</v>
      </c>
      <c r="H14265" t="s">
        <v>92</v>
      </c>
    </row>
    <row r="14266" spans="1:8" x14ac:dyDescent="0.25">
      <c r="A14266" t="s">
        <v>401</v>
      </c>
      <c r="B14266" t="s">
        <v>3264</v>
      </c>
      <c r="C14266" t="s">
        <v>88</v>
      </c>
      <c r="D14266" t="s">
        <v>11373</v>
      </c>
      <c r="E14266" t="s">
        <v>700</v>
      </c>
      <c r="F14266" t="s">
        <v>88</v>
      </c>
      <c r="G14266" t="s">
        <v>88</v>
      </c>
      <c r="H14266" t="s">
        <v>92</v>
      </c>
    </row>
    <row r="14267" spans="1:8" x14ac:dyDescent="0.25">
      <c r="A14267" t="s">
        <v>401</v>
      </c>
      <c r="B14267" t="s">
        <v>1830</v>
      </c>
      <c r="C14267" t="s">
        <v>88</v>
      </c>
      <c r="D14267" t="s">
        <v>11369</v>
      </c>
      <c r="E14267" t="s">
        <v>723</v>
      </c>
      <c r="F14267" t="s">
        <v>88</v>
      </c>
      <c r="G14267" t="s">
        <v>88</v>
      </c>
      <c r="H14267" t="s">
        <v>92</v>
      </c>
    </row>
    <row r="14268" spans="1:8" x14ac:dyDescent="0.25">
      <c r="A14268" t="s">
        <v>401</v>
      </c>
      <c r="B14268" t="s">
        <v>1824</v>
      </c>
      <c r="C14268" t="s">
        <v>88</v>
      </c>
      <c r="D14268" t="s">
        <v>88</v>
      </c>
      <c r="E14268" t="s">
        <v>723</v>
      </c>
      <c r="F14268" t="s">
        <v>88</v>
      </c>
      <c r="G14268" t="s">
        <v>88</v>
      </c>
      <c r="H14268" t="s">
        <v>92</v>
      </c>
    </row>
    <row r="14269" spans="1:8" x14ac:dyDescent="0.25">
      <c r="A14269" t="s">
        <v>401</v>
      </c>
      <c r="B14269" t="s">
        <v>1658</v>
      </c>
      <c r="C14269" t="s">
        <v>88</v>
      </c>
      <c r="D14269" t="s">
        <v>11370</v>
      </c>
      <c r="E14269" t="s">
        <v>725</v>
      </c>
      <c r="F14269" t="s">
        <v>88</v>
      </c>
      <c r="G14269" t="s">
        <v>88</v>
      </c>
      <c r="H14269" t="s">
        <v>92</v>
      </c>
    </row>
    <row r="14270" spans="1:8" x14ac:dyDescent="0.25">
      <c r="A14270" t="s">
        <v>401</v>
      </c>
      <c r="B14270" t="s">
        <v>701</v>
      </c>
      <c r="C14270" t="s">
        <v>88</v>
      </c>
      <c r="D14270" t="s">
        <v>88</v>
      </c>
      <c r="E14270" t="s">
        <v>734</v>
      </c>
      <c r="F14270" t="s">
        <v>88</v>
      </c>
      <c r="G14270" t="s">
        <v>88</v>
      </c>
      <c r="H14270" t="s">
        <v>92</v>
      </c>
    </row>
    <row r="14271" spans="1:8" x14ac:dyDescent="0.25">
      <c r="A14271" t="s">
        <v>401</v>
      </c>
      <c r="B14271" t="s">
        <v>705</v>
      </c>
      <c r="C14271" t="s">
        <v>88</v>
      </c>
      <c r="D14271" t="s">
        <v>88</v>
      </c>
      <c r="E14271" t="s">
        <v>734</v>
      </c>
      <c r="F14271" t="s">
        <v>88</v>
      </c>
      <c r="G14271" t="s">
        <v>88</v>
      </c>
      <c r="H14271" t="s">
        <v>92</v>
      </c>
    </row>
    <row r="14272" spans="1:8" x14ac:dyDescent="0.25">
      <c r="A14272" t="s">
        <v>401</v>
      </c>
      <c r="B14272" t="s">
        <v>707</v>
      </c>
      <c r="C14272" t="s">
        <v>88</v>
      </c>
      <c r="D14272" t="s">
        <v>88</v>
      </c>
      <c r="E14272" t="s">
        <v>734</v>
      </c>
      <c r="F14272" t="s">
        <v>88</v>
      </c>
      <c r="G14272" t="s">
        <v>88</v>
      </c>
      <c r="H14272" t="s">
        <v>92</v>
      </c>
    </row>
    <row r="14273" spans="1:8" x14ac:dyDescent="0.25">
      <c r="A14273" t="s">
        <v>401</v>
      </c>
      <c r="B14273" t="s">
        <v>708</v>
      </c>
      <c r="C14273" t="s">
        <v>88</v>
      </c>
      <c r="D14273" t="s">
        <v>88</v>
      </c>
      <c r="E14273" t="s">
        <v>734</v>
      </c>
      <c r="F14273" t="s">
        <v>88</v>
      </c>
      <c r="G14273" t="s">
        <v>88</v>
      </c>
      <c r="H14273" t="s">
        <v>92</v>
      </c>
    </row>
    <row r="14274" spans="1:8" x14ac:dyDescent="0.25">
      <c r="A14274" t="s">
        <v>401</v>
      </c>
      <c r="B14274" t="s">
        <v>612</v>
      </c>
      <c r="C14274" t="s">
        <v>88</v>
      </c>
      <c r="D14274" t="s">
        <v>88</v>
      </c>
      <c r="E14274" t="s">
        <v>734</v>
      </c>
      <c r="F14274" t="s">
        <v>88</v>
      </c>
      <c r="G14274" t="s">
        <v>88</v>
      </c>
      <c r="H14274" t="s">
        <v>92</v>
      </c>
    </row>
    <row r="14275" spans="1:8" x14ac:dyDescent="0.25">
      <c r="A14275" t="s">
        <v>401</v>
      </c>
      <c r="B14275" t="s">
        <v>614</v>
      </c>
      <c r="C14275" t="s">
        <v>88</v>
      </c>
      <c r="D14275" t="s">
        <v>88</v>
      </c>
      <c r="E14275" t="s">
        <v>734</v>
      </c>
      <c r="F14275" t="s">
        <v>88</v>
      </c>
      <c r="G14275" t="s">
        <v>88</v>
      </c>
      <c r="H14275" t="s">
        <v>92</v>
      </c>
    </row>
    <row r="14276" spans="1:8" x14ac:dyDescent="0.25">
      <c r="A14276" t="s">
        <v>401</v>
      </c>
      <c r="B14276" t="s">
        <v>615</v>
      </c>
      <c r="C14276" t="s">
        <v>88</v>
      </c>
      <c r="D14276" t="s">
        <v>88</v>
      </c>
      <c r="E14276" t="s">
        <v>734</v>
      </c>
      <c r="F14276" t="s">
        <v>88</v>
      </c>
      <c r="G14276" t="s">
        <v>88</v>
      </c>
      <c r="H14276" t="s">
        <v>92</v>
      </c>
    </row>
    <row r="14277" spans="1:8" x14ac:dyDescent="0.25">
      <c r="A14277" t="s">
        <v>401</v>
      </c>
      <c r="B14277" t="s">
        <v>617</v>
      </c>
      <c r="C14277" t="s">
        <v>88</v>
      </c>
      <c r="D14277" t="s">
        <v>88</v>
      </c>
      <c r="E14277" t="s">
        <v>734</v>
      </c>
      <c r="F14277" t="s">
        <v>88</v>
      </c>
      <c r="G14277" t="s">
        <v>88</v>
      </c>
      <c r="H14277" t="s">
        <v>92</v>
      </c>
    </row>
    <row r="14278" spans="1:8" x14ac:dyDescent="0.25">
      <c r="A14278" t="s">
        <v>401</v>
      </c>
      <c r="B14278" t="s">
        <v>618</v>
      </c>
      <c r="C14278" t="s">
        <v>88</v>
      </c>
      <c r="D14278" t="s">
        <v>88</v>
      </c>
      <c r="E14278" t="s">
        <v>848</v>
      </c>
      <c r="F14278" t="s">
        <v>88</v>
      </c>
      <c r="G14278" t="s">
        <v>88</v>
      </c>
      <c r="H14278" t="s">
        <v>92</v>
      </c>
    </row>
    <row r="14279" spans="1:8" x14ac:dyDescent="0.25">
      <c r="A14279" t="s">
        <v>401</v>
      </c>
      <c r="B14279" t="s">
        <v>795</v>
      </c>
      <c r="C14279" t="s">
        <v>88</v>
      </c>
      <c r="D14279" t="s">
        <v>88</v>
      </c>
      <c r="E14279" t="s">
        <v>713</v>
      </c>
      <c r="F14279" t="s">
        <v>88</v>
      </c>
      <c r="G14279" t="s">
        <v>88</v>
      </c>
      <c r="H14279" t="s">
        <v>92</v>
      </c>
    </row>
    <row r="14280" spans="1:8" x14ac:dyDescent="0.25">
      <c r="A14280" t="s">
        <v>401</v>
      </c>
      <c r="B14280" t="s">
        <v>623</v>
      </c>
      <c r="C14280" t="s">
        <v>88</v>
      </c>
      <c r="D14280" t="s">
        <v>88</v>
      </c>
      <c r="E14280" t="s">
        <v>735</v>
      </c>
      <c r="F14280" t="s">
        <v>88</v>
      </c>
      <c r="G14280" t="s">
        <v>88</v>
      </c>
      <c r="H14280" t="s">
        <v>92</v>
      </c>
    </row>
    <row r="14281" spans="1:8" x14ac:dyDescent="0.25">
      <c r="A14281" t="s">
        <v>401</v>
      </c>
      <c r="B14281" t="s">
        <v>625</v>
      </c>
      <c r="C14281" t="s">
        <v>88</v>
      </c>
      <c r="D14281" t="s">
        <v>88</v>
      </c>
      <c r="E14281" t="s">
        <v>626</v>
      </c>
      <c r="F14281" t="s">
        <v>88</v>
      </c>
      <c r="G14281" t="s">
        <v>88</v>
      </c>
      <c r="H14281" t="s">
        <v>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2021-11-21T20:58:42Z</dcterms:modified>
</cp:coreProperties>
</file>